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N:\개인\★★Jayden Work File★★\★★ Work file ★★\"/>
    </mc:Choice>
  </mc:AlternateContent>
  <xr:revisionPtr revIDLastSave="0" documentId="13_ncr:1_{98A469B3-5C4F-4395-B3A9-26285CA88CDC}" xr6:coauthVersionLast="47" xr6:coauthVersionMax="47" xr10:uidLastSave="{00000000-0000-0000-0000-000000000000}"/>
  <bookViews>
    <workbookView xWindow="-98" yWindow="-98" windowWidth="19396" windowHeight="11475" tabRatio="574" activeTab="2" xr2:uid="{00000000-000D-0000-FFFF-FFFF00000000}"/>
  </bookViews>
  <sheets>
    <sheet name="달러 판매현황" sheetId="14" r:id="rId1"/>
    <sheet name="달러 인보이스+판매보고AUTO" sheetId="12" r:id="rId2"/>
    <sheet name="유로 판매현황" sheetId="15" r:id="rId3"/>
    <sheet name="유로 인보이스+판매보고AUTO" sheetId="28" r:id="rId4"/>
    <sheet name="독일 노르웨이 판매현황" sheetId="16" r:id="rId5"/>
    <sheet name="독일 노르웨이 인보이스 + 판매보고AUTO" sheetId="25" r:id="rId6"/>
    <sheet name="유로 선적지시서" sheetId="26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0" hidden="1">'달러 판매현황'!$A$1:$AM$475</definedName>
    <definedName name="_xlnm._FilterDatabase" localSheetId="4" hidden="1">'독일 노르웨이 판매현황'!$A$1:$AS$451</definedName>
    <definedName name="_xlnm._FilterDatabase" localSheetId="2" hidden="1">'유로 판매현황'!$A$1:$BD$527</definedName>
    <definedName name="AA">#REF!</definedName>
    <definedName name="GG">#REF!</definedName>
    <definedName name="ID" localSheetId="0">#REF!</definedName>
    <definedName name="ID" localSheetId="4">#REF!</definedName>
    <definedName name="ID" localSheetId="2">#REF!</definedName>
    <definedName name="ID">[1]입출고!#REF!</definedName>
    <definedName name="_xlnm.Print_Area" localSheetId="1">'달러 인보이스+판매보고AUTO'!$A$1:$G$42</definedName>
    <definedName name="_xlnm.Print_Area" localSheetId="5">'독일 노르웨이 인보이스 + 판매보고AUTO'!$A$1:$G$46</definedName>
    <definedName name="_xlnm.Print_Area" localSheetId="6">'유로 선적지시서'!$A$1:$G$45</definedName>
    <definedName name="_xlnm.Print_Area" localSheetId="3">'유로 인보이스+판매보고AUTO'!$A$1:$G$42</definedName>
    <definedName name="_xlnm.Print_Area" localSheetId="2">'유로 판매현황'!$A$1:$R$421</definedName>
    <definedName name="YY">#REF!</definedName>
    <definedName name="계산서" localSheetId="0">#REF!</definedName>
    <definedName name="계산서" localSheetId="4">#REF!</definedName>
    <definedName name="계산서" localSheetId="2">#REF!</definedName>
    <definedName name="계산서">[1]입출고!#REF!</definedName>
    <definedName name="계약금" localSheetId="0">#REF!</definedName>
    <definedName name="계약금" localSheetId="4">#REF!</definedName>
    <definedName name="계약금" localSheetId="2">#REF!</definedName>
    <definedName name="계약금">[1]입출고!#REF!</definedName>
    <definedName name="광택" localSheetId="0">#REF!</definedName>
    <definedName name="광택" localSheetId="4">#REF!</definedName>
    <definedName name="광택" localSheetId="2">#REF!</definedName>
    <definedName name="광택">[1]입출고!#REF!</definedName>
    <definedName name="구분입력">[2]수출현황_종합!$G$2</definedName>
    <definedName name="구분입력2">[2]수출현황_종합!$G$3</definedName>
    <definedName name="기준날짜">[2]수출현황_종합!$J$3</definedName>
    <definedName name="기준월">[2]수출현황_종합!$C$3</definedName>
    <definedName name="기타" localSheetId="0">#REF!</definedName>
    <definedName name="기타" localSheetId="4">#REF!</definedName>
    <definedName name="기타" localSheetId="2">#REF!</definedName>
    <definedName name="기타">[1]입출고!#REF!</definedName>
    <definedName name="ㄴㅇㄹ">#REF!</definedName>
    <definedName name="년도">[2]수출현황_종합!$B$3</definedName>
    <definedName name="등급" localSheetId="0">#REF!</definedName>
    <definedName name="등급" localSheetId="4">#REF!</definedName>
    <definedName name="등급" localSheetId="2">#REF!</definedName>
    <definedName name="등급">[1]입출고!#REF!</definedName>
    <definedName name="말소날짜" localSheetId="0">#REF!</definedName>
    <definedName name="말소날짜" localSheetId="4">#REF!</definedName>
    <definedName name="말소날짜" localSheetId="2">#REF!</definedName>
    <definedName name="말소날짜">[1]입출고!#REF!</definedName>
    <definedName name="말소증2">[1]입출고!#REF!</definedName>
    <definedName name="매입가" localSheetId="0">#REF!</definedName>
    <definedName name="매입가" localSheetId="4">#REF!</definedName>
    <definedName name="매입가" localSheetId="2">#REF!</definedName>
    <definedName name="매입가">[1]입출고!#REF!</definedName>
    <definedName name="매입날짜" localSheetId="0">#REF!</definedName>
    <definedName name="매입날짜" localSheetId="4">#REF!</definedName>
    <definedName name="매입날짜" localSheetId="2">#REF!</definedName>
    <definedName name="매입날짜">[1]입출고!#REF!</definedName>
    <definedName name="메다" localSheetId="0">#REF!</definedName>
    <definedName name="메다" localSheetId="4">#REF!</definedName>
    <definedName name="메다" localSheetId="2">#REF!</definedName>
    <definedName name="메다">[1]입출고!#REF!</definedName>
    <definedName name="미수" localSheetId="0">#REF!</definedName>
    <definedName name="미수" localSheetId="4">#REF!</definedName>
    <definedName name="미수" localSheetId="2">#REF!</definedName>
    <definedName name="미수">[1]입출고!#REF!</definedName>
    <definedName name="바이어연락처" localSheetId="0">#REF!</definedName>
    <definedName name="바이어연락처" localSheetId="4">#REF!</definedName>
    <definedName name="바이어연락처" localSheetId="2">#REF!</definedName>
    <definedName name="바이어연락처">[1]입출고!#REF!</definedName>
    <definedName name="변속기" localSheetId="0">#REF!</definedName>
    <definedName name="변속기" localSheetId="4">#REF!</definedName>
    <definedName name="변속기" localSheetId="2">#REF!</definedName>
    <definedName name="변속기">[1]입출고!#REF!</definedName>
    <definedName name="ㅅ" localSheetId="0">#REF!</definedName>
    <definedName name="ㅅ" localSheetId="4">#REF!</definedName>
    <definedName name="ㅅ" localSheetId="2">#REF!</definedName>
    <definedName name="ㅅ">'[3]1'!#REF!</definedName>
    <definedName name="사업자" localSheetId="0">#REF!</definedName>
    <definedName name="사업자" localSheetId="4">#REF!</definedName>
    <definedName name="사업자" localSheetId="2">#REF!</definedName>
    <definedName name="사업자">[1]입출고!#REF!</definedName>
    <definedName name="사진" localSheetId="0">#REF!</definedName>
    <definedName name="사진" localSheetId="4">#REF!</definedName>
    <definedName name="사진" localSheetId="2">#REF!</definedName>
    <definedName name="사진">[1]입출고!#REF!</definedName>
    <definedName name="색상" localSheetId="0">#REF!</definedName>
    <definedName name="색상" localSheetId="4">#REF!</definedName>
    <definedName name="색상" localSheetId="2">#REF!</definedName>
    <definedName name="색상">[1]입출고!#REF!</definedName>
    <definedName name="선적계획" localSheetId="0">#REF!</definedName>
    <definedName name="선적계획" localSheetId="4">#REF!</definedName>
    <definedName name="선적계획" localSheetId="2">#REF!</definedName>
    <definedName name="선적계획">[1]입출고!#REF!</definedName>
    <definedName name="수출종합" hidden="1">[2]수출현황_종합!$B$12:$AL$15</definedName>
    <definedName name="쉬핑오더">#REF!</definedName>
    <definedName name="시스템" localSheetId="0">#REF!</definedName>
    <definedName name="시스템" localSheetId="4">#REF!</definedName>
    <definedName name="시스템" localSheetId="2">#REF!</definedName>
    <definedName name="시스템">[1]입출고!#REF!</definedName>
    <definedName name="시트" localSheetId="0">#REF!</definedName>
    <definedName name="시트" localSheetId="4">#REF!</definedName>
    <definedName name="시트" localSheetId="2">#REF!</definedName>
    <definedName name="시트">[1]입출고!#REF!</definedName>
    <definedName name="실매입가" localSheetId="0">#REF!</definedName>
    <definedName name="실매입가" localSheetId="4">#REF!</definedName>
    <definedName name="실매입가" localSheetId="2">#REF!</definedName>
    <definedName name="실매입가">[1]입출고!#REF!</definedName>
    <definedName name="업체">#REF!</definedName>
    <definedName name="연식" localSheetId="0">#REF!</definedName>
    <definedName name="연식" localSheetId="4">#REF!</definedName>
    <definedName name="연식" localSheetId="2">#REF!</definedName>
    <definedName name="연식">[1]입출고!#REF!</definedName>
    <definedName name="운임" localSheetId="0">#REF!</definedName>
    <definedName name="운임" localSheetId="4">#REF!</definedName>
    <definedName name="운임" localSheetId="2">#REF!</definedName>
    <definedName name="운임">[1]입출고!#REF!</definedName>
    <definedName name="월">[2]수출현황_종합!$J$4</definedName>
    <definedName name="유리" localSheetId="0">#REF!</definedName>
    <definedName name="유리" localSheetId="4">#REF!</definedName>
    <definedName name="유리" localSheetId="2">#REF!</definedName>
    <definedName name="유리">[1]입출고!#REF!</definedName>
    <definedName name="잔금" localSheetId="0">#REF!</definedName>
    <definedName name="잔금" localSheetId="4">#REF!</definedName>
    <definedName name="잔금" localSheetId="2">#REF!</definedName>
    <definedName name="잔금">[1]입출고!#REF!</definedName>
    <definedName name="재고" localSheetId="0">#REF!</definedName>
    <definedName name="재고" localSheetId="4">#REF!</definedName>
    <definedName name="재고" localSheetId="2">#REF!</definedName>
    <definedName name="재고">[1]입출고!#REF!</definedName>
    <definedName name="정비수리" localSheetId="0">#REF!</definedName>
    <definedName name="정비수리" localSheetId="4">#REF!</definedName>
    <definedName name="정비수리" localSheetId="2">#REF!</definedName>
    <definedName name="정비수리">[1]입출고!#REF!</definedName>
    <definedName name="조건범위" localSheetId="0">#REF!</definedName>
    <definedName name="조건범위" localSheetId="4">#REF!</definedName>
    <definedName name="조건범위" localSheetId="2">#REF!</definedName>
    <definedName name="조건범위">#REF!</definedName>
    <definedName name="주민번호" localSheetId="0">#REF!</definedName>
    <definedName name="주민번호" localSheetId="4">#REF!</definedName>
    <definedName name="주민번호" localSheetId="2">#REF!</definedName>
    <definedName name="주민번호">[1]입출고!#REF!</definedName>
    <definedName name="주소" localSheetId="0">#REF!</definedName>
    <definedName name="주소" localSheetId="4">#REF!</definedName>
    <definedName name="주소" localSheetId="2">#REF!</definedName>
    <definedName name="주소">[1]입출고!#REF!</definedName>
    <definedName name="주행거리" localSheetId="0">#REF!</definedName>
    <definedName name="주행거리" localSheetId="4">#REF!</definedName>
    <definedName name="주행거리" localSheetId="2">#REF!</definedName>
    <definedName name="주행거리">[1]입출고!#REF!</definedName>
    <definedName name="ㅊ" localSheetId="0">#REF!</definedName>
    <definedName name="ㅊ" localSheetId="4">#REF!</definedName>
    <definedName name="ㅊ" localSheetId="2">#REF!</definedName>
    <definedName name="ㅊ">'[3]1'!#REF!</definedName>
    <definedName name="차대번호" localSheetId="0">#REF!</definedName>
    <definedName name="차대번호" localSheetId="4">#REF!</definedName>
    <definedName name="차대번호" localSheetId="2">#REF!</definedName>
    <definedName name="차대번호">[1]입출고!#REF!</definedName>
    <definedName name="차량명" localSheetId="0">#REF!</definedName>
    <definedName name="차량명" localSheetId="4">#REF!</definedName>
    <definedName name="차량명" localSheetId="2">#REF!</definedName>
    <definedName name="차량명">[1]입출고!#REF!</definedName>
    <definedName name="차량번호" localSheetId="0">#REF!</definedName>
    <definedName name="차량번호" localSheetId="4">#REF!</definedName>
    <definedName name="차량번호" localSheetId="2">#REF!</definedName>
    <definedName name="차량번호">[1]입출고!#REF!</definedName>
    <definedName name="차명" localSheetId="0">[2]CarName_INPUT입력!$A$4:$A$423</definedName>
    <definedName name="차명" localSheetId="4">[2]CarName_INPUT입력!$A$4:$A$423</definedName>
    <definedName name="차명" localSheetId="2">[2]CarName_INPUT입력!$A$4:$A$423</definedName>
    <definedName name="차명">[4]CarName_INPUT입력!$A$4:$A$423</definedName>
    <definedName name="차주" localSheetId="0">#REF!</definedName>
    <definedName name="차주" localSheetId="4">#REF!</definedName>
    <definedName name="차주" localSheetId="2">#REF!</definedName>
    <definedName name="차주">[1]입출고!#REF!</definedName>
    <definedName name="차주연락처" localSheetId="0">#REF!</definedName>
    <definedName name="차주연락처" localSheetId="4">#REF!</definedName>
    <definedName name="차주연락처" localSheetId="2">#REF!</definedName>
    <definedName name="차주연락처">[1]입출고!#REF!</definedName>
    <definedName name="출력범위" localSheetId="0">#REF!</definedName>
    <definedName name="출력범위" localSheetId="4">#REF!</definedName>
    <definedName name="출력범위" localSheetId="2">#REF!</definedName>
    <definedName name="출력범위">#REF!</definedName>
    <definedName name="판금도색" localSheetId="0">#REF!</definedName>
    <definedName name="판금도색" localSheetId="4">#REF!</definedName>
    <definedName name="판금도색" localSheetId="2">#REF!</definedName>
    <definedName name="판금도색">[1]입출고!#REF!</definedName>
    <definedName name="판매가" localSheetId="0">#REF!</definedName>
    <definedName name="판매가" localSheetId="4">#REF!</definedName>
    <definedName name="판매가" localSheetId="2">#REF!</definedName>
    <definedName name="판매가">[1]입출고!#REF!</definedName>
    <definedName name="판매바이어" localSheetId="0">#REF!</definedName>
    <definedName name="판매바이어" localSheetId="4">#REF!</definedName>
    <definedName name="판매바이어" localSheetId="2">#REF!</definedName>
    <definedName name="판매바이어">[1]입출고!#REF!</definedName>
    <definedName name="ㅏㅓㅏ">[1]입출고!#REF!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30" i="15" l="1"/>
  <c r="AA130" i="15"/>
  <c r="J130" i="15"/>
  <c r="AA129" i="15"/>
  <c r="J129" i="15"/>
  <c r="T39" i="15"/>
  <c r="D18" i="28"/>
  <c r="AS125" i="15"/>
  <c r="AV125" i="15"/>
  <c r="AS126" i="15"/>
  <c r="AV126" i="15"/>
  <c r="AS127" i="15"/>
  <c r="AV127" i="15"/>
  <c r="AS128" i="15"/>
  <c r="AV128" i="15"/>
  <c r="AA128" i="15" l="1"/>
  <c r="AT128" i="15" s="1"/>
  <c r="J128" i="15"/>
  <c r="AA127" i="15"/>
  <c r="AT127" i="15" s="1"/>
  <c r="J127" i="15"/>
  <c r="AU128" i="15" l="1"/>
  <c r="AW128" i="15" s="1"/>
  <c r="AX128" i="15" s="1"/>
  <c r="BA128" i="15" s="1"/>
  <c r="AU127" i="15"/>
  <c r="AW127" i="15" s="1"/>
  <c r="AX127" i="15" s="1"/>
  <c r="BA127" i="15" s="1"/>
  <c r="F3" i="28"/>
  <c r="AA126" i="15"/>
  <c r="AT126" i="15" s="1"/>
  <c r="J126" i="15"/>
  <c r="AU126" i="15" l="1"/>
  <c r="AW126" i="15" s="1"/>
  <c r="AX126" i="15" s="1"/>
  <c r="BA126" i="15" s="1"/>
  <c r="AA125" i="15"/>
  <c r="AT125" i="15" s="1"/>
  <c r="J125" i="15"/>
  <c r="AA124" i="15"/>
  <c r="J124" i="15"/>
  <c r="J123" i="15"/>
  <c r="AA123" i="15"/>
  <c r="J122" i="15"/>
  <c r="AU125" i="15" l="1"/>
  <c r="AW125" i="15" s="1"/>
  <c r="AX125" i="15" s="1"/>
  <c r="BA125" i="15" s="1"/>
  <c r="AA122" i="15"/>
  <c r="AA121" i="15"/>
  <c r="J121" i="15"/>
  <c r="J120" i="15"/>
  <c r="AA120" i="15"/>
  <c r="AA119" i="15"/>
  <c r="J119" i="15"/>
  <c r="AA118" i="15"/>
  <c r="J118" i="15"/>
  <c r="AA117" i="15"/>
  <c r="J117" i="15"/>
  <c r="AA116" i="15"/>
  <c r="J116" i="15"/>
  <c r="E18" i="28" l="1"/>
  <c r="J115" i="15"/>
  <c r="AA115" i="15"/>
  <c r="AA114" i="15"/>
  <c r="J114" i="15"/>
  <c r="AA113" i="15"/>
  <c r="J113" i="15"/>
  <c r="AA112" i="15"/>
  <c r="J112" i="15"/>
  <c r="L23" i="28"/>
  <c r="AV111" i="15"/>
  <c r="AS111" i="15"/>
  <c r="AB111" i="15"/>
  <c r="AA111" i="15"/>
  <c r="J111" i="15"/>
  <c r="AV110" i="15"/>
  <c r="AS110" i="15"/>
  <c r="AB110" i="15"/>
  <c r="AA110" i="15"/>
  <c r="J110" i="15"/>
  <c r="AV109" i="15"/>
  <c r="AS109" i="15"/>
  <c r="AB109" i="15"/>
  <c r="AA109" i="15"/>
  <c r="J109" i="15"/>
  <c r="AV108" i="15"/>
  <c r="AS108" i="15"/>
  <c r="AB108" i="15"/>
  <c r="AA108" i="15"/>
  <c r="J108" i="15"/>
  <c r="AV107" i="15"/>
  <c r="AS107" i="15"/>
  <c r="AB107" i="15"/>
  <c r="AA107" i="15"/>
  <c r="J107" i="15"/>
  <c r="AV106" i="15"/>
  <c r="AS106" i="15"/>
  <c r="AB106" i="15"/>
  <c r="AA106" i="15"/>
  <c r="J106" i="15"/>
  <c r="AV105" i="15"/>
  <c r="AS105" i="15"/>
  <c r="AB105" i="15"/>
  <c r="AA105" i="15"/>
  <c r="J105" i="15"/>
  <c r="AV104" i="15"/>
  <c r="AS104" i="15"/>
  <c r="AB104" i="15"/>
  <c r="AA104" i="15"/>
  <c r="J104" i="15"/>
  <c r="AV103" i="15"/>
  <c r="AS103" i="15"/>
  <c r="AB103" i="15"/>
  <c r="AA103" i="15"/>
  <c r="J103" i="15"/>
  <c r="AV102" i="15"/>
  <c r="AS102" i="15"/>
  <c r="AB102" i="15"/>
  <c r="AA102" i="15"/>
  <c r="J102" i="15"/>
  <c r="AV101" i="15"/>
  <c r="AS101" i="15"/>
  <c r="AB101" i="15"/>
  <c r="AA101" i="15"/>
  <c r="J101" i="15"/>
  <c r="AV100" i="15"/>
  <c r="AS100" i="15"/>
  <c r="AB100" i="15"/>
  <c r="AA100" i="15"/>
  <c r="J100" i="15"/>
  <c r="AV99" i="15"/>
  <c r="AS99" i="15"/>
  <c r="AB99" i="15"/>
  <c r="AA99" i="15"/>
  <c r="J99" i="15"/>
  <c r="AV98" i="15"/>
  <c r="AS98" i="15"/>
  <c r="AB98" i="15"/>
  <c r="AA98" i="15"/>
  <c r="J98" i="15"/>
  <c r="AV97" i="15"/>
  <c r="AS97" i="15"/>
  <c r="AB97" i="15"/>
  <c r="AA97" i="15"/>
  <c r="J97" i="15"/>
  <c r="AV96" i="15"/>
  <c r="AS96" i="15"/>
  <c r="AB96" i="15"/>
  <c r="AA96" i="15"/>
  <c r="J96" i="15"/>
  <c r="AV95" i="15"/>
  <c r="AS95" i="15"/>
  <c r="AB95" i="15"/>
  <c r="AA95" i="15"/>
  <c r="J95" i="15"/>
  <c r="AV94" i="15"/>
  <c r="AS94" i="15"/>
  <c r="AB94" i="15"/>
  <c r="AA94" i="15"/>
  <c r="J94" i="15"/>
  <c r="AV93" i="15"/>
  <c r="AS93" i="15"/>
  <c r="AB93" i="15"/>
  <c r="AA93" i="15"/>
  <c r="J93" i="15"/>
  <c r="AV92" i="15"/>
  <c r="AS92" i="15"/>
  <c r="AT92" i="15" s="1"/>
  <c r="AB92" i="15"/>
  <c r="AC92" i="15" s="1"/>
  <c r="J92" i="15"/>
  <c r="AV91" i="15"/>
  <c r="AS91" i="15"/>
  <c r="AT91" i="15" s="1"/>
  <c r="AB91" i="15"/>
  <c r="AC91" i="15" s="1"/>
  <c r="J91" i="15"/>
  <c r="AV90" i="15"/>
  <c r="AS90" i="15"/>
  <c r="AT90" i="15" s="1"/>
  <c r="AB90" i="15"/>
  <c r="AC90" i="15" s="1"/>
  <c r="J90" i="15"/>
  <c r="AV89" i="15"/>
  <c r="AS89" i="15"/>
  <c r="AT89" i="15" s="1"/>
  <c r="AB89" i="15"/>
  <c r="AC89" i="15" s="1"/>
  <c r="J89" i="15"/>
  <c r="AV88" i="15"/>
  <c r="AS88" i="15"/>
  <c r="AT88" i="15" s="1"/>
  <c r="AB88" i="15"/>
  <c r="AC88" i="15" s="1"/>
  <c r="J88" i="15"/>
  <c r="AV87" i="15"/>
  <c r="AS87" i="15"/>
  <c r="AT87" i="15" s="1"/>
  <c r="AB87" i="15"/>
  <c r="AC87" i="15" s="1"/>
  <c r="J87" i="15"/>
  <c r="AV86" i="15"/>
  <c r="AS86" i="15"/>
  <c r="AB86" i="15"/>
  <c r="AA86" i="15"/>
  <c r="J86" i="15"/>
  <c r="AV85" i="15"/>
  <c r="AS85" i="15"/>
  <c r="AB85" i="15"/>
  <c r="AA85" i="15"/>
  <c r="J85" i="15"/>
  <c r="AV84" i="15"/>
  <c r="AS84" i="15"/>
  <c r="AB84" i="15"/>
  <c r="AA84" i="15"/>
  <c r="J84" i="15"/>
  <c r="AV83" i="15"/>
  <c r="AS83" i="15"/>
  <c r="AB83" i="15"/>
  <c r="AA83" i="15"/>
  <c r="J83" i="15"/>
  <c r="AV82" i="15"/>
  <c r="AS82" i="15"/>
  <c r="AB82" i="15"/>
  <c r="AA82" i="15"/>
  <c r="J82" i="15"/>
  <c r="AV81" i="15"/>
  <c r="AS81" i="15"/>
  <c r="AB81" i="15"/>
  <c r="AA81" i="15"/>
  <c r="J81" i="15"/>
  <c r="AV80" i="15"/>
  <c r="AS80" i="15"/>
  <c r="AB80" i="15"/>
  <c r="AA80" i="15"/>
  <c r="J80" i="15"/>
  <c r="AV79" i="15"/>
  <c r="AS79" i="15"/>
  <c r="AB79" i="15"/>
  <c r="AA79" i="15"/>
  <c r="J79" i="15"/>
  <c r="AV78" i="15"/>
  <c r="AS78" i="15"/>
  <c r="AB78" i="15"/>
  <c r="AA78" i="15"/>
  <c r="AV77" i="15"/>
  <c r="AS77" i="15"/>
  <c r="AB77" i="15"/>
  <c r="AA77" i="15"/>
  <c r="J77" i="15"/>
  <c r="AV76" i="15"/>
  <c r="AS76" i="15"/>
  <c r="AB76" i="15"/>
  <c r="AA76" i="15"/>
  <c r="J76" i="15"/>
  <c r="AV75" i="15"/>
  <c r="AS75" i="15"/>
  <c r="AB75" i="15"/>
  <c r="AA75" i="15"/>
  <c r="J75" i="15"/>
  <c r="AV74" i="15"/>
  <c r="AS74" i="15"/>
  <c r="AB74" i="15"/>
  <c r="AA74" i="15"/>
  <c r="J74" i="15"/>
  <c r="AV73" i="15"/>
  <c r="AS73" i="15"/>
  <c r="AB73" i="15"/>
  <c r="T73" i="15"/>
  <c r="AA73" i="15" s="1"/>
  <c r="J73" i="15"/>
  <c r="AS72" i="15"/>
  <c r="AB72" i="15"/>
  <c r="T72" i="15"/>
  <c r="AA72" i="15" s="1"/>
  <c r="H72" i="15"/>
  <c r="J72" i="15" s="1"/>
  <c r="AS71" i="15"/>
  <c r="AB71" i="15"/>
  <c r="T71" i="15"/>
  <c r="AA71" i="15" s="1"/>
  <c r="H71" i="15"/>
  <c r="AV71" i="15" s="1"/>
  <c r="AS70" i="15"/>
  <c r="AB70" i="15"/>
  <c r="W70" i="15"/>
  <c r="T70" i="15" s="1"/>
  <c r="AA70" i="15" s="1"/>
  <c r="H70" i="15"/>
  <c r="J70" i="15" s="1"/>
  <c r="AS69" i="15"/>
  <c r="AB69" i="15"/>
  <c r="T69" i="15"/>
  <c r="AA69" i="15" s="1"/>
  <c r="H69" i="15"/>
  <c r="AV69" i="15" s="1"/>
  <c r="AS68" i="15"/>
  <c r="AB68" i="15"/>
  <c r="T68" i="15"/>
  <c r="AA68" i="15" s="1"/>
  <c r="H68" i="15"/>
  <c r="AV68" i="15" s="1"/>
  <c r="AS67" i="15"/>
  <c r="AB67" i="15"/>
  <c r="T67" i="15"/>
  <c r="AA67" i="15" s="1"/>
  <c r="H67" i="15"/>
  <c r="AV67" i="15" s="1"/>
  <c r="AV66" i="15"/>
  <c r="AS66" i="15"/>
  <c r="AB66" i="15"/>
  <c r="AA66" i="15"/>
  <c r="J66" i="15"/>
  <c r="AV65" i="15"/>
  <c r="AS65" i="15"/>
  <c r="AB65" i="15"/>
  <c r="AA65" i="15"/>
  <c r="J65" i="15"/>
  <c r="AV64" i="15"/>
  <c r="AS64" i="15"/>
  <c r="AB64" i="15"/>
  <c r="T64" i="15"/>
  <c r="AA64" i="15" s="1"/>
  <c r="J64" i="15"/>
  <c r="AV63" i="15"/>
  <c r="AS63" i="15"/>
  <c r="AB63" i="15"/>
  <c r="AA63" i="15"/>
  <c r="J63" i="15"/>
  <c r="AV62" i="15"/>
  <c r="AS62" i="15"/>
  <c r="AB62" i="15"/>
  <c r="AA62" i="15"/>
  <c r="J62" i="15"/>
  <c r="AV61" i="15"/>
  <c r="AS61" i="15"/>
  <c r="AB61" i="15"/>
  <c r="AA61" i="15"/>
  <c r="J61" i="15"/>
  <c r="AV60" i="15"/>
  <c r="AS60" i="15"/>
  <c r="AB60" i="15"/>
  <c r="AA60" i="15"/>
  <c r="J60" i="15"/>
  <c r="AV59" i="15"/>
  <c r="AS59" i="15"/>
  <c r="AB59" i="15"/>
  <c r="AA59" i="15"/>
  <c r="J59" i="15"/>
  <c r="AS58" i="15"/>
  <c r="AB58" i="15"/>
  <c r="AA58" i="15"/>
  <c r="H58" i="15"/>
  <c r="J58" i="15" s="1"/>
  <c r="AS57" i="15"/>
  <c r="AB57" i="15"/>
  <c r="W57" i="15"/>
  <c r="T57" i="15" s="1"/>
  <c r="AA57" i="15" s="1"/>
  <c r="H57" i="15"/>
  <c r="AV57" i="15" s="1"/>
  <c r="AS56" i="15"/>
  <c r="AB56" i="15"/>
  <c r="W56" i="15"/>
  <c r="T56" i="15" s="1"/>
  <c r="AA56" i="15" s="1"/>
  <c r="H56" i="15"/>
  <c r="AV56" i="15" s="1"/>
  <c r="AS55" i="15"/>
  <c r="AB55" i="15"/>
  <c r="W55" i="15"/>
  <c r="T55" i="15" s="1"/>
  <c r="AA55" i="15" s="1"/>
  <c r="H55" i="15"/>
  <c r="J55" i="15" s="1"/>
  <c r="AS54" i="15"/>
  <c r="AB54" i="15"/>
  <c r="T54" i="15"/>
  <c r="AA54" i="15" s="1"/>
  <c r="H54" i="15"/>
  <c r="J54" i="15" s="1"/>
  <c r="AS53" i="15"/>
  <c r="AB53" i="15"/>
  <c r="T53" i="15"/>
  <c r="AA53" i="15" s="1"/>
  <c r="H53" i="15"/>
  <c r="J53" i="15" s="1"/>
  <c r="AS52" i="15"/>
  <c r="AB52" i="15"/>
  <c r="W52" i="15"/>
  <c r="T52" i="15" s="1"/>
  <c r="AA52" i="15" s="1"/>
  <c r="H52" i="15"/>
  <c r="J52" i="15" s="1"/>
  <c r="AS51" i="15"/>
  <c r="AB51" i="15"/>
  <c r="T51" i="15"/>
  <c r="AA51" i="15" s="1"/>
  <c r="H51" i="15"/>
  <c r="AV51" i="15" s="1"/>
  <c r="AS50" i="15"/>
  <c r="AB50" i="15"/>
  <c r="T50" i="15"/>
  <c r="AA50" i="15" s="1"/>
  <c r="H50" i="15"/>
  <c r="AV50" i="15" s="1"/>
  <c r="AS49" i="15"/>
  <c r="AB49" i="15"/>
  <c r="W49" i="15"/>
  <c r="T49" i="15" s="1"/>
  <c r="AA49" i="15" s="1"/>
  <c r="H49" i="15"/>
  <c r="J49" i="15" s="1"/>
  <c r="AV48" i="15"/>
  <c r="AS48" i="15"/>
  <c r="AB48" i="15"/>
  <c r="T48" i="15"/>
  <c r="AA48" i="15" s="1"/>
  <c r="AS47" i="15"/>
  <c r="AB47" i="15"/>
  <c r="T47" i="15"/>
  <c r="AA47" i="15" s="1"/>
  <c r="H47" i="15"/>
  <c r="J47" i="15" s="1"/>
  <c r="AS46" i="15"/>
  <c r="AB46" i="15"/>
  <c r="AA46" i="15"/>
  <c r="H46" i="15"/>
  <c r="AV46" i="15" s="1"/>
  <c r="AS45" i="15"/>
  <c r="AB45" i="15"/>
  <c r="T45" i="15"/>
  <c r="AA45" i="15" s="1"/>
  <c r="H45" i="15"/>
  <c r="AV45" i="15" s="1"/>
  <c r="AV44" i="15"/>
  <c r="AS44" i="15"/>
  <c r="AT44" i="15" s="1"/>
  <c r="AB44" i="15"/>
  <c r="T44" i="15"/>
  <c r="J44" i="15"/>
  <c r="AS43" i="15"/>
  <c r="AB43" i="15"/>
  <c r="T43" i="15"/>
  <c r="AA43" i="15" s="1"/>
  <c r="H43" i="15"/>
  <c r="AV43" i="15" s="1"/>
  <c r="AS42" i="15"/>
  <c r="AB42" i="15"/>
  <c r="T42" i="15"/>
  <c r="AA42" i="15" s="1"/>
  <c r="H42" i="15"/>
  <c r="AV42" i="15" s="1"/>
  <c r="AS41" i="15"/>
  <c r="AB41" i="15"/>
  <c r="T41" i="15"/>
  <c r="AA41" i="15" s="1"/>
  <c r="H41" i="15"/>
  <c r="AV41" i="15" s="1"/>
  <c r="AS40" i="15"/>
  <c r="AB40" i="15"/>
  <c r="T40" i="15"/>
  <c r="AA40" i="15" s="1"/>
  <c r="H40" i="15"/>
  <c r="J40" i="15" s="1"/>
  <c r="AS39" i="15"/>
  <c r="AB39" i="15"/>
  <c r="AA39" i="15"/>
  <c r="H39" i="15"/>
  <c r="AV39" i="15" s="1"/>
  <c r="AV38" i="15"/>
  <c r="AS38" i="15"/>
  <c r="AB38" i="15"/>
  <c r="AA38" i="15"/>
  <c r="J38" i="15"/>
  <c r="AV37" i="15"/>
  <c r="AS37" i="15"/>
  <c r="AB37" i="15"/>
  <c r="AA37" i="15"/>
  <c r="J37" i="15"/>
  <c r="AV36" i="15"/>
  <c r="AS36" i="15"/>
  <c r="AB36" i="15"/>
  <c r="AA36" i="15"/>
  <c r="J36" i="15"/>
  <c r="AS35" i="15"/>
  <c r="AC35" i="15"/>
  <c r="AB35" i="15"/>
  <c r="AA35" i="15"/>
  <c r="H35" i="15"/>
  <c r="AV35" i="15" s="1"/>
  <c r="AV34" i="15"/>
  <c r="AS34" i="15"/>
  <c r="AT34" i="15" s="1"/>
  <c r="AB34" i="15"/>
  <c r="T34" i="15"/>
  <c r="J34" i="15"/>
  <c r="AV33" i="15"/>
  <c r="AS33" i="15"/>
  <c r="AB33" i="15"/>
  <c r="AA33" i="15"/>
  <c r="J33" i="15"/>
  <c r="AS32" i="15"/>
  <c r="AB32" i="15"/>
  <c r="T32" i="15"/>
  <c r="AA32" i="15" s="1"/>
  <c r="H32" i="15"/>
  <c r="AV32" i="15" s="1"/>
  <c r="AS31" i="15"/>
  <c r="AB31" i="15"/>
  <c r="AA31" i="15"/>
  <c r="H31" i="15"/>
  <c r="J31" i="15" s="1"/>
  <c r="AS30" i="15"/>
  <c r="AB30" i="15"/>
  <c r="T30" i="15"/>
  <c r="AA30" i="15" s="1"/>
  <c r="H30" i="15"/>
  <c r="J30" i="15" s="1"/>
  <c r="AV29" i="15"/>
  <c r="AS29" i="15"/>
  <c r="AA29" i="15"/>
  <c r="AC29" i="15" s="1"/>
  <c r="J29" i="15"/>
  <c r="AV28" i="15"/>
  <c r="AS28" i="15"/>
  <c r="AB28" i="15"/>
  <c r="AA28" i="15"/>
  <c r="J28" i="15"/>
  <c r="AV27" i="15"/>
  <c r="AS27" i="15"/>
  <c r="AB27" i="15"/>
  <c r="AA27" i="15"/>
  <c r="J27" i="15"/>
  <c r="AV26" i="15"/>
  <c r="AS26" i="15"/>
  <c r="AB26" i="15"/>
  <c r="AA26" i="15"/>
  <c r="J26" i="15"/>
  <c r="AV25" i="15"/>
  <c r="AS25" i="15"/>
  <c r="AB25" i="15"/>
  <c r="AA25" i="15"/>
  <c r="J25" i="15"/>
  <c r="G25" i="15"/>
  <c r="AV24" i="15"/>
  <c r="AS24" i="15"/>
  <c r="AT24" i="15" s="1"/>
  <c r="AB24" i="15"/>
  <c r="AC24" i="15" s="1"/>
  <c r="T24" i="15"/>
  <c r="J24" i="15"/>
  <c r="AV23" i="15"/>
  <c r="AS23" i="15"/>
  <c r="AB23" i="15"/>
  <c r="AA23" i="15"/>
  <c r="J23" i="15"/>
  <c r="AV22" i="15"/>
  <c r="AS22" i="15"/>
  <c r="AB22" i="15"/>
  <c r="AA22" i="15"/>
  <c r="J22" i="15"/>
  <c r="AV21" i="15"/>
  <c r="AS21" i="15"/>
  <c r="AB21" i="15"/>
  <c r="AA21" i="15"/>
  <c r="J21" i="15"/>
  <c r="AV20" i="15"/>
  <c r="AS20" i="15"/>
  <c r="AB20" i="15"/>
  <c r="AA20" i="15"/>
  <c r="J20" i="15"/>
  <c r="AV19" i="15"/>
  <c r="AS19" i="15"/>
  <c r="AB19" i="15"/>
  <c r="AA19" i="15"/>
  <c r="J19" i="15"/>
  <c r="AV18" i="15"/>
  <c r="AS18" i="15"/>
  <c r="AB18" i="15"/>
  <c r="AA18" i="15"/>
  <c r="J18" i="15"/>
  <c r="AV17" i="15"/>
  <c r="AS17" i="15"/>
  <c r="AB17" i="15"/>
  <c r="AA17" i="15"/>
  <c r="J17" i="15"/>
  <c r="AV16" i="15"/>
  <c r="AS16" i="15"/>
  <c r="AB16" i="15"/>
  <c r="AA16" i="15"/>
  <c r="J16" i="15"/>
  <c r="G16" i="15"/>
  <c r="AV15" i="15"/>
  <c r="AS15" i="15"/>
  <c r="AB15" i="15"/>
  <c r="AA15" i="15"/>
  <c r="J15" i="15"/>
  <c r="G15" i="15"/>
  <c r="AV14" i="15"/>
  <c r="AS14" i="15"/>
  <c r="AB14" i="15"/>
  <c r="AA14" i="15"/>
  <c r="J14" i="15"/>
  <c r="G14" i="15"/>
  <c r="AV13" i="15"/>
  <c r="AS13" i="15"/>
  <c r="AB13" i="15"/>
  <c r="AA13" i="15"/>
  <c r="J13" i="15"/>
  <c r="AV12" i="15"/>
  <c r="AS12" i="15"/>
  <c r="AA12" i="15"/>
  <c r="J12" i="15"/>
  <c r="G12" i="15"/>
  <c r="AV11" i="15"/>
  <c r="AS11" i="15"/>
  <c r="AB11" i="15"/>
  <c r="AA11" i="15"/>
  <c r="J11" i="15"/>
  <c r="G11" i="15"/>
  <c r="AV10" i="15"/>
  <c r="AS10" i="15"/>
  <c r="AB10" i="15"/>
  <c r="T10" i="15"/>
  <c r="AA10" i="15" s="1"/>
  <c r="J10" i="15"/>
  <c r="G10" i="15"/>
  <c r="AV9" i="15"/>
  <c r="AS9" i="15"/>
  <c r="AB9" i="15"/>
  <c r="AA9" i="15"/>
  <c r="J9" i="15"/>
  <c r="G9" i="15"/>
  <c r="AV8" i="15"/>
  <c r="AS8" i="15"/>
  <c r="AB8" i="15"/>
  <c r="AA8" i="15"/>
  <c r="J8" i="15"/>
  <c r="G8" i="15"/>
  <c r="AV7" i="15"/>
  <c r="AS7" i="15"/>
  <c r="AB7" i="15"/>
  <c r="AA7" i="15"/>
  <c r="J7" i="15"/>
  <c r="G7" i="15"/>
  <c r="AV6" i="15"/>
  <c r="AS6" i="15"/>
  <c r="AB6" i="15"/>
  <c r="AA6" i="15"/>
  <c r="J6" i="15"/>
  <c r="G6" i="15"/>
  <c r="AV5" i="15"/>
  <c r="AS5" i="15"/>
  <c r="AB5" i="15"/>
  <c r="AA5" i="15"/>
  <c r="J5" i="15"/>
  <c r="G5" i="15"/>
  <c r="AV4" i="15"/>
  <c r="AS4" i="15"/>
  <c r="AB4" i="15"/>
  <c r="AA4" i="15"/>
  <c r="J4" i="15"/>
  <c r="G4" i="15"/>
  <c r="AV3" i="15"/>
  <c r="AS3" i="15"/>
  <c r="AB3" i="15"/>
  <c r="AA3" i="15"/>
  <c r="J3" i="15"/>
  <c r="G3" i="15"/>
  <c r="AV2" i="15"/>
  <c r="AS2" i="15"/>
  <c r="AB2" i="15"/>
  <c r="AA2" i="15"/>
  <c r="J2" i="15"/>
  <c r="G2" i="15"/>
  <c r="AT105" i="15" l="1"/>
  <c r="AU105" i="15" s="1"/>
  <c r="AW105" i="15" s="1"/>
  <c r="AX105" i="15" s="1"/>
  <c r="BA105" i="15" s="1"/>
  <c r="AT12" i="15"/>
  <c r="AU12" i="15" s="1"/>
  <c r="AW12" i="15" s="1"/>
  <c r="AX12" i="15" s="1"/>
  <c r="BA12" i="15" s="1"/>
  <c r="AT104" i="15"/>
  <c r="AU104" i="15" s="1"/>
  <c r="AW104" i="15" s="1"/>
  <c r="AX104" i="15" s="1"/>
  <c r="BA104" i="15" s="1"/>
  <c r="AT54" i="15"/>
  <c r="AU54" i="15" s="1"/>
  <c r="AT83" i="15"/>
  <c r="AU83" i="15" s="1"/>
  <c r="AW83" i="15" s="1"/>
  <c r="AX83" i="15" s="1"/>
  <c r="BA83" i="15" s="1"/>
  <c r="AT110" i="15"/>
  <c r="AU110" i="15" s="1"/>
  <c r="AW110" i="15" s="1"/>
  <c r="AX110" i="15" s="1"/>
  <c r="BA110" i="15" s="1"/>
  <c r="AT30" i="15"/>
  <c r="AU30" i="15" s="1"/>
  <c r="AT107" i="15"/>
  <c r="AU107" i="15" s="1"/>
  <c r="AW107" i="15" s="1"/>
  <c r="AX107" i="15" s="1"/>
  <c r="BA107" i="15" s="1"/>
  <c r="AT18" i="15"/>
  <c r="AU18" i="15" s="1"/>
  <c r="AW18" i="15" s="1"/>
  <c r="AX18" i="15" s="1"/>
  <c r="BA18" i="15" s="1"/>
  <c r="AT103" i="15"/>
  <c r="AU103" i="15" s="1"/>
  <c r="AW103" i="15" s="1"/>
  <c r="AX103" i="15" s="1"/>
  <c r="BA103" i="15" s="1"/>
  <c r="AT52" i="15"/>
  <c r="AU52" i="15" s="1"/>
  <c r="AC3" i="15"/>
  <c r="AT42" i="15"/>
  <c r="AT71" i="15"/>
  <c r="AT3" i="15"/>
  <c r="AU3" i="15" s="1"/>
  <c r="AW3" i="15" s="1"/>
  <c r="AX3" i="15" s="1"/>
  <c r="BA3" i="15" s="1"/>
  <c r="AT32" i="15"/>
  <c r="AT75" i="15"/>
  <c r="AU75" i="15" s="1"/>
  <c r="AW75" i="15" s="1"/>
  <c r="AX75" i="15" s="1"/>
  <c r="BA75" i="15" s="1"/>
  <c r="AT19" i="15"/>
  <c r="AU19" i="15" s="1"/>
  <c r="AW19" i="15" s="1"/>
  <c r="AX19" i="15" s="1"/>
  <c r="BA19" i="15" s="1"/>
  <c r="AT65" i="15"/>
  <c r="AU65" i="15" s="1"/>
  <c r="AW65" i="15" s="1"/>
  <c r="AX65" i="15" s="1"/>
  <c r="BA65" i="15" s="1"/>
  <c r="AT96" i="15"/>
  <c r="AU96" i="15" s="1"/>
  <c r="AW96" i="15" s="1"/>
  <c r="AX96" i="15" s="1"/>
  <c r="BA96" i="15" s="1"/>
  <c r="AC106" i="15"/>
  <c r="AC20" i="15"/>
  <c r="AC63" i="15"/>
  <c r="AT31" i="15"/>
  <c r="AU31" i="15" s="1"/>
  <c r="AT101" i="15"/>
  <c r="AU101" i="15" s="1"/>
  <c r="AW101" i="15" s="1"/>
  <c r="AX101" i="15" s="1"/>
  <c r="BA101" i="15" s="1"/>
  <c r="AC81" i="15"/>
  <c r="AT78" i="15"/>
  <c r="AU78" i="15" s="1"/>
  <c r="AW78" i="15" s="1"/>
  <c r="AX78" i="15" s="1"/>
  <c r="BA78" i="15" s="1"/>
  <c r="AT61" i="15"/>
  <c r="AU61" i="15" s="1"/>
  <c r="AW61" i="15" s="1"/>
  <c r="AX61" i="15" s="1"/>
  <c r="BA61" i="15" s="1"/>
  <c r="AC99" i="15"/>
  <c r="AT17" i="15"/>
  <c r="AU17" i="15" s="1"/>
  <c r="AW17" i="15" s="1"/>
  <c r="AX17" i="15" s="1"/>
  <c r="BA17" i="15" s="1"/>
  <c r="AT48" i="15"/>
  <c r="AU48" i="15" s="1"/>
  <c r="AW48" i="15" s="1"/>
  <c r="AX48" i="15" s="1"/>
  <c r="BA48" i="15" s="1"/>
  <c r="AT73" i="15"/>
  <c r="AU73" i="15" s="1"/>
  <c r="AW73" i="15" s="1"/>
  <c r="AX73" i="15" s="1"/>
  <c r="BA73" i="15" s="1"/>
  <c r="AT41" i="15"/>
  <c r="AT70" i="15"/>
  <c r="AU70" i="15" s="1"/>
  <c r="AC100" i="15"/>
  <c r="AC94" i="15"/>
  <c r="AC84" i="15"/>
  <c r="AT2" i="15"/>
  <c r="AU2" i="15" s="1"/>
  <c r="AW2" i="15" s="1"/>
  <c r="AX2" i="15" s="1"/>
  <c r="BA2" i="15" s="1"/>
  <c r="AT10" i="15"/>
  <c r="AU10" i="15" s="1"/>
  <c r="AW10" i="15" s="1"/>
  <c r="AX10" i="15" s="1"/>
  <c r="BA10" i="15" s="1"/>
  <c r="AT84" i="15"/>
  <c r="AU84" i="15" s="1"/>
  <c r="AW84" i="15" s="1"/>
  <c r="AX84" i="15" s="1"/>
  <c r="BA84" i="15" s="1"/>
  <c r="AC15" i="15"/>
  <c r="AC28" i="15"/>
  <c r="AC25" i="15"/>
  <c r="AT68" i="15"/>
  <c r="AC75" i="15"/>
  <c r="AC82" i="15"/>
  <c r="AT40" i="15"/>
  <c r="AU40" i="15" s="1"/>
  <c r="AT69" i="15"/>
  <c r="AT76" i="15"/>
  <c r="AU76" i="15" s="1"/>
  <c r="AW76" i="15" s="1"/>
  <c r="AX76" i="15" s="1"/>
  <c r="BA76" i="15" s="1"/>
  <c r="AT99" i="15"/>
  <c r="AU99" i="15" s="1"/>
  <c r="AW99" i="15" s="1"/>
  <c r="AX99" i="15" s="1"/>
  <c r="BA99" i="15" s="1"/>
  <c r="AU24" i="15"/>
  <c r="AW24" i="15" s="1"/>
  <c r="AX24" i="15" s="1"/>
  <c r="BA24" i="15" s="1"/>
  <c r="J71" i="15"/>
  <c r="AV54" i="15"/>
  <c r="AC103" i="15"/>
  <c r="AC9" i="15"/>
  <c r="AT58" i="15"/>
  <c r="AU58" i="15" s="1"/>
  <c r="J68" i="15"/>
  <c r="AT100" i="15"/>
  <c r="AU100" i="15" s="1"/>
  <c r="AW100" i="15" s="1"/>
  <c r="AX100" i="15" s="1"/>
  <c r="BA100" i="15" s="1"/>
  <c r="AC27" i="15"/>
  <c r="AV30" i="15"/>
  <c r="AU87" i="15"/>
  <c r="AW87" i="15" s="1"/>
  <c r="AX87" i="15" s="1"/>
  <c r="BA87" i="15" s="1"/>
  <c r="AC62" i="15"/>
  <c r="AT37" i="15"/>
  <c r="AU37" i="15" s="1"/>
  <c r="AW37" i="15" s="1"/>
  <c r="AX37" i="15" s="1"/>
  <c r="BA37" i="15" s="1"/>
  <c r="AC7" i="15"/>
  <c r="AT7" i="15"/>
  <c r="AU7" i="15" s="1"/>
  <c r="AW7" i="15" s="1"/>
  <c r="AX7" i="15" s="1"/>
  <c r="BA7" i="15" s="1"/>
  <c r="AT15" i="15"/>
  <c r="AU15" i="15" s="1"/>
  <c r="AW15" i="15" s="1"/>
  <c r="AX15" i="15" s="1"/>
  <c r="BA15" i="15" s="1"/>
  <c r="AV52" i="15"/>
  <c r="AC59" i="15"/>
  <c r="AC98" i="15"/>
  <c r="AC101" i="15"/>
  <c r="AC4" i="15"/>
  <c r="AC21" i="15"/>
  <c r="AT13" i="15"/>
  <c r="AU13" i="15" s="1"/>
  <c r="AW13" i="15" s="1"/>
  <c r="AX13" i="15" s="1"/>
  <c r="BA13" i="15" s="1"/>
  <c r="AV72" i="15"/>
  <c r="AT82" i="15"/>
  <c r="AU82" i="15" s="1"/>
  <c r="AW82" i="15" s="1"/>
  <c r="AX82" i="15" s="1"/>
  <c r="BA82" i="15" s="1"/>
  <c r="AC85" i="15"/>
  <c r="AT111" i="15"/>
  <c r="AU111" i="15" s="1"/>
  <c r="AW111" i="15" s="1"/>
  <c r="AX111" i="15" s="1"/>
  <c r="BA111" i="15" s="1"/>
  <c r="AT27" i="15"/>
  <c r="AU27" i="15" s="1"/>
  <c r="AW27" i="15" s="1"/>
  <c r="AX27" i="15" s="1"/>
  <c r="BA27" i="15" s="1"/>
  <c r="AT5" i="15"/>
  <c r="AU5" i="15" s="1"/>
  <c r="AW5" i="15" s="1"/>
  <c r="AX5" i="15" s="1"/>
  <c r="BA5" i="15" s="1"/>
  <c r="AT25" i="15"/>
  <c r="AU25" i="15" s="1"/>
  <c r="AW25" i="15" s="1"/>
  <c r="AX25" i="15" s="1"/>
  <c r="BA25" i="15" s="1"/>
  <c r="AT35" i="15"/>
  <c r="AT66" i="15"/>
  <c r="AU66" i="15" s="1"/>
  <c r="AW66" i="15" s="1"/>
  <c r="AX66" i="15" s="1"/>
  <c r="BA66" i="15" s="1"/>
  <c r="AT79" i="15"/>
  <c r="AU79" i="15" s="1"/>
  <c r="AW79" i="15" s="1"/>
  <c r="AX79" i="15" s="1"/>
  <c r="BA79" i="15" s="1"/>
  <c r="AT108" i="15"/>
  <c r="AU108" i="15" s="1"/>
  <c r="AW108" i="15" s="1"/>
  <c r="AX108" i="15" s="1"/>
  <c r="BA108" i="15" s="1"/>
  <c r="AC22" i="15"/>
  <c r="AT16" i="15"/>
  <c r="AU16" i="15" s="1"/>
  <c r="AW16" i="15" s="1"/>
  <c r="AX16" i="15" s="1"/>
  <c r="BA16" i="15" s="1"/>
  <c r="AT46" i="15"/>
  <c r="AT60" i="15"/>
  <c r="AU60" i="15" s="1"/>
  <c r="AW60" i="15" s="1"/>
  <c r="AX60" i="15" s="1"/>
  <c r="BA60" i="15" s="1"/>
  <c r="AC8" i="15"/>
  <c r="J57" i="15"/>
  <c r="AC60" i="15"/>
  <c r="AT63" i="15"/>
  <c r="AU63" i="15" s="1"/>
  <c r="AW63" i="15" s="1"/>
  <c r="AX63" i="15" s="1"/>
  <c r="BA63" i="15" s="1"/>
  <c r="AC102" i="15"/>
  <c r="AC11" i="15"/>
  <c r="AT14" i="15"/>
  <c r="AU14" i="15" s="1"/>
  <c r="AW14" i="15" s="1"/>
  <c r="AX14" i="15" s="1"/>
  <c r="BA14" i="15" s="1"/>
  <c r="AT26" i="15"/>
  <c r="AU26" i="15" s="1"/>
  <c r="AW26" i="15" s="1"/>
  <c r="AX26" i="15" s="1"/>
  <c r="BA26" i="15" s="1"/>
  <c r="AT80" i="15"/>
  <c r="AU80" i="15" s="1"/>
  <c r="AW80" i="15" s="1"/>
  <c r="AX80" i="15" s="1"/>
  <c r="BA80" i="15" s="1"/>
  <c r="AC86" i="15"/>
  <c r="AC93" i="15"/>
  <c r="AT109" i="15"/>
  <c r="AU109" i="15" s="1"/>
  <c r="AW109" i="15" s="1"/>
  <c r="AX109" i="15" s="1"/>
  <c r="BA109" i="15" s="1"/>
  <c r="AT6" i="15"/>
  <c r="AU6" i="15" s="1"/>
  <c r="AW6" i="15" s="1"/>
  <c r="AX6" i="15" s="1"/>
  <c r="BA6" i="15" s="1"/>
  <c r="AT20" i="15"/>
  <c r="AU20" i="15" s="1"/>
  <c r="AW20" i="15" s="1"/>
  <c r="AX20" i="15" s="1"/>
  <c r="BA20" i="15" s="1"/>
  <c r="AT64" i="15"/>
  <c r="AU64" i="15" s="1"/>
  <c r="AW64" i="15" s="1"/>
  <c r="AX64" i="15" s="1"/>
  <c r="BA64" i="15" s="1"/>
  <c r="AT74" i="15"/>
  <c r="AU74" i="15" s="1"/>
  <c r="AW74" i="15" s="1"/>
  <c r="AX74" i="15" s="1"/>
  <c r="BA74" i="15" s="1"/>
  <c r="AT77" i="15"/>
  <c r="AU77" i="15" s="1"/>
  <c r="AW77" i="15" s="1"/>
  <c r="AX77" i="15" s="1"/>
  <c r="BA77" i="15" s="1"/>
  <c r="AT106" i="15"/>
  <c r="AU106" i="15" s="1"/>
  <c r="AW106" i="15" s="1"/>
  <c r="AX106" i="15" s="1"/>
  <c r="BA106" i="15" s="1"/>
  <c r="AT72" i="15"/>
  <c r="AU72" i="15" s="1"/>
  <c r="AC72" i="15"/>
  <c r="AT45" i="15"/>
  <c r="AT22" i="15"/>
  <c r="AU22" i="15" s="1"/>
  <c r="AW22" i="15" s="1"/>
  <c r="AX22" i="15" s="1"/>
  <c r="BA22" i="15" s="1"/>
  <c r="AT36" i="15"/>
  <c r="AU36" i="15" s="1"/>
  <c r="AW36" i="15" s="1"/>
  <c r="AX36" i="15" s="1"/>
  <c r="BA36" i="15" s="1"/>
  <c r="AT39" i="15"/>
  <c r="AT94" i="15"/>
  <c r="AU94" i="15" s="1"/>
  <c r="AW94" i="15" s="1"/>
  <c r="AX94" i="15" s="1"/>
  <c r="BA94" i="15" s="1"/>
  <c r="AT97" i="15"/>
  <c r="AU97" i="15" s="1"/>
  <c r="AW97" i="15" s="1"/>
  <c r="AX97" i="15" s="1"/>
  <c r="BA97" i="15" s="1"/>
  <c r="AC109" i="15"/>
  <c r="AC16" i="15"/>
  <c r="AC64" i="15"/>
  <c r="AC58" i="15"/>
  <c r="AC70" i="15"/>
  <c r="AT4" i="15"/>
  <c r="AU4" i="15" s="1"/>
  <c r="AW4" i="15" s="1"/>
  <c r="AX4" i="15" s="1"/>
  <c r="BA4" i="15" s="1"/>
  <c r="AT9" i="15"/>
  <c r="AU9" i="15" s="1"/>
  <c r="AW9" i="15" s="1"/>
  <c r="AX9" i="15" s="1"/>
  <c r="BA9" i="15" s="1"/>
  <c r="AT23" i="15"/>
  <c r="AU23" i="15" s="1"/>
  <c r="AW23" i="15" s="1"/>
  <c r="AX23" i="15" s="1"/>
  <c r="BA23" i="15" s="1"/>
  <c r="AT43" i="15"/>
  <c r="AV49" i="15"/>
  <c r="AT53" i="15"/>
  <c r="AU53" i="15" s="1"/>
  <c r="AV55" i="15"/>
  <c r="AT95" i="15"/>
  <c r="AU95" i="15" s="1"/>
  <c r="AW95" i="15" s="1"/>
  <c r="AX95" i="15" s="1"/>
  <c r="BA95" i="15" s="1"/>
  <c r="AT98" i="15"/>
  <c r="AU98" i="15" s="1"/>
  <c r="AW98" i="15" s="1"/>
  <c r="AX98" i="15" s="1"/>
  <c r="BA98" i="15" s="1"/>
  <c r="AC6" i="15"/>
  <c r="AC61" i="15"/>
  <c r="AT28" i="15"/>
  <c r="AU28" i="15" s="1"/>
  <c r="AW28" i="15" s="1"/>
  <c r="AX28" i="15" s="1"/>
  <c r="BA28" i="15" s="1"/>
  <c r="AU88" i="15"/>
  <c r="AW88" i="15" s="1"/>
  <c r="AX88" i="15" s="1"/>
  <c r="BA88" i="15" s="1"/>
  <c r="AC14" i="15"/>
  <c r="AV31" i="15"/>
  <c r="AT85" i="15"/>
  <c r="AU85" i="15" s="1"/>
  <c r="AW85" i="15" s="1"/>
  <c r="AX85" i="15" s="1"/>
  <c r="BA85" i="15" s="1"/>
  <c r="AC19" i="15"/>
  <c r="AC17" i="15"/>
  <c r="AV53" i="15"/>
  <c r="AT59" i="15"/>
  <c r="AU59" i="15" s="1"/>
  <c r="AW59" i="15" s="1"/>
  <c r="AX59" i="15" s="1"/>
  <c r="BA59" i="15" s="1"/>
  <c r="AU92" i="15"/>
  <c r="AW92" i="15" s="1"/>
  <c r="AX92" i="15" s="1"/>
  <c r="BA92" i="15" s="1"/>
  <c r="AC104" i="15"/>
  <c r="AC110" i="15"/>
  <c r="AU34" i="15"/>
  <c r="AW34" i="15" s="1"/>
  <c r="AX34" i="15" s="1"/>
  <c r="BA34" i="15" s="1"/>
  <c r="AC26" i="15"/>
  <c r="AC65" i="15"/>
  <c r="AC80" i="15"/>
  <c r="AC107" i="15"/>
  <c r="AC2" i="15"/>
  <c r="AV40" i="15"/>
  <c r="AC68" i="15"/>
  <c r="J41" i="15"/>
  <c r="AV47" i="15"/>
  <c r="AT62" i="15"/>
  <c r="AU62" i="15" s="1"/>
  <c r="AW62" i="15" s="1"/>
  <c r="AX62" i="15" s="1"/>
  <c r="BA62" i="15" s="1"/>
  <c r="AC77" i="15"/>
  <c r="AC83" i="15"/>
  <c r="AT86" i="15"/>
  <c r="AU86" i="15" s="1"/>
  <c r="AW86" i="15" s="1"/>
  <c r="AX86" i="15" s="1"/>
  <c r="BA86" i="15" s="1"/>
  <c r="AU89" i="15"/>
  <c r="AW89" i="15" s="1"/>
  <c r="AX89" i="15" s="1"/>
  <c r="BA89" i="15" s="1"/>
  <c r="AT21" i="15"/>
  <c r="AU21" i="15" s="1"/>
  <c r="AW21" i="15" s="1"/>
  <c r="AX21" i="15" s="1"/>
  <c r="BA21" i="15" s="1"/>
  <c r="AT38" i="15"/>
  <c r="AU38" i="15" s="1"/>
  <c r="AW38" i="15" s="1"/>
  <c r="AX38" i="15" s="1"/>
  <c r="BA38" i="15" s="1"/>
  <c r="AU44" i="15"/>
  <c r="AW44" i="15" s="1"/>
  <c r="AX44" i="15" s="1"/>
  <c r="BA44" i="15" s="1"/>
  <c r="AT51" i="15"/>
  <c r="J69" i="15"/>
  <c r="AT93" i="15"/>
  <c r="AU93" i="15" s="1"/>
  <c r="AW93" i="15" s="1"/>
  <c r="AX93" i="15" s="1"/>
  <c r="BA93" i="15" s="1"/>
  <c r="AC96" i="15"/>
  <c r="AC5" i="15"/>
  <c r="AC48" i="15"/>
  <c r="AC54" i="15"/>
  <c r="AT57" i="15"/>
  <c r="AC105" i="15"/>
  <c r="AC111" i="15"/>
  <c r="AC18" i="15"/>
  <c r="AC13" i="15"/>
  <c r="AC66" i="15"/>
  <c r="AC78" i="15"/>
  <c r="AT102" i="15"/>
  <c r="AU102" i="15" s="1"/>
  <c r="AW102" i="15" s="1"/>
  <c r="AX102" i="15" s="1"/>
  <c r="BA102" i="15" s="1"/>
  <c r="AC108" i="15"/>
  <c r="AU91" i="15"/>
  <c r="AW91" i="15" s="1"/>
  <c r="AX91" i="15" s="1"/>
  <c r="BA91" i="15" s="1"/>
  <c r="AT11" i="15"/>
  <c r="AU11" i="15" s="1"/>
  <c r="AW11" i="15" s="1"/>
  <c r="AX11" i="15" s="1"/>
  <c r="BA11" i="15" s="1"/>
  <c r="AT8" i="15"/>
  <c r="AU8" i="15" s="1"/>
  <c r="AW8" i="15" s="1"/>
  <c r="AX8" i="15" s="1"/>
  <c r="BA8" i="15" s="1"/>
  <c r="AC30" i="15"/>
  <c r="AT33" i="15"/>
  <c r="AU33" i="15" s="1"/>
  <c r="AW33" i="15" s="1"/>
  <c r="AX33" i="15" s="1"/>
  <c r="BA33" i="15" s="1"/>
  <c r="AC57" i="15"/>
  <c r="AT81" i="15"/>
  <c r="AU81" i="15" s="1"/>
  <c r="AW81" i="15" s="1"/>
  <c r="AX81" i="15" s="1"/>
  <c r="BA81" i="15" s="1"/>
  <c r="AU90" i="15"/>
  <c r="AW90" i="15" s="1"/>
  <c r="AX90" i="15" s="1"/>
  <c r="BA90" i="15" s="1"/>
  <c r="AC51" i="15"/>
  <c r="AC69" i="15"/>
  <c r="AC10" i="15"/>
  <c r="AC52" i="15"/>
  <c r="AT49" i="15"/>
  <c r="AU49" i="15" s="1"/>
  <c r="AC49" i="15"/>
  <c r="AC55" i="15"/>
  <c r="AT55" i="15"/>
  <c r="AU55" i="15" s="1"/>
  <c r="AT67" i="15"/>
  <c r="AC67" i="15"/>
  <c r="AC73" i="15"/>
  <c r="AC53" i="15"/>
  <c r="AC47" i="15"/>
  <c r="AT47" i="15"/>
  <c r="AU47" i="15" s="1"/>
  <c r="AT50" i="15"/>
  <c r="AC50" i="15"/>
  <c r="AT56" i="15"/>
  <c r="AC56" i="15"/>
  <c r="AC71" i="15"/>
  <c r="J39" i="15"/>
  <c r="J43" i="15"/>
  <c r="J51" i="15"/>
  <c r="AC74" i="15"/>
  <c r="AC95" i="15"/>
  <c r="J50" i="15"/>
  <c r="J42" i="15"/>
  <c r="J67" i="15"/>
  <c r="AV70" i="15"/>
  <c r="AC23" i="15"/>
  <c r="J56" i="15"/>
  <c r="AC12" i="15"/>
  <c r="J35" i="15"/>
  <c r="J46" i="15"/>
  <c r="AT29" i="15"/>
  <c r="AU29" i="15" s="1"/>
  <c r="AW29" i="15" s="1"/>
  <c r="AX29" i="15" s="1"/>
  <c r="BA29" i="15" s="1"/>
  <c r="J32" i="15"/>
  <c r="J45" i="15"/>
  <c r="AV58" i="15"/>
  <c r="AC76" i="15"/>
  <c r="AC79" i="15"/>
  <c r="AC97" i="15"/>
  <c r="AU35" i="15" l="1"/>
  <c r="AW35" i="15" s="1"/>
  <c r="AX35" i="15" s="1"/>
  <c r="BA35" i="15" s="1"/>
  <c r="AU42" i="15"/>
  <c r="AW42" i="15" s="1"/>
  <c r="AX42" i="15" s="1"/>
  <c r="BA42" i="15" s="1"/>
  <c r="AU41" i="15"/>
  <c r="AW41" i="15" s="1"/>
  <c r="AX41" i="15" s="1"/>
  <c r="BA41" i="15" s="1"/>
  <c r="AU56" i="15"/>
  <c r="AW56" i="15" s="1"/>
  <c r="AX56" i="15" s="1"/>
  <c r="BA56" i="15" s="1"/>
  <c r="AU43" i="15"/>
  <c r="AW43" i="15" s="1"/>
  <c r="AX43" i="15" s="1"/>
  <c r="BA43" i="15" s="1"/>
  <c r="AU32" i="15"/>
  <c r="AW32" i="15" s="1"/>
  <c r="AX32" i="15" s="1"/>
  <c r="BA32" i="15" s="1"/>
  <c r="AU71" i="15"/>
  <c r="AW71" i="15" s="1"/>
  <c r="AX71" i="15" s="1"/>
  <c r="BA71" i="15" s="1"/>
  <c r="AU69" i="15"/>
  <c r="AW69" i="15" s="1"/>
  <c r="AX69" i="15" s="1"/>
  <c r="BA69" i="15" s="1"/>
  <c r="AU45" i="15"/>
  <c r="AW45" i="15" s="1"/>
  <c r="AX45" i="15" s="1"/>
  <c r="BA45" i="15" s="1"/>
  <c r="AU39" i="15"/>
  <c r="AW39" i="15" s="1"/>
  <c r="AX39" i="15" s="1"/>
  <c r="BA39" i="15" s="1"/>
  <c r="AW40" i="15"/>
  <c r="AX40" i="15" s="1"/>
  <c r="BA40" i="15" s="1"/>
  <c r="AW53" i="15"/>
  <c r="AX53" i="15" s="1"/>
  <c r="BA53" i="15" s="1"/>
  <c r="AU68" i="15"/>
  <c r="AW68" i="15" s="1"/>
  <c r="AX68" i="15" s="1"/>
  <c r="BA68" i="15" s="1"/>
  <c r="AU50" i="15"/>
  <c r="AW50" i="15" s="1"/>
  <c r="AX50" i="15" s="1"/>
  <c r="BA50" i="15" s="1"/>
  <c r="AW54" i="15"/>
  <c r="AX54" i="15" s="1"/>
  <c r="BA54" i="15" s="1"/>
  <c r="AW47" i="15"/>
  <c r="AX47" i="15" s="1"/>
  <c r="BA47" i="15" s="1"/>
  <c r="AW52" i="15"/>
  <c r="AX52" i="15" s="1"/>
  <c r="BA52" i="15" s="1"/>
  <c r="AW30" i="15"/>
  <c r="AX30" i="15" s="1"/>
  <c r="BA30" i="15" s="1"/>
  <c r="AU57" i="15"/>
  <c r="AW57" i="15" s="1"/>
  <c r="AX57" i="15" s="1"/>
  <c r="BA57" i="15" s="1"/>
  <c r="AU46" i="15"/>
  <c r="AW46" i="15" s="1"/>
  <c r="AX46" i="15" s="1"/>
  <c r="BA46" i="15" s="1"/>
  <c r="AW72" i="15"/>
  <c r="AX72" i="15" s="1"/>
  <c r="BA72" i="15" s="1"/>
  <c r="AU51" i="15"/>
  <c r="AW51" i="15" s="1"/>
  <c r="AX51" i="15" s="1"/>
  <c r="BA51" i="15" s="1"/>
  <c r="AU67" i="15"/>
  <c r="AW67" i="15" s="1"/>
  <c r="AX67" i="15" s="1"/>
  <c r="BA67" i="15" s="1"/>
  <c r="AW58" i="15"/>
  <c r="AX58" i="15" s="1"/>
  <c r="BA58" i="15" s="1"/>
  <c r="AW55" i="15"/>
  <c r="AX55" i="15" s="1"/>
  <c r="BA55" i="15" s="1"/>
  <c r="AW31" i="15"/>
  <c r="AX31" i="15" s="1"/>
  <c r="BA31" i="15" s="1"/>
  <c r="AW49" i="15"/>
  <c r="AX49" i="15" s="1"/>
  <c r="BA49" i="15" s="1"/>
  <c r="AW70" i="15"/>
  <c r="AX70" i="15" s="1"/>
  <c r="BA70" i="15" s="1"/>
  <c r="K23" i="28" l="1"/>
  <c r="J3" i="28"/>
  <c r="AS193" i="15" l="1"/>
  <c r="P23" i="28" l="1"/>
  <c r="Y20" i="16"/>
  <c r="Y21" i="16"/>
  <c r="Y22" i="16"/>
  <c r="T66" i="14" l="1"/>
  <c r="M66" i="14"/>
  <c r="M65" i="14" l="1"/>
  <c r="T65" i="14" l="1"/>
  <c r="AC163" i="15" l="1"/>
  <c r="J4" i="28"/>
  <c r="F5" i="28"/>
  <c r="J5" i="28"/>
  <c r="F6" i="28"/>
  <c r="F7" i="28"/>
  <c r="J7" i="28"/>
  <c r="F8" i="28"/>
  <c r="F9" i="28"/>
  <c r="J9" i="28"/>
  <c r="F10" i="28"/>
  <c r="G10" i="28"/>
  <c r="J10" i="28"/>
  <c r="J13" i="28"/>
  <c r="K13" i="28"/>
  <c r="J14" i="28"/>
  <c r="A18" i="28"/>
  <c r="B18" i="28"/>
  <c r="C18" i="28"/>
  <c r="F4" i="28" s="1"/>
  <c r="T64" i="14"/>
  <c r="M64" i="14"/>
  <c r="T63" i="14"/>
  <c r="M63" i="14"/>
  <c r="J11" i="28" l="1"/>
  <c r="AC119" i="15"/>
  <c r="F18" i="28" l="1"/>
  <c r="F31" i="28" s="1"/>
  <c r="F35" i="28" s="1"/>
  <c r="J6" i="28"/>
  <c r="A20" i="25"/>
  <c r="D22" i="25" l="1"/>
  <c r="I13" i="25"/>
  <c r="I8" i="25"/>
  <c r="I7" i="25"/>
  <c r="C22" i="25"/>
  <c r="B22" i="25"/>
  <c r="G112" i="14"/>
  <c r="I14" i="12"/>
  <c r="I7" i="12"/>
  <c r="M62" i="14"/>
  <c r="I6" i="12" s="1"/>
  <c r="T61" i="14"/>
  <c r="T60" i="14"/>
  <c r="F7" i="12" l="1"/>
  <c r="F8" i="12"/>
  <c r="F9" i="12"/>
  <c r="F6" i="12"/>
  <c r="F5" i="12"/>
  <c r="T62" i="14"/>
  <c r="AB159" i="15" l="1"/>
  <c r="AB160" i="15"/>
  <c r="AB161" i="15"/>
  <c r="AB162" i="15"/>
  <c r="AB163" i="15"/>
  <c r="AB164" i="15"/>
  <c r="AB165" i="15"/>
  <c r="AB166" i="15"/>
  <c r="AB167" i="15"/>
  <c r="AB168" i="15"/>
  <c r="AB169" i="15"/>
  <c r="AB170" i="15"/>
  <c r="AB171" i="15"/>
  <c r="AB172" i="15"/>
  <c r="AB173" i="15"/>
  <c r="AB174" i="15"/>
  <c r="AB175" i="15"/>
  <c r="AB176" i="15"/>
  <c r="AB177" i="15"/>
  <c r="AB178" i="15"/>
  <c r="F9" i="25" l="1"/>
  <c r="C20" i="25"/>
  <c r="F8" i="25"/>
  <c r="F6" i="25"/>
  <c r="F5" i="25"/>
  <c r="F7" i="25"/>
  <c r="A22" i="25"/>
  <c r="F22" i="25"/>
  <c r="G14" i="25"/>
  <c r="F14" i="25"/>
  <c r="J10" i="25"/>
  <c r="E20" i="25"/>
  <c r="I10" i="25"/>
  <c r="I9" i="25"/>
  <c r="I5" i="25"/>
  <c r="I4" i="25"/>
  <c r="I3" i="25"/>
  <c r="E18" i="12"/>
  <c r="I13" i="12"/>
  <c r="I11" i="12"/>
  <c r="I9" i="12"/>
  <c r="I5" i="12"/>
  <c r="A18" i="12"/>
  <c r="I4" i="12"/>
  <c r="I3" i="12"/>
  <c r="F10" i="12"/>
  <c r="D18" i="12"/>
  <c r="B18" i="12"/>
  <c r="C18" i="12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I16" i="12"/>
  <c r="AV112" i="15"/>
  <c r="AV113" i="15"/>
  <c r="AV114" i="15"/>
  <c r="AV115" i="15"/>
  <c r="AV116" i="15"/>
  <c r="AV117" i="15"/>
  <c r="AV118" i="15"/>
  <c r="AV119" i="15"/>
  <c r="AV120" i="15"/>
  <c r="AV121" i="15"/>
  <c r="AV122" i="15"/>
  <c r="AV123" i="15"/>
  <c r="AV124" i="15"/>
  <c r="AV129" i="15"/>
  <c r="AV131" i="15"/>
  <c r="AV132" i="15"/>
  <c r="AV133" i="15"/>
  <c r="AV134" i="15"/>
  <c r="AV135" i="15"/>
  <c r="AV136" i="15"/>
  <c r="AV137" i="15"/>
  <c r="AV138" i="15"/>
  <c r="AV139" i="15"/>
  <c r="AV140" i="15"/>
  <c r="AV141" i="15"/>
  <c r="AV142" i="15"/>
  <c r="AV143" i="15"/>
  <c r="AV144" i="15"/>
  <c r="AV145" i="15"/>
  <c r="AV146" i="15"/>
  <c r="AV147" i="15"/>
  <c r="AV148" i="15"/>
  <c r="AV149" i="15"/>
  <c r="AV150" i="15"/>
  <c r="AV151" i="15"/>
  <c r="AV152" i="15"/>
  <c r="AV153" i="15"/>
  <c r="AV154" i="15"/>
  <c r="AV155" i="15"/>
  <c r="AV156" i="15"/>
  <c r="AV157" i="15"/>
  <c r="AV158" i="15"/>
  <c r="AV159" i="15"/>
  <c r="AV160" i="15"/>
  <c r="AV161" i="15"/>
  <c r="AV162" i="15"/>
  <c r="AV163" i="15"/>
  <c r="AV164" i="15"/>
  <c r="AV165" i="15"/>
  <c r="AV166" i="15"/>
  <c r="AV167" i="15"/>
  <c r="AV168" i="15"/>
  <c r="AV169" i="15"/>
  <c r="AV170" i="15"/>
  <c r="AV171" i="15"/>
  <c r="AV172" i="15"/>
  <c r="AV173" i="15"/>
  <c r="AV174" i="15"/>
  <c r="AV175" i="15"/>
  <c r="AV176" i="15"/>
  <c r="AV177" i="15"/>
  <c r="AV178" i="15"/>
  <c r="AV179" i="15"/>
  <c r="AV180" i="15"/>
  <c r="AV181" i="15"/>
  <c r="AV182" i="15"/>
  <c r="AV183" i="15"/>
  <c r="AV184" i="15"/>
  <c r="AV185" i="15"/>
  <c r="AV186" i="15"/>
  <c r="AV187" i="15"/>
  <c r="AV188" i="15"/>
  <c r="AV189" i="15"/>
  <c r="AV190" i="15"/>
  <c r="AV191" i="15"/>
  <c r="AV192" i="15"/>
  <c r="AV193" i="15"/>
  <c r="AV194" i="15"/>
  <c r="AV195" i="15"/>
  <c r="AV196" i="15"/>
  <c r="AV197" i="15"/>
  <c r="AV198" i="15"/>
  <c r="AV199" i="15"/>
  <c r="AV200" i="15"/>
  <c r="AV201" i="15"/>
  <c r="AV202" i="15"/>
  <c r="AV203" i="15"/>
  <c r="AV204" i="15"/>
  <c r="AV205" i="15"/>
  <c r="AV206" i="15"/>
  <c r="AV207" i="15"/>
  <c r="AV208" i="15"/>
  <c r="AV209" i="15"/>
  <c r="AV210" i="15"/>
  <c r="AV211" i="15"/>
  <c r="AV212" i="15"/>
  <c r="AV213" i="15"/>
  <c r="AV214" i="15"/>
  <c r="AV215" i="15"/>
  <c r="AV216" i="15"/>
  <c r="AV217" i="15"/>
  <c r="AV218" i="15"/>
  <c r="AV219" i="15"/>
  <c r="AV220" i="15"/>
  <c r="AV221" i="15"/>
  <c r="AV222" i="15"/>
  <c r="AV223" i="15"/>
  <c r="AV224" i="15"/>
  <c r="AV225" i="15"/>
  <c r="AV226" i="15"/>
  <c r="AV227" i="15"/>
  <c r="AV228" i="15"/>
  <c r="AV229" i="15"/>
  <c r="AV230" i="15"/>
  <c r="AV231" i="15"/>
  <c r="AV232" i="15"/>
  <c r="AV233" i="15"/>
  <c r="AV234" i="15"/>
  <c r="AV235" i="15"/>
  <c r="AV236" i="15"/>
  <c r="AV237" i="15"/>
  <c r="AV238" i="15"/>
  <c r="AV239" i="15"/>
  <c r="AV240" i="15"/>
  <c r="AV241" i="15"/>
  <c r="AV242" i="15"/>
  <c r="AV243" i="15"/>
  <c r="AV244" i="15"/>
  <c r="AV245" i="15"/>
  <c r="AV246" i="15"/>
  <c r="AV247" i="15"/>
  <c r="AV248" i="15"/>
  <c r="AV249" i="15"/>
  <c r="AV250" i="15"/>
  <c r="AV251" i="15"/>
  <c r="AV252" i="15"/>
  <c r="AV253" i="15"/>
  <c r="AV254" i="15"/>
  <c r="AV255" i="15"/>
  <c r="AV256" i="15"/>
  <c r="AV257" i="15"/>
  <c r="AV258" i="15"/>
  <c r="AV259" i="15"/>
  <c r="AV260" i="15"/>
  <c r="AV261" i="15"/>
  <c r="AV262" i="15"/>
  <c r="AV263" i="15"/>
  <c r="AV264" i="15"/>
  <c r="AV265" i="15"/>
  <c r="AV266" i="15"/>
  <c r="AV267" i="15"/>
  <c r="AV268" i="15"/>
  <c r="AV269" i="15"/>
  <c r="AV270" i="15"/>
  <c r="AV271" i="15"/>
  <c r="AV272" i="15"/>
  <c r="AV273" i="15"/>
  <c r="AV274" i="15"/>
  <c r="AV275" i="15"/>
  <c r="AV276" i="15"/>
  <c r="AV277" i="15"/>
  <c r="AV278" i="15"/>
  <c r="AV279" i="15"/>
  <c r="AV280" i="15"/>
  <c r="AV281" i="15"/>
  <c r="AV282" i="15"/>
  <c r="AV283" i="15"/>
  <c r="AV284" i="15"/>
  <c r="AV285" i="15"/>
  <c r="AV286" i="15"/>
  <c r="AV287" i="15"/>
  <c r="AV288" i="15"/>
  <c r="AV289" i="15"/>
  <c r="AV290" i="15"/>
  <c r="AV291" i="15"/>
  <c r="AV292" i="15"/>
  <c r="AV293" i="15"/>
  <c r="AV294" i="15"/>
  <c r="AV295" i="15"/>
  <c r="AV296" i="15"/>
  <c r="AV297" i="15"/>
  <c r="AV298" i="15"/>
  <c r="AV299" i="15"/>
  <c r="AV300" i="15"/>
  <c r="AV301" i="15"/>
  <c r="AV302" i="15"/>
  <c r="AV303" i="15"/>
  <c r="AV304" i="15"/>
  <c r="AV305" i="15"/>
  <c r="AV306" i="15"/>
  <c r="AV307" i="15"/>
  <c r="AV308" i="15"/>
  <c r="AV309" i="15"/>
  <c r="AV310" i="15"/>
  <c r="AV311" i="15"/>
  <c r="AV312" i="15"/>
  <c r="AV313" i="15"/>
  <c r="AV314" i="15"/>
  <c r="AV315" i="15"/>
  <c r="AV316" i="15"/>
  <c r="AV317" i="15"/>
  <c r="AV318" i="15"/>
  <c r="AV319" i="15"/>
  <c r="AV320" i="15"/>
  <c r="AV321" i="15"/>
  <c r="AV322" i="15"/>
  <c r="AV323" i="15"/>
  <c r="AV324" i="15"/>
  <c r="AV325" i="15"/>
  <c r="AV326" i="15"/>
  <c r="AV327" i="15"/>
  <c r="AV328" i="15"/>
  <c r="AV329" i="15"/>
  <c r="AV330" i="15"/>
  <c r="AV331" i="15"/>
  <c r="AV332" i="15"/>
  <c r="AV333" i="15"/>
  <c r="AV334" i="15"/>
  <c r="AV335" i="15"/>
  <c r="AV336" i="15"/>
  <c r="AV337" i="15"/>
  <c r="AV338" i="15"/>
  <c r="AV339" i="15"/>
  <c r="AV340" i="15"/>
  <c r="AV341" i="15"/>
  <c r="AV342" i="15"/>
  <c r="AV343" i="15"/>
  <c r="AV344" i="15"/>
  <c r="AV345" i="15"/>
  <c r="AV346" i="15"/>
  <c r="AV347" i="15"/>
  <c r="AV348" i="15"/>
  <c r="AV349" i="15"/>
  <c r="AV350" i="15"/>
  <c r="AV351" i="15"/>
  <c r="AV352" i="15"/>
  <c r="AV353" i="15"/>
  <c r="AV354" i="15"/>
  <c r="AV355" i="15"/>
  <c r="AV356" i="15"/>
  <c r="AV357" i="15"/>
  <c r="AV358" i="15"/>
  <c r="AV359" i="15"/>
  <c r="AV360" i="15"/>
  <c r="AV361" i="15"/>
  <c r="AV362" i="15"/>
  <c r="AV363" i="15"/>
  <c r="AV364" i="15"/>
  <c r="AV365" i="15"/>
  <c r="AV366" i="15"/>
  <c r="AV367" i="15"/>
  <c r="AV368" i="15"/>
  <c r="AV369" i="15"/>
  <c r="AV370" i="15"/>
  <c r="AV371" i="15"/>
  <c r="AV372" i="15"/>
  <c r="AV373" i="15"/>
  <c r="AV374" i="15"/>
  <c r="AV375" i="15"/>
  <c r="AV376" i="15"/>
  <c r="AV377" i="15"/>
  <c r="AV378" i="15"/>
  <c r="AV379" i="15"/>
  <c r="AV380" i="15"/>
  <c r="AV381" i="15"/>
  <c r="AV382" i="15"/>
  <c r="AV383" i="15"/>
  <c r="AV384" i="15"/>
  <c r="AV385" i="15"/>
  <c r="AV386" i="15"/>
  <c r="AV387" i="15"/>
  <c r="AV388" i="15"/>
  <c r="AV389" i="15"/>
  <c r="AV390" i="15"/>
  <c r="AV391" i="15"/>
  <c r="AV392" i="15"/>
  <c r="AV393" i="15"/>
  <c r="AV394" i="15"/>
  <c r="AV395" i="15"/>
  <c r="AV396" i="15"/>
  <c r="AV397" i="15"/>
  <c r="AV398" i="15"/>
  <c r="AV399" i="15"/>
  <c r="AV400" i="15"/>
  <c r="AV401" i="15"/>
  <c r="AV402" i="15"/>
  <c r="AV403" i="15"/>
  <c r="AV404" i="15"/>
  <c r="AV405" i="15"/>
  <c r="AV406" i="15"/>
  <c r="AV407" i="15"/>
  <c r="AV408" i="15"/>
  <c r="AV409" i="15"/>
  <c r="AV410" i="15"/>
  <c r="AV411" i="15"/>
  <c r="AV412" i="15"/>
  <c r="AV413" i="15"/>
  <c r="AV414" i="15"/>
  <c r="AV415" i="15"/>
  <c r="AV416" i="15"/>
  <c r="AV417" i="15"/>
  <c r="AV418" i="15"/>
  <c r="AV419" i="15"/>
  <c r="AV420" i="15"/>
  <c r="AV421" i="15"/>
  <c r="AV422" i="15"/>
  <c r="AV423" i="15"/>
  <c r="AV424" i="15"/>
  <c r="AV425" i="15"/>
  <c r="AV426" i="15"/>
  <c r="AV427" i="15"/>
  <c r="AV428" i="15"/>
  <c r="AV429" i="15"/>
  <c r="AV430" i="15"/>
  <c r="AV431" i="15"/>
  <c r="AV432" i="15"/>
  <c r="AV433" i="15"/>
  <c r="AV434" i="15"/>
  <c r="AV435" i="15"/>
  <c r="AV436" i="15"/>
  <c r="AV437" i="15"/>
  <c r="AV438" i="15"/>
  <c r="AV439" i="15"/>
  <c r="AV440" i="15"/>
  <c r="AV441" i="15"/>
  <c r="AV442" i="15"/>
  <c r="AV443" i="15"/>
  <c r="AV444" i="15"/>
  <c r="AV445" i="15"/>
  <c r="AV446" i="15"/>
  <c r="AV447" i="15"/>
  <c r="AV448" i="15"/>
  <c r="AV449" i="15"/>
  <c r="AV450" i="15"/>
  <c r="AV451" i="15"/>
  <c r="AV452" i="15"/>
  <c r="AV453" i="15"/>
  <c r="AV454" i="15"/>
  <c r="AV455" i="15"/>
  <c r="AV456" i="15"/>
  <c r="AV457" i="15"/>
  <c r="AV458" i="15"/>
  <c r="AV459" i="15"/>
  <c r="AV460" i="15"/>
  <c r="AV461" i="15"/>
  <c r="AV462" i="15"/>
  <c r="AV463" i="15"/>
  <c r="AV464" i="15"/>
  <c r="AV465" i="15"/>
  <c r="AV466" i="15"/>
  <c r="AV467" i="15"/>
  <c r="AV468" i="15"/>
  <c r="AV469" i="15"/>
  <c r="AV470" i="15"/>
  <c r="AV471" i="15"/>
  <c r="AV472" i="15"/>
  <c r="AV473" i="15"/>
  <c r="AV474" i="15"/>
  <c r="AV475" i="15"/>
  <c r="AV476" i="15"/>
  <c r="AV477" i="15"/>
  <c r="AV478" i="15"/>
  <c r="AV479" i="15"/>
  <c r="AV480" i="15"/>
  <c r="AV481" i="15"/>
  <c r="AV482" i="15"/>
  <c r="AV483" i="15"/>
  <c r="AV484" i="15"/>
  <c r="AV485" i="15"/>
  <c r="AV486" i="15"/>
  <c r="AV487" i="15"/>
  <c r="AV488" i="15"/>
  <c r="AV489" i="15"/>
  <c r="AV490" i="15"/>
  <c r="AV491" i="15"/>
  <c r="AV492" i="15"/>
  <c r="AV493" i="15"/>
  <c r="AV494" i="15"/>
  <c r="AV495" i="15"/>
  <c r="AV496" i="15"/>
  <c r="AV497" i="15"/>
  <c r="AV498" i="15"/>
  <c r="AV499" i="15"/>
  <c r="AV500" i="15"/>
  <c r="AV501" i="15"/>
  <c r="AV502" i="15"/>
  <c r="AU473" i="15"/>
  <c r="AU474" i="15"/>
  <c r="AU475" i="15"/>
  <c r="AU476" i="15"/>
  <c r="AU477" i="15"/>
  <c r="AU478" i="15"/>
  <c r="AU479" i="15"/>
  <c r="AU480" i="15"/>
  <c r="AU481" i="15"/>
  <c r="AU482" i="15"/>
  <c r="AU483" i="15"/>
  <c r="AU484" i="15"/>
  <c r="AU485" i="15"/>
  <c r="AU486" i="15"/>
  <c r="AU487" i="15"/>
  <c r="AU488" i="15"/>
  <c r="AU489" i="15"/>
  <c r="AU490" i="15"/>
  <c r="AU491" i="15"/>
  <c r="AU492" i="15"/>
  <c r="AU493" i="15"/>
  <c r="AU494" i="15"/>
  <c r="AU495" i="15"/>
  <c r="AU496" i="15"/>
  <c r="AU497" i="15"/>
  <c r="AU498" i="15"/>
  <c r="AU499" i="15"/>
  <c r="AU500" i="15"/>
  <c r="AU501" i="15"/>
  <c r="AU502" i="15"/>
  <c r="AU503" i="15"/>
  <c r="AU504" i="15"/>
  <c r="AU505" i="15"/>
  <c r="AU506" i="15"/>
  <c r="AU507" i="15"/>
  <c r="AU508" i="15"/>
  <c r="AU509" i="15"/>
  <c r="AU510" i="15"/>
  <c r="F18" i="12" l="1"/>
  <c r="J472" i="15"/>
  <c r="J471" i="15"/>
  <c r="J470" i="15"/>
  <c r="J469" i="15"/>
  <c r="J468" i="15"/>
  <c r="J467" i="15"/>
  <c r="J466" i="15"/>
  <c r="J465" i="15"/>
  <c r="J464" i="15"/>
  <c r="J463" i="15"/>
  <c r="J462" i="15"/>
  <c r="J461" i="15"/>
  <c r="J460" i="15"/>
  <c r="J459" i="15"/>
  <c r="J458" i="15"/>
  <c r="J457" i="15"/>
  <c r="J456" i="15"/>
  <c r="J455" i="15"/>
  <c r="J454" i="15"/>
  <c r="J453" i="15"/>
  <c r="J452" i="15"/>
  <c r="J451" i="15"/>
  <c r="J450" i="15"/>
  <c r="J449" i="15"/>
  <c r="J448" i="15"/>
  <c r="J447" i="15"/>
  <c r="J446" i="15"/>
  <c r="J445" i="15"/>
  <c r="J444" i="15"/>
  <c r="J443" i="15"/>
  <c r="J442" i="15"/>
  <c r="J441" i="15"/>
  <c r="J440" i="15"/>
  <c r="J439" i="15"/>
  <c r="J438" i="15"/>
  <c r="J437" i="15"/>
  <c r="J436" i="15"/>
  <c r="J435" i="15"/>
  <c r="J434" i="15"/>
  <c r="J433" i="15"/>
  <c r="J432" i="15"/>
  <c r="J431" i="15"/>
  <c r="J430" i="15"/>
  <c r="J429" i="15"/>
  <c r="J428" i="15"/>
  <c r="J427" i="15"/>
  <c r="J426" i="15"/>
  <c r="J425" i="15"/>
  <c r="J424" i="15"/>
  <c r="J423" i="15"/>
  <c r="J422" i="15"/>
  <c r="J421" i="15"/>
  <c r="J420" i="15"/>
  <c r="J419" i="15"/>
  <c r="J418" i="15"/>
  <c r="J417" i="15"/>
  <c r="J416" i="15"/>
  <c r="J415" i="15"/>
  <c r="J414" i="15"/>
  <c r="J413" i="15"/>
  <c r="J412" i="15"/>
  <c r="J411" i="15"/>
  <c r="J410" i="15"/>
  <c r="J409" i="15"/>
  <c r="J408" i="15"/>
  <c r="J407" i="15"/>
  <c r="J406" i="15"/>
  <c r="J405" i="15"/>
  <c r="J404" i="15"/>
  <c r="J403" i="15"/>
  <c r="J402" i="15"/>
  <c r="J401" i="15"/>
  <c r="J400" i="15"/>
  <c r="J399" i="15"/>
  <c r="J398" i="15"/>
  <c r="J397" i="15"/>
  <c r="J396" i="15"/>
  <c r="J395" i="15"/>
  <c r="J394" i="15"/>
  <c r="J393" i="15"/>
  <c r="J392" i="15"/>
  <c r="J391" i="15"/>
  <c r="J390" i="15"/>
  <c r="J389" i="15"/>
  <c r="J388" i="15"/>
  <c r="J387" i="15"/>
  <c r="J386" i="15"/>
  <c r="J385" i="15"/>
  <c r="J384" i="15"/>
  <c r="J383" i="15"/>
  <c r="J382" i="15"/>
  <c r="J381" i="15"/>
  <c r="J380" i="15"/>
  <c r="J379" i="15"/>
  <c r="J378" i="15"/>
  <c r="J377" i="15"/>
  <c r="J376" i="15"/>
  <c r="J375" i="15"/>
  <c r="J374" i="15"/>
  <c r="J373" i="15"/>
  <c r="J372" i="15"/>
  <c r="J371" i="15"/>
  <c r="J370" i="15"/>
  <c r="J369" i="15"/>
  <c r="J368" i="15"/>
  <c r="J367" i="15"/>
  <c r="J366" i="15"/>
  <c r="J365" i="15"/>
  <c r="J364" i="15"/>
  <c r="J363" i="15"/>
  <c r="J362" i="15"/>
  <c r="J361" i="15"/>
  <c r="J360" i="15"/>
  <c r="J359" i="15"/>
  <c r="J358" i="15"/>
  <c r="J357" i="15"/>
  <c r="J356" i="15"/>
  <c r="J355" i="15"/>
  <c r="J354" i="15"/>
  <c r="J353" i="15"/>
  <c r="J352" i="15"/>
  <c r="J351" i="15"/>
  <c r="J350" i="15"/>
  <c r="J349" i="15"/>
  <c r="J348" i="15"/>
  <c r="J347" i="15"/>
  <c r="J346" i="15"/>
  <c r="J345" i="15"/>
  <c r="J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J243" i="15"/>
  <c r="J242" i="15"/>
  <c r="J241" i="15"/>
  <c r="J240" i="15"/>
  <c r="G470" i="15"/>
  <c r="G469" i="15"/>
  <c r="G468" i="15"/>
  <c r="G467" i="15"/>
  <c r="G466" i="15"/>
  <c r="G465" i="15"/>
  <c r="G464" i="15"/>
  <c r="G463" i="15"/>
  <c r="G462" i="15"/>
  <c r="G461" i="15"/>
  <c r="G460" i="15"/>
  <c r="G459" i="15"/>
  <c r="G458" i="15"/>
  <c r="G457" i="15"/>
  <c r="G456" i="15"/>
  <c r="G455" i="15"/>
  <c r="G454" i="15"/>
  <c r="G453" i="15"/>
  <c r="G452" i="15"/>
  <c r="G451" i="15"/>
  <c r="G450" i="15"/>
  <c r="G449" i="15"/>
  <c r="G448" i="15"/>
  <c r="G447" i="15"/>
  <c r="G446" i="15"/>
  <c r="G445" i="15"/>
  <c r="G444" i="15"/>
  <c r="G443" i="15"/>
  <c r="G442" i="15"/>
  <c r="G441" i="15"/>
  <c r="G440" i="15"/>
  <c r="G439" i="15"/>
  <c r="G438" i="15"/>
  <c r="G437" i="15"/>
  <c r="G436" i="15"/>
  <c r="G435" i="15"/>
  <c r="G434" i="15"/>
  <c r="G433" i="15"/>
  <c r="G432" i="15"/>
  <c r="G431" i="15"/>
  <c r="G430" i="15"/>
  <c r="G429" i="15"/>
  <c r="G428" i="15"/>
  <c r="G427" i="15"/>
  <c r="G426" i="15"/>
  <c r="G425" i="15"/>
  <c r="G424" i="15"/>
  <c r="G423" i="15"/>
  <c r="G422" i="15"/>
  <c r="G421" i="15"/>
  <c r="G420" i="15"/>
  <c r="G419" i="15"/>
  <c r="G418" i="15"/>
  <c r="G417" i="15"/>
  <c r="G416" i="15"/>
  <c r="G415" i="15"/>
  <c r="G414" i="15"/>
  <c r="G413" i="15"/>
  <c r="G412" i="15"/>
  <c r="G411" i="15"/>
  <c r="G410" i="15"/>
  <c r="G409" i="15"/>
  <c r="G408" i="15"/>
  <c r="G407" i="15"/>
  <c r="G406" i="15"/>
  <c r="G405" i="15"/>
  <c r="G404" i="15"/>
  <c r="G403" i="15"/>
  <c r="G402" i="15"/>
  <c r="G401" i="15"/>
  <c r="G400" i="15"/>
  <c r="G399" i="15"/>
  <c r="G398" i="15"/>
  <c r="G397" i="15"/>
  <c r="G396" i="15"/>
  <c r="G395" i="15"/>
  <c r="G394" i="15"/>
  <c r="G393" i="15"/>
  <c r="G392" i="15"/>
  <c r="G391" i="15"/>
  <c r="G390" i="15"/>
  <c r="G389" i="15"/>
  <c r="G388" i="15"/>
  <c r="G387" i="15"/>
  <c r="G386" i="15"/>
  <c r="G385" i="15"/>
  <c r="G384" i="15"/>
  <c r="G383" i="15"/>
  <c r="G382" i="15"/>
  <c r="G381" i="15"/>
  <c r="G380" i="15"/>
  <c r="G379" i="15"/>
  <c r="G378" i="15"/>
  <c r="G377" i="15"/>
  <c r="G376" i="15"/>
  <c r="G375" i="15"/>
  <c r="G374" i="15"/>
  <c r="G373" i="15"/>
  <c r="G372" i="15"/>
  <c r="G371" i="15"/>
  <c r="G370" i="15"/>
  <c r="G369" i="15"/>
  <c r="G368" i="15"/>
  <c r="G367" i="15"/>
  <c r="G366" i="15"/>
  <c r="G365" i="15"/>
  <c r="G364" i="15"/>
  <c r="G363" i="15"/>
  <c r="G362" i="15"/>
  <c r="G361" i="15"/>
  <c r="G360" i="15"/>
  <c r="G359" i="15"/>
  <c r="G358" i="15"/>
  <c r="G357" i="15"/>
  <c r="G356" i="15"/>
  <c r="G355" i="15"/>
  <c r="G354" i="15"/>
  <c r="G353" i="15"/>
  <c r="G352" i="15"/>
  <c r="G351" i="15"/>
  <c r="G350" i="15"/>
  <c r="G349" i="15"/>
  <c r="G348" i="15"/>
  <c r="G347" i="15"/>
  <c r="G346" i="15"/>
  <c r="G345" i="15"/>
  <c r="G344" i="15"/>
  <c r="G343" i="15"/>
  <c r="G342" i="15"/>
  <c r="G341" i="15"/>
  <c r="G340" i="15"/>
  <c r="G339" i="15"/>
  <c r="G338" i="15"/>
  <c r="G337" i="15"/>
  <c r="G336" i="15"/>
  <c r="G335" i="15"/>
  <c r="G334" i="15"/>
  <c r="G333" i="15"/>
  <c r="G332" i="15"/>
  <c r="G331" i="15"/>
  <c r="G330" i="15"/>
  <c r="G329" i="15"/>
  <c r="G328" i="15"/>
  <c r="G327" i="15"/>
  <c r="G326" i="15"/>
  <c r="G325" i="15"/>
  <c r="G324" i="15"/>
  <c r="G323" i="15"/>
  <c r="G322" i="15"/>
  <c r="G321" i="15"/>
  <c r="G320" i="15"/>
  <c r="G319" i="15"/>
  <c r="G318" i="15"/>
  <c r="G317" i="15"/>
  <c r="G316" i="15"/>
  <c r="G315" i="15"/>
  <c r="G314" i="15"/>
  <c r="G313" i="15"/>
  <c r="G312" i="15"/>
  <c r="G311" i="15"/>
  <c r="G310" i="15"/>
  <c r="G309" i="15"/>
  <c r="G308" i="15"/>
  <c r="G307" i="15"/>
  <c r="G306" i="15"/>
  <c r="G305" i="15"/>
  <c r="G304" i="15"/>
  <c r="G303" i="15"/>
  <c r="G302" i="15"/>
  <c r="G301" i="15"/>
  <c r="G300" i="15"/>
  <c r="G299" i="15"/>
  <c r="G298" i="15"/>
  <c r="G297" i="15"/>
  <c r="G296" i="15"/>
  <c r="G295" i="15"/>
  <c r="G294" i="15"/>
  <c r="G293" i="15"/>
  <c r="G292" i="15"/>
  <c r="G291" i="15"/>
  <c r="G290" i="15"/>
  <c r="G289" i="15"/>
  <c r="G288" i="15"/>
  <c r="G287" i="15"/>
  <c r="G286" i="15"/>
  <c r="G285" i="15"/>
  <c r="G284" i="15"/>
  <c r="G283" i="15"/>
  <c r="G282" i="15"/>
  <c r="G281" i="15"/>
  <c r="G280" i="15"/>
  <c r="G279" i="15"/>
  <c r="G278" i="15"/>
  <c r="G277" i="15"/>
  <c r="G276" i="15"/>
  <c r="G275" i="15"/>
  <c r="G274" i="15"/>
  <c r="G273" i="15"/>
  <c r="G272" i="15"/>
  <c r="G271" i="15"/>
  <c r="G270" i="15"/>
  <c r="G269" i="15"/>
  <c r="G268" i="15"/>
  <c r="G267" i="15"/>
  <c r="G266" i="15"/>
  <c r="G265" i="15"/>
  <c r="G264" i="15"/>
  <c r="G263" i="15"/>
  <c r="G262" i="15"/>
  <c r="G261" i="15"/>
  <c r="G260" i="15"/>
  <c r="G259" i="15"/>
  <c r="G258" i="15"/>
  <c r="G257" i="15"/>
  <c r="G256" i="15"/>
  <c r="G255" i="15"/>
  <c r="G254" i="15"/>
  <c r="G253" i="15"/>
  <c r="G252" i="15"/>
  <c r="G251" i="15"/>
  <c r="G250" i="15"/>
  <c r="G249" i="15"/>
  <c r="G248" i="15"/>
  <c r="G247" i="15"/>
  <c r="G246" i="15"/>
  <c r="G245" i="15"/>
  <c r="G244" i="15"/>
  <c r="G243" i="15"/>
  <c r="G242" i="15"/>
  <c r="G241" i="15"/>
  <c r="G240" i="15"/>
  <c r="J16" i="28"/>
  <c r="F3" i="12"/>
  <c r="F4" i="12"/>
  <c r="O58" i="14"/>
  <c r="AS117" i="15"/>
  <c r="AB117" i="15"/>
  <c r="Z47" i="14"/>
  <c r="AC117" i="15" l="1"/>
  <c r="AT117" i="15"/>
  <c r="O50" i="14"/>
  <c r="AU117" i="15" l="1"/>
  <c r="AW117" i="15" s="1"/>
  <c r="AX117" i="15" s="1"/>
  <c r="BA117" i="15" s="1"/>
  <c r="I12" i="25"/>
  <c r="F4" i="25"/>
  <c r="F3" i="25"/>
  <c r="D5" i="26"/>
  <c r="D4" i="26"/>
  <c r="D3" i="26"/>
  <c r="D2" i="26"/>
  <c r="F26" i="26"/>
  <c r="E26" i="26"/>
  <c r="E27" i="26" l="1"/>
  <c r="BA17" i="16"/>
  <c r="AX17" i="16"/>
  <c r="AG17" i="16"/>
  <c r="AF17" i="16"/>
  <c r="T17" i="16"/>
  <c r="AH17" i="16" l="1"/>
  <c r="AY17" i="16"/>
  <c r="AZ17" i="16" s="1"/>
  <c r="BB17" i="16" s="1"/>
  <c r="BC17" i="16" s="1"/>
  <c r="BF17" i="16" s="1"/>
  <c r="C13" i="26" l="1"/>
  <c r="O44" i="14" l="1"/>
  <c r="Z37" i="14"/>
  <c r="AA239" i="15" l="1"/>
  <c r="AA240" i="15"/>
  <c r="AA241" i="15"/>
  <c r="AA242" i="15"/>
  <c r="AA243" i="15"/>
  <c r="AA244" i="15"/>
  <c r="AA245" i="15"/>
  <c r="AA246" i="15"/>
  <c r="AA247" i="15"/>
  <c r="AA248" i="15"/>
  <c r="AA249" i="15"/>
  <c r="AA250" i="15"/>
  <c r="AA251" i="15"/>
  <c r="AA252" i="15"/>
  <c r="AA253" i="15"/>
  <c r="AA254" i="15"/>
  <c r="AA255" i="15"/>
  <c r="AA256" i="15"/>
  <c r="AA257" i="15"/>
  <c r="AA258" i="15"/>
  <c r="AA259" i="15"/>
  <c r="AA260" i="15"/>
  <c r="AA261" i="15"/>
  <c r="AA262" i="15"/>
  <c r="AA263" i="15"/>
  <c r="AA264" i="15"/>
  <c r="AA265" i="15"/>
  <c r="AA266" i="15"/>
  <c r="AA267" i="15"/>
  <c r="AA268" i="15"/>
  <c r="AA269" i="15"/>
  <c r="AA270" i="15"/>
  <c r="AA271" i="15"/>
  <c r="AA272" i="15"/>
  <c r="AA273" i="15"/>
  <c r="AA274" i="15"/>
  <c r="AA275" i="15"/>
  <c r="AA276" i="15"/>
  <c r="AA277" i="15"/>
  <c r="AA278" i="15"/>
  <c r="AA279" i="15"/>
  <c r="AA280" i="15"/>
  <c r="AA281" i="15"/>
  <c r="AA282" i="15"/>
  <c r="AA283" i="15"/>
  <c r="AA284" i="15"/>
  <c r="AA285" i="15"/>
  <c r="AA286" i="15"/>
  <c r="AA287" i="15"/>
  <c r="AA288" i="15"/>
  <c r="AA289" i="15"/>
  <c r="AA290" i="15"/>
  <c r="AA291" i="15"/>
  <c r="AA292" i="15"/>
  <c r="AA293" i="15"/>
  <c r="AA294" i="15"/>
  <c r="AA295" i="15"/>
  <c r="AA296" i="15"/>
  <c r="AA297" i="15"/>
  <c r="AA298" i="15"/>
  <c r="AA299" i="15"/>
  <c r="AA300" i="15"/>
  <c r="AA301" i="15"/>
  <c r="AA302" i="15"/>
  <c r="AA303" i="15"/>
  <c r="AA304" i="15"/>
  <c r="AA305" i="15"/>
  <c r="AA306" i="15"/>
  <c r="AA307" i="15"/>
  <c r="AA308" i="15"/>
  <c r="AA309" i="15"/>
  <c r="AA310" i="15"/>
  <c r="AA311" i="15"/>
  <c r="AA312" i="15"/>
  <c r="AA313" i="15"/>
  <c r="AA314" i="15"/>
  <c r="AA315" i="15"/>
  <c r="AA316" i="15"/>
  <c r="AA317" i="15"/>
  <c r="AA318" i="15"/>
  <c r="AA319" i="15"/>
  <c r="AA320" i="15"/>
  <c r="AA321" i="15"/>
  <c r="AA322" i="15"/>
  <c r="AA323" i="15"/>
  <c r="AA324" i="15"/>
  <c r="AA325" i="15"/>
  <c r="AA326" i="15"/>
  <c r="AA327" i="15"/>
  <c r="AA328" i="15"/>
  <c r="AA329" i="15"/>
  <c r="AA330" i="15"/>
  <c r="AA331" i="15"/>
  <c r="AA332" i="15"/>
  <c r="AA333" i="15"/>
  <c r="AA334" i="15"/>
  <c r="AA335" i="15"/>
  <c r="AA336" i="15"/>
  <c r="AA337" i="15"/>
  <c r="AA338" i="15"/>
  <c r="AA339" i="15"/>
  <c r="AA340" i="15"/>
  <c r="AA341" i="15"/>
  <c r="AA342" i="15"/>
  <c r="AA343" i="15"/>
  <c r="AA344" i="15"/>
  <c r="AA345" i="15"/>
  <c r="AA346" i="15"/>
  <c r="AA347" i="15"/>
  <c r="AA348" i="15"/>
  <c r="AA349" i="15"/>
  <c r="AA350" i="15"/>
  <c r="AA351" i="15"/>
  <c r="AA352" i="15"/>
  <c r="AA353" i="15"/>
  <c r="AA354" i="15"/>
  <c r="AA355" i="15"/>
  <c r="AA356" i="15"/>
  <c r="AA357" i="15"/>
  <c r="AA358" i="15"/>
  <c r="AA359" i="15"/>
  <c r="AA360" i="15"/>
  <c r="AA361" i="15"/>
  <c r="AA362" i="15"/>
  <c r="AA363" i="15"/>
  <c r="AA364" i="15"/>
  <c r="AA365" i="15"/>
  <c r="AA366" i="15"/>
  <c r="AA367" i="15"/>
  <c r="AA368" i="15"/>
  <c r="AA369" i="15"/>
  <c r="AA370" i="15"/>
  <c r="AA371" i="15"/>
  <c r="AA372" i="15"/>
  <c r="AA373" i="15"/>
  <c r="AA374" i="15"/>
  <c r="AA375" i="15"/>
  <c r="AA376" i="15"/>
  <c r="AA377" i="15"/>
  <c r="AA378" i="15"/>
  <c r="AA379" i="15"/>
  <c r="AA380" i="15"/>
  <c r="AA381" i="15"/>
  <c r="AA382" i="15"/>
  <c r="AA383" i="15"/>
  <c r="AA384" i="15"/>
  <c r="AA385" i="15"/>
  <c r="AA386" i="15"/>
  <c r="AA387" i="15"/>
  <c r="AA388" i="15"/>
  <c r="AA389" i="15"/>
  <c r="AA390" i="15"/>
  <c r="AA391" i="15"/>
  <c r="AA392" i="15"/>
  <c r="AA393" i="15"/>
  <c r="AA394" i="15"/>
  <c r="AA395" i="15"/>
  <c r="AA396" i="15"/>
  <c r="AA397" i="15"/>
  <c r="AA398" i="15"/>
  <c r="AA399" i="15"/>
  <c r="AA400" i="15"/>
  <c r="AA401" i="15"/>
  <c r="AA402" i="15"/>
  <c r="AA403" i="15"/>
  <c r="AA404" i="15"/>
  <c r="AA405" i="15"/>
  <c r="AA406" i="15"/>
  <c r="AA407" i="15"/>
  <c r="AA408" i="15"/>
  <c r="AA409" i="15"/>
  <c r="AA410" i="15"/>
  <c r="AA411" i="15"/>
  <c r="AA412" i="15"/>
  <c r="AA413" i="15"/>
  <c r="AA414" i="15"/>
  <c r="AA415" i="15"/>
  <c r="AA416" i="15"/>
  <c r="AA417" i="15"/>
  <c r="AA418" i="15"/>
  <c r="AA419" i="15"/>
  <c r="AA420" i="15"/>
  <c r="AA421" i="15"/>
  <c r="AA422" i="15"/>
  <c r="AA423" i="15"/>
  <c r="AA424" i="15"/>
  <c r="AA425" i="15"/>
  <c r="AA426" i="15"/>
  <c r="AA427" i="15"/>
  <c r="AA428" i="15"/>
  <c r="AA429" i="15"/>
  <c r="AA430" i="15"/>
  <c r="AA431" i="15"/>
  <c r="AA432" i="15"/>
  <c r="AA433" i="15"/>
  <c r="AA434" i="15"/>
  <c r="AA435" i="15"/>
  <c r="AA436" i="15"/>
  <c r="AA437" i="15"/>
  <c r="AA438" i="15"/>
  <c r="AA439" i="15"/>
  <c r="AA440" i="15"/>
  <c r="AA441" i="15"/>
  <c r="AA442" i="15"/>
  <c r="AA443" i="15"/>
  <c r="AA444" i="15"/>
  <c r="AA445" i="15"/>
  <c r="AA446" i="15"/>
  <c r="AA447" i="15"/>
  <c r="AA448" i="15"/>
  <c r="AA449" i="15"/>
  <c r="AA450" i="15"/>
  <c r="AA451" i="15"/>
  <c r="AA452" i="15"/>
  <c r="AA453" i="15"/>
  <c r="AA454" i="15"/>
  <c r="AA455" i="15"/>
  <c r="AA456" i="15"/>
  <c r="AA457" i="15"/>
  <c r="AA458" i="15"/>
  <c r="AA459" i="15"/>
  <c r="AA460" i="15"/>
  <c r="AA461" i="15"/>
  <c r="AA462" i="15"/>
  <c r="AA463" i="15"/>
  <c r="AA464" i="15"/>
  <c r="AA465" i="15"/>
  <c r="AA466" i="15"/>
  <c r="AA467" i="15"/>
  <c r="AA468" i="15"/>
  <c r="AA469" i="15"/>
  <c r="AA470" i="15"/>
  <c r="AA471" i="15"/>
  <c r="AA472" i="15"/>
  <c r="I10" i="12" l="1"/>
  <c r="BA416" i="16" l="1"/>
  <c r="AX416" i="16"/>
  <c r="AG416" i="16"/>
  <c r="AF416" i="16"/>
  <c r="T416" i="16"/>
  <c r="BA415" i="16"/>
  <c r="AX415" i="16"/>
  <c r="AG415" i="16"/>
  <c r="AF415" i="16"/>
  <c r="T415" i="16"/>
  <c r="BA414" i="16"/>
  <c r="AX414" i="16"/>
  <c r="AG414" i="16"/>
  <c r="AF414" i="16"/>
  <c r="T414" i="16"/>
  <c r="BA413" i="16"/>
  <c r="AX413" i="16"/>
  <c r="AG413" i="16"/>
  <c r="AF413" i="16"/>
  <c r="T413" i="16"/>
  <c r="BA412" i="16"/>
  <c r="AX412" i="16"/>
  <c r="AG412" i="16"/>
  <c r="AF412" i="16"/>
  <c r="T412" i="16"/>
  <c r="BA411" i="16"/>
  <c r="AX411" i="16"/>
  <c r="AG411" i="16"/>
  <c r="AF411" i="16"/>
  <c r="T411" i="16"/>
  <c r="BA410" i="16"/>
  <c r="AX410" i="16"/>
  <c r="AG410" i="16"/>
  <c r="AF410" i="16"/>
  <c r="T410" i="16"/>
  <c r="BA409" i="16"/>
  <c r="AX409" i="16"/>
  <c r="AG409" i="16"/>
  <c r="AF409" i="16"/>
  <c r="T409" i="16"/>
  <c r="BA408" i="16"/>
  <c r="AX408" i="16"/>
  <c r="AG408" i="16"/>
  <c r="AF408" i="16"/>
  <c r="T408" i="16"/>
  <c r="BA407" i="16"/>
  <c r="AX407" i="16"/>
  <c r="AG407" i="16"/>
  <c r="AF407" i="16"/>
  <c r="T407" i="16"/>
  <c r="BA406" i="16"/>
  <c r="AX406" i="16"/>
  <c r="AG406" i="16"/>
  <c r="AF406" i="16"/>
  <c r="T406" i="16"/>
  <c r="BA405" i="16"/>
  <c r="AX405" i="16"/>
  <c r="AG405" i="16"/>
  <c r="AF405" i="16"/>
  <c r="T405" i="16"/>
  <c r="BA404" i="16"/>
  <c r="AX404" i="16"/>
  <c r="AG404" i="16"/>
  <c r="AF404" i="16"/>
  <c r="T404" i="16"/>
  <c r="BA403" i="16"/>
  <c r="AX403" i="16"/>
  <c r="AG403" i="16"/>
  <c r="AF403" i="16"/>
  <c r="T403" i="16"/>
  <c r="BA402" i="16"/>
  <c r="AX402" i="16"/>
  <c r="AG402" i="16"/>
  <c r="AF402" i="16"/>
  <c r="T402" i="16"/>
  <c r="BA401" i="16"/>
  <c r="AX401" i="16"/>
  <c r="AG401" i="16"/>
  <c r="AF401" i="16"/>
  <c r="T401" i="16"/>
  <c r="BA400" i="16"/>
  <c r="AX400" i="16"/>
  <c r="AG400" i="16"/>
  <c r="AF400" i="16"/>
  <c r="T400" i="16"/>
  <c r="BA399" i="16"/>
  <c r="AX399" i="16"/>
  <c r="AG399" i="16"/>
  <c r="AF399" i="16"/>
  <c r="T399" i="16"/>
  <c r="BA398" i="16"/>
  <c r="AX398" i="16"/>
  <c r="AG398" i="16"/>
  <c r="AF398" i="16"/>
  <c r="T398" i="16"/>
  <c r="BA397" i="16"/>
  <c r="AX397" i="16"/>
  <c r="AG397" i="16"/>
  <c r="AF397" i="16"/>
  <c r="T397" i="16"/>
  <c r="BA396" i="16"/>
  <c r="AX396" i="16"/>
  <c r="AG396" i="16"/>
  <c r="AF396" i="16"/>
  <c r="T396" i="16"/>
  <c r="BA395" i="16"/>
  <c r="AX395" i="16"/>
  <c r="AG395" i="16"/>
  <c r="AF395" i="16"/>
  <c r="T395" i="16"/>
  <c r="BA394" i="16"/>
  <c r="AX394" i="16"/>
  <c r="AG394" i="16"/>
  <c r="AF394" i="16"/>
  <c r="T394" i="16"/>
  <c r="BA393" i="16"/>
  <c r="AX393" i="16"/>
  <c r="AG393" i="16"/>
  <c r="AF393" i="16"/>
  <c r="T393" i="16"/>
  <c r="BA392" i="16"/>
  <c r="AX392" i="16"/>
  <c r="AG392" i="16"/>
  <c r="AF392" i="16"/>
  <c r="T392" i="16"/>
  <c r="BA391" i="16"/>
  <c r="AX391" i="16"/>
  <c r="AG391" i="16"/>
  <c r="AF391" i="16"/>
  <c r="T391" i="16"/>
  <c r="BA390" i="16"/>
  <c r="AX390" i="16"/>
  <c r="AG390" i="16"/>
  <c r="AF390" i="16"/>
  <c r="T390" i="16"/>
  <c r="BA389" i="16"/>
  <c r="AX389" i="16"/>
  <c r="AG389" i="16"/>
  <c r="AF389" i="16"/>
  <c r="T389" i="16"/>
  <c r="BA388" i="16"/>
  <c r="AX388" i="16"/>
  <c r="AG388" i="16"/>
  <c r="AF388" i="16"/>
  <c r="T388" i="16"/>
  <c r="BA387" i="16"/>
  <c r="AX387" i="16"/>
  <c r="AG387" i="16"/>
  <c r="AF387" i="16"/>
  <c r="T387" i="16"/>
  <c r="BA386" i="16"/>
  <c r="AX386" i="16"/>
  <c r="AG386" i="16"/>
  <c r="AF386" i="16"/>
  <c r="T386" i="16"/>
  <c r="BA385" i="16"/>
  <c r="AX385" i="16"/>
  <c r="AG385" i="16"/>
  <c r="AF385" i="16"/>
  <c r="T385" i="16"/>
  <c r="BA384" i="16"/>
  <c r="AX384" i="16"/>
  <c r="AG384" i="16"/>
  <c r="AF384" i="16"/>
  <c r="T384" i="16"/>
  <c r="BA383" i="16"/>
  <c r="AX383" i="16"/>
  <c r="AG383" i="16"/>
  <c r="AF383" i="16"/>
  <c r="T383" i="16"/>
  <c r="BA382" i="16"/>
  <c r="AX382" i="16"/>
  <c r="AG382" i="16"/>
  <c r="AF382" i="16"/>
  <c r="T382" i="16"/>
  <c r="BA381" i="16"/>
  <c r="AX381" i="16"/>
  <c r="AG381" i="16"/>
  <c r="AF381" i="16"/>
  <c r="T381" i="16"/>
  <c r="BA380" i="16"/>
  <c r="AX380" i="16"/>
  <c r="AG380" i="16"/>
  <c r="AF380" i="16"/>
  <c r="T380" i="16"/>
  <c r="BA379" i="16"/>
  <c r="AX379" i="16"/>
  <c r="AG379" i="16"/>
  <c r="AF379" i="16"/>
  <c r="T379" i="16"/>
  <c r="BA378" i="16"/>
  <c r="AX378" i="16"/>
  <c r="AG378" i="16"/>
  <c r="AF378" i="16"/>
  <c r="T378" i="16"/>
  <c r="BA377" i="16"/>
  <c r="AX377" i="16"/>
  <c r="AG377" i="16"/>
  <c r="AF377" i="16"/>
  <c r="T377" i="16"/>
  <c r="BA376" i="16"/>
  <c r="AX376" i="16"/>
  <c r="AG376" i="16"/>
  <c r="AF376" i="16"/>
  <c r="T376" i="16"/>
  <c r="BA375" i="16"/>
  <c r="AX375" i="16"/>
  <c r="AG375" i="16"/>
  <c r="AF375" i="16"/>
  <c r="T375" i="16"/>
  <c r="BA374" i="16"/>
  <c r="AX374" i="16"/>
  <c r="AG374" i="16"/>
  <c r="AF374" i="16"/>
  <c r="T374" i="16"/>
  <c r="BA373" i="16"/>
  <c r="AX373" i="16"/>
  <c r="AG373" i="16"/>
  <c r="AF373" i="16"/>
  <c r="T373" i="16"/>
  <c r="BA372" i="16"/>
  <c r="AX372" i="16"/>
  <c r="AG372" i="16"/>
  <c r="AF372" i="16"/>
  <c r="T372" i="16"/>
  <c r="BA371" i="16"/>
  <c r="AX371" i="16"/>
  <c r="AG371" i="16"/>
  <c r="AF371" i="16"/>
  <c r="T371" i="16"/>
  <c r="BA370" i="16"/>
  <c r="AX370" i="16"/>
  <c r="AG370" i="16"/>
  <c r="AF370" i="16"/>
  <c r="T370" i="16"/>
  <c r="BA369" i="16"/>
  <c r="AX369" i="16"/>
  <c r="AG369" i="16"/>
  <c r="AF369" i="16"/>
  <c r="T369" i="16"/>
  <c r="BA368" i="16"/>
  <c r="AX368" i="16"/>
  <c r="AG368" i="16"/>
  <c r="AF368" i="16"/>
  <c r="T368" i="16"/>
  <c r="BA367" i="16"/>
  <c r="AX367" i="16"/>
  <c r="AG367" i="16"/>
  <c r="AF367" i="16"/>
  <c r="T367" i="16"/>
  <c r="BA366" i="16"/>
  <c r="AX366" i="16"/>
  <c r="AG366" i="16"/>
  <c r="AF366" i="16"/>
  <c r="T366" i="16"/>
  <c r="BA365" i="16"/>
  <c r="AX365" i="16"/>
  <c r="AG365" i="16"/>
  <c r="AF365" i="16"/>
  <c r="T365" i="16"/>
  <c r="BA364" i="16"/>
  <c r="AX364" i="16"/>
  <c r="AG364" i="16"/>
  <c r="AF364" i="16"/>
  <c r="T364" i="16"/>
  <c r="BA363" i="16"/>
  <c r="AX363" i="16"/>
  <c r="AG363" i="16"/>
  <c r="AF363" i="16"/>
  <c r="T363" i="16"/>
  <c r="BA362" i="16"/>
  <c r="AX362" i="16"/>
  <c r="AG362" i="16"/>
  <c r="AF362" i="16"/>
  <c r="T362" i="16"/>
  <c r="BA361" i="16"/>
  <c r="AX361" i="16"/>
  <c r="AG361" i="16"/>
  <c r="AF361" i="16"/>
  <c r="T361" i="16"/>
  <c r="BA360" i="16"/>
  <c r="AX360" i="16"/>
  <c r="AG360" i="16"/>
  <c r="AF360" i="16"/>
  <c r="T360" i="16"/>
  <c r="BA359" i="16"/>
  <c r="AX359" i="16"/>
  <c r="AG359" i="16"/>
  <c r="AF359" i="16"/>
  <c r="T359" i="16"/>
  <c r="BA358" i="16"/>
  <c r="AX358" i="16"/>
  <c r="AG358" i="16"/>
  <c r="AF358" i="16"/>
  <c r="T358" i="16"/>
  <c r="BA357" i="16"/>
  <c r="AX357" i="16"/>
  <c r="AG357" i="16"/>
  <c r="AF357" i="16"/>
  <c r="T357" i="16"/>
  <c r="BA356" i="16"/>
  <c r="AX356" i="16"/>
  <c r="AG356" i="16"/>
  <c r="AF356" i="16"/>
  <c r="T356" i="16"/>
  <c r="BA355" i="16"/>
  <c r="AX355" i="16"/>
  <c r="AG355" i="16"/>
  <c r="AF355" i="16"/>
  <c r="T355" i="16"/>
  <c r="BA354" i="16"/>
  <c r="AX354" i="16"/>
  <c r="AG354" i="16"/>
  <c r="AF354" i="16"/>
  <c r="T354" i="16"/>
  <c r="BA353" i="16"/>
  <c r="AX353" i="16"/>
  <c r="AG353" i="16"/>
  <c r="AF353" i="16"/>
  <c r="T353" i="16"/>
  <c r="BA352" i="16"/>
  <c r="AX352" i="16"/>
  <c r="AG352" i="16"/>
  <c r="AF352" i="16"/>
  <c r="T352" i="16"/>
  <c r="BA351" i="16"/>
  <c r="AX351" i="16"/>
  <c r="AG351" i="16"/>
  <c r="AF351" i="16"/>
  <c r="T351" i="16"/>
  <c r="BA350" i="16"/>
  <c r="AX350" i="16"/>
  <c r="AG350" i="16"/>
  <c r="AF350" i="16"/>
  <c r="T350" i="16"/>
  <c r="BA349" i="16"/>
  <c r="AX349" i="16"/>
  <c r="AG349" i="16"/>
  <c r="AF349" i="16"/>
  <c r="T349" i="16"/>
  <c r="BA348" i="16"/>
  <c r="AX348" i="16"/>
  <c r="AG348" i="16"/>
  <c r="AF348" i="16"/>
  <c r="T348" i="16"/>
  <c r="BA347" i="16"/>
  <c r="AX347" i="16"/>
  <c r="AG347" i="16"/>
  <c r="AF347" i="16"/>
  <c r="T347" i="16"/>
  <c r="BA346" i="16"/>
  <c r="AX346" i="16"/>
  <c r="AG346" i="16"/>
  <c r="AF346" i="16"/>
  <c r="T346" i="16"/>
  <c r="BA345" i="16"/>
  <c r="AX345" i="16"/>
  <c r="AG345" i="16"/>
  <c r="AF345" i="16"/>
  <c r="T345" i="16"/>
  <c r="BA344" i="16"/>
  <c r="AX344" i="16"/>
  <c r="AG344" i="16"/>
  <c r="AF344" i="16"/>
  <c r="T344" i="16"/>
  <c r="BA343" i="16"/>
  <c r="AX343" i="16"/>
  <c r="AG343" i="16"/>
  <c r="AF343" i="16"/>
  <c r="T343" i="16"/>
  <c r="BA342" i="16"/>
  <c r="AX342" i="16"/>
  <c r="AG342" i="16"/>
  <c r="AF342" i="16"/>
  <c r="T342" i="16"/>
  <c r="BA341" i="16"/>
  <c r="AX341" i="16"/>
  <c r="AG341" i="16"/>
  <c r="AF341" i="16"/>
  <c r="T341" i="16"/>
  <c r="BA340" i="16"/>
  <c r="AX340" i="16"/>
  <c r="AG340" i="16"/>
  <c r="AF340" i="16"/>
  <c r="T340" i="16"/>
  <c r="BA339" i="16"/>
  <c r="AX339" i="16"/>
  <c r="AG339" i="16"/>
  <c r="AF339" i="16"/>
  <c r="T339" i="16"/>
  <c r="BA338" i="16"/>
  <c r="AX338" i="16"/>
  <c r="AG338" i="16"/>
  <c r="AF338" i="16"/>
  <c r="T338" i="16"/>
  <c r="BA337" i="16"/>
  <c r="AX337" i="16"/>
  <c r="AG337" i="16"/>
  <c r="AF337" i="16"/>
  <c r="T337" i="16"/>
  <c r="BA336" i="16"/>
  <c r="AX336" i="16"/>
  <c r="AG336" i="16"/>
  <c r="AF336" i="16"/>
  <c r="T336" i="16"/>
  <c r="BA335" i="16"/>
  <c r="AX335" i="16"/>
  <c r="AG335" i="16"/>
  <c r="AF335" i="16"/>
  <c r="T335" i="16"/>
  <c r="BA334" i="16"/>
  <c r="AX334" i="16"/>
  <c r="AG334" i="16"/>
  <c r="AF334" i="16"/>
  <c r="T334" i="16"/>
  <c r="BA333" i="16"/>
  <c r="AX333" i="16"/>
  <c r="AG333" i="16"/>
  <c r="AF333" i="16"/>
  <c r="T333" i="16"/>
  <c r="BA332" i="16"/>
  <c r="AX332" i="16"/>
  <c r="AG332" i="16"/>
  <c r="AF332" i="16"/>
  <c r="T332" i="16"/>
  <c r="BA331" i="16"/>
  <c r="AX331" i="16"/>
  <c r="AG331" i="16"/>
  <c r="AF331" i="16"/>
  <c r="T331" i="16"/>
  <c r="BA330" i="16"/>
  <c r="AX330" i="16"/>
  <c r="AG330" i="16"/>
  <c r="AF330" i="16"/>
  <c r="T330" i="16"/>
  <c r="BA329" i="16"/>
  <c r="AX329" i="16"/>
  <c r="AG329" i="16"/>
  <c r="AF329" i="16"/>
  <c r="T329" i="16"/>
  <c r="BA328" i="16"/>
  <c r="AX328" i="16"/>
  <c r="AG328" i="16"/>
  <c r="AF328" i="16"/>
  <c r="T328" i="16"/>
  <c r="BA327" i="16"/>
  <c r="AX327" i="16"/>
  <c r="AG327" i="16"/>
  <c r="AF327" i="16"/>
  <c r="T327" i="16"/>
  <c r="BA326" i="16"/>
  <c r="AX326" i="16"/>
  <c r="AG326" i="16"/>
  <c r="AF326" i="16"/>
  <c r="T326" i="16"/>
  <c r="BA325" i="16"/>
  <c r="AX325" i="16"/>
  <c r="AG325" i="16"/>
  <c r="AF325" i="16"/>
  <c r="T325" i="16"/>
  <c r="BA324" i="16"/>
  <c r="AX324" i="16"/>
  <c r="AG324" i="16"/>
  <c r="AF324" i="16"/>
  <c r="T324" i="16"/>
  <c r="BA323" i="16"/>
  <c r="AX323" i="16"/>
  <c r="AG323" i="16"/>
  <c r="AF323" i="16"/>
  <c r="T323" i="16"/>
  <c r="BA322" i="16"/>
  <c r="AX322" i="16"/>
  <c r="AG322" i="16"/>
  <c r="AF322" i="16"/>
  <c r="T322" i="16"/>
  <c r="BA321" i="16"/>
  <c r="AX321" i="16"/>
  <c r="AG321" i="16"/>
  <c r="AF321" i="16"/>
  <c r="T321" i="16"/>
  <c r="BA320" i="16"/>
  <c r="AX320" i="16"/>
  <c r="AG320" i="16"/>
  <c r="AF320" i="16"/>
  <c r="T320" i="16"/>
  <c r="BA319" i="16"/>
  <c r="AX319" i="16"/>
  <c r="AG319" i="16"/>
  <c r="AF319" i="16"/>
  <c r="T319" i="16"/>
  <c r="BA318" i="16"/>
  <c r="AX318" i="16"/>
  <c r="AG318" i="16"/>
  <c r="AF318" i="16"/>
  <c r="T318" i="16"/>
  <c r="BA317" i="16"/>
  <c r="AX317" i="16"/>
  <c r="AG317" i="16"/>
  <c r="AF317" i="16"/>
  <c r="T317" i="16"/>
  <c r="BA316" i="16"/>
  <c r="AX316" i="16"/>
  <c r="AG316" i="16"/>
  <c r="AF316" i="16"/>
  <c r="T316" i="16"/>
  <c r="BA315" i="16"/>
  <c r="AX315" i="16"/>
  <c r="AG315" i="16"/>
  <c r="AF315" i="16"/>
  <c r="T315" i="16"/>
  <c r="BA314" i="16"/>
  <c r="AX314" i="16"/>
  <c r="AG314" i="16"/>
  <c r="AF314" i="16"/>
  <c r="T314" i="16"/>
  <c r="BA313" i="16"/>
  <c r="AX313" i="16"/>
  <c r="AG313" i="16"/>
  <c r="AF313" i="16"/>
  <c r="T313" i="16"/>
  <c r="BA312" i="16"/>
  <c r="AX312" i="16"/>
  <c r="AG312" i="16"/>
  <c r="AF312" i="16"/>
  <c r="T312" i="16"/>
  <c r="BA311" i="16"/>
  <c r="AX311" i="16"/>
  <c r="AG311" i="16"/>
  <c r="AF311" i="16"/>
  <c r="T311" i="16"/>
  <c r="BA310" i="16"/>
  <c r="AX310" i="16"/>
  <c r="AG310" i="16"/>
  <c r="AF310" i="16"/>
  <c r="T310" i="16"/>
  <c r="BA309" i="16"/>
  <c r="AX309" i="16"/>
  <c r="AG309" i="16"/>
  <c r="AF309" i="16"/>
  <c r="T309" i="16"/>
  <c r="BA308" i="16"/>
  <c r="AX308" i="16"/>
  <c r="AG308" i="16"/>
  <c r="AF308" i="16"/>
  <c r="T308" i="16"/>
  <c r="BA307" i="16"/>
  <c r="AX307" i="16"/>
  <c r="AG307" i="16"/>
  <c r="AF307" i="16"/>
  <c r="T307" i="16"/>
  <c r="BA306" i="16"/>
  <c r="AX306" i="16"/>
  <c r="AG306" i="16"/>
  <c r="AF306" i="16"/>
  <c r="T306" i="16"/>
  <c r="BA305" i="16"/>
  <c r="AX305" i="16"/>
  <c r="AG305" i="16"/>
  <c r="AF305" i="16"/>
  <c r="T305" i="16"/>
  <c r="BA304" i="16"/>
  <c r="AX304" i="16"/>
  <c r="AG304" i="16"/>
  <c r="AF304" i="16"/>
  <c r="T304" i="16"/>
  <c r="BA303" i="16"/>
  <c r="AX303" i="16"/>
  <c r="AG303" i="16"/>
  <c r="AF303" i="16"/>
  <c r="T303" i="16"/>
  <c r="BA302" i="16"/>
  <c r="AX302" i="16"/>
  <c r="AG302" i="16"/>
  <c r="AF302" i="16"/>
  <c r="T302" i="16"/>
  <c r="BA301" i="16"/>
  <c r="AX301" i="16"/>
  <c r="AG301" i="16"/>
  <c r="AF301" i="16"/>
  <c r="T301" i="16"/>
  <c r="BA300" i="16"/>
  <c r="AX300" i="16"/>
  <c r="AG300" i="16"/>
  <c r="AF300" i="16"/>
  <c r="T300" i="16"/>
  <c r="BA299" i="16"/>
  <c r="AX299" i="16"/>
  <c r="AG299" i="16"/>
  <c r="AF299" i="16"/>
  <c r="T299" i="16"/>
  <c r="BA298" i="16"/>
  <c r="AX298" i="16"/>
  <c r="AG298" i="16"/>
  <c r="AF298" i="16"/>
  <c r="T298" i="16"/>
  <c r="BA297" i="16"/>
  <c r="AX297" i="16"/>
  <c r="AG297" i="16"/>
  <c r="AF297" i="16"/>
  <c r="T297" i="16"/>
  <c r="BA296" i="16"/>
  <c r="AX296" i="16"/>
  <c r="AG296" i="16"/>
  <c r="AF296" i="16"/>
  <c r="T296" i="16"/>
  <c r="BA295" i="16"/>
  <c r="AX295" i="16"/>
  <c r="AG295" i="16"/>
  <c r="AF295" i="16"/>
  <c r="T295" i="16"/>
  <c r="BA294" i="16"/>
  <c r="AX294" i="16"/>
  <c r="AG294" i="16"/>
  <c r="AF294" i="16"/>
  <c r="T294" i="16"/>
  <c r="BA293" i="16"/>
  <c r="AX293" i="16"/>
  <c r="AG293" i="16"/>
  <c r="AF293" i="16"/>
  <c r="T293" i="16"/>
  <c r="BA292" i="16"/>
  <c r="AX292" i="16"/>
  <c r="AG292" i="16"/>
  <c r="AF292" i="16"/>
  <c r="T292" i="16"/>
  <c r="BA291" i="16"/>
  <c r="AX291" i="16"/>
  <c r="AG291" i="16"/>
  <c r="AF291" i="16"/>
  <c r="T291" i="16"/>
  <c r="BA290" i="16"/>
  <c r="AX290" i="16"/>
  <c r="AG290" i="16"/>
  <c r="AF290" i="16"/>
  <c r="T290" i="16"/>
  <c r="BA289" i="16"/>
  <c r="AX289" i="16"/>
  <c r="AG289" i="16"/>
  <c r="AF289" i="16"/>
  <c r="T289" i="16"/>
  <c r="BA288" i="16"/>
  <c r="AX288" i="16"/>
  <c r="AG288" i="16"/>
  <c r="AF288" i="16"/>
  <c r="T288" i="16"/>
  <c r="BA287" i="16"/>
  <c r="AX287" i="16"/>
  <c r="AG287" i="16"/>
  <c r="AF287" i="16"/>
  <c r="T287" i="16"/>
  <c r="BA286" i="16"/>
  <c r="AX286" i="16"/>
  <c r="AG286" i="16"/>
  <c r="AF286" i="16"/>
  <c r="T286" i="16"/>
  <c r="BA285" i="16"/>
  <c r="AX285" i="16"/>
  <c r="AG285" i="16"/>
  <c r="AF285" i="16"/>
  <c r="T285" i="16"/>
  <c r="BA284" i="16"/>
  <c r="AX284" i="16"/>
  <c r="AG284" i="16"/>
  <c r="AF284" i="16"/>
  <c r="T284" i="16"/>
  <c r="BA283" i="16"/>
  <c r="AX283" i="16"/>
  <c r="AG283" i="16"/>
  <c r="AF283" i="16"/>
  <c r="T283" i="16"/>
  <c r="BA282" i="16"/>
  <c r="AX282" i="16"/>
  <c r="AG282" i="16"/>
  <c r="AF282" i="16"/>
  <c r="T282" i="16"/>
  <c r="BA281" i="16"/>
  <c r="AX281" i="16"/>
  <c r="AG281" i="16"/>
  <c r="AF281" i="16"/>
  <c r="T281" i="16"/>
  <c r="BA280" i="16"/>
  <c r="AX280" i="16"/>
  <c r="AG280" i="16"/>
  <c r="AF280" i="16"/>
  <c r="T280" i="16"/>
  <c r="BA279" i="16"/>
  <c r="AX279" i="16"/>
  <c r="AG279" i="16"/>
  <c r="AF279" i="16"/>
  <c r="T279" i="16"/>
  <c r="BA278" i="16"/>
  <c r="AX278" i="16"/>
  <c r="AG278" i="16"/>
  <c r="AF278" i="16"/>
  <c r="T278" i="16"/>
  <c r="BA277" i="16"/>
  <c r="AX277" i="16"/>
  <c r="AG277" i="16"/>
  <c r="AF277" i="16"/>
  <c r="T277" i="16"/>
  <c r="BA276" i="16"/>
  <c r="AX276" i="16"/>
  <c r="AG276" i="16"/>
  <c r="AF276" i="16"/>
  <c r="T276" i="16"/>
  <c r="BA275" i="16"/>
  <c r="AX275" i="16"/>
  <c r="AG275" i="16"/>
  <c r="AF275" i="16"/>
  <c r="T275" i="16"/>
  <c r="BA274" i="16"/>
  <c r="AX274" i="16"/>
  <c r="AG274" i="16"/>
  <c r="AF274" i="16"/>
  <c r="T274" i="16"/>
  <c r="BA273" i="16"/>
  <c r="AX273" i="16"/>
  <c r="AG273" i="16"/>
  <c r="AF273" i="16"/>
  <c r="T273" i="16"/>
  <c r="BA272" i="16"/>
  <c r="AX272" i="16"/>
  <c r="AG272" i="16"/>
  <c r="AF272" i="16"/>
  <c r="T272" i="16"/>
  <c r="BA271" i="16"/>
  <c r="AX271" i="16"/>
  <c r="AG271" i="16"/>
  <c r="AF271" i="16"/>
  <c r="T271" i="16"/>
  <c r="BA270" i="16"/>
  <c r="AX270" i="16"/>
  <c r="AG270" i="16"/>
  <c r="AF270" i="16"/>
  <c r="T270" i="16"/>
  <c r="BA269" i="16"/>
  <c r="AX269" i="16"/>
  <c r="AG269" i="16"/>
  <c r="AF269" i="16"/>
  <c r="T269" i="16"/>
  <c r="BA268" i="16"/>
  <c r="AX268" i="16"/>
  <c r="AG268" i="16"/>
  <c r="AF268" i="16"/>
  <c r="T268" i="16"/>
  <c r="BA267" i="16"/>
  <c r="AX267" i="16"/>
  <c r="AG267" i="16"/>
  <c r="AF267" i="16"/>
  <c r="T267" i="16"/>
  <c r="BA266" i="16"/>
  <c r="AX266" i="16"/>
  <c r="AG266" i="16"/>
  <c r="AF266" i="16"/>
  <c r="T266" i="16"/>
  <c r="BA265" i="16"/>
  <c r="AX265" i="16"/>
  <c r="AG265" i="16"/>
  <c r="AF265" i="16"/>
  <c r="T265" i="16"/>
  <c r="BA264" i="16"/>
  <c r="AX264" i="16"/>
  <c r="AG264" i="16"/>
  <c r="AF264" i="16"/>
  <c r="T264" i="16"/>
  <c r="BA263" i="16"/>
  <c r="AX263" i="16"/>
  <c r="AG263" i="16"/>
  <c r="AF263" i="16"/>
  <c r="T263" i="16"/>
  <c r="BA262" i="16"/>
  <c r="AX262" i="16"/>
  <c r="AG262" i="16"/>
  <c r="AF262" i="16"/>
  <c r="T262" i="16"/>
  <c r="BA261" i="16"/>
  <c r="AX261" i="16"/>
  <c r="AG261" i="16"/>
  <c r="AF261" i="16"/>
  <c r="T261" i="16"/>
  <c r="BA260" i="16"/>
  <c r="AX260" i="16"/>
  <c r="AG260" i="16"/>
  <c r="AF260" i="16"/>
  <c r="T260" i="16"/>
  <c r="BA259" i="16"/>
  <c r="AX259" i="16"/>
  <c r="AG259" i="16"/>
  <c r="AF259" i="16"/>
  <c r="T259" i="16"/>
  <c r="BA258" i="16"/>
  <c r="AX258" i="16"/>
  <c r="AG258" i="16"/>
  <c r="AF258" i="16"/>
  <c r="T258" i="16"/>
  <c r="BA257" i="16"/>
  <c r="AX257" i="16"/>
  <c r="AG257" i="16"/>
  <c r="AF257" i="16"/>
  <c r="T257" i="16"/>
  <c r="BA256" i="16"/>
  <c r="AX256" i="16"/>
  <c r="AG256" i="16"/>
  <c r="AF256" i="16"/>
  <c r="T256" i="16"/>
  <c r="BA255" i="16"/>
  <c r="AX255" i="16"/>
  <c r="AG255" i="16"/>
  <c r="AF255" i="16"/>
  <c r="T255" i="16"/>
  <c r="BA254" i="16"/>
  <c r="AX254" i="16"/>
  <c r="AG254" i="16"/>
  <c r="AF254" i="16"/>
  <c r="T254" i="16"/>
  <c r="BA253" i="16"/>
  <c r="AX253" i="16"/>
  <c r="AG253" i="16"/>
  <c r="AF253" i="16"/>
  <c r="T253" i="16"/>
  <c r="BA252" i="16"/>
  <c r="AX252" i="16"/>
  <c r="AG252" i="16"/>
  <c r="AF252" i="16"/>
  <c r="T252" i="16"/>
  <c r="BA251" i="16"/>
  <c r="AX251" i="16"/>
  <c r="AG251" i="16"/>
  <c r="AF251" i="16"/>
  <c r="T251" i="16"/>
  <c r="BA250" i="16"/>
  <c r="AX250" i="16"/>
  <c r="AG250" i="16"/>
  <c r="AF250" i="16"/>
  <c r="T250" i="16"/>
  <c r="BA249" i="16"/>
  <c r="AX249" i="16"/>
  <c r="AG249" i="16"/>
  <c r="AF249" i="16"/>
  <c r="T249" i="16"/>
  <c r="BA248" i="16"/>
  <c r="AX248" i="16"/>
  <c r="AG248" i="16"/>
  <c r="AF248" i="16"/>
  <c r="T248" i="16"/>
  <c r="BA247" i="16"/>
  <c r="AX247" i="16"/>
  <c r="AG247" i="16"/>
  <c r="AF247" i="16"/>
  <c r="T247" i="16"/>
  <c r="BA246" i="16"/>
  <c r="AX246" i="16"/>
  <c r="AG246" i="16"/>
  <c r="AF246" i="16"/>
  <c r="T246" i="16"/>
  <c r="BA245" i="16"/>
  <c r="AX245" i="16"/>
  <c r="AG245" i="16"/>
  <c r="AF245" i="16"/>
  <c r="T245" i="16"/>
  <c r="BA244" i="16"/>
  <c r="AX244" i="16"/>
  <c r="AG244" i="16"/>
  <c r="AF244" i="16"/>
  <c r="T244" i="16"/>
  <c r="BA243" i="16"/>
  <c r="AX243" i="16"/>
  <c r="AG243" i="16"/>
  <c r="AF243" i="16"/>
  <c r="T243" i="16"/>
  <c r="BA242" i="16"/>
  <c r="AX242" i="16"/>
  <c r="AG242" i="16"/>
  <c r="AF242" i="16"/>
  <c r="T242" i="16"/>
  <c r="BA241" i="16"/>
  <c r="AX241" i="16"/>
  <c r="AG241" i="16"/>
  <c r="AF241" i="16"/>
  <c r="T241" i="16"/>
  <c r="BA240" i="16"/>
  <c r="AX240" i="16"/>
  <c r="AG240" i="16"/>
  <c r="AF240" i="16"/>
  <c r="T240" i="16"/>
  <c r="BA239" i="16"/>
  <c r="AX239" i="16"/>
  <c r="AG239" i="16"/>
  <c r="AF239" i="16"/>
  <c r="T239" i="16"/>
  <c r="BA238" i="16"/>
  <c r="AX238" i="16"/>
  <c r="AG238" i="16"/>
  <c r="AF238" i="16"/>
  <c r="T238" i="16"/>
  <c r="BA237" i="16"/>
  <c r="AX237" i="16"/>
  <c r="AG237" i="16"/>
  <c r="AF237" i="16"/>
  <c r="T237" i="16"/>
  <c r="BA236" i="16"/>
  <c r="AX236" i="16"/>
  <c r="AG236" i="16"/>
  <c r="AF236" i="16"/>
  <c r="T236" i="16"/>
  <c r="BA235" i="16"/>
  <c r="AX235" i="16"/>
  <c r="AG235" i="16"/>
  <c r="AF235" i="16"/>
  <c r="T235" i="16"/>
  <c r="BA234" i="16"/>
  <c r="AX234" i="16"/>
  <c r="AG234" i="16"/>
  <c r="AF234" i="16"/>
  <c r="T234" i="16"/>
  <c r="BA233" i="16"/>
  <c r="AX233" i="16"/>
  <c r="AG233" i="16"/>
  <c r="AF233" i="16"/>
  <c r="T233" i="16"/>
  <c r="BA232" i="16"/>
  <c r="AX232" i="16"/>
  <c r="AG232" i="16"/>
  <c r="AF232" i="16"/>
  <c r="T232" i="16"/>
  <c r="BA231" i="16"/>
  <c r="AX231" i="16"/>
  <c r="AG231" i="16"/>
  <c r="AF231" i="16"/>
  <c r="T231" i="16"/>
  <c r="BA230" i="16"/>
  <c r="AX230" i="16"/>
  <c r="AG230" i="16"/>
  <c r="AF230" i="16"/>
  <c r="T230" i="16"/>
  <c r="BA229" i="16"/>
  <c r="AX229" i="16"/>
  <c r="AG229" i="16"/>
  <c r="AF229" i="16"/>
  <c r="T229" i="16"/>
  <c r="BA228" i="16"/>
  <c r="AX228" i="16"/>
  <c r="AG228" i="16"/>
  <c r="AF228" i="16"/>
  <c r="T228" i="16"/>
  <c r="BA227" i="16"/>
  <c r="AX227" i="16"/>
  <c r="AG227" i="16"/>
  <c r="AF227" i="16"/>
  <c r="T227" i="16"/>
  <c r="BA226" i="16"/>
  <c r="AX226" i="16"/>
  <c r="AG226" i="16"/>
  <c r="AF226" i="16"/>
  <c r="T226" i="16"/>
  <c r="BA225" i="16"/>
  <c r="AX225" i="16"/>
  <c r="AG225" i="16"/>
  <c r="AF225" i="16"/>
  <c r="T225" i="16"/>
  <c r="BA224" i="16"/>
  <c r="AX224" i="16"/>
  <c r="AG224" i="16"/>
  <c r="AF224" i="16"/>
  <c r="T224" i="16"/>
  <c r="BA223" i="16"/>
  <c r="AX223" i="16"/>
  <c r="AG223" i="16"/>
  <c r="AF223" i="16"/>
  <c r="T223" i="16"/>
  <c r="BA222" i="16"/>
  <c r="AX222" i="16"/>
  <c r="AG222" i="16"/>
  <c r="AF222" i="16"/>
  <c r="T222" i="16"/>
  <c r="BA221" i="16"/>
  <c r="AX221" i="16"/>
  <c r="AG221" i="16"/>
  <c r="AF221" i="16"/>
  <c r="T221" i="16"/>
  <c r="BA220" i="16"/>
  <c r="AX220" i="16"/>
  <c r="AG220" i="16"/>
  <c r="AF220" i="16"/>
  <c r="T220" i="16"/>
  <c r="BA219" i="16"/>
  <c r="AX219" i="16"/>
  <c r="AG219" i="16"/>
  <c r="AF219" i="16"/>
  <c r="T219" i="16"/>
  <c r="BA218" i="16"/>
  <c r="AX218" i="16"/>
  <c r="AG218" i="16"/>
  <c r="AF218" i="16"/>
  <c r="T218" i="16"/>
  <c r="BA217" i="16"/>
  <c r="AX217" i="16"/>
  <c r="AG217" i="16"/>
  <c r="AF217" i="16"/>
  <c r="T217" i="16"/>
  <c r="BA216" i="16"/>
  <c r="AX216" i="16"/>
  <c r="AG216" i="16"/>
  <c r="AF216" i="16"/>
  <c r="T216" i="16"/>
  <c r="BA215" i="16"/>
  <c r="AX215" i="16"/>
  <c r="AG215" i="16"/>
  <c r="AF215" i="16"/>
  <c r="T215" i="16"/>
  <c r="BA214" i="16"/>
  <c r="AX214" i="16"/>
  <c r="AG214" i="16"/>
  <c r="AF214" i="16"/>
  <c r="T214" i="16"/>
  <c r="BA213" i="16"/>
  <c r="AX213" i="16"/>
  <c r="AG213" i="16"/>
  <c r="AF213" i="16"/>
  <c r="T213" i="16"/>
  <c r="BA212" i="16"/>
  <c r="AX212" i="16"/>
  <c r="AG212" i="16"/>
  <c r="AF212" i="16"/>
  <c r="T212" i="16"/>
  <c r="BA211" i="16"/>
  <c r="AX211" i="16"/>
  <c r="AG211" i="16"/>
  <c r="AF211" i="16"/>
  <c r="T211" i="16"/>
  <c r="BA210" i="16"/>
  <c r="AX210" i="16"/>
  <c r="AG210" i="16"/>
  <c r="AF210" i="16"/>
  <c r="T210" i="16"/>
  <c r="BA209" i="16"/>
  <c r="AX209" i="16"/>
  <c r="AG209" i="16"/>
  <c r="AF209" i="16"/>
  <c r="T209" i="16"/>
  <c r="BA208" i="16"/>
  <c r="AX208" i="16"/>
  <c r="AG208" i="16"/>
  <c r="AF208" i="16"/>
  <c r="T208" i="16"/>
  <c r="BA207" i="16"/>
  <c r="AX207" i="16"/>
  <c r="AG207" i="16"/>
  <c r="AF207" i="16"/>
  <c r="T207" i="16"/>
  <c r="BA206" i="16"/>
  <c r="AX206" i="16"/>
  <c r="AG206" i="16"/>
  <c r="AF206" i="16"/>
  <c r="T206" i="16"/>
  <c r="BA205" i="16"/>
  <c r="AX205" i="16"/>
  <c r="AG205" i="16"/>
  <c r="AF205" i="16"/>
  <c r="T205" i="16"/>
  <c r="BA204" i="16"/>
  <c r="AX204" i="16"/>
  <c r="AG204" i="16"/>
  <c r="AF204" i="16"/>
  <c r="T204" i="16"/>
  <c r="BA203" i="16"/>
  <c r="AX203" i="16"/>
  <c r="AG203" i="16"/>
  <c r="AF203" i="16"/>
  <c r="T203" i="16"/>
  <c r="BA202" i="16"/>
  <c r="AX202" i="16"/>
  <c r="AG202" i="16"/>
  <c r="AF202" i="16"/>
  <c r="T202" i="16"/>
  <c r="BA201" i="16"/>
  <c r="AX201" i="16"/>
  <c r="AG201" i="16"/>
  <c r="AF201" i="16"/>
  <c r="T201" i="16"/>
  <c r="BA200" i="16"/>
  <c r="AX200" i="16"/>
  <c r="AG200" i="16"/>
  <c r="AF200" i="16"/>
  <c r="T200" i="16"/>
  <c r="BA199" i="16"/>
  <c r="AX199" i="16"/>
  <c r="AG199" i="16"/>
  <c r="AF199" i="16"/>
  <c r="T199" i="16"/>
  <c r="BA198" i="16"/>
  <c r="AX198" i="16"/>
  <c r="AG198" i="16"/>
  <c r="AF198" i="16"/>
  <c r="T198" i="16"/>
  <c r="BA197" i="16"/>
  <c r="AX197" i="16"/>
  <c r="AG197" i="16"/>
  <c r="AF197" i="16"/>
  <c r="T197" i="16"/>
  <c r="BA196" i="16"/>
  <c r="AX196" i="16"/>
  <c r="AG196" i="16"/>
  <c r="AF196" i="16"/>
  <c r="T196" i="16"/>
  <c r="BA195" i="16"/>
  <c r="AX195" i="16"/>
  <c r="AG195" i="16"/>
  <c r="AF195" i="16"/>
  <c r="T195" i="16"/>
  <c r="BA194" i="16"/>
  <c r="AX194" i="16"/>
  <c r="AG194" i="16"/>
  <c r="AF194" i="16"/>
  <c r="T194" i="16"/>
  <c r="BA193" i="16"/>
  <c r="AX193" i="16"/>
  <c r="AG193" i="16"/>
  <c r="AF193" i="16"/>
  <c r="T193" i="16"/>
  <c r="BA192" i="16"/>
  <c r="AX192" i="16"/>
  <c r="AG192" i="16"/>
  <c r="AF192" i="16"/>
  <c r="T192" i="16"/>
  <c r="BA191" i="16"/>
  <c r="AX191" i="16"/>
  <c r="AG191" i="16"/>
  <c r="AF191" i="16"/>
  <c r="T191" i="16"/>
  <c r="BA190" i="16"/>
  <c r="AX190" i="16"/>
  <c r="AG190" i="16"/>
  <c r="AF190" i="16"/>
  <c r="T190" i="16"/>
  <c r="BA189" i="16"/>
  <c r="AX189" i="16"/>
  <c r="AG189" i="16"/>
  <c r="AF189" i="16"/>
  <c r="T189" i="16"/>
  <c r="BA188" i="16"/>
  <c r="AX188" i="16"/>
  <c r="AG188" i="16"/>
  <c r="AF188" i="16"/>
  <c r="T188" i="16"/>
  <c r="BA187" i="16"/>
  <c r="AX187" i="16"/>
  <c r="AG187" i="16"/>
  <c r="AF187" i="16"/>
  <c r="T187" i="16"/>
  <c r="BA186" i="16"/>
  <c r="AX186" i="16"/>
  <c r="AG186" i="16"/>
  <c r="AF186" i="16"/>
  <c r="T186" i="16"/>
  <c r="BA185" i="16"/>
  <c r="AX185" i="16"/>
  <c r="AG185" i="16"/>
  <c r="AF185" i="16"/>
  <c r="T185" i="16"/>
  <c r="BA184" i="16"/>
  <c r="AX184" i="16"/>
  <c r="AG184" i="16"/>
  <c r="AF184" i="16"/>
  <c r="T184" i="16"/>
  <c r="BA183" i="16"/>
  <c r="AX183" i="16"/>
  <c r="AG183" i="16"/>
  <c r="AF183" i="16"/>
  <c r="T183" i="16"/>
  <c r="BA182" i="16"/>
  <c r="AX182" i="16"/>
  <c r="AG182" i="16"/>
  <c r="AF182" i="16"/>
  <c r="T182" i="16"/>
  <c r="BA181" i="16"/>
  <c r="AX181" i="16"/>
  <c r="AG181" i="16"/>
  <c r="AF181" i="16"/>
  <c r="T181" i="16"/>
  <c r="BA180" i="16"/>
  <c r="AX180" i="16"/>
  <c r="AG180" i="16"/>
  <c r="AF180" i="16"/>
  <c r="T180" i="16"/>
  <c r="BA179" i="16"/>
  <c r="AX179" i="16"/>
  <c r="AG179" i="16"/>
  <c r="AF179" i="16"/>
  <c r="T179" i="16"/>
  <c r="BA178" i="16"/>
  <c r="AX178" i="16"/>
  <c r="AG178" i="16"/>
  <c r="AF178" i="16"/>
  <c r="T178" i="16"/>
  <c r="BA177" i="16"/>
  <c r="AX177" i="16"/>
  <c r="AG177" i="16"/>
  <c r="AF177" i="16"/>
  <c r="T177" i="16"/>
  <c r="BA176" i="16"/>
  <c r="AX176" i="16"/>
  <c r="AG176" i="16"/>
  <c r="AF176" i="16"/>
  <c r="T176" i="16"/>
  <c r="BA175" i="16"/>
  <c r="AX175" i="16"/>
  <c r="AG175" i="16"/>
  <c r="AF175" i="16"/>
  <c r="T175" i="16"/>
  <c r="BA174" i="16"/>
  <c r="AX174" i="16"/>
  <c r="AG174" i="16"/>
  <c r="AF174" i="16"/>
  <c r="T174" i="16"/>
  <c r="BA173" i="16"/>
  <c r="AX173" i="16"/>
  <c r="AG173" i="16"/>
  <c r="AF173" i="16"/>
  <c r="T173" i="16"/>
  <c r="BA172" i="16"/>
  <c r="AX172" i="16"/>
  <c r="AG172" i="16"/>
  <c r="AF172" i="16"/>
  <c r="T172" i="16"/>
  <c r="BA171" i="16"/>
  <c r="AX171" i="16"/>
  <c r="AG171" i="16"/>
  <c r="AF171" i="16"/>
  <c r="T171" i="16"/>
  <c r="BA170" i="16"/>
  <c r="AX170" i="16"/>
  <c r="AG170" i="16"/>
  <c r="AF170" i="16"/>
  <c r="T170" i="16"/>
  <c r="BA169" i="16"/>
  <c r="AX169" i="16"/>
  <c r="AG169" i="16"/>
  <c r="AF169" i="16"/>
  <c r="T169" i="16"/>
  <c r="BA168" i="16"/>
  <c r="AX168" i="16"/>
  <c r="AG168" i="16"/>
  <c r="AF168" i="16"/>
  <c r="T168" i="16"/>
  <c r="BA167" i="16"/>
  <c r="AX167" i="16"/>
  <c r="AG167" i="16"/>
  <c r="AF167" i="16"/>
  <c r="T167" i="16"/>
  <c r="BA166" i="16"/>
  <c r="AX166" i="16"/>
  <c r="AG166" i="16"/>
  <c r="AF166" i="16"/>
  <c r="T166" i="16"/>
  <c r="BA165" i="16"/>
  <c r="AX165" i="16"/>
  <c r="AG165" i="16"/>
  <c r="AF165" i="16"/>
  <c r="T165" i="16"/>
  <c r="BA164" i="16"/>
  <c r="AX164" i="16"/>
  <c r="AG164" i="16"/>
  <c r="AF164" i="16"/>
  <c r="T164" i="16"/>
  <c r="BA163" i="16"/>
  <c r="AX163" i="16"/>
  <c r="AG163" i="16"/>
  <c r="AF163" i="16"/>
  <c r="T163" i="16"/>
  <c r="BA162" i="16"/>
  <c r="AX162" i="16"/>
  <c r="AG162" i="16"/>
  <c r="AF162" i="16"/>
  <c r="T162" i="16"/>
  <c r="BA161" i="16"/>
  <c r="AX161" i="16"/>
  <c r="AG161" i="16"/>
  <c r="AF161" i="16"/>
  <c r="T161" i="16"/>
  <c r="BA160" i="16"/>
  <c r="AX160" i="16"/>
  <c r="AG160" i="16"/>
  <c r="AF160" i="16"/>
  <c r="T160" i="16"/>
  <c r="BA159" i="16"/>
  <c r="AX159" i="16"/>
  <c r="AG159" i="16"/>
  <c r="AF159" i="16"/>
  <c r="T159" i="16"/>
  <c r="BA158" i="16"/>
  <c r="AX158" i="16"/>
  <c r="AG158" i="16"/>
  <c r="AF158" i="16"/>
  <c r="T158" i="16"/>
  <c r="BA157" i="16"/>
  <c r="AX157" i="16"/>
  <c r="AG157" i="16"/>
  <c r="AF157" i="16"/>
  <c r="T157" i="16"/>
  <c r="BA156" i="16"/>
  <c r="AX156" i="16"/>
  <c r="AG156" i="16"/>
  <c r="AF156" i="16"/>
  <c r="T156" i="16"/>
  <c r="BA155" i="16"/>
  <c r="AX155" i="16"/>
  <c r="AG155" i="16"/>
  <c r="AF155" i="16"/>
  <c r="T155" i="16"/>
  <c r="BA154" i="16"/>
  <c r="AX154" i="16"/>
  <c r="AG154" i="16"/>
  <c r="AF154" i="16"/>
  <c r="T154" i="16"/>
  <c r="BA153" i="16"/>
  <c r="AX153" i="16"/>
  <c r="AG153" i="16"/>
  <c r="AF153" i="16"/>
  <c r="T153" i="16"/>
  <c r="BA152" i="16"/>
  <c r="AX152" i="16"/>
  <c r="AG152" i="16"/>
  <c r="AF152" i="16"/>
  <c r="T152" i="16"/>
  <c r="BA151" i="16"/>
  <c r="AX151" i="16"/>
  <c r="AG151" i="16"/>
  <c r="AF151" i="16"/>
  <c r="T151" i="16"/>
  <c r="BA150" i="16"/>
  <c r="AX150" i="16"/>
  <c r="AG150" i="16"/>
  <c r="AF150" i="16"/>
  <c r="T150" i="16"/>
  <c r="BA149" i="16"/>
  <c r="AX149" i="16"/>
  <c r="AG149" i="16"/>
  <c r="AF149" i="16"/>
  <c r="T149" i="16"/>
  <c r="BA148" i="16"/>
  <c r="AX148" i="16"/>
  <c r="AG148" i="16"/>
  <c r="AF148" i="16"/>
  <c r="T148" i="16"/>
  <c r="BA147" i="16"/>
  <c r="AX147" i="16"/>
  <c r="AG147" i="16"/>
  <c r="AF147" i="16"/>
  <c r="T147" i="16"/>
  <c r="BA146" i="16"/>
  <c r="AX146" i="16"/>
  <c r="AG146" i="16"/>
  <c r="AF146" i="16"/>
  <c r="T146" i="16"/>
  <c r="BA145" i="16"/>
  <c r="AX145" i="16"/>
  <c r="AG145" i="16"/>
  <c r="AF145" i="16"/>
  <c r="T145" i="16"/>
  <c r="BA144" i="16"/>
  <c r="AX144" i="16"/>
  <c r="AG144" i="16"/>
  <c r="AF144" i="16"/>
  <c r="T144" i="16"/>
  <c r="BA143" i="16"/>
  <c r="AX143" i="16"/>
  <c r="AG143" i="16"/>
  <c r="AF143" i="16"/>
  <c r="T143" i="16"/>
  <c r="BA142" i="16"/>
  <c r="AX142" i="16"/>
  <c r="AG142" i="16"/>
  <c r="AF142" i="16"/>
  <c r="T142" i="16"/>
  <c r="BA141" i="16"/>
  <c r="AX141" i="16"/>
  <c r="AG141" i="16"/>
  <c r="AF141" i="16"/>
  <c r="T141" i="16"/>
  <c r="BA140" i="16"/>
  <c r="AX140" i="16"/>
  <c r="AG140" i="16"/>
  <c r="AF140" i="16"/>
  <c r="T140" i="16"/>
  <c r="BA139" i="16"/>
  <c r="AX139" i="16"/>
  <c r="AG139" i="16"/>
  <c r="AF139" i="16"/>
  <c r="T139" i="16"/>
  <c r="BA138" i="16"/>
  <c r="AX138" i="16"/>
  <c r="AG138" i="16"/>
  <c r="AF138" i="16"/>
  <c r="T138" i="16"/>
  <c r="BA137" i="16"/>
  <c r="AX137" i="16"/>
  <c r="AG137" i="16"/>
  <c r="AF137" i="16"/>
  <c r="T137" i="16"/>
  <c r="BA136" i="16"/>
  <c r="AX136" i="16"/>
  <c r="AG136" i="16"/>
  <c r="AF136" i="16"/>
  <c r="T136" i="16"/>
  <c r="BA135" i="16"/>
  <c r="AX135" i="16"/>
  <c r="AG135" i="16"/>
  <c r="AF135" i="16"/>
  <c r="T135" i="16"/>
  <c r="BA134" i="16"/>
  <c r="AX134" i="16"/>
  <c r="AG134" i="16"/>
  <c r="AF134" i="16"/>
  <c r="T134" i="16"/>
  <c r="BA133" i="16"/>
  <c r="AX133" i="16"/>
  <c r="AG133" i="16"/>
  <c r="AF133" i="16"/>
  <c r="T133" i="16"/>
  <c r="BA132" i="16"/>
  <c r="AX132" i="16"/>
  <c r="AG132" i="16"/>
  <c r="AF132" i="16"/>
  <c r="T132" i="16"/>
  <c r="BA131" i="16"/>
  <c r="AX131" i="16"/>
  <c r="AG131" i="16"/>
  <c r="AF131" i="16"/>
  <c r="T131" i="16"/>
  <c r="BA130" i="16"/>
  <c r="AX130" i="16"/>
  <c r="AG130" i="16"/>
  <c r="AF130" i="16"/>
  <c r="T130" i="16"/>
  <c r="BA129" i="16"/>
  <c r="AX129" i="16"/>
  <c r="AG129" i="16"/>
  <c r="AF129" i="16"/>
  <c r="T129" i="16"/>
  <c r="BA128" i="16"/>
  <c r="AX128" i="16"/>
  <c r="AG128" i="16"/>
  <c r="AF128" i="16"/>
  <c r="T128" i="16"/>
  <c r="BA127" i="16"/>
  <c r="AX127" i="16"/>
  <c r="AG127" i="16"/>
  <c r="AF127" i="16"/>
  <c r="T127" i="16"/>
  <c r="BA126" i="16"/>
  <c r="AX126" i="16"/>
  <c r="AG126" i="16"/>
  <c r="AF126" i="16"/>
  <c r="T126" i="16"/>
  <c r="BA125" i="16"/>
  <c r="AX125" i="16"/>
  <c r="AG125" i="16"/>
  <c r="AF125" i="16"/>
  <c r="T125" i="16"/>
  <c r="BA124" i="16"/>
  <c r="AX124" i="16"/>
  <c r="AG124" i="16"/>
  <c r="AF124" i="16"/>
  <c r="T124" i="16"/>
  <c r="BA123" i="16"/>
  <c r="AX123" i="16"/>
  <c r="AG123" i="16"/>
  <c r="AF123" i="16"/>
  <c r="T123" i="16"/>
  <c r="BA122" i="16"/>
  <c r="AX122" i="16"/>
  <c r="AG122" i="16"/>
  <c r="AF122" i="16"/>
  <c r="T122" i="16"/>
  <c r="BA121" i="16"/>
  <c r="AX121" i="16"/>
  <c r="AG121" i="16"/>
  <c r="AF121" i="16"/>
  <c r="T121" i="16"/>
  <c r="BA120" i="16"/>
  <c r="AX120" i="16"/>
  <c r="AG120" i="16"/>
  <c r="AF120" i="16"/>
  <c r="T120" i="16"/>
  <c r="BA119" i="16"/>
  <c r="AX119" i="16"/>
  <c r="AG119" i="16"/>
  <c r="AF119" i="16"/>
  <c r="T119" i="16"/>
  <c r="BA118" i="16"/>
  <c r="AX118" i="16"/>
  <c r="AG118" i="16"/>
  <c r="AF118" i="16"/>
  <c r="T118" i="16"/>
  <c r="BA117" i="16"/>
  <c r="AX117" i="16"/>
  <c r="AG117" i="16"/>
  <c r="AF117" i="16"/>
  <c r="T117" i="16"/>
  <c r="BA116" i="16"/>
  <c r="AX116" i="16"/>
  <c r="AG116" i="16"/>
  <c r="AF116" i="16"/>
  <c r="T116" i="16"/>
  <c r="BA115" i="16"/>
  <c r="AX115" i="16"/>
  <c r="AG115" i="16"/>
  <c r="AF115" i="16"/>
  <c r="T115" i="16"/>
  <c r="BA114" i="16"/>
  <c r="AX114" i="16"/>
  <c r="AG114" i="16"/>
  <c r="AF114" i="16"/>
  <c r="T114" i="16"/>
  <c r="BA113" i="16"/>
  <c r="AX113" i="16"/>
  <c r="AG113" i="16"/>
  <c r="AF113" i="16"/>
  <c r="T113" i="16"/>
  <c r="BA112" i="16"/>
  <c r="AX112" i="16"/>
  <c r="AG112" i="16"/>
  <c r="AF112" i="16"/>
  <c r="T112" i="16"/>
  <c r="BA111" i="16"/>
  <c r="AX111" i="16"/>
  <c r="AG111" i="16"/>
  <c r="AF111" i="16"/>
  <c r="T111" i="16"/>
  <c r="BA110" i="16"/>
  <c r="AX110" i="16"/>
  <c r="AG110" i="16"/>
  <c r="AF110" i="16"/>
  <c r="T110" i="16"/>
  <c r="BA109" i="16"/>
  <c r="AX109" i="16"/>
  <c r="AG109" i="16"/>
  <c r="AF109" i="16"/>
  <c r="T109" i="16"/>
  <c r="BA108" i="16"/>
  <c r="AX108" i="16"/>
  <c r="AG108" i="16"/>
  <c r="AF108" i="16"/>
  <c r="T108" i="16"/>
  <c r="BA107" i="16"/>
  <c r="AX107" i="16"/>
  <c r="AG107" i="16"/>
  <c r="AF107" i="16"/>
  <c r="T107" i="16"/>
  <c r="BA106" i="16"/>
  <c r="AX106" i="16"/>
  <c r="AG106" i="16"/>
  <c r="AF106" i="16"/>
  <c r="T106" i="16"/>
  <c r="BA105" i="16"/>
  <c r="AX105" i="16"/>
  <c r="AG105" i="16"/>
  <c r="AF105" i="16"/>
  <c r="T105" i="16"/>
  <c r="BA104" i="16"/>
  <c r="AX104" i="16"/>
  <c r="AG104" i="16"/>
  <c r="AF104" i="16"/>
  <c r="T104" i="16"/>
  <c r="BA103" i="16"/>
  <c r="AX103" i="16"/>
  <c r="AG103" i="16"/>
  <c r="AF103" i="16"/>
  <c r="T103" i="16"/>
  <c r="BA102" i="16"/>
  <c r="AX102" i="16"/>
  <c r="AG102" i="16"/>
  <c r="AF102" i="16"/>
  <c r="T102" i="16"/>
  <c r="BA101" i="16"/>
  <c r="AX101" i="16"/>
  <c r="AG101" i="16"/>
  <c r="AF101" i="16"/>
  <c r="T101" i="16"/>
  <c r="BA100" i="16"/>
  <c r="AX100" i="16"/>
  <c r="AG100" i="16"/>
  <c r="AF100" i="16"/>
  <c r="T100" i="16"/>
  <c r="BA99" i="16"/>
  <c r="AX99" i="16"/>
  <c r="AG99" i="16"/>
  <c r="AF99" i="16"/>
  <c r="T99" i="16"/>
  <c r="BA98" i="16"/>
  <c r="AX98" i="16"/>
  <c r="AG98" i="16"/>
  <c r="AF98" i="16"/>
  <c r="T98" i="16"/>
  <c r="BA97" i="16"/>
  <c r="AX97" i="16"/>
  <c r="AG97" i="16"/>
  <c r="AF97" i="16"/>
  <c r="T97" i="16"/>
  <c r="BA96" i="16"/>
  <c r="AX96" i="16"/>
  <c r="AG96" i="16"/>
  <c r="AF96" i="16"/>
  <c r="T96" i="16"/>
  <c r="BA95" i="16"/>
  <c r="AX95" i="16"/>
  <c r="AG95" i="16"/>
  <c r="AF95" i="16"/>
  <c r="T95" i="16"/>
  <c r="BA94" i="16"/>
  <c r="AX94" i="16"/>
  <c r="AG94" i="16"/>
  <c r="AF94" i="16"/>
  <c r="T94" i="16"/>
  <c r="BA93" i="16"/>
  <c r="AX93" i="16"/>
  <c r="AG93" i="16"/>
  <c r="AF93" i="16"/>
  <c r="T93" i="16"/>
  <c r="BA92" i="16"/>
  <c r="AX92" i="16"/>
  <c r="AG92" i="16"/>
  <c r="AF92" i="16"/>
  <c r="T92" i="16"/>
  <c r="BA91" i="16"/>
  <c r="AX91" i="16"/>
  <c r="AG91" i="16"/>
  <c r="AF91" i="16"/>
  <c r="T91" i="16"/>
  <c r="BA90" i="16"/>
  <c r="AX90" i="16"/>
  <c r="AG90" i="16"/>
  <c r="AF90" i="16"/>
  <c r="T90" i="16"/>
  <c r="BA89" i="16"/>
  <c r="AX89" i="16"/>
  <c r="AG89" i="16"/>
  <c r="AF89" i="16"/>
  <c r="T89" i="16"/>
  <c r="BA88" i="16"/>
  <c r="AX88" i="16"/>
  <c r="AG88" i="16"/>
  <c r="AF88" i="16"/>
  <c r="T88" i="16"/>
  <c r="BA87" i="16"/>
  <c r="AX87" i="16"/>
  <c r="AG87" i="16"/>
  <c r="AF87" i="16"/>
  <c r="T87" i="16"/>
  <c r="BA86" i="16"/>
  <c r="AX86" i="16"/>
  <c r="AG86" i="16"/>
  <c r="AF86" i="16"/>
  <c r="T86" i="16"/>
  <c r="BA85" i="16"/>
  <c r="AX85" i="16"/>
  <c r="AG85" i="16"/>
  <c r="AF85" i="16"/>
  <c r="T85" i="16"/>
  <c r="BA84" i="16"/>
  <c r="AX84" i="16"/>
  <c r="AG84" i="16"/>
  <c r="AF84" i="16"/>
  <c r="T84" i="16"/>
  <c r="BA83" i="16"/>
  <c r="AX83" i="16"/>
  <c r="AG83" i="16"/>
  <c r="AF83" i="16"/>
  <c r="T83" i="16"/>
  <c r="BA82" i="16"/>
  <c r="AX82" i="16"/>
  <c r="AG82" i="16"/>
  <c r="AF82" i="16"/>
  <c r="T82" i="16"/>
  <c r="BA81" i="16"/>
  <c r="AX81" i="16"/>
  <c r="AG81" i="16"/>
  <c r="AF81" i="16"/>
  <c r="T81" i="16"/>
  <c r="BA80" i="16"/>
  <c r="AX80" i="16"/>
  <c r="AG80" i="16"/>
  <c r="AF80" i="16"/>
  <c r="T80" i="16"/>
  <c r="BA79" i="16"/>
  <c r="AX79" i="16"/>
  <c r="AG79" i="16"/>
  <c r="AF79" i="16"/>
  <c r="T79" i="16"/>
  <c r="BA78" i="16"/>
  <c r="AX78" i="16"/>
  <c r="AG78" i="16"/>
  <c r="AF78" i="16"/>
  <c r="T78" i="16"/>
  <c r="BA77" i="16"/>
  <c r="AX77" i="16"/>
  <c r="AG77" i="16"/>
  <c r="AF77" i="16"/>
  <c r="T77" i="16"/>
  <c r="BA76" i="16"/>
  <c r="AX76" i="16"/>
  <c r="AG76" i="16"/>
  <c r="AF76" i="16"/>
  <c r="T76" i="16"/>
  <c r="BA75" i="16"/>
  <c r="AX75" i="16"/>
  <c r="AG75" i="16"/>
  <c r="AF75" i="16"/>
  <c r="T75" i="16"/>
  <c r="BA74" i="16"/>
  <c r="AX74" i="16"/>
  <c r="AG74" i="16"/>
  <c r="AF74" i="16"/>
  <c r="T74" i="16"/>
  <c r="BA73" i="16"/>
  <c r="AX73" i="16"/>
  <c r="AG73" i="16"/>
  <c r="AF73" i="16"/>
  <c r="T73" i="16"/>
  <c r="BA72" i="16"/>
  <c r="AX72" i="16"/>
  <c r="AG72" i="16"/>
  <c r="AF72" i="16"/>
  <c r="T72" i="16"/>
  <c r="BA71" i="16"/>
  <c r="AX71" i="16"/>
  <c r="AG71" i="16"/>
  <c r="AF71" i="16"/>
  <c r="T71" i="16"/>
  <c r="BA70" i="16"/>
  <c r="AX70" i="16"/>
  <c r="AG70" i="16"/>
  <c r="AF70" i="16"/>
  <c r="T70" i="16"/>
  <c r="BA69" i="16"/>
  <c r="AX69" i="16"/>
  <c r="AG69" i="16"/>
  <c r="AF69" i="16"/>
  <c r="T69" i="16"/>
  <c r="BA68" i="16"/>
  <c r="AX68" i="16"/>
  <c r="AG68" i="16"/>
  <c r="AF68" i="16"/>
  <c r="T68" i="16"/>
  <c r="BA67" i="16"/>
  <c r="AX67" i="16"/>
  <c r="AG67" i="16"/>
  <c r="AF67" i="16"/>
  <c r="T67" i="16"/>
  <c r="BA66" i="16"/>
  <c r="AX66" i="16"/>
  <c r="AG66" i="16"/>
  <c r="AF66" i="16"/>
  <c r="T66" i="16"/>
  <c r="BA65" i="16"/>
  <c r="AX65" i="16"/>
  <c r="AG65" i="16"/>
  <c r="AF65" i="16"/>
  <c r="T65" i="16"/>
  <c r="BA64" i="16"/>
  <c r="AX64" i="16"/>
  <c r="AG64" i="16"/>
  <c r="AF64" i="16"/>
  <c r="T64" i="16"/>
  <c r="BA63" i="16"/>
  <c r="AX63" i="16"/>
  <c r="AG63" i="16"/>
  <c r="AF63" i="16"/>
  <c r="T63" i="16"/>
  <c r="BA62" i="16"/>
  <c r="AX62" i="16"/>
  <c r="AG62" i="16"/>
  <c r="AF62" i="16"/>
  <c r="T62" i="16"/>
  <c r="BA61" i="16"/>
  <c r="AX61" i="16"/>
  <c r="AG61" i="16"/>
  <c r="AF61" i="16"/>
  <c r="T61" i="16"/>
  <c r="BA60" i="16"/>
  <c r="AX60" i="16"/>
  <c r="AG60" i="16"/>
  <c r="AF60" i="16"/>
  <c r="T60" i="16"/>
  <c r="BA59" i="16"/>
  <c r="AX59" i="16"/>
  <c r="AG59" i="16"/>
  <c r="AF59" i="16"/>
  <c r="T59" i="16"/>
  <c r="BA58" i="16"/>
  <c r="AX58" i="16"/>
  <c r="AG58" i="16"/>
  <c r="AF58" i="16"/>
  <c r="T58" i="16"/>
  <c r="BA57" i="16"/>
  <c r="AX57" i="16"/>
  <c r="AG57" i="16"/>
  <c r="AF57" i="16"/>
  <c r="T57" i="16"/>
  <c r="BA56" i="16"/>
  <c r="AX56" i="16"/>
  <c r="AG56" i="16"/>
  <c r="AF56" i="16"/>
  <c r="T56" i="16"/>
  <c r="BA55" i="16"/>
  <c r="AX55" i="16"/>
  <c r="AG55" i="16"/>
  <c r="AF55" i="16"/>
  <c r="T55" i="16"/>
  <c r="BA54" i="16"/>
  <c r="AX54" i="16"/>
  <c r="AG54" i="16"/>
  <c r="AF54" i="16"/>
  <c r="T54" i="16"/>
  <c r="BA53" i="16"/>
  <c r="AX53" i="16"/>
  <c r="AG53" i="16"/>
  <c r="AF53" i="16"/>
  <c r="T53" i="16"/>
  <c r="BA52" i="16"/>
  <c r="AX52" i="16"/>
  <c r="AG52" i="16"/>
  <c r="AF52" i="16"/>
  <c r="T52" i="16"/>
  <c r="BA51" i="16"/>
  <c r="AX51" i="16"/>
  <c r="AG51" i="16"/>
  <c r="AF51" i="16"/>
  <c r="T51" i="16"/>
  <c r="BA50" i="16"/>
  <c r="AX50" i="16"/>
  <c r="AG50" i="16"/>
  <c r="AF50" i="16"/>
  <c r="T50" i="16"/>
  <c r="BA49" i="16"/>
  <c r="AX49" i="16"/>
  <c r="AG49" i="16"/>
  <c r="AF49" i="16"/>
  <c r="T49" i="16"/>
  <c r="BA48" i="16"/>
  <c r="AX48" i="16"/>
  <c r="AG48" i="16"/>
  <c r="AF48" i="16"/>
  <c r="T48" i="16"/>
  <c r="BA47" i="16"/>
  <c r="AX47" i="16"/>
  <c r="AG47" i="16"/>
  <c r="AF47" i="16"/>
  <c r="T47" i="16"/>
  <c r="BA46" i="16"/>
  <c r="AX46" i="16"/>
  <c r="AG46" i="16"/>
  <c r="AF46" i="16"/>
  <c r="T46" i="16"/>
  <c r="BA45" i="16"/>
  <c r="AX45" i="16"/>
  <c r="AG45" i="16"/>
  <c r="AF45" i="16"/>
  <c r="T45" i="16"/>
  <c r="BA44" i="16"/>
  <c r="AX44" i="16"/>
  <c r="AG44" i="16"/>
  <c r="AF44" i="16"/>
  <c r="T44" i="16"/>
  <c r="BA43" i="16"/>
  <c r="AX43" i="16"/>
  <c r="AG43" i="16"/>
  <c r="AF43" i="16"/>
  <c r="T43" i="16"/>
  <c r="BA42" i="16"/>
  <c r="AX42" i="16"/>
  <c r="AG42" i="16"/>
  <c r="AF42" i="16"/>
  <c r="T42" i="16"/>
  <c r="BA41" i="16"/>
  <c r="AX41" i="16"/>
  <c r="AG41" i="16"/>
  <c r="AF41" i="16"/>
  <c r="T41" i="16"/>
  <c r="BA40" i="16"/>
  <c r="AX40" i="16"/>
  <c r="AG40" i="16"/>
  <c r="AF40" i="16"/>
  <c r="T40" i="16"/>
  <c r="BA39" i="16"/>
  <c r="AX39" i="16"/>
  <c r="AG39" i="16"/>
  <c r="AF39" i="16"/>
  <c r="T39" i="16"/>
  <c r="BA38" i="16"/>
  <c r="AX38" i="16"/>
  <c r="AG38" i="16"/>
  <c r="AF38" i="16"/>
  <c r="T38" i="16"/>
  <c r="BA37" i="16"/>
  <c r="AX37" i="16"/>
  <c r="AG37" i="16"/>
  <c r="AF37" i="16"/>
  <c r="T37" i="16"/>
  <c r="BA36" i="16"/>
  <c r="AX36" i="16"/>
  <c r="AG36" i="16"/>
  <c r="AF36" i="16"/>
  <c r="T36" i="16"/>
  <c r="BA35" i="16"/>
  <c r="AX35" i="16"/>
  <c r="AG35" i="16"/>
  <c r="AF35" i="16"/>
  <c r="T35" i="16"/>
  <c r="BA34" i="16"/>
  <c r="AX34" i="16"/>
  <c r="AG34" i="16"/>
  <c r="AF34" i="16"/>
  <c r="T34" i="16"/>
  <c r="BA33" i="16"/>
  <c r="AX33" i="16"/>
  <c r="AG33" i="16"/>
  <c r="AF33" i="16"/>
  <c r="T33" i="16"/>
  <c r="BA32" i="16"/>
  <c r="AX32" i="16"/>
  <c r="AG32" i="16"/>
  <c r="AF32" i="16"/>
  <c r="T32" i="16"/>
  <c r="BA31" i="16"/>
  <c r="AX31" i="16"/>
  <c r="AG31" i="16"/>
  <c r="AF31" i="16"/>
  <c r="T31" i="16"/>
  <c r="BA30" i="16"/>
  <c r="AX30" i="16"/>
  <c r="AG30" i="16"/>
  <c r="AF30" i="16"/>
  <c r="T30" i="16"/>
  <c r="BA29" i="16"/>
  <c r="AX29" i="16"/>
  <c r="AG29" i="16"/>
  <c r="AF29" i="16"/>
  <c r="T29" i="16"/>
  <c r="BA28" i="16"/>
  <c r="AX28" i="16"/>
  <c r="AG28" i="16"/>
  <c r="AF28" i="16"/>
  <c r="T28" i="16"/>
  <c r="BA27" i="16"/>
  <c r="AX27" i="16"/>
  <c r="AG27" i="16"/>
  <c r="AF27" i="16"/>
  <c r="T27" i="16"/>
  <c r="BA26" i="16"/>
  <c r="AX26" i="16"/>
  <c r="AG26" i="16"/>
  <c r="AF26" i="16"/>
  <c r="T26" i="16"/>
  <c r="BA25" i="16"/>
  <c r="AX25" i="16"/>
  <c r="AG25" i="16"/>
  <c r="AF25" i="16"/>
  <c r="T25" i="16"/>
  <c r="BA24" i="16"/>
  <c r="AX24" i="16"/>
  <c r="AG24" i="16"/>
  <c r="AF24" i="16"/>
  <c r="T24" i="16"/>
  <c r="BA23" i="16"/>
  <c r="AX23" i="16"/>
  <c r="AG23" i="16"/>
  <c r="AF23" i="16"/>
  <c r="T23" i="16"/>
  <c r="BA22" i="16"/>
  <c r="AX22" i="16"/>
  <c r="AG22" i="16"/>
  <c r="AF22" i="16"/>
  <c r="T22" i="16"/>
  <c r="BA21" i="16"/>
  <c r="AX21" i="16"/>
  <c r="AG21" i="16"/>
  <c r="AF21" i="16"/>
  <c r="T21" i="16"/>
  <c r="BA20" i="16"/>
  <c r="AX20" i="16"/>
  <c r="AG20" i="16"/>
  <c r="AF20" i="16"/>
  <c r="T20" i="16"/>
  <c r="BA19" i="16"/>
  <c r="AX19" i="16"/>
  <c r="AG19" i="16"/>
  <c r="AF19" i="16"/>
  <c r="T19" i="16"/>
  <c r="BA18" i="16"/>
  <c r="AX18" i="16"/>
  <c r="AG18" i="16"/>
  <c r="AF18" i="16"/>
  <c r="T18" i="16"/>
  <c r="BA16" i="16"/>
  <c r="AX16" i="16"/>
  <c r="AG16" i="16"/>
  <c r="AF16" i="16"/>
  <c r="T16" i="16"/>
  <c r="BA15" i="16"/>
  <c r="AX15" i="16"/>
  <c r="AG15" i="16"/>
  <c r="AF15" i="16"/>
  <c r="T15" i="16"/>
  <c r="BA14" i="16"/>
  <c r="AX14" i="16"/>
  <c r="AG14" i="16"/>
  <c r="AF14" i="16"/>
  <c r="T14" i="16"/>
  <c r="BA13" i="16"/>
  <c r="AX13" i="16"/>
  <c r="AG13" i="16"/>
  <c r="AF13" i="16"/>
  <c r="T13" i="16"/>
  <c r="BA12" i="16"/>
  <c r="AX12" i="16"/>
  <c r="AG12" i="16"/>
  <c r="AF12" i="16"/>
  <c r="T12" i="16"/>
  <c r="BA11" i="16"/>
  <c r="AX11" i="16"/>
  <c r="AG11" i="16"/>
  <c r="AF11" i="16"/>
  <c r="T11" i="16"/>
  <c r="BA10" i="16"/>
  <c r="AX10" i="16"/>
  <c r="AG10" i="16"/>
  <c r="AF10" i="16"/>
  <c r="T10" i="16"/>
  <c r="BA9" i="16"/>
  <c r="AX9" i="16"/>
  <c r="AG9" i="16"/>
  <c r="AF9" i="16"/>
  <c r="T9" i="16"/>
  <c r="BA8" i="16"/>
  <c r="AX8" i="16"/>
  <c r="AG8" i="16"/>
  <c r="AF8" i="16"/>
  <c r="T8" i="16"/>
  <c r="BA7" i="16"/>
  <c r="AX7" i="16"/>
  <c r="AG7" i="16"/>
  <c r="AF7" i="16"/>
  <c r="T7" i="16"/>
  <c r="BA6" i="16"/>
  <c r="AX6" i="16"/>
  <c r="AG6" i="16"/>
  <c r="AF6" i="16"/>
  <c r="T6" i="16"/>
  <c r="BA5" i="16"/>
  <c r="AX5" i="16"/>
  <c r="AG5" i="16"/>
  <c r="AF5" i="16"/>
  <c r="T5" i="16"/>
  <c r="BA4" i="16"/>
  <c r="AX4" i="16"/>
  <c r="AG4" i="16"/>
  <c r="AF4" i="16"/>
  <c r="T4" i="16"/>
  <c r="BA3" i="16"/>
  <c r="AX3" i="16"/>
  <c r="AG3" i="16"/>
  <c r="AF3" i="16"/>
  <c r="T3" i="16"/>
  <c r="BA2" i="16"/>
  <c r="AX2" i="16"/>
  <c r="AG2" i="16"/>
  <c r="AF2" i="16"/>
  <c r="T2" i="16"/>
  <c r="AS472" i="15"/>
  <c r="AB472" i="15"/>
  <c r="AS471" i="15"/>
  <c r="AB471" i="15"/>
  <c r="AS470" i="15"/>
  <c r="AB470" i="15"/>
  <c r="AS469" i="15"/>
  <c r="AB469" i="15"/>
  <c r="AS468" i="15"/>
  <c r="AB468" i="15"/>
  <c r="AS467" i="15"/>
  <c r="AB467" i="15"/>
  <c r="AS466" i="15"/>
  <c r="AB466" i="15"/>
  <c r="AS465" i="15"/>
  <c r="AB465" i="15"/>
  <c r="AS464" i="15"/>
  <c r="AB464" i="15"/>
  <c r="AS463" i="15"/>
  <c r="AB463" i="15"/>
  <c r="AS462" i="15"/>
  <c r="AB462" i="15"/>
  <c r="AS461" i="15"/>
  <c r="AB461" i="15"/>
  <c r="AS460" i="15"/>
  <c r="AB460" i="15"/>
  <c r="AS459" i="15"/>
  <c r="AB459" i="15"/>
  <c r="AS458" i="15"/>
  <c r="AB458" i="15"/>
  <c r="AS457" i="15"/>
  <c r="AB457" i="15"/>
  <c r="AS456" i="15"/>
  <c r="AB456" i="15"/>
  <c r="AS455" i="15"/>
  <c r="AB455" i="15"/>
  <c r="AS454" i="15"/>
  <c r="AB454" i="15"/>
  <c r="AS453" i="15"/>
  <c r="AB453" i="15"/>
  <c r="AS452" i="15"/>
  <c r="AB452" i="15"/>
  <c r="AS451" i="15"/>
  <c r="AB451" i="15"/>
  <c r="AS450" i="15"/>
  <c r="AB450" i="15"/>
  <c r="AS449" i="15"/>
  <c r="AB449" i="15"/>
  <c r="AS448" i="15"/>
  <c r="AB448" i="15"/>
  <c r="AS447" i="15"/>
  <c r="AB447" i="15"/>
  <c r="AS446" i="15"/>
  <c r="AB446" i="15"/>
  <c r="AS445" i="15"/>
  <c r="AB445" i="15"/>
  <c r="AS444" i="15"/>
  <c r="AB444" i="15"/>
  <c r="AS443" i="15"/>
  <c r="AB443" i="15"/>
  <c r="AS442" i="15"/>
  <c r="AB442" i="15"/>
  <c r="AS441" i="15"/>
  <c r="AB441" i="15"/>
  <c r="AS440" i="15"/>
  <c r="AB440" i="15"/>
  <c r="AS439" i="15"/>
  <c r="AB439" i="15"/>
  <c r="AS438" i="15"/>
  <c r="AB438" i="15"/>
  <c r="AS437" i="15"/>
  <c r="AB437" i="15"/>
  <c r="AS436" i="15"/>
  <c r="AB436" i="15"/>
  <c r="AS435" i="15"/>
  <c r="AB435" i="15"/>
  <c r="AS434" i="15"/>
  <c r="AB434" i="15"/>
  <c r="AS433" i="15"/>
  <c r="AB433" i="15"/>
  <c r="AS432" i="15"/>
  <c r="AB432" i="15"/>
  <c r="AS431" i="15"/>
  <c r="AB431" i="15"/>
  <c r="AS430" i="15"/>
  <c r="AB430" i="15"/>
  <c r="AS429" i="15"/>
  <c r="AB429" i="15"/>
  <c r="AS428" i="15"/>
  <c r="AB428" i="15"/>
  <c r="AS427" i="15"/>
  <c r="AB427" i="15"/>
  <c r="AS426" i="15"/>
  <c r="AB426" i="15"/>
  <c r="AS425" i="15"/>
  <c r="AB425" i="15"/>
  <c r="AS424" i="15"/>
  <c r="AB424" i="15"/>
  <c r="AS423" i="15"/>
  <c r="AB423" i="15"/>
  <c r="AS422" i="15"/>
  <c r="AB422" i="15"/>
  <c r="AS421" i="15"/>
  <c r="AB421" i="15"/>
  <c r="AS420" i="15"/>
  <c r="AB420" i="15"/>
  <c r="AS419" i="15"/>
  <c r="AB419" i="15"/>
  <c r="AS418" i="15"/>
  <c r="AB418" i="15"/>
  <c r="AS417" i="15"/>
  <c r="AB417" i="15"/>
  <c r="AS416" i="15"/>
  <c r="AB416" i="15"/>
  <c r="AS415" i="15"/>
  <c r="AB415" i="15"/>
  <c r="AS414" i="15"/>
  <c r="AB414" i="15"/>
  <c r="AS413" i="15"/>
  <c r="AB413" i="15"/>
  <c r="AS412" i="15"/>
  <c r="AB412" i="15"/>
  <c r="AS411" i="15"/>
  <c r="AB411" i="15"/>
  <c r="AS410" i="15"/>
  <c r="AB410" i="15"/>
  <c r="AS409" i="15"/>
  <c r="AB409" i="15"/>
  <c r="AS408" i="15"/>
  <c r="AB408" i="15"/>
  <c r="AS407" i="15"/>
  <c r="AB407" i="15"/>
  <c r="AS406" i="15"/>
  <c r="AB406" i="15"/>
  <c r="AS405" i="15"/>
  <c r="AB405" i="15"/>
  <c r="AS404" i="15"/>
  <c r="AB404" i="15"/>
  <c r="AS403" i="15"/>
  <c r="AB403" i="15"/>
  <c r="AS402" i="15"/>
  <c r="AB402" i="15"/>
  <c r="AS401" i="15"/>
  <c r="AB401" i="15"/>
  <c r="AS400" i="15"/>
  <c r="AB400" i="15"/>
  <c r="AS399" i="15"/>
  <c r="AB399" i="15"/>
  <c r="AS398" i="15"/>
  <c r="AB398" i="15"/>
  <c r="AS397" i="15"/>
  <c r="AB397" i="15"/>
  <c r="AS396" i="15"/>
  <c r="AB396" i="15"/>
  <c r="AS395" i="15"/>
  <c r="AB395" i="15"/>
  <c r="AS394" i="15"/>
  <c r="AB394" i="15"/>
  <c r="AS393" i="15"/>
  <c r="AB393" i="15"/>
  <c r="AS392" i="15"/>
  <c r="AB392" i="15"/>
  <c r="AS391" i="15"/>
  <c r="AB391" i="15"/>
  <c r="AS390" i="15"/>
  <c r="AB390" i="15"/>
  <c r="AS389" i="15"/>
  <c r="AB389" i="15"/>
  <c r="AS388" i="15"/>
  <c r="AB388" i="15"/>
  <c r="AS387" i="15"/>
  <c r="AB387" i="15"/>
  <c r="AS386" i="15"/>
  <c r="AB386" i="15"/>
  <c r="AS385" i="15"/>
  <c r="AB385" i="15"/>
  <c r="AS384" i="15"/>
  <c r="AB384" i="15"/>
  <c r="AS383" i="15"/>
  <c r="AB383" i="15"/>
  <c r="AS382" i="15"/>
  <c r="AB382" i="15"/>
  <c r="AS381" i="15"/>
  <c r="AB381" i="15"/>
  <c r="AS380" i="15"/>
  <c r="AB380" i="15"/>
  <c r="AS379" i="15"/>
  <c r="AB379" i="15"/>
  <c r="AS378" i="15"/>
  <c r="AB378" i="15"/>
  <c r="AS377" i="15"/>
  <c r="AB377" i="15"/>
  <c r="AS376" i="15"/>
  <c r="AB376" i="15"/>
  <c r="AS375" i="15"/>
  <c r="AB375" i="15"/>
  <c r="AS374" i="15"/>
  <c r="AB374" i="15"/>
  <c r="AS373" i="15"/>
  <c r="AB373" i="15"/>
  <c r="AS372" i="15"/>
  <c r="AB372" i="15"/>
  <c r="AS371" i="15"/>
  <c r="AB371" i="15"/>
  <c r="AS370" i="15"/>
  <c r="AB370" i="15"/>
  <c r="AS369" i="15"/>
  <c r="AB369" i="15"/>
  <c r="AS368" i="15"/>
  <c r="AB368" i="15"/>
  <c r="AS367" i="15"/>
  <c r="AB367" i="15"/>
  <c r="AS366" i="15"/>
  <c r="AB366" i="15"/>
  <c r="AS365" i="15"/>
  <c r="AB365" i="15"/>
  <c r="AS364" i="15"/>
  <c r="AB364" i="15"/>
  <c r="AS363" i="15"/>
  <c r="AB363" i="15"/>
  <c r="AS362" i="15"/>
  <c r="AB362" i="15"/>
  <c r="AS361" i="15"/>
  <c r="AB361" i="15"/>
  <c r="AS360" i="15"/>
  <c r="AB360" i="15"/>
  <c r="AS359" i="15"/>
  <c r="AB359" i="15"/>
  <c r="AS358" i="15"/>
  <c r="AB358" i="15"/>
  <c r="AS357" i="15"/>
  <c r="AB357" i="15"/>
  <c r="AS356" i="15"/>
  <c r="AB356" i="15"/>
  <c r="AS355" i="15"/>
  <c r="AB355" i="15"/>
  <c r="AS354" i="15"/>
  <c r="AB354" i="15"/>
  <c r="AS353" i="15"/>
  <c r="AB353" i="15"/>
  <c r="AS352" i="15"/>
  <c r="AB352" i="15"/>
  <c r="AS351" i="15"/>
  <c r="AB351" i="15"/>
  <c r="AS350" i="15"/>
  <c r="AB350" i="15"/>
  <c r="AS349" i="15"/>
  <c r="AB349" i="15"/>
  <c r="AS348" i="15"/>
  <c r="AB348" i="15"/>
  <c r="AS347" i="15"/>
  <c r="AB347" i="15"/>
  <c r="AS346" i="15"/>
  <c r="AB346" i="15"/>
  <c r="AS345" i="15"/>
  <c r="AB345" i="15"/>
  <c r="AS344" i="15"/>
  <c r="AB344" i="15"/>
  <c r="AS343" i="15"/>
  <c r="AB343" i="15"/>
  <c r="AS342" i="15"/>
  <c r="AB342" i="15"/>
  <c r="AS341" i="15"/>
  <c r="AB341" i="15"/>
  <c r="AS340" i="15"/>
  <c r="AB340" i="15"/>
  <c r="AS339" i="15"/>
  <c r="AB339" i="15"/>
  <c r="AS338" i="15"/>
  <c r="AB338" i="15"/>
  <c r="AS337" i="15"/>
  <c r="AB337" i="15"/>
  <c r="AS336" i="15"/>
  <c r="AB336" i="15"/>
  <c r="AS335" i="15"/>
  <c r="AB335" i="15"/>
  <c r="AS334" i="15"/>
  <c r="AB334" i="15"/>
  <c r="AS333" i="15"/>
  <c r="AB333" i="15"/>
  <c r="AS332" i="15"/>
  <c r="AB332" i="15"/>
  <c r="AS331" i="15"/>
  <c r="AB331" i="15"/>
  <c r="AS330" i="15"/>
  <c r="AB330" i="15"/>
  <c r="AS329" i="15"/>
  <c r="AB329" i="15"/>
  <c r="AS328" i="15"/>
  <c r="AB328" i="15"/>
  <c r="AS327" i="15"/>
  <c r="AB327" i="15"/>
  <c r="AS326" i="15"/>
  <c r="AB326" i="15"/>
  <c r="AS325" i="15"/>
  <c r="AB325" i="15"/>
  <c r="AS324" i="15"/>
  <c r="AB324" i="15"/>
  <c r="AS323" i="15"/>
  <c r="AB323" i="15"/>
  <c r="AS322" i="15"/>
  <c r="AB322" i="15"/>
  <c r="AS321" i="15"/>
  <c r="AB321" i="15"/>
  <c r="AS320" i="15"/>
  <c r="AB320" i="15"/>
  <c r="AS319" i="15"/>
  <c r="AB319" i="15"/>
  <c r="AS318" i="15"/>
  <c r="AB318" i="15"/>
  <c r="AS317" i="15"/>
  <c r="AB317" i="15"/>
  <c r="AS316" i="15"/>
  <c r="AB316" i="15"/>
  <c r="AS315" i="15"/>
  <c r="AB315" i="15"/>
  <c r="AS314" i="15"/>
  <c r="AB314" i="15"/>
  <c r="AS313" i="15"/>
  <c r="AB313" i="15"/>
  <c r="AS312" i="15"/>
  <c r="AB312" i="15"/>
  <c r="AS311" i="15"/>
  <c r="AB311" i="15"/>
  <c r="AS310" i="15"/>
  <c r="AB310" i="15"/>
  <c r="AS309" i="15"/>
  <c r="AB309" i="15"/>
  <c r="AS308" i="15"/>
  <c r="AB308" i="15"/>
  <c r="AS307" i="15"/>
  <c r="AB307" i="15"/>
  <c r="AS306" i="15"/>
  <c r="AB306" i="15"/>
  <c r="AS305" i="15"/>
  <c r="AB305" i="15"/>
  <c r="AS304" i="15"/>
  <c r="AB304" i="15"/>
  <c r="AS303" i="15"/>
  <c r="AB303" i="15"/>
  <c r="AS302" i="15"/>
  <c r="AB302" i="15"/>
  <c r="AS301" i="15"/>
  <c r="AB301" i="15"/>
  <c r="AS300" i="15"/>
  <c r="AB300" i="15"/>
  <c r="AS299" i="15"/>
  <c r="AB299" i="15"/>
  <c r="AS298" i="15"/>
  <c r="AB298" i="15"/>
  <c r="AS297" i="15"/>
  <c r="AB297" i="15"/>
  <c r="AS296" i="15"/>
  <c r="AB296" i="15"/>
  <c r="AS295" i="15"/>
  <c r="AB295" i="15"/>
  <c r="AS294" i="15"/>
  <c r="AB294" i="15"/>
  <c r="AS293" i="15"/>
  <c r="AB293" i="15"/>
  <c r="AS292" i="15"/>
  <c r="AB292" i="15"/>
  <c r="AS291" i="15"/>
  <c r="AB291" i="15"/>
  <c r="AS290" i="15"/>
  <c r="AB290" i="15"/>
  <c r="AS289" i="15"/>
  <c r="AB289" i="15"/>
  <c r="AS288" i="15"/>
  <c r="AB288" i="15"/>
  <c r="AS287" i="15"/>
  <c r="AB287" i="15"/>
  <c r="AS286" i="15"/>
  <c r="AB286" i="15"/>
  <c r="AS285" i="15"/>
  <c r="AB285" i="15"/>
  <c r="AS284" i="15"/>
  <c r="AB284" i="15"/>
  <c r="AS283" i="15"/>
  <c r="AB283" i="15"/>
  <c r="AS282" i="15"/>
  <c r="AB282" i="15"/>
  <c r="AS281" i="15"/>
  <c r="AB281" i="15"/>
  <c r="AS280" i="15"/>
  <c r="AB280" i="15"/>
  <c r="AS279" i="15"/>
  <c r="AB279" i="15"/>
  <c r="AS278" i="15"/>
  <c r="AB278" i="15"/>
  <c r="AS277" i="15"/>
  <c r="AB277" i="15"/>
  <c r="AS276" i="15"/>
  <c r="AB276" i="15"/>
  <c r="AS275" i="15"/>
  <c r="AB275" i="15"/>
  <c r="AS274" i="15"/>
  <c r="AB274" i="15"/>
  <c r="AS273" i="15"/>
  <c r="AB273" i="15"/>
  <c r="AS272" i="15"/>
  <c r="AB272" i="15"/>
  <c r="AS271" i="15"/>
  <c r="AB271" i="15"/>
  <c r="AS270" i="15"/>
  <c r="AB270" i="15"/>
  <c r="AS269" i="15"/>
  <c r="AB269" i="15"/>
  <c r="AS268" i="15"/>
  <c r="AB268" i="15"/>
  <c r="AS267" i="15"/>
  <c r="AB267" i="15"/>
  <c r="AS266" i="15"/>
  <c r="AB266" i="15"/>
  <c r="AS265" i="15"/>
  <c r="AB265" i="15"/>
  <c r="AS264" i="15"/>
  <c r="AB264" i="15"/>
  <c r="AS263" i="15"/>
  <c r="AB263" i="15"/>
  <c r="AS262" i="15"/>
  <c r="AB262" i="15"/>
  <c r="AS261" i="15"/>
  <c r="AB261" i="15"/>
  <c r="AS260" i="15"/>
  <c r="AB260" i="15"/>
  <c r="AS259" i="15"/>
  <c r="AB259" i="15"/>
  <c r="AS258" i="15"/>
  <c r="AB258" i="15"/>
  <c r="AS257" i="15"/>
  <c r="AB257" i="15"/>
  <c r="AS256" i="15"/>
  <c r="AB256" i="15"/>
  <c r="AS255" i="15"/>
  <c r="AB255" i="15"/>
  <c r="AS254" i="15"/>
  <c r="AB254" i="15"/>
  <c r="AS253" i="15"/>
  <c r="AB253" i="15"/>
  <c r="AS252" i="15"/>
  <c r="AB252" i="15"/>
  <c r="AS251" i="15"/>
  <c r="AB251" i="15"/>
  <c r="AS250" i="15"/>
  <c r="AB250" i="15"/>
  <c r="AS249" i="15"/>
  <c r="AB249" i="15"/>
  <c r="AS248" i="15"/>
  <c r="AB248" i="15"/>
  <c r="AS247" i="15"/>
  <c r="AB247" i="15"/>
  <c r="AS246" i="15"/>
  <c r="AB246" i="15"/>
  <c r="AS245" i="15"/>
  <c r="AB245" i="15"/>
  <c r="AS244" i="15"/>
  <c r="AB244" i="15"/>
  <c r="AS243" i="15"/>
  <c r="AB243" i="15"/>
  <c r="AS242" i="15"/>
  <c r="AB242" i="15"/>
  <c r="AS241" i="15"/>
  <c r="AB241" i="15"/>
  <c r="AS240" i="15"/>
  <c r="AB240" i="15"/>
  <c r="AS239" i="15"/>
  <c r="AB239" i="15"/>
  <c r="AS238" i="15"/>
  <c r="AB238" i="15"/>
  <c r="AS237" i="15"/>
  <c r="AB237" i="15"/>
  <c r="AS236" i="15"/>
  <c r="AB236" i="15"/>
  <c r="AS235" i="15"/>
  <c r="AB235" i="15"/>
  <c r="AS234" i="15"/>
  <c r="AB234" i="15"/>
  <c r="AS233" i="15"/>
  <c r="AB233" i="15"/>
  <c r="AS232" i="15"/>
  <c r="AB232" i="15"/>
  <c r="AS231" i="15"/>
  <c r="AB231" i="15"/>
  <c r="AS230" i="15"/>
  <c r="AB230" i="15"/>
  <c r="AS229" i="15"/>
  <c r="AB229" i="15"/>
  <c r="AS228" i="15"/>
  <c r="AB228" i="15"/>
  <c r="AS227" i="15"/>
  <c r="AB227" i="15"/>
  <c r="AS226" i="15"/>
  <c r="AB226" i="15"/>
  <c r="AS225" i="15"/>
  <c r="AB225" i="15"/>
  <c r="AS224" i="15"/>
  <c r="AB224" i="15"/>
  <c r="AS223" i="15"/>
  <c r="AB223" i="15"/>
  <c r="AS222" i="15"/>
  <c r="AB222" i="15"/>
  <c r="AS221" i="15"/>
  <c r="AB221" i="15"/>
  <c r="AS220" i="15"/>
  <c r="AB220" i="15"/>
  <c r="AS219" i="15"/>
  <c r="AB219" i="15"/>
  <c r="AS218" i="15"/>
  <c r="AB218" i="15"/>
  <c r="AS217" i="15"/>
  <c r="AB217" i="15"/>
  <c r="AS216" i="15"/>
  <c r="AB216" i="15"/>
  <c r="AS215" i="15"/>
  <c r="AB215" i="15"/>
  <c r="AS214" i="15"/>
  <c r="AB214" i="15"/>
  <c r="AS213" i="15"/>
  <c r="AB213" i="15"/>
  <c r="AS212" i="15"/>
  <c r="AB212" i="15"/>
  <c r="AS211" i="15"/>
  <c r="AB211" i="15"/>
  <c r="AS210" i="15"/>
  <c r="AB210" i="15"/>
  <c r="AS209" i="15"/>
  <c r="AB209" i="15"/>
  <c r="AS208" i="15"/>
  <c r="AB208" i="15"/>
  <c r="AS207" i="15"/>
  <c r="AB207" i="15"/>
  <c r="AS206" i="15"/>
  <c r="AB206" i="15"/>
  <c r="AS205" i="15"/>
  <c r="AB205" i="15"/>
  <c r="AS204" i="15"/>
  <c r="AB204" i="15"/>
  <c r="AS203" i="15"/>
  <c r="AB203" i="15"/>
  <c r="AS202" i="15"/>
  <c r="AB202" i="15"/>
  <c r="AS201" i="15"/>
  <c r="AB201" i="15"/>
  <c r="AS200" i="15"/>
  <c r="AB200" i="15"/>
  <c r="AS199" i="15"/>
  <c r="AB199" i="15"/>
  <c r="AS198" i="15"/>
  <c r="AB198" i="15"/>
  <c r="AS197" i="15"/>
  <c r="AB197" i="15"/>
  <c r="AS196" i="15"/>
  <c r="AB196" i="15"/>
  <c r="AS195" i="15"/>
  <c r="AB195" i="15"/>
  <c r="AS194" i="15"/>
  <c r="AB194" i="15"/>
  <c r="AB193" i="15"/>
  <c r="AS192" i="15"/>
  <c r="AB192" i="15"/>
  <c r="AS191" i="15"/>
  <c r="AB191" i="15"/>
  <c r="AC191" i="15" s="1"/>
  <c r="AS190" i="15"/>
  <c r="AB190" i="15"/>
  <c r="AS189" i="15"/>
  <c r="AB189" i="15"/>
  <c r="AS188" i="15"/>
  <c r="AB188" i="15"/>
  <c r="AS187" i="15"/>
  <c r="AB187" i="15"/>
  <c r="AS186" i="15"/>
  <c r="AB186" i="15"/>
  <c r="AS185" i="15"/>
  <c r="AB185" i="15"/>
  <c r="AC185" i="15" s="1"/>
  <c r="AS184" i="15"/>
  <c r="AB184" i="15"/>
  <c r="AS183" i="15"/>
  <c r="AB183" i="15"/>
  <c r="AS182" i="15"/>
  <c r="AB182" i="15"/>
  <c r="AS181" i="15"/>
  <c r="AB181" i="15"/>
  <c r="AS180" i="15"/>
  <c r="AB180" i="15"/>
  <c r="AS179" i="15"/>
  <c r="AB179" i="15"/>
  <c r="AS178" i="15"/>
  <c r="AS177" i="15"/>
  <c r="AS176" i="15"/>
  <c r="AS175" i="15"/>
  <c r="AS174" i="15"/>
  <c r="AT174" i="15" s="1"/>
  <c r="AU174" i="15" s="1"/>
  <c r="AS173" i="15"/>
  <c r="AS172" i="15"/>
  <c r="AS171" i="15"/>
  <c r="AS170" i="15"/>
  <c r="AS169" i="15"/>
  <c r="AS168" i="15"/>
  <c r="AS167" i="15"/>
  <c r="AS166" i="15"/>
  <c r="AS165" i="15"/>
  <c r="AS164" i="15"/>
  <c r="AS163" i="15"/>
  <c r="AS162" i="15"/>
  <c r="AS161" i="15"/>
  <c r="AS160" i="15"/>
  <c r="AS159" i="15"/>
  <c r="AS158" i="15"/>
  <c r="AB158" i="15"/>
  <c r="AS157" i="15"/>
  <c r="AS156" i="15"/>
  <c r="AB156" i="15"/>
  <c r="AS155" i="15"/>
  <c r="AB155" i="15"/>
  <c r="AS154" i="15"/>
  <c r="AB154" i="15"/>
  <c r="AS153" i="15"/>
  <c r="AB153" i="15"/>
  <c r="AS152" i="15"/>
  <c r="AB152" i="15"/>
  <c r="AS151" i="15"/>
  <c r="AB151" i="15"/>
  <c r="AS150" i="15"/>
  <c r="AB150" i="15"/>
  <c r="AC150" i="15" s="1"/>
  <c r="AS149" i="15"/>
  <c r="AB149" i="15"/>
  <c r="AS148" i="15"/>
  <c r="AB148" i="15"/>
  <c r="AS147" i="15"/>
  <c r="AB147" i="15"/>
  <c r="AS146" i="15"/>
  <c r="AB146" i="15"/>
  <c r="AS145" i="15"/>
  <c r="AB145" i="15"/>
  <c r="AS144" i="15"/>
  <c r="AB144" i="15"/>
  <c r="AC144" i="15" s="1"/>
  <c r="AS143" i="15"/>
  <c r="AB143" i="15"/>
  <c r="AS142" i="15"/>
  <c r="AB142" i="15"/>
  <c r="AS141" i="15"/>
  <c r="AB141" i="15"/>
  <c r="AS140" i="15"/>
  <c r="AS139" i="15"/>
  <c r="AB139" i="15"/>
  <c r="AS138" i="15"/>
  <c r="AB138" i="15"/>
  <c r="AC138" i="15" s="1"/>
  <c r="AS137" i="15"/>
  <c r="AB137" i="15"/>
  <c r="AS136" i="15"/>
  <c r="AB136" i="15"/>
  <c r="AS135" i="15"/>
  <c r="AB135" i="15"/>
  <c r="AS134" i="15"/>
  <c r="AB134" i="15"/>
  <c r="AS133" i="15"/>
  <c r="AB133" i="15"/>
  <c r="AS132" i="15"/>
  <c r="AB132" i="15"/>
  <c r="AS131" i="15"/>
  <c r="AB131" i="15"/>
  <c r="AS130" i="15"/>
  <c r="AT130" i="15" s="1"/>
  <c r="AU130" i="15" s="1"/>
  <c r="AW130" i="15" s="1"/>
  <c r="AX130" i="15" s="1"/>
  <c r="AB130" i="15"/>
  <c r="AS129" i="15"/>
  <c r="AB129" i="15"/>
  <c r="AB128" i="15"/>
  <c r="AB127" i="15"/>
  <c r="AB126" i="15"/>
  <c r="AB125" i="15"/>
  <c r="AS124" i="15"/>
  <c r="AB124" i="15"/>
  <c r="AS123" i="15"/>
  <c r="AB123" i="15"/>
  <c r="AS122" i="15"/>
  <c r="AB122" i="15"/>
  <c r="AS121" i="15"/>
  <c r="AB121" i="15"/>
  <c r="AS120" i="15"/>
  <c r="AB120" i="15"/>
  <c r="AS119" i="15"/>
  <c r="AB119" i="15"/>
  <c r="AS118" i="15"/>
  <c r="AB118" i="15"/>
  <c r="AS116" i="15"/>
  <c r="AB116" i="15"/>
  <c r="AS115" i="15"/>
  <c r="AB115" i="15"/>
  <c r="AS114" i="15"/>
  <c r="AB114" i="15"/>
  <c r="AS113" i="15"/>
  <c r="AB113" i="15"/>
  <c r="AS112" i="15"/>
  <c r="AB112" i="15"/>
  <c r="AH321" i="16" l="1"/>
  <c r="AH333" i="16"/>
  <c r="AH363" i="16"/>
  <c r="AH375" i="16"/>
  <c r="AY414" i="16"/>
  <c r="AZ414" i="16" s="1"/>
  <c r="BB414" i="16" s="1"/>
  <c r="BC414" i="16" s="1"/>
  <c r="BF414" i="16" s="1"/>
  <c r="AY395" i="16"/>
  <c r="AZ395" i="16" s="1"/>
  <c r="BB395" i="16" s="1"/>
  <c r="BC395" i="16" s="1"/>
  <c r="BF395" i="16" s="1"/>
  <c r="AY338" i="16"/>
  <c r="AZ338" i="16" s="1"/>
  <c r="BB338" i="16" s="1"/>
  <c r="BC338" i="16" s="1"/>
  <c r="BF338" i="16" s="1"/>
  <c r="AY399" i="16"/>
  <c r="AZ399" i="16" s="1"/>
  <c r="BB399" i="16" s="1"/>
  <c r="BC399" i="16" s="1"/>
  <c r="BF399" i="16" s="1"/>
  <c r="AY405" i="16"/>
  <c r="AZ405" i="16" s="1"/>
  <c r="BB405" i="16" s="1"/>
  <c r="BC405" i="16" s="1"/>
  <c r="BF405" i="16" s="1"/>
  <c r="AH342" i="16"/>
  <c r="AH360" i="16"/>
  <c r="AH41" i="16"/>
  <c r="AY67" i="16"/>
  <c r="AZ67" i="16" s="1"/>
  <c r="BB67" i="16" s="1"/>
  <c r="BC67" i="16" s="1"/>
  <c r="BF67" i="16" s="1"/>
  <c r="AY73" i="16"/>
  <c r="AZ73" i="16" s="1"/>
  <c r="BB73" i="16" s="1"/>
  <c r="BC73" i="16" s="1"/>
  <c r="BF73" i="16" s="1"/>
  <c r="AY85" i="16"/>
  <c r="AZ85" i="16" s="1"/>
  <c r="BB85" i="16" s="1"/>
  <c r="BC85" i="16" s="1"/>
  <c r="BF85" i="16" s="1"/>
  <c r="AY91" i="16"/>
  <c r="AZ91" i="16" s="1"/>
  <c r="BB91" i="16" s="1"/>
  <c r="BC91" i="16" s="1"/>
  <c r="BF91" i="16" s="1"/>
  <c r="AH271" i="16"/>
  <c r="AY295" i="16"/>
  <c r="AZ295" i="16" s="1"/>
  <c r="BB295" i="16" s="1"/>
  <c r="BC295" i="16" s="1"/>
  <c r="BF295" i="16" s="1"/>
  <c r="AY297" i="16"/>
  <c r="AZ297" i="16" s="1"/>
  <c r="BB297" i="16" s="1"/>
  <c r="BC297" i="16" s="1"/>
  <c r="BF297" i="16" s="1"/>
  <c r="AY325" i="16"/>
  <c r="AZ325" i="16" s="1"/>
  <c r="BB325" i="16" s="1"/>
  <c r="BC325" i="16" s="1"/>
  <c r="BF325" i="16" s="1"/>
  <c r="AH110" i="16"/>
  <c r="AH170" i="16"/>
  <c r="AH224" i="16"/>
  <c r="AH230" i="16"/>
  <c r="AH266" i="16"/>
  <c r="AY30" i="16"/>
  <c r="AZ30" i="16" s="1"/>
  <c r="BB30" i="16" s="1"/>
  <c r="BC30" i="16" s="1"/>
  <c r="BF30" i="16" s="1"/>
  <c r="AY48" i="16"/>
  <c r="AZ48" i="16" s="1"/>
  <c r="BB48" i="16" s="1"/>
  <c r="BC48" i="16" s="1"/>
  <c r="BF48" i="16" s="1"/>
  <c r="AY54" i="16"/>
  <c r="AZ54" i="16" s="1"/>
  <c r="BB54" i="16" s="1"/>
  <c r="BC54" i="16" s="1"/>
  <c r="BF54" i="16" s="1"/>
  <c r="AY60" i="16"/>
  <c r="AZ60" i="16" s="1"/>
  <c r="BB60" i="16" s="1"/>
  <c r="BC60" i="16" s="1"/>
  <c r="BF60" i="16" s="1"/>
  <c r="AY156" i="16"/>
  <c r="AZ156" i="16" s="1"/>
  <c r="BB156" i="16" s="1"/>
  <c r="BC156" i="16" s="1"/>
  <c r="BF156" i="16" s="1"/>
  <c r="AY204" i="16"/>
  <c r="AZ204" i="16" s="1"/>
  <c r="BB204" i="16" s="1"/>
  <c r="BC204" i="16" s="1"/>
  <c r="BF204" i="16" s="1"/>
  <c r="AY210" i="16"/>
  <c r="AZ210" i="16" s="1"/>
  <c r="BB210" i="16" s="1"/>
  <c r="BC210" i="16" s="1"/>
  <c r="BF210" i="16" s="1"/>
  <c r="AY216" i="16"/>
  <c r="AZ216" i="16" s="1"/>
  <c r="BB216" i="16" s="1"/>
  <c r="BC216" i="16" s="1"/>
  <c r="BF216" i="16" s="1"/>
  <c r="AH270" i="16"/>
  <c r="AH276" i="16"/>
  <c r="AH71" i="16"/>
  <c r="AY100" i="16"/>
  <c r="AZ100" i="16" s="1"/>
  <c r="BB100" i="16" s="1"/>
  <c r="BC100" i="16" s="1"/>
  <c r="BF100" i="16" s="1"/>
  <c r="AH107" i="16"/>
  <c r="AY130" i="16"/>
  <c r="AZ130" i="16" s="1"/>
  <c r="BB130" i="16" s="1"/>
  <c r="BC130" i="16" s="1"/>
  <c r="BF130" i="16" s="1"/>
  <c r="AY166" i="16"/>
  <c r="AZ166" i="16" s="1"/>
  <c r="BB166" i="16" s="1"/>
  <c r="BC166" i="16" s="1"/>
  <c r="BF166" i="16" s="1"/>
  <c r="AY172" i="16"/>
  <c r="AZ172" i="16" s="1"/>
  <c r="BB172" i="16" s="1"/>
  <c r="BC172" i="16" s="1"/>
  <c r="BF172" i="16" s="1"/>
  <c r="AY178" i="16"/>
  <c r="AZ178" i="16" s="1"/>
  <c r="BB178" i="16" s="1"/>
  <c r="BC178" i="16" s="1"/>
  <c r="BF178" i="16" s="1"/>
  <c r="AY184" i="16"/>
  <c r="AZ184" i="16" s="1"/>
  <c r="BB184" i="16" s="1"/>
  <c r="BC184" i="16" s="1"/>
  <c r="BF184" i="16" s="1"/>
  <c r="AH281" i="16"/>
  <c r="AH287" i="16"/>
  <c r="AH293" i="16"/>
  <c r="AH46" i="16"/>
  <c r="AY47" i="16"/>
  <c r="AZ47" i="16" s="1"/>
  <c r="BB47" i="16" s="1"/>
  <c r="BC47" i="16" s="1"/>
  <c r="BF47" i="16" s="1"/>
  <c r="AY95" i="16"/>
  <c r="AZ95" i="16" s="1"/>
  <c r="BB95" i="16" s="1"/>
  <c r="BC95" i="16" s="1"/>
  <c r="BF95" i="16" s="1"/>
  <c r="AY281" i="16"/>
  <c r="AZ281" i="16" s="1"/>
  <c r="BB281" i="16" s="1"/>
  <c r="BC281" i="16" s="1"/>
  <c r="BF281" i="16" s="1"/>
  <c r="AY15" i="16"/>
  <c r="AZ15" i="16" s="1"/>
  <c r="BB15" i="16" s="1"/>
  <c r="BC15" i="16" s="1"/>
  <c r="BF15" i="16" s="1"/>
  <c r="AH49" i="16"/>
  <c r="AH302" i="16"/>
  <c r="AH23" i="16"/>
  <c r="AH29" i="16"/>
  <c r="AH78" i="16"/>
  <c r="AH83" i="16"/>
  <c r="AH96" i="16"/>
  <c r="AH102" i="16"/>
  <c r="AH240" i="16"/>
  <c r="AH246" i="16"/>
  <c r="AH252" i="16"/>
  <c r="AH288" i="16"/>
  <c r="AY300" i="16"/>
  <c r="AZ300" i="16" s="1"/>
  <c r="BB300" i="16" s="1"/>
  <c r="BC300" i="16" s="1"/>
  <c r="BF300" i="16" s="1"/>
  <c r="AH301" i="16"/>
  <c r="AY306" i="16"/>
  <c r="AZ306" i="16" s="1"/>
  <c r="BB306" i="16" s="1"/>
  <c r="BC306" i="16" s="1"/>
  <c r="BF306" i="16" s="1"/>
  <c r="AY312" i="16"/>
  <c r="AZ312" i="16" s="1"/>
  <c r="BB312" i="16" s="1"/>
  <c r="BC312" i="16" s="1"/>
  <c r="BF312" i="16" s="1"/>
  <c r="AH313" i="16"/>
  <c r="AY330" i="16"/>
  <c r="AZ330" i="16" s="1"/>
  <c r="BB330" i="16" s="1"/>
  <c r="BC330" i="16" s="1"/>
  <c r="BF330" i="16" s="1"/>
  <c r="AH361" i="16"/>
  <c r="AY366" i="16"/>
  <c r="AZ366" i="16" s="1"/>
  <c r="BB366" i="16" s="1"/>
  <c r="BC366" i="16" s="1"/>
  <c r="BF366" i="16" s="1"/>
  <c r="AH372" i="16"/>
  <c r="AY390" i="16"/>
  <c r="AZ390" i="16" s="1"/>
  <c r="BB390" i="16" s="1"/>
  <c r="BC390" i="16" s="1"/>
  <c r="BF390" i="16" s="1"/>
  <c r="AH9" i="16"/>
  <c r="AH10" i="16"/>
  <c r="AH11" i="16"/>
  <c r="AY38" i="16"/>
  <c r="AZ38" i="16" s="1"/>
  <c r="BB38" i="16" s="1"/>
  <c r="BC38" i="16" s="1"/>
  <c r="BF38" i="16" s="1"/>
  <c r="AY51" i="16"/>
  <c r="AZ51" i="16" s="1"/>
  <c r="BB51" i="16" s="1"/>
  <c r="BC51" i="16" s="1"/>
  <c r="BF51" i="16" s="1"/>
  <c r="AH52" i="16"/>
  <c r="AY81" i="16"/>
  <c r="AZ81" i="16" s="1"/>
  <c r="BB81" i="16" s="1"/>
  <c r="BC81" i="16" s="1"/>
  <c r="BF81" i="16" s="1"/>
  <c r="AH82" i="16"/>
  <c r="AH94" i="16"/>
  <c r="AY129" i="16"/>
  <c r="AZ129" i="16" s="1"/>
  <c r="BB129" i="16" s="1"/>
  <c r="BC129" i="16" s="1"/>
  <c r="BF129" i="16" s="1"/>
  <c r="AH136" i="16"/>
  <c r="AH142" i="16"/>
  <c r="AH148" i="16"/>
  <c r="AH214" i="16"/>
  <c r="AY249" i="16"/>
  <c r="AZ249" i="16" s="1"/>
  <c r="BB249" i="16" s="1"/>
  <c r="BC249" i="16" s="1"/>
  <c r="BF249" i="16" s="1"/>
  <c r="AY273" i="16"/>
  <c r="AZ273" i="16" s="1"/>
  <c r="BB273" i="16" s="1"/>
  <c r="BC273" i="16" s="1"/>
  <c r="BF273" i="16" s="1"/>
  <c r="AH280" i="16"/>
  <c r="AY285" i="16"/>
  <c r="AZ285" i="16" s="1"/>
  <c r="BB285" i="16" s="1"/>
  <c r="BC285" i="16" s="1"/>
  <c r="BF285" i="16" s="1"/>
  <c r="AY291" i="16"/>
  <c r="AZ291" i="16" s="1"/>
  <c r="BB291" i="16" s="1"/>
  <c r="BC291" i="16" s="1"/>
  <c r="BF291" i="16" s="1"/>
  <c r="F35" i="25"/>
  <c r="F39" i="25" s="1"/>
  <c r="AY31" i="16"/>
  <c r="AZ31" i="16" s="1"/>
  <c r="BB31" i="16" s="1"/>
  <c r="BC31" i="16" s="1"/>
  <c r="BF31" i="16" s="1"/>
  <c r="AY37" i="16"/>
  <c r="AZ37" i="16" s="1"/>
  <c r="BB37" i="16" s="1"/>
  <c r="BC37" i="16" s="1"/>
  <c r="BF37" i="16" s="1"/>
  <c r="AY68" i="16"/>
  <c r="AZ68" i="16" s="1"/>
  <c r="BB68" i="16" s="1"/>
  <c r="BC68" i="16" s="1"/>
  <c r="BF68" i="16" s="1"/>
  <c r="AY74" i="16"/>
  <c r="AZ74" i="16" s="1"/>
  <c r="BB74" i="16" s="1"/>
  <c r="BC74" i="16" s="1"/>
  <c r="BF74" i="16" s="1"/>
  <c r="AY122" i="16"/>
  <c r="AZ122" i="16" s="1"/>
  <c r="BB122" i="16" s="1"/>
  <c r="BC122" i="16" s="1"/>
  <c r="BF122" i="16" s="1"/>
  <c r="AY188" i="16"/>
  <c r="AZ188" i="16" s="1"/>
  <c r="BB188" i="16" s="1"/>
  <c r="BC188" i="16" s="1"/>
  <c r="BF188" i="16" s="1"/>
  <c r="AY206" i="16"/>
  <c r="AZ206" i="16" s="1"/>
  <c r="BB206" i="16" s="1"/>
  <c r="BC206" i="16" s="1"/>
  <c r="BF206" i="16" s="1"/>
  <c r="AY224" i="16"/>
  <c r="AZ224" i="16" s="1"/>
  <c r="BB224" i="16" s="1"/>
  <c r="BC224" i="16" s="1"/>
  <c r="BF224" i="16" s="1"/>
  <c r="AY272" i="16"/>
  <c r="AZ272" i="16" s="1"/>
  <c r="BB272" i="16" s="1"/>
  <c r="BC272" i="16" s="1"/>
  <c r="BF272" i="16" s="1"/>
  <c r="AY278" i="16"/>
  <c r="AZ278" i="16" s="1"/>
  <c r="BB278" i="16" s="1"/>
  <c r="BC278" i="16" s="1"/>
  <c r="BF278" i="16" s="1"/>
  <c r="AY284" i="16"/>
  <c r="AZ284" i="16" s="1"/>
  <c r="BB284" i="16" s="1"/>
  <c r="BC284" i="16" s="1"/>
  <c r="BF284" i="16" s="1"/>
  <c r="AY309" i="16"/>
  <c r="AZ309" i="16" s="1"/>
  <c r="BB309" i="16" s="1"/>
  <c r="BC309" i="16" s="1"/>
  <c r="BF309" i="16" s="1"/>
  <c r="AH322" i="16"/>
  <c r="AY396" i="16"/>
  <c r="AZ396" i="16" s="1"/>
  <c r="BB396" i="16" s="1"/>
  <c r="BC396" i="16" s="1"/>
  <c r="BF396" i="16" s="1"/>
  <c r="AT202" i="15"/>
  <c r="AT232" i="15"/>
  <c r="AT304" i="15"/>
  <c r="AT334" i="15"/>
  <c r="AT340" i="15"/>
  <c r="AT472" i="15"/>
  <c r="AW174" i="15"/>
  <c r="AX174" i="15" s="1"/>
  <c r="BA174" i="15" s="1"/>
  <c r="AC461" i="15"/>
  <c r="AC194" i="15"/>
  <c r="AC206" i="15"/>
  <c r="AC212" i="15"/>
  <c r="AC236" i="15"/>
  <c r="AC248" i="15"/>
  <c r="AC314" i="15"/>
  <c r="AC320" i="15"/>
  <c r="AT361" i="15"/>
  <c r="AC310" i="15"/>
  <c r="AC180" i="15"/>
  <c r="AT445" i="15"/>
  <c r="AT457" i="15"/>
  <c r="AT465" i="15"/>
  <c r="AC213" i="15"/>
  <c r="AC225" i="15"/>
  <c r="AC303" i="15"/>
  <c r="AT386" i="15"/>
  <c r="AT297" i="15"/>
  <c r="AT227" i="15"/>
  <c r="AC450" i="15"/>
  <c r="AT183" i="15"/>
  <c r="AC190" i="15"/>
  <c r="AT435" i="15"/>
  <c r="AT441" i="15"/>
  <c r="AT458" i="15"/>
  <c r="AC140" i="15"/>
  <c r="AC157" i="15"/>
  <c r="AC193" i="15"/>
  <c r="AC199" i="15"/>
  <c r="AC217" i="15"/>
  <c r="AC223" i="15"/>
  <c r="AT342" i="15"/>
  <c r="AC415" i="15"/>
  <c r="AT235" i="15"/>
  <c r="AT463" i="15"/>
  <c r="AT469" i="15"/>
  <c r="AY43" i="16"/>
  <c r="AZ43" i="16" s="1"/>
  <c r="BB43" i="16" s="1"/>
  <c r="BC43" i="16" s="1"/>
  <c r="BF43" i="16" s="1"/>
  <c r="AY50" i="16"/>
  <c r="AZ50" i="16" s="1"/>
  <c r="BB50" i="16" s="1"/>
  <c r="BC50" i="16" s="1"/>
  <c r="BF50" i="16" s="1"/>
  <c r="AH177" i="16"/>
  <c r="AH189" i="16"/>
  <c r="AH201" i="16"/>
  <c r="AH207" i="16"/>
  <c r="AH343" i="16"/>
  <c r="AH374" i="16"/>
  <c r="AY375" i="16"/>
  <c r="AZ375" i="16" s="1"/>
  <c r="BB375" i="16" s="1"/>
  <c r="BC375" i="16" s="1"/>
  <c r="BF375" i="16" s="1"/>
  <c r="AH386" i="16"/>
  <c r="AY387" i="16"/>
  <c r="AZ387" i="16" s="1"/>
  <c r="BB387" i="16" s="1"/>
  <c r="BC387" i="16" s="1"/>
  <c r="BF387" i="16" s="1"/>
  <c r="AY3" i="16"/>
  <c r="AZ3" i="16" s="1"/>
  <c r="BB3" i="16" s="1"/>
  <c r="BC3" i="16" s="1"/>
  <c r="BF3" i="16" s="1"/>
  <c r="AY201" i="16"/>
  <c r="AZ201" i="16" s="1"/>
  <c r="BB201" i="16" s="1"/>
  <c r="BC201" i="16" s="1"/>
  <c r="BF201" i="16" s="1"/>
  <c r="AY386" i="16"/>
  <c r="AZ386" i="16" s="1"/>
  <c r="BB386" i="16" s="1"/>
  <c r="BC386" i="16" s="1"/>
  <c r="BF386" i="16" s="1"/>
  <c r="AH163" i="16"/>
  <c r="AH229" i="16"/>
  <c r="AH234" i="16"/>
  <c r="AH253" i="16"/>
  <c r="AY266" i="16"/>
  <c r="AZ266" i="16" s="1"/>
  <c r="BB266" i="16" s="1"/>
  <c r="BC266" i="16" s="1"/>
  <c r="BF266" i="16" s="1"/>
  <c r="AY342" i="16"/>
  <c r="AZ342" i="16" s="1"/>
  <c r="BB342" i="16" s="1"/>
  <c r="BC342" i="16" s="1"/>
  <c r="BF342" i="16" s="1"/>
  <c r="AH366" i="16"/>
  <c r="AY371" i="16"/>
  <c r="AZ371" i="16" s="1"/>
  <c r="BB371" i="16" s="1"/>
  <c r="BC371" i="16" s="1"/>
  <c r="BF371" i="16" s="1"/>
  <c r="AY377" i="16"/>
  <c r="AZ377" i="16" s="1"/>
  <c r="BB377" i="16" s="1"/>
  <c r="BC377" i="16" s="1"/>
  <c r="BF377" i="16" s="1"/>
  <c r="AH416" i="16"/>
  <c r="AY22" i="16"/>
  <c r="AZ22" i="16" s="1"/>
  <c r="BB22" i="16" s="1"/>
  <c r="BC22" i="16" s="1"/>
  <c r="BF22" i="16" s="1"/>
  <c r="AY28" i="16"/>
  <c r="AZ28" i="16" s="1"/>
  <c r="BB28" i="16" s="1"/>
  <c r="BC28" i="16" s="1"/>
  <c r="BF28" i="16" s="1"/>
  <c r="AY34" i="16"/>
  <c r="AZ34" i="16" s="1"/>
  <c r="BB34" i="16" s="1"/>
  <c r="BC34" i="16" s="1"/>
  <c r="BF34" i="16" s="1"/>
  <c r="AY131" i="16"/>
  <c r="AZ131" i="16" s="1"/>
  <c r="BB131" i="16" s="1"/>
  <c r="BC131" i="16" s="1"/>
  <c r="BF131" i="16" s="1"/>
  <c r="AY133" i="16"/>
  <c r="AZ133" i="16" s="1"/>
  <c r="BB133" i="16" s="1"/>
  <c r="BC133" i="16" s="1"/>
  <c r="BF133" i="16" s="1"/>
  <c r="AY137" i="16"/>
  <c r="AZ137" i="16" s="1"/>
  <c r="BB137" i="16" s="1"/>
  <c r="BC137" i="16" s="1"/>
  <c r="BF137" i="16" s="1"/>
  <c r="AY139" i="16"/>
  <c r="AZ139" i="16" s="1"/>
  <c r="BB139" i="16" s="1"/>
  <c r="BC139" i="16" s="1"/>
  <c r="BF139" i="16" s="1"/>
  <c r="AY155" i="16"/>
  <c r="AZ155" i="16" s="1"/>
  <c r="BB155" i="16" s="1"/>
  <c r="BC155" i="16" s="1"/>
  <c r="BF155" i="16" s="1"/>
  <c r="AY185" i="16"/>
  <c r="AZ185" i="16" s="1"/>
  <c r="BB185" i="16" s="1"/>
  <c r="BC185" i="16" s="1"/>
  <c r="BF185" i="16" s="1"/>
  <c r="AY197" i="16"/>
  <c r="AZ197" i="16" s="1"/>
  <c r="BB197" i="16" s="1"/>
  <c r="BC197" i="16" s="1"/>
  <c r="BF197" i="16" s="1"/>
  <c r="AY203" i="16"/>
  <c r="AZ203" i="16" s="1"/>
  <c r="BB203" i="16" s="1"/>
  <c r="BC203" i="16" s="1"/>
  <c r="BF203" i="16" s="1"/>
  <c r="AY265" i="16"/>
  <c r="AZ265" i="16" s="1"/>
  <c r="BB265" i="16" s="1"/>
  <c r="BC265" i="16" s="1"/>
  <c r="BF265" i="16" s="1"/>
  <c r="AH351" i="16"/>
  <c r="AH408" i="16"/>
  <c r="AH16" i="16"/>
  <c r="AH22" i="16"/>
  <c r="AH233" i="16"/>
  <c r="AH256" i="16"/>
  <c r="AH131" i="16"/>
  <c r="AH327" i="16"/>
  <c r="AH18" i="16"/>
  <c r="AH50" i="16"/>
  <c r="AH62" i="16"/>
  <c r="AH74" i="16"/>
  <c r="AH80" i="16"/>
  <c r="AH98" i="16"/>
  <c r="AH199" i="16"/>
  <c r="AH211" i="16"/>
  <c r="AH223" i="16"/>
  <c r="AH237" i="16"/>
  <c r="AH243" i="16"/>
  <c r="AH304" i="16"/>
  <c r="AH319" i="16"/>
  <c r="AH332" i="16"/>
  <c r="AY334" i="16"/>
  <c r="AZ334" i="16" s="1"/>
  <c r="BB334" i="16" s="1"/>
  <c r="BC334" i="16" s="1"/>
  <c r="BF334" i="16" s="1"/>
  <c r="AH378" i="16"/>
  <c r="AY383" i="16"/>
  <c r="AZ383" i="16" s="1"/>
  <c r="BB383" i="16" s="1"/>
  <c r="BC383" i="16" s="1"/>
  <c r="BF383" i="16" s="1"/>
  <c r="AH398" i="16"/>
  <c r="AH403" i="16"/>
  <c r="AH31" i="16"/>
  <c r="AH106" i="16"/>
  <c r="AH188" i="16"/>
  <c r="AY18" i="16"/>
  <c r="AZ18" i="16" s="1"/>
  <c r="BB18" i="16" s="1"/>
  <c r="BC18" i="16" s="1"/>
  <c r="BF18" i="16" s="1"/>
  <c r="AH55" i="16"/>
  <c r="AH165" i="16"/>
  <c r="AH171" i="16"/>
  <c r="AY270" i="16"/>
  <c r="AZ270" i="16" s="1"/>
  <c r="BB270" i="16" s="1"/>
  <c r="BC270" i="16" s="1"/>
  <c r="BF270" i="16" s="1"/>
  <c r="AY271" i="16"/>
  <c r="AZ271" i="16" s="1"/>
  <c r="BB271" i="16" s="1"/>
  <c r="BC271" i="16" s="1"/>
  <c r="BF271" i="16" s="1"/>
  <c r="AH318" i="16"/>
  <c r="AH331" i="16"/>
  <c r="AY333" i="16"/>
  <c r="AZ333" i="16" s="1"/>
  <c r="BB333" i="16" s="1"/>
  <c r="BC333" i="16" s="1"/>
  <c r="BF333" i="16" s="1"/>
  <c r="AY337" i="16"/>
  <c r="AZ337" i="16" s="1"/>
  <c r="BB337" i="16" s="1"/>
  <c r="BC337" i="16" s="1"/>
  <c r="BF337" i="16" s="1"/>
  <c r="AY349" i="16"/>
  <c r="AZ349" i="16" s="1"/>
  <c r="BB349" i="16" s="1"/>
  <c r="BC349" i="16" s="1"/>
  <c r="BF349" i="16" s="1"/>
  <c r="AY355" i="16"/>
  <c r="AZ355" i="16" s="1"/>
  <c r="BB355" i="16" s="1"/>
  <c r="BC355" i="16" s="1"/>
  <c r="BF355" i="16" s="1"/>
  <c r="AY362" i="16"/>
  <c r="AZ362" i="16" s="1"/>
  <c r="BB362" i="16" s="1"/>
  <c r="BC362" i="16" s="1"/>
  <c r="BF362" i="16" s="1"/>
  <c r="AY378" i="16"/>
  <c r="AZ378" i="16" s="1"/>
  <c r="BB378" i="16" s="1"/>
  <c r="BC378" i="16" s="1"/>
  <c r="BF378" i="16" s="1"/>
  <c r="AY408" i="16"/>
  <c r="AZ408" i="16" s="1"/>
  <c r="BB408" i="16" s="1"/>
  <c r="BC408" i="16" s="1"/>
  <c r="BF408" i="16" s="1"/>
  <c r="AH225" i="16"/>
  <c r="AH279" i="16"/>
  <c r="AH411" i="16"/>
  <c r="AY16" i="16"/>
  <c r="AZ16" i="16" s="1"/>
  <c r="BB16" i="16" s="1"/>
  <c r="BC16" i="16" s="1"/>
  <c r="BF16" i="16" s="1"/>
  <c r="AH20" i="16"/>
  <c r="AY33" i="16"/>
  <c r="AZ33" i="16" s="1"/>
  <c r="BB33" i="16" s="1"/>
  <c r="BC33" i="16" s="1"/>
  <c r="BF33" i="16" s="1"/>
  <c r="AH34" i="16"/>
  <c r="AY49" i="16"/>
  <c r="AZ49" i="16" s="1"/>
  <c r="BB49" i="16" s="1"/>
  <c r="BC49" i="16" s="1"/>
  <c r="BF49" i="16" s="1"/>
  <c r="AH53" i="16"/>
  <c r="AY79" i="16"/>
  <c r="AZ79" i="16" s="1"/>
  <c r="BB79" i="16" s="1"/>
  <c r="BC79" i="16" s="1"/>
  <c r="BF79" i="16" s="1"/>
  <c r="AY115" i="16"/>
  <c r="AZ115" i="16" s="1"/>
  <c r="BB115" i="16" s="1"/>
  <c r="BC115" i="16" s="1"/>
  <c r="BF115" i="16" s="1"/>
  <c r="AY170" i="16"/>
  <c r="AZ170" i="16" s="1"/>
  <c r="BB170" i="16" s="1"/>
  <c r="BC170" i="16" s="1"/>
  <c r="BF170" i="16" s="1"/>
  <c r="AY176" i="16"/>
  <c r="AZ176" i="16" s="1"/>
  <c r="BB176" i="16" s="1"/>
  <c r="BC176" i="16" s="1"/>
  <c r="BF176" i="16" s="1"/>
  <c r="AY196" i="16"/>
  <c r="AZ196" i="16" s="1"/>
  <c r="BB196" i="16" s="1"/>
  <c r="BC196" i="16" s="1"/>
  <c r="BF196" i="16" s="1"/>
  <c r="AH197" i="16"/>
  <c r="AH228" i="16"/>
  <c r="AY304" i="16"/>
  <c r="AZ304" i="16" s="1"/>
  <c r="BB304" i="16" s="1"/>
  <c r="BC304" i="16" s="1"/>
  <c r="BF304" i="16" s="1"/>
  <c r="AH310" i="16"/>
  <c r="AH324" i="16"/>
  <c r="AH330" i="16"/>
  <c r="AY381" i="16"/>
  <c r="AZ381" i="16" s="1"/>
  <c r="BB381" i="16" s="1"/>
  <c r="BC381" i="16" s="1"/>
  <c r="BF381" i="16" s="1"/>
  <c r="AY407" i="16"/>
  <c r="AZ407" i="16" s="1"/>
  <c r="BB407" i="16" s="1"/>
  <c r="BC407" i="16" s="1"/>
  <c r="BF407" i="16" s="1"/>
  <c r="AH87" i="16"/>
  <c r="AH286" i="16"/>
  <c r="AH3" i="16"/>
  <c r="AY26" i="16"/>
  <c r="AZ26" i="16" s="1"/>
  <c r="BB26" i="16" s="1"/>
  <c r="BC26" i="16" s="1"/>
  <c r="BF26" i="16" s="1"/>
  <c r="AY32" i="16"/>
  <c r="AZ32" i="16" s="1"/>
  <c r="BB32" i="16" s="1"/>
  <c r="BC32" i="16" s="1"/>
  <c r="BF32" i="16" s="1"/>
  <c r="AY39" i="16"/>
  <c r="AZ39" i="16" s="1"/>
  <c r="BB39" i="16" s="1"/>
  <c r="BC39" i="16" s="1"/>
  <c r="BF39" i="16" s="1"/>
  <c r="AY58" i="16"/>
  <c r="AZ58" i="16" s="1"/>
  <c r="BB58" i="16" s="1"/>
  <c r="BC58" i="16" s="1"/>
  <c r="BF58" i="16" s="1"/>
  <c r="AY64" i="16"/>
  <c r="AZ64" i="16" s="1"/>
  <c r="BB64" i="16" s="1"/>
  <c r="BC64" i="16" s="1"/>
  <c r="BF64" i="16" s="1"/>
  <c r="AY70" i="16"/>
  <c r="AZ70" i="16" s="1"/>
  <c r="BB70" i="16" s="1"/>
  <c r="BC70" i="16" s="1"/>
  <c r="BF70" i="16" s="1"/>
  <c r="AH77" i="16"/>
  <c r="AY82" i="16"/>
  <c r="AZ82" i="16" s="1"/>
  <c r="BB82" i="16" s="1"/>
  <c r="BC82" i="16" s="1"/>
  <c r="BF82" i="16" s="1"/>
  <c r="AY88" i="16"/>
  <c r="AZ88" i="16" s="1"/>
  <c r="BB88" i="16" s="1"/>
  <c r="BC88" i="16" s="1"/>
  <c r="BF88" i="16" s="1"/>
  <c r="AH95" i="16"/>
  <c r="AY103" i="16"/>
  <c r="AZ103" i="16" s="1"/>
  <c r="BB103" i="16" s="1"/>
  <c r="BC103" i="16" s="1"/>
  <c r="BF103" i="16" s="1"/>
  <c r="AY108" i="16"/>
  <c r="AZ108" i="16" s="1"/>
  <c r="BB108" i="16" s="1"/>
  <c r="BC108" i="16" s="1"/>
  <c r="BF108" i="16" s="1"/>
  <c r="AY114" i="16"/>
  <c r="AZ114" i="16" s="1"/>
  <c r="BB114" i="16" s="1"/>
  <c r="BC114" i="16" s="1"/>
  <c r="BF114" i="16" s="1"/>
  <c r="AH121" i="16"/>
  <c r="AH127" i="16"/>
  <c r="AH133" i="16"/>
  <c r="AH145" i="16"/>
  <c r="AH176" i="16"/>
  <c r="AY183" i="16"/>
  <c r="AZ183" i="16" s="1"/>
  <c r="BB183" i="16" s="1"/>
  <c r="BC183" i="16" s="1"/>
  <c r="BF183" i="16" s="1"/>
  <c r="AY191" i="16"/>
  <c r="AZ191" i="16" s="1"/>
  <c r="BB191" i="16" s="1"/>
  <c r="BC191" i="16" s="1"/>
  <c r="BF191" i="16" s="1"/>
  <c r="AH213" i="16"/>
  <c r="AH219" i="16"/>
  <c r="AY226" i="16"/>
  <c r="AZ226" i="16" s="1"/>
  <c r="BB226" i="16" s="1"/>
  <c r="BC226" i="16" s="1"/>
  <c r="BF226" i="16" s="1"/>
  <c r="AY245" i="16"/>
  <c r="AZ245" i="16" s="1"/>
  <c r="BB245" i="16" s="1"/>
  <c r="BC245" i="16" s="1"/>
  <c r="BF245" i="16" s="1"/>
  <c r="AY251" i="16"/>
  <c r="AZ251" i="16" s="1"/>
  <c r="BB251" i="16" s="1"/>
  <c r="BC251" i="16" s="1"/>
  <c r="BF251" i="16" s="1"/>
  <c r="AH267" i="16"/>
  <c r="AY301" i="16"/>
  <c r="AZ301" i="16" s="1"/>
  <c r="BB301" i="16" s="1"/>
  <c r="BC301" i="16" s="1"/>
  <c r="BF301" i="16" s="1"/>
  <c r="AH307" i="16"/>
  <c r="AY310" i="16"/>
  <c r="AZ310" i="16" s="1"/>
  <c r="BB310" i="16" s="1"/>
  <c r="BC310" i="16" s="1"/>
  <c r="BF310" i="16" s="1"/>
  <c r="AY315" i="16"/>
  <c r="AZ315" i="16" s="1"/>
  <c r="BB315" i="16" s="1"/>
  <c r="BC315" i="16" s="1"/>
  <c r="BF315" i="16" s="1"/>
  <c r="AY321" i="16"/>
  <c r="AZ321" i="16" s="1"/>
  <c r="BB321" i="16" s="1"/>
  <c r="BC321" i="16" s="1"/>
  <c r="BF321" i="16" s="1"/>
  <c r="AH328" i="16"/>
  <c r="AY392" i="16"/>
  <c r="AZ392" i="16" s="1"/>
  <c r="BB392" i="16" s="1"/>
  <c r="BC392" i="16" s="1"/>
  <c r="BF392" i="16" s="1"/>
  <c r="AH236" i="16"/>
  <c r="AH285" i="16"/>
  <c r="AH325" i="16"/>
  <c r="AH4" i="16"/>
  <c r="AH5" i="16"/>
  <c r="AH6" i="16"/>
  <c r="AY7" i="16"/>
  <c r="AZ7" i="16" s="1"/>
  <c r="BB7" i="16" s="1"/>
  <c r="BC7" i="16" s="1"/>
  <c r="BF7" i="16" s="1"/>
  <c r="AY8" i="16"/>
  <c r="AZ8" i="16" s="1"/>
  <c r="BB8" i="16" s="1"/>
  <c r="BC8" i="16" s="1"/>
  <c r="BF8" i="16" s="1"/>
  <c r="AY40" i="16"/>
  <c r="AZ40" i="16" s="1"/>
  <c r="BB40" i="16" s="1"/>
  <c r="BC40" i="16" s="1"/>
  <c r="BF40" i="16" s="1"/>
  <c r="AY55" i="16"/>
  <c r="AZ55" i="16" s="1"/>
  <c r="BB55" i="16" s="1"/>
  <c r="BC55" i="16" s="1"/>
  <c r="BF55" i="16" s="1"/>
  <c r="AH104" i="16"/>
  <c r="AH111" i="16"/>
  <c r="AH117" i="16"/>
  <c r="AY179" i="16"/>
  <c r="AZ179" i="16" s="1"/>
  <c r="BB179" i="16" s="1"/>
  <c r="BC179" i="16" s="1"/>
  <c r="BF179" i="16" s="1"/>
  <c r="AH200" i="16"/>
  <c r="AH206" i="16"/>
  <c r="AY212" i="16"/>
  <c r="AZ212" i="16" s="1"/>
  <c r="BB212" i="16" s="1"/>
  <c r="BC212" i="16" s="1"/>
  <c r="BF212" i="16" s="1"/>
  <c r="AY218" i="16"/>
  <c r="AZ218" i="16" s="1"/>
  <c r="BB218" i="16" s="1"/>
  <c r="BC218" i="16" s="1"/>
  <c r="BF218" i="16" s="1"/>
  <c r="AY275" i="16"/>
  <c r="AZ275" i="16" s="1"/>
  <c r="BB275" i="16" s="1"/>
  <c r="BC275" i="16" s="1"/>
  <c r="BF275" i="16" s="1"/>
  <c r="AH316" i="16"/>
  <c r="AH409" i="16"/>
  <c r="AH76" i="16"/>
  <c r="AH195" i="16"/>
  <c r="AH278" i="16"/>
  <c r="AH384" i="16"/>
  <c r="AY316" i="16"/>
  <c r="AZ316" i="16" s="1"/>
  <c r="BB316" i="16" s="1"/>
  <c r="BC316" i="16" s="1"/>
  <c r="BF316" i="16" s="1"/>
  <c r="AH181" i="16"/>
  <c r="AY2" i="16"/>
  <c r="AZ2" i="16" s="1"/>
  <c r="BB2" i="16" s="1"/>
  <c r="BC2" i="16" s="1"/>
  <c r="BF2" i="16" s="1"/>
  <c r="AH14" i="16"/>
  <c r="AY25" i="16"/>
  <c r="AZ25" i="16" s="1"/>
  <c r="BB25" i="16" s="1"/>
  <c r="BC25" i="16" s="1"/>
  <c r="BF25" i="16" s="1"/>
  <c r="AY94" i="16"/>
  <c r="AZ94" i="16" s="1"/>
  <c r="BB94" i="16" s="1"/>
  <c r="BC94" i="16" s="1"/>
  <c r="BF94" i="16" s="1"/>
  <c r="AH192" i="16"/>
  <c r="AH44" i="16"/>
  <c r="AH92" i="16"/>
  <c r="AH124" i="16"/>
  <c r="AH227" i="16"/>
  <c r="AH345" i="16"/>
  <c r="AY52" i="16"/>
  <c r="AZ52" i="16" s="1"/>
  <c r="BB52" i="16" s="1"/>
  <c r="BC52" i="16" s="1"/>
  <c r="BF52" i="16" s="1"/>
  <c r="AY61" i="16"/>
  <c r="AZ61" i="16" s="1"/>
  <c r="BB61" i="16" s="1"/>
  <c r="BC61" i="16" s="1"/>
  <c r="BF61" i="16" s="1"/>
  <c r="AY99" i="16"/>
  <c r="AZ99" i="16" s="1"/>
  <c r="BB99" i="16" s="1"/>
  <c r="BC99" i="16" s="1"/>
  <c r="BF99" i="16" s="1"/>
  <c r="AH100" i="16"/>
  <c r="AH101" i="16"/>
  <c r="AY109" i="16"/>
  <c r="AZ109" i="16" s="1"/>
  <c r="BB109" i="16" s="1"/>
  <c r="BC109" i="16" s="1"/>
  <c r="BF109" i="16" s="1"/>
  <c r="AY127" i="16"/>
  <c r="AZ127" i="16" s="1"/>
  <c r="BB127" i="16" s="1"/>
  <c r="BC127" i="16" s="1"/>
  <c r="BF127" i="16" s="1"/>
  <c r="AH132" i="16"/>
  <c r="AY158" i="16"/>
  <c r="AZ158" i="16" s="1"/>
  <c r="BB158" i="16" s="1"/>
  <c r="BC158" i="16" s="1"/>
  <c r="BF158" i="16" s="1"/>
  <c r="AY164" i="16"/>
  <c r="AZ164" i="16" s="1"/>
  <c r="BB164" i="16" s="1"/>
  <c r="BC164" i="16" s="1"/>
  <c r="BF164" i="16" s="1"/>
  <c r="AY264" i="16"/>
  <c r="AZ264" i="16" s="1"/>
  <c r="BB264" i="16" s="1"/>
  <c r="BC264" i="16" s="1"/>
  <c r="BF264" i="16" s="1"/>
  <c r="AY293" i="16"/>
  <c r="AZ293" i="16" s="1"/>
  <c r="BB293" i="16" s="1"/>
  <c r="BC293" i="16" s="1"/>
  <c r="BF293" i="16" s="1"/>
  <c r="AY318" i="16"/>
  <c r="AZ318" i="16" s="1"/>
  <c r="BB318" i="16" s="1"/>
  <c r="BC318" i="16" s="1"/>
  <c r="BF318" i="16" s="1"/>
  <c r="AH320" i="16"/>
  <c r="AH346" i="16"/>
  <c r="AH352" i="16"/>
  <c r="AH392" i="16"/>
  <c r="AH7" i="16"/>
  <c r="AH8" i="16"/>
  <c r="AH26" i="16"/>
  <c r="AH32" i="16"/>
  <c r="AH40" i="16"/>
  <c r="AH61" i="16"/>
  <c r="AH89" i="16"/>
  <c r="AY101" i="16"/>
  <c r="AZ101" i="16" s="1"/>
  <c r="BB101" i="16" s="1"/>
  <c r="BC101" i="16" s="1"/>
  <c r="BF101" i="16" s="1"/>
  <c r="AH109" i="16"/>
  <c r="AH139" i="16"/>
  <c r="AY140" i="16"/>
  <c r="AZ140" i="16" s="1"/>
  <c r="BB140" i="16" s="1"/>
  <c r="BC140" i="16" s="1"/>
  <c r="BF140" i="16" s="1"/>
  <c r="AY146" i="16"/>
  <c r="AZ146" i="16" s="1"/>
  <c r="BB146" i="16" s="1"/>
  <c r="BC146" i="16" s="1"/>
  <c r="BF146" i="16" s="1"/>
  <c r="AH151" i="16"/>
  <c r="AH157" i="16"/>
  <c r="AH164" i="16"/>
  <c r="AH179" i="16"/>
  <c r="AH180" i="16"/>
  <c r="AH191" i="16"/>
  <c r="AH198" i="16"/>
  <c r="AY200" i="16"/>
  <c r="AZ200" i="16" s="1"/>
  <c r="BB200" i="16" s="1"/>
  <c r="BC200" i="16" s="1"/>
  <c r="BF200" i="16" s="1"/>
  <c r="AH205" i="16"/>
  <c r="AH235" i="16"/>
  <c r="AH242" i="16"/>
  <c r="AH251" i="16"/>
  <c r="AY252" i="16"/>
  <c r="AZ252" i="16" s="1"/>
  <c r="BB252" i="16" s="1"/>
  <c r="BC252" i="16" s="1"/>
  <c r="BF252" i="16" s="1"/>
  <c r="AY257" i="16"/>
  <c r="AZ257" i="16" s="1"/>
  <c r="BB257" i="16" s="1"/>
  <c r="BC257" i="16" s="1"/>
  <c r="BF257" i="16" s="1"/>
  <c r="AH258" i="16"/>
  <c r="AY263" i="16"/>
  <c r="AZ263" i="16" s="1"/>
  <c r="BB263" i="16" s="1"/>
  <c r="BC263" i="16" s="1"/>
  <c r="BF263" i="16" s="1"/>
  <c r="AH264" i="16"/>
  <c r="AH274" i="16"/>
  <c r="AH284" i="16"/>
  <c r="AY290" i="16"/>
  <c r="AZ290" i="16" s="1"/>
  <c r="BB290" i="16" s="1"/>
  <c r="BC290" i="16" s="1"/>
  <c r="BF290" i="16" s="1"/>
  <c r="AH291" i="16"/>
  <c r="AH300" i="16"/>
  <c r="AH314" i="16"/>
  <c r="AY322" i="16"/>
  <c r="AZ322" i="16" s="1"/>
  <c r="BB322" i="16" s="1"/>
  <c r="BC322" i="16" s="1"/>
  <c r="BF322" i="16" s="1"/>
  <c r="AY327" i="16"/>
  <c r="AZ327" i="16" s="1"/>
  <c r="BB327" i="16" s="1"/>
  <c r="BC327" i="16" s="1"/>
  <c r="BF327" i="16" s="1"/>
  <c r="AH337" i="16"/>
  <c r="AH344" i="16"/>
  <c r="AY350" i="16"/>
  <c r="AZ350" i="16" s="1"/>
  <c r="BB350" i="16" s="1"/>
  <c r="BC350" i="16" s="1"/>
  <c r="BF350" i="16" s="1"/>
  <c r="AY352" i="16"/>
  <c r="AZ352" i="16" s="1"/>
  <c r="BB352" i="16" s="1"/>
  <c r="BC352" i="16" s="1"/>
  <c r="BF352" i="16" s="1"/>
  <c r="AY356" i="16"/>
  <c r="AZ356" i="16" s="1"/>
  <c r="BB356" i="16" s="1"/>
  <c r="BC356" i="16" s="1"/>
  <c r="BF356" i="16" s="1"/>
  <c r="AY363" i="16"/>
  <c r="AZ363" i="16" s="1"/>
  <c r="BB363" i="16" s="1"/>
  <c r="BC363" i="16" s="1"/>
  <c r="BF363" i="16" s="1"/>
  <c r="AY374" i="16"/>
  <c r="AZ374" i="16" s="1"/>
  <c r="BB374" i="16" s="1"/>
  <c r="BC374" i="16" s="1"/>
  <c r="BF374" i="16" s="1"/>
  <c r="AH390" i="16"/>
  <c r="AY404" i="16"/>
  <c r="AZ404" i="16" s="1"/>
  <c r="BB404" i="16" s="1"/>
  <c r="BC404" i="16" s="1"/>
  <c r="BF404" i="16" s="1"/>
  <c r="AH405" i="16"/>
  <c r="AY410" i="16"/>
  <c r="AZ410" i="16" s="1"/>
  <c r="BB410" i="16" s="1"/>
  <c r="BC410" i="16" s="1"/>
  <c r="BF410" i="16" s="1"/>
  <c r="AY411" i="16"/>
  <c r="AZ411" i="16" s="1"/>
  <c r="BB411" i="16" s="1"/>
  <c r="BC411" i="16" s="1"/>
  <c r="BF411" i="16" s="1"/>
  <c r="AY345" i="16"/>
  <c r="AZ345" i="16" s="1"/>
  <c r="BB345" i="16" s="1"/>
  <c r="BC345" i="16" s="1"/>
  <c r="BF345" i="16" s="1"/>
  <c r="AY384" i="16"/>
  <c r="AZ384" i="16" s="1"/>
  <c r="BB384" i="16" s="1"/>
  <c r="BC384" i="16" s="1"/>
  <c r="BF384" i="16" s="1"/>
  <c r="AY12" i="16"/>
  <c r="AZ12" i="16" s="1"/>
  <c r="BB12" i="16" s="1"/>
  <c r="BC12" i="16" s="1"/>
  <c r="BF12" i="16" s="1"/>
  <c r="AY36" i="16"/>
  <c r="AZ36" i="16" s="1"/>
  <c r="BB36" i="16" s="1"/>
  <c r="BC36" i="16" s="1"/>
  <c r="BF36" i="16" s="1"/>
  <c r="AH37" i="16"/>
  <c r="AY41" i="16"/>
  <c r="AZ41" i="16" s="1"/>
  <c r="BB41" i="16" s="1"/>
  <c r="BC41" i="16" s="1"/>
  <c r="BF41" i="16" s="1"/>
  <c r="AY57" i="16"/>
  <c r="AZ57" i="16" s="1"/>
  <c r="BB57" i="16" s="1"/>
  <c r="BC57" i="16" s="1"/>
  <c r="BF57" i="16" s="1"/>
  <c r="AH58" i="16"/>
  <c r="AH59" i="16"/>
  <c r="AY66" i="16"/>
  <c r="AZ66" i="16" s="1"/>
  <c r="BB66" i="16" s="1"/>
  <c r="BC66" i="16" s="1"/>
  <c r="BF66" i="16" s="1"/>
  <c r="AH67" i="16"/>
  <c r="AY72" i="16"/>
  <c r="AZ72" i="16" s="1"/>
  <c r="BB72" i="16" s="1"/>
  <c r="BC72" i="16" s="1"/>
  <c r="BF72" i="16" s="1"/>
  <c r="AY80" i="16"/>
  <c r="AZ80" i="16" s="1"/>
  <c r="BB80" i="16" s="1"/>
  <c r="BC80" i="16" s="1"/>
  <c r="BF80" i="16" s="1"/>
  <c r="AY96" i="16"/>
  <c r="AZ96" i="16" s="1"/>
  <c r="BB96" i="16" s="1"/>
  <c r="BC96" i="16" s="1"/>
  <c r="BF96" i="16" s="1"/>
  <c r="AH97" i="16"/>
  <c r="AH105" i="16"/>
  <c r="AY106" i="16"/>
  <c r="AZ106" i="16" s="1"/>
  <c r="BB106" i="16" s="1"/>
  <c r="BC106" i="16" s="1"/>
  <c r="BF106" i="16" s="1"/>
  <c r="AY107" i="16"/>
  <c r="AZ107" i="16" s="1"/>
  <c r="BB107" i="16" s="1"/>
  <c r="BC107" i="16" s="1"/>
  <c r="BF107" i="16" s="1"/>
  <c r="AH113" i="16"/>
  <c r="AY119" i="16"/>
  <c r="AZ119" i="16" s="1"/>
  <c r="BB119" i="16" s="1"/>
  <c r="BC119" i="16" s="1"/>
  <c r="BF119" i="16" s="1"/>
  <c r="AH120" i="16"/>
  <c r="AY142" i="16"/>
  <c r="AZ142" i="16" s="1"/>
  <c r="BB142" i="16" s="1"/>
  <c r="BC142" i="16" s="1"/>
  <c r="BF142" i="16" s="1"/>
  <c r="AY148" i="16"/>
  <c r="AZ148" i="16" s="1"/>
  <c r="BB148" i="16" s="1"/>
  <c r="BC148" i="16" s="1"/>
  <c r="BF148" i="16" s="1"/>
  <c r="AY154" i="16"/>
  <c r="AZ154" i="16" s="1"/>
  <c r="BB154" i="16" s="1"/>
  <c r="BC154" i="16" s="1"/>
  <c r="BF154" i="16" s="1"/>
  <c r="AH155" i="16"/>
  <c r="AY168" i="16"/>
  <c r="AZ168" i="16" s="1"/>
  <c r="BB168" i="16" s="1"/>
  <c r="BC168" i="16" s="1"/>
  <c r="BF168" i="16" s="1"/>
  <c r="AY174" i="16"/>
  <c r="AZ174" i="16" s="1"/>
  <c r="BB174" i="16" s="1"/>
  <c r="BC174" i="16" s="1"/>
  <c r="BF174" i="16" s="1"/>
  <c r="AH175" i="16"/>
  <c r="AY177" i="16"/>
  <c r="AZ177" i="16" s="1"/>
  <c r="BB177" i="16" s="1"/>
  <c r="BC177" i="16" s="1"/>
  <c r="BF177" i="16" s="1"/>
  <c r="AY186" i="16"/>
  <c r="AZ186" i="16" s="1"/>
  <c r="BB186" i="16" s="1"/>
  <c r="BC186" i="16" s="1"/>
  <c r="BF186" i="16" s="1"/>
  <c r="AH187" i="16"/>
  <c r="AY190" i="16"/>
  <c r="AZ190" i="16" s="1"/>
  <c r="BB190" i="16" s="1"/>
  <c r="BC190" i="16" s="1"/>
  <c r="BF190" i="16" s="1"/>
  <c r="AY194" i="16"/>
  <c r="AZ194" i="16" s="1"/>
  <c r="BB194" i="16" s="1"/>
  <c r="BC194" i="16" s="1"/>
  <c r="BF194" i="16" s="1"/>
  <c r="AY202" i="16"/>
  <c r="AZ202" i="16" s="1"/>
  <c r="BB202" i="16" s="1"/>
  <c r="BC202" i="16" s="1"/>
  <c r="BF202" i="16" s="1"/>
  <c r="AY209" i="16"/>
  <c r="AZ209" i="16" s="1"/>
  <c r="BB209" i="16" s="1"/>
  <c r="BC209" i="16" s="1"/>
  <c r="BF209" i="16" s="1"/>
  <c r="AY215" i="16"/>
  <c r="AZ215" i="16" s="1"/>
  <c r="BB215" i="16" s="1"/>
  <c r="BC215" i="16" s="1"/>
  <c r="BF215" i="16" s="1"/>
  <c r="AY230" i="16"/>
  <c r="AZ230" i="16" s="1"/>
  <c r="BB230" i="16" s="1"/>
  <c r="BC230" i="16" s="1"/>
  <c r="BF230" i="16" s="1"/>
  <c r="AH232" i="16"/>
  <c r="AH241" i="16"/>
  <c r="AY248" i="16"/>
  <c r="AZ248" i="16" s="1"/>
  <c r="BB248" i="16" s="1"/>
  <c r="BC248" i="16" s="1"/>
  <c r="BF248" i="16" s="1"/>
  <c r="AY261" i="16"/>
  <c r="AZ261" i="16" s="1"/>
  <c r="BB261" i="16" s="1"/>
  <c r="BC261" i="16" s="1"/>
  <c r="BF261" i="16" s="1"/>
  <c r="AY269" i="16"/>
  <c r="AZ269" i="16" s="1"/>
  <c r="BB269" i="16" s="1"/>
  <c r="BC269" i="16" s="1"/>
  <c r="BF269" i="16" s="1"/>
  <c r="AH282" i="16"/>
  <c r="AH297" i="16"/>
  <c r="AH298" i="16"/>
  <c r="AY303" i="16"/>
  <c r="AZ303" i="16" s="1"/>
  <c r="BB303" i="16" s="1"/>
  <c r="BC303" i="16" s="1"/>
  <c r="BF303" i="16" s="1"/>
  <c r="AH308" i="16"/>
  <c r="AH334" i="16"/>
  <c r="AH349" i="16"/>
  <c r="AH355" i="16"/>
  <c r="AY360" i="16"/>
  <c r="AZ360" i="16" s="1"/>
  <c r="BB360" i="16" s="1"/>
  <c r="BC360" i="16" s="1"/>
  <c r="BF360" i="16" s="1"/>
  <c r="AH362" i="16"/>
  <c r="AH369" i="16"/>
  <c r="AY372" i="16"/>
  <c r="AZ372" i="16" s="1"/>
  <c r="BB372" i="16" s="1"/>
  <c r="BC372" i="16" s="1"/>
  <c r="BF372" i="16" s="1"/>
  <c r="AH396" i="16"/>
  <c r="AY402" i="16"/>
  <c r="AZ402" i="16" s="1"/>
  <c r="BB402" i="16" s="1"/>
  <c r="BC402" i="16" s="1"/>
  <c r="BF402" i="16" s="1"/>
  <c r="AH35" i="16"/>
  <c r="AH47" i="16"/>
  <c r="AY56" i="16"/>
  <c r="AZ56" i="16" s="1"/>
  <c r="BB56" i="16" s="1"/>
  <c r="BC56" i="16" s="1"/>
  <c r="BF56" i="16" s="1"/>
  <c r="AY59" i="16"/>
  <c r="AZ59" i="16" s="1"/>
  <c r="BB59" i="16" s="1"/>
  <c r="BC59" i="16" s="1"/>
  <c r="BF59" i="16" s="1"/>
  <c r="AH65" i="16"/>
  <c r="AY86" i="16"/>
  <c r="AZ86" i="16" s="1"/>
  <c r="BB86" i="16" s="1"/>
  <c r="BC86" i="16" s="1"/>
  <c r="BF86" i="16" s="1"/>
  <c r="AY97" i="16"/>
  <c r="AZ97" i="16" s="1"/>
  <c r="BB97" i="16" s="1"/>
  <c r="BC97" i="16" s="1"/>
  <c r="BF97" i="16" s="1"/>
  <c r="AY102" i="16"/>
  <c r="AZ102" i="16" s="1"/>
  <c r="BB102" i="16" s="1"/>
  <c r="BC102" i="16" s="1"/>
  <c r="BF102" i="16" s="1"/>
  <c r="AH103" i="16"/>
  <c r="AY112" i="16"/>
  <c r="AZ112" i="16" s="1"/>
  <c r="BB112" i="16" s="1"/>
  <c r="BC112" i="16" s="1"/>
  <c r="BF112" i="16" s="1"/>
  <c r="AY118" i="16"/>
  <c r="AZ118" i="16" s="1"/>
  <c r="BB118" i="16" s="1"/>
  <c r="BC118" i="16" s="1"/>
  <c r="BF118" i="16" s="1"/>
  <c r="AY125" i="16"/>
  <c r="AZ125" i="16" s="1"/>
  <c r="BB125" i="16" s="1"/>
  <c r="BC125" i="16" s="1"/>
  <c r="BF125" i="16" s="1"/>
  <c r="AH126" i="16"/>
  <c r="AY135" i="16"/>
  <c r="AZ135" i="16" s="1"/>
  <c r="BB135" i="16" s="1"/>
  <c r="BC135" i="16" s="1"/>
  <c r="BF135" i="16" s="1"/>
  <c r="AY147" i="16"/>
  <c r="AZ147" i="16" s="1"/>
  <c r="BB147" i="16" s="1"/>
  <c r="BC147" i="16" s="1"/>
  <c r="BF147" i="16" s="1"/>
  <c r="AY153" i="16"/>
  <c r="AZ153" i="16" s="1"/>
  <c r="BB153" i="16" s="1"/>
  <c r="BC153" i="16" s="1"/>
  <c r="BF153" i="16" s="1"/>
  <c r="AY160" i="16"/>
  <c r="AZ160" i="16" s="1"/>
  <c r="BB160" i="16" s="1"/>
  <c r="BC160" i="16" s="1"/>
  <c r="BF160" i="16" s="1"/>
  <c r="AH183" i="16"/>
  <c r="AY189" i="16"/>
  <c r="AZ189" i="16" s="1"/>
  <c r="BB189" i="16" s="1"/>
  <c r="BC189" i="16" s="1"/>
  <c r="BF189" i="16" s="1"/>
  <c r="AH193" i="16"/>
  <c r="AY220" i="16"/>
  <c r="AZ220" i="16" s="1"/>
  <c r="BB220" i="16" s="1"/>
  <c r="BC220" i="16" s="1"/>
  <c r="BF220" i="16" s="1"/>
  <c r="AH231" i="16"/>
  <c r="AH239" i="16"/>
  <c r="AY242" i="16"/>
  <c r="AZ242" i="16" s="1"/>
  <c r="BB242" i="16" s="1"/>
  <c r="BC242" i="16" s="1"/>
  <c r="BF242" i="16" s="1"/>
  <c r="AY243" i="16"/>
  <c r="AZ243" i="16" s="1"/>
  <c r="BB243" i="16" s="1"/>
  <c r="BC243" i="16" s="1"/>
  <c r="BF243" i="16" s="1"/>
  <c r="AH255" i="16"/>
  <c r="AY260" i="16"/>
  <c r="AZ260" i="16" s="1"/>
  <c r="BB260" i="16" s="1"/>
  <c r="BC260" i="16" s="1"/>
  <c r="BF260" i="16" s="1"/>
  <c r="AH268" i="16"/>
  <c r="AY287" i="16"/>
  <c r="AZ287" i="16" s="1"/>
  <c r="BB287" i="16" s="1"/>
  <c r="BC287" i="16" s="1"/>
  <c r="BF287" i="16" s="1"/>
  <c r="AY347" i="16"/>
  <c r="AZ347" i="16" s="1"/>
  <c r="BB347" i="16" s="1"/>
  <c r="BC347" i="16" s="1"/>
  <c r="BF347" i="16" s="1"/>
  <c r="AH368" i="16"/>
  <c r="AY369" i="16"/>
  <c r="AZ369" i="16" s="1"/>
  <c r="BB369" i="16" s="1"/>
  <c r="BC369" i="16" s="1"/>
  <c r="BF369" i="16" s="1"/>
  <c r="AH387" i="16"/>
  <c r="AY393" i="16"/>
  <c r="AZ393" i="16" s="1"/>
  <c r="BB393" i="16" s="1"/>
  <c r="BC393" i="16" s="1"/>
  <c r="BF393" i="16" s="1"/>
  <c r="AY401" i="16"/>
  <c r="AZ401" i="16" s="1"/>
  <c r="BB401" i="16" s="1"/>
  <c r="BC401" i="16" s="1"/>
  <c r="BF401" i="16" s="1"/>
  <c r="AH2" i="16"/>
  <c r="AH68" i="16"/>
  <c r="AH75" i="16"/>
  <c r="AH122" i="16"/>
  <c r="AH169" i="16"/>
  <c r="AY222" i="16"/>
  <c r="AZ222" i="16" s="1"/>
  <c r="BB222" i="16" s="1"/>
  <c r="BC222" i="16" s="1"/>
  <c r="BF222" i="16" s="1"/>
  <c r="AH250" i="16"/>
  <c r="AH263" i="16"/>
  <c r="AY336" i="16"/>
  <c r="AZ336" i="16" s="1"/>
  <c r="BB336" i="16" s="1"/>
  <c r="BC336" i="16" s="1"/>
  <c r="BF336" i="16" s="1"/>
  <c r="AH336" i="16"/>
  <c r="AH357" i="16"/>
  <c r="AY113" i="16"/>
  <c r="AZ113" i="16" s="1"/>
  <c r="BB113" i="16" s="1"/>
  <c r="BC113" i="16" s="1"/>
  <c r="BF113" i="16" s="1"/>
  <c r="AY35" i="16"/>
  <c r="AZ35" i="16" s="1"/>
  <c r="BB35" i="16" s="1"/>
  <c r="BC35" i="16" s="1"/>
  <c r="BF35" i="16" s="1"/>
  <c r="AH73" i="16"/>
  <c r="AH86" i="16"/>
  <c r="AY89" i="16"/>
  <c r="AZ89" i="16" s="1"/>
  <c r="BB89" i="16" s="1"/>
  <c r="BC89" i="16" s="1"/>
  <c r="BF89" i="16" s="1"/>
  <c r="AY116" i="16"/>
  <c r="AZ116" i="16" s="1"/>
  <c r="BB116" i="16" s="1"/>
  <c r="BC116" i="16" s="1"/>
  <c r="BF116" i="16" s="1"/>
  <c r="AH116" i="16"/>
  <c r="AY138" i="16"/>
  <c r="AZ138" i="16" s="1"/>
  <c r="BB138" i="16" s="1"/>
  <c r="BC138" i="16" s="1"/>
  <c r="BF138" i="16" s="1"/>
  <c r="AH159" i="16"/>
  <c r="AH283" i="16"/>
  <c r="AY283" i="16"/>
  <c r="AZ283" i="16" s="1"/>
  <c r="BB283" i="16" s="1"/>
  <c r="BC283" i="16" s="1"/>
  <c r="BF283" i="16" s="1"/>
  <c r="AH38" i="16"/>
  <c r="AY19" i="16"/>
  <c r="AZ19" i="16" s="1"/>
  <c r="BB19" i="16" s="1"/>
  <c r="BC19" i="16" s="1"/>
  <c r="BF19" i="16" s="1"/>
  <c r="AY20" i="16"/>
  <c r="AZ20" i="16" s="1"/>
  <c r="BB20" i="16" s="1"/>
  <c r="BC20" i="16" s="1"/>
  <c r="BF20" i="16" s="1"/>
  <c r="AY21" i="16"/>
  <c r="AZ21" i="16" s="1"/>
  <c r="BB21" i="16" s="1"/>
  <c r="BC21" i="16" s="1"/>
  <c r="BF21" i="16" s="1"/>
  <c r="AH28" i="16"/>
  <c r="AY46" i="16"/>
  <c r="AZ46" i="16" s="1"/>
  <c r="BB46" i="16" s="1"/>
  <c r="BC46" i="16" s="1"/>
  <c r="BF46" i="16" s="1"/>
  <c r="AH56" i="16"/>
  <c r="AY145" i="16"/>
  <c r="AZ145" i="16" s="1"/>
  <c r="BB145" i="16" s="1"/>
  <c r="BC145" i="16" s="1"/>
  <c r="BF145" i="16" s="1"/>
  <c r="AY149" i="16"/>
  <c r="AZ149" i="16" s="1"/>
  <c r="BB149" i="16" s="1"/>
  <c r="BC149" i="16" s="1"/>
  <c r="BF149" i="16" s="1"/>
  <c r="AY29" i="16"/>
  <c r="AZ29" i="16" s="1"/>
  <c r="BB29" i="16" s="1"/>
  <c r="BC29" i="16" s="1"/>
  <c r="BF29" i="16" s="1"/>
  <c r="AY53" i="16"/>
  <c r="AZ53" i="16" s="1"/>
  <c r="BB53" i="16" s="1"/>
  <c r="BC53" i="16" s="1"/>
  <c r="BF53" i="16" s="1"/>
  <c r="AY65" i="16"/>
  <c r="AZ65" i="16" s="1"/>
  <c r="BB65" i="16" s="1"/>
  <c r="BC65" i="16" s="1"/>
  <c r="BF65" i="16" s="1"/>
  <c r="AH70" i="16"/>
  <c r="AY76" i="16"/>
  <c r="AZ76" i="16" s="1"/>
  <c r="BB76" i="16" s="1"/>
  <c r="BC76" i="16" s="1"/>
  <c r="BF76" i="16" s="1"/>
  <c r="AH81" i="16"/>
  <c r="AY92" i="16"/>
  <c r="AZ92" i="16" s="1"/>
  <c r="BB92" i="16" s="1"/>
  <c r="BC92" i="16" s="1"/>
  <c r="BF92" i="16" s="1"/>
  <c r="AH115" i="16"/>
  <c r="AY123" i="16"/>
  <c r="AZ123" i="16" s="1"/>
  <c r="BB123" i="16" s="1"/>
  <c r="BC123" i="16" s="1"/>
  <c r="BF123" i="16" s="1"/>
  <c r="AH134" i="16"/>
  <c r="AY141" i="16"/>
  <c r="AZ141" i="16" s="1"/>
  <c r="BB141" i="16" s="1"/>
  <c r="BC141" i="16" s="1"/>
  <c r="BF141" i="16" s="1"/>
  <c r="AY150" i="16"/>
  <c r="AZ150" i="16" s="1"/>
  <c r="BB150" i="16" s="1"/>
  <c r="BC150" i="16" s="1"/>
  <c r="BF150" i="16" s="1"/>
  <c r="AY162" i="16"/>
  <c r="AZ162" i="16" s="1"/>
  <c r="BB162" i="16" s="1"/>
  <c r="BC162" i="16" s="1"/>
  <c r="BF162" i="16" s="1"/>
  <c r="AH259" i="16"/>
  <c r="AY259" i="16"/>
  <c r="AZ259" i="16" s="1"/>
  <c r="BB259" i="16" s="1"/>
  <c r="BC259" i="16" s="1"/>
  <c r="BF259" i="16" s="1"/>
  <c r="AY4" i="16"/>
  <c r="AZ4" i="16" s="1"/>
  <c r="BB4" i="16" s="1"/>
  <c r="BC4" i="16" s="1"/>
  <c r="BF4" i="16" s="1"/>
  <c r="AY5" i="16"/>
  <c r="AZ5" i="16" s="1"/>
  <c r="BB5" i="16" s="1"/>
  <c r="BC5" i="16" s="1"/>
  <c r="BF5" i="16" s="1"/>
  <c r="AY6" i="16"/>
  <c r="AZ6" i="16" s="1"/>
  <c r="BB6" i="16" s="1"/>
  <c r="BC6" i="16" s="1"/>
  <c r="BF6" i="16" s="1"/>
  <c r="AY9" i="16"/>
  <c r="AZ9" i="16" s="1"/>
  <c r="BB9" i="16" s="1"/>
  <c r="BC9" i="16" s="1"/>
  <c r="BF9" i="16" s="1"/>
  <c r="AY14" i="16"/>
  <c r="AZ14" i="16" s="1"/>
  <c r="BB14" i="16" s="1"/>
  <c r="BC14" i="16" s="1"/>
  <c r="BF14" i="16" s="1"/>
  <c r="AY23" i="16"/>
  <c r="AZ23" i="16" s="1"/>
  <c r="BB23" i="16" s="1"/>
  <c r="BC23" i="16" s="1"/>
  <c r="BF23" i="16" s="1"/>
  <c r="AY42" i="16"/>
  <c r="AZ42" i="16" s="1"/>
  <c r="BB42" i="16" s="1"/>
  <c r="BC42" i="16" s="1"/>
  <c r="BF42" i="16" s="1"/>
  <c r="AH43" i="16"/>
  <c r="AY44" i="16"/>
  <c r="AZ44" i="16" s="1"/>
  <c r="BB44" i="16" s="1"/>
  <c r="BC44" i="16" s="1"/>
  <c r="BF44" i="16" s="1"/>
  <c r="AY45" i="16"/>
  <c r="AZ45" i="16" s="1"/>
  <c r="BB45" i="16" s="1"/>
  <c r="BC45" i="16" s="1"/>
  <c r="BF45" i="16" s="1"/>
  <c r="AY62" i="16"/>
  <c r="AZ62" i="16" s="1"/>
  <c r="BB62" i="16" s="1"/>
  <c r="BC62" i="16" s="1"/>
  <c r="BF62" i="16" s="1"/>
  <c r="AY63" i="16"/>
  <c r="AZ63" i="16" s="1"/>
  <c r="BB63" i="16" s="1"/>
  <c r="BC63" i="16" s="1"/>
  <c r="BF63" i="16" s="1"/>
  <c r="AH64" i="16"/>
  <c r="AH69" i="16"/>
  <c r="AY77" i="16"/>
  <c r="AZ77" i="16" s="1"/>
  <c r="BB77" i="16" s="1"/>
  <c r="BC77" i="16" s="1"/>
  <c r="BF77" i="16" s="1"/>
  <c r="AY83" i="16"/>
  <c r="AZ83" i="16" s="1"/>
  <c r="BB83" i="16" s="1"/>
  <c r="BC83" i="16" s="1"/>
  <c r="BF83" i="16" s="1"/>
  <c r="AY104" i="16"/>
  <c r="AZ104" i="16" s="1"/>
  <c r="BB104" i="16" s="1"/>
  <c r="BC104" i="16" s="1"/>
  <c r="BF104" i="16" s="1"/>
  <c r="AY110" i="16"/>
  <c r="AZ110" i="16" s="1"/>
  <c r="BB110" i="16" s="1"/>
  <c r="BC110" i="16" s="1"/>
  <c r="BF110" i="16" s="1"/>
  <c r="AH112" i="16"/>
  <c r="AH114" i="16"/>
  <c r="AY117" i="16"/>
  <c r="AZ117" i="16" s="1"/>
  <c r="BB117" i="16" s="1"/>
  <c r="BC117" i="16" s="1"/>
  <c r="BF117" i="16" s="1"/>
  <c r="AH118" i="16"/>
  <c r="AY120" i="16"/>
  <c r="AZ120" i="16" s="1"/>
  <c r="BB120" i="16" s="1"/>
  <c r="BC120" i="16" s="1"/>
  <c r="BF120" i="16" s="1"/>
  <c r="AY121" i="16"/>
  <c r="AZ121" i="16" s="1"/>
  <c r="BB121" i="16" s="1"/>
  <c r="BC121" i="16" s="1"/>
  <c r="BF121" i="16" s="1"/>
  <c r="AH128" i="16"/>
  <c r="AH130" i="16"/>
  <c r="AY132" i="16"/>
  <c r="AZ132" i="16" s="1"/>
  <c r="BB132" i="16" s="1"/>
  <c r="BC132" i="16" s="1"/>
  <c r="BF132" i="16" s="1"/>
  <c r="AY134" i="16"/>
  <c r="AZ134" i="16" s="1"/>
  <c r="BB134" i="16" s="1"/>
  <c r="BC134" i="16" s="1"/>
  <c r="BF134" i="16" s="1"/>
  <c r="AY143" i="16"/>
  <c r="AZ143" i="16" s="1"/>
  <c r="BB143" i="16" s="1"/>
  <c r="BC143" i="16" s="1"/>
  <c r="BF143" i="16" s="1"/>
  <c r="AH144" i="16"/>
  <c r="AH158" i="16"/>
  <c r="AY159" i="16"/>
  <c r="AZ159" i="16" s="1"/>
  <c r="BB159" i="16" s="1"/>
  <c r="BC159" i="16" s="1"/>
  <c r="BF159" i="16" s="1"/>
  <c r="AY167" i="16"/>
  <c r="AZ167" i="16" s="1"/>
  <c r="BB167" i="16" s="1"/>
  <c r="BC167" i="16" s="1"/>
  <c r="BF167" i="16" s="1"/>
  <c r="AY182" i="16"/>
  <c r="AZ182" i="16" s="1"/>
  <c r="BB182" i="16" s="1"/>
  <c r="BC182" i="16" s="1"/>
  <c r="BF182" i="16" s="1"/>
  <c r="AY208" i="16"/>
  <c r="AZ208" i="16" s="1"/>
  <c r="BB208" i="16" s="1"/>
  <c r="BC208" i="16" s="1"/>
  <c r="BF208" i="16" s="1"/>
  <c r="AY213" i="16"/>
  <c r="AZ213" i="16" s="1"/>
  <c r="BB213" i="16" s="1"/>
  <c r="BC213" i="16" s="1"/>
  <c r="BF213" i="16" s="1"/>
  <c r="AH218" i="16"/>
  <c r="AH262" i="16"/>
  <c r="AY277" i="16"/>
  <c r="AZ277" i="16" s="1"/>
  <c r="BB277" i="16" s="1"/>
  <c r="BC277" i="16" s="1"/>
  <c r="BF277" i="16" s="1"/>
  <c r="AY292" i="16"/>
  <c r="AZ292" i="16" s="1"/>
  <c r="BB292" i="16" s="1"/>
  <c r="BC292" i="16" s="1"/>
  <c r="BF292" i="16" s="1"/>
  <c r="AH292" i="16"/>
  <c r="AH303" i="16"/>
  <c r="AY348" i="16"/>
  <c r="AZ348" i="16" s="1"/>
  <c r="BB348" i="16" s="1"/>
  <c r="BC348" i="16" s="1"/>
  <c r="BF348" i="16" s="1"/>
  <c r="AH348" i="16"/>
  <c r="AY71" i="16"/>
  <c r="AZ71" i="16" s="1"/>
  <c r="BB71" i="16" s="1"/>
  <c r="BC71" i="16" s="1"/>
  <c r="BF71" i="16" s="1"/>
  <c r="AY98" i="16"/>
  <c r="AZ98" i="16" s="1"/>
  <c r="BB98" i="16" s="1"/>
  <c r="BC98" i="16" s="1"/>
  <c r="BF98" i="16" s="1"/>
  <c r="AY144" i="16"/>
  <c r="AZ144" i="16" s="1"/>
  <c r="BB144" i="16" s="1"/>
  <c r="BC144" i="16" s="1"/>
  <c r="BF144" i="16" s="1"/>
  <c r="AY151" i="16"/>
  <c r="AZ151" i="16" s="1"/>
  <c r="BB151" i="16" s="1"/>
  <c r="BC151" i="16" s="1"/>
  <c r="BF151" i="16" s="1"/>
  <c r="AY236" i="16"/>
  <c r="AZ236" i="16" s="1"/>
  <c r="BB236" i="16" s="1"/>
  <c r="BC236" i="16" s="1"/>
  <c r="BF236" i="16" s="1"/>
  <c r="AY247" i="16"/>
  <c r="AZ247" i="16" s="1"/>
  <c r="BB247" i="16" s="1"/>
  <c r="BC247" i="16" s="1"/>
  <c r="BF247" i="16" s="1"/>
  <c r="AH247" i="16"/>
  <c r="AY253" i="16"/>
  <c r="AZ253" i="16" s="1"/>
  <c r="BB253" i="16" s="1"/>
  <c r="BC253" i="16" s="1"/>
  <c r="BF253" i="16" s="1"/>
  <c r="AY354" i="16"/>
  <c r="AZ354" i="16" s="1"/>
  <c r="BB354" i="16" s="1"/>
  <c r="BC354" i="16" s="1"/>
  <c r="BF354" i="16" s="1"/>
  <c r="AH354" i="16"/>
  <c r="AH339" i="16"/>
  <c r="AY10" i="16"/>
  <c r="AZ10" i="16" s="1"/>
  <c r="BB10" i="16" s="1"/>
  <c r="BC10" i="16" s="1"/>
  <c r="BF10" i="16" s="1"/>
  <c r="AY11" i="16"/>
  <c r="AZ11" i="16" s="1"/>
  <c r="BB11" i="16" s="1"/>
  <c r="BC11" i="16" s="1"/>
  <c r="BF11" i="16" s="1"/>
  <c r="AY24" i="16"/>
  <c r="AZ24" i="16" s="1"/>
  <c r="BB24" i="16" s="1"/>
  <c r="BC24" i="16" s="1"/>
  <c r="BF24" i="16" s="1"/>
  <c r="AH25" i="16"/>
  <c r="AY27" i="16"/>
  <c r="AZ27" i="16" s="1"/>
  <c r="BB27" i="16" s="1"/>
  <c r="BC27" i="16" s="1"/>
  <c r="BF27" i="16" s="1"/>
  <c r="AY78" i="16"/>
  <c r="AZ78" i="16" s="1"/>
  <c r="BB78" i="16" s="1"/>
  <c r="BC78" i="16" s="1"/>
  <c r="BF78" i="16" s="1"/>
  <c r="AH79" i="16"/>
  <c r="AY84" i="16"/>
  <c r="AZ84" i="16" s="1"/>
  <c r="BB84" i="16" s="1"/>
  <c r="BC84" i="16" s="1"/>
  <c r="BF84" i="16" s="1"/>
  <c r="AH85" i="16"/>
  <c r="AH88" i="16"/>
  <c r="AY90" i="16"/>
  <c r="AZ90" i="16" s="1"/>
  <c r="BB90" i="16" s="1"/>
  <c r="BC90" i="16" s="1"/>
  <c r="BF90" i="16" s="1"/>
  <c r="AH91" i="16"/>
  <c r="AH93" i="16"/>
  <c r="AH99" i="16"/>
  <c r="AY124" i="16"/>
  <c r="AZ124" i="16" s="1"/>
  <c r="BB124" i="16" s="1"/>
  <c r="BC124" i="16" s="1"/>
  <c r="BF124" i="16" s="1"/>
  <c r="AY126" i="16"/>
  <c r="AZ126" i="16" s="1"/>
  <c r="BB126" i="16" s="1"/>
  <c r="BC126" i="16" s="1"/>
  <c r="BF126" i="16" s="1"/>
  <c r="AY136" i="16"/>
  <c r="AZ136" i="16" s="1"/>
  <c r="BB136" i="16" s="1"/>
  <c r="BC136" i="16" s="1"/>
  <c r="BF136" i="16" s="1"/>
  <c r="AH137" i="16"/>
  <c r="AH138" i="16"/>
  <c r="AH140" i="16"/>
  <c r="AH149" i="16"/>
  <c r="AH150" i="16"/>
  <c r="AY161" i="16"/>
  <c r="AZ161" i="16" s="1"/>
  <c r="BB161" i="16" s="1"/>
  <c r="BC161" i="16" s="1"/>
  <c r="BF161" i="16" s="1"/>
  <c r="AY173" i="16"/>
  <c r="AZ173" i="16" s="1"/>
  <c r="BB173" i="16" s="1"/>
  <c r="BC173" i="16" s="1"/>
  <c r="BF173" i="16" s="1"/>
  <c r="AH203" i="16"/>
  <c r="AH204" i="16"/>
  <c r="AH212" i="16"/>
  <c r="AY221" i="16"/>
  <c r="AZ221" i="16" s="1"/>
  <c r="BB221" i="16" s="1"/>
  <c r="BC221" i="16" s="1"/>
  <c r="BF221" i="16" s="1"/>
  <c r="AH222" i="16"/>
  <c r="AY225" i="16"/>
  <c r="AZ225" i="16" s="1"/>
  <c r="BB225" i="16" s="1"/>
  <c r="BC225" i="16" s="1"/>
  <c r="BF225" i="16" s="1"/>
  <c r="AH289" i="16"/>
  <c r="AY289" i="16"/>
  <c r="AZ289" i="16" s="1"/>
  <c r="BB289" i="16" s="1"/>
  <c r="BC289" i="16" s="1"/>
  <c r="BF289" i="16" s="1"/>
  <c r="AH290" i="16"/>
  <c r="AH299" i="16"/>
  <c r="AY324" i="16"/>
  <c r="AZ324" i="16" s="1"/>
  <c r="BB324" i="16" s="1"/>
  <c r="BC324" i="16" s="1"/>
  <c r="BF324" i="16" s="1"/>
  <c r="AH152" i="16"/>
  <c r="AH154" i="16"/>
  <c r="AH161" i="16"/>
  <c r="AH167" i="16"/>
  <c r="AH173" i="16"/>
  <c r="AY180" i="16"/>
  <c r="AZ180" i="16" s="1"/>
  <c r="BB180" i="16" s="1"/>
  <c r="BC180" i="16" s="1"/>
  <c r="BF180" i="16" s="1"/>
  <c r="AH182" i="16"/>
  <c r="AY195" i="16"/>
  <c r="AZ195" i="16" s="1"/>
  <c r="BB195" i="16" s="1"/>
  <c r="BC195" i="16" s="1"/>
  <c r="BF195" i="16" s="1"/>
  <c r="AH209" i="16"/>
  <c r="AH210" i="16"/>
  <c r="AH217" i="16"/>
  <c r="AH221" i="16"/>
  <c r="AY231" i="16"/>
  <c r="AZ231" i="16" s="1"/>
  <c r="BB231" i="16" s="1"/>
  <c r="BC231" i="16" s="1"/>
  <c r="BF231" i="16" s="1"/>
  <c r="AY237" i="16"/>
  <c r="AZ237" i="16" s="1"/>
  <c r="BB237" i="16" s="1"/>
  <c r="BC237" i="16" s="1"/>
  <c r="BF237" i="16" s="1"/>
  <c r="AH249" i="16"/>
  <c r="AH260" i="16"/>
  <c r="AH261" i="16"/>
  <c r="AH265" i="16"/>
  <c r="AY267" i="16"/>
  <c r="AZ267" i="16" s="1"/>
  <c r="BB267" i="16" s="1"/>
  <c r="BC267" i="16" s="1"/>
  <c r="BF267" i="16" s="1"/>
  <c r="AH269" i="16"/>
  <c r="AY276" i="16"/>
  <c r="AZ276" i="16" s="1"/>
  <c r="BB276" i="16" s="1"/>
  <c r="BC276" i="16" s="1"/>
  <c r="BF276" i="16" s="1"/>
  <c r="AH393" i="16"/>
  <c r="AH401" i="16"/>
  <c r="AH402" i="16"/>
  <c r="AH404" i="16"/>
  <c r="AY282" i="16"/>
  <c r="AZ282" i="16" s="1"/>
  <c r="BB282" i="16" s="1"/>
  <c r="BC282" i="16" s="1"/>
  <c r="BF282" i="16" s="1"/>
  <c r="AY288" i="16"/>
  <c r="AZ288" i="16" s="1"/>
  <c r="BB288" i="16" s="1"/>
  <c r="BC288" i="16" s="1"/>
  <c r="BF288" i="16" s="1"/>
  <c r="AY294" i="16"/>
  <c r="AZ294" i="16" s="1"/>
  <c r="BB294" i="16" s="1"/>
  <c r="BC294" i="16" s="1"/>
  <c r="BF294" i="16" s="1"/>
  <c r="AY298" i="16"/>
  <c r="AZ298" i="16" s="1"/>
  <c r="BB298" i="16" s="1"/>
  <c r="BC298" i="16" s="1"/>
  <c r="BF298" i="16" s="1"/>
  <c r="AY307" i="16"/>
  <c r="AZ307" i="16" s="1"/>
  <c r="BB307" i="16" s="1"/>
  <c r="BC307" i="16" s="1"/>
  <c r="BF307" i="16" s="1"/>
  <c r="AY313" i="16"/>
  <c r="AZ313" i="16" s="1"/>
  <c r="BB313" i="16" s="1"/>
  <c r="BC313" i="16" s="1"/>
  <c r="BF313" i="16" s="1"/>
  <c r="AY331" i="16"/>
  <c r="AZ331" i="16" s="1"/>
  <c r="BB331" i="16" s="1"/>
  <c r="BC331" i="16" s="1"/>
  <c r="BF331" i="16" s="1"/>
  <c r="AY339" i="16"/>
  <c r="AZ339" i="16" s="1"/>
  <c r="BB339" i="16" s="1"/>
  <c r="BC339" i="16" s="1"/>
  <c r="BF339" i="16" s="1"/>
  <c r="AY357" i="16"/>
  <c r="AZ357" i="16" s="1"/>
  <c r="BB357" i="16" s="1"/>
  <c r="BC357" i="16" s="1"/>
  <c r="BF357" i="16" s="1"/>
  <c r="AY380" i="16"/>
  <c r="AZ380" i="16" s="1"/>
  <c r="BB380" i="16" s="1"/>
  <c r="BC380" i="16" s="1"/>
  <c r="BF380" i="16" s="1"/>
  <c r="AY389" i="16"/>
  <c r="AZ389" i="16" s="1"/>
  <c r="BB389" i="16" s="1"/>
  <c r="BC389" i="16" s="1"/>
  <c r="BF389" i="16" s="1"/>
  <c r="AH399" i="16"/>
  <c r="AY413" i="16"/>
  <c r="AZ413" i="16" s="1"/>
  <c r="BB413" i="16" s="1"/>
  <c r="BC413" i="16" s="1"/>
  <c r="BF413" i="16" s="1"/>
  <c r="AH146" i="16"/>
  <c r="AY152" i="16"/>
  <c r="AZ152" i="16" s="1"/>
  <c r="BB152" i="16" s="1"/>
  <c r="BC152" i="16" s="1"/>
  <c r="BF152" i="16" s="1"/>
  <c r="AY165" i="16"/>
  <c r="AZ165" i="16" s="1"/>
  <c r="BB165" i="16" s="1"/>
  <c r="BC165" i="16" s="1"/>
  <c r="BF165" i="16" s="1"/>
  <c r="AY171" i="16"/>
  <c r="AZ171" i="16" s="1"/>
  <c r="BB171" i="16" s="1"/>
  <c r="BC171" i="16" s="1"/>
  <c r="BF171" i="16" s="1"/>
  <c r="AH185" i="16"/>
  <c r="AH186" i="16"/>
  <c r="AY192" i="16"/>
  <c r="AZ192" i="16" s="1"/>
  <c r="BB192" i="16" s="1"/>
  <c r="BC192" i="16" s="1"/>
  <c r="BF192" i="16" s="1"/>
  <c r="AH194" i="16"/>
  <c r="AY207" i="16"/>
  <c r="AZ207" i="16" s="1"/>
  <c r="BB207" i="16" s="1"/>
  <c r="BC207" i="16" s="1"/>
  <c r="BF207" i="16" s="1"/>
  <c r="AY214" i="16"/>
  <c r="AZ214" i="16" s="1"/>
  <c r="BB214" i="16" s="1"/>
  <c r="BC214" i="16" s="1"/>
  <c r="BF214" i="16" s="1"/>
  <c r="AH215" i="16"/>
  <c r="AY219" i="16"/>
  <c r="AZ219" i="16" s="1"/>
  <c r="BB219" i="16" s="1"/>
  <c r="BC219" i="16" s="1"/>
  <c r="BF219" i="16" s="1"/>
  <c r="AY228" i="16"/>
  <c r="AZ228" i="16" s="1"/>
  <c r="BB228" i="16" s="1"/>
  <c r="BC228" i="16" s="1"/>
  <c r="BF228" i="16" s="1"/>
  <c r="AY233" i="16"/>
  <c r="AZ233" i="16" s="1"/>
  <c r="BB233" i="16" s="1"/>
  <c r="BC233" i="16" s="1"/>
  <c r="BF233" i="16" s="1"/>
  <c r="AY234" i="16"/>
  <c r="AZ234" i="16" s="1"/>
  <c r="BB234" i="16" s="1"/>
  <c r="BC234" i="16" s="1"/>
  <c r="BF234" i="16" s="1"/>
  <c r="AY239" i="16"/>
  <c r="AZ239" i="16" s="1"/>
  <c r="BB239" i="16" s="1"/>
  <c r="BC239" i="16" s="1"/>
  <c r="BF239" i="16" s="1"/>
  <c r="AY240" i="16"/>
  <c r="AZ240" i="16" s="1"/>
  <c r="BB240" i="16" s="1"/>
  <c r="BC240" i="16" s="1"/>
  <c r="BF240" i="16" s="1"/>
  <c r="AY241" i="16"/>
  <c r="AZ241" i="16" s="1"/>
  <c r="BB241" i="16" s="1"/>
  <c r="BC241" i="16" s="1"/>
  <c r="BF241" i="16" s="1"/>
  <c r="AY244" i="16"/>
  <c r="AZ244" i="16" s="1"/>
  <c r="BB244" i="16" s="1"/>
  <c r="BC244" i="16" s="1"/>
  <c r="BF244" i="16" s="1"/>
  <c r="AH245" i="16"/>
  <c r="AY246" i="16"/>
  <c r="AZ246" i="16" s="1"/>
  <c r="BB246" i="16" s="1"/>
  <c r="BC246" i="16" s="1"/>
  <c r="BF246" i="16" s="1"/>
  <c r="AY255" i="16"/>
  <c r="AZ255" i="16" s="1"/>
  <c r="BB255" i="16" s="1"/>
  <c r="BC255" i="16" s="1"/>
  <c r="BF255" i="16" s="1"/>
  <c r="AH257" i="16"/>
  <c r="AY258" i="16"/>
  <c r="AZ258" i="16" s="1"/>
  <c r="BB258" i="16" s="1"/>
  <c r="BC258" i="16" s="1"/>
  <c r="BF258" i="16" s="1"/>
  <c r="AH272" i="16"/>
  <c r="AH273" i="16"/>
  <c r="AH275" i="16"/>
  <c r="AH294" i="16"/>
  <c r="AH295" i="16"/>
  <c r="AH306" i="16"/>
  <c r="AH309" i="16"/>
  <c r="AH312" i="16"/>
  <c r="AH315" i="16"/>
  <c r="AY319" i="16"/>
  <c r="AZ319" i="16" s="1"/>
  <c r="BB319" i="16" s="1"/>
  <c r="BC319" i="16" s="1"/>
  <c r="BF319" i="16" s="1"/>
  <c r="AY328" i="16"/>
  <c r="AZ328" i="16" s="1"/>
  <c r="BB328" i="16" s="1"/>
  <c r="BC328" i="16" s="1"/>
  <c r="BF328" i="16" s="1"/>
  <c r="AY332" i="16"/>
  <c r="AZ332" i="16" s="1"/>
  <c r="BB332" i="16" s="1"/>
  <c r="BC332" i="16" s="1"/>
  <c r="BF332" i="16" s="1"/>
  <c r="AY351" i="16"/>
  <c r="AZ351" i="16" s="1"/>
  <c r="BB351" i="16" s="1"/>
  <c r="BC351" i="16" s="1"/>
  <c r="BF351" i="16" s="1"/>
  <c r="AY368" i="16"/>
  <c r="AZ368" i="16" s="1"/>
  <c r="BB368" i="16" s="1"/>
  <c r="BC368" i="16" s="1"/>
  <c r="BF368" i="16" s="1"/>
  <c r="AH380" i="16"/>
  <c r="AH381" i="16"/>
  <c r="AY398" i="16"/>
  <c r="AZ398" i="16" s="1"/>
  <c r="BB398" i="16" s="1"/>
  <c r="BC398" i="16" s="1"/>
  <c r="BF398" i="16" s="1"/>
  <c r="AH410" i="16"/>
  <c r="AH414" i="16"/>
  <c r="AY416" i="16"/>
  <c r="AZ416" i="16" s="1"/>
  <c r="BB416" i="16" s="1"/>
  <c r="BC416" i="16" s="1"/>
  <c r="BF416" i="16" s="1"/>
  <c r="AY198" i="16"/>
  <c r="AZ198" i="16" s="1"/>
  <c r="BB198" i="16" s="1"/>
  <c r="BC198" i="16" s="1"/>
  <c r="BF198" i="16" s="1"/>
  <c r="AY227" i="16"/>
  <c r="AZ227" i="16" s="1"/>
  <c r="BB227" i="16" s="1"/>
  <c r="BC227" i="16" s="1"/>
  <c r="BF227" i="16" s="1"/>
  <c r="AY229" i="16"/>
  <c r="AZ229" i="16" s="1"/>
  <c r="BB229" i="16" s="1"/>
  <c r="BC229" i="16" s="1"/>
  <c r="BF229" i="16" s="1"/>
  <c r="AY232" i="16"/>
  <c r="AZ232" i="16" s="1"/>
  <c r="BB232" i="16" s="1"/>
  <c r="BC232" i="16" s="1"/>
  <c r="BF232" i="16" s="1"/>
  <c r="AY238" i="16"/>
  <c r="AZ238" i="16" s="1"/>
  <c r="BB238" i="16" s="1"/>
  <c r="BC238" i="16" s="1"/>
  <c r="BF238" i="16" s="1"/>
  <c r="AY254" i="16"/>
  <c r="AZ254" i="16" s="1"/>
  <c r="BB254" i="16" s="1"/>
  <c r="BC254" i="16" s="1"/>
  <c r="BF254" i="16" s="1"/>
  <c r="AH277" i="16"/>
  <c r="AY279" i="16"/>
  <c r="AZ279" i="16" s="1"/>
  <c r="BB279" i="16" s="1"/>
  <c r="BC279" i="16" s="1"/>
  <c r="BF279" i="16" s="1"/>
  <c r="AY341" i="16"/>
  <c r="AZ341" i="16" s="1"/>
  <c r="BB341" i="16" s="1"/>
  <c r="BC341" i="16" s="1"/>
  <c r="BF341" i="16" s="1"/>
  <c r="AY343" i="16"/>
  <c r="AZ343" i="16" s="1"/>
  <c r="BB343" i="16" s="1"/>
  <c r="BC343" i="16" s="1"/>
  <c r="BF343" i="16" s="1"/>
  <c r="AY361" i="16"/>
  <c r="AZ361" i="16" s="1"/>
  <c r="BB361" i="16" s="1"/>
  <c r="BC361" i="16" s="1"/>
  <c r="BF361" i="16" s="1"/>
  <c r="AY365" i="16"/>
  <c r="AZ365" i="16" s="1"/>
  <c r="BB365" i="16" s="1"/>
  <c r="BC365" i="16" s="1"/>
  <c r="BF365" i="16" s="1"/>
  <c r="AY13" i="16"/>
  <c r="AZ13" i="16" s="1"/>
  <c r="BB13" i="16" s="1"/>
  <c r="BC13" i="16" s="1"/>
  <c r="BF13" i="16" s="1"/>
  <c r="AH60" i="16"/>
  <c r="AH66" i="16"/>
  <c r="AH119" i="16"/>
  <c r="AH143" i="16"/>
  <c r="AH317" i="16"/>
  <c r="AY317" i="16"/>
  <c r="AZ317" i="16" s="1"/>
  <c r="BB317" i="16" s="1"/>
  <c r="BC317" i="16" s="1"/>
  <c r="BF317" i="16" s="1"/>
  <c r="AH13" i="16"/>
  <c r="AY69" i="16"/>
  <c r="AZ69" i="16" s="1"/>
  <c r="BB69" i="16" s="1"/>
  <c r="BC69" i="16" s="1"/>
  <c r="BF69" i="16" s="1"/>
  <c r="AH84" i="16"/>
  <c r="AY87" i="16"/>
  <c r="AZ87" i="16" s="1"/>
  <c r="BB87" i="16" s="1"/>
  <c r="BC87" i="16" s="1"/>
  <c r="BF87" i="16" s="1"/>
  <c r="AY105" i="16"/>
  <c r="AZ105" i="16" s="1"/>
  <c r="BB105" i="16" s="1"/>
  <c r="BC105" i="16" s="1"/>
  <c r="BF105" i="16" s="1"/>
  <c r="AH12" i="16"/>
  <c r="AH15" i="16"/>
  <c r="AH21" i="16"/>
  <c r="AH27" i="16"/>
  <c r="AH33" i="16"/>
  <c r="AH39" i="16"/>
  <c r="AH45" i="16"/>
  <c r="AH51" i="16"/>
  <c r="AH57" i="16"/>
  <c r="AH63" i="16"/>
  <c r="AH72" i="16"/>
  <c r="AY75" i="16"/>
  <c r="AZ75" i="16" s="1"/>
  <c r="BB75" i="16" s="1"/>
  <c r="BC75" i="16" s="1"/>
  <c r="BF75" i="16" s="1"/>
  <c r="AH90" i="16"/>
  <c r="AY93" i="16"/>
  <c r="AZ93" i="16" s="1"/>
  <c r="BB93" i="16" s="1"/>
  <c r="BC93" i="16" s="1"/>
  <c r="BF93" i="16" s="1"/>
  <c r="AH108" i="16"/>
  <c r="AY111" i="16"/>
  <c r="AZ111" i="16" s="1"/>
  <c r="BB111" i="16" s="1"/>
  <c r="BC111" i="16" s="1"/>
  <c r="BF111" i="16" s="1"/>
  <c r="AH19" i="16"/>
  <c r="AH24" i="16"/>
  <c r="AH30" i="16"/>
  <c r="AH36" i="16"/>
  <c r="AH42" i="16"/>
  <c r="AH48" i="16"/>
  <c r="AH54" i="16"/>
  <c r="AH125" i="16"/>
  <c r="AH156" i="16"/>
  <c r="AH162" i="16"/>
  <c r="AH168" i="16"/>
  <c r="AH174" i="16"/>
  <c r="AH123" i="16"/>
  <c r="AY128" i="16"/>
  <c r="AZ128" i="16" s="1"/>
  <c r="BB128" i="16" s="1"/>
  <c r="BC128" i="16" s="1"/>
  <c r="BF128" i="16" s="1"/>
  <c r="AH129" i="16"/>
  <c r="AH340" i="16"/>
  <c r="AY340" i="16"/>
  <c r="AZ340" i="16" s="1"/>
  <c r="BB340" i="16" s="1"/>
  <c r="BC340" i="16" s="1"/>
  <c r="BF340" i="16" s="1"/>
  <c r="AH135" i="16"/>
  <c r="AH141" i="16"/>
  <c r="AH147" i="16"/>
  <c r="AH153" i="16"/>
  <c r="AH226" i="16"/>
  <c r="AH244" i="16"/>
  <c r="AY157" i="16"/>
  <c r="AZ157" i="16" s="1"/>
  <c r="BB157" i="16" s="1"/>
  <c r="BC157" i="16" s="1"/>
  <c r="BF157" i="16" s="1"/>
  <c r="AH160" i="16"/>
  <c r="AY163" i="16"/>
  <c r="AZ163" i="16" s="1"/>
  <c r="BB163" i="16" s="1"/>
  <c r="BC163" i="16" s="1"/>
  <c r="BF163" i="16" s="1"/>
  <c r="AH166" i="16"/>
  <c r="AY169" i="16"/>
  <c r="AZ169" i="16" s="1"/>
  <c r="BB169" i="16" s="1"/>
  <c r="BC169" i="16" s="1"/>
  <c r="BF169" i="16" s="1"/>
  <c r="AH172" i="16"/>
  <c r="AY175" i="16"/>
  <c r="AZ175" i="16" s="1"/>
  <c r="BB175" i="16" s="1"/>
  <c r="BC175" i="16" s="1"/>
  <c r="BF175" i="16" s="1"/>
  <c r="AH178" i="16"/>
  <c r="AY181" i="16"/>
  <c r="AZ181" i="16" s="1"/>
  <c r="BB181" i="16" s="1"/>
  <c r="BC181" i="16" s="1"/>
  <c r="BF181" i="16" s="1"/>
  <c r="AH184" i="16"/>
  <c r="AY187" i="16"/>
  <c r="AZ187" i="16" s="1"/>
  <c r="BB187" i="16" s="1"/>
  <c r="BC187" i="16" s="1"/>
  <c r="BF187" i="16" s="1"/>
  <c r="AH190" i="16"/>
  <c r="AY193" i="16"/>
  <c r="AZ193" i="16" s="1"/>
  <c r="BB193" i="16" s="1"/>
  <c r="BC193" i="16" s="1"/>
  <c r="BF193" i="16" s="1"/>
  <c r="AH196" i="16"/>
  <c r="AY199" i="16"/>
  <c r="AZ199" i="16" s="1"/>
  <c r="BB199" i="16" s="1"/>
  <c r="BC199" i="16" s="1"/>
  <c r="BF199" i="16" s="1"/>
  <c r="AH202" i="16"/>
  <c r="AY205" i="16"/>
  <c r="AZ205" i="16" s="1"/>
  <c r="BB205" i="16" s="1"/>
  <c r="BC205" i="16" s="1"/>
  <c r="BF205" i="16" s="1"/>
  <c r="AH208" i="16"/>
  <c r="AY211" i="16"/>
  <c r="AZ211" i="16" s="1"/>
  <c r="BB211" i="16" s="1"/>
  <c r="BC211" i="16" s="1"/>
  <c r="BF211" i="16" s="1"/>
  <c r="AY217" i="16"/>
  <c r="AZ217" i="16" s="1"/>
  <c r="BB217" i="16" s="1"/>
  <c r="BC217" i="16" s="1"/>
  <c r="BF217" i="16" s="1"/>
  <c r="AH220" i="16"/>
  <c r="AY235" i="16"/>
  <c r="AZ235" i="16" s="1"/>
  <c r="BB235" i="16" s="1"/>
  <c r="BC235" i="16" s="1"/>
  <c r="BF235" i="16" s="1"/>
  <c r="AH216" i="16"/>
  <c r="AY223" i="16"/>
  <c r="AZ223" i="16" s="1"/>
  <c r="BB223" i="16" s="1"/>
  <c r="BC223" i="16" s="1"/>
  <c r="BF223" i="16" s="1"/>
  <c r="AH238" i="16"/>
  <c r="AH248" i="16"/>
  <c r="AY250" i="16"/>
  <c r="AZ250" i="16" s="1"/>
  <c r="BB250" i="16" s="1"/>
  <c r="BC250" i="16" s="1"/>
  <c r="BF250" i="16" s="1"/>
  <c r="AH254" i="16"/>
  <c r="AY256" i="16"/>
  <c r="AZ256" i="16" s="1"/>
  <c r="BB256" i="16" s="1"/>
  <c r="BC256" i="16" s="1"/>
  <c r="BF256" i="16" s="1"/>
  <c r="AY299" i="16"/>
  <c r="AZ299" i="16" s="1"/>
  <c r="BB299" i="16" s="1"/>
  <c r="BC299" i="16" s="1"/>
  <c r="BF299" i="16" s="1"/>
  <c r="AY308" i="16"/>
  <c r="AZ308" i="16" s="1"/>
  <c r="BB308" i="16" s="1"/>
  <c r="BC308" i="16" s="1"/>
  <c r="BF308" i="16" s="1"/>
  <c r="AH323" i="16"/>
  <c r="AY323" i="16"/>
  <c r="AZ323" i="16" s="1"/>
  <c r="BB323" i="16" s="1"/>
  <c r="BC323" i="16" s="1"/>
  <c r="BF323" i="16" s="1"/>
  <c r="AY346" i="16"/>
  <c r="AZ346" i="16" s="1"/>
  <c r="BB346" i="16" s="1"/>
  <c r="BC346" i="16" s="1"/>
  <c r="BF346" i="16" s="1"/>
  <c r="AH350" i="16"/>
  <c r="AY367" i="16"/>
  <c r="AZ367" i="16" s="1"/>
  <c r="BB367" i="16" s="1"/>
  <c r="BC367" i="16" s="1"/>
  <c r="BF367" i="16" s="1"/>
  <c r="AH367" i="16"/>
  <c r="AY262" i="16"/>
  <c r="AZ262" i="16" s="1"/>
  <c r="BB262" i="16" s="1"/>
  <c r="BC262" i="16" s="1"/>
  <c r="BF262" i="16" s="1"/>
  <c r="AY268" i="16"/>
  <c r="AZ268" i="16" s="1"/>
  <c r="BB268" i="16" s="1"/>
  <c r="BC268" i="16" s="1"/>
  <c r="BF268" i="16" s="1"/>
  <c r="AY274" i="16"/>
  <c r="AZ274" i="16" s="1"/>
  <c r="BB274" i="16" s="1"/>
  <c r="BC274" i="16" s="1"/>
  <c r="BF274" i="16" s="1"/>
  <c r="AY280" i="16"/>
  <c r="AZ280" i="16" s="1"/>
  <c r="BB280" i="16" s="1"/>
  <c r="BC280" i="16" s="1"/>
  <c r="BF280" i="16" s="1"/>
  <c r="AY286" i="16"/>
  <c r="AZ286" i="16" s="1"/>
  <c r="BB286" i="16" s="1"/>
  <c r="BC286" i="16" s="1"/>
  <c r="BF286" i="16" s="1"/>
  <c r="AY296" i="16"/>
  <c r="AZ296" i="16" s="1"/>
  <c r="BB296" i="16" s="1"/>
  <c r="BC296" i="16" s="1"/>
  <c r="BF296" i="16" s="1"/>
  <c r="AH296" i="16"/>
  <c r="AY314" i="16"/>
  <c r="AZ314" i="16" s="1"/>
  <c r="BB314" i="16" s="1"/>
  <c r="BC314" i="16" s="1"/>
  <c r="BF314" i="16" s="1"/>
  <c r="AH329" i="16"/>
  <c r="AY329" i="16"/>
  <c r="AZ329" i="16" s="1"/>
  <c r="BB329" i="16" s="1"/>
  <c r="BC329" i="16" s="1"/>
  <c r="BF329" i="16" s="1"/>
  <c r="AY359" i="16"/>
  <c r="AZ359" i="16" s="1"/>
  <c r="BB359" i="16" s="1"/>
  <c r="BC359" i="16" s="1"/>
  <c r="BF359" i="16" s="1"/>
  <c r="AY320" i="16"/>
  <c r="AZ320" i="16" s="1"/>
  <c r="BB320" i="16" s="1"/>
  <c r="BC320" i="16" s="1"/>
  <c r="BF320" i="16" s="1"/>
  <c r="AH358" i="16"/>
  <c r="AY358" i="16"/>
  <c r="AZ358" i="16" s="1"/>
  <c r="BB358" i="16" s="1"/>
  <c r="BC358" i="16" s="1"/>
  <c r="BF358" i="16" s="1"/>
  <c r="AY379" i="16"/>
  <c r="AZ379" i="16" s="1"/>
  <c r="BB379" i="16" s="1"/>
  <c r="BC379" i="16" s="1"/>
  <c r="BF379" i="16" s="1"/>
  <c r="AH379" i="16"/>
  <c r="AH305" i="16"/>
  <c r="AY305" i="16"/>
  <c r="AZ305" i="16" s="1"/>
  <c r="BB305" i="16" s="1"/>
  <c r="BC305" i="16" s="1"/>
  <c r="BF305" i="16" s="1"/>
  <c r="AY326" i="16"/>
  <c r="AZ326" i="16" s="1"/>
  <c r="BB326" i="16" s="1"/>
  <c r="BC326" i="16" s="1"/>
  <c r="BF326" i="16" s="1"/>
  <c r="AH311" i="16"/>
  <c r="AY311" i="16"/>
  <c r="AZ311" i="16" s="1"/>
  <c r="BB311" i="16" s="1"/>
  <c r="BC311" i="16" s="1"/>
  <c r="BF311" i="16" s="1"/>
  <c r="AH326" i="16"/>
  <c r="AY302" i="16"/>
  <c r="AZ302" i="16" s="1"/>
  <c r="BB302" i="16" s="1"/>
  <c r="BC302" i="16" s="1"/>
  <c r="BF302" i="16" s="1"/>
  <c r="AH338" i="16"/>
  <c r="AH356" i="16"/>
  <c r="AY373" i="16"/>
  <c r="AZ373" i="16" s="1"/>
  <c r="BB373" i="16" s="1"/>
  <c r="BC373" i="16" s="1"/>
  <c r="BF373" i="16" s="1"/>
  <c r="AH373" i="16"/>
  <c r="AY385" i="16"/>
  <c r="AZ385" i="16" s="1"/>
  <c r="BB385" i="16" s="1"/>
  <c r="BC385" i="16" s="1"/>
  <c r="BF385" i="16" s="1"/>
  <c r="AH385" i="16"/>
  <c r="AY412" i="16"/>
  <c r="AZ412" i="16" s="1"/>
  <c r="BB412" i="16" s="1"/>
  <c r="BC412" i="16" s="1"/>
  <c r="BF412" i="16" s="1"/>
  <c r="AH412" i="16"/>
  <c r="AY335" i="16"/>
  <c r="AZ335" i="16" s="1"/>
  <c r="BB335" i="16" s="1"/>
  <c r="BC335" i="16" s="1"/>
  <c r="BF335" i="16" s="1"/>
  <c r="AY344" i="16"/>
  <c r="AZ344" i="16" s="1"/>
  <c r="BB344" i="16" s="1"/>
  <c r="BC344" i="16" s="1"/>
  <c r="BF344" i="16" s="1"/>
  <c r="AY353" i="16"/>
  <c r="AZ353" i="16" s="1"/>
  <c r="BB353" i="16" s="1"/>
  <c r="BC353" i="16" s="1"/>
  <c r="BF353" i="16" s="1"/>
  <c r="AY370" i="16"/>
  <c r="AZ370" i="16" s="1"/>
  <c r="BB370" i="16" s="1"/>
  <c r="BC370" i="16" s="1"/>
  <c r="BF370" i="16" s="1"/>
  <c r="AH370" i="16"/>
  <c r="AY382" i="16"/>
  <c r="AZ382" i="16" s="1"/>
  <c r="BB382" i="16" s="1"/>
  <c r="BC382" i="16" s="1"/>
  <c r="BF382" i="16" s="1"/>
  <c r="AH382" i="16"/>
  <c r="AY394" i="16"/>
  <c r="AZ394" i="16" s="1"/>
  <c r="BB394" i="16" s="1"/>
  <c r="BC394" i="16" s="1"/>
  <c r="BF394" i="16" s="1"/>
  <c r="AH394" i="16"/>
  <c r="AY415" i="16"/>
  <c r="AZ415" i="16" s="1"/>
  <c r="BB415" i="16" s="1"/>
  <c r="BC415" i="16" s="1"/>
  <c r="BF415" i="16" s="1"/>
  <c r="AH415" i="16"/>
  <c r="AY391" i="16"/>
  <c r="AZ391" i="16" s="1"/>
  <c r="BB391" i="16" s="1"/>
  <c r="BC391" i="16" s="1"/>
  <c r="BF391" i="16" s="1"/>
  <c r="AH391" i="16"/>
  <c r="AY364" i="16"/>
  <c r="AZ364" i="16" s="1"/>
  <c r="BB364" i="16" s="1"/>
  <c r="BC364" i="16" s="1"/>
  <c r="BF364" i="16" s="1"/>
  <c r="AH364" i="16"/>
  <c r="AY376" i="16"/>
  <c r="AZ376" i="16" s="1"/>
  <c r="BB376" i="16" s="1"/>
  <c r="BC376" i="16" s="1"/>
  <c r="BF376" i="16" s="1"/>
  <c r="AH376" i="16"/>
  <c r="AY388" i="16"/>
  <c r="AZ388" i="16" s="1"/>
  <c r="BB388" i="16" s="1"/>
  <c r="BC388" i="16" s="1"/>
  <c r="BF388" i="16" s="1"/>
  <c r="AH388" i="16"/>
  <c r="AY397" i="16"/>
  <c r="AZ397" i="16" s="1"/>
  <c r="BB397" i="16" s="1"/>
  <c r="BC397" i="16" s="1"/>
  <c r="BF397" i="16" s="1"/>
  <c r="AH397" i="16"/>
  <c r="AH365" i="16"/>
  <c r="AH371" i="16"/>
  <c r="AH377" i="16"/>
  <c r="AH383" i="16"/>
  <c r="AH389" i="16"/>
  <c r="AH395" i="16"/>
  <c r="AY400" i="16"/>
  <c r="AZ400" i="16" s="1"/>
  <c r="BB400" i="16" s="1"/>
  <c r="BC400" i="16" s="1"/>
  <c r="BF400" i="16" s="1"/>
  <c r="AH400" i="16"/>
  <c r="AY403" i="16"/>
  <c r="AZ403" i="16" s="1"/>
  <c r="BB403" i="16" s="1"/>
  <c r="BC403" i="16" s="1"/>
  <c r="BF403" i="16" s="1"/>
  <c r="AY406" i="16"/>
  <c r="AZ406" i="16" s="1"/>
  <c r="BB406" i="16" s="1"/>
  <c r="BC406" i="16" s="1"/>
  <c r="BF406" i="16" s="1"/>
  <c r="AH406" i="16"/>
  <c r="AY409" i="16"/>
  <c r="AZ409" i="16" s="1"/>
  <c r="BB409" i="16" s="1"/>
  <c r="BC409" i="16" s="1"/>
  <c r="BF409" i="16" s="1"/>
  <c r="AH407" i="16"/>
  <c r="AH335" i="16"/>
  <c r="AH341" i="16"/>
  <c r="AH347" i="16"/>
  <c r="AH353" i="16"/>
  <c r="AH359" i="16"/>
  <c r="AH413" i="16"/>
  <c r="AC143" i="15"/>
  <c r="AC264" i="15"/>
  <c r="AC270" i="15"/>
  <c r="AC276" i="15"/>
  <c r="AC282" i="15"/>
  <c r="AC288" i="15"/>
  <c r="AC294" i="15"/>
  <c r="AC306" i="15"/>
  <c r="AT192" i="15"/>
  <c r="AC209" i="15"/>
  <c r="AT300" i="15"/>
  <c r="AC342" i="15"/>
  <c r="AT424" i="15"/>
  <c r="AC356" i="15"/>
  <c r="AC442" i="15"/>
  <c r="AT118" i="15"/>
  <c r="AT124" i="15"/>
  <c r="AT134" i="15"/>
  <c r="AT152" i="15"/>
  <c r="AT157" i="15"/>
  <c r="AT169" i="15"/>
  <c r="AC176" i="15"/>
  <c r="AC182" i="15"/>
  <c r="AT189" i="15"/>
  <c r="AT315" i="15"/>
  <c r="AC316" i="15"/>
  <c r="AC348" i="15"/>
  <c r="AC391" i="15"/>
  <c r="AC422" i="15"/>
  <c r="AT453" i="15"/>
  <c r="AC458" i="15"/>
  <c r="AT116" i="15"/>
  <c r="AT123" i="15"/>
  <c r="AT133" i="15"/>
  <c r="AT151" i="15"/>
  <c r="AT162" i="15"/>
  <c r="AC181" i="15"/>
  <c r="AT186" i="15"/>
  <c r="AC187" i="15"/>
  <c r="AT212" i="15"/>
  <c r="AT218" i="15"/>
  <c r="AT224" i="15"/>
  <c r="AT254" i="15"/>
  <c r="AT260" i="15"/>
  <c r="AT266" i="15"/>
  <c r="AT278" i="15"/>
  <c r="AT290" i="15"/>
  <c r="AT346" i="15"/>
  <c r="AC365" i="15"/>
  <c r="AT370" i="15"/>
  <c r="AT376" i="15"/>
  <c r="AT382" i="15"/>
  <c r="AT420" i="15"/>
  <c r="AC439" i="15"/>
  <c r="AT444" i="15"/>
  <c r="AC137" i="15"/>
  <c r="AC184" i="15"/>
  <c r="AC424" i="15"/>
  <c r="AT359" i="15"/>
  <c r="AT406" i="15"/>
  <c r="AT412" i="15"/>
  <c r="AC152" i="15"/>
  <c r="AC196" i="15"/>
  <c r="AC221" i="15"/>
  <c r="AC245" i="15"/>
  <c r="AC358" i="15"/>
  <c r="AT146" i="15"/>
  <c r="AC156" i="15"/>
  <c r="AC158" i="15"/>
  <c r="AC178" i="15"/>
  <c r="AC207" i="15"/>
  <c r="AC238" i="15"/>
  <c r="AC250" i="15"/>
  <c r="AT251" i="15"/>
  <c r="AC262" i="15"/>
  <c r="AT269" i="15"/>
  <c r="AT281" i="15"/>
  <c r="AT293" i="15"/>
  <c r="AT299" i="15"/>
  <c r="AT303" i="15"/>
  <c r="AT316" i="15"/>
  <c r="AC318" i="15"/>
  <c r="AC324" i="15"/>
  <c r="AC330" i="15"/>
  <c r="AT335" i="15"/>
  <c r="AC336" i="15"/>
  <c r="AT358" i="15"/>
  <c r="AC362" i="15"/>
  <c r="AT364" i="15"/>
  <c r="AC406" i="15"/>
  <c r="AT442" i="15"/>
  <c r="AT456" i="15"/>
  <c r="AC466" i="15"/>
  <c r="AC146" i="15"/>
  <c r="AC382" i="15"/>
  <c r="AC432" i="15"/>
  <c r="AC142" i="15"/>
  <c r="AT145" i="15"/>
  <c r="AC155" i="15"/>
  <c r="AT311" i="15"/>
  <c r="AC376" i="15"/>
  <c r="AT140" i="15"/>
  <c r="AC154" i="15"/>
  <c r="AC211" i="15"/>
  <c r="AT259" i="15"/>
  <c r="AT314" i="15"/>
  <c r="AC322" i="15"/>
  <c r="AT327" i="15"/>
  <c r="AC340" i="15"/>
  <c r="AC341" i="15"/>
  <c r="AC343" i="15"/>
  <c r="AT348" i="15"/>
  <c r="AC354" i="15"/>
  <c r="AC367" i="15"/>
  <c r="AT372" i="15"/>
  <c r="AT378" i="15"/>
  <c r="AT384" i="15"/>
  <c r="AT391" i="15"/>
  <c r="AT397" i="15"/>
  <c r="AT403" i="15"/>
  <c r="AC404" i="15"/>
  <c r="AT415" i="15"/>
  <c r="AT448" i="15"/>
  <c r="AT461" i="15"/>
  <c r="AC463" i="15"/>
  <c r="AC464" i="15"/>
  <c r="AC470" i="15"/>
  <c r="AC113" i="15"/>
  <c r="AC312" i="15"/>
  <c r="AC337" i="15"/>
  <c r="AC148" i="15"/>
  <c r="AT160" i="15"/>
  <c r="AC175" i="15"/>
  <c r="AT180" i="15"/>
  <c r="AT203" i="15"/>
  <c r="AT205" i="15"/>
  <c r="AT209" i="15"/>
  <c r="AT230" i="15"/>
  <c r="AT234" i="15"/>
  <c r="AT246" i="15"/>
  <c r="AT264" i="15"/>
  <c r="AT276" i="15"/>
  <c r="AT288" i="15"/>
  <c r="AC300" i="15"/>
  <c r="AT306" i="15"/>
  <c r="AT320" i="15"/>
  <c r="AT326" i="15"/>
  <c r="AT338" i="15"/>
  <c r="AT341" i="15"/>
  <c r="AT353" i="15"/>
  <c r="AC360" i="15"/>
  <c r="AC366" i="15"/>
  <c r="AT377" i="15"/>
  <c r="AC397" i="15"/>
  <c r="AT402" i="15"/>
  <c r="AT414" i="15"/>
  <c r="AT433" i="15"/>
  <c r="AT439" i="15"/>
  <c r="AT460" i="15"/>
  <c r="AC116" i="15"/>
  <c r="AC123" i="15"/>
  <c r="AC127" i="15"/>
  <c r="AC133" i="15"/>
  <c r="AC151" i="15"/>
  <c r="AT166" i="15"/>
  <c r="AC179" i="15"/>
  <c r="AT193" i="15"/>
  <c r="AC210" i="15"/>
  <c r="AC226" i="15"/>
  <c r="AC233" i="15"/>
  <c r="AC239" i="15"/>
  <c r="AT248" i="15"/>
  <c r="AC253" i="15"/>
  <c r="AC259" i="15"/>
  <c r="AC302" i="15"/>
  <c r="AC327" i="15"/>
  <c r="AC347" i="15"/>
  <c r="AC355" i="15"/>
  <c r="AT356" i="15"/>
  <c r="AT360" i="15"/>
  <c r="AC371" i="15"/>
  <c r="AC377" i="15"/>
  <c r="AC383" i="15"/>
  <c r="AC412" i="15"/>
  <c r="AC427" i="15"/>
  <c r="AC433" i="15"/>
  <c r="AT450" i="15"/>
  <c r="AT114" i="15"/>
  <c r="AT121" i="15"/>
  <c r="AT131" i="15"/>
  <c r="AT137" i="15"/>
  <c r="AT159" i="15"/>
  <c r="AT165" i="15"/>
  <c r="AT195" i="15"/>
  <c r="AT216" i="15"/>
  <c r="AC224" i="15"/>
  <c r="AT239" i="15"/>
  <c r="AT244" i="15"/>
  <c r="AC246" i="15"/>
  <c r="AT247" i="15"/>
  <c r="AT253" i="15"/>
  <c r="AT302" i="15"/>
  <c r="AC304" i="15"/>
  <c r="AT332" i="15"/>
  <c r="AC334" i="15"/>
  <c r="AT336" i="15"/>
  <c r="AT344" i="15"/>
  <c r="AC346" i="15"/>
  <c r="AT347" i="15"/>
  <c r="AT352" i="15"/>
  <c r="AT368" i="15"/>
  <c r="AC370" i="15"/>
  <c r="AT394" i="15"/>
  <c r="AC403" i="15"/>
  <c r="AT427" i="15"/>
  <c r="AT438" i="15"/>
  <c r="AT447" i="15"/>
  <c r="AT113" i="15"/>
  <c r="AC114" i="15"/>
  <c r="AT120" i="15"/>
  <c r="AC121" i="15"/>
  <c r="AC131" i="15"/>
  <c r="AT136" i="15"/>
  <c r="AC139" i="15"/>
  <c r="AT148" i="15"/>
  <c r="AC149" i="15"/>
  <c r="AT175" i="15"/>
  <c r="AT206" i="15"/>
  <c r="AT215" i="15"/>
  <c r="AT223" i="15"/>
  <c r="AC251" i="15"/>
  <c r="AT256" i="15"/>
  <c r="AC257" i="15"/>
  <c r="AT262" i="15"/>
  <c r="AC263" i="15"/>
  <c r="AC269" i="15"/>
  <c r="AT309" i="15"/>
  <c r="AT318" i="15"/>
  <c r="AT324" i="15"/>
  <c r="AT330" i="15"/>
  <c r="AT331" i="15"/>
  <c r="AC332" i="15"/>
  <c r="AT354" i="15"/>
  <c r="AC359" i="15"/>
  <c r="AT366" i="15"/>
  <c r="AC386" i="15"/>
  <c r="AT418" i="15"/>
  <c r="AT426" i="15"/>
  <c r="AT430" i="15"/>
  <c r="AC453" i="15"/>
  <c r="AT466" i="15"/>
  <c r="AT163" i="15"/>
  <c r="AT220" i="15"/>
  <c r="AT242" i="15"/>
  <c r="AT255" i="15"/>
  <c r="AT261" i="15"/>
  <c r="AT279" i="15"/>
  <c r="AT291" i="15"/>
  <c r="AT308" i="15"/>
  <c r="AT323" i="15"/>
  <c r="AT350" i="15"/>
  <c r="AT373" i="15"/>
  <c r="AT379" i="15"/>
  <c r="AT385" i="15"/>
  <c r="AT399" i="15"/>
  <c r="AT408" i="15"/>
  <c r="AT417" i="15"/>
  <c r="AT423" i="15"/>
  <c r="AT429" i="15"/>
  <c r="AT436" i="15"/>
  <c r="AC129" i="15"/>
  <c r="AC147" i="15"/>
  <c r="AC188" i="15"/>
  <c r="AC198" i="15"/>
  <c r="AC205" i="15"/>
  <c r="AC214" i="15"/>
  <c r="AC220" i="15"/>
  <c r="AC235" i="15"/>
  <c r="AC273" i="15"/>
  <c r="AC279" i="15"/>
  <c r="AC285" i="15"/>
  <c r="AC291" i="15"/>
  <c r="AC297" i="15"/>
  <c r="AC317" i="15"/>
  <c r="AC323" i="15"/>
  <c r="AC329" i="15"/>
  <c r="AC338" i="15"/>
  <c r="AC364" i="15"/>
  <c r="AC429" i="15"/>
  <c r="AC460" i="15"/>
  <c r="AC469" i="15"/>
  <c r="AC118" i="15"/>
  <c r="AC124" i="15"/>
  <c r="AC134" i="15"/>
  <c r="AT187" i="15"/>
  <c r="AC242" i="15"/>
  <c r="AC256" i="15"/>
  <c r="AC128" i="15"/>
  <c r="AC115" i="15"/>
  <c r="AC122" i="15"/>
  <c r="AC126" i="15"/>
  <c r="AC132" i="15"/>
  <c r="AT139" i="15"/>
  <c r="AC141" i="15"/>
  <c r="AT156" i="15"/>
  <c r="AT168" i="15"/>
  <c r="AT181" i="15"/>
  <c r="AT153" i="15"/>
  <c r="AC218" i="15"/>
  <c r="AC112" i="15"/>
  <c r="AC125" i="15"/>
  <c r="AC135" i="15"/>
  <c r="AT149" i="15"/>
  <c r="AT154" i="15"/>
  <c r="AT201" i="15"/>
  <c r="AC202" i="15"/>
  <c r="AT214" i="15"/>
  <c r="AC215" i="15"/>
  <c r="AT217" i="15"/>
  <c r="AC219" i="15"/>
  <c r="AC255" i="15"/>
  <c r="AC374" i="15"/>
  <c r="AT374" i="15"/>
  <c r="AC380" i="15"/>
  <c r="AT380" i="15"/>
  <c r="AC388" i="15"/>
  <c r="AT400" i="15"/>
  <c r="AT409" i="15"/>
  <c r="AT454" i="15"/>
  <c r="AT178" i="15"/>
  <c r="AT210" i="15"/>
  <c r="AT143" i="15"/>
  <c r="AT172" i="15"/>
  <c r="AT177" i="15"/>
  <c r="AT184" i="15"/>
  <c r="AT190" i="15"/>
  <c r="AT196" i="15"/>
  <c r="AT208" i="15"/>
  <c r="AT270" i="15"/>
  <c r="AT305" i="15"/>
  <c r="AT321" i="15"/>
  <c r="AT451" i="15"/>
  <c r="AT142" i="15"/>
  <c r="AC145" i="15"/>
  <c r="AT171" i="15"/>
  <c r="AC177" i="15"/>
  <c r="AC183" i="15"/>
  <c r="AC186" i="15"/>
  <c r="AC192" i="15"/>
  <c r="AC195" i="15"/>
  <c r="AC197" i="15"/>
  <c r="AT199" i="15"/>
  <c r="AC208" i="15"/>
  <c r="AT211" i="15"/>
  <c r="AT221" i="15"/>
  <c r="AC230" i="15"/>
  <c r="AT236" i="15"/>
  <c r="AT282" i="15"/>
  <c r="AT294" i="15"/>
  <c r="AT312" i="15"/>
  <c r="AC372" i="15"/>
  <c r="AC378" i="15"/>
  <c r="AC384" i="15"/>
  <c r="AT396" i="15"/>
  <c r="AT405" i="15"/>
  <c r="AT421" i="15"/>
  <c r="AC421" i="15"/>
  <c r="AT440" i="15"/>
  <c r="AC440" i="15"/>
  <c r="AT228" i="15"/>
  <c r="AC232" i="15"/>
  <c r="AT233" i="15"/>
  <c r="AC244" i="15"/>
  <c r="AT245" i="15"/>
  <c r="AT252" i="15"/>
  <c r="AC258" i="15"/>
  <c r="AC260" i="15"/>
  <c r="AC261" i="15"/>
  <c r="AT263" i="15"/>
  <c r="AT317" i="15"/>
  <c r="AT329" i="15"/>
  <c r="AC335" i="15"/>
  <c r="AC350" i="15"/>
  <c r="AC352" i="15"/>
  <c r="AC353" i="15"/>
  <c r="AT362" i="15"/>
  <c r="AT365" i="15"/>
  <c r="AC390" i="15"/>
  <c r="AT422" i="15"/>
  <c r="AC436" i="15"/>
  <c r="AC448" i="15"/>
  <c r="AT470" i="15"/>
  <c r="AT226" i="15"/>
  <c r="AC227" i="15"/>
  <c r="AC229" i="15"/>
  <c r="AC231" i="15"/>
  <c r="AC241" i="15"/>
  <c r="AC243" i="15"/>
  <c r="AT258" i="15"/>
  <c r="AT273" i="15"/>
  <c r="AC275" i="15"/>
  <c r="AT285" i="15"/>
  <c r="AC287" i="15"/>
  <c r="AC299" i="15"/>
  <c r="AT355" i="15"/>
  <c r="AC373" i="15"/>
  <c r="AC385" i="15"/>
  <c r="AT390" i="15"/>
  <c r="AC441" i="15"/>
  <c r="AC445" i="15"/>
  <c r="AT471" i="15"/>
  <c r="AC472" i="15"/>
  <c r="AC228" i="15"/>
  <c r="AT229" i="15"/>
  <c r="AT238" i="15"/>
  <c r="AT241" i="15"/>
  <c r="AT250" i="15"/>
  <c r="AC252" i="15"/>
  <c r="AT257" i="15"/>
  <c r="AT272" i="15"/>
  <c r="AT275" i="15"/>
  <c r="AT284" i="15"/>
  <c r="AT287" i="15"/>
  <c r="AT296" i="15"/>
  <c r="AT337" i="15"/>
  <c r="AT343" i="15"/>
  <c r="AT371" i="15"/>
  <c r="AT383" i="15"/>
  <c r="AT388" i="15"/>
  <c r="AT404" i="15"/>
  <c r="AC414" i="15"/>
  <c r="AC417" i="15"/>
  <c r="AC418" i="15"/>
  <c r="AC423" i="15"/>
  <c r="AC430" i="15"/>
  <c r="AT432" i="15"/>
  <c r="AC457" i="15"/>
  <c r="AT459" i="15"/>
  <c r="AT267" i="15"/>
  <c r="AT393" i="15"/>
  <c r="AT411" i="15"/>
  <c r="AT462" i="15"/>
  <c r="AC237" i="15"/>
  <c r="AC247" i="15"/>
  <c r="AC249" i="15"/>
  <c r="AC267" i="15"/>
  <c r="AC281" i="15"/>
  <c r="AC293" i="15"/>
  <c r="AC305" i="15"/>
  <c r="AC309" i="15"/>
  <c r="AC311" i="15"/>
  <c r="AC315" i="15"/>
  <c r="AC321" i="15"/>
  <c r="AC344" i="15"/>
  <c r="AT349" i="15"/>
  <c r="AT367" i="15"/>
  <c r="AC368" i="15"/>
  <c r="AC393" i="15"/>
  <c r="AC394" i="15"/>
  <c r="AC396" i="15"/>
  <c r="AC399" i="15"/>
  <c r="AC400" i="15"/>
  <c r="AC405" i="15"/>
  <c r="AC408" i="15"/>
  <c r="AC409" i="15"/>
  <c r="AC451" i="15"/>
  <c r="AC454" i="15"/>
  <c r="AT468" i="15"/>
  <c r="AT204" i="15"/>
  <c r="AC204" i="15"/>
  <c r="AT240" i="15"/>
  <c r="AC240" i="15"/>
  <c r="AT387" i="15"/>
  <c r="AC387" i="15"/>
  <c r="AT467" i="15"/>
  <c r="AC467" i="15"/>
  <c r="AC136" i="15"/>
  <c r="AC234" i="15"/>
  <c r="AC130" i="15"/>
  <c r="AT268" i="15"/>
  <c r="AC268" i="15"/>
  <c r="AC120" i="15"/>
  <c r="AC153" i="15"/>
  <c r="AC189" i="15"/>
  <c r="AC216" i="15"/>
  <c r="AT283" i="15"/>
  <c r="AC283" i="15"/>
  <c r="AT295" i="15"/>
  <c r="AC295" i="15"/>
  <c r="AT222" i="15"/>
  <c r="AC222" i="15"/>
  <c r="AT115" i="15"/>
  <c r="AT122" i="15"/>
  <c r="AT132" i="15"/>
  <c r="AT138" i="15"/>
  <c r="AT144" i="15"/>
  <c r="AT150" i="15"/>
  <c r="AT155" i="15"/>
  <c r="AT161" i="15"/>
  <c r="AT167" i="15"/>
  <c r="AT173" i="15"/>
  <c r="AT179" i="15"/>
  <c r="AT185" i="15"/>
  <c r="AT191" i="15"/>
  <c r="AC203" i="15"/>
  <c r="AT112" i="15"/>
  <c r="AT119" i="15"/>
  <c r="AT129" i="15"/>
  <c r="AT135" i="15"/>
  <c r="AT141" i="15"/>
  <c r="AT147" i="15"/>
  <c r="AT158" i="15"/>
  <c r="AT164" i="15"/>
  <c r="AT170" i="15"/>
  <c r="AT176" i="15"/>
  <c r="AT182" i="15"/>
  <c r="AT188" i="15"/>
  <c r="AT194" i="15"/>
  <c r="AT198" i="15"/>
  <c r="AT313" i="15"/>
  <c r="AC313" i="15"/>
  <c r="AT351" i="15"/>
  <c r="AC351" i="15"/>
  <c r="AT207" i="15"/>
  <c r="AT213" i="15"/>
  <c r="AT219" i="15"/>
  <c r="AT225" i="15"/>
  <c r="AT231" i="15"/>
  <c r="AT237" i="15"/>
  <c r="AT243" i="15"/>
  <c r="AT249" i="15"/>
  <c r="AT274" i="15"/>
  <c r="AC274" i="15"/>
  <c r="AT333" i="15"/>
  <c r="AC333" i="15"/>
  <c r="AT395" i="15"/>
  <c r="AC395" i="15"/>
  <c r="AT197" i="15"/>
  <c r="AC201" i="15"/>
  <c r="AT271" i="15"/>
  <c r="AC271" i="15"/>
  <c r="AT325" i="15"/>
  <c r="AC325" i="15"/>
  <c r="AT328" i="15"/>
  <c r="AC328" i="15"/>
  <c r="AC254" i="15"/>
  <c r="AT286" i="15"/>
  <c r="AC286" i="15"/>
  <c r="AT298" i="15"/>
  <c r="AC298" i="15"/>
  <c r="AT277" i="15"/>
  <c r="AC277" i="15"/>
  <c r="AT289" i="15"/>
  <c r="AC289" i="15"/>
  <c r="AT369" i="15"/>
  <c r="AC369" i="15"/>
  <c r="AT265" i="15"/>
  <c r="AC265" i="15"/>
  <c r="AT280" i="15"/>
  <c r="AC280" i="15"/>
  <c r="AT292" i="15"/>
  <c r="AC292" i="15"/>
  <c r="AT416" i="15"/>
  <c r="AC416" i="15"/>
  <c r="AT301" i="15"/>
  <c r="AC301" i="15"/>
  <c r="AC326" i="15"/>
  <c r="AC331" i="15"/>
  <c r="AT345" i="15"/>
  <c r="AC345" i="15"/>
  <c r="AC361" i="15"/>
  <c r="AT363" i="15"/>
  <c r="AC363" i="15"/>
  <c r="AC379" i="15"/>
  <c r="AT381" i="15"/>
  <c r="AC381" i="15"/>
  <c r="AC402" i="15"/>
  <c r="AC438" i="15"/>
  <c r="AC462" i="15"/>
  <c r="AC266" i="15"/>
  <c r="AC272" i="15"/>
  <c r="AC278" i="15"/>
  <c r="AC284" i="15"/>
  <c r="AC290" i="15"/>
  <c r="AC296" i="15"/>
  <c r="AT307" i="15"/>
  <c r="AC307" i="15"/>
  <c r="AT310" i="15"/>
  <c r="AT339" i="15"/>
  <c r="AC339" i="15"/>
  <c r="AC420" i="15"/>
  <c r="AC308" i="15"/>
  <c r="AT319" i="15"/>
  <c r="AC319" i="15"/>
  <c r="AT322" i="15"/>
  <c r="AC349" i="15"/>
  <c r="AC411" i="15"/>
  <c r="AT413" i="15"/>
  <c r="AC413" i="15"/>
  <c r="AC447" i="15"/>
  <c r="AT449" i="15"/>
  <c r="AC449" i="15"/>
  <c r="AT452" i="15"/>
  <c r="AC452" i="15"/>
  <c r="AT357" i="15"/>
  <c r="AC357" i="15"/>
  <c r="AT375" i="15"/>
  <c r="AC375" i="15"/>
  <c r="AT398" i="15"/>
  <c r="AC398" i="15"/>
  <c r="AT431" i="15"/>
  <c r="AC431" i="15"/>
  <c r="AT434" i="15"/>
  <c r="AC434" i="15"/>
  <c r="AT455" i="15"/>
  <c r="AC455" i="15"/>
  <c r="AT392" i="15"/>
  <c r="AT410" i="15"/>
  <c r="AT428" i="15"/>
  <c r="AT446" i="15"/>
  <c r="AT401" i="15"/>
  <c r="AC401" i="15"/>
  <c r="AT419" i="15"/>
  <c r="AC419" i="15"/>
  <c r="AT437" i="15"/>
  <c r="AC437" i="15"/>
  <c r="AC468" i="15"/>
  <c r="AC392" i="15"/>
  <c r="AC410" i="15"/>
  <c r="AC426" i="15"/>
  <c r="AC428" i="15"/>
  <c r="AC435" i="15"/>
  <c r="AC444" i="15"/>
  <c r="AC446" i="15"/>
  <c r="AC465" i="15"/>
  <c r="AT389" i="15"/>
  <c r="AC389" i="15"/>
  <c r="AT407" i="15"/>
  <c r="AC407" i="15"/>
  <c r="AT425" i="15"/>
  <c r="AC425" i="15"/>
  <c r="AT443" i="15"/>
  <c r="AC443" i="15"/>
  <c r="AC459" i="15"/>
  <c r="AT464" i="15"/>
  <c r="AC471" i="15"/>
  <c r="AC456" i="15"/>
  <c r="AU419" i="15" l="1"/>
  <c r="AW419" i="15" s="1"/>
  <c r="AX419" i="15" s="1"/>
  <c r="BA419" i="15" s="1"/>
  <c r="AU357" i="15"/>
  <c r="AW357" i="15" s="1"/>
  <c r="AX357" i="15" s="1"/>
  <c r="BA357" i="15" s="1"/>
  <c r="AU319" i="15"/>
  <c r="AW319" i="15" s="1"/>
  <c r="AX319" i="15" s="1"/>
  <c r="BA319" i="15" s="1"/>
  <c r="AU345" i="15"/>
  <c r="AW345" i="15" s="1"/>
  <c r="AX345" i="15" s="1"/>
  <c r="BA345" i="15" s="1"/>
  <c r="AU265" i="15"/>
  <c r="AW265" i="15" s="1"/>
  <c r="AX265" i="15" s="1"/>
  <c r="BA265" i="15" s="1"/>
  <c r="AU150" i="15"/>
  <c r="AW150" i="15" s="1"/>
  <c r="AX150" i="15" s="1"/>
  <c r="BA150" i="15" s="1"/>
  <c r="AU295" i="15"/>
  <c r="AW295" i="15" s="1"/>
  <c r="AX295" i="15" s="1"/>
  <c r="BA295" i="15" s="1"/>
  <c r="AU467" i="15"/>
  <c r="AW467" i="15" s="1"/>
  <c r="AX467" i="15" s="1"/>
  <c r="BA467" i="15" s="1"/>
  <c r="AU267" i="15"/>
  <c r="AW267" i="15" s="1"/>
  <c r="AX267" i="15" s="1"/>
  <c r="BA267" i="15" s="1"/>
  <c r="AU275" i="15"/>
  <c r="AW275" i="15" s="1"/>
  <c r="AX275" i="15" s="1"/>
  <c r="BA275" i="15" s="1"/>
  <c r="AU263" i="15"/>
  <c r="AW263" i="15" s="1"/>
  <c r="AX263" i="15" s="1"/>
  <c r="BA263" i="15" s="1"/>
  <c r="AU221" i="15"/>
  <c r="AW221" i="15" s="1"/>
  <c r="AX221" i="15" s="1"/>
  <c r="BA221" i="15" s="1"/>
  <c r="AU142" i="15"/>
  <c r="AW142" i="15" s="1"/>
  <c r="AX142" i="15" s="1"/>
  <c r="BA142" i="15" s="1"/>
  <c r="AU196" i="15"/>
  <c r="AW196" i="15" s="1"/>
  <c r="AX196" i="15" s="1"/>
  <c r="BA196" i="15" s="1"/>
  <c r="AU149" i="15"/>
  <c r="AW149" i="15" s="1"/>
  <c r="AX149" i="15" s="1"/>
  <c r="BA149" i="15" s="1"/>
  <c r="AU423" i="15"/>
  <c r="AW423" i="15" s="1"/>
  <c r="AX423" i="15" s="1"/>
  <c r="BA423" i="15" s="1"/>
  <c r="AU373" i="15"/>
  <c r="AW373" i="15" s="1"/>
  <c r="AX373" i="15" s="1"/>
  <c r="BA373" i="15" s="1"/>
  <c r="AU261" i="15"/>
  <c r="AW261" i="15" s="1"/>
  <c r="AX261" i="15" s="1"/>
  <c r="BA261" i="15" s="1"/>
  <c r="AU330" i="15"/>
  <c r="AW330" i="15" s="1"/>
  <c r="AX330" i="15" s="1"/>
  <c r="BA330" i="15" s="1"/>
  <c r="AU262" i="15"/>
  <c r="AW262" i="15" s="1"/>
  <c r="AX262" i="15" s="1"/>
  <c r="BA262" i="15" s="1"/>
  <c r="AU206" i="15"/>
  <c r="AW206" i="15" s="1"/>
  <c r="AX206" i="15" s="1"/>
  <c r="BA206" i="15" s="1"/>
  <c r="AU438" i="15"/>
  <c r="AW438" i="15" s="1"/>
  <c r="AX438" i="15" s="1"/>
  <c r="BA438" i="15" s="1"/>
  <c r="AU352" i="15"/>
  <c r="AW352" i="15" s="1"/>
  <c r="AX352" i="15" s="1"/>
  <c r="BA352" i="15" s="1"/>
  <c r="AU332" i="15"/>
  <c r="AW332" i="15" s="1"/>
  <c r="AX332" i="15" s="1"/>
  <c r="BA332" i="15" s="1"/>
  <c r="AU244" i="15"/>
  <c r="AW244" i="15" s="1"/>
  <c r="AX244" i="15" s="1"/>
  <c r="BA244" i="15" s="1"/>
  <c r="AU248" i="15"/>
  <c r="AW248" i="15" s="1"/>
  <c r="AX248" i="15" s="1"/>
  <c r="BA248" i="15" s="1"/>
  <c r="AU439" i="15"/>
  <c r="AW439" i="15" s="1"/>
  <c r="AX439" i="15" s="1"/>
  <c r="BA439" i="15" s="1"/>
  <c r="AU320" i="15"/>
  <c r="AW320" i="15" s="1"/>
  <c r="AX320" i="15" s="1"/>
  <c r="BA320" i="15" s="1"/>
  <c r="AU246" i="15"/>
  <c r="AW246" i="15" s="1"/>
  <c r="AX246" i="15" s="1"/>
  <c r="BA246" i="15" s="1"/>
  <c r="AU180" i="15"/>
  <c r="AW180" i="15" s="1"/>
  <c r="AX180" i="15" s="1"/>
  <c r="BA180" i="15" s="1"/>
  <c r="AU461" i="15"/>
  <c r="AW461" i="15" s="1"/>
  <c r="AX461" i="15" s="1"/>
  <c r="BA461" i="15" s="1"/>
  <c r="AU391" i="15"/>
  <c r="AW391" i="15" s="1"/>
  <c r="AX391" i="15" s="1"/>
  <c r="BA391" i="15" s="1"/>
  <c r="AU348" i="15"/>
  <c r="AW348" i="15" s="1"/>
  <c r="AX348" i="15" s="1"/>
  <c r="BA348" i="15" s="1"/>
  <c r="AU314" i="15"/>
  <c r="AW314" i="15" s="1"/>
  <c r="AX314" i="15" s="1"/>
  <c r="BA314" i="15" s="1"/>
  <c r="AU311" i="15"/>
  <c r="AW311" i="15" s="1"/>
  <c r="AX311" i="15" s="1"/>
  <c r="BA311" i="15" s="1"/>
  <c r="AU364" i="15"/>
  <c r="AW364" i="15" s="1"/>
  <c r="AX364" i="15" s="1"/>
  <c r="BA364" i="15" s="1"/>
  <c r="AU281" i="15"/>
  <c r="AW281" i="15" s="1"/>
  <c r="AX281" i="15" s="1"/>
  <c r="BA281" i="15" s="1"/>
  <c r="AU376" i="15"/>
  <c r="AW376" i="15" s="1"/>
  <c r="AX376" i="15" s="1"/>
  <c r="BA376" i="15" s="1"/>
  <c r="AU266" i="15"/>
  <c r="AW266" i="15" s="1"/>
  <c r="AX266" i="15" s="1"/>
  <c r="BA266" i="15" s="1"/>
  <c r="AU453" i="15"/>
  <c r="AW453" i="15" s="1"/>
  <c r="AX453" i="15" s="1"/>
  <c r="BA453" i="15" s="1"/>
  <c r="AU189" i="15"/>
  <c r="AW189" i="15" s="1"/>
  <c r="AX189" i="15" s="1"/>
  <c r="BA189" i="15" s="1"/>
  <c r="AU134" i="15"/>
  <c r="AW134" i="15" s="1"/>
  <c r="AX134" i="15" s="1"/>
  <c r="BA134" i="15" s="1"/>
  <c r="AU183" i="15"/>
  <c r="AW183" i="15" s="1"/>
  <c r="AX183" i="15" s="1"/>
  <c r="BA183" i="15" s="1"/>
  <c r="AU472" i="15"/>
  <c r="AW472" i="15" s="1"/>
  <c r="AX472" i="15" s="1"/>
  <c r="BA472" i="15" s="1"/>
  <c r="AU425" i="15"/>
  <c r="AW425" i="15" s="1"/>
  <c r="AX425" i="15" s="1"/>
  <c r="BA425" i="15" s="1"/>
  <c r="AU413" i="15"/>
  <c r="AW413" i="15" s="1"/>
  <c r="AX413" i="15" s="1"/>
  <c r="BA413" i="15" s="1"/>
  <c r="AU307" i="15"/>
  <c r="AW307" i="15" s="1"/>
  <c r="AX307" i="15" s="1"/>
  <c r="BA307" i="15" s="1"/>
  <c r="AU328" i="15"/>
  <c r="AW328" i="15" s="1"/>
  <c r="AX328" i="15" s="1"/>
  <c r="BA328" i="15" s="1"/>
  <c r="AU197" i="15"/>
  <c r="AW197" i="15" s="1"/>
  <c r="AX197" i="15" s="1"/>
  <c r="BA197" i="15" s="1"/>
  <c r="AU274" i="15"/>
  <c r="AW274" i="15" s="1"/>
  <c r="AX274" i="15" s="1"/>
  <c r="BA274" i="15" s="1"/>
  <c r="AU219" i="15"/>
  <c r="AW219" i="15" s="1"/>
  <c r="AX219" i="15" s="1"/>
  <c r="BA219" i="15" s="1"/>
  <c r="AU313" i="15"/>
  <c r="AW313" i="15" s="1"/>
  <c r="AX313" i="15" s="1"/>
  <c r="BA313" i="15" s="1"/>
  <c r="AU135" i="15"/>
  <c r="AW135" i="15" s="1"/>
  <c r="AX135" i="15" s="1"/>
  <c r="BA135" i="15" s="1"/>
  <c r="AU179" i="15"/>
  <c r="AW179" i="15" s="1"/>
  <c r="AX179" i="15" s="1"/>
  <c r="BA179" i="15" s="1"/>
  <c r="AU144" i="15"/>
  <c r="AW144" i="15" s="1"/>
  <c r="AX144" i="15" s="1"/>
  <c r="BA144" i="15" s="1"/>
  <c r="AU268" i="15"/>
  <c r="AW268" i="15" s="1"/>
  <c r="AX268" i="15" s="1"/>
  <c r="BA268" i="15" s="1"/>
  <c r="AU468" i="15"/>
  <c r="AW468" i="15" s="1"/>
  <c r="AX468" i="15" s="1"/>
  <c r="BA468" i="15" s="1"/>
  <c r="AU367" i="15"/>
  <c r="AW367" i="15" s="1"/>
  <c r="AX367" i="15" s="1"/>
  <c r="BA367" i="15" s="1"/>
  <c r="AU459" i="15"/>
  <c r="AW459" i="15" s="1"/>
  <c r="AX459" i="15" s="1"/>
  <c r="BA459" i="15" s="1"/>
  <c r="AU343" i="15"/>
  <c r="AW343" i="15" s="1"/>
  <c r="AX343" i="15" s="1"/>
  <c r="BA343" i="15" s="1"/>
  <c r="AU272" i="15"/>
  <c r="AW272" i="15" s="1"/>
  <c r="AX272" i="15" s="1"/>
  <c r="BA272" i="15" s="1"/>
  <c r="AU229" i="15"/>
  <c r="AW229" i="15" s="1"/>
  <c r="AX229" i="15" s="1"/>
  <c r="BA229" i="15" s="1"/>
  <c r="AU390" i="15"/>
  <c r="AW390" i="15" s="1"/>
  <c r="AX390" i="15" s="1"/>
  <c r="BA390" i="15" s="1"/>
  <c r="AU285" i="15"/>
  <c r="AW285" i="15" s="1"/>
  <c r="AX285" i="15" s="1"/>
  <c r="BA285" i="15" s="1"/>
  <c r="AU233" i="15"/>
  <c r="AW233" i="15" s="1"/>
  <c r="AX233" i="15" s="1"/>
  <c r="BA233" i="15" s="1"/>
  <c r="AU421" i="15"/>
  <c r="AW421" i="15" s="1"/>
  <c r="AX421" i="15" s="1"/>
  <c r="BA421" i="15" s="1"/>
  <c r="AU312" i="15"/>
  <c r="AW312" i="15" s="1"/>
  <c r="AX312" i="15" s="1"/>
  <c r="BA312" i="15" s="1"/>
  <c r="AU211" i="15"/>
  <c r="AW211" i="15" s="1"/>
  <c r="AX211" i="15" s="1"/>
  <c r="BA211" i="15" s="1"/>
  <c r="AU451" i="15"/>
  <c r="AW451" i="15" s="1"/>
  <c r="AX451" i="15" s="1"/>
  <c r="BA451" i="15" s="1"/>
  <c r="AU190" i="15"/>
  <c r="AW190" i="15" s="1"/>
  <c r="AX190" i="15" s="1"/>
  <c r="BA190" i="15" s="1"/>
  <c r="AU153" i="15"/>
  <c r="AW153" i="15" s="1"/>
  <c r="AX153" i="15" s="1"/>
  <c r="BA153" i="15" s="1"/>
  <c r="AU156" i="15"/>
  <c r="AW156" i="15" s="1"/>
  <c r="AX156" i="15" s="1"/>
  <c r="BA156" i="15" s="1"/>
  <c r="AU417" i="15"/>
  <c r="AW417" i="15" s="1"/>
  <c r="AX417" i="15" s="1"/>
  <c r="BA417" i="15" s="1"/>
  <c r="AU350" i="15"/>
  <c r="AW350" i="15" s="1"/>
  <c r="AX350" i="15" s="1"/>
  <c r="BA350" i="15" s="1"/>
  <c r="AU255" i="15"/>
  <c r="AW255" i="15" s="1"/>
  <c r="AX255" i="15" s="1"/>
  <c r="BA255" i="15" s="1"/>
  <c r="AU466" i="15"/>
  <c r="AW466" i="15" s="1"/>
  <c r="AX466" i="15" s="1"/>
  <c r="BA466" i="15" s="1"/>
  <c r="AU366" i="15"/>
  <c r="AW366" i="15" s="1"/>
  <c r="AX366" i="15" s="1"/>
  <c r="BA366" i="15" s="1"/>
  <c r="AU324" i="15"/>
  <c r="AW324" i="15" s="1"/>
  <c r="AX324" i="15" s="1"/>
  <c r="BA324" i="15" s="1"/>
  <c r="BA130" i="15"/>
  <c r="AU427" i="15"/>
  <c r="AW427" i="15" s="1"/>
  <c r="AX427" i="15" s="1"/>
  <c r="BA427" i="15" s="1"/>
  <c r="AU347" i="15"/>
  <c r="AW347" i="15" s="1"/>
  <c r="AX347" i="15" s="1"/>
  <c r="BA347" i="15" s="1"/>
  <c r="AU239" i="15"/>
  <c r="AW239" i="15" s="1"/>
  <c r="AX239" i="15" s="1"/>
  <c r="BA239" i="15" s="1"/>
  <c r="AU137" i="15"/>
  <c r="AW137" i="15" s="1"/>
  <c r="AX137" i="15" s="1"/>
  <c r="BA137" i="15" s="1"/>
  <c r="AU433" i="15"/>
  <c r="AW433" i="15" s="1"/>
  <c r="AX433" i="15" s="1"/>
  <c r="BA433" i="15" s="1"/>
  <c r="AU306" i="15"/>
  <c r="AW306" i="15" s="1"/>
  <c r="AX306" i="15" s="1"/>
  <c r="BA306" i="15" s="1"/>
  <c r="AU234" i="15"/>
  <c r="AW234" i="15" s="1"/>
  <c r="AX234" i="15" s="1"/>
  <c r="BA234" i="15" s="1"/>
  <c r="AU448" i="15"/>
  <c r="AW448" i="15" s="1"/>
  <c r="AX448" i="15" s="1"/>
  <c r="BA448" i="15" s="1"/>
  <c r="AU384" i="15"/>
  <c r="AW384" i="15" s="1"/>
  <c r="AX384" i="15" s="1"/>
  <c r="BA384" i="15" s="1"/>
  <c r="AU259" i="15"/>
  <c r="AW259" i="15" s="1"/>
  <c r="AX259" i="15" s="1"/>
  <c r="BA259" i="15" s="1"/>
  <c r="AU269" i="15"/>
  <c r="AW269" i="15" s="1"/>
  <c r="AX269" i="15" s="1"/>
  <c r="BA269" i="15" s="1"/>
  <c r="AU370" i="15"/>
  <c r="AW370" i="15" s="1"/>
  <c r="AX370" i="15" s="1"/>
  <c r="BA370" i="15" s="1"/>
  <c r="AU260" i="15"/>
  <c r="AW260" i="15" s="1"/>
  <c r="AX260" i="15" s="1"/>
  <c r="BA260" i="15" s="1"/>
  <c r="AU186" i="15"/>
  <c r="AW186" i="15" s="1"/>
  <c r="AX186" i="15" s="1"/>
  <c r="BA186" i="15" s="1"/>
  <c r="AU123" i="15"/>
  <c r="AW123" i="15" s="1"/>
  <c r="AX123" i="15" s="1"/>
  <c r="BA123" i="15" s="1"/>
  <c r="AU124" i="15"/>
  <c r="AW124" i="15" s="1"/>
  <c r="AX124" i="15" s="1"/>
  <c r="BA124" i="15" s="1"/>
  <c r="AU192" i="15"/>
  <c r="AW192" i="15" s="1"/>
  <c r="AX192" i="15" s="1"/>
  <c r="BA192" i="15" s="1"/>
  <c r="AU469" i="15"/>
  <c r="AW469" i="15" s="1"/>
  <c r="AX469" i="15" s="1"/>
  <c r="BA469" i="15" s="1"/>
  <c r="AU458" i="15"/>
  <c r="AW458" i="15" s="1"/>
  <c r="AX458" i="15" s="1"/>
  <c r="BA458" i="15" s="1"/>
  <c r="AU361" i="15"/>
  <c r="AW361" i="15" s="1"/>
  <c r="AX361" i="15" s="1"/>
  <c r="BA361" i="15" s="1"/>
  <c r="AU340" i="15"/>
  <c r="AW340" i="15" s="1"/>
  <c r="AX340" i="15" s="1"/>
  <c r="BA340" i="15" s="1"/>
  <c r="AU380" i="15"/>
  <c r="AW380" i="15" s="1"/>
  <c r="AX380" i="15" s="1"/>
  <c r="BA380" i="15" s="1"/>
  <c r="AU398" i="15"/>
  <c r="AW398" i="15" s="1"/>
  <c r="AX398" i="15" s="1"/>
  <c r="BA398" i="15" s="1"/>
  <c r="AU369" i="15"/>
  <c r="AW369" i="15" s="1"/>
  <c r="AX369" i="15" s="1"/>
  <c r="BA369" i="15" s="1"/>
  <c r="AU198" i="15"/>
  <c r="AW198" i="15" s="1"/>
  <c r="AX198" i="15" s="1"/>
  <c r="BA198" i="15" s="1"/>
  <c r="AU337" i="15"/>
  <c r="AW337" i="15" s="1"/>
  <c r="AX337" i="15" s="1"/>
  <c r="BA337" i="15" s="1"/>
  <c r="AU405" i="15"/>
  <c r="AW405" i="15" s="1"/>
  <c r="AX405" i="15" s="1"/>
  <c r="BA405" i="15" s="1"/>
  <c r="AU321" i="15"/>
  <c r="AW321" i="15" s="1"/>
  <c r="AX321" i="15" s="1"/>
  <c r="BA321" i="15" s="1"/>
  <c r="AU214" i="15"/>
  <c r="AW214" i="15" s="1"/>
  <c r="AX214" i="15" s="1"/>
  <c r="BA214" i="15" s="1"/>
  <c r="AU187" i="15"/>
  <c r="AW187" i="15" s="1"/>
  <c r="AX187" i="15" s="1"/>
  <c r="BA187" i="15" s="1"/>
  <c r="AU408" i="15"/>
  <c r="AW408" i="15" s="1"/>
  <c r="AX408" i="15" s="1"/>
  <c r="BA408" i="15" s="1"/>
  <c r="AU318" i="15"/>
  <c r="AW318" i="15" s="1"/>
  <c r="AX318" i="15" s="1"/>
  <c r="BA318" i="15" s="1"/>
  <c r="AU302" i="15"/>
  <c r="AW302" i="15" s="1"/>
  <c r="AX302" i="15" s="1"/>
  <c r="BA302" i="15" s="1"/>
  <c r="AU414" i="15"/>
  <c r="AW414" i="15" s="1"/>
  <c r="AX414" i="15" s="1"/>
  <c r="BA414" i="15" s="1"/>
  <c r="AU230" i="15"/>
  <c r="AW230" i="15" s="1"/>
  <c r="AX230" i="15" s="1"/>
  <c r="BA230" i="15" s="1"/>
  <c r="AU378" i="15"/>
  <c r="AW378" i="15" s="1"/>
  <c r="AX378" i="15" s="1"/>
  <c r="BA378" i="15" s="1"/>
  <c r="AU358" i="15"/>
  <c r="AW358" i="15" s="1"/>
  <c r="AX358" i="15" s="1"/>
  <c r="BA358" i="15" s="1"/>
  <c r="AU254" i="15"/>
  <c r="AW254" i="15" s="1"/>
  <c r="AX254" i="15" s="1"/>
  <c r="BA254" i="15" s="1"/>
  <c r="AU116" i="15"/>
  <c r="AW116" i="15" s="1"/>
  <c r="AX116" i="15" s="1"/>
  <c r="BA116" i="15" s="1"/>
  <c r="AU118" i="15"/>
  <c r="AW118" i="15" s="1"/>
  <c r="AX118" i="15" s="1"/>
  <c r="BA118" i="15" s="1"/>
  <c r="AU463" i="15"/>
  <c r="AW463" i="15" s="1"/>
  <c r="AX463" i="15" s="1"/>
  <c r="BA463" i="15" s="1"/>
  <c r="AU465" i="15"/>
  <c r="AW465" i="15" s="1"/>
  <c r="AX465" i="15" s="1"/>
  <c r="BA465" i="15" s="1"/>
  <c r="AU363" i="15"/>
  <c r="AW363" i="15" s="1"/>
  <c r="AX363" i="15" s="1"/>
  <c r="BA363" i="15" s="1"/>
  <c r="AU325" i="15"/>
  <c r="AW325" i="15" s="1"/>
  <c r="AX325" i="15" s="1"/>
  <c r="BA325" i="15" s="1"/>
  <c r="AU395" i="15"/>
  <c r="AW395" i="15" s="1"/>
  <c r="AX395" i="15" s="1"/>
  <c r="BA395" i="15" s="1"/>
  <c r="AU243" i="15"/>
  <c r="AW243" i="15" s="1"/>
  <c r="AX243" i="15" s="1"/>
  <c r="BA243" i="15" s="1"/>
  <c r="AU207" i="15"/>
  <c r="AW207" i="15" s="1"/>
  <c r="AX207" i="15" s="1"/>
  <c r="BA207" i="15" s="1"/>
  <c r="AU194" i="15"/>
  <c r="AW194" i="15" s="1"/>
  <c r="AX194" i="15" s="1"/>
  <c r="BA194" i="15" s="1"/>
  <c r="AU132" i="15"/>
  <c r="AW132" i="15" s="1"/>
  <c r="AX132" i="15" s="1"/>
  <c r="BA132" i="15" s="1"/>
  <c r="AU222" i="15"/>
  <c r="AW222" i="15" s="1"/>
  <c r="AX222" i="15" s="1"/>
  <c r="BA222" i="15" s="1"/>
  <c r="AU462" i="15"/>
  <c r="AW462" i="15" s="1"/>
  <c r="AX462" i="15" s="1"/>
  <c r="BA462" i="15" s="1"/>
  <c r="AU432" i="15"/>
  <c r="AW432" i="15" s="1"/>
  <c r="AX432" i="15" s="1"/>
  <c r="BA432" i="15" s="1"/>
  <c r="AU404" i="15"/>
  <c r="AW404" i="15" s="1"/>
  <c r="AX404" i="15" s="1"/>
  <c r="BA404" i="15" s="1"/>
  <c r="AU296" i="15"/>
  <c r="AW296" i="15" s="1"/>
  <c r="AX296" i="15" s="1"/>
  <c r="BA296" i="15" s="1"/>
  <c r="AU273" i="15"/>
  <c r="AW273" i="15" s="1"/>
  <c r="AX273" i="15" s="1"/>
  <c r="BA273" i="15" s="1"/>
  <c r="AU228" i="15"/>
  <c r="AW228" i="15" s="1"/>
  <c r="AX228" i="15" s="1"/>
  <c r="BA228" i="15" s="1"/>
  <c r="AU396" i="15"/>
  <c r="AW396" i="15" s="1"/>
  <c r="AX396" i="15" s="1"/>
  <c r="BA396" i="15" s="1"/>
  <c r="AU282" i="15"/>
  <c r="AW282" i="15" s="1"/>
  <c r="AX282" i="15" s="1"/>
  <c r="BA282" i="15" s="1"/>
  <c r="AU199" i="15"/>
  <c r="AW199" i="15" s="1"/>
  <c r="AX199" i="15" s="1"/>
  <c r="BA199" i="15" s="1"/>
  <c r="AU305" i="15"/>
  <c r="AW305" i="15" s="1"/>
  <c r="AX305" i="15" s="1"/>
  <c r="BA305" i="15" s="1"/>
  <c r="AU409" i="15"/>
  <c r="AW409" i="15" s="1"/>
  <c r="AX409" i="15" s="1"/>
  <c r="BA409" i="15" s="1"/>
  <c r="AU139" i="15"/>
  <c r="AW139" i="15" s="1"/>
  <c r="AX139" i="15" s="1"/>
  <c r="BA139" i="15" s="1"/>
  <c r="AU399" i="15"/>
  <c r="AW399" i="15" s="1"/>
  <c r="AX399" i="15" s="1"/>
  <c r="BA399" i="15" s="1"/>
  <c r="AU308" i="15"/>
  <c r="AW308" i="15" s="1"/>
  <c r="AX308" i="15" s="1"/>
  <c r="BA308" i="15" s="1"/>
  <c r="AU220" i="15"/>
  <c r="AW220" i="15" s="1"/>
  <c r="AX220" i="15" s="1"/>
  <c r="BA220" i="15" s="1"/>
  <c r="AU430" i="15"/>
  <c r="AW430" i="15" s="1"/>
  <c r="AX430" i="15" s="1"/>
  <c r="BA430" i="15" s="1"/>
  <c r="AU354" i="15"/>
  <c r="AW354" i="15" s="1"/>
  <c r="AX354" i="15" s="1"/>
  <c r="BA354" i="15" s="1"/>
  <c r="AU309" i="15"/>
  <c r="AW309" i="15" s="1"/>
  <c r="AX309" i="15" s="1"/>
  <c r="BA309" i="15" s="1"/>
  <c r="AU148" i="15"/>
  <c r="AW148" i="15" s="1"/>
  <c r="AX148" i="15" s="1"/>
  <c r="BA148" i="15" s="1"/>
  <c r="AU120" i="15"/>
  <c r="AW120" i="15" s="1"/>
  <c r="AX120" i="15" s="1"/>
  <c r="BA120" i="15" s="1"/>
  <c r="AU394" i="15"/>
  <c r="AW394" i="15" s="1"/>
  <c r="AX394" i="15" s="1"/>
  <c r="BA394" i="15" s="1"/>
  <c r="AU344" i="15"/>
  <c r="AW344" i="15" s="1"/>
  <c r="AX344" i="15" s="1"/>
  <c r="BA344" i="15" s="1"/>
  <c r="AU253" i="15"/>
  <c r="AW253" i="15" s="1"/>
  <c r="AX253" i="15" s="1"/>
  <c r="BA253" i="15" s="1"/>
  <c r="AU216" i="15"/>
  <c r="AW216" i="15" s="1"/>
  <c r="AX216" i="15" s="1"/>
  <c r="BA216" i="15" s="1"/>
  <c r="AU121" i="15"/>
  <c r="AW121" i="15" s="1"/>
  <c r="AX121" i="15" s="1"/>
  <c r="BA121" i="15" s="1"/>
  <c r="AU450" i="15"/>
  <c r="AW450" i="15" s="1"/>
  <c r="AX450" i="15" s="1"/>
  <c r="BA450" i="15" s="1"/>
  <c r="AU402" i="15"/>
  <c r="AW402" i="15" s="1"/>
  <c r="AX402" i="15" s="1"/>
  <c r="BA402" i="15" s="1"/>
  <c r="AU341" i="15"/>
  <c r="AW341" i="15" s="1"/>
  <c r="AX341" i="15" s="1"/>
  <c r="BA341" i="15" s="1"/>
  <c r="AU288" i="15"/>
  <c r="AW288" i="15" s="1"/>
  <c r="AX288" i="15" s="1"/>
  <c r="BA288" i="15" s="1"/>
  <c r="AU209" i="15"/>
  <c r="AW209" i="15" s="1"/>
  <c r="AX209" i="15" s="1"/>
  <c r="BA209" i="15" s="1"/>
  <c r="AU372" i="15"/>
  <c r="AW372" i="15" s="1"/>
  <c r="AX372" i="15" s="1"/>
  <c r="BA372" i="15" s="1"/>
  <c r="AU456" i="15"/>
  <c r="AW456" i="15" s="1"/>
  <c r="AX456" i="15" s="1"/>
  <c r="BA456" i="15" s="1"/>
  <c r="AU303" i="15"/>
  <c r="AW303" i="15" s="1"/>
  <c r="AX303" i="15" s="1"/>
  <c r="BA303" i="15" s="1"/>
  <c r="AU251" i="15"/>
  <c r="AW251" i="15" s="1"/>
  <c r="AX251" i="15" s="1"/>
  <c r="BA251" i="15" s="1"/>
  <c r="AU406" i="15"/>
  <c r="AW406" i="15" s="1"/>
  <c r="AX406" i="15" s="1"/>
  <c r="BA406" i="15" s="1"/>
  <c r="AU346" i="15"/>
  <c r="AW346" i="15" s="1"/>
  <c r="AX346" i="15" s="1"/>
  <c r="BA346" i="15" s="1"/>
  <c r="AU224" i="15"/>
  <c r="AW224" i="15" s="1"/>
  <c r="AX224" i="15" s="1"/>
  <c r="BA224" i="15" s="1"/>
  <c r="AU424" i="15"/>
  <c r="AW424" i="15" s="1"/>
  <c r="AX424" i="15" s="1"/>
  <c r="BA424" i="15" s="1"/>
  <c r="AU235" i="15"/>
  <c r="AW235" i="15" s="1"/>
  <c r="AX235" i="15" s="1"/>
  <c r="BA235" i="15" s="1"/>
  <c r="AU441" i="15"/>
  <c r="AW441" i="15" s="1"/>
  <c r="AX441" i="15" s="1"/>
  <c r="BA441" i="15" s="1"/>
  <c r="AU297" i="15"/>
  <c r="AW297" i="15" s="1"/>
  <c r="AX297" i="15" s="1"/>
  <c r="BA297" i="15" s="1"/>
  <c r="AU457" i="15"/>
  <c r="AW457" i="15" s="1"/>
  <c r="AX457" i="15" s="1"/>
  <c r="BA457" i="15" s="1"/>
  <c r="AU304" i="15"/>
  <c r="AW304" i="15" s="1"/>
  <c r="AX304" i="15" s="1"/>
  <c r="BA304" i="15" s="1"/>
  <c r="AU401" i="15"/>
  <c r="AW401" i="15" s="1"/>
  <c r="AX401" i="15" s="1"/>
  <c r="BA401" i="15" s="1"/>
  <c r="AU452" i="15"/>
  <c r="AW452" i="15" s="1"/>
  <c r="AX452" i="15" s="1"/>
  <c r="BA452" i="15" s="1"/>
  <c r="AU298" i="15"/>
  <c r="AW298" i="15" s="1"/>
  <c r="AX298" i="15" s="1"/>
  <c r="BA298" i="15" s="1"/>
  <c r="AU249" i="15"/>
  <c r="AW249" i="15" s="1"/>
  <c r="AX249" i="15" s="1"/>
  <c r="BA249" i="15" s="1"/>
  <c r="AU294" i="15"/>
  <c r="AW294" i="15" s="1"/>
  <c r="AX294" i="15" s="1"/>
  <c r="BA294" i="15" s="1"/>
  <c r="AU184" i="15"/>
  <c r="AW184" i="15" s="1"/>
  <c r="AX184" i="15" s="1"/>
  <c r="BA184" i="15" s="1"/>
  <c r="AU374" i="15"/>
  <c r="AW374" i="15" s="1"/>
  <c r="AX374" i="15" s="1"/>
  <c r="BA374" i="15" s="1"/>
  <c r="AU242" i="15"/>
  <c r="AW242" i="15" s="1"/>
  <c r="AX242" i="15" s="1"/>
  <c r="BA242" i="15" s="1"/>
  <c r="AU256" i="15"/>
  <c r="AW256" i="15" s="1"/>
  <c r="AX256" i="15" s="1"/>
  <c r="BA256" i="15" s="1"/>
  <c r="AU131" i="15"/>
  <c r="AW131" i="15" s="1"/>
  <c r="AX131" i="15" s="1"/>
  <c r="BA131" i="15" s="1"/>
  <c r="AU353" i="15"/>
  <c r="AW353" i="15" s="1"/>
  <c r="AX353" i="15" s="1"/>
  <c r="BA353" i="15" s="1"/>
  <c r="AU415" i="15"/>
  <c r="AW415" i="15" s="1"/>
  <c r="AX415" i="15" s="1"/>
  <c r="BA415" i="15" s="1"/>
  <c r="AU145" i="15"/>
  <c r="AW145" i="15" s="1"/>
  <c r="AX145" i="15" s="1"/>
  <c r="BA145" i="15" s="1"/>
  <c r="AU316" i="15"/>
  <c r="AW316" i="15" s="1"/>
  <c r="AX316" i="15" s="1"/>
  <c r="BA316" i="15" s="1"/>
  <c r="AU412" i="15"/>
  <c r="AW412" i="15" s="1"/>
  <c r="AX412" i="15" s="1"/>
  <c r="BA412" i="15" s="1"/>
  <c r="AU444" i="15"/>
  <c r="AW444" i="15" s="1"/>
  <c r="AX444" i="15" s="1"/>
  <c r="BA444" i="15" s="1"/>
  <c r="AU227" i="15"/>
  <c r="AW227" i="15" s="1"/>
  <c r="AX227" i="15" s="1"/>
  <c r="BA227" i="15" s="1"/>
  <c r="AU334" i="15"/>
  <c r="AW334" i="15" s="1"/>
  <c r="AX334" i="15" s="1"/>
  <c r="BA334" i="15" s="1"/>
  <c r="AU407" i="15"/>
  <c r="AW407" i="15" s="1"/>
  <c r="AX407" i="15" s="1"/>
  <c r="BA407" i="15" s="1"/>
  <c r="AU446" i="15"/>
  <c r="AW446" i="15" s="1"/>
  <c r="AX446" i="15" s="1"/>
  <c r="BA446" i="15" s="1"/>
  <c r="AU437" i="15"/>
  <c r="AW437" i="15" s="1"/>
  <c r="AX437" i="15" s="1"/>
  <c r="BA437" i="15" s="1"/>
  <c r="AU428" i="15"/>
  <c r="AW428" i="15" s="1"/>
  <c r="AX428" i="15" s="1"/>
  <c r="BA428" i="15" s="1"/>
  <c r="AU434" i="15"/>
  <c r="AW434" i="15" s="1"/>
  <c r="AX434" i="15" s="1"/>
  <c r="BA434" i="15" s="1"/>
  <c r="AU375" i="15"/>
  <c r="AW375" i="15" s="1"/>
  <c r="AX375" i="15" s="1"/>
  <c r="BA375" i="15" s="1"/>
  <c r="AU449" i="15"/>
  <c r="AW449" i="15" s="1"/>
  <c r="AX449" i="15" s="1"/>
  <c r="BA449" i="15" s="1"/>
  <c r="AU322" i="15"/>
  <c r="AW322" i="15" s="1"/>
  <c r="AX322" i="15" s="1"/>
  <c r="BA322" i="15" s="1"/>
  <c r="AU339" i="15"/>
  <c r="AW339" i="15" s="1"/>
  <c r="AX339" i="15" s="1"/>
  <c r="BA339" i="15" s="1"/>
  <c r="AU301" i="15"/>
  <c r="AW301" i="15" s="1"/>
  <c r="AX301" i="15" s="1"/>
  <c r="BA301" i="15" s="1"/>
  <c r="AU280" i="15"/>
  <c r="AW280" i="15" s="1"/>
  <c r="AX280" i="15" s="1"/>
  <c r="BA280" i="15" s="1"/>
  <c r="AU289" i="15"/>
  <c r="AW289" i="15" s="1"/>
  <c r="AX289" i="15" s="1"/>
  <c r="BA289" i="15" s="1"/>
  <c r="AU286" i="15"/>
  <c r="AW286" i="15" s="1"/>
  <c r="AX286" i="15" s="1"/>
  <c r="BA286" i="15" s="1"/>
  <c r="AU237" i="15"/>
  <c r="AW237" i="15" s="1"/>
  <c r="AX237" i="15" s="1"/>
  <c r="BA237" i="15" s="1"/>
  <c r="AU188" i="15"/>
  <c r="AW188" i="15" s="1"/>
  <c r="AX188" i="15" s="1"/>
  <c r="BA188" i="15" s="1"/>
  <c r="AU119" i="15"/>
  <c r="AW119" i="15" s="1"/>
  <c r="AX119" i="15" s="1"/>
  <c r="BA119" i="15" s="1"/>
  <c r="AU240" i="15"/>
  <c r="AW240" i="15" s="1"/>
  <c r="AX240" i="15" s="1"/>
  <c r="BA240" i="15" s="1"/>
  <c r="AU411" i="15"/>
  <c r="AW411" i="15" s="1"/>
  <c r="AX411" i="15" s="1"/>
  <c r="BA411" i="15" s="1"/>
  <c r="AU388" i="15"/>
  <c r="AW388" i="15" s="1"/>
  <c r="AX388" i="15" s="1"/>
  <c r="BA388" i="15" s="1"/>
  <c r="AU287" i="15"/>
  <c r="AW287" i="15" s="1"/>
  <c r="AX287" i="15" s="1"/>
  <c r="BA287" i="15" s="1"/>
  <c r="AU250" i="15"/>
  <c r="AW250" i="15" s="1"/>
  <c r="AX250" i="15" s="1"/>
  <c r="BA250" i="15" s="1"/>
  <c r="AU471" i="15"/>
  <c r="AW471" i="15" s="1"/>
  <c r="AX471" i="15" s="1"/>
  <c r="BA471" i="15" s="1"/>
  <c r="AU355" i="15"/>
  <c r="AW355" i="15" s="1"/>
  <c r="AX355" i="15" s="1"/>
  <c r="BA355" i="15" s="1"/>
  <c r="AU258" i="15"/>
  <c r="AW258" i="15" s="1"/>
  <c r="AX258" i="15" s="1"/>
  <c r="BA258" i="15" s="1"/>
  <c r="AU226" i="15"/>
  <c r="AW226" i="15" s="1"/>
  <c r="AX226" i="15" s="1"/>
  <c r="BA226" i="15" s="1"/>
  <c r="AU365" i="15"/>
  <c r="AW365" i="15" s="1"/>
  <c r="AX365" i="15" s="1"/>
  <c r="BA365" i="15" s="1"/>
  <c r="AU329" i="15"/>
  <c r="AW329" i="15" s="1"/>
  <c r="AX329" i="15" s="1"/>
  <c r="BA329" i="15" s="1"/>
  <c r="AU252" i="15"/>
  <c r="AW252" i="15" s="1"/>
  <c r="AX252" i="15" s="1"/>
  <c r="BA252" i="15" s="1"/>
  <c r="AU236" i="15"/>
  <c r="AW236" i="15" s="1"/>
  <c r="AX236" i="15" s="1"/>
  <c r="BA236" i="15" s="1"/>
  <c r="AU270" i="15"/>
  <c r="AW270" i="15" s="1"/>
  <c r="AX270" i="15" s="1"/>
  <c r="BA270" i="15" s="1"/>
  <c r="AU210" i="15"/>
  <c r="AW210" i="15" s="1"/>
  <c r="AX210" i="15" s="1"/>
  <c r="BA210" i="15" s="1"/>
  <c r="AU400" i="15"/>
  <c r="AW400" i="15" s="1"/>
  <c r="AX400" i="15" s="1"/>
  <c r="BA400" i="15" s="1"/>
  <c r="AU201" i="15"/>
  <c r="AW201" i="15" s="1"/>
  <c r="AX201" i="15" s="1"/>
  <c r="BA201" i="15" s="1"/>
  <c r="AU436" i="15"/>
  <c r="AW436" i="15" s="1"/>
  <c r="AX436" i="15" s="1"/>
  <c r="BA436" i="15" s="1"/>
  <c r="AU385" i="15"/>
  <c r="AW385" i="15" s="1"/>
  <c r="AX385" i="15" s="1"/>
  <c r="BA385" i="15" s="1"/>
  <c r="AU291" i="15"/>
  <c r="AW291" i="15" s="1"/>
  <c r="AX291" i="15" s="1"/>
  <c r="BA291" i="15" s="1"/>
  <c r="AU426" i="15"/>
  <c r="AW426" i="15" s="1"/>
  <c r="AX426" i="15" s="1"/>
  <c r="BA426" i="15" s="1"/>
  <c r="AU223" i="15"/>
  <c r="AW223" i="15" s="1"/>
  <c r="AX223" i="15" s="1"/>
  <c r="BA223" i="15" s="1"/>
  <c r="AU336" i="15"/>
  <c r="AW336" i="15" s="1"/>
  <c r="AX336" i="15" s="1"/>
  <c r="BA336" i="15" s="1"/>
  <c r="AU247" i="15"/>
  <c r="AW247" i="15" s="1"/>
  <c r="AX247" i="15" s="1"/>
  <c r="BA247" i="15" s="1"/>
  <c r="AU195" i="15"/>
  <c r="AW195" i="15" s="1"/>
  <c r="AX195" i="15" s="1"/>
  <c r="BA195" i="15" s="1"/>
  <c r="AU114" i="15"/>
  <c r="AW114" i="15" s="1"/>
  <c r="AX114" i="15" s="1"/>
  <c r="BA114" i="15" s="1"/>
  <c r="AU360" i="15"/>
  <c r="AW360" i="15" s="1"/>
  <c r="AX360" i="15" s="1"/>
  <c r="BA360" i="15" s="1"/>
  <c r="AU338" i="15"/>
  <c r="AW338" i="15" s="1"/>
  <c r="AX338" i="15" s="1"/>
  <c r="BA338" i="15" s="1"/>
  <c r="AU276" i="15"/>
  <c r="AW276" i="15" s="1"/>
  <c r="AX276" i="15" s="1"/>
  <c r="BA276" i="15" s="1"/>
  <c r="AU205" i="15"/>
  <c r="AW205" i="15" s="1"/>
  <c r="AX205" i="15" s="1"/>
  <c r="BA205" i="15" s="1"/>
  <c r="AU403" i="15"/>
  <c r="AW403" i="15" s="1"/>
  <c r="AX403" i="15" s="1"/>
  <c r="BA403" i="15" s="1"/>
  <c r="AU327" i="15"/>
  <c r="AW327" i="15" s="1"/>
  <c r="AX327" i="15" s="1"/>
  <c r="BA327" i="15" s="1"/>
  <c r="AU140" i="15"/>
  <c r="AW140" i="15" s="1"/>
  <c r="AX140" i="15" s="1"/>
  <c r="BA140" i="15" s="1"/>
  <c r="AU442" i="15"/>
  <c r="AW442" i="15" s="1"/>
  <c r="AX442" i="15" s="1"/>
  <c r="BA442" i="15" s="1"/>
  <c r="AU335" i="15"/>
  <c r="AW335" i="15" s="1"/>
  <c r="AX335" i="15" s="1"/>
  <c r="BA335" i="15" s="1"/>
  <c r="AU299" i="15"/>
  <c r="AW299" i="15" s="1"/>
  <c r="AX299" i="15" s="1"/>
  <c r="BA299" i="15" s="1"/>
  <c r="AU146" i="15"/>
  <c r="AW146" i="15" s="1"/>
  <c r="AX146" i="15" s="1"/>
  <c r="BA146" i="15" s="1"/>
  <c r="AU359" i="15"/>
  <c r="AW359" i="15" s="1"/>
  <c r="AX359" i="15" s="1"/>
  <c r="BA359" i="15" s="1"/>
  <c r="AU420" i="15"/>
  <c r="AW420" i="15" s="1"/>
  <c r="AX420" i="15" s="1"/>
  <c r="BA420" i="15" s="1"/>
  <c r="AU290" i="15"/>
  <c r="AW290" i="15" s="1"/>
  <c r="AX290" i="15" s="1"/>
  <c r="BA290" i="15" s="1"/>
  <c r="AU218" i="15"/>
  <c r="AW218" i="15" s="1"/>
  <c r="AX218" i="15" s="1"/>
  <c r="BA218" i="15" s="1"/>
  <c r="AU151" i="15"/>
  <c r="AW151" i="15" s="1"/>
  <c r="AX151" i="15" s="1"/>
  <c r="BA151" i="15" s="1"/>
  <c r="AU157" i="15"/>
  <c r="AW157" i="15" s="1"/>
  <c r="AX157" i="15" s="1"/>
  <c r="BA157" i="15" s="1"/>
  <c r="AU435" i="15"/>
  <c r="AW435" i="15" s="1"/>
  <c r="AX435" i="15" s="1"/>
  <c r="BA435" i="15" s="1"/>
  <c r="AU386" i="15"/>
  <c r="AW386" i="15" s="1"/>
  <c r="AX386" i="15" s="1"/>
  <c r="BA386" i="15" s="1"/>
  <c r="AU445" i="15"/>
  <c r="AW445" i="15" s="1"/>
  <c r="AX445" i="15" s="1"/>
  <c r="BA445" i="15" s="1"/>
  <c r="AU232" i="15"/>
  <c r="AW232" i="15" s="1"/>
  <c r="AX232" i="15" s="1"/>
  <c r="BA232" i="15" s="1"/>
  <c r="AU392" i="15"/>
  <c r="AW392" i="15" s="1"/>
  <c r="AX392" i="15" s="1"/>
  <c r="BA392" i="15" s="1"/>
  <c r="AU431" i="15"/>
  <c r="AW431" i="15" s="1"/>
  <c r="AX431" i="15" s="1"/>
  <c r="BA431" i="15" s="1"/>
  <c r="AU381" i="15"/>
  <c r="AW381" i="15" s="1"/>
  <c r="AX381" i="15" s="1"/>
  <c r="BA381" i="15" s="1"/>
  <c r="AU416" i="15"/>
  <c r="AW416" i="15" s="1"/>
  <c r="AX416" i="15" s="1"/>
  <c r="BA416" i="15" s="1"/>
  <c r="AU277" i="15"/>
  <c r="AW277" i="15" s="1"/>
  <c r="AX277" i="15" s="1"/>
  <c r="BA277" i="15" s="1"/>
  <c r="AU225" i="15"/>
  <c r="AW225" i="15" s="1"/>
  <c r="AX225" i="15" s="1"/>
  <c r="BA225" i="15" s="1"/>
  <c r="AU141" i="15"/>
  <c r="AW141" i="15" s="1"/>
  <c r="AX141" i="15" s="1"/>
  <c r="BA141" i="15" s="1"/>
  <c r="AU185" i="15"/>
  <c r="AW185" i="15" s="1"/>
  <c r="AX185" i="15" s="1"/>
  <c r="BA185" i="15" s="1"/>
  <c r="AU115" i="15"/>
  <c r="AW115" i="15" s="1"/>
  <c r="AX115" i="15" s="1"/>
  <c r="BA115" i="15" s="1"/>
  <c r="AU204" i="15"/>
  <c r="AW204" i="15" s="1"/>
  <c r="AX204" i="15" s="1"/>
  <c r="BA204" i="15" s="1"/>
  <c r="AU371" i="15"/>
  <c r="AW371" i="15" s="1"/>
  <c r="AX371" i="15" s="1"/>
  <c r="BA371" i="15" s="1"/>
  <c r="AU238" i="15"/>
  <c r="AW238" i="15" s="1"/>
  <c r="AX238" i="15" s="1"/>
  <c r="BA238" i="15" s="1"/>
  <c r="AU217" i="15"/>
  <c r="AW217" i="15" s="1"/>
  <c r="AX217" i="15" s="1"/>
  <c r="BA217" i="15" s="1"/>
  <c r="AU464" i="15"/>
  <c r="AW464" i="15" s="1"/>
  <c r="AX464" i="15" s="1"/>
  <c r="BA464" i="15" s="1"/>
  <c r="AU455" i="15"/>
  <c r="AW455" i="15" s="1"/>
  <c r="AX455" i="15" s="1"/>
  <c r="BA455" i="15" s="1"/>
  <c r="AU292" i="15"/>
  <c r="AW292" i="15" s="1"/>
  <c r="AX292" i="15" s="1"/>
  <c r="BA292" i="15" s="1"/>
  <c r="AU213" i="15"/>
  <c r="AW213" i="15" s="1"/>
  <c r="AX213" i="15" s="1"/>
  <c r="BA213" i="15" s="1"/>
  <c r="AU129" i="15"/>
  <c r="AW129" i="15" s="1"/>
  <c r="AX129" i="15" s="1"/>
  <c r="BA129" i="15" s="1"/>
  <c r="AU138" i="15"/>
  <c r="AW138" i="15" s="1"/>
  <c r="AX138" i="15" s="1"/>
  <c r="BA138" i="15" s="1"/>
  <c r="AU283" i="15"/>
  <c r="AW283" i="15" s="1"/>
  <c r="AX283" i="15" s="1"/>
  <c r="BA283" i="15" s="1"/>
  <c r="AU387" i="15"/>
  <c r="AW387" i="15" s="1"/>
  <c r="AX387" i="15" s="1"/>
  <c r="BA387" i="15" s="1"/>
  <c r="AU349" i="15"/>
  <c r="AW349" i="15" s="1"/>
  <c r="AX349" i="15" s="1"/>
  <c r="BA349" i="15" s="1"/>
  <c r="AU257" i="15"/>
  <c r="AW257" i="15" s="1"/>
  <c r="AX257" i="15" s="1"/>
  <c r="BA257" i="15" s="1"/>
  <c r="AU422" i="15"/>
  <c r="AW422" i="15" s="1"/>
  <c r="AX422" i="15" s="1"/>
  <c r="BA422" i="15" s="1"/>
  <c r="AU454" i="15"/>
  <c r="AW454" i="15" s="1"/>
  <c r="AX454" i="15" s="1"/>
  <c r="BA454" i="15" s="1"/>
  <c r="AU323" i="15"/>
  <c r="AW323" i="15" s="1"/>
  <c r="AX323" i="15" s="1"/>
  <c r="BA323" i="15" s="1"/>
  <c r="AU443" i="15"/>
  <c r="AW443" i="15" s="1"/>
  <c r="AX443" i="15" s="1"/>
  <c r="BA443" i="15" s="1"/>
  <c r="AU389" i="15"/>
  <c r="AW389" i="15" s="1"/>
  <c r="AX389" i="15" s="1"/>
  <c r="BA389" i="15" s="1"/>
  <c r="AU410" i="15"/>
  <c r="AW410" i="15" s="1"/>
  <c r="AX410" i="15" s="1"/>
  <c r="BA410" i="15" s="1"/>
  <c r="AU310" i="15"/>
  <c r="AW310" i="15" s="1"/>
  <c r="AX310" i="15" s="1"/>
  <c r="BA310" i="15" s="1"/>
  <c r="AU271" i="15"/>
  <c r="AW271" i="15" s="1"/>
  <c r="AX271" i="15" s="1"/>
  <c r="BA271" i="15" s="1"/>
  <c r="AU333" i="15"/>
  <c r="AW333" i="15" s="1"/>
  <c r="AX333" i="15" s="1"/>
  <c r="BA333" i="15" s="1"/>
  <c r="AU231" i="15"/>
  <c r="AW231" i="15" s="1"/>
  <c r="AX231" i="15" s="1"/>
  <c r="BA231" i="15" s="1"/>
  <c r="AU351" i="15"/>
  <c r="AW351" i="15" s="1"/>
  <c r="AX351" i="15" s="1"/>
  <c r="BA351" i="15" s="1"/>
  <c r="AU182" i="15"/>
  <c r="AW182" i="15" s="1"/>
  <c r="AX182" i="15" s="1"/>
  <c r="BA182" i="15" s="1"/>
  <c r="AU147" i="15"/>
  <c r="AW147" i="15" s="1"/>
  <c r="AX147" i="15" s="1"/>
  <c r="BA147" i="15" s="1"/>
  <c r="AU112" i="15"/>
  <c r="AW112" i="15" s="1"/>
  <c r="AX112" i="15" s="1"/>
  <c r="BA112" i="15" s="1"/>
  <c r="AU191" i="15"/>
  <c r="AW191" i="15" s="1"/>
  <c r="AX191" i="15" s="1"/>
  <c r="BA191" i="15" s="1"/>
  <c r="AU155" i="15"/>
  <c r="AW155" i="15" s="1"/>
  <c r="AX155" i="15" s="1"/>
  <c r="BA155" i="15" s="1"/>
  <c r="AU122" i="15"/>
  <c r="AW122" i="15" s="1"/>
  <c r="AX122" i="15" s="1"/>
  <c r="BA122" i="15" s="1"/>
  <c r="AU393" i="15"/>
  <c r="AW393" i="15" s="1"/>
  <c r="AX393" i="15" s="1"/>
  <c r="BA393" i="15" s="1"/>
  <c r="AU383" i="15"/>
  <c r="AW383" i="15" s="1"/>
  <c r="AX383" i="15" s="1"/>
  <c r="BA383" i="15" s="1"/>
  <c r="AU284" i="15"/>
  <c r="AW284" i="15" s="1"/>
  <c r="AX284" i="15" s="1"/>
  <c r="BA284" i="15" s="1"/>
  <c r="AU241" i="15"/>
  <c r="AW241" i="15" s="1"/>
  <c r="AX241" i="15" s="1"/>
  <c r="BA241" i="15" s="1"/>
  <c r="AU470" i="15"/>
  <c r="AW470" i="15" s="1"/>
  <c r="AX470" i="15" s="1"/>
  <c r="BA470" i="15" s="1"/>
  <c r="AU362" i="15"/>
  <c r="AW362" i="15" s="1"/>
  <c r="AX362" i="15" s="1"/>
  <c r="BA362" i="15" s="1"/>
  <c r="AU317" i="15"/>
  <c r="AW317" i="15" s="1"/>
  <c r="AX317" i="15" s="1"/>
  <c r="BA317" i="15" s="1"/>
  <c r="AU245" i="15"/>
  <c r="AW245" i="15" s="1"/>
  <c r="AX245" i="15" s="1"/>
  <c r="BA245" i="15" s="1"/>
  <c r="AU440" i="15"/>
  <c r="AW440" i="15" s="1"/>
  <c r="AX440" i="15" s="1"/>
  <c r="BA440" i="15" s="1"/>
  <c r="AU208" i="15"/>
  <c r="AW208" i="15" s="1"/>
  <c r="AX208" i="15" s="1"/>
  <c r="BA208" i="15" s="1"/>
  <c r="AU143" i="15"/>
  <c r="AW143" i="15" s="1"/>
  <c r="AX143" i="15" s="1"/>
  <c r="BA143" i="15" s="1"/>
  <c r="AU154" i="15"/>
  <c r="AW154" i="15" s="1"/>
  <c r="AX154" i="15" s="1"/>
  <c r="BA154" i="15" s="1"/>
  <c r="AU181" i="15"/>
  <c r="AW181" i="15" s="1"/>
  <c r="AX181" i="15" s="1"/>
  <c r="BA181" i="15" s="1"/>
  <c r="AU429" i="15"/>
  <c r="AW429" i="15" s="1"/>
  <c r="AX429" i="15" s="1"/>
  <c r="BA429" i="15" s="1"/>
  <c r="AU379" i="15"/>
  <c r="AW379" i="15" s="1"/>
  <c r="AX379" i="15" s="1"/>
  <c r="BA379" i="15" s="1"/>
  <c r="AU279" i="15"/>
  <c r="AW279" i="15" s="1"/>
  <c r="AX279" i="15" s="1"/>
  <c r="BA279" i="15" s="1"/>
  <c r="AU418" i="15"/>
  <c r="AW418" i="15" s="1"/>
  <c r="AX418" i="15" s="1"/>
  <c r="BA418" i="15" s="1"/>
  <c r="AU331" i="15"/>
  <c r="AW331" i="15" s="1"/>
  <c r="AX331" i="15" s="1"/>
  <c r="BA331" i="15" s="1"/>
  <c r="AU215" i="15"/>
  <c r="AW215" i="15" s="1"/>
  <c r="AX215" i="15" s="1"/>
  <c r="BA215" i="15" s="1"/>
  <c r="AU136" i="15"/>
  <c r="AW136" i="15" s="1"/>
  <c r="AX136" i="15" s="1"/>
  <c r="BA136" i="15" s="1"/>
  <c r="AU113" i="15"/>
  <c r="AW113" i="15" s="1"/>
  <c r="AX113" i="15" s="1"/>
  <c r="BA113" i="15" s="1"/>
  <c r="AU447" i="15"/>
  <c r="AW447" i="15" s="1"/>
  <c r="AX447" i="15" s="1"/>
  <c r="BA447" i="15" s="1"/>
  <c r="AU368" i="15"/>
  <c r="AW368" i="15" s="1"/>
  <c r="AX368" i="15" s="1"/>
  <c r="BA368" i="15" s="1"/>
  <c r="AU356" i="15"/>
  <c r="AW356" i="15" s="1"/>
  <c r="AX356" i="15" s="1"/>
  <c r="BA356" i="15" s="1"/>
  <c r="AU193" i="15"/>
  <c r="AW193" i="15" s="1"/>
  <c r="AU460" i="15"/>
  <c r="AW460" i="15" s="1"/>
  <c r="AX460" i="15" s="1"/>
  <c r="BA460" i="15" s="1"/>
  <c r="AU377" i="15"/>
  <c r="AW377" i="15" s="1"/>
  <c r="AX377" i="15" s="1"/>
  <c r="BA377" i="15" s="1"/>
  <c r="AU326" i="15"/>
  <c r="AW326" i="15" s="1"/>
  <c r="AX326" i="15" s="1"/>
  <c r="BA326" i="15" s="1"/>
  <c r="AU264" i="15"/>
  <c r="AW264" i="15" s="1"/>
  <c r="AX264" i="15" s="1"/>
  <c r="BA264" i="15" s="1"/>
  <c r="AU203" i="15"/>
  <c r="AW203" i="15" s="1"/>
  <c r="AX203" i="15" s="1"/>
  <c r="BA203" i="15" s="1"/>
  <c r="AU397" i="15"/>
  <c r="AW397" i="15" s="1"/>
  <c r="AX397" i="15" s="1"/>
  <c r="BA397" i="15" s="1"/>
  <c r="AU293" i="15"/>
  <c r="AW293" i="15" s="1"/>
  <c r="AX293" i="15" s="1"/>
  <c r="BA293" i="15" s="1"/>
  <c r="AU382" i="15"/>
  <c r="AW382" i="15" s="1"/>
  <c r="AX382" i="15" s="1"/>
  <c r="BA382" i="15" s="1"/>
  <c r="AU278" i="15"/>
  <c r="AW278" i="15" s="1"/>
  <c r="AX278" i="15" s="1"/>
  <c r="BA278" i="15" s="1"/>
  <c r="AU212" i="15"/>
  <c r="AW212" i="15" s="1"/>
  <c r="AX212" i="15" s="1"/>
  <c r="BA212" i="15" s="1"/>
  <c r="AU133" i="15"/>
  <c r="AW133" i="15" s="1"/>
  <c r="AX133" i="15" s="1"/>
  <c r="BA133" i="15" s="1"/>
  <c r="AU315" i="15"/>
  <c r="AW315" i="15" s="1"/>
  <c r="AX315" i="15" s="1"/>
  <c r="BA315" i="15" s="1"/>
  <c r="AU152" i="15"/>
  <c r="AW152" i="15" s="1"/>
  <c r="AX152" i="15" s="1"/>
  <c r="BA152" i="15" s="1"/>
  <c r="AU300" i="15"/>
  <c r="AW300" i="15" s="1"/>
  <c r="AX300" i="15" s="1"/>
  <c r="BA300" i="15" s="1"/>
  <c r="AU342" i="15"/>
  <c r="AW342" i="15" s="1"/>
  <c r="AX342" i="15" s="1"/>
  <c r="BA342" i="15" s="1"/>
  <c r="AU202" i="15"/>
  <c r="AW202" i="15" s="1"/>
  <c r="AX202" i="15" s="1"/>
  <c r="BA202" i="15" s="1"/>
  <c r="AU176" i="15"/>
  <c r="AW176" i="15" s="1"/>
  <c r="AX176" i="15" s="1"/>
  <c r="BA176" i="15" s="1"/>
  <c r="AU175" i="15"/>
  <c r="AW175" i="15" s="1"/>
  <c r="AX175" i="15" s="1"/>
  <c r="BA175" i="15" s="1"/>
  <c r="AU158" i="15"/>
  <c r="AW158" i="15" s="1"/>
  <c r="AX158" i="15" s="1"/>
  <c r="BA158" i="15" s="1"/>
  <c r="AU177" i="15"/>
  <c r="AW177" i="15" s="1"/>
  <c r="AX177" i="15" s="1"/>
  <c r="BA177" i="15" s="1"/>
  <c r="AU178" i="15"/>
  <c r="AW178" i="15" s="1"/>
  <c r="AX178" i="15" s="1"/>
  <c r="BA178" i="15" s="1"/>
  <c r="AU164" i="15"/>
  <c r="AW164" i="15" s="1"/>
  <c r="AX164" i="15" s="1"/>
  <c r="BA164" i="15" s="1"/>
  <c r="AU173" i="15"/>
  <c r="AW173" i="15" s="1"/>
  <c r="AX173" i="15" s="1"/>
  <c r="BA173" i="15" s="1"/>
  <c r="AU172" i="15"/>
  <c r="AW172" i="15" s="1"/>
  <c r="AX172" i="15" s="1"/>
  <c r="BA172" i="15" s="1"/>
  <c r="AU167" i="15"/>
  <c r="AW167" i="15" s="1"/>
  <c r="AX167" i="15" s="1"/>
  <c r="BA167" i="15" s="1"/>
  <c r="AU166" i="15"/>
  <c r="AW166" i="15" s="1"/>
  <c r="AX166" i="15" s="1"/>
  <c r="BA166" i="15" s="1"/>
  <c r="AU162" i="15"/>
  <c r="AW162" i="15" s="1"/>
  <c r="AX162" i="15" s="1"/>
  <c r="BA162" i="15" s="1"/>
  <c r="AU169" i="15"/>
  <c r="AW169" i="15" s="1"/>
  <c r="AX169" i="15" s="1"/>
  <c r="BA169" i="15" s="1"/>
  <c r="AU159" i="15"/>
  <c r="AW159" i="15" s="1"/>
  <c r="AX159" i="15" s="1"/>
  <c r="BA159" i="15" s="1"/>
  <c r="AU163" i="15"/>
  <c r="AW163" i="15" s="1"/>
  <c r="AX163" i="15" s="1"/>
  <c r="BA163" i="15" s="1"/>
  <c r="AU171" i="15"/>
  <c r="AW171" i="15" s="1"/>
  <c r="AX171" i="15" s="1"/>
  <c r="BA171" i="15" s="1"/>
  <c r="AU161" i="15"/>
  <c r="AW161" i="15" s="1"/>
  <c r="AX161" i="15" s="1"/>
  <c r="BA161" i="15" s="1"/>
  <c r="AU168" i="15"/>
  <c r="AW168" i="15" s="1"/>
  <c r="AX168" i="15" s="1"/>
  <c r="BA168" i="15" s="1"/>
  <c r="AU160" i="15"/>
  <c r="AW160" i="15" s="1"/>
  <c r="AX160" i="15" s="1"/>
  <c r="BA160" i="15" s="1"/>
  <c r="AU170" i="15"/>
  <c r="AW170" i="15" s="1"/>
  <c r="AX170" i="15" s="1"/>
  <c r="BA170" i="15" s="1"/>
  <c r="AU165" i="15"/>
  <c r="AW165" i="15" s="1"/>
  <c r="AX165" i="15" s="1"/>
  <c r="BA165" i="15" s="1"/>
  <c r="O2" i="14"/>
  <c r="Z2" i="14"/>
  <c r="AA2" i="14"/>
  <c r="AR2" i="14"/>
  <c r="AU2" i="14"/>
  <c r="O3" i="14"/>
  <c r="Z3" i="14"/>
  <c r="AA3" i="14"/>
  <c r="AR3" i="14"/>
  <c r="AU3" i="14"/>
  <c r="O4" i="14"/>
  <c r="Z4" i="14"/>
  <c r="AA4" i="14"/>
  <c r="AR4" i="14"/>
  <c r="AU4" i="14"/>
  <c r="O5" i="14"/>
  <c r="Z5" i="14"/>
  <c r="AA5" i="14"/>
  <c r="AR5" i="14"/>
  <c r="AU5" i="14"/>
  <c r="O6" i="14"/>
  <c r="Z6" i="14"/>
  <c r="AA6" i="14"/>
  <c r="AR6" i="14"/>
  <c r="AU6" i="14"/>
  <c r="O7" i="14"/>
  <c r="Z7" i="14"/>
  <c r="AA7" i="14"/>
  <c r="AR7" i="14"/>
  <c r="AU7" i="14"/>
  <c r="O8" i="14"/>
  <c r="Z8" i="14"/>
  <c r="AA8" i="14"/>
  <c r="AR8" i="14"/>
  <c r="AU8" i="14"/>
  <c r="O9" i="14"/>
  <c r="Z9" i="14"/>
  <c r="AA9" i="14"/>
  <c r="AR9" i="14"/>
  <c r="AU9" i="14"/>
  <c r="O10" i="14"/>
  <c r="Z10" i="14"/>
  <c r="AA10" i="14"/>
  <c r="AR10" i="14"/>
  <c r="AU10" i="14"/>
  <c r="O11" i="14"/>
  <c r="Z11" i="14"/>
  <c r="AA11" i="14"/>
  <c r="AR11" i="14"/>
  <c r="AU11" i="14"/>
  <c r="O12" i="14"/>
  <c r="Z12" i="14"/>
  <c r="AA12" i="14"/>
  <c r="AR12" i="14"/>
  <c r="AU12" i="14"/>
  <c r="O13" i="14"/>
  <c r="Z13" i="14"/>
  <c r="AA13" i="14"/>
  <c r="AR13" i="14"/>
  <c r="AU13" i="14"/>
  <c r="O14" i="14"/>
  <c r="Z14" i="14"/>
  <c r="AA14" i="14"/>
  <c r="AR14" i="14"/>
  <c r="AU14" i="14"/>
  <c r="O15" i="14"/>
  <c r="Z15" i="14"/>
  <c r="AA15" i="14"/>
  <c r="AR15" i="14"/>
  <c r="AU15" i="14"/>
  <c r="O16" i="14"/>
  <c r="Z16" i="14"/>
  <c r="AA16" i="14"/>
  <c r="AR16" i="14"/>
  <c r="AU16" i="14"/>
  <c r="O17" i="14"/>
  <c r="Z17" i="14"/>
  <c r="AA17" i="14"/>
  <c r="AR17" i="14"/>
  <c r="AU17" i="14"/>
  <c r="O18" i="14"/>
  <c r="Z18" i="14"/>
  <c r="AA18" i="14"/>
  <c r="AR18" i="14"/>
  <c r="AU18" i="14"/>
  <c r="O19" i="14"/>
  <c r="Z19" i="14"/>
  <c r="AA19" i="14"/>
  <c r="AR19" i="14"/>
  <c r="AU19" i="14"/>
  <c r="O20" i="14"/>
  <c r="Z20" i="14"/>
  <c r="AA20" i="14"/>
  <c r="AR20" i="14"/>
  <c r="AU20" i="14"/>
  <c r="O21" i="14"/>
  <c r="Z21" i="14"/>
  <c r="AA21" i="14"/>
  <c r="AR21" i="14"/>
  <c r="AU21" i="14"/>
  <c r="O22" i="14"/>
  <c r="Z22" i="14"/>
  <c r="AA22" i="14"/>
  <c r="AR22" i="14"/>
  <c r="AU22" i="14"/>
  <c r="O23" i="14"/>
  <c r="Z23" i="14"/>
  <c r="AA23" i="14"/>
  <c r="AR23" i="14"/>
  <c r="AU23" i="14"/>
  <c r="O24" i="14"/>
  <c r="Z24" i="14"/>
  <c r="AA24" i="14"/>
  <c r="AR24" i="14"/>
  <c r="AU24" i="14"/>
  <c r="O25" i="14"/>
  <c r="Z25" i="14"/>
  <c r="AA25" i="14"/>
  <c r="AR25" i="14"/>
  <c r="AU25" i="14"/>
  <c r="O26" i="14"/>
  <c r="Z26" i="14"/>
  <c r="AA26" i="14"/>
  <c r="AR26" i="14"/>
  <c r="AU26" i="14"/>
  <c r="O27" i="14"/>
  <c r="Z27" i="14"/>
  <c r="AA27" i="14"/>
  <c r="AR27" i="14"/>
  <c r="AU27" i="14"/>
  <c r="O28" i="14"/>
  <c r="Z28" i="14"/>
  <c r="AA28" i="14"/>
  <c r="AR28" i="14"/>
  <c r="AU28" i="14"/>
  <c r="O29" i="14"/>
  <c r="Z29" i="14"/>
  <c r="AA29" i="14"/>
  <c r="AR29" i="14"/>
  <c r="AU29" i="14"/>
  <c r="O30" i="14"/>
  <c r="Z30" i="14"/>
  <c r="AA30" i="14"/>
  <c r="AR30" i="14"/>
  <c r="AU30" i="14"/>
  <c r="O31" i="14"/>
  <c r="Z31" i="14"/>
  <c r="AA31" i="14"/>
  <c r="AR31" i="14"/>
  <c r="AU31" i="14"/>
  <c r="O32" i="14"/>
  <c r="Z32" i="14"/>
  <c r="AA32" i="14"/>
  <c r="AR32" i="14"/>
  <c r="AU32" i="14"/>
  <c r="O33" i="14"/>
  <c r="Z33" i="14"/>
  <c r="AA33" i="14"/>
  <c r="AR33" i="14"/>
  <c r="AU33" i="14"/>
  <c r="O34" i="14"/>
  <c r="Z34" i="14"/>
  <c r="AA34" i="14"/>
  <c r="AR34" i="14"/>
  <c r="AU34" i="14"/>
  <c r="O35" i="14"/>
  <c r="Z35" i="14"/>
  <c r="AA35" i="14"/>
  <c r="AR35" i="14"/>
  <c r="AU35" i="14"/>
  <c r="O36" i="14"/>
  <c r="Z36" i="14"/>
  <c r="AA36" i="14"/>
  <c r="AR36" i="14"/>
  <c r="AU36" i="14"/>
  <c r="O37" i="14"/>
  <c r="AA37" i="14"/>
  <c r="AR37" i="14"/>
  <c r="AU37" i="14"/>
  <c r="O38" i="14"/>
  <c r="Z38" i="14"/>
  <c r="AA38" i="14"/>
  <c r="AR38" i="14"/>
  <c r="AU38" i="14"/>
  <c r="O39" i="14"/>
  <c r="Z39" i="14"/>
  <c r="AA39" i="14"/>
  <c r="AR39" i="14"/>
  <c r="AU39" i="14"/>
  <c r="O40" i="14"/>
  <c r="Z40" i="14"/>
  <c r="AA40" i="14"/>
  <c r="AR40" i="14"/>
  <c r="AU40" i="14"/>
  <c r="O41" i="14"/>
  <c r="Z41" i="14"/>
  <c r="AA41" i="14"/>
  <c r="AR41" i="14"/>
  <c r="AU41" i="14"/>
  <c r="O42" i="14"/>
  <c r="Z42" i="14"/>
  <c r="AA42" i="14"/>
  <c r="AR42" i="14"/>
  <c r="AU42" i="14"/>
  <c r="O43" i="14"/>
  <c r="Z43" i="14"/>
  <c r="AA43" i="14"/>
  <c r="AR43" i="14"/>
  <c r="AU43" i="14"/>
  <c r="Z44" i="14"/>
  <c r="AA44" i="14"/>
  <c r="AR44" i="14"/>
  <c r="AU44" i="14"/>
  <c r="O45" i="14"/>
  <c r="Z45" i="14"/>
  <c r="AA45" i="14"/>
  <c r="AR45" i="14"/>
  <c r="AU45" i="14"/>
  <c r="O46" i="14"/>
  <c r="Z46" i="14"/>
  <c r="AA46" i="14"/>
  <c r="AR46" i="14"/>
  <c r="AU46" i="14"/>
  <c r="O47" i="14"/>
  <c r="AA47" i="14"/>
  <c r="AR47" i="14"/>
  <c r="AU47" i="14"/>
  <c r="O48" i="14"/>
  <c r="Z48" i="14"/>
  <c r="AA48" i="14"/>
  <c r="AR48" i="14"/>
  <c r="AU48" i="14"/>
  <c r="O49" i="14"/>
  <c r="Z49" i="14"/>
  <c r="AA49" i="14"/>
  <c r="AR49" i="14"/>
  <c r="AU49" i="14"/>
  <c r="Z50" i="14"/>
  <c r="AA50" i="14"/>
  <c r="AR50" i="14"/>
  <c r="AU50" i="14"/>
  <c r="O51" i="14"/>
  <c r="Z51" i="14"/>
  <c r="AA51" i="14"/>
  <c r="AR51" i="14"/>
  <c r="AU51" i="14"/>
  <c r="O52" i="14"/>
  <c r="Z52" i="14"/>
  <c r="AA52" i="14"/>
  <c r="AR52" i="14"/>
  <c r="AU52" i="14"/>
  <c r="O53" i="14"/>
  <c r="Z53" i="14"/>
  <c r="AA53" i="14"/>
  <c r="AR53" i="14"/>
  <c r="AU53" i="14"/>
  <c r="O54" i="14"/>
  <c r="Z54" i="14"/>
  <c r="AA54" i="14"/>
  <c r="AR54" i="14"/>
  <c r="AU54" i="14"/>
  <c r="O55" i="14"/>
  <c r="Z55" i="14"/>
  <c r="AA55" i="14"/>
  <c r="AR55" i="14"/>
  <c r="AU55" i="14"/>
  <c r="O56" i="14"/>
  <c r="Z56" i="14"/>
  <c r="AA56" i="14"/>
  <c r="AR56" i="14"/>
  <c r="AU56" i="14"/>
  <c r="O57" i="14"/>
  <c r="Z57" i="14"/>
  <c r="AA57" i="14"/>
  <c r="AR57" i="14"/>
  <c r="AU57" i="14"/>
  <c r="Z58" i="14"/>
  <c r="AA58" i="14"/>
  <c r="AR58" i="14"/>
  <c r="AU58" i="14"/>
  <c r="O59" i="14"/>
  <c r="Z59" i="14"/>
  <c r="AA59" i="14"/>
  <c r="AR59" i="14"/>
  <c r="AU59" i="14"/>
  <c r="O60" i="14"/>
  <c r="Z60" i="14"/>
  <c r="AA60" i="14"/>
  <c r="AR60" i="14"/>
  <c r="AU60" i="14"/>
  <c r="O61" i="14"/>
  <c r="Z61" i="14"/>
  <c r="AA61" i="14"/>
  <c r="AR61" i="14"/>
  <c r="AU61" i="14"/>
  <c r="O62" i="14"/>
  <c r="Z62" i="14"/>
  <c r="AA62" i="14"/>
  <c r="AR62" i="14"/>
  <c r="AU62" i="14"/>
  <c r="O63" i="14"/>
  <c r="Z63" i="14"/>
  <c r="AA63" i="14"/>
  <c r="AR63" i="14"/>
  <c r="AU63" i="14"/>
  <c r="O64" i="14"/>
  <c r="Z64" i="14"/>
  <c r="AA64" i="14"/>
  <c r="AR64" i="14"/>
  <c r="AU64" i="14"/>
  <c r="O65" i="14"/>
  <c r="Z65" i="14"/>
  <c r="AA65" i="14"/>
  <c r="AR65" i="14"/>
  <c r="AU65" i="14"/>
  <c r="O66" i="14"/>
  <c r="Z66" i="14"/>
  <c r="AA66" i="14"/>
  <c r="AR66" i="14"/>
  <c r="AU66" i="14"/>
  <c r="O67" i="14"/>
  <c r="Z67" i="14"/>
  <c r="AA67" i="14"/>
  <c r="AR67" i="14"/>
  <c r="AU67" i="14"/>
  <c r="O68" i="14"/>
  <c r="Z68" i="14"/>
  <c r="AA68" i="14"/>
  <c r="AR68" i="14"/>
  <c r="AU68" i="14"/>
  <c r="O69" i="14"/>
  <c r="Z69" i="14"/>
  <c r="AA69" i="14"/>
  <c r="AR69" i="14"/>
  <c r="AU69" i="14"/>
  <c r="O70" i="14"/>
  <c r="Z70" i="14"/>
  <c r="AA70" i="14"/>
  <c r="AR70" i="14"/>
  <c r="AU70" i="14"/>
  <c r="O71" i="14"/>
  <c r="Z71" i="14"/>
  <c r="AA71" i="14"/>
  <c r="AR71" i="14"/>
  <c r="AU71" i="14"/>
  <c r="O72" i="14"/>
  <c r="Z72" i="14"/>
  <c r="AA72" i="14"/>
  <c r="AR72" i="14"/>
  <c r="AU72" i="14"/>
  <c r="O73" i="14"/>
  <c r="Z73" i="14"/>
  <c r="AA73" i="14"/>
  <c r="AR73" i="14"/>
  <c r="AU73" i="14"/>
  <c r="O74" i="14"/>
  <c r="Z74" i="14"/>
  <c r="AA74" i="14"/>
  <c r="AR74" i="14"/>
  <c r="AU74" i="14"/>
  <c r="O75" i="14"/>
  <c r="Z75" i="14"/>
  <c r="AA75" i="14"/>
  <c r="AR75" i="14"/>
  <c r="AU75" i="14"/>
  <c r="O76" i="14"/>
  <c r="Z76" i="14"/>
  <c r="AA76" i="14"/>
  <c r="AR76" i="14"/>
  <c r="AU76" i="14"/>
  <c r="O77" i="14"/>
  <c r="Z77" i="14"/>
  <c r="AA77" i="14"/>
  <c r="AR77" i="14"/>
  <c r="AU77" i="14"/>
  <c r="O78" i="14"/>
  <c r="Z78" i="14"/>
  <c r="AA78" i="14"/>
  <c r="AR78" i="14"/>
  <c r="AU78" i="14"/>
  <c r="O79" i="14"/>
  <c r="Z79" i="14"/>
  <c r="AA79" i="14"/>
  <c r="AR79" i="14"/>
  <c r="AU79" i="14"/>
  <c r="O80" i="14"/>
  <c r="Z80" i="14"/>
  <c r="AA80" i="14"/>
  <c r="AR80" i="14"/>
  <c r="AU80" i="14"/>
  <c r="O81" i="14"/>
  <c r="Z81" i="14"/>
  <c r="AA81" i="14"/>
  <c r="AR81" i="14"/>
  <c r="AU81" i="14"/>
  <c r="O82" i="14"/>
  <c r="Z82" i="14"/>
  <c r="AA82" i="14"/>
  <c r="AR82" i="14"/>
  <c r="AU82" i="14"/>
  <c r="O83" i="14"/>
  <c r="Z83" i="14"/>
  <c r="AA83" i="14"/>
  <c r="AR83" i="14"/>
  <c r="AU83" i="14"/>
  <c r="O84" i="14"/>
  <c r="Z84" i="14"/>
  <c r="AA84" i="14"/>
  <c r="AR84" i="14"/>
  <c r="AU84" i="14"/>
  <c r="O85" i="14"/>
  <c r="Z85" i="14"/>
  <c r="AA85" i="14"/>
  <c r="AR85" i="14"/>
  <c r="AU85" i="14"/>
  <c r="O86" i="14"/>
  <c r="Z86" i="14"/>
  <c r="AA86" i="14"/>
  <c r="AR86" i="14"/>
  <c r="AU86" i="14"/>
  <c r="O87" i="14"/>
  <c r="Z87" i="14"/>
  <c r="AA87" i="14"/>
  <c r="AR87" i="14"/>
  <c r="AU87" i="14"/>
  <c r="O88" i="14"/>
  <c r="Z88" i="14"/>
  <c r="AA88" i="14"/>
  <c r="AR88" i="14"/>
  <c r="AU88" i="14"/>
  <c r="O89" i="14"/>
  <c r="Z89" i="14"/>
  <c r="AA89" i="14"/>
  <c r="AR89" i="14"/>
  <c r="AU89" i="14"/>
  <c r="O90" i="14"/>
  <c r="Z90" i="14"/>
  <c r="AA90" i="14"/>
  <c r="AR90" i="14"/>
  <c r="AU90" i="14"/>
  <c r="O91" i="14"/>
  <c r="Z91" i="14"/>
  <c r="AA91" i="14"/>
  <c r="AR91" i="14"/>
  <c r="AU91" i="14"/>
  <c r="O92" i="14"/>
  <c r="Z92" i="14"/>
  <c r="AA92" i="14"/>
  <c r="AR92" i="14"/>
  <c r="AU92" i="14"/>
  <c r="O93" i="14"/>
  <c r="Z93" i="14"/>
  <c r="AA93" i="14"/>
  <c r="AR93" i="14"/>
  <c r="AU93" i="14"/>
  <c r="O94" i="14"/>
  <c r="Z94" i="14"/>
  <c r="AA94" i="14"/>
  <c r="AR94" i="14"/>
  <c r="AU94" i="14"/>
  <c r="O95" i="14"/>
  <c r="Z95" i="14"/>
  <c r="AA95" i="14"/>
  <c r="AR95" i="14"/>
  <c r="AU95" i="14"/>
  <c r="O96" i="14"/>
  <c r="Z96" i="14"/>
  <c r="AA96" i="14"/>
  <c r="AR96" i="14"/>
  <c r="AU96" i="14"/>
  <c r="O97" i="14"/>
  <c r="Z97" i="14"/>
  <c r="AA97" i="14"/>
  <c r="AR97" i="14"/>
  <c r="AU97" i="14"/>
  <c r="O98" i="14"/>
  <c r="Z98" i="14"/>
  <c r="AA98" i="14"/>
  <c r="AR98" i="14"/>
  <c r="AU98" i="14"/>
  <c r="O99" i="14"/>
  <c r="Z99" i="14"/>
  <c r="AA99" i="14"/>
  <c r="AR99" i="14"/>
  <c r="AU99" i="14"/>
  <c r="O100" i="14"/>
  <c r="Z100" i="14"/>
  <c r="AA100" i="14"/>
  <c r="AR100" i="14"/>
  <c r="AU100" i="14"/>
  <c r="O101" i="14"/>
  <c r="Z101" i="14"/>
  <c r="AA101" i="14"/>
  <c r="AR101" i="14"/>
  <c r="AU101" i="14"/>
  <c r="O102" i="14"/>
  <c r="Z102" i="14"/>
  <c r="AA102" i="14"/>
  <c r="AR102" i="14"/>
  <c r="AU102" i="14"/>
  <c r="O103" i="14"/>
  <c r="Z103" i="14"/>
  <c r="AA103" i="14"/>
  <c r="AR103" i="14"/>
  <c r="AU103" i="14"/>
  <c r="O104" i="14"/>
  <c r="Z104" i="14"/>
  <c r="AA104" i="14"/>
  <c r="AR104" i="14"/>
  <c r="AU104" i="14"/>
  <c r="O105" i="14"/>
  <c r="Z105" i="14"/>
  <c r="AA105" i="14"/>
  <c r="AR105" i="14"/>
  <c r="AU105" i="14"/>
  <c r="O106" i="14"/>
  <c r="Z106" i="14"/>
  <c r="AA106" i="14"/>
  <c r="AR106" i="14"/>
  <c r="AU106" i="14"/>
  <c r="O107" i="14"/>
  <c r="Z107" i="14"/>
  <c r="AA107" i="14"/>
  <c r="AR107" i="14"/>
  <c r="AU107" i="14"/>
  <c r="O108" i="14"/>
  <c r="Z108" i="14"/>
  <c r="AA108" i="14"/>
  <c r="AR108" i="14"/>
  <c r="AU108" i="14"/>
  <c r="O109" i="14"/>
  <c r="Z109" i="14"/>
  <c r="AA109" i="14"/>
  <c r="AR109" i="14"/>
  <c r="AU109" i="14"/>
  <c r="O110" i="14"/>
  <c r="Z110" i="14"/>
  <c r="AA110" i="14"/>
  <c r="AR110" i="14"/>
  <c r="AU110" i="14"/>
  <c r="O111" i="14"/>
  <c r="Z111" i="14"/>
  <c r="AA111" i="14"/>
  <c r="AR111" i="14"/>
  <c r="AU111" i="14"/>
  <c r="O112" i="14"/>
  <c r="Z112" i="14"/>
  <c r="AA112" i="14"/>
  <c r="AR112" i="14"/>
  <c r="AU112" i="14"/>
  <c r="O113" i="14"/>
  <c r="Z113" i="14"/>
  <c r="AA113" i="14"/>
  <c r="AR113" i="14"/>
  <c r="AU113" i="14"/>
  <c r="O114" i="14"/>
  <c r="Z114" i="14"/>
  <c r="AA114" i="14"/>
  <c r="AR114" i="14"/>
  <c r="AU114" i="14"/>
  <c r="O115" i="14"/>
  <c r="Z115" i="14"/>
  <c r="AA115" i="14"/>
  <c r="AR115" i="14"/>
  <c r="AU115" i="14"/>
  <c r="O116" i="14"/>
  <c r="Z116" i="14"/>
  <c r="AA116" i="14"/>
  <c r="AR116" i="14"/>
  <c r="AU116" i="14"/>
  <c r="O117" i="14"/>
  <c r="Z117" i="14"/>
  <c r="AA117" i="14"/>
  <c r="AR117" i="14"/>
  <c r="AU117" i="14"/>
  <c r="O118" i="14"/>
  <c r="Z118" i="14"/>
  <c r="AA118" i="14"/>
  <c r="AR118" i="14"/>
  <c r="AU118" i="14"/>
  <c r="O119" i="14"/>
  <c r="Z119" i="14"/>
  <c r="AA119" i="14"/>
  <c r="AR119" i="14"/>
  <c r="AU119" i="14"/>
  <c r="O120" i="14"/>
  <c r="Z120" i="14"/>
  <c r="AA120" i="14"/>
  <c r="AR120" i="14"/>
  <c r="AU120" i="14"/>
  <c r="O121" i="14"/>
  <c r="Z121" i="14"/>
  <c r="AA121" i="14"/>
  <c r="AR121" i="14"/>
  <c r="AU121" i="14"/>
  <c r="O122" i="14"/>
  <c r="Z122" i="14"/>
  <c r="AA122" i="14"/>
  <c r="AR122" i="14"/>
  <c r="AU122" i="14"/>
  <c r="O123" i="14"/>
  <c r="Z123" i="14"/>
  <c r="AA123" i="14"/>
  <c r="AR123" i="14"/>
  <c r="AU123" i="14"/>
  <c r="O124" i="14"/>
  <c r="Z124" i="14"/>
  <c r="AA124" i="14"/>
  <c r="AR124" i="14"/>
  <c r="AU124" i="14"/>
  <c r="O125" i="14"/>
  <c r="Z125" i="14"/>
  <c r="AA125" i="14"/>
  <c r="AR125" i="14"/>
  <c r="AU125" i="14"/>
  <c r="O126" i="14"/>
  <c r="Z126" i="14"/>
  <c r="AA126" i="14"/>
  <c r="AR126" i="14"/>
  <c r="AU126" i="14"/>
  <c r="O127" i="14"/>
  <c r="Z127" i="14"/>
  <c r="AA127" i="14"/>
  <c r="AR127" i="14"/>
  <c r="AU127" i="14"/>
  <c r="O128" i="14"/>
  <c r="Z128" i="14"/>
  <c r="AA128" i="14"/>
  <c r="AR128" i="14"/>
  <c r="AU128" i="14"/>
  <c r="O129" i="14"/>
  <c r="Z129" i="14"/>
  <c r="AA129" i="14"/>
  <c r="AR129" i="14"/>
  <c r="AU129" i="14"/>
  <c r="O130" i="14"/>
  <c r="Z130" i="14"/>
  <c r="AA130" i="14"/>
  <c r="AR130" i="14"/>
  <c r="AU130" i="14"/>
  <c r="O131" i="14"/>
  <c r="Z131" i="14"/>
  <c r="AA131" i="14"/>
  <c r="AR131" i="14"/>
  <c r="AU131" i="14"/>
  <c r="O132" i="14"/>
  <c r="Z132" i="14"/>
  <c r="AA132" i="14"/>
  <c r="AR132" i="14"/>
  <c r="AU132" i="14"/>
  <c r="O133" i="14"/>
  <c r="Z133" i="14"/>
  <c r="AA133" i="14"/>
  <c r="AR133" i="14"/>
  <c r="AU133" i="14"/>
  <c r="O134" i="14"/>
  <c r="Z134" i="14"/>
  <c r="AA134" i="14"/>
  <c r="AR134" i="14"/>
  <c r="AU134" i="14"/>
  <c r="O135" i="14"/>
  <c r="Z135" i="14"/>
  <c r="AA135" i="14"/>
  <c r="AR135" i="14"/>
  <c r="AU135" i="14"/>
  <c r="O136" i="14"/>
  <c r="Z136" i="14"/>
  <c r="AA136" i="14"/>
  <c r="AR136" i="14"/>
  <c r="AU136" i="14"/>
  <c r="O137" i="14"/>
  <c r="Z137" i="14"/>
  <c r="AA137" i="14"/>
  <c r="AR137" i="14"/>
  <c r="AU137" i="14"/>
  <c r="O138" i="14"/>
  <c r="Z138" i="14"/>
  <c r="AA138" i="14"/>
  <c r="AR138" i="14"/>
  <c r="AU138" i="14"/>
  <c r="O139" i="14"/>
  <c r="Z139" i="14"/>
  <c r="AA139" i="14"/>
  <c r="AR139" i="14"/>
  <c r="AU139" i="14"/>
  <c r="O140" i="14"/>
  <c r="Z140" i="14"/>
  <c r="AA140" i="14"/>
  <c r="AR140" i="14"/>
  <c r="AU140" i="14"/>
  <c r="O141" i="14"/>
  <c r="Z141" i="14"/>
  <c r="AA141" i="14"/>
  <c r="AR141" i="14"/>
  <c r="AU141" i="14"/>
  <c r="O142" i="14"/>
  <c r="Z142" i="14"/>
  <c r="AA142" i="14"/>
  <c r="AR142" i="14"/>
  <c r="AU142" i="14"/>
  <c r="O143" i="14"/>
  <c r="Z143" i="14"/>
  <c r="AA143" i="14"/>
  <c r="AR143" i="14"/>
  <c r="AU143" i="14"/>
  <c r="O144" i="14"/>
  <c r="Z144" i="14"/>
  <c r="AA144" i="14"/>
  <c r="AR144" i="14"/>
  <c r="AU144" i="14"/>
  <c r="O145" i="14"/>
  <c r="Z145" i="14"/>
  <c r="AA145" i="14"/>
  <c r="AR145" i="14"/>
  <c r="AU145" i="14"/>
  <c r="O146" i="14"/>
  <c r="Z146" i="14"/>
  <c r="AA146" i="14"/>
  <c r="AR146" i="14"/>
  <c r="AU146" i="14"/>
  <c r="O147" i="14"/>
  <c r="Z147" i="14"/>
  <c r="AA147" i="14"/>
  <c r="AR147" i="14"/>
  <c r="AU147" i="14"/>
  <c r="O148" i="14"/>
  <c r="Z148" i="14"/>
  <c r="AA148" i="14"/>
  <c r="AR148" i="14"/>
  <c r="AU148" i="14"/>
  <c r="O149" i="14"/>
  <c r="Z149" i="14"/>
  <c r="AA149" i="14"/>
  <c r="AR149" i="14"/>
  <c r="AU149" i="14"/>
  <c r="O150" i="14"/>
  <c r="Z150" i="14"/>
  <c r="AA150" i="14"/>
  <c r="AR150" i="14"/>
  <c r="AU150" i="14"/>
  <c r="O151" i="14"/>
  <c r="Z151" i="14"/>
  <c r="AA151" i="14"/>
  <c r="AR151" i="14"/>
  <c r="AU151" i="14"/>
  <c r="O152" i="14"/>
  <c r="Z152" i="14"/>
  <c r="AA152" i="14"/>
  <c r="AR152" i="14"/>
  <c r="AU152" i="14"/>
  <c r="O153" i="14"/>
  <c r="Z153" i="14"/>
  <c r="AA153" i="14"/>
  <c r="AR153" i="14"/>
  <c r="AU153" i="14"/>
  <c r="O154" i="14"/>
  <c r="Z154" i="14"/>
  <c r="AA154" i="14"/>
  <c r="AR154" i="14"/>
  <c r="AU154" i="14"/>
  <c r="O155" i="14"/>
  <c r="Z155" i="14"/>
  <c r="AA155" i="14"/>
  <c r="AR155" i="14"/>
  <c r="AU155" i="14"/>
  <c r="O156" i="14"/>
  <c r="Z156" i="14"/>
  <c r="AA156" i="14"/>
  <c r="AR156" i="14"/>
  <c r="AU156" i="14"/>
  <c r="O157" i="14"/>
  <c r="Z157" i="14"/>
  <c r="AA157" i="14"/>
  <c r="AR157" i="14"/>
  <c r="AU157" i="14"/>
  <c r="O158" i="14"/>
  <c r="Z158" i="14"/>
  <c r="AA158" i="14"/>
  <c r="AR158" i="14"/>
  <c r="AU158" i="14"/>
  <c r="O159" i="14"/>
  <c r="Z159" i="14"/>
  <c r="AA159" i="14"/>
  <c r="AR159" i="14"/>
  <c r="AU159" i="14"/>
  <c r="O160" i="14"/>
  <c r="Z160" i="14"/>
  <c r="AA160" i="14"/>
  <c r="AR160" i="14"/>
  <c r="AU160" i="14"/>
  <c r="O161" i="14"/>
  <c r="Z161" i="14"/>
  <c r="AA161" i="14"/>
  <c r="AR161" i="14"/>
  <c r="AU161" i="14"/>
  <c r="O162" i="14"/>
  <c r="Z162" i="14"/>
  <c r="AA162" i="14"/>
  <c r="AR162" i="14"/>
  <c r="AU162" i="14"/>
  <c r="O163" i="14"/>
  <c r="Z163" i="14"/>
  <c r="AA163" i="14"/>
  <c r="AR163" i="14"/>
  <c r="AU163" i="14"/>
  <c r="O164" i="14"/>
  <c r="Z164" i="14"/>
  <c r="AA164" i="14"/>
  <c r="AR164" i="14"/>
  <c r="AU164" i="14"/>
  <c r="O165" i="14"/>
  <c r="Z165" i="14"/>
  <c r="AA165" i="14"/>
  <c r="AR165" i="14"/>
  <c r="AU165" i="14"/>
  <c r="O166" i="14"/>
  <c r="Z166" i="14"/>
  <c r="AA166" i="14"/>
  <c r="AR166" i="14"/>
  <c r="AU166" i="14"/>
  <c r="O167" i="14"/>
  <c r="Z167" i="14"/>
  <c r="AA167" i="14"/>
  <c r="AR167" i="14"/>
  <c r="AU167" i="14"/>
  <c r="O168" i="14"/>
  <c r="Z168" i="14"/>
  <c r="AA168" i="14"/>
  <c r="AR168" i="14"/>
  <c r="AU168" i="14"/>
  <c r="O169" i="14"/>
  <c r="Z169" i="14"/>
  <c r="AA169" i="14"/>
  <c r="AR169" i="14"/>
  <c r="AU169" i="14"/>
  <c r="O170" i="14"/>
  <c r="Z170" i="14"/>
  <c r="AA170" i="14"/>
  <c r="AR170" i="14"/>
  <c r="AU170" i="14"/>
  <c r="O171" i="14"/>
  <c r="Z171" i="14"/>
  <c r="AA171" i="14"/>
  <c r="AR171" i="14"/>
  <c r="AU171" i="14"/>
  <c r="O172" i="14"/>
  <c r="Z172" i="14"/>
  <c r="AA172" i="14"/>
  <c r="AR172" i="14"/>
  <c r="AU172" i="14"/>
  <c r="O173" i="14"/>
  <c r="Z173" i="14"/>
  <c r="AA173" i="14"/>
  <c r="AR173" i="14"/>
  <c r="AU173" i="14"/>
  <c r="O174" i="14"/>
  <c r="Z174" i="14"/>
  <c r="AA174" i="14"/>
  <c r="AR174" i="14"/>
  <c r="AU174" i="14"/>
  <c r="O175" i="14"/>
  <c r="Z175" i="14"/>
  <c r="AA175" i="14"/>
  <c r="AR175" i="14"/>
  <c r="AU175" i="14"/>
  <c r="O176" i="14"/>
  <c r="Z176" i="14"/>
  <c r="AA176" i="14"/>
  <c r="AR176" i="14"/>
  <c r="AU176" i="14"/>
  <c r="O177" i="14"/>
  <c r="Z177" i="14"/>
  <c r="AA177" i="14"/>
  <c r="AR177" i="14"/>
  <c r="AU177" i="14"/>
  <c r="O178" i="14"/>
  <c r="Z178" i="14"/>
  <c r="AA178" i="14"/>
  <c r="AR178" i="14"/>
  <c r="AU178" i="14"/>
  <c r="O179" i="14"/>
  <c r="Z179" i="14"/>
  <c r="AA179" i="14"/>
  <c r="AR179" i="14"/>
  <c r="AU179" i="14"/>
  <c r="O180" i="14"/>
  <c r="Z180" i="14"/>
  <c r="AA180" i="14"/>
  <c r="AR180" i="14"/>
  <c r="AU180" i="14"/>
  <c r="O181" i="14"/>
  <c r="Z181" i="14"/>
  <c r="AA181" i="14"/>
  <c r="AR181" i="14"/>
  <c r="AU181" i="14"/>
  <c r="O182" i="14"/>
  <c r="Z182" i="14"/>
  <c r="AA182" i="14"/>
  <c r="AR182" i="14"/>
  <c r="AU182" i="14"/>
  <c r="O183" i="14"/>
  <c r="Z183" i="14"/>
  <c r="AA183" i="14"/>
  <c r="AR183" i="14"/>
  <c r="AU183" i="14"/>
  <c r="O184" i="14"/>
  <c r="Z184" i="14"/>
  <c r="AA184" i="14"/>
  <c r="AR184" i="14"/>
  <c r="AU184" i="14"/>
  <c r="O185" i="14"/>
  <c r="Z185" i="14"/>
  <c r="AA185" i="14"/>
  <c r="AR185" i="14"/>
  <c r="AU185" i="14"/>
  <c r="O186" i="14"/>
  <c r="Z186" i="14"/>
  <c r="AA186" i="14"/>
  <c r="AR186" i="14"/>
  <c r="AU186" i="14"/>
  <c r="O187" i="14"/>
  <c r="Z187" i="14"/>
  <c r="AA187" i="14"/>
  <c r="AR187" i="14"/>
  <c r="AU187" i="14"/>
  <c r="O188" i="14"/>
  <c r="Z188" i="14"/>
  <c r="AA188" i="14"/>
  <c r="AR188" i="14"/>
  <c r="AU188" i="14"/>
  <c r="O189" i="14"/>
  <c r="Z189" i="14"/>
  <c r="AA189" i="14"/>
  <c r="AR189" i="14"/>
  <c r="AU189" i="14"/>
  <c r="O190" i="14"/>
  <c r="Z190" i="14"/>
  <c r="AA190" i="14"/>
  <c r="AR190" i="14"/>
  <c r="AU190" i="14"/>
  <c r="O191" i="14"/>
  <c r="Z191" i="14"/>
  <c r="AA191" i="14"/>
  <c r="AR191" i="14"/>
  <c r="AU191" i="14"/>
  <c r="O192" i="14"/>
  <c r="Z192" i="14"/>
  <c r="AA192" i="14"/>
  <c r="AR192" i="14"/>
  <c r="AU192" i="14"/>
  <c r="O193" i="14"/>
  <c r="Z193" i="14"/>
  <c r="AA193" i="14"/>
  <c r="AR193" i="14"/>
  <c r="AU193" i="14"/>
  <c r="O194" i="14"/>
  <c r="Z194" i="14"/>
  <c r="AA194" i="14"/>
  <c r="AR194" i="14"/>
  <c r="AU194" i="14"/>
  <c r="O195" i="14"/>
  <c r="Z195" i="14"/>
  <c r="AA195" i="14"/>
  <c r="AR195" i="14"/>
  <c r="AU195" i="14"/>
  <c r="O196" i="14"/>
  <c r="Z196" i="14"/>
  <c r="AA196" i="14"/>
  <c r="AR196" i="14"/>
  <c r="AU196" i="14"/>
  <c r="O197" i="14"/>
  <c r="Z197" i="14"/>
  <c r="AA197" i="14"/>
  <c r="AR197" i="14"/>
  <c r="AU197" i="14"/>
  <c r="O198" i="14"/>
  <c r="Z198" i="14"/>
  <c r="AA198" i="14"/>
  <c r="AR198" i="14"/>
  <c r="AU198" i="14"/>
  <c r="O199" i="14"/>
  <c r="Z199" i="14"/>
  <c r="AA199" i="14"/>
  <c r="AR199" i="14"/>
  <c r="AU199" i="14"/>
  <c r="O200" i="14"/>
  <c r="Z200" i="14"/>
  <c r="AA200" i="14"/>
  <c r="AR200" i="14"/>
  <c r="AU200" i="14"/>
  <c r="O201" i="14"/>
  <c r="Z201" i="14"/>
  <c r="AA201" i="14"/>
  <c r="AR201" i="14"/>
  <c r="AU201" i="14"/>
  <c r="O202" i="14"/>
  <c r="Z202" i="14"/>
  <c r="AA202" i="14"/>
  <c r="AR202" i="14"/>
  <c r="AU202" i="14"/>
  <c r="O203" i="14"/>
  <c r="Z203" i="14"/>
  <c r="AA203" i="14"/>
  <c r="AR203" i="14"/>
  <c r="AU203" i="14"/>
  <c r="O204" i="14"/>
  <c r="Z204" i="14"/>
  <c r="AA204" i="14"/>
  <c r="AR204" i="14"/>
  <c r="AU204" i="14"/>
  <c r="O205" i="14"/>
  <c r="Z205" i="14"/>
  <c r="AA205" i="14"/>
  <c r="AR205" i="14"/>
  <c r="AU205" i="14"/>
  <c r="O206" i="14"/>
  <c r="Z206" i="14"/>
  <c r="AA206" i="14"/>
  <c r="AR206" i="14"/>
  <c r="AU206" i="14"/>
  <c r="O207" i="14"/>
  <c r="Z207" i="14"/>
  <c r="AA207" i="14"/>
  <c r="AR207" i="14"/>
  <c r="AU207" i="14"/>
  <c r="O208" i="14"/>
  <c r="Z208" i="14"/>
  <c r="AA208" i="14"/>
  <c r="AR208" i="14"/>
  <c r="AU208" i="14"/>
  <c r="O209" i="14"/>
  <c r="Z209" i="14"/>
  <c r="AA209" i="14"/>
  <c r="AR209" i="14"/>
  <c r="AU209" i="14"/>
  <c r="O210" i="14"/>
  <c r="Z210" i="14"/>
  <c r="AA210" i="14"/>
  <c r="AR210" i="14"/>
  <c r="AU210" i="14"/>
  <c r="O211" i="14"/>
  <c r="Z211" i="14"/>
  <c r="AA211" i="14"/>
  <c r="AR211" i="14"/>
  <c r="AU211" i="14"/>
  <c r="O212" i="14"/>
  <c r="Z212" i="14"/>
  <c r="AA212" i="14"/>
  <c r="AR212" i="14"/>
  <c r="AU212" i="14"/>
  <c r="O213" i="14"/>
  <c r="Z213" i="14"/>
  <c r="AA213" i="14"/>
  <c r="AR213" i="14"/>
  <c r="AU213" i="14"/>
  <c r="O214" i="14"/>
  <c r="Z214" i="14"/>
  <c r="AA214" i="14"/>
  <c r="AR214" i="14"/>
  <c r="AU214" i="14"/>
  <c r="O215" i="14"/>
  <c r="Z215" i="14"/>
  <c r="AA215" i="14"/>
  <c r="AR215" i="14"/>
  <c r="AU215" i="14"/>
  <c r="O216" i="14"/>
  <c r="Z216" i="14"/>
  <c r="AA216" i="14"/>
  <c r="AR216" i="14"/>
  <c r="AU216" i="14"/>
  <c r="O217" i="14"/>
  <c r="Z217" i="14"/>
  <c r="AA217" i="14"/>
  <c r="AR217" i="14"/>
  <c r="AU217" i="14"/>
  <c r="O218" i="14"/>
  <c r="Z218" i="14"/>
  <c r="AA218" i="14"/>
  <c r="AR218" i="14"/>
  <c r="AU218" i="14"/>
  <c r="O219" i="14"/>
  <c r="Z219" i="14"/>
  <c r="AA219" i="14"/>
  <c r="AR219" i="14"/>
  <c r="AU219" i="14"/>
  <c r="O220" i="14"/>
  <c r="Z220" i="14"/>
  <c r="AA220" i="14"/>
  <c r="AR220" i="14"/>
  <c r="AU220" i="14"/>
  <c r="O221" i="14"/>
  <c r="Z221" i="14"/>
  <c r="AA221" i="14"/>
  <c r="AR221" i="14"/>
  <c r="AU221" i="14"/>
  <c r="O222" i="14"/>
  <c r="Z222" i="14"/>
  <c r="AA222" i="14"/>
  <c r="AR222" i="14"/>
  <c r="AU222" i="14"/>
  <c r="O223" i="14"/>
  <c r="Z223" i="14"/>
  <c r="AA223" i="14"/>
  <c r="AR223" i="14"/>
  <c r="AU223" i="14"/>
  <c r="O224" i="14"/>
  <c r="Z224" i="14"/>
  <c r="AA224" i="14"/>
  <c r="AR224" i="14"/>
  <c r="AU224" i="14"/>
  <c r="O225" i="14"/>
  <c r="Z225" i="14"/>
  <c r="AA225" i="14"/>
  <c r="AR225" i="14"/>
  <c r="AU225" i="14"/>
  <c r="O226" i="14"/>
  <c r="Z226" i="14"/>
  <c r="AA226" i="14"/>
  <c r="AR226" i="14"/>
  <c r="AU226" i="14"/>
  <c r="O227" i="14"/>
  <c r="Z227" i="14"/>
  <c r="AA227" i="14"/>
  <c r="AR227" i="14"/>
  <c r="AU227" i="14"/>
  <c r="O228" i="14"/>
  <c r="Z228" i="14"/>
  <c r="AA228" i="14"/>
  <c r="AR228" i="14"/>
  <c r="AU228" i="14"/>
  <c r="O229" i="14"/>
  <c r="Z229" i="14"/>
  <c r="AA229" i="14"/>
  <c r="AR229" i="14"/>
  <c r="AU229" i="14"/>
  <c r="O230" i="14"/>
  <c r="Z230" i="14"/>
  <c r="AA230" i="14"/>
  <c r="AR230" i="14"/>
  <c r="AU230" i="14"/>
  <c r="O231" i="14"/>
  <c r="Z231" i="14"/>
  <c r="AA231" i="14"/>
  <c r="AR231" i="14"/>
  <c r="AU231" i="14"/>
  <c r="O232" i="14"/>
  <c r="Z232" i="14"/>
  <c r="AA232" i="14"/>
  <c r="AR232" i="14"/>
  <c r="AU232" i="14"/>
  <c r="O233" i="14"/>
  <c r="Z233" i="14"/>
  <c r="AA233" i="14"/>
  <c r="AR233" i="14"/>
  <c r="AU233" i="14"/>
  <c r="O234" i="14"/>
  <c r="Z234" i="14"/>
  <c r="AA234" i="14"/>
  <c r="AR234" i="14"/>
  <c r="AU234" i="14"/>
  <c r="O235" i="14"/>
  <c r="Z235" i="14"/>
  <c r="AA235" i="14"/>
  <c r="AR235" i="14"/>
  <c r="AU235" i="14"/>
  <c r="O236" i="14"/>
  <c r="Z236" i="14"/>
  <c r="AA236" i="14"/>
  <c r="AR236" i="14"/>
  <c r="AU236" i="14"/>
  <c r="O237" i="14"/>
  <c r="Z237" i="14"/>
  <c r="AA237" i="14"/>
  <c r="AR237" i="14"/>
  <c r="AU237" i="14"/>
  <c r="O238" i="14"/>
  <c r="Z238" i="14"/>
  <c r="AA238" i="14"/>
  <c r="AR238" i="14"/>
  <c r="AU238" i="14"/>
  <c r="O239" i="14"/>
  <c r="Z239" i="14"/>
  <c r="AA239" i="14"/>
  <c r="AR239" i="14"/>
  <c r="AU239" i="14"/>
  <c r="O240" i="14"/>
  <c r="Z240" i="14"/>
  <c r="AA240" i="14"/>
  <c r="AR240" i="14"/>
  <c r="AU240" i="14"/>
  <c r="O241" i="14"/>
  <c r="Z241" i="14"/>
  <c r="AA241" i="14"/>
  <c r="AR241" i="14"/>
  <c r="AU241" i="14"/>
  <c r="O242" i="14"/>
  <c r="Z242" i="14"/>
  <c r="AA242" i="14"/>
  <c r="AR242" i="14"/>
  <c r="AU242" i="14"/>
  <c r="O243" i="14"/>
  <c r="Z243" i="14"/>
  <c r="AA243" i="14"/>
  <c r="AR243" i="14"/>
  <c r="AU243" i="14"/>
  <c r="O244" i="14"/>
  <c r="Z244" i="14"/>
  <c r="AA244" i="14"/>
  <c r="AR244" i="14"/>
  <c r="AU244" i="14"/>
  <c r="O245" i="14"/>
  <c r="Z245" i="14"/>
  <c r="AA245" i="14"/>
  <c r="AR245" i="14"/>
  <c r="AU245" i="14"/>
  <c r="O246" i="14"/>
  <c r="Z246" i="14"/>
  <c r="AA246" i="14"/>
  <c r="AR246" i="14"/>
  <c r="AU246" i="14"/>
  <c r="O247" i="14"/>
  <c r="Z247" i="14"/>
  <c r="AA247" i="14"/>
  <c r="AR247" i="14"/>
  <c r="AU247" i="14"/>
  <c r="O248" i="14"/>
  <c r="Z248" i="14"/>
  <c r="AA248" i="14"/>
  <c r="AR248" i="14"/>
  <c r="AU248" i="14"/>
  <c r="O249" i="14"/>
  <c r="Z249" i="14"/>
  <c r="AA249" i="14"/>
  <c r="AR249" i="14"/>
  <c r="AU249" i="14"/>
  <c r="O250" i="14"/>
  <c r="Z250" i="14"/>
  <c r="AA250" i="14"/>
  <c r="AR250" i="14"/>
  <c r="AU250" i="14"/>
  <c r="O251" i="14"/>
  <c r="Z251" i="14"/>
  <c r="AA251" i="14"/>
  <c r="AR251" i="14"/>
  <c r="AU251" i="14"/>
  <c r="O252" i="14"/>
  <c r="Z252" i="14"/>
  <c r="AA252" i="14"/>
  <c r="AR252" i="14"/>
  <c r="AU252" i="14"/>
  <c r="O253" i="14"/>
  <c r="Z253" i="14"/>
  <c r="AA253" i="14"/>
  <c r="AR253" i="14"/>
  <c r="AU253" i="14"/>
  <c r="O254" i="14"/>
  <c r="Z254" i="14"/>
  <c r="AA254" i="14"/>
  <c r="AR254" i="14"/>
  <c r="AU254" i="14"/>
  <c r="O255" i="14"/>
  <c r="Z255" i="14"/>
  <c r="AA255" i="14"/>
  <c r="AR255" i="14"/>
  <c r="AU255" i="14"/>
  <c r="O256" i="14"/>
  <c r="Z256" i="14"/>
  <c r="AA256" i="14"/>
  <c r="AR256" i="14"/>
  <c r="AU256" i="14"/>
  <c r="O257" i="14"/>
  <c r="Z257" i="14"/>
  <c r="AA257" i="14"/>
  <c r="AR257" i="14"/>
  <c r="AU257" i="14"/>
  <c r="O258" i="14"/>
  <c r="Z258" i="14"/>
  <c r="AA258" i="14"/>
  <c r="AR258" i="14"/>
  <c r="AU258" i="14"/>
  <c r="O259" i="14"/>
  <c r="Z259" i="14"/>
  <c r="AA259" i="14"/>
  <c r="AR259" i="14"/>
  <c r="AU259" i="14"/>
  <c r="O260" i="14"/>
  <c r="Z260" i="14"/>
  <c r="AA260" i="14"/>
  <c r="AR260" i="14"/>
  <c r="AU260" i="14"/>
  <c r="O261" i="14"/>
  <c r="Z261" i="14"/>
  <c r="AA261" i="14"/>
  <c r="AR261" i="14"/>
  <c r="AU261" i="14"/>
  <c r="O262" i="14"/>
  <c r="Z262" i="14"/>
  <c r="AA262" i="14"/>
  <c r="AR262" i="14"/>
  <c r="AU262" i="14"/>
  <c r="O263" i="14"/>
  <c r="Z263" i="14"/>
  <c r="AA263" i="14"/>
  <c r="AR263" i="14"/>
  <c r="AU263" i="14"/>
  <c r="O264" i="14"/>
  <c r="Z264" i="14"/>
  <c r="AA264" i="14"/>
  <c r="AR264" i="14"/>
  <c r="AU264" i="14"/>
  <c r="O265" i="14"/>
  <c r="Z265" i="14"/>
  <c r="AA265" i="14"/>
  <c r="AR265" i="14"/>
  <c r="AU265" i="14"/>
  <c r="O266" i="14"/>
  <c r="Z266" i="14"/>
  <c r="AA266" i="14"/>
  <c r="AR266" i="14"/>
  <c r="AU266" i="14"/>
  <c r="O267" i="14"/>
  <c r="Z267" i="14"/>
  <c r="AA267" i="14"/>
  <c r="AR267" i="14"/>
  <c r="AU267" i="14"/>
  <c r="O268" i="14"/>
  <c r="Z268" i="14"/>
  <c r="AA268" i="14"/>
  <c r="AR268" i="14"/>
  <c r="AU268" i="14"/>
  <c r="O269" i="14"/>
  <c r="Z269" i="14"/>
  <c r="AA269" i="14"/>
  <c r="AR269" i="14"/>
  <c r="AU269" i="14"/>
  <c r="O270" i="14"/>
  <c r="Z270" i="14"/>
  <c r="AA270" i="14"/>
  <c r="AR270" i="14"/>
  <c r="AU270" i="14"/>
  <c r="O271" i="14"/>
  <c r="Z271" i="14"/>
  <c r="AA271" i="14"/>
  <c r="AR271" i="14"/>
  <c r="AU271" i="14"/>
  <c r="O272" i="14"/>
  <c r="Z272" i="14"/>
  <c r="AA272" i="14"/>
  <c r="AR272" i="14"/>
  <c r="AU272" i="14"/>
  <c r="O273" i="14"/>
  <c r="Z273" i="14"/>
  <c r="AA273" i="14"/>
  <c r="AR273" i="14"/>
  <c r="AU273" i="14"/>
  <c r="O274" i="14"/>
  <c r="Z274" i="14"/>
  <c r="AA274" i="14"/>
  <c r="AR274" i="14"/>
  <c r="AU274" i="14"/>
  <c r="O275" i="14"/>
  <c r="Z275" i="14"/>
  <c r="AA275" i="14"/>
  <c r="AR275" i="14"/>
  <c r="AU275" i="14"/>
  <c r="O276" i="14"/>
  <c r="Z276" i="14"/>
  <c r="AA276" i="14"/>
  <c r="AR276" i="14"/>
  <c r="AU276" i="14"/>
  <c r="O277" i="14"/>
  <c r="Z277" i="14"/>
  <c r="AA277" i="14"/>
  <c r="AR277" i="14"/>
  <c r="AU277" i="14"/>
  <c r="O278" i="14"/>
  <c r="Z278" i="14"/>
  <c r="AA278" i="14"/>
  <c r="AR278" i="14"/>
  <c r="AU278" i="14"/>
  <c r="O279" i="14"/>
  <c r="Z279" i="14"/>
  <c r="AA279" i="14"/>
  <c r="AR279" i="14"/>
  <c r="AU279" i="14"/>
  <c r="O280" i="14"/>
  <c r="Z280" i="14"/>
  <c r="AA280" i="14"/>
  <c r="AR280" i="14"/>
  <c r="AU280" i="14"/>
  <c r="O281" i="14"/>
  <c r="Z281" i="14"/>
  <c r="AA281" i="14"/>
  <c r="AR281" i="14"/>
  <c r="AU281" i="14"/>
  <c r="O282" i="14"/>
  <c r="Z282" i="14"/>
  <c r="AA282" i="14"/>
  <c r="AR282" i="14"/>
  <c r="AU282" i="14"/>
  <c r="O283" i="14"/>
  <c r="Z283" i="14"/>
  <c r="AA283" i="14"/>
  <c r="AR283" i="14"/>
  <c r="AU283" i="14"/>
  <c r="O284" i="14"/>
  <c r="Z284" i="14"/>
  <c r="AA284" i="14"/>
  <c r="AR284" i="14"/>
  <c r="AU284" i="14"/>
  <c r="O285" i="14"/>
  <c r="Z285" i="14"/>
  <c r="AA285" i="14"/>
  <c r="AR285" i="14"/>
  <c r="AU285" i="14"/>
  <c r="O286" i="14"/>
  <c r="Z286" i="14"/>
  <c r="AA286" i="14"/>
  <c r="AR286" i="14"/>
  <c r="AU286" i="14"/>
  <c r="O287" i="14"/>
  <c r="Z287" i="14"/>
  <c r="AA287" i="14"/>
  <c r="AR287" i="14"/>
  <c r="AU287" i="14"/>
  <c r="O288" i="14"/>
  <c r="Z288" i="14"/>
  <c r="AA288" i="14"/>
  <c r="AR288" i="14"/>
  <c r="AU288" i="14"/>
  <c r="O289" i="14"/>
  <c r="Z289" i="14"/>
  <c r="AA289" i="14"/>
  <c r="AR289" i="14"/>
  <c r="AU289" i="14"/>
  <c r="O290" i="14"/>
  <c r="Z290" i="14"/>
  <c r="AA290" i="14"/>
  <c r="AR290" i="14"/>
  <c r="AU290" i="14"/>
  <c r="O291" i="14"/>
  <c r="Z291" i="14"/>
  <c r="AA291" i="14"/>
  <c r="AR291" i="14"/>
  <c r="AU291" i="14"/>
  <c r="O292" i="14"/>
  <c r="Z292" i="14"/>
  <c r="AA292" i="14"/>
  <c r="AR292" i="14"/>
  <c r="AU292" i="14"/>
  <c r="O293" i="14"/>
  <c r="Z293" i="14"/>
  <c r="AA293" i="14"/>
  <c r="AR293" i="14"/>
  <c r="AU293" i="14"/>
  <c r="O294" i="14"/>
  <c r="Z294" i="14"/>
  <c r="AA294" i="14"/>
  <c r="AR294" i="14"/>
  <c r="AU294" i="14"/>
  <c r="O295" i="14"/>
  <c r="Z295" i="14"/>
  <c r="AA295" i="14"/>
  <c r="AR295" i="14"/>
  <c r="AU295" i="14"/>
  <c r="O296" i="14"/>
  <c r="Z296" i="14"/>
  <c r="AA296" i="14"/>
  <c r="AR296" i="14"/>
  <c r="AU296" i="14"/>
  <c r="O297" i="14"/>
  <c r="Z297" i="14"/>
  <c r="AA297" i="14"/>
  <c r="AR297" i="14"/>
  <c r="AU297" i="14"/>
  <c r="O298" i="14"/>
  <c r="Z298" i="14"/>
  <c r="AA298" i="14"/>
  <c r="AR298" i="14"/>
  <c r="AU298" i="14"/>
  <c r="O299" i="14"/>
  <c r="Z299" i="14"/>
  <c r="AA299" i="14"/>
  <c r="AR299" i="14"/>
  <c r="AU299" i="14"/>
  <c r="O300" i="14"/>
  <c r="Z300" i="14"/>
  <c r="AA300" i="14"/>
  <c r="AR300" i="14"/>
  <c r="AU300" i="14"/>
  <c r="O301" i="14"/>
  <c r="Z301" i="14"/>
  <c r="AA301" i="14"/>
  <c r="AR301" i="14"/>
  <c r="AU301" i="14"/>
  <c r="O302" i="14"/>
  <c r="Z302" i="14"/>
  <c r="AA302" i="14"/>
  <c r="AR302" i="14"/>
  <c r="AU302" i="14"/>
  <c r="O303" i="14"/>
  <c r="Z303" i="14"/>
  <c r="AA303" i="14"/>
  <c r="AR303" i="14"/>
  <c r="AU303" i="14"/>
  <c r="O304" i="14"/>
  <c r="Z304" i="14"/>
  <c r="AA304" i="14"/>
  <c r="AR304" i="14"/>
  <c r="AU304" i="14"/>
  <c r="O305" i="14"/>
  <c r="Z305" i="14"/>
  <c r="AA305" i="14"/>
  <c r="AR305" i="14"/>
  <c r="AU305" i="14"/>
  <c r="O306" i="14"/>
  <c r="Z306" i="14"/>
  <c r="AA306" i="14"/>
  <c r="AR306" i="14"/>
  <c r="AU306" i="14"/>
  <c r="O307" i="14"/>
  <c r="Z307" i="14"/>
  <c r="AA307" i="14"/>
  <c r="AR307" i="14"/>
  <c r="AU307" i="14"/>
  <c r="O308" i="14"/>
  <c r="Z308" i="14"/>
  <c r="AA308" i="14"/>
  <c r="AR308" i="14"/>
  <c r="AU308" i="14"/>
  <c r="O309" i="14"/>
  <c r="Z309" i="14"/>
  <c r="AA309" i="14"/>
  <c r="AR309" i="14"/>
  <c r="AU309" i="14"/>
  <c r="O310" i="14"/>
  <c r="Z310" i="14"/>
  <c r="AA310" i="14"/>
  <c r="AR310" i="14"/>
  <c r="AU310" i="14"/>
  <c r="O311" i="14"/>
  <c r="Z311" i="14"/>
  <c r="AA311" i="14"/>
  <c r="AR311" i="14"/>
  <c r="AU311" i="14"/>
  <c r="O312" i="14"/>
  <c r="Z312" i="14"/>
  <c r="AA312" i="14"/>
  <c r="AR312" i="14"/>
  <c r="AU312" i="14"/>
  <c r="O313" i="14"/>
  <c r="Z313" i="14"/>
  <c r="AA313" i="14"/>
  <c r="AR313" i="14"/>
  <c r="AU313" i="14"/>
  <c r="O314" i="14"/>
  <c r="Z314" i="14"/>
  <c r="AA314" i="14"/>
  <c r="AR314" i="14"/>
  <c r="AU314" i="14"/>
  <c r="O315" i="14"/>
  <c r="Z315" i="14"/>
  <c r="AA315" i="14"/>
  <c r="AR315" i="14"/>
  <c r="AU315" i="14"/>
  <c r="O316" i="14"/>
  <c r="Z316" i="14"/>
  <c r="AA316" i="14"/>
  <c r="AR316" i="14"/>
  <c r="AU316" i="14"/>
  <c r="O317" i="14"/>
  <c r="Z317" i="14"/>
  <c r="AA317" i="14"/>
  <c r="AR317" i="14"/>
  <c r="AU317" i="14"/>
  <c r="O318" i="14"/>
  <c r="Z318" i="14"/>
  <c r="AA318" i="14"/>
  <c r="AR318" i="14"/>
  <c r="AU318" i="14"/>
  <c r="O319" i="14"/>
  <c r="Z319" i="14"/>
  <c r="AA319" i="14"/>
  <c r="AR319" i="14"/>
  <c r="AU319" i="14"/>
  <c r="O320" i="14"/>
  <c r="Z320" i="14"/>
  <c r="AA320" i="14"/>
  <c r="AR320" i="14"/>
  <c r="AU320" i="14"/>
  <c r="O321" i="14"/>
  <c r="Z321" i="14"/>
  <c r="AA321" i="14"/>
  <c r="AR321" i="14"/>
  <c r="AU321" i="14"/>
  <c r="O322" i="14"/>
  <c r="Z322" i="14"/>
  <c r="AA322" i="14"/>
  <c r="AR322" i="14"/>
  <c r="AU322" i="14"/>
  <c r="O323" i="14"/>
  <c r="Z323" i="14"/>
  <c r="AA323" i="14"/>
  <c r="AR323" i="14"/>
  <c r="AU323" i="14"/>
  <c r="O324" i="14"/>
  <c r="Z324" i="14"/>
  <c r="AA324" i="14"/>
  <c r="AR324" i="14"/>
  <c r="AU324" i="14"/>
  <c r="O325" i="14"/>
  <c r="Z325" i="14"/>
  <c r="AA325" i="14"/>
  <c r="AR325" i="14"/>
  <c r="AU325" i="14"/>
  <c r="O326" i="14"/>
  <c r="Z326" i="14"/>
  <c r="AA326" i="14"/>
  <c r="AR326" i="14"/>
  <c r="AU326" i="14"/>
  <c r="O327" i="14"/>
  <c r="Z327" i="14"/>
  <c r="AA327" i="14"/>
  <c r="AR327" i="14"/>
  <c r="AU327" i="14"/>
  <c r="O328" i="14"/>
  <c r="Z328" i="14"/>
  <c r="AA328" i="14"/>
  <c r="AR328" i="14"/>
  <c r="AU328" i="14"/>
  <c r="O329" i="14"/>
  <c r="Z329" i="14"/>
  <c r="AA329" i="14"/>
  <c r="AR329" i="14"/>
  <c r="AU329" i="14"/>
  <c r="O330" i="14"/>
  <c r="Z330" i="14"/>
  <c r="AA330" i="14"/>
  <c r="AR330" i="14"/>
  <c r="AU330" i="14"/>
  <c r="O331" i="14"/>
  <c r="Z331" i="14"/>
  <c r="AA331" i="14"/>
  <c r="AR331" i="14"/>
  <c r="AU331" i="14"/>
  <c r="O332" i="14"/>
  <c r="Z332" i="14"/>
  <c r="AA332" i="14"/>
  <c r="AR332" i="14"/>
  <c r="AU332" i="14"/>
  <c r="O333" i="14"/>
  <c r="Z333" i="14"/>
  <c r="AA333" i="14"/>
  <c r="AR333" i="14"/>
  <c r="AU333" i="14"/>
  <c r="O334" i="14"/>
  <c r="Z334" i="14"/>
  <c r="AA334" i="14"/>
  <c r="AR334" i="14"/>
  <c r="AU334" i="14"/>
  <c r="O335" i="14"/>
  <c r="Z335" i="14"/>
  <c r="AA335" i="14"/>
  <c r="AR335" i="14"/>
  <c r="AU335" i="14"/>
  <c r="O336" i="14"/>
  <c r="Z336" i="14"/>
  <c r="AA336" i="14"/>
  <c r="AR336" i="14"/>
  <c r="AU336" i="14"/>
  <c r="O337" i="14"/>
  <c r="Z337" i="14"/>
  <c r="AA337" i="14"/>
  <c r="AR337" i="14"/>
  <c r="AU337" i="14"/>
  <c r="O338" i="14"/>
  <c r="Z338" i="14"/>
  <c r="AA338" i="14"/>
  <c r="AR338" i="14"/>
  <c r="AU338" i="14"/>
  <c r="O339" i="14"/>
  <c r="Z339" i="14"/>
  <c r="AA339" i="14"/>
  <c r="AR339" i="14"/>
  <c r="AU339" i="14"/>
  <c r="O340" i="14"/>
  <c r="Z340" i="14"/>
  <c r="AA340" i="14"/>
  <c r="AR340" i="14"/>
  <c r="AU340" i="14"/>
  <c r="O341" i="14"/>
  <c r="Z341" i="14"/>
  <c r="AA341" i="14"/>
  <c r="AR341" i="14"/>
  <c r="AU341" i="14"/>
  <c r="O342" i="14"/>
  <c r="Z342" i="14"/>
  <c r="AA342" i="14"/>
  <c r="AR342" i="14"/>
  <c r="AU342" i="14"/>
  <c r="O343" i="14"/>
  <c r="Z343" i="14"/>
  <c r="AA343" i="14"/>
  <c r="AR343" i="14"/>
  <c r="AU343" i="14"/>
  <c r="O344" i="14"/>
  <c r="Z344" i="14"/>
  <c r="AA344" i="14"/>
  <c r="AR344" i="14"/>
  <c r="AU344" i="14"/>
  <c r="O345" i="14"/>
  <c r="Z345" i="14"/>
  <c r="AA345" i="14"/>
  <c r="AR345" i="14"/>
  <c r="AU345" i="14"/>
  <c r="O346" i="14"/>
  <c r="Z346" i="14"/>
  <c r="AA346" i="14"/>
  <c r="AR346" i="14"/>
  <c r="AU346" i="14"/>
  <c r="O347" i="14"/>
  <c r="Z347" i="14"/>
  <c r="AA347" i="14"/>
  <c r="AR347" i="14"/>
  <c r="AU347" i="14"/>
  <c r="O348" i="14"/>
  <c r="Z348" i="14"/>
  <c r="AA348" i="14"/>
  <c r="AR348" i="14"/>
  <c r="AU348" i="14"/>
  <c r="O349" i="14"/>
  <c r="Z349" i="14"/>
  <c r="AA349" i="14"/>
  <c r="AR349" i="14"/>
  <c r="AU349" i="14"/>
  <c r="O350" i="14"/>
  <c r="Z350" i="14"/>
  <c r="AA350" i="14"/>
  <c r="AR350" i="14"/>
  <c r="AU350" i="14"/>
  <c r="O351" i="14"/>
  <c r="Z351" i="14"/>
  <c r="AA351" i="14"/>
  <c r="AR351" i="14"/>
  <c r="AU351" i="14"/>
  <c r="O352" i="14"/>
  <c r="Z352" i="14"/>
  <c r="AA352" i="14"/>
  <c r="AR352" i="14"/>
  <c r="AU352" i="14"/>
  <c r="O353" i="14"/>
  <c r="Z353" i="14"/>
  <c r="AA353" i="14"/>
  <c r="AR353" i="14"/>
  <c r="AU353" i="14"/>
  <c r="O354" i="14"/>
  <c r="Z354" i="14"/>
  <c r="AA354" i="14"/>
  <c r="AR354" i="14"/>
  <c r="AU354" i="14"/>
  <c r="O355" i="14"/>
  <c r="Z355" i="14"/>
  <c r="AA355" i="14"/>
  <c r="AR355" i="14"/>
  <c r="AU355" i="14"/>
  <c r="O356" i="14"/>
  <c r="Z356" i="14"/>
  <c r="AA356" i="14"/>
  <c r="AR356" i="14"/>
  <c r="AU356" i="14"/>
  <c r="O357" i="14"/>
  <c r="Z357" i="14"/>
  <c r="AA357" i="14"/>
  <c r="AR357" i="14"/>
  <c r="AU357" i="14"/>
  <c r="O358" i="14"/>
  <c r="Z358" i="14"/>
  <c r="AA358" i="14"/>
  <c r="AR358" i="14"/>
  <c r="AU358" i="14"/>
  <c r="O359" i="14"/>
  <c r="Z359" i="14"/>
  <c r="AA359" i="14"/>
  <c r="AR359" i="14"/>
  <c r="AU359" i="14"/>
  <c r="O360" i="14"/>
  <c r="Z360" i="14"/>
  <c r="AA360" i="14"/>
  <c r="AR360" i="14"/>
  <c r="AU360" i="14"/>
  <c r="O361" i="14"/>
  <c r="Z361" i="14"/>
  <c r="AA361" i="14"/>
  <c r="AR361" i="14"/>
  <c r="AU361" i="14"/>
  <c r="O362" i="14"/>
  <c r="Z362" i="14"/>
  <c r="AA362" i="14"/>
  <c r="AR362" i="14"/>
  <c r="AU362" i="14"/>
  <c r="O363" i="14"/>
  <c r="Z363" i="14"/>
  <c r="AA363" i="14"/>
  <c r="AR363" i="14"/>
  <c r="AU363" i="14"/>
  <c r="O364" i="14"/>
  <c r="Z364" i="14"/>
  <c r="AA364" i="14"/>
  <c r="AR364" i="14"/>
  <c r="AU364" i="14"/>
  <c r="O365" i="14"/>
  <c r="Z365" i="14"/>
  <c r="AA365" i="14"/>
  <c r="AR365" i="14"/>
  <c r="AU365" i="14"/>
  <c r="O366" i="14"/>
  <c r="Z366" i="14"/>
  <c r="AA366" i="14"/>
  <c r="AR366" i="14"/>
  <c r="AU366" i="14"/>
  <c r="O367" i="14"/>
  <c r="Z367" i="14"/>
  <c r="AA367" i="14"/>
  <c r="AR367" i="14"/>
  <c r="AU367" i="14"/>
  <c r="O368" i="14"/>
  <c r="Z368" i="14"/>
  <c r="AA368" i="14"/>
  <c r="AR368" i="14"/>
  <c r="AU368" i="14"/>
  <c r="O369" i="14"/>
  <c r="Z369" i="14"/>
  <c r="AA369" i="14"/>
  <c r="AR369" i="14"/>
  <c r="AU369" i="14"/>
  <c r="O370" i="14"/>
  <c r="Z370" i="14"/>
  <c r="AA370" i="14"/>
  <c r="AR370" i="14"/>
  <c r="AU370" i="14"/>
  <c r="O371" i="14"/>
  <c r="Z371" i="14"/>
  <c r="AA371" i="14"/>
  <c r="AR371" i="14"/>
  <c r="AU371" i="14"/>
  <c r="O372" i="14"/>
  <c r="Z372" i="14"/>
  <c r="AA372" i="14"/>
  <c r="AR372" i="14"/>
  <c r="AU372" i="14"/>
  <c r="O373" i="14"/>
  <c r="Z373" i="14"/>
  <c r="AA373" i="14"/>
  <c r="AR373" i="14"/>
  <c r="AU373" i="14"/>
  <c r="O374" i="14"/>
  <c r="Z374" i="14"/>
  <c r="AA374" i="14"/>
  <c r="AR374" i="14"/>
  <c r="AU374" i="14"/>
  <c r="O375" i="14"/>
  <c r="Z375" i="14"/>
  <c r="AA375" i="14"/>
  <c r="AR375" i="14"/>
  <c r="AU375" i="14"/>
  <c r="O376" i="14"/>
  <c r="Z376" i="14"/>
  <c r="AA376" i="14"/>
  <c r="AR376" i="14"/>
  <c r="AU376" i="14"/>
  <c r="O377" i="14"/>
  <c r="Z377" i="14"/>
  <c r="AA377" i="14"/>
  <c r="AR377" i="14"/>
  <c r="AU377" i="14"/>
  <c r="O378" i="14"/>
  <c r="Z378" i="14"/>
  <c r="AA378" i="14"/>
  <c r="AR378" i="14"/>
  <c r="AU378" i="14"/>
  <c r="O379" i="14"/>
  <c r="Z379" i="14"/>
  <c r="AA379" i="14"/>
  <c r="AR379" i="14"/>
  <c r="AU379" i="14"/>
  <c r="O380" i="14"/>
  <c r="Z380" i="14"/>
  <c r="AA380" i="14"/>
  <c r="AR380" i="14"/>
  <c r="AU380" i="14"/>
  <c r="O381" i="14"/>
  <c r="Z381" i="14"/>
  <c r="AA381" i="14"/>
  <c r="AR381" i="14"/>
  <c r="AU381" i="14"/>
  <c r="O382" i="14"/>
  <c r="Z382" i="14"/>
  <c r="AA382" i="14"/>
  <c r="AR382" i="14"/>
  <c r="AU382" i="14"/>
  <c r="O383" i="14"/>
  <c r="Z383" i="14"/>
  <c r="AA383" i="14"/>
  <c r="AR383" i="14"/>
  <c r="AU383" i="14"/>
  <c r="O384" i="14"/>
  <c r="Z384" i="14"/>
  <c r="AA384" i="14"/>
  <c r="AR384" i="14"/>
  <c r="AU384" i="14"/>
  <c r="O385" i="14"/>
  <c r="Z385" i="14"/>
  <c r="AA385" i="14"/>
  <c r="AR385" i="14"/>
  <c r="AU385" i="14"/>
  <c r="O386" i="14"/>
  <c r="Z386" i="14"/>
  <c r="AA386" i="14"/>
  <c r="AR386" i="14"/>
  <c r="AU386" i="14"/>
  <c r="O387" i="14"/>
  <c r="Z387" i="14"/>
  <c r="AA387" i="14"/>
  <c r="AR387" i="14"/>
  <c r="AU387" i="14"/>
  <c r="O388" i="14"/>
  <c r="Z388" i="14"/>
  <c r="AA388" i="14"/>
  <c r="AR388" i="14"/>
  <c r="AU388" i="14"/>
  <c r="O389" i="14"/>
  <c r="Z389" i="14"/>
  <c r="AA389" i="14"/>
  <c r="AR389" i="14"/>
  <c r="AU389" i="14"/>
  <c r="O390" i="14"/>
  <c r="Z390" i="14"/>
  <c r="AA390" i="14"/>
  <c r="AR390" i="14"/>
  <c r="AU390" i="14"/>
  <c r="O391" i="14"/>
  <c r="Z391" i="14"/>
  <c r="AA391" i="14"/>
  <c r="AR391" i="14"/>
  <c r="AU391" i="14"/>
  <c r="O392" i="14"/>
  <c r="Z392" i="14"/>
  <c r="AA392" i="14"/>
  <c r="AR392" i="14"/>
  <c r="AU392" i="14"/>
  <c r="O393" i="14"/>
  <c r="Z393" i="14"/>
  <c r="AA393" i="14"/>
  <c r="AR393" i="14"/>
  <c r="AU393" i="14"/>
  <c r="O394" i="14"/>
  <c r="Z394" i="14"/>
  <c r="AA394" i="14"/>
  <c r="AR394" i="14"/>
  <c r="AU394" i="14"/>
  <c r="O395" i="14"/>
  <c r="Z395" i="14"/>
  <c r="AA395" i="14"/>
  <c r="AR395" i="14"/>
  <c r="AU395" i="14"/>
  <c r="O396" i="14"/>
  <c r="Z396" i="14"/>
  <c r="AA396" i="14"/>
  <c r="AR396" i="14"/>
  <c r="AU396" i="14"/>
  <c r="O397" i="14"/>
  <c r="Z397" i="14"/>
  <c r="AA397" i="14"/>
  <c r="AR397" i="14"/>
  <c r="AU397" i="14"/>
  <c r="O398" i="14"/>
  <c r="Z398" i="14"/>
  <c r="AA398" i="14"/>
  <c r="AR398" i="14"/>
  <c r="AU398" i="14"/>
  <c r="O399" i="14"/>
  <c r="Z399" i="14"/>
  <c r="AA399" i="14"/>
  <c r="AR399" i="14"/>
  <c r="AU399" i="14"/>
  <c r="O400" i="14"/>
  <c r="Z400" i="14"/>
  <c r="AA400" i="14"/>
  <c r="AR400" i="14"/>
  <c r="AU400" i="14"/>
  <c r="O401" i="14"/>
  <c r="Z401" i="14"/>
  <c r="AA401" i="14"/>
  <c r="AR401" i="14"/>
  <c r="AU401" i="14"/>
  <c r="O402" i="14"/>
  <c r="Z402" i="14"/>
  <c r="AA402" i="14"/>
  <c r="AR402" i="14"/>
  <c r="AU402" i="14"/>
  <c r="O403" i="14"/>
  <c r="Z403" i="14"/>
  <c r="AA403" i="14"/>
  <c r="AR403" i="14"/>
  <c r="AU403" i="14"/>
  <c r="O404" i="14"/>
  <c r="Z404" i="14"/>
  <c r="AA404" i="14"/>
  <c r="AR404" i="14"/>
  <c r="AU404" i="14"/>
  <c r="O405" i="14"/>
  <c r="Z405" i="14"/>
  <c r="AA405" i="14"/>
  <c r="AR405" i="14"/>
  <c r="AU405" i="14"/>
  <c r="O406" i="14"/>
  <c r="Z406" i="14"/>
  <c r="AA406" i="14"/>
  <c r="AR406" i="14"/>
  <c r="AU406" i="14"/>
  <c r="O407" i="14"/>
  <c r="Z407" i="14"/>
  <c r="AA407" i="14"/>
  <c r="AR407" i="14"/>
  <c r="AU407" i="14"/>
  <c r="O408" i="14"/>
  <c r="Z408" i="14"/>
  <c r="AA408" i="14"/>
  <c r="AR408" i="14"/>
  <c r="AU408" i="14"/>
  <c r="O409" i="14"/>
  <c r="Z409" i="14"/>
  <c r="AA409" i="14"/>
  <c r="AR409" i="14"/>
  <c r="AU409" i="14"/>
  <c r="O410" i="14"/>
  <c r="Z410" i="14"/>
  <c r="AA410" i="14"/>
  <c r="AR410" i="14"/>
  <c r="AU410" i="14"/>
  <c r="O411" i="14"/>
  <c r="Z411" i="14"/>
  <c r="AA411" i="14"/>
  <c r="AR411" i="14"/>
  <c r="AU411" i="14"/>
  <c r="O412" i="14"/>
  <c r="Z412" i="14"/>
  <c r="AA412" i="14"/>
  <c r="AR412" i="14"/>
  <c r="AU412" i="14"/>
  <c r="O413" i="14"/>
  <c r="Z413" i="14"/>
  <c r="AA413" i="14"/>
  <c r="AR413" i="14"/>
  <c r="AU413" i="14"/>
  <c r="O414" i="14"/>
  <c r="Z414" i="14"/>
  <c r="AA414" i="14"/>
  <c r="AR414" i="14"/>
  <c r="AU414" i="14"/>
  <c r="O415" i="14"/>
  <c r="Z415" i="14"/>
  <c r="AA415" i="14"/>
  <c r="AR415" i="14"/>
  <c r="AU415" i="14"/>
  <c r="O416" i="14"/>
  <c r="Z416" i="14"/>
  <c r="AA416" i="14"/>
  <c r="AR416" i="14"/>
  <c r="AU416" i="14"/>
  <c r="O417" i="14"/>
  <c r="Z417" i="14"/>
  <c r="AA417" i="14"/>
  <c r="AR417" i="14"/>
  <c r="AU417" i="14"/>
  <c r="O418" i="14"/>
  <c r="Z418" i="14"/>
  <c r="AA418" i="14"/>
  <c r="AR418" i="14"/>
  <c r="AU418" i="14"/>
  <c r="O419" i="14"/>
  <c r="Z419" i="14"/>
  <c r="AA419" i="14"/>
  <c r="AR419" i="14"/>
  <c r="AU419" i="14"/>
  <c r="O420" i="14"/>
  <c r="Z420" i="14"/>
  <c r="AA420" i="14"/>
  <c r="AR420" i="14"/>
  <c r="AU420" i="14"/>
  <c r="O421" i="14"/>
  <c r="Z421" i="14"/>
  <c r="AA421" i="14"/>
  <c r="AR421" i="14"/>
  <c r="AU421" i="14"/>
  <c r="O422" i="14"/>
  <c r="Z422" i="14"/>
  <c r="AA422" i="14"/>
  <c r="AR422" i="14"/>
  <c r="AU422" i="14"/>
  <c r="O423" i="14"/>
  <c r="Z423" i="14"/>
  <c r="AA423" i="14"/>
  <c r="AR423" i="14"/>
  <c r="AU423" i="14"/>
  <c r="O424" i="14"/>
  <c r="Z424" i="14"/>
  <c r="AA424" i="14"/>
  <c r="AR424" i="14"/>
  <c r="AU424" i="14"/>
  <c r="O425" i="14"/>
  <c r="Z425" i="14"/>
  <c r="AA425" i="14"/>
  <c r="AR425" i="14"/>
  <c r="AU425" i="14"/>
  <c r="O426" i="14"/>
  <c r="Z426" i="14"/>
  <c r="AA426" i="14"/>
  <c r="AR426" i="14"/>
  <c r="AU426" i="14"/>
  <c r="O427" i="14"/>
  <c r="Z427" i="14"/>
  <c r="AA427" i="14"/>
  <c r="AR427" i="14"/>
  <c r="AU427" i="14"/>
  <c r="O428" i="14"/>
  <c r="Z428" i="14"/>
  <c r="AA428" i="14"/>
  <c r="AR428" i="14"/>
  <c r="AU428" i="14"/>
  <c r="O429" i="14"/>
  <c r="Z429" i="14"/>
  <c r="AA429" i="14"/>
  <c r="AR429" i="14"/>
  <c r="AU429" i="14"/>
  <c r="O430" i="14"/>
  <c r="Z430" i="14"/>
  <c r="AA430" i="14"/>
  <c r="AR430" i="14"/>
  <c r="AU430" i="14"/>
  <c r="O431" i="14"/>
  <c r="Z431" i="14"/>
  <c r="AA431" i="14"/>
  <c r="AR431" i="14"/>
  <c r="AU431" i="14"/>
  <c r="O432" i="14"/>
  <c r="Z432" i="14"/>
  <c r="AA432" i="14"/>
  <c r="AR432" i="14"/>
  <c r="AU432" i="14"/>
  <c r="O433" i="14"/>
  <c r="Z433" i="14"/>
  <c r="AA433" i="14"/>
  <c r="AR433" i="14"/>
  <c r="AU433" i="14"/>
  <c r="O434" i="14"/>
  <c r="Z434" i="14"/>
  <c r="AA434" i="14"/>
  <c r="AR434" i="14"/>
  <c r="AU434" i="14"/>
  <c r="O435" i="14"/>
  <c r="Z435" i="14"/>
  <c r="AA435" i="14"/>
  <c r="AR435" i="14"/>
  <c r="AU435" i="14"/>
  <c r="O436" i="14"/>
  <c r="Z436" i="14"/>
  <c r="AA436" i="14"/>
  <c r="AR436" i="14"/>
  <c r="AU436" i="14"/>
  <c r="O437" i="14"/>
  <c r="Z437" i="14"/>
  <c r="AA437" i="14"/>
  <c r="AR437" i="14"/>
  <c r="AU437" i="14"/>
  <c r="O438" i="14"/>
  <c r="Z438" i="14"/>
  <c r="AA438" i="14"/>
  <c r="AR438" i="14"/>
  <c r="AU438" i="14"/>
  <c r="O439" i="14"/>
  <c r="Z439" i="14"/>
  <c r="AA439" i="14"/>
  <c r="AR439" i="14"/>
  <c r="AU439" i="14"/>
  <c r="O440" i="14"/>
  <c r="Z440" i="14"/>
  <c r="AA440" i="14"/>
  <c r="AR440" i="14"/>
  <c r="AU440" i="14"/>
  <c r="O23" i="28" l="1"/>
  <c r="AX193" i="15"/>
  <c r="BA193" i="15" s="1"/>
  <c r="I15" i="12"/>
  <c r="AS352" i="14"/>
  <c r="AT352" i="14" s="1"/>
  <c r="AV352" i="14" s="1"/>
  <c r="AW352" i="14" s="1"/>
  <c r="AZ352" i="14" s="1"/>
  <c r="AS369" i="14"/>
  <c r="AT369" i="14" s="1"/>
  <c r="AV369" i="14" s="1"/>
  <c r="AW369" i="14" s="1"/>
  <c r="AZ369" i="14" s="1"/>
  <c r="AB364" i="14"/>
  <c r="AB352" i="14"/>
  <c r="AB340" i="14"/>
  <c r="AB334" i="14"/>
  <c r="AB4" i="14"/>
  <c r="AB73" i="14"/>
  <c r="AB20" i="14"/>
  <c r="AS377" i="14"/>
  <c r="AT377" i="14" s="1"/>
  <c r="AV377" i="14" s="1"/>
  <c r="AW377" i="14" s="1"/>
  <c r="AZ377" i="14" s="1"/>
  <c r="AS354" i="14"/>
  <c r="AT354" i="14" s="1"/>
  <c r="AV354" i="14" s="1"/>
  <c r="AW354" i="14" s="1"/>
  <c r="AZ354" i="14" s="1"/>
  <c r="AS373" i="14"/>
  <c r="AT373" i="14" s="1"/>
  <c r="AV373" i="14" s="1"/>
  <c r="AW373" i="14" s="1"/>
  <c r="AZ373" i="14" s="1"/>
  <c r="AB383" i="14"/>
  <c r="AS421" i="14"/>
  <c r="AT421" i="14" s="1"/>
  <c r="AV421" i="14" s="1"/>
  <c r="AW421" i="14" s="1"/>
  <c r="AZ421" i="14" s="1"/>
  <c r="AB355" i="14"/>
  <c r="AS348" i="14"/>
  <c r="AT348" i="14" s="1"/>
  <c r="AV348" i="14" s="1"/>
  <c r="AW348" i="14" s="1"/>
  <c r="AZ348" i="14" s="1"/>
  <c r="AB331" i="14"/>
  <c r="AS330" i="14"/>
  <c r="AT330" i="14" s="1"/>
  <c r="AV330" i="14" s="1"/>
  <c r="AW330" i="14" s="1"/>
  <c r="AZ330" i="14" s="1"/>
  <c r="AS258" i="14"/>
  <c r="AT258" i="14" s="1"/>
  <c r="AV258" i="14" s="1"/>
  <c r="AW258" i="14" s="1"/>
  <c r="AZ258" i="14" s="1"/>
  <c r="AS224" i="14"/>
  <c r="AT224" i="14" s="1"/>
  <c r="AV224" i="14" s="1"/>
  <c r="AW224" i="14" s="1"/>
  <c r="AZ224" i="14" s="1"/>
  <c r="AS218" i="14"/>
  <c r="AT218" i="14" s="1"/>
  <c r="AV218" i="14" s="1"/>
  <c r="AW218" i="14" s="1"/>
  <c r="AZ218" i="14" s="1"/>
  <c r="AB211" i="14"/>
  <c r="AB139" i="14"/>
  <c r="AS243" i="14"/>
  <c r="AT243" i="14" s="1"/>
  <c r="AV243" i="14" s="1"/>
  <c r="AW243" i="14" s="1"/>
  <c r="AZ243" i="14" s="1"/>
  <c r="AS21" i="14"/>
  <c r="AT21" i="14" s="1"/>
  <c r="AV21" i="14" s="1"/>
  <c r="AW21" i="14" s="1"/>
  <c r="AB224" i="14"/>
  <c r="AB218" i="14"/>
  <c r="AB212" i="14"/>
  <c r="AB37" i="14"/>
  <c r="AB24" i="14"/>
  <c r="AB23" i="14"/>
  <c r="AS340" i="14"/>
  <c r="AT340" i="14" s="1"/>
  <c r="AV340" i="14" s="1"/>
  <c r="AW340" i="14" s="1"/>
  <c r="AZ340" i="14" s="1"/>
  <c r="AS95" i="14"/>
  <c r="AT95" i="14" s="1"/>
  <c r="AV95" i="14" s="1"/>
  <c r="AW95" i="14" s="1"/>
  <c r="AZ95" i="14" s="1"/>
  <c r="AS71" i="14"/>
  <c r="AT71" i="14" s="1"/>
  <c r="AV71" i="14" s="1"/>
  <c r="AW71" i="14" s="1"/>
  <c r="AZ71" i="14" s="1"/>
  <c r="AB436" i="14"/>
  <c r="AB435" i="14"/>
  <c r="AB424" i="14"/>
  <c r="AB406" i="14"/>
  <c r="AB400" i="14"/>
  <c r="AB394" i="14"/>
  <c r="AB369" i="14"/>
  <c r="AB243" i="14"/>
  <c r="AB2" i="14"/>
  <c r="AB25" i="14"/>
  <c r="AS105" i="14"/>
  <c r="AT105" i="14" s="1"/>
  <c r="AV105" i="14" s="1"/>
  <c r="AW105" i="14" s="1"/>
  <c r="AZ105" i="14" s="1"/>
  <c r="AS99" i="14"/>
  <c r="AT99" i="14" s="1"/>
  <c r="AV99" i="14" s="1"/>
  <c r="AW99" i="14" s="1"/>
  <c r="AZ99" i="14" s="1"/>
  <c r="AS2" i="14"/>
  <c r="AT2" i="14" s="1"/>
  <c r="AV2" i="14" s="1"/>
  <c r="AW2" i="14" s="1"/>
  <c r="AZ2" i="14" s="1"/>
  <c r="AS402" i="14"/>
  <c r="AT402" i="14" s="1"/>
  <c r="AV402" i="14" s="1"/>
  <c r="AW402" i="14" s="1"/>
  <c r="AZ402" i="14" s="1"/>
  <c r="AS139" i="14"/>
  <c r="AT139" i="14" s="1"/>
  <c r="AV139" i="14" s="1"/>
  <c r="AW139" i="14" s="1"/>
  <c r="AZ139" i="14" s="1"/>
  <c r="AS5" i="14"/>
  <c r="AT5" i="14" s="1"/>
  <c r="AV5" i="14" s="1"/>
  <c r="AW5" i="14" s="1"/>
  <c r="AZ5" i="14" s="1"/>
  <c r="AS126" i="14"/>
  <c r="AT126" i="14" s="1"/>
  <c r="AV126" i="14" s="1"/>
  <c r="AW126" i="14" s="1"/>
  <c r="AZ126" i="14" s="1"/>
  <c r="AS84" i="14"/>
  <c r="AT84" i="14" s="1"/>
  <c r="AV84" i="14" s="1"/>
  <c r="AW84" i="14" s="1"/>
  <c r="AZ84" i="14" s="1"/>
  <c r="AS66" i="14"/>
  <c r="AT66" i="14" s="1"/>
  <c r="AV66" i="14" s="1"/>
  <c r="AW66" i="14" s="1"/>
  <c r="AZ66" i="14" s="1"/>
  <c r="AS136" i="14"/>
  <c r="AT136" i="14" s="1"/>
  <c r="AV136" i="14" s="1"/>
  <c r="AW136" i="14" s="1"/>
  <c r="AZ136" i="14" s="1"/>
  <c r="AS130" i="14"/>
  <c r="AT130" i="14" s="1"/>
  <c r="AV130" i="14" s="1"/>
  <c r="AW130" i="14" s="1"/>
  <c r="AZ130" i="14" s="1"/>
  <c r="AS98" i="14"/>
  <c r="AT98" i="14" s="1"/>
  <c r="AV98" i="14" s="1"/>
  <c r="AW98" i="14" s="1"/>
  <c r="AZ98" i="14" s="1"/>
  <c r="AS92" i="14"/>
  <c r="AT92" i="14" s="1"/>
  <c r="AV92" i="14" s="1"/>
  <c r="AW92" i="14" s="1"/>
  <c r="AZ92" i="14" s="1"/>
  <c r="AB45" i="14"/>
  <c r="AB28" i="14"/>
  <c r="AB58" i="14"/>
  <c r="AS4" i="14"/>
  <c r="AT4" i="14" s="1"/>
  <c r="AV4" i="14" s="1"/>
  <c r="AW4" i="14" s="1"/>
  <c r="AZ4" i="14" s="1"/>
  <c r="AB230" i="14"/>
  <c r="AB223" i="14"/>
  <c r="AB217" i="14"/>
  <c r="AB210" i="14"/>
  <c r="AB204" i="14"/>
  <c r="AB198" i="14"/>
  <c r="AB174" i="14"/>
  <c r="AB168" i="14"/>
  <c r="AS41" i="14"/>
  <c r="AT41" i="14" s="1"/>
  <c r="AV41" i="14" s="1"/>
  <c r="AW41" i="14" s="1"/>
  <c r="AZ41" i="14" s="1"/>
  <c r="AB29" i="14"/>
  <c r="AS132" i="14"/>
  <c r="AT132" i="14" s="1"/>
  <c r="AV132" i="14" s="1"/>
  <c r="AW132" i="14" s="1"/>
  <c r="AZ132" i="14" s="1"/>
  <c r="AS114" i="14"/>
  <c r="AT114" i="14" s="1"/>
  <c r="AV114" i="14" s="1"/>
  <c r="AW114" i="14" s="1"/>
  <c r="AZ114" i="14" s="1"/>
  <c r="AS90" i="14"/>
  <c r="AT90" i="14" s="1"/>
  <c r="AV90" i="14" s="1"/>
  <c r="AW90" i="14" s="1"/>
  <c r="AZ90" i="14" s="1"/>
  <c r="AS3" i="14"/>
  <c r="AT3" i="14" s="1"/>
  <c r="AV3" i="14" s="1"/>
  <c r="AW3" i="14" s="1"/>
  <c r="AZ3" i="14" s="1"/>
  <c r="AB5" i="14"/>
  <c r="AB3" i="14"/>
  <c r="AB156" i="14"/>
  <c r="AB22" i="14"/>
  <c r="AB15" i="14"/>
  <c r="AS14" i="14"/>
  <c r="AT14" i="14" s="1"/>
  <c r="AV14" i="14" s="1"/>
  <c r="AW14" i="14" s="1"/>
  <c r="AZ14" i="14" s="1"/>
  <c r="AS8" i="14"/>
  <c r="AT8" i="14" s="1"/>
  <c r="AV8" i="14" s="1"/>
  <c r="AW8" i="14" s="1"/>
  <c r="AZ8" i="14" s="1"/>
  <c r="AS55" i="14"/>
  <c r="AT55" i="14" s="1"/>
  <c r="AV55" i="14" s="1"/>
  <c r="AW55" i="14" s="1"/>
  <c r="AZ55" i="14" s="1"/>
  <c r="AS7" i="14"/>
  <c r="AT7" i="14" s="1"/>
  <c r="AV7" i="14" s="1"/>
  <c r="AW7" i="14" s="1"/>
  <c r="AZ7" i="14" s="1"/>
  <c r="AS408" i="14"/>
  <c r="AT408" i="14" s="1"/>
  <c r="AV408" i="14" s="1"/>
  <c r="AW408" i="14" s="1"/>
  <c r="AZ408" i="14" s="1"/>
  <c r="AS390" i="14"/>
  <c r="AT390" i="14" s="1"/>
  <c r="AV390" i="14" s="1"/>
  <c r="AW390" i="14" s="1"/>
  <c r="AZ390" i="14" s="1"/>
  <c r="AS384" i="14"/>
  <c r="AT384" i="14" s="1"/>
  <c r="AV384" i="14" s="1"/>
  <c r="AW384" i="14" s="1"/>
  <c r="AZ384" i="14" s="1"/>
  <c r="AS341" i="14"/>
  <c r="AT341" i="14" s="1"/>
  <c r="AV341" i="14" s="1"/>
  <c r="AW341" i="14" s="1"/>
  <c r="AZ341" i="14" s="1"/>
  <c r="AS244" i="14"/>
  <c r="AT244" i="14" s="1"/>
  <c r="AV244" i="14" s="1"/>
  <c r="AW244" i="14" s="1"/>
  <c r="AZ244" i="14" s="1"/>
  <c r="AB414" i="14"/>
  <c r="AB408" i="14"/>
  <c r="AB390" i="14"/>
  <c r="AB372" i="14"/>
  <c r="AB274" i="14"/>
  <c r="AS97" i="14"/>
  <c r="AT97" i="14" s="1"/>
  <c r="AV97" i="14" s="1"/>
  <c r="AW97" i="14" s="1"/>
  <c r="AZ97" i="14" s="1"/>
  <c r="AS85" i="14"/>
  <c r="AT85" i="14" s="1"/>
  <c r="AV85" i="14" s="1"/>
  <c r="AW85" i="14" s="1"/>
  <c r="AZ85" i="14" s="1"/>
  <c r="AS79" i="14"/>
  <c r="AT79" i="14" s="1"/>
  <c r="AV79" i="14" s="1"/>
  <c r="AW79" i="14" s="1"/>
  <c r="AZ79" i="14" s="1"/>
  <c r="AS73" i="14"/>
  <c r="AT73" i="14" s="1"/>
  <c r="AV73" i="14" s="1"/>
  <c r="AW73" i="14" s="1"/>
  <c r="AZ73" i="14" s="1"/>
  <c r="AS67" i="14"/>
  <c r="AT67" i="14" s="1"/>
  <c r="AV67" i="14" s="1"/>
  <c r="AW67" i="14" s="1"/>
  <c r="AZ67" i="14" s="1"/>
  <c r="AS61" i="14"/>
  <c r="AT61" i="14" s="1"/>
  <c r="AV61" i="14" s="1"/>
  <c r="AW61" i="14" s="1"/>
  <c r="AZ61" i="14" s="1"/>
  <c r="AS42" i="14"/>
  <c r="AT42" i="14" s="1"/>
  <c r="AV42" i="14" s="1"/>
  <c r="AW42" i="14" s="1"/>
  <c r="AZ42" i="14" s="1"/>
  <c r="AB7" i="14"/>
  <c r="AB342" i="14"/>
  <c r="AS363" i="14"/>
  <c r="AT363" i="14" s="1"/>
  <c r="AV363" i="14" s="1"/>
  <c r="AW363" i="14" s="1"/>
  <c r="AZ363" i="14" s="1"/>
  <c r="AS357" i="14"/>
  <c r="AT357" i="14" s="1"/>
  <c r="AV357" i="14" s="1"/>
  <c r="AW357" i="14" s="1"/>
  <c r="AZ357" i="14" s="1"/>
  <c r="AS351" i="14"/>
  <c r="AT351" i="14" s="1"/>
  <c r="AV351" i="14" s="1"/>
  <c r="AW351" i="14" s="1"/>
  <c r="AZ351" i="14" s="1"/>
  <c r="AS291" i="14"/>
  <c r="AT291" i="14" s="1"/>
  <c r="AV291" i="14" s="1"/>
  <c r="AW291" i="14" s="1"/>
  <c r="AZ291" i="14" s="1"/>
  <c r="AS259" i="14"/>
  <c r="AT259" i="14" s="1"/>
  <c r="AV259" i="14" s="1"/>
  <c r="AW259" i="14" s="1"/>
  <c r="AZ259" i="14" s="1"/>
  <c r="AS223" i="14"/>
  <c r="AT223" i="14" s="1"/>
  <c r="AV223" i="14" s="1"/>
  <c r="AW223" i="14" s="1"/>
  <c r="AZ223" i="14" s="1"/>
  <c r="AS217" i="14"/>
  <c r="AT217" i="14" s="1"/>
  <c r="AV217" i="14" s="1"/>
  <c r="AW217" i="14" s="1"/>
  <c r="AZ217" i="14" s="1"/>
  <c r="AB95" i="14"/>
  <c r="AB89" i="14"/>
  <c r="AB65" i="14"/>
  <c r="AS57" i="14"/>
  <c r="AT57" i="14" s="1"/>
  <c r="AV57" i="14" s="1"/>
  <c r="AW57" i="14" s="1"/>
  <c r="AZ57" i="14" s="1"/>
  <c r="AS51" i="14"/>
  <c r="AT51" i="14" s="1"/>
  <c r="AV51" i="14" s="1"/>
  <c r="AW51" i="14" s="1"/>
  <c r="AZ51" i="14" s="1"/>
  <c r="AS45" i="14"/>
  <c r="AT45" i="14" s="1"/>
  <c r="AV45" i="14" s="1"/>
  <c r="AW45" i="14" s="1"/>
  <c r="AZ45" i="14" s="1"/>
  <c r="AB410" i="14"/>
  <c r="AB405" i="14"/>
  <c r="AB392" i="14"/>
  <c r="AS185" i="14"/>
  <c r="AT185" i="14" s="1"/>
  <c r="AV185" i="14" s="1"/>
  <c r="AW185" i="14" s="1"/>
  <c r="AZ185" i="14" s="1"/>
  <c r="AS179" i="14"/>
  <c r="AT179" i="14" s="1"/>
  <c r="AV179" i="14" s="1"/>
  <c r="AW179" i="14" s="1"/>
  <c r="AZ179" i="14" s="1"/>
  <c r="AS74" i="14"/>
  <c r="AT74" i="14" s="1"/>
  <c r="AV74" i="14" s="1"/>
  <c r="AW74" i="14" s="1"/>
  <c r="AZ74" i="14" s="1"/>
  <c r="AS32" i="14"/>
  <c r="AT32" i="14" s="1"/>
  <c r="AV32" i="14" s="1"/>
  <c r="AW32" i="14" s="1"/>
  <c r="AZ32" i="14" s="1"/>
  <c r="AS9" i="14"/>
  <c r="AT9" i="14" s="1"/>
  <c r="AV9" i="14" s="1"/>
  <c r="AW9" i="14" s="1"/>
  <c r="AZ9" i="14" s="1"/>
  <c r="AS382" i="14"/>
  <c r="AT382" i="14" s="1"/>
  <c r="AV382" i="14" s="1"/>
  <c r="AW382" i="14" s="1"/>
  <c r="AZ382" i="14" s="1"/>
  <c r="AB345" i="14"/>
  <c r="AS333" i="14"/>
  <c r="AT333" i="14" s="1"/>
  <c r="AV333" i="14" s="1"/>
  <c r="AW333" i="14" s="1"/>
  <c r="AZ333" i="14" s="1"/>
  <c r="AS321" i="14"/>
  <c r="AT321" i="14" s="1"/>
  <c r="AV321" i="14" s="1"/>
  <c r="AW321" i="14" s="1"/>
  <c r="AZ321" i="14" s="1"/>
  <c r="AB57" i="14"/>
  <c r="AS429" i="14"/>
  <c r="AT429" i="14" s="1"/>
  <c r="AV429" i="14" s="1"/>
  <c r="AW429" i="14" s="1"/>
  <c r="AZ429" i="14" s="1"/>
  <c r="AS413" i="14"/>
  <c r="AT413" i="14" s="1"/>
  <c r="AV413" i="14" s="1"/>
  <c r="AW413" i="14" s="1"/>
  <c r="AZ413" i="14" s="1"/>
  <c r="AS407" i="14"/>
  <c r="AT407" i="14" s="1"/>
  <c r="AV407" i="14" s="1"/>
  <c r="AW407" i="14" s="1"/>
  <c r="AZ407" i="14" s="1"/>
  <c r="AS268" i="14"/>
  <c r="AT268" i="14" s="1"/>
  <c r="AV268" i="14" s="1"/>
  <c r="AW268" i="14" s="1"/>
  <c r="AZ268" i="14" s="1"/>
  <c r="AS177" i="14"/>
  <c r="AT177" i="14" s="1"/>
  <c r="AV177" i="14" s="1"/>
  <c r="AW177" i="14" s="1"/>
  <c r="AZ177" i="14" s="1"/>
  <c r="AS31" i="14"/>
  <c r="AT31" i="14" s="1"/>
  <c r="AV31" i="14" s="1"/>
  <c r="AW31" i="14" s="1"/>
  <c r="AZ31" i="14" s="1"/>
  <c r="AB432" i="14"/>
  <c r="AB426" i="14"/>
  <c r="AS396" i="14"/>
  <c r="AT396" i="14" s="1"/>
  <c r="AV396" i="14" s="1"/>
  <c r="AW396" i="14" s="1"/>
  <c r="AZ396" i="14" s="1"/>
  <c r="AB391" i="14"/>
  <c r="AS365" i="14"/>
  <c r="AT365" i="14" s="1"/>
  <c r="AV365" i="14" s="1"/>
  <c r="AW365" i="14" s="1"/>
  <c r="AZ365" i="14" s="1"/>
  <c r="AB360" i="14"/>
  <c r="AS319" i="14"/>
  <c r="AT319" i="14" s="1"/>
  <c r="AV319" i="14" s="1"/>
  <c r="AW319" i="14" s="1"/>
  <c r="AZ319" i="14" s="1"/>
  <c r="AB318" i="14"/>
  <c r="AS226" i="14"/>
  <c r="AT226" i="14" s="1"/>
  <c r="AV226" i="14" s="1"/>
  <c r="AW226" i="14" s="1"/>
  <c r="AZ226" i="14" s="1"/>
  <c r="AB213" i="14"/>
  <c r="AB189" i="14"/>
  <c r="AB177" i="14"/>
  <c r="AB170" i="14"/>
  <c r="AB141" i="14"/>
  <c r="AB135" i="14"/>
  <c r="AS128" i="14"/>
  <c r="AT128" i="14" s="1"/>
  <c r="AV128" i="14" s="1"/>
  <c r="AW128" i="14" s="1"/>
  <c r="AZ128" i="14" s="1"/>
  <c r="AS433" i="14"/>
  <c r="AT433" i="14" s="1"/>
  <c r="AV433" i="14" s="1"/>
  <c r="AW433" i="14" s="1"/>
  <c r="AZ433" i="14" s="1"/>
  <c r="AS427" i="14"/>
  <c r="AT427" i="14" s="1"/>
  <c r="AV427" i="14" s="1"/>
  <c r="AW427" i="14" s="1"/>
  <c r="AZ427" i="14" s="1"/>
  <c r="AB421" i="14"/>
  <c r="AS420" i="14"/>
  <c r="AT420" i="14" s="1"/>
  <c r="AV420" i="14" s="1"/>
  <c r="AW420" i="14" s="1"/>
  <c r="AZ420" i="14" s="1"/>
  <c r="AB386" i="14"/>
  <c r="AS380" i="14"/>
  <c r="AT380" i="14" s="1"/>
  <c r="AV380" i="14" s="1"/>
  <c r="AW380" i="14" s="1"/>
  <c r="AZ380" i="14" s="1"/>
  <c r="AS376" i="14"/>
  <c r="AT376" i="14" s="1"/>
  <c r="AV376" i="14" s="1"/>
  <c r="AW376" i="14" s="1"/>
  <c r="AZ376" i="14" s="1"/>
  <c r="AS374" i="14"/>
  <c r="AT374" i="14" s="1"/>
  <c r="AV374" i="14" s="1"/>
  <c r="AW374" i="14" s="1"/>
  <c r="AZ374" i="14" s="1"/>
  <c r="AS366" i="14"/>
  <c r="AT366" i="14" s="1"/>
  <c r="AV366" i="14" s="1"/>
  <c r="AW366" i="14" s="1"/>
  <c r="AZ366" i="14" s="1"/>
  <c r="AB325" i="14"/>
  <c r="AB307" i="14"/>
  <c r="AS300" i="14"/>
  <c r="AT300" i="14" s="1"/>
  <c r="AV300" i="14" s="1"/>
  <c r="AW300" i="14" s="1"/>
  <c r="AZ300" i="14" s="1"/>
  <c r="AS296" i="14"/>
  <c r="AT296" i="14" s="1"/>
  <c r="AV296" i="14" s="1"/>
  <c r="AW296" i="14" s="1"/>
  <c r="AZ296" i="14" s="1"/>
  <c r="AB295" i="14"/>
  <c r="AS288" i="14"/>
  <c r="AT288" i="14" s="1"/>
  <c r="AV288" i="14" s="1"/>
  <c r="AW288" i="14" s="1"/>
  <c r="AZ288" i="14" s="1"/>
  <c r="AS194" i="14"/>
  <c r="AT194" i="14" s="1"/>
  <c r="AV194" i="14" s="1"/>
  <c r="AW194" i="14" s="1"/>
  <c r="AZ194" i="14" s="1"/>
  <c r="AS186" i="14"/>
  <c r="AT186" i="14" s="1"/>
  <c r="AV186" i="14" s="1"/>
  <c r="AW186" i="14" s="1"/>
  <c r="AZ186" i="14" s="1"/>
  <c r="AS180" i="14"/>
  <c r="AT180" i="14" s="1"/>
  <c r="AV180" i="14" s="1"/>
  <c r="AW180" i="14" s="1"/>
  <c r="AZ180" i="14" s="1"/>
  <c r="AS108" i="14"/>
  <c r="AT108" i="14" s="1"/>
  <c r="AV108" i="14" s="1"/>
  <c r="AW108" i="14" s="1"/>
  <c r="AZ108" i="14" s="1"/>
  <c r="AB48" i="14"/>
  <c r="AS36" i="14"/>
  <c r="AT36" i="14" s="1"/>
  <c r="AV36" i="14" s="1"/>
  <c r="AW36" i="14" s="1"/>
  <c r="AZ36" i="14" s="1"/>
  <c r="AB423" i="14"/>
  <c r="AB416" i="14"/>
  <c r="AB404" i="14"/>
  <c r="AS403" i="14"/>
  <c r="AT403" i="14" s="1"/>
  <c r="AV403" i="14" s="1"/>
  <c r="AW403" i="14" s="1"/>
  <c r="AZ403" i="14" s="1"/>
  <c r="AS387" i="14"/>
  <c r="AT387" i="14" s="1"/>
  <c r="AV387" i="14" s="1"/>
  <c r="AW387" i="14" s="1"/>
  <c r="AZ387" i="14" s="1"/>
  <c r="AB376" i="14"/>
  <c r="AS367" i="14"/>
  <c r="AT367" i="14" s="1"/>
  <c r="AV367" i="14" s="1"/>
  <c r="AW367" i="14" s="1"/>
  <c r="AZ367" i="14" s="1"/>
  <c r="AS361" i="14"/>
  <c r="AT361" i="14" s="1"/>
  <c r="AV361" i="14" s="1"/>
  <c r="AW361" i="14" s="1"/>
  <c r="AZ361" i="14" s="1"/>
  <c r="AB314" i="14"/>
  <c r="AS313" i="14"/>
  <c r="AT313" i="14" s="1"/>
  <c r="AV313" i="14" s="1"/>
  <c r="AW313" i="14" s="1"/>
  <c r="AZ313" i="14" s="1"/>
  <c r="AS301" i="14"/>
  <c r="AT301" i="14" s="1"/>
  <c r="AV301" i="14" s="1"/>
  <c r="AW301" i="14" s="1"/>
  <c r="AZ301" i="14" s="1"/>
  <c r="AS295" i="14"/>
  <c r="AT295" i="14" s="1"/>
  <c r="AV295" i="14" s="1"/>
  <c r="AW295" i="14" s="1"/>
  <c r="AZ295" i="14" s="1"/>
  <c r="AB290" i="14"/>
  <c r="AS289" i="14"/>
  <c r="AT289" i="14" s="1"/>
  <c r="AV289" i="14" s="1"/>
  <c r="AW289" i="14" s="1"/>
  <c r="AZ289" i="14" s="1"/>
  <c r="AS277" i="14"/>
  <c r="AT277" i="14" s="1"/>
  <c r="AV277" i="14" s="1"/>
  <c r="AW277" i="14" s="1"/>
  <c r="AZ277" i="14" s="1"/>
  <c r="AB271" i="14"/>
  <c r="AB259" i="14"/>
  <c r="AB199" i="14"/>
  <c r="AB96" i="14"/>
  <c r="AB90" i="14"/>
  <c r="AS75" i="14"/>
  <c r="AT75" i="14" s="1"/>
  <c r="AV75" i="14" s="1"/>
  <c r="AW75" i="14" s="1"/>
  <c r="AZ75" i="14" s="1"/>
  <c r="AB34" i="14"/>
  <c r="AS26" i="14"/>
  <c r="AT26" i="14" s="1"/>
  <c r="AV26" i="14" s="1"/>
  <c r="AW26" i="14" s="1"/>
  <c r="AZ26" i="14" s="1"/>
  <c r="AS18" i="14"/>
  <c r="AT18" i="14" s="1"/>
  <c r="AV18" i="14" s="1"/>
  <c r="AW18" i="14" s="1"/>
  <c r="AZ18" i="14" s="1"/>
  <c r="AB16" i="14"/>
  <c r="AB10" i="14"/>
  <c r="AB6" i="14"/>
  <c r="AS411" i="14"/>
  <c r="AT411" i="14" s="1"/>
  <c r="AV411" i="14" s="1"/>
  <c r="AW411" i="14" s="1"/>
  <c r="AZ411" i="14" s="1"/>
  <c r="AS405" i="14"/>
  <c r="AT405" i="14" s="1"/>
  <c r="AV405" i="14" s="1"/>
  <c r="AW405" i="14" s="1"/>
  <c r="AZ405" i="14" s="1"/>
  <c r="AS397" i="14"/>
  <c r="AT397" i="14" s="1"/>
  <c r="AV397" i="14" s="1"/>
  <c r="AW397" i="14" s="1"/>
  <c r="AZ397" i="14" s="1"/>
  <c r="AS389" i="14"/>
  <c r="AT389" i="14" s="1"/>
  <c r="AV389" i="14" s="1"/>
  <c r="AW389" i="14" s="1"/>
  <c r="AZ389" i="14" s="1"/>
  <c r="AB346" i="14"/>
  <c r="AS315" i="14"/>
  <c r="AT315" i="14" s="1"/>
  <c r="AV315" i="14" s="1"/>
  <c r="AW315" i="14" s="1"/>
  <c r="AZ315" i="14" s="1"/>
  <c r="AB303" i="14"/>
  <c r="AS275" i="14"/>
  <c r="AT275" i="14" s="1"/>
  <c r="AV275" i="14" s="1"/>
  <c r="AW275" i="14" s="1"/>
  <c r="AZ275" i="14" s="1"/>
  <c r="AS241" i="14"/>
  <c r="AT241" i="14" s="1"/>
  <c r="AV241" i="14" s="1"/>
  <c r="AW241" i="14" s="1"/>
  <c r="AZ241" i="14" s="1"/>
  <c r="AB234" i="14"/>
  <c r="AS220" i="14"/>
  <c r="AT220" i="14" s="1"/>
  <c r="AV220" i="14" s="1"/>
  <c r="AW220" i="14" s="1"/>
  <c r="AZ220" i="14" s="1"/>
  <c r="AB201" i="14"/>
  <c r="AS173" i="14"/>
  <c r="AT173" i="14" s="1"/>
  <c r="AV173" i="14" s="1"/>
  <c r="AW173" i="14" s="1"/>
  <c r="AZ173" i="14" s="1"/>
  <c r="AS167" i="14"/>
  <c r="AT167" i="14" s="1"/>
  <c r="AV167" i="14" s="1"/>
  <c r="AW167" i="14" s="1"/>
  <c r="AZ167" i="14" s="1"/>
  <c r="AS161" i="14"/>
  <c r="AT161" i="14" s="1"/>
  <c r="AV161" i="14" s="1"/>
  <c r="AW161" i="14" s="1"/>
  <c r="AZ161" i="14" s="1"/>
  <c r="AB84" i="14"/>
  <c r="AS47" i="14"/>
  <c r="AT47" i="14" s="1"/>
  <c r="AV47" i="14" s="1"/>
  <c r="AW47" i="14" s="1"/>
  <c r="AZ47" i="14" s="1"/>
  <c r="AS418" i="14"/>
  <c r="AT418" i="14" s="1"/>
  <c r="AV418" i="14" s="1"/>
  <c r="AW418" i="14" s="1"/>
  <c r="AZ418" i="14" s="1"/>
  <c r="AB399" i="14"/>
  <c r="AB385" i="14"/>
  <c r="AB357" i="14"/>
  <c r="AB349" i="14"/>
  <c r="AB348" i="14"/>
  <c r="AB324" i="14"/>
  <c r="AB287" i="14"/>
  <c r="AS286" i="14"/>
  <c r="AT286" i="14" s="1"/>
  <c r="AV286" i="14" s="1"/>
  <c r="AW286" i="14" s="1"/>
  <c r="AZ286" i="14" s="1"/>
  <c r="AS280" i="14"/>
  <c r="AT280" i="14" s="1"/>
  <c r="AV280" i="14" s="1"/>
  <c r="AW280" i="14" s="1"/>
  <c r="AZ280" i="14" s="1"/>
  <c r="AB275" i="14"/>
  <c r="AB255" i="14"/>
  <c r="AB249" i="14"/>
  <c r="AB241" i="14"/>
  <c r="AS208" i="14"/>
  <c r="AT208" i="14" s="1"/>
  <c r="AV208" i="14" s="1"/>
  <c r="AW208" i="14" s="1"/>
  <c r="AZ208" i="14" s="1"/>
  <c r="AB184" i="14"/>
  <c r="AS178" i="14"/>
  <c r="AT178" i="14" s="1"/>
  <c r="AV178" i="14" s="1"/>
  <c r="AW178" i="14" s="1"/>
  <c r="AZ178" i="14" s="1"/>
  <c r="AB173" i="14"/>
  <c r="AB167" i="14"/>
  <c r="AB161" i="14"/>
  <c r="AB79" i="14"/>
  <c r="AS52" i="14"/>
  <c r="AT52" i="14" s="1"/>
  <c r="AV52" i="14" s="1"/>
  <c r="AW52" i="14" s="1"/>
  <c r="AZ52" i="14" s="1"/>
  <c r="AB47" i="14"/>
  <c r="AS46" i="14"/>
  <c r="AT46" i="14" s="1"/>
  <c r="AV46" i="14" s="1"/>
  <c r="AW46" i="14" s="1"/>
  <c r="AZ46" i="14" s="1"/>
  <c r="AB33" i="14"/>
  <c r="AS29" i="14"/>
  <c r="AT29" i="14" s="1"/>
  <c r="AV29" i="14" s="1"/>
  <c r="AW29" i="14" s="1"/>
  <c r="AZ29" i="14" s="1"/>
  <c r="AB438" i="14"/>
  <c r="AB431" i="14"/>
  <c r="AB425" i="14"/>
  <c r="AS423" i="14"/>
  <c r="AT423" i="14" s="1"/>
  <c r="AV423" i="14" s="1"/>
  <c r="AW423" i="14" s="1"/>
  <c r="AZ423" i="14" s="1"/>
  <c r="AB415" i="14"/>
  <c r="AS414" i="14"/>
  <c r="AT414" i="14" s="1"/>
  <c r="AV414" i="14" s="1"/>
  <c r="AW414" i="14" s="1"/>
  <c r="AZ414" i="14" s="1"/>
  <c r="AB409" i="14"/>
  <c r="AB401" i="14"/>
  <c r="AS399" i="14"/>
  <c r="AT399" i="14" s="1"/>
  <c r="AV399" i="14" s="1"/>
  <c r="AW399" i="14" s="1"/>
  <c r="AZ399" i="14" s="1"/>
  <c r="AB384" i="14"/>
  <c r="AS383" i="14"/>
  <c r="AT383" i="14" s="1"/>
  <c r="AV383" i="14" s="1"/>
  <c r="AW383" i="14" s="1"/>
  <c r="AZ383" i="14" s="1"/>
  <c r="AB377" i="14"/>
  <c r="AB370" i="14"/>
  <c r="AS368" i="14"/>
  <c r="AT368" i="14" s="1"/>
  <c r="AV368" i="14" s="1"/>
  <c r="AW368" i="14" s="1"/>
  <c r="AZ368" i="14" s="1"/>
  <c r="AB363" i="14"/>
  <c r="AS362" i="14"/>
  <c r="AT362" i="14" s="1"/>
  <c r="AV362" i="14" s="1"/>
  <c r="AW362" i="14" s="1"/>
  <c r="AZ362" i="14" s="1"/>
  <c r="AS102" i="14"/>
  <c r="AT102" i="14" s="1"/>
  <c r="AV102" i="14" s="1"/>
  <c r="AW102" i="14" s="1"/>
  <c r="AZ102" i="14" s="1"/>
  <c r="AB102" i="14"/>
  <c r="AB235" i="14"/>
  <c r="AS235" i="14"/>
  <c r="AT235" i="14" s="1"/>
  <c r="AV235" i="14" s="1"/>
  <c r="AW235" i="14" s="1"/>
  <c r="AZ235" i="14" s="1"/>
  <c r="AS439" i="14"/>
  <c r="AT439" i="14" s="1"/>
  <c r="AV439" i="14" s="1"/>
  <c r="AW439" i="14" s="1"/>
  <c r="AZ439" i="14" s="1"/>
  <c r="AS435" i="14"/>
  <c r="AT435" i="14" s="1"/>
  <c r="AV435" i="14" s="1"/>
  <c r="AW435" i="14" s="1"/>
  <c r="AZ435" i="14" s="1"/>
  <c r="AS431" i="14"/>
  <c r="AT431" i="14" s="1"/>
  <c r="AV431" i="14" s="1"/>
  <c r="AW431" i="14" s="1"/>
  <c r="AZ431" i="14" s="1"/>
  <c r="AB417" i="14"/>
  <c r="AS415" i="14"/>
  <c r="AT415" i="14" s="1"/>
  <c r="AV415" i="14" s="1"/>
  <c r="AW415" i="14" s="1"/>
  <c r="AZ415" i="14" s="1"/>
  <c r="AS404" i="14"/>
  <c r="AT404" i="14" s="1"/>
  <c r="AV404" i="14" s="1"/>
  <c r="AW404" i="14" s="1"/>
  <c r="AZ404" i="14" s="1"/>
  <c r="AS400" i="14"/>
  <c r="AT400" i="14" s="1"/>
  <c r="AV400" i="14" s="1"/>
  <c r="AW400" i="14" s="1"/>
  <c r="AZ400" i="14" s="1"/>
  <c r="AS393" i="14"/>
  <c r="AT393" i="14" s="1"/>
  <c r="AV393" i="14" s="1"/>
  <c r="AW393" i="14" s="1"/>
  <c r="AZ393" i="14" s="1"/>
  <c r="AS386" i="14"/>
  <c r="AT386" i="14" s="1"/>
  <c r="AV386" i="14" s="1"/>
  <c r="AW386" i="14" s="1"/>
  <c r="AZ386" i="14" s="1"/>
  <c r="AS371" i="14"/>
  <c r="AT371" i="14" s="1"/>
  <c r="AV371" i="14" s="1"/>
  <c r="AW371" i="14" s="1"/>
  <c r="AZ371" i="14" s="1"/>
  <c r="AB358" i="14"/>
  <c r="AS331" i="14"/>
  <c r="AT331" i="14" s="1"/>
  <c r="AV331" i="14" s="1"/>
  <c r="AW331" i="14" s="1"/>
  <c r="AZ331" i="14" s="1"/>
  <c r="AS325" i="14"/>
  <c r="AT325" i="14" s="1"/>
  <c r="AV325" i="14" s="1"/>
  <c r="AW325" i="14" s="1"/>
  <c r="AZ325" i="14" s="1"/>
  <c r="AB322" i="14"/>
  <c r="AS314" i="14"/>
  <c r="AT314" i="14" s="1"/>
  <c r="AV314" i="14" s="1"/>
  <c r="AW314" i="14" s="1"/>
  <c r="AZ314" i="14" s="1"/>
  <c r="AS312" i="14"/>
  <c r="AT312" i="14" s="1"/>
  <c r="AV312" i="14" s="1"/>
  <c r="AW312" i="14" s="1"/>
  <c r="AZ312" i="14" s="1"/>
  <c r="AB306" i="14"/>
  <c r="AB300" i="14"/>
  <c r="AS265" i="14"/>
  <c r="AT265" i="14" s="1"/>
  <c r="AV265" i="14" s="1"/>
  <c r="AW265" i="14" s="1"/>
  <c r="AZ265" i="14" s="1"/>
  <c r="AS30" i="14"/>
  <c r="AT30" i="14" s="1"/>
  <c r="AV30" i="14" s="1"/>
  <c r="AW30" i="14" s="1"/>
  <c r="AZ30" i="14" s="1"/>
  <c r="AB30" i="14"/>
  <c r="AS346" i="14"/>
  <c r="AT346" i="14" s="1"/>
  <c r="AV346" i="14" s="1"/>
  <c r="AW346" i="14" s="1"/>
  <c r="AZ346" i="14" s="1"/>
  <c r="AS347" i="14"/>
  <c r="AT347" i="14" s="1"/>
  <c r="AV347" i="14" s="1"/>
  <c r="AW347" i="14" s="1"/>
  <c r="AZ347" i="14" s="1"/>
  <c r="AB437" i="14"/>
  <c r="AS434" i="14"/>
  <c r="AT434" i="14" s="1"/>
  <c r="AV434" i="14" s="1"/>
  <c r="AW434" i="14" s="1"/>
  <c r="AZ434" i="14" s="1"/>
  <c r="AS428" i="14"/>
  <c r="AT428" i="14" s="1"/>
  <c r="AV428" i="14" s="1"/>
  <c r="AW428" i="14" s="1"/>
  <c r="AZ428" i="14" s="1"/>
  <c r="AB422" i="14"/>
  <c r="AS412" i="14"/>
  <c r="AT412" i="14" s="1"/>
  <c r="AV412" i="14" s="1"/>
  <c r="AW412" i="14" s="1"/>
  <c r="AZ412" i="14" s="1"/>
  <c r="AB407" i="14"/>
  <c r="AB398" i="14"/>
  <c r="AB388" i="14"/>
  <c r="AB375" i="14"/>
  <c r="AS360" i="14"/>
  <c r="AT360" i="14" s="1"/>
  <c r="AV360" i="14" s="1"/>
  <c r="AW360" i="14" s="1"/>
  <c r="AZ360" i="14" s="1"/>
  <c r="AB339" i="14"/>
  <c r="AS338" i="14"/>
  <c r="AT338" i="14" s="1"/>
  <c r="AV338" i="14" s="1"/>
  <c r="AW338" i="14" s="1"/>
  <c r="AZ338" i="14" s="1"/>
  <c r="AB333" i="14"/>
  <c r="AS332" i="14"/>
  <c r="AT332" i="14" s="1"/>
  <c r="AV332" i="14" s="1"/>
  <c r="AW332" i="14" s="1"/>
  <c r="AZ332" i="14" s="1"/>
  <c r="AS324" i="14"/>
  <c r="AT324" i="14" s="1"/>
  <c r="AV324" i="14" s="1"/>
  <c r="AW324" i="14" s="1"/>
  <c r="AZ324" i="14" s="1"/>
  <c r="AB315" i="14"/>
  <c r="AB310" i="14"/>
  <c r="AB289" i="14"/>
  <c r="AB262" i="14"/>
  <c r="AS262" i="14"/>
  <c r="AT262" i="14" s="1"/>
  <c r="AV262" i="14" s="1"/>
  <c r="AW262" i="14" s="1"/>
  <c r="AZ262" i="14" s="1"/>
  <c r="AS202" i="14"/>
  <c r="AT202" i="14" s="1"/>
  <c r="AV202" i="14" s="1"/>
  <c r="AW202" i="14" s="1"/>
  <c r="AZ202" i="14" s="1"/>
  <c r="AS196" i="14"/>
  <c r="AT196" i="14" s="1"/>
  <c r="AV196" i="14" s="1"/>
  <c r="AW196" i="14" s="1"/>
  <c r="AZ196" i="14" s="1"/>
  <c r="AB190" i="14"/>
  <c r="AS184" i="14"/>
  <c r="AT184" i="14" s="1"/>
  <c r="AV184" i="14" s="1"/>
  <c r="AW184" i="14" s="1"/>
  <c r="AZ184" i="14" s="1"/>
  <c r="AS155" i="14"/>
  <c r="AT155" i="14" s="1"/>
  <c r="AV155" i="14" s="1"/>
  <c r="AW155" i="14" s="1"/>
  <c r="AZ155" i="14" s="1"/>
  <c r="AS147" i="14"/>
  <c r="AT147" i="14" s="1"/>
  <c r="AV147" i="14" s="1"/>
  <c r="AW147" i="14" s="1"/>
  <c r="AZ147" i="14" s="1"/>
  <c r="AS143" i="14"/>
  <c r="AT143" i="14" s="1"/>
  <c r="AV143" i="14" s="1"/>
  <c r="AW143" i="14" s="1"/>
  <c r="AZ143" i="14" s="1"/>
  <c r="AB142" i="14"/>
  <c r="AS131" i="14"/>
  <c r="AT131" i="14" s="1"/>
  <c r="AV131" i="14" s="1"/>
  <c r="AW131" i="14" s="1"/>
  <c r="AZ131" i="14" s="1"/>
  <c r="AS123" i="14"/>
  <c r="AT123" i="14" s="1"/>
  <c r="AV123" i="14" s="1"/>
  <c r="AW123" i="14" s="1"/>
  <c r="AZ123" i="14" s="1"/>
  <c r="AS117" i="14"/>
  <c r="AT117" i="14" s="1"/>
  <c r="AV117" i="14" s="1"/>
  <c r="AW117" i="14" s="1"/>
  <c r="AZ117" i="14" s="1"/>
  <c r="AS111" i="14"/>
  <c r="AT111" i="14" s="1"/>
  <c r="AV111" i="14" s="1"/>
  <c r="AW111" i="14" s="1"/>
  <c r="AZ111" i="14" s="1"/>
  <c r="AB105" i="14"/>
  <c r="AS104" i="14"/>
  <c r="AT104" i="14" s="1"/>
  <c r="AV104" i="14" s="1"/>
  <c r="AW104" i="14" s="1"/>
  <c r="AZ104" i="14" s="1"/>
  <c r="AS91" i="14"/>
  <c r="AT91" i="14" s="1"/>
  <c r="AV91" i="14" s="1"/>
  <c r="AW91" i="14" s="1"/>
  <c r="AZ91" i="14" s="1"/>
  <c r="AB86" i="14"/>
  <c r="AS78" i="14"/>
  <c r="AT78" i="14" s="1"/>
  <c r="AV78" i="14" s="1"/>
  <c r="AW78" i="14" s="1"/>
  <c r="AZ78" i="14" s="1"/>
  <c r="AS65" i="14"/>
  <c r="AT65" i="14" s="1"/>
  <c r="AV65" i="14" s="1"/>
  <c r="AW65" i="14" s="1"/>
  <c r="AZ65" i="14" s="1"/>
  <c r="AS63" i="14"/>
  <c r="AT63" i="14" s="1"/>
  <c r="AV63" i="14" s="1"/>
  <c r="AW63" i="14" s="1"/>
  <c r="AZ63" i="14" s="1"/>
  <c r="AB44" i="14"/>
  <c r="AB32" i="14"/>
  <c r="AS23" i="14"/>
  <c r="AT23" i="14" s="1"/>
  <c r="AV23" i="14" s="1"/>
  <c r="AW23" i="14" s="1"/>
  <c r="AZ23" i="14" s="1"/>
  <c r="AB21" i="14"/>
  <c r="AS394" i="14"/>
  <c r="AT394" i="14" s="1"/>
  <c r="AV394" i="14" s="1"/>
  <c r="AW394" i="14" s="1"/>
  <c r="AZ394" i="14" s="1"/>
  <c r="AS381" i="14"/>
  <c r="AT381" i="14" s="1"/>
  <c r="AV381" i="14" s="1"/>
  <c r="AW381" i="14" s="1"/>
  <c r="AZ381" i="14" s="1"/>
  <c r="AS379" i="14"/>
  <c r="AT379" i="14" s="1"/>
  <c r="AV379" i="14" s="1"/>
  <c r="AW379" i="14" s="1"/>
  <c r="AZ379" i="14" s="1"/>
  <c r="AS372" i="14"/>
  <c r="AT372" i="14" s="1"/>
  <c r="AV372" i="14" s="1"/>
  <c r="AW372" i="14" s="1"/>
  <c r="AZ372" i="14" s="1"/>
  <c r="AB351" i="14"/>
  <c r="AS342" i="14"/>
  <c r="AT342" i="14" s="1"/>
  <c r="AV342" i="14" s="1"/>
  <c r="AW342" i="14" s="1"/>
  <c r="AZ342" i="14" s="1"/>
  <c r="AB341" i="14"/>
  <c r="AS336" i="14"/>
  <c r="AT336" i="14" s="1"/>
  <c r="AV336" i="14" s="1"/>
  <c r="AW336" i="14" s="1"/>
  <c r="AZ336" i="14" s="1"/>
  <c r="AB335" i="14"/>
  <c r="AB319" i="14"/>
  <c r="AS318" i="14"/>
  <c r="AT318" i="14" s="1"/>
  <c r="AV318" i="14" s="1"/>
  <c r="AW318" i="14" s="1"/>
  <c r="AZ318" i="14" s="1"/>
  <c r="AS307" i="14"/>
  <c r="AT307" i="14" s="1"/>
  <c r="AV307" i="14" s="1"/>
  <c r="AW307" i="14" s="1"/>
  <c r="AZ307" i="14" s="1"/>
  <c r="AB292" i="14"/>
  <c r="AS274" i="14"/>
  <c r="AT274" i="14" s="1"/>
  <c r="AV274" i="14" s="1"/>
  <c r="AW274" i="14" s="1"/>
  <c r="AZ274" i="14" s="1"/>
  <c r="AS256" i="14"/>
  <c r="AT256" i="14" s="1"/>
  <c r="AV256" i="14" s="1"/>
  <c r="AW256" i="14" s="1"/>
  <c r="AZ256" i="14" s="1"/>
  <c r="AB244" i="14"/>
  <c r="AB242" i="14"/>
  <c r="AB240" i="14"/>
  <c r="AB225" i="14"/>
  <c r="AS191" i="14"/>
  <c r="AT191" i="14" s="1"/>
  <c r="AV191" i="14" s="1"/>
  <c r="AW191" i="14" s="1"/>
  <c r="AZ191" i="14" s="1"/>
  <c r="AB183" i="14"/>
  <c r="AB169" i="14"/>
  <c r="AB162" i="14"/>
  <c r="AB155" i="14"/>
  <c r="AS142" i="14"/>
  <c r="AT142" i="14" s="1"/>
  <c r="AV142" i="14" s="1"/>
  <c r="AW142" i="14" s="1"/>
  <c r="AZ142" i="14" s="1"/>
  <c r="AS124" i="14"/>
  <c r="AT124" i="14" s="1"/>
  <c r="AV124" i="14" s="1"/>
  <c r="AW124" i="14" s="1"/>
  <c r="AZ124" i="14" s="1"/>
  <c r="AS106" i="14"/>
  <c r="AT106" i="14" s="1"/>
  <c r="AV106" i="14" s="1"/>
  <c r="AW106" i="14" s="1"/>
  <c r="AZ106" i="14" s="1"/>
  <c r="AS72" i="14"/>
  <c r="AT72" i="14" s="1"/>
  <c r="AV72" i="14" s="1"/>
  <c r="AW72" i="14" s="1"/>
  <c r="AZ72" i="14" s="1"/>
  <c r="AS50" i="14"/>
  <c r="AT50" i="14" s="1"/>
  <c r="AV50" i="14" s="1"/>
  <c r="AW50" i="14" s="1"/>
  <c r="AZ50" i="14" s="1"/>
  <c r="AS44" i="14"/>
  <c r="AT44" i="14" s="1"/>
  <c r="AV44" i="14" s="1"/>
  <c r="AW44" i="14" s="1"/>
  <c r="AZ44" i="14" s="1"/>
  <c r="AB219" i="14"/>
  <c r="AS212" i="14"/>
  <c r="AT212" i="14" s="1"/>
  <c r="AV212" i="14" s="1"/>
  <c r="AW212" i="14" s="1"/>
  <c r="AZ212" i="14" s="1"/>
  <c r="AB163" i="14"/>
  <c r="AB157" i="14"/>
  <c r="AB126" i="14"/>
  <c r="AB114" i="14"/>
  <c r="AB99" i="14"/>
  <c r="AB27" i="14"/>
  <c r="AS269" i="14"/>
  <c r="AT269" i="14" s="1"/>
  <c r="AV269" i="14" s="1"/>
  <c r="AW269" i="14" s="1"/>
  <c r="AZ269" i="14" s="1"/>
  <c r="AS229" i="14"/>
  <c r="AT229" i="14" s="1"/>
  <c r="AV229" i="14" s="1"/>
  <c r="AW229" i="14" s="1"/>
  <c r="AZ229" i="14" s="1"/>
  <c r="AS188" i="14"/>
  <c r="AT188" i="14" s="1"/>
  <c r="AV188" i="14" s="1"/>
  <c r="AW188" i="14" s="1"/>
  <c r="AZ188" i="14" s="1"/>
  <c r="AS152" i="14"/>
  <c r="AT152" i="14" s="1"/>
  <c r="AV152" i="14" s="1"/>
  <c r="AW152" i="14" s="1"/>
  <c r="AZ152" i="14" s="1"/>
  <c r="AS146" i="14"/>
  <c r="AT146" i="14" s="1"/>
  <c r="AV146" i="14" s="1"/>
  <c r="AW146" i="14" s="1"/>
  <c r="AZ146" i="14" s="1"/>
  <c r="AS122" i="14"/>
  <c r="AT122" i="14" s="1"/>
  <c r="AV122" i="14" s="1"/>
  <c r="AW122" i="14" s="1"/>
  <c r="AZ122" i="14" s="1"/>
  <c r="AS77" i="14"/>
  <c r="AT77" i="14" s="1"/>
  <c r="AV77" i="14" s="1"/>
  <c r="AW77" i="14" s="1"/>
  <c r="AZ77" i="14" s="1"/>
  <c r="AS54" i="14"/>
  <c r="AT54" i="14" s="1"/>
  <c r="AV54" i="14" s="1"/>
  <c r="AW54" i="14" s="1"/>
  <c r="AZ54" i="14" s="1"/>
  <c r="AS39" i="14"/>
  <c r="AT39" i="14" s="1"/>
  <c r="AV39" i="14" s="1"/>
  <c r="AW39" i="14" s="1"/>
  <c r="AZ39" i="14" s="1"/>
  <c r="AS294" i="14"/>
  <c r="AT294" i="14" s="1"/>
  <c r="AV294" i="14" s="1"/>
  <c r="AW294" i="14" s="1"/>
  <c r="AZ294" i="14" s="1"/>
  <c r="AS270" i="14"/>
  <c r="AT270" i="14" s="1"/>
  <c r="AV270" i="14" s="1"/>
  <c r="AW270" i="14" s="1"/>
  <c r="AZ270" i="14" s="1"/>
  <c r="AB269" i="14"/>
  <c r="AB268" i="14"/>
  <c r="AS263" i="14"/>
  <c r="AT263" i="14" s="1"/>
  <c r="AV263" i="14" s="1"/>
  <c r="AW263" i="14" s="1"/>
  <c r="AZ263" i="14" s="1"/>
  <c r="AB261" i="14"/>
  <c r="AS253" i="14"/>
  <c r="AT253" i="14" s="1"/>
  <c r="AV253" i="14" s="1"/>
  <c r="AW253" i="14" s="1"/>
  <c r="AZ253" i="14" s="1"/>
  <c r="AS249" i="14"/>
  <c r="AT249" i="14" s="1"/>
  <c r="AV249" i="14" s="1"/>
  <c r="AW249" i="14" s="1"/>
  <c r="AZ249" i="14" s="1"/>
  <c r="AB248" i="14"/>
  <c r="AS247" i="14"/>
  <c r="AT247" i="14" s="1"/>
  <c r="AV247" i="14" s="1"/>
  <c r="AW247" i="14" s="1"/>
  <c r="AZ247" i="14" s="1"/>
  <c r="AB236" i="14"/>
  <c r="AS230" i="14"/>
  <c r="AT230" i="14" s="1"/>
  <c r="AV230" i="14" s="1"/>
  <c r="AW230" i="14" s="1"/>
  <c r="AZ230" i="14" s="1"/>
  <c r="AB229" i="14"/>
  <c r="AS214" i="14"/>
  <c r="AT214" i="14" s="1"/>
  <c r="AV214" i="14" s="1"/>
  <c r="AW214" i="14" s="1"/>
  <c r="AZ214" i="14" s="1"/>
  <c r="AB207" i="14"/>
  <c r="AS206" i="14"/>
  <c r="AT206" i="14" s="1"/>
  <c r="AV206" i="14" s="1"/>
  <c r="AW206" i="14" s="1"/>
  <c r="AZ206" i="14" s="1"/>
  <c r="AS200" i="14"/>
  <c r="AT200" i="14" s="1"/>
  <c r="AV200" i="14" s="1"/>
  <c r="AW200" i="14" s="1"/>
  <c r="AZ200" i="14" s="1"/>
  <c r="AB195" i="14"/>
  <c r="AB188" i="14"/>
  <c r="AB180" i="14"/>
  <c r="AB179" i="14"/>
  <c r="AS164" i="14"/>
  <c r="AT164" i="14" s="1"/>
  <c r="AV164" i="14" s="1"/>
  <c r="AW164" i="14" s="1"/>
  <c r="AZ164" i="14" s="1"/>
  <c r="AB158" i="14"/>
  <c r="AB152" i="14"/>
  <c r="AB146" i="14"/>
  <c r="AS133" i="14"/>
  <c r="AT133" i="14" s="1"/>
  <c r="AV133" i="14" s="1"/>
  <c r="AW133" i="14" s="1"/>
  <c r="AZ133" i="14" s="1"/>
  <c r="AB122" i="14"/>
  <c r="AB116" i="14"/>
  <c r="AS115" i="14"/>
  <c r="AT115" i="14" s="1"/>
  <c r="AV115" i="14" s="1"/>
  <c r="AW115" i="14" s="1"/>
  <c r="AZ115" i="14" s="1"/>
  <c r="AS101" i="14"/>
  <c r="AT101" i="14" s="1"/>
  <c r="AV101" i="14" s="1"/>
  <c r="AW101" i="14" s="1"/>
  <c r="AZ101" i="14" s="1"/>
  <c r="AB77" i="14"/>
  <c r="AS69" i="14"/>
  <c r="AT69" i="14" s="1"/>
  <c r="AV69" i="14" s="1"/>
  <c r="AW69" i="14" s="1"/>
  <c r="AZ69" i="14" s="1"/>
  <c r="AS60" i="14"/>
  <c r="AT60" i="14" s="1"/>
  <c r="AV60" i="14" s="1"/>
  <c r="AW60" i="14" s="1"/>
  <c r="AZ60" i="14" s="1"/>
  <c r="AB54" i="14"/>
  <c r="AB41" i="14"/>
  <c r="AB39" i="14"/>
  <c r="AB429" i="14"/>
  <c r="AB418" i="14"/>
  <c r="AB361" i="14"/>
  <c r="AB313" i="14"/>
  <c r="AS176" i="14"/>
  <c r="AT176" i="14" s="1"/>
  <c r="AV176" i="14" s="1"/>
  <c r="AW176" i="14" s="1"/>
  <c r="AZ176" i="14" s="1"/>
  <c r="AS109" i="14"/>
  <c r="AT109" i="14" s="1"/>
  <c r="AV109" i="14" s="1"/>
  <c r="AW109" i="14" s="1"/>
  <c r="AZ109" i="14" s="1"/>
  <c r="AB109" i="14"/>
  <c r="AB42" i="14"/>
  <c r="AS316" i="14"/>
  <c r="AT316" i="14" s="1"/>
  <c r="AV316" i="14" s="1"/>
  <c r="AW316" i="14" s="1"/>
  <c r="AZ316" i="14" s="1"/>
  <c r="AS422" i="14"/>
  <c r="AT422" i="14" s="1"/>
  <c r="AV422" i="14" s="1"/>
  <c r="AW422" i="14" s="1"/>
  <c r="AZ422" i="14" s="1"/>
  <c r="AB419" i="14"/>
  <c r="AS417" i="14"/>
  <c r="AT417" i="14" s="1"/>
  <c r="AV417" i="14" s="1"/>
  <c r="AW417" i="14" s="1"/>
  <c r="AZ417" i="14" s="1"/>
  <c r="AB403" i="14"/>
  <c r="AB402" i="14"/>
  <c r="AS401" i="14"/>
  <c r="AT401" i="14" s="1"/>
  <c r="AV401" i="14" s="1"/>
  <c r="AW401" i="14" s="1"/>
  <c r="AZ401" i="14" s="1"/>
  <c r="AS392" i="14"/>
  <c r="AT392" i="14" s="1"/>
  <c r="AV392" i="14" s="1"/>
  <c r="AW392" i="14" s="1"/>
  <c r="AZ392" i="14" s="1"/>
  <c r="AB389" i="14"/>
  <c r="AB387" i="14"/>
  <c r="AS385" i="14"/>
  <c r="AT385" i="14" s="1"/>
  <c r="AV385" i="14" s="1"/>
  <c r="AW385" i="14" s="1"/>
  <c r="AZ385" i="14" s="1"/>
  <c r="AS378" i="14"/>
  <c r="AT378" i="14" s="1"/>
  <c r="AV378" i="14" s="1"/>
  <c r="AW378" i="14" s="1"/>
  <c r="AZ378" i="14" s="1"/>
  <c r="AS375" i="14"/>
  <c r="AT375" i="14" s="1"/>
  <c r="AV375" i="14" s="1"/>
  <c r="AW375" i="14" s="1"/>
  <c r="AZ375" i="14" s="1"/>
  <c r="AS364" i="14"/>
  <c r="AT364" i="14" s="1"/>
  <c r="AV364" i="14" s="1"/>
  <c r="AW364" i="14" s="1"/>
  <c r="AZ364" i="14" s="1"/>
  <c r="AS359" i="14"/>
  <c r="AT359" i="14" s="1"/>
  <c r="AV359" i="14" s="1"/>
  <c r="AW359" i="14" s="1"/>
  <c r="AZ359" i="14" s="1"/>
  <c r="AS350" i="14"/>
  <c r="AT350" i="14" s="1"/>
  <c r="AV350" i="14" s="1"/>
  <c r="AW350" i="14" s="1"/>
  <c r="AZ350" i="14" s="1"/>
  <c r="AS349" i="14"/>
  <c r="AT349" i="14" s="1"/>
  <c r="AV349" i="14" s="1"/>
  <c r="AW349" i="14" s="1"/>
  <c r="AZ349" i="14" s="1"/>
  <c r="AS345" i="14"/>
  <c r="AT345" i="14" s="1"/>
  <c r="AV345" i="14" s="1"/>
  <c r="AW345" i="14" s="1"/>
  <c r="AZ345" i="14" s="1"/>
  <c r="AS335" i="14"/>
  <c r="AT335" i="14" s="1"/>
  <c r="AV335" i="14" s="1"/>
  <c r="AW335" i="14" s="1"/>
  <c r="AZ335" i="14" s="1"/>
  <c r="AB332" i="14"/>
  <c r="AB330" i="14"/>
  <c r="AS320" i="14"/>
  <c r="AT320" i="14" s="1"/>
  <c r="AV320" i="14" s="1"/>
  <c r="AW320" i="14" s="1"/>
  <c r="AZ320" i="14" s="1"/>
  <c r="AS303" i="14"/>
  <c r="AT303" i="14" s="1"/>
  <c r="AV303" i="14" s="1"/>
  <c r="AW303" i="14" s="1"/>
  <c r="AZ303" i="14" s="1"/>
  <c r="AS302" i="14"/>
  <c r="AT302" i="14" s="1"/>
  <c r="AV302" i="14" s="1"/>
  <c r="AW302" i="14" s="1"/>
  <c r="AZ302" i="14" s="1"/>
  <c r="AB301" i="14"/>
  <c r="AS287" i="14"/>
  <c r="AT287" i="14" s="1"/>
  <c r="AV287" i="14" s="1"/>
  <c r="AW287" i="14" s="1"/>
  <c r="AZ287" i="14" s="1"/>
  <c r="AB264" i="14"/>
  <c r="AS264" i="14"/>
  <c r="AT264" i="14" s="1"/>
  <c r="AV264" i="14" s="1"/>
  <c r="AW264" i="14" s="1"/>
  <c r="AZ264" i="14" s="1"/>
  <c r="AB253" i="14"/>
  <c r="AB247" i="14"/>
  <c r="AS236" i="14"/>
  <c r="AT236" i="14" s="1"/>
  <c r="AV236" i="14" s="1"/>
  <c r="AW236" i="14" s="1"/>
  <c r="AZ236" i="14" s="1"/>
  <c r="AS190" i="14"/>
  <c r="AT190" i="14" s="1"/>
  <c r="AV190" i="14" s="1"/>
  <c r="AW190" i="14" s="1"/>
  <c r="AZ190" i="14" s="1"/>
  <c r="AS189" i="14"/>
  <c r="AT189" i="14" s="1"/>
  <c r="AV189" i="14" s="1"/>
  <c r="AW189" i="14" s="1"/>
  <c r="AZ189" i="14" s="1"/>
  <c r="AB153" i="14"/>
  <c r="AB111" i="14"/>
  <c r="AS56" i="14"/>
  <c r="AT56" i="14" s="1"/>
  <c r="AV56" i="14" s="1"/>
  <c r="AW56" i="14" s="1"/>
  <c r="AZ56" i="14" s="1"/>
  <c r="AB327" i="14"/>
  <c r="AS327" i="14"/>
  <c r="AT327" i="14" s="1"/>
  <c r="AV327" i="14" s="1"/>
  <c r="AW327" i="14" s="1"/>
  <c r="AZ327" i="14" s="1"/>
  <c r="AB309" i="14"/>
  <c r="AS309" i="14"/>
  <c r="AT309" i="14" s="1"/>
  <c r="AV309" i="14" s="1"/>
  <c r="AW309" i="14" s="1"/>
  <c r="AZ309" i="14" s="1"/>
  <c r="AS388" i="14"/>
  <c r="AT388" i="14" s="1"/>
  <c r="AV388" i="14" s="1"/>
  <c r="AW388" i="14" s="1"/>
  <c r="AZ388" i="14" s="1"/>
  <c r="AS426" i="14"/>
  <c r="AT426" i="14" s="1"/>
  <c r="AV426" i="14" s="1"/>
  <c r="AW426" i="14" s="1"/>
  <c r="AZ426" i="14" s="1"/>
  <c r="AB412" i="14"/>
  <c r="AS406" i="14"/>
  <c r="AT406" i="14" s="1"/>
  <c r="AV406" i="14" s="1"/>
  <c r="AW406" i="14" s="1"/>
  <c r="AZ406" i="14" s="1"/>
  <c r="AB381" i="14"/>
  <c r="AS326" i="14"/>
  <c r="AT326" i="14" s="1"/>
  <c r="AV326" i="14" s="1"/>
  <c r="AW326" i="14" s="1"/>
  <c r="AZ326" i="14" s="1"/>
  <c r="AS308" i="14"/>
  <c r="AT308" i="14" s="1"/>
  <c r="AV308" i="14" s="1"/>
  <c r="AW308" i="14" s="1"/>
  <c r="AZ308" i="14" s="1"/>
  <c r="AB304" i="14"/>
  <c r="AS298" i="14"/>
  <c r="AT298" i="14" s="1"/>
  <c r="AV298" i="14" s="1"/>
  <c r="AW298" i="14" s="1"/>
  <c r="AZ298" i="14" s="1"/>
  <c r="AS257" i="14"/>
  <c r="AT257" i="14" s="1"/>
  <c r="AV257" i="14" s="1"/>
  <c r="AW257" i="14" s="1"/>
  <c r="AZ257" i="14" s="1"/>
  <c r="AB256" i="14"/>
  <c r="AS250" i="14"/>
  <c r="AT250" i="14" s="1"/>
  <c r="AV250" i="14" s="1"/>
  <c r="AW250" i="14" s="1"/>
  <c r="AZ250" i="14" s="1"/>
  <c r="AB237" i="14"/>
  <c r="AB231" i="14"/>
  <c r="AS205" i="14"/>
  <c r="AT205" i="14" s="1"/>
  <c r="AV205" i="14" s="1"/>
  <c r="AW205" i="14" s="1"/>
  <c r="AZ205" i="14" s="1"/>
  <c r="AB205" i="14"/>
  <c r="AB164" i="14"/>
  <c r="AB106" i="14"/>
  <c r="AS96" i="14"/>
  <c r="AT96" i="14" s="1"/>
  <c r="AV96" i="14" s="1"/>
  <c r="AW96" i="14" s="1"/>
  <c r="AZ96" i="14" s="1"/>
  <c r="AS83" i="14"/>
  <c r="AT83" i="14" s="1"/>
  <c r="AV83" i="14" s="1"/>
  <c r="AW83" i="14" s="1"/>
  <c r="AZ83" i="14" s="1"/>
  <c r="AB60" i="14"/>
  <c r="AS11" i="14"/>
  <c r="AT11" i="14" s="1"/>
  <c r="AV11" i="14" s="1"/>
  <c r="AW11" i="14" s="1"/>
  <c r="AZ11" i="14" s="1"/>
  <c r="AB11" i="14"/>
  <c r="AS438" i="14"/>
  <c r="AT438" i="14" s="1"/>
  <c r="AV438" i="14" s="1"/>
  <c r="AW438" i="14" s="1"/>
  <c r="AZ438" i="14" s="1"/>
  <c r="AS410" i="14"/>
  <c r="AT410" i="14" s="1"/>
  <c r="AV410" i="14" s="1"/>
  <c r="AW410" i="14" s="1"/>
  <c r="AZ410" i="14" s="1"/>
  <c r="AS437" i="14"/>
  <c r="AT437" i="14" s="1"/>
  <c r="AV437" i="14" s="1"/>
  <c r="AW437" i="14" s="1"/>
  <c r="AZ437" i="14" s="1"/>
  <c r="AB397" i="14"/>
  <c r="AB396" i="14"/>
  <c r="AS395" i="14"/>
  <c r="AT395" i="14" s="1"/>
  <c r="AV395" i="14" s="1"/>
  <c r="AW395" i="14" s="1"/>
  <c r="AZ395" i="14" s="1"/>
  <c r="AB382" i="14"/>
  <c r="AB373" i="14"/>
  <c r="AB367" i="14"/>
  <c r="AB366" i="14"/>
  <c r="AS337" i="14"/>
  <c r="AT337" i="14" s="1"/>
  <c r="AV337" i="14" s="1"/>
  <c r="AW337" i="14" s="1"/>
  <c r="AZ337" i="14" s="1"/>
  <c r="AS328" i="14"/>
  <c r="AT328" i="14" s="1"/>
  <c r="AV328" i="14" s="1"/>
  <c r="AW328" i="14" s="1"/>
  <c r="AZ328" i="14" s="1"/>
  <c r="AS310" i="14"/>
  <c r="AT310" i="14" s="1"/>
  <c r="AV310" i="14" s="1"/>
  <c r="AW310" i="14" s="1"/>
  <c r="AZ310" i="14" s="1"/>
  <c r="AB308" i="14"/>
  <c r="AB297" i="14"/>
  <c r="AS297" i="14"/>
  <c r="AT297" i="14" s="1"/>
  <c r="AV297" i="14" s="1"/>
  <c r="AW297" i="14" s="1"/>
  <c r="AZ297" i="14" s="1"/>
  <c r="AB294" i="14"/>
  <c r="AS284" i="14"/>
  <c r="AT284" i="14" s="1"/>
  <c r="AV284" i="14" s="1"/>
  <c r="AW284" i="14" s="1"/>
  <c r="AZ284" i="14" s="1"/>
  <c r="AS267" i="14"/>
  <c r="AT267" i="14" s="1"/>
  <c r="AV267" i="14" s="1"/>
  <c r="AW267" i="14" s="1"/>
  <c r="AZ267" i="14" s="1"/>
  <c r="AS192" i="14"/>
  <c r="AT192" i="14" s="1"/>
  <c r="AV192" i="14" s="1"/>
  <c r="AW192" i="14" s="1"/>
  <c r="AZ192" i="14" s="1"/>
  <c r="AB165" i="14"/>
  <c r="AS125" i="14"/>
  <c r="AT125" i="14" s="1"/>
  <c r="AV125" i="14" s="1"/>
  <c r="AW125" i="14" s="1"/>
  <c r="AZ125" i="14" s="1"/>
  <c r="AB72" i="14"/>
  <c r="AS62" i="14"/>
  <c r="AT62" i="14" s="1"/>
  <c r="AV62" i="14" s="1"/>
  <c r="AW62" i="14" s="1"/>
  <c r="AZ62" i="14" s="1"/>
  <c r="AB53" i="14"/>
  <c r="AS440" i="14"/>
  <c r="AT440" i="14" s="1"/>
  <c r="AV440" i="14" s="1"/>
  <c r="AW440" i="14" s="1"/>
  <c r="AZ440" i="14" s="1"/>
  <c r="AS432" i="14"/>
  <c r="AT432" i="14" s="1"/>
  <c r="AV432" i="14" s="1"/>
  <c r="AW432" i="14" s="1"/>
  <c r="AZ432" i="14" s="1"/>
  <c r="AB430" i="14"/>
  <c r="AS425" i="14"/>
  <c r="AT425" i="14" s="1"/>
  <c r="AV425" i="14" s="1"/>
  <c r="AW425" i="14" s="1"/>
  <c r="AZ425" i="14" s="1"/>
  <c r="AS416" i="14"/>
  <c r="AT416" i="14" s="1"/>
  <c r="AV416" i="14" s="1"/>
  <c r="AW416" i="14" s="1"/>
  <c r="AZ416" i="14" s="1"/>
  <c r="AB413" i="14"/>
  <c r="AB411" i="14"/>
  <c r="AS409" i="14"/>
  <c r="AT409" i="14" s="1"/>
  <c r="AV409" i="14" s="1"/>
  <c r="AW409" i="14" s="1"/>
  <c r="AZ409" i="14" s="1"/>
  <c r="AS398" i="14"/>
  <c r="AT398" i="14" s="1"/>
  <c r="AV398" i="14" s="1"/>
  <c r="AW398" i="14" s="1"/>
  <c r="AZ398" i="14" s="1"/>
  <c r="AB395" i="14"/>
  <c r="AB393" i="14"/>
  <c r="AS391" i="14"/>
  <c r="AT391" i="14" s="1"/>
  <c r="AV391" i="14" s="1"/>
  <c r="AW391" i="14" s="1"/>
  <c r="AZ391" i="14" s="1"/>
  <c r="AB378" i="14"/>
  <c r="AS370" i="14"/>
  <c r="AT370" i="14" s="1"/>
  <c r="AV370" i="14" s="1"/>
  <c r="AW370" i="14" s="1"/>
  <c r="AZ370" i="14" s="1"/>
  <c r="AS356" i="14"/>
  <c r="AT356" i="14" s="1"/>
  <c r="AV356" i="14" s="1"/>
  <c r="AW356" i="14" s="1"/>
  <c r="AZ356" i="14" s="1"/>
  <c r="AS355" i="14"/>
  <c r="AT355" i="14" s="1"/>
  <c r="AV355" i="14" s="1"/>
  <c r="AW355" i="14" s="1"/>
  <c r="AZ355" i="14" s="1"/>
  <c r="AB354" i="14"/>
  <c r="AS353" i="14"/>
  <c r="AT353" i="14" s="1"/>
  <c r="AV353" i="14" s="1"/>
  <c r="AW353" i="14" s="1"/>
  <c r="AZ353" i="14" s="1"/>
  <c r="AB347" i="14"/>
  <c r="AS344" i="14"/>
  <c r="AT344" i="14" s="1"/>
  <c r="AV344" i="14" s="1"/>
  <c r="AW344" i="14" s="1"/>
  <c r="AZ344" i="14" s="1"/>
  <c r="AS343" i="14"/>
  <c r="AT343" i="14" s="1"/>
  <c r="AV343" i="14" s="1"/>
  <c r="AW343" i="14" s="1"/>
  <c r="AZ343" i="14" s="1"/>
  <c r="AS339" i="14"/>
  <c r="AT339" i="14" s="1"/>
  <c r="AV339" i="14" s="1"/>
  <c r="AW339" i="14" s="1"/>
  <c r="AZ339" i="14" s="1"/>
  <c r="AB336" i="14"/>
  <c r="AS322" i="14"/>
  <c r="AT322" i="14" s="1"/>
  <c r="AV322" i="14" s="1"/>
  <c r="AW322" i="14" s="1"/>
  <c r="AZ322" i="14" s="1"/>
  <c r="AB320" i="14"/>
  <c r="AB316" i="14"/>
  <c r="AB312" i="14"/>
  <c r="AS306" i="14"/>
  <c r="AT306" i="14" s="1"/>
  <c r="AV306" i="14" s="1"/>
  <c r="AW306" i="14" s="1"/>
  <c r="AZ306" i="14" s="1"/>
  <c r="AS292" i="14"/>
  <c r="AT292" i="14" s="1"/>
  <c r="AV292" i="14" s="1"/>
  <c r="AW292" i="14" s="1"/>
  <c r="AZ292" i="14" s="1"/>
  <c r="AS290" i="14"/>
  <c r="AT290" i="14" s="1"/>
  <c r="AV290" i="14" s="1"/>
  <c r="AW290" i="14" s="1"/>
  <c r="AZ290" i="14" s="1"/>
  <c r="AS283" i="14"/>
  <c r="AT283" i="14" s="1"/>
  <c r="AV283" i="14" s="1"/>
  <c r="AW283" i="14" s="1"/>
  <c r="AZ283" i="14" s="1"/>
  <c r="AB278" i="14"/>
  <c r="AB277" i="14"/>
  <c r="AS273" i="14"/>
  <c r="AT273" i="14" s="1"/>
  <c r="AV273" i="14" s="1"/>
  <c r="AW273" i="14" s="1"/>
  <c r="AZ273" i="14" s="1"/>
  <c r="AB257" i="14"/>
  <c r="AS255" i="14"/>
  <c r="AT255" i="14" s="1"/>
  <c r="AV255" i="14" s="1"/>
  <c r="AW255" i="14" s="1"/>
  <c r="AZ255" i="14" s="1"/>
  <c r="AB250" i="14"/>
  <c r="AS211" i="14"/>
  <c r="AT211" i="14" s="1"/>
  <c r="AV211" i="14" s="1"/>
  <c r="AW211" i="14" s="1"/>
  <c r="AZ211" i="14" s="1"/>
  <c r="AB200" i="14"/>
  <c r="AB171" i="14"/>
  <c r="AB159" i="14"/>
  <c r="AB113" i="14"/>
  <c r="AB97" i="14"/>
  <c r="AS80" i="14"/>
  <c r="AT80" i="14" s="1"/>
  <c r="AV80" i="14" s="1"/>
  <c r="AW80" i="14" s="1"/>
  <c r="AZ80" i="14" s="1"/>
  <c r="AB78" i="14"/>
  <c r="AS68" i="14"/>
  <c r="AT68" i="14" s="1"/>
  <c r="AV68" i="14" s="1"/>
  <c r="AW68" i="14" s="1"/>
  <c r="AZ68" i="14" s="1"/>
  <c r="AB66" i="14"/>
  <c r="AB380" i="14"/>
  <c r="AS358" i="14"/>
  <c r="AT358" i="14" s="1"/>
  <c r="AV358" i="14" s="1"/>
  <c r="AW358" i="14" s="1"/>
  <c r="AZ358" i="14" s="1"/>
  <c r="AS334" i="14"/>
  <c r="AT334" i="14" s="1"/>
  <c r="AV334" i="14" s="1"/>
  <c r="AW334" i="14" s="1"/>
  <c r="AZ334" i="14" s="1"/>
  <c r="AB328" i="14"/>
  <c r="AB326" i="14"/>
  <c r="AB321" i="14"/>
  <c r="AS304" i="14"/>
  <c r="AT304" i="14" s="1"/>
  <c r="AV304" i="14" s="1"/>
  <c r="AW304" i="14" s="1"/>
  <c r="AZ304" i="14" s="1"/>
  <c r="AB302" i="14"/>
  <c r="AB298" i="14"/>
  <c r="AB296" i="14"/>
  <c r="AB291" i="14"/>
  <c r="AB288" i="14"/>
  <c r="AB265" i="14"/>
  <c r="AB263" i="14"/>
  <c r="AB258" i="14"/>
  <c r="AB206" i="14"/>
  <c r="AS199" i="14"/>
  <c r="AT199" i="14" s="1"/>
  <c r="AV199" i="14" s="1"/>
  <c r="AW199" i="14" s="1"/>
  <c r="AZ199" i="14" s="1"/>
  <c r="AS195" i="14"/>
  <c r="AT195" i="14" s="1"/>
  <c r="AV195" i="14" s="1"/>
  <c r="AW195" i="14" s="1"/>
  <c r="AZ195" i="14" s="1"/>
  <c r="AS170" i="14"/>
  <c r="AT170" i="14" s="1"/>
  <c r="AV170" i="14" s="1"/>
  <c r="AW170" i="14" s="1"/>
  <c r="AZ170" i="14" s="1"/>
  <c r="AS158" i="14"/>
  <c r="AT158" i="14" s="1"/>
  <c r="AV158" i="14" s="1"/>
  <c r="AW158" i="14" s="1"/>
  <c r="AZ158" i="14" s="1"/>
  <c r="AB138" i="14"/>
  <c r="AB129" i="14"/>
  <c r="AB121" i="14"/>
  <c r="AB115" i="14"/>
  <c r="AB92" i="14"/>
  <c r="AB83" i="14"/>
  <c r="AB71" i="14"/>
  <c r="AB50" i="14"/>
  <c r="AS48" i="14"/>
  <c r="AT48" i="14" s="1"/>
  <c r="AV48" i="14" s="1"/>
  <c r="AW48" i="14" s="1"/>
  <c r="AZ48" i="14" s="1"/>
  <c r="AS278" i="14"/>
  <c r="AT278" i="14" s="1"/>
  <c r="AV278" i="14" s="1"/>
  <c r="AW278" i="14" s="1"/>
  <c r="AZ278" i="14" s="1"/>
  <c r="AB273" i="14"/>
  <c r="AS271" i="14"/>
  <c r="AT271" i="14" s="1"/>
  <c r="AV271" i="14" s="1"/>
  <c r="AW271" i="14" s="1"/>
  <c r="AZ271" i="14" s="1"/>
  <c r="AB270" i="14"/>
  <c r="AB267" i="14"/>
  <c r="AS261" i="14"/>
  <c r="AT261" i="14" s="1"/>
  <c r="AV261" i="14" s="1"/>
  <c r="AW261" i="14" s="1"/>
  <c r="AZ261" i="14" s="1"/>
  <c r="AS238" i="14"/>
  <c r="AT238" i="14" s="1"/>
  <c r="AV238" i="14" s="1"/>
  <c r="AW238" i="14" s="1"/>
  <c r="AZ238" i="14" s="1"/>
  <c r="AS232" i="14"/>
  <c r="AT232" i="14" s="1"/>
  <c r="AV232" i="14" s="1"/>
  <c r="AW232" i="14" s="1"/>
  <c r="AZ232" i="14" s="1"/>
  <c r="AB228" i="14"/>
  <c r="AB222" i="14"/>
  <c r="AB216" i="14"/>
  <c r="AB192" i="14"/>
  <c r="AB191" i="14"/>
  <c r="AB176" i="14"/>
  <c r="AS174" i="14"/>
  <c r="AT174" i="14" s="1"/>
  <c r="AV174" i="14" s="1"/>
  <c r="AW174" i="14" s="1"/>
  <c r="AZ174" i="14" s="1"/>
  <c r="AS168" i="14"/>
  <c r="AT168" i="14" s="1"/>
  <c r="AV168" i="14" s="1"/>
  <c r="AW168" i="14" s="1"/>
  <c r="AZ168" i="14" s="1"/>
  <c r="AS162" i="14"/>
  <c r="AT162" i="14" s="1"/>
  <c r="AV162" i="14" s="1"/>
  <c r="AW162" i="14" s="1"/>
  <c r="AZ162" i="14" s="1"/>
  <c r="AS156" i="14"/>
  <c r="AT156" i="14" s="1"/>
  <c r="AV156" i="14" s="1"/>
  <c r="AW156" i="14" s="1"/>
  <c r="AZ156" i="14" s="1"/>
  <c r="AS141" i="14"/>
  <c r="AT141" i="14" s="1"/>
  <c r="AV141" i="14" s="1"/>
  <c r="AW141" i="14" s="1"/>
  <c r="AZ141" i="14" s="1"/>
  <c r="AS135" i="14"/>
  <c r="AT135" i="14" s="1"/>
  <c r="AV135" i="14" s="1"/>
  <c r="AW135" i="14" s="1"/>
  <c r="AZ135" i="14" s="1"/>
  <c r="AB131" i="14"/>
  <c r="AB117" i="14"/>
  <c r="AS116" i="14"/>
  <c r="AT116" i="14" s="1"/>
  <c r="AV116" i="14" s="1"/>
  <c r="AW116" i="14" s="1"/>
  <c r="AZ116" i="14" s="1"/>
  <c r="AB108" i="14"/>
  <c r="AB91" i="14"/>
  <c r="AS89" i="14"/>
  <c r="AT89" i="14" s="1"/>
  <c r="AV89" i="14" s="1"/>
  <c r="AW89" i="14" s="1"/>
  <c r="AZ89" i="14" s="1"/>
  <c r="AS86" i="14"/>
  <c r="AT86" i="14" s="1"/>
  <c r="AV86" i="14" s="1"/>
  <c r="AW86" i="14" s="1"/>
  <c r="AZ86" i="14" s="1"/>
  <c r="AB85" i="14"/>
  <c r="AB80" i="14"/>
  <c r="AB74" i="14"/>
  <c r="AB68" i="14"/>
  <c r="AB62" i="14"/>
  <c r="AB55" i="14"/>
  <c r="AS37" i="14"/>
  <c r="AT37" i="14" s="1"/>
  <c r="AV37" i="14" s="1"/>
  <c r="AW37" i="14" s="1"/>
  <c r="AZ37" i="14" s="1"/>
  <c r="AS33" i="14"/>
  <c r="AT33" i="14" s="1"/>
  <c r="AV33" i="14" s="1"/>
  <c r="AW33" i="14" s="1"/>
  <c r="AZ33" i="14" s="1"/>
  <c r="AB31" i="14"/>
  <c r="AB9" i="14"/>
  <c r="AB194" i="14"/>
  <c r="AS183" i="14"/>
  <c r="AT183" i="14" s="1"/>
  <c r="AV183" i="14" s="1"/>
  <c r="AW183" i="14" s="1"/>
  <c r="AZ183" i="14" s="1"/>
  <c r="AS182" i="14"/>
  <c r="AT182" i="14" s="1"/>
  <c r="AV182" i="14" s="1"/>
  <c r="AW182" i="14" s="1"/>
  <c r="AZ182" i="14" s="1"/>
  <c r="AB178" i="14"/>
  <c r="AS171" i="14"/>
  <c r="AT171" i="14" s="1"/>
  <c r="AV171" i="14" s="1"/>
  <c r="AW171" i="14" s="1"/>
  <c r="AZ171" i="14" s="1"/>
  <c r="AS165" i="14"/>
  <c r="AT165" i="14" s="1"/>
  <c r="AV165" i="14" s="1"/>
  <c r="AW165" i="14" s="1"/>
  <c r="AZ165" i="14" s="1"/>
  <c r="AS159" i="14"/>
  <c r="AT159" i="14" s="1"/>
  <c r="AV159" i="14" s="1"/>
  <c r="AW159" i="14" s="1"/>
  <c r="AZ159" i="14" s="1"/>
  <c r="AS153" i="14"/>
  <c r="AT153" i="14" s="1"/>
  <c r="AV153" i="14" s="1"/>
  <c r="AW153" i="14" s="1"/>
  <c r="AZ153" i="14" s="1"/>
  <c r="AS144" i="14"/>
  <c r="AT144" i="14" s="1"/>
  <c r="AV144" i="14" s="1"/>
  <c r="AW144" i="14" s="1"/>
  <c r="AZ144" i="14" s="1"/>
  <c r="AB143" i="14"/>
  <c r="AS137" i="14"/>
  <c r="AT137" i="14" s="1"/>
  <c r="AV137" i="14" s="1"/>
  <c r="AW137" i="14" s="1"/>
  <c r="AZ137" i="14" s="1"/>
  <c r="AB136" i="14"/>
  <c r="AB127" i="14"/>
  <c r="AB104" i="14"/>
  <c r="AB101" i="14"/>
  <c r="AB67" i="14"/>
  <c r="AB61" i="14"/>
  <c r="AB36" i="14"/>
  <c r="AB186" i="14"/>
  <c r="AB185" i="14"/>
  <c r="AB182" i="14"/>
  <c r="AS145" i="14"/>
  <c r="AT145" i="14" s="1"/>
  <c r="AV145" i="14" s="1"/>
  <c r="AW145" i="14" s="1"/>
  <c r="AZ145" i="14" s="1"/>
  <c r="AB144" i="14"/>
  <c r="AS138" i="14"/>
  <c r="AT138" i="14" s="1"/>
  <c r="AV138" i="14" s="1"/>
  <c r="AW138" i="14" s="1"/>
  <c r="AZ138" i="14" s="1"/>
  <c r="AB137" i="14"/>
  <c r="AS129" i="14"/>
  <c r="AT129" i="14" s="1"/>
  <c r="AV129" i="14" s="1"/>
  <c r="AW129" i="14" s="1"/>
  <c r="AZ129" i="14" s="1"/>
  <c r="AB128" i="14"/>
  <c r="AS127" i="14"/>
  <c r="AT127" i="14" s="1"/>
  <c r="AV127" i="14" s="1"/>
  <c r="AW127" i="14" s="1"/>
  <c r="AZ127" i="14" s="1"/>
  <c r="AS121" i="14"/>
  <c r="AT121" i="14" s="1"/>
  <c r="AV121" i="14" s="1"/>
  <c r="AW121" i="14" s="1"/>
  <c r="AZ121" i="14" s="1"/>
  <c r="AS119" i="14"/>
  <c r="AT119" i="14" s="1"/>
  <c r="AV119" i="14" s="1"/>
  <c r="AW119" i="14" s="1"/>
  <c r="AZ119" i="14" s="1"/>
  <c r="AB98" i="14"/>
  <c r="AS53" i="14"/>
  <c r="AT53" i="14" s="1"/>
  <c r="AV53" i="14" s="1"/>
  <c r="AW53" i="14" s="1"/>
  <c r="AZ53" i="14" s="1"/>
  <c r="AB51" i="14"/>
  <c r="AB18" i="14"/>
  <c r="AB14" i="14"/>
  <c r="AB12" i="14"/>
  <c r="AS12" i="14"/>
  <c r="AT12" i="14" s="1"/>
  <c r="AV12" i="14" s="1"/>
  <c r="AW12" i="14" s="1"/>
  <c r="AZ12" i="14" s="1"/>
  <c r="AS22" i="14"/>
  <c r="AT22" i="14" s="1"/>
  <c r="AV22" i="14" s="1"/>
  <c r="AW22" i="14" s="1"/>
  <c r="AZ22" i="14" s="1"/>
  <c r="AS17" i="14"/>
  <c r="AT17" i="14" s="1"/>
  <c r="AV17" i="14" s="1"/>
  <c r="AW17" i="14" s="1"/>
  <c r="AZ17" i="14" s="1"/>
  <c r="AS25" i="14"/>
  <c r="AT25" i="14" s="1"/>
  <c r="AV25" i="14" s="1"/>
  <c r="AW25" i="14" s="1"/>
  <c r="AZ25" i="14" s="1"/>
  <c r="AS24" i="14"/>
  <c r="AT24" i="14" s="1"/>
  <c r="AV24" i="14" s="1"/>
  <c r="AW24" i="14" s="1"/>
  <c r="AZ24" i="14" s="1"/>
  <c r="AS28" i="14"/>
  <c r="AT28" i="14" s="1"/>
  <c r="AV28" i="14" s="1"/>
  <c r="AW28" i="14" s="1"/>
  <c r="AZ28" i="14" s="1"/>
  <c r="AS27" i="14"/>
  <c r="AT27" i="14" s="1"/>
  <c r="AV27" i="14" s="1"/>
  <c r="AW27" i="14" s="1"/>
  <c r="AZ27" i="14" s="1"/>
  <c r="AB26" i="14"/>
  <c r="AS20" i="14"/>
  <c r="AT20" i="14" s="1"/>
  <c r="AV20" i="14" s="1"/>
  <c r="AW20" i="14" s="1"/>
  <c r="AZ20" i="14" s="1"/>
  <c r="AS15" i="14"/>
  <c r="AT15" i="14" s="1"/>
  <c r="AV15" i="14" s="1"/>
  <c r="AW15" i="14" s="1"/>
  <c r="AZ15" i="14" s="1"/>
  <c r="AB8" i="14"/>
  <c r="AS197" i="14"/>
  <c r="AT197" i="14" s="1"/>
  <c r="AV197" i="14" s="1"/>
  <c r="AW197" i="14" s="1"/>
  <c r="AZ197" i="14" s="1"/>
  <c r="AB197" i="14"/>
  <c r="AB379" i="14"/>
  <c r="AB311" i="14"/>
  <c r="AS311" i="14"/>
  <c r="AT311" i="14" s="1"/>
  <c r="AV311" i="14" s="1"/>
  <c r="AW311" i="14" s="1"/>
  <c r="AZ311" i="14" s="1"/>
  <c r="AS281" i="14"/>
  <c r="AT281" i="14" s="1"/>
  <c r="AV281" i="14" s="1"/>
  <c r="AW281" i="14" s="1"/>
  <c r="AZ281" i="14" s="1"/>
  <c r="AB245" i="14"/>
  <c r="AS245" i="14"/>
  <c r="AT245" i="14" s="1"/>
  <c r="AV245" i="14" s="1"/>
  <c r="AW245" i="14" s="1"/>
  <c r="AZ245" i="14" s="1"/>
  <c r="AB172" i="14"/>
  <c r="AS172" i="14"/>
  <c r="AT172" i="14" s="1"/>
  <c r="AV172" i="14" s="1"/>
  <c r="AW172" i="14" s="1"/>
  <c r="AZ172" i="14" s="1"/>
  <c r="AB166" i="14"/>
  <c r="AS166" i="14"/>
  <c r="AT166" i="14" s="1"/>
  <c r="AV166" i="14" s="1"/>
  <c r="AW166" i="14" s="1"/>
  <c r="AZ166" i="14" s="1"/>
  <c r="AB160" i="14"/>
  <c r="AS160" i="14"/>
  <c r="AT160" i="14" s="1"/>
  <c r="AV160" i="14" s="1"/>
  <c r="AW160" i="14" s="1"/>
  <c r="AZ160" i="14" s="1"/>
  <c r="AB154" i="14"/>
  <c r="AS154" i="14"/>
  <c r="AT154" i="14" s="1"/>
  <c r="AV154" i="14" s="1"/>
  <c r="AW154" i="14" s="1"/>
  <c r="AZ154" i="14" s="1"/>
  <c r="AB317" i="14"/>
  <c r="AS317" i="14"/>
  <c r="AT317" i="14" s="1"/>
  <c r="AV317" i="14" s="1"/>
  <c r="AW317" i="14" s="1"/>
  <c r="AZ317" i="14" s="1"/>
  <c r="AS233" i="14"/>
  <c r="AT233" i="14" s="1"/>
  <c r="AV233" i="14" s="1"/>
  <c r="AW233" i="14" s="1"/>
  <c r="AZ233" i="14" s="1"/>
  <c r="AB233" i="14"/>
  <c r="AB103" i="14"/>
  <c r="AS103" i="14"/>
  <c r="AT103" i="14" s="1"/>
  <c r="AV103" i="14" s="1"/>
  <c r="AW103" i="14" s="1"/>
  <c r="AZ103" i="14" s="1"/>
  <c r="AB439" i="14"/>
  <c r="AB433" i="14"/>
  <c r="AB427" i="14"/>
  <c r="AS419" i="14"/>
  <c r="AT419" i="14" s="1"/>
  <c r="AV419" i="14" s="1"/>
  <c r="AW419" i="14" s="1"/>
  <c r="AZ419" i="14" s="1"/>
  <c r="AB344" i="14"/>
  <c r="AB343" i="14"/>
  <c r="AB338" i="14"/>
  <c r="AB337" i="14"/>
  <c r="AB305" i="14"/>
  <c r="AS305" i="14"/>
  <c r="AT305" i="14" s="1"/>
  <c r="AV305" i="14" s="1"/>
  <c r="AW305" i="14" s="1"/>
  <c r="AZ305" i="14" s="1"/>
  <c r="AS282" i="14"/>
  <c r="AT282" i="14" s="1"/>
  <c r="AV282" i="14" s="1"/>
  <c r="AW282" i="14" s="1"/>
  <c r="AZ282" i="14" s="1"/>
  <c r="AS246" i="14"/>
  <c r="AT246" i="14" s="1"/>
  <c r="AV246" i="14" s="1"/>
  <c r="AW246" i="14" s="1"/>
  <c r="AZ246" i="14" s="1"/>
  <c r="AS227" i="14"/>
  <c r="AT227" i="14" s="1"/>
  <c r="AV227" i="14" s="1"/>
  <c r="AW227" i="14" s="1"/>
  <c r="AZ227" i="14" s="1"/>
  <c r="AB227" i="14"/>
  <c r="AS209" i="14"/>
  <c r="AT209" i="14" s="1"/>
  <c r="AV209" i="14" s="1"/>
  <c r="AW209" i="14" s="1"/>
  <c r="AZ209" i="14" s="1"/>
  <c r="AB209" i="14"/>
  <c r="AS175" i="14"/>
  <c r="AT175" i="14" s="1"/>
  <c r="AV175" i="14" s="1"/>
  <c r="AW175" i="14" s="1"/>
  <c r="AZ175" i="14" s="1"/>
  <c r="AB175" i="14"/>
  <c r="AS81" i="14"/>
  <c r="AT81" i="14" s="1"/>
  <c r="AV81" i="14" s="1"/>
  <c r="AW81" i="14" s="1"/>
  <c r="AZ81" i="14" s="1"/>
  <c r="AB81" i="14"/>
  <c r="AB272" i="14"/>
  <c r="AS272" i="14"/>
  <c r="AT272" i="14" s="1"/>
  <c r="AV272" i="14" s="1"/>
  <c r="AW272" i="14" s="1"/>
  <c r="AZ272" i="14" s="1"/>
  <c r="AS181" i="14"/>
  <c r="AT181" i="14" s="1"/>
  <c r="AV181" i="14" s="1"/>
  <c r="AW181" i="14" s="1"/>
  <c r="AZ181" i="14" s="1"/>
  <c r="AB181" i="14"/>
  <c r="AS82" i="14"/>
  <c r="AT82" i="14" s="1"/>
  <c r="AV82" i="14" s="1"/>
  <c r="AW82" i="14" s="1"/>
  <c r="AZ82" i="14" s="1"/>
  <c r="AB82" i="14"/>
  <c r="AS215" i="14"/>
  <c r="AT215" i="14" s="1"/>
  <c r="AV215" i="14" s="1"/>
  <c r="AW215" i="14" s="1"/>
  <c r="AZ215" i="14" s="1"/>
  <c r="AB215" i="14"/>
  <c r="AB299" i="14"/>
  <c r="AS299" i="14"/>
  <c r="AT299" i="14" s="1"/>
  <c r="AV299" i="14" s="1"/>
  <c r="AW299" i="14" s="1"/>
  <c r="AZ299" i="14" s="1"/>
  <c r="AB440" i="14"/>
  <c r="AS436" i="14"/>
  <c r="AT436" i="14" s="1"/>
  <c r="AV436" i="14" s="1"/>
  <c r="AW436" i="14" s="1"/>
  <c r="AZ436" i="14" s="1"/>
  <c r="AB434" i="14"/>
  <c r="AS430" i="14"/>
  <c r="AT430" i="14" s="1"/>
  <c r="AV430" i="14" s="1"/>
  <c r="AW430" i="14" s="1"/>
  <c r="AZ430" i="14" s="1"/>
  <c r="AB428" i="14"/>
  <c r="AS424" i="14"/>
  <c r="AT424" i="14" s="1"/>
  <c r="AV424" i="14" s="1"/>
  <c r="AW424" i="14" s="1"/>
  <c r="AZ424" i="14" s="1"/>
  <c r="AB371" i="14"/>
  <c r="AB365" i="14"/>
  <c r="AB359" i="14"/>
  <c r="AB353" i="14"/>
  <c r="AB329" i="14"/>
  <c r="AS329" i="14"/>
  <c r="AT329" i="14" s="1"/>
  <c r="AV329" i="14" s="1"/>
  <c r="AW329" i="14" s="1"/>
  <c r="AZ329" i="14" s="1"/>
  <c r="AB293" i="14"/>
  <c r="AS293" i="14"/>
  <c r="AT293" i="14" s="1"/>
  <c r="AV293" i="14" s="1"/>
  <c r="AW293" i="14" s="1"/>
  <c r="AZ293" i="14" s="1"/>
  <c r="AB266" i="14"/>
  <c r="AS266" i="14"/>
  <c r="AT266" i="14" s="1"/>
  <c r="AV266" i="14" s="1"/>
  <c r="AW266" i="14" s="1"/>
  <c r="AZ266" i="14" s="1"/>
  <c r="AB251" i="14"/>
  <c r="AS251" i="14"/>
  <c r="AT251" i="14" s="1"/>
  <c r="AV251" i="14" s="1"/>
  <c r="AW251" i="14" s="1"/>
  <c r="AZ251" i="14" s="1"/>
  <c r="AS239" i="14"/>
  <c r="AT239" i="14" s="1"/>
  <c r="AV239" i="14" s="1"/>
  <c r="AW239" i="14" s="1"/>
  <c r="AZ239" i="14" s="1"/>
  <c r="AB239" i="14"/>
  <c r="AS221" i="14"/>
  <c r="AT221" i="14" s="1"/>
  <c r="AV221" i="14" s="1"/>
  <c r="AW221" i="14" s="1"/>
  <c r="AZ221" i="14" s="1"/>
  <c r="AB221" i="14"/>
  <c r="AS203" i="14"/>
  <c r="AT203" i="14" s="1"/>
  <c r="AV203" i="14" s="1"/>
  <c r="AW203" i="14" s="1"/>
  <c r="AZ203" i="14" s="1"/>
  <c r="AB203" i="14"/>
  <c r="AS187" i="14"/>
  <c r="AT187" i="14" s="1"/>
  <c r="AV187" i="14" s="1"/>
  <c r="AW187" i="14" s="1"/>
  <c r="AZ187" i="14" s="1"/>
  <c r="AB187" i="14"/>
  <c r="AB254" i="14"/>
  <c r="AS254" i="14"/>
  <c r="AT254" i="14" s="1"/>
  <c r="AV254" i="14" s="1"/>
  <c r="AW254" i="14" s="1"/>
  <c r="AZ254" i="14" s="1"/>
  <c r="AB374" i="14"/>
  <c r="AB368" i="14"/>
  <c r="AB362" i="14"/>
  <c r="AB356" i="14"/>
  <c r="AB350" i="14"/>
  <c r="AB323" i="14"/>
  <c r="AS323" i="14"/>
  <c r="AT323" i="14" s="1"/>
  <c r="AV323" i="14" s="1"/>
  <c r="AW323" i="14" s="1"/>
  <c r="AZ323" i="14" s="1"/>
  <c r="AS285" i="14"/>
  <c r="AT285" i="14" s="1"/>
  <c r="AV285" i="14" s="1"/>
  <c r="AW285" i="14" s="1"/>
  <c r="AZ285" i="14" s="1"/>
  <c r="AS279" i="14"/>
  <c r="AT279" i="14" s="1"/>
  <c r="AV279" i="14" s="1"/>
  <c r="AW279" i="14" s="1"/>
  <c r="AZ279" i="14" s="1"/>
  <c r="AB260" i="14"/>
  <c r="AS260" i="14"/>
  <c r="AT260" i="14" s="1"/>
  <c r="AV260" i="14" s="1"/>
  <c r="AW260" i="14" s="1"/>
  <c r="AZ260" i="14" s="1"/>
  <c r="AS252" i="14"/>
  <c r="AT252" i="14" s="1"/>
  <c r="AV252" i="14" s="1"/>
  <c r="AW252" i="14" s="1"/>
  <c r="AZ252" i="14" s="1"/>
  <c r="AS193" i="14"/>
  <c r="AT193" i="14" s="1"/>
  <c r="AV193" i="14" s="1"/>
  <c r="AW193" i="14" s="1"/>
  <c r="AZ193" i="14" s="1"/>
  <c r="AB193" i="14"/>
  <c r="AB420" i="14"/>
  <c r="AB286" i="14"/>
  <c r="AB285" i="14"/>
  <c r="AB284" i="14"/>
  <c r="AB283" i="14"/>
  <c r="AB282" i="14"/>
  <c r="AB281" i="14"/>
  <c r="AB280" i="14"/>
  <c r="AB279" i="14"/>
  <c r="AB252" i="14"/>
  <c r="AS248" i="14"/>
  <c r="AT248" i="14" s="1"/>
  <c r="AV248" i="14" s="1"/>
  <c r="AW248" i="14" s="1"/>
  <c r="AZ248" i="14" s="1"/>
  <c r="AB246" i="14"/>
  <c r="AB238" i="14"/>
  <c r="AS237" i="14"/>
  <c r="AT237" i="14" s="1"/>
  <c r="AV237" i="14" s="1"/>
  <c r="AW237" i="14" s="1"/>
  <c r="AZ237" i="14" s="1"/>
  <c r="AB232" i="14"/>
  <c r="AS231" i="14"/>
  <c r="AT231" i="14" s="1"/>
  <c r="AV231" i="14" s="1"/>
  <c r="AW231" i="14" s="1"/>
  <c r="AZ231" i="14" s="1"/>
  <c r="AB226" i="14"/>
  <c r="AS225" i="14"/>
  <c r="AT225" i="14" s="1"/>
  <c r="AV225" i="14" s="1"/>
  <c r="AW225" i="14" s="1"/>
  <c r="AZ225" i="14" s="1"/>
  <c r="AB220" i="14"/>
  <c r="AS219" i="14"/>
  <c r="AT219" i="14" s="1"/>
  <c r="AV219" i="14" s="1"/>
  <c r="AW219" i="14" s="1"/>
  <c r="AZ219" i="14" s="1"/>
  <c r="AB214" i="14"/>
  <c r="AS213" i="14"/>
  <c r="AT213" i="14" s="1"/>
  <c r="AV213" i="14" s="1"/>
  <c r="AW213" i="14" s="1"/>
  <c r="AZ213" i="14" s="1"/>
  <c r="AB208" i="14"/>
  <c r="AS207" i="14"/>
  <c r="AT207" i="14" s="1"/>
  <c r="AV207" i="14" s="1"/>
  <c r="AW207" i="14" s="1"/>
  <c r="AZ207" i="14" s="1"/>
  <c r="AB202" i="14"/>
  <c r="AS201" i="14"/>
  <c r="AT201" i="14" s="1"/>
  <c r="AV201" i="14" s="1"/>
  <c r="AW201" i="14" s="1"/>
  <c r="AZ201" i="14" s="1"/>
  <c r="AB196" i="14"/>
  <c r="AS169" i="14"/>
  <c r="AT169" i="14" s="1"/>
  <c r="AV169" i="14" s="1"/>
  <c r="AW169" i="14" s="1"/>
  <c r="AZ169" i="14" s="1"/>
  <c r="AS163" i="14"/>
  <c r="AT163" i="14" s="1"/>
  <c r="AV163" i="14" s="1"/>
  <c r="AW163" i="14" s="1"/>
  <c r="AZ163" i="14" s="1"/>
  <c r="AS157" i="14"/>
  <c r="AT157" i="14" s="1"/>
  <c r="AV157" i="14" s="1"/>
  <c r="AW157" i="14" s="1"/>
  <c r="AZ157" i="14" s="1"/>
  <c r="AS148" i="14"/>
  <c r="AT148" i="14" s="1"/>
  <c r="AV148" i="14" s="1"/>
  <c r="AW148" i="14" s="1"/>
  <c r="AZ148" i="14" s="1"/>
  <c r="AS149" i="14"/>
  <c r="AT149" i="14" s="1"/>
  <c r="AV149" i="14" s="1"/>
  <c r="AW149" i="14" s="1"/>
  <c r="AZ149" i="14" s="1"/>
  <c r="AB107" i="14"/>
  <c r="AS107" i="14"/>
  <c r="AT107" i="14" s="1"/>
  <c r="AV107" i="14" s="1"/>
  <c r="AW107" i="14" s="1"/>
  <c r="AZ107" i="14" s="1"/>
  <c r="AS88" i="14"/>
  <c r="AT88" i="14" s="1"/>
  <c r="AV88" i="14" s="1"/>
  <c r="AW88" i="14" s="1"/>
  <c r="AZ88" i="14" s="1"/>
  <c r="AB88" i="14"/>
  <c r="AS87" i="14"/>
  <c r="AT87" i="14" s="1"/>
  <c r="AV87" i="14" s="1"/>
  <c r="AW87" i="14" s="1"/>
  <c r="AZ87" i="14" s="1"/>
  <c r="AB87" i="14"/>
  <c r="AS240" i="14"/>
  <c r="AT240" i="14" s="1"/>
  <c r="AV240" i="14" s="1"/>
  <c r="AW240" i="14" s="1"/>
  <c r="AZ240" i="14" s="1"/>
  <c r="AS234" i="14"/>
  <c r="AT234" i="14" s="1"/>
  <c r="AV234" i="14" s="1"/>
  <c r="AW234" i="14" s="1"/>
  <c r="AZ234" i="14" s="1"/>
  <c r="AS228" i="14"/>
  <c r="AT228" i="14" s="1"/>
  <c r="AV228" i="14" s="1"/>
  <c r="AW228" i="14" s="1"/>
  <c r="AZ228" i="14" s="1"/>
  <c r="AS222" i="14"/>
  <c r="AT222" i="14" s="1"/>
  <c r="AV222" i="14" s="1"/>
  <c r="AW222" i="14" s="1"/>
  <c r="AZ222" i="14" s="1"/>
  <c r="AS216" i="14"/>
  <c r="AT216" i="14" s="1"/>
  <c r="AV216" i="14" s="1"/>
  <c r="AW216" i="14" s="1"/>
  <c r="AZ216" i="14" s="1"/>
  <c r="AS210" i="14"/>
  <c r="AT210" i="14" s="1"/>
  <c r="AV210" i="14" s="1"/>
  <c r="AW210" i="14" s="1"/>
  <c r="AZ210" i="14" s="1"/>
  <c r="AS204" i="14"/>
  <c r="AT204" i="14" s="1"/>
  <c r="AV204" i="14" s="1"/>
  <c r="AW204" i="14" s="1"/>
  <c r="AZ204" i="14" s="1"/>
  <c r="AS198" i="14"/>
  <c r="AT198" i="14" s="1"/>
  <c r="AV198" i="14" s="1"/>
  <c r="AW198" i="14" s="1"/>
  <c r="AZ198" i="14" s="1"/>
  <c r="AB151" i="14"/>
  <c r="AS140" i="14"/>
  <c r="AT140" i="14" s="1"/>
  <c r="AV140" i="14" s="1"/>
  <c r="AW140" i="14" s="1"/>
  <c r="AZ140" i="14" s="1"/>
  <c r="AB140" i="14"/>
  <c r="AS112" i="14"/>
  <c r="AT112" i="14" s="1"/>
  <c r="AV112" i="14" s="1"/>
  <c r="AW112" i="14" s="1"/>
  <c r="AZ112" i="14" s="1"/>
  <c r="AS100" i="14"/>
  <c r="AT100" i="14" s="1"/>
  <c r="AV100" i="14" s="1"/>
  <c r="AW100" i="14" s="1"/>
  <c r="AZ100" i="14" s="1"/>
  <c r="AB100" i="14"/>
  <c r="AS76" i="14"/>
  <c r="AT76" i="14" s="1"/>
  <c r="AV76" i="14" s="1"/>
  <c r="AW76" i="14" s="1"/>
  <c r="AZ76" i="14" s="1"/>
  <c r="AB76" i="14"/>
  <c r="AS276" i="14"/>
  <c r="AT276" i="14" s="1"/>
  <c r="AV276" i="14" s="1"/>
  <c r="AW276" i="14" s="1"/>
  <c r="AZ276" i="14" s="1"/>
  <c r="AS151" i="14"/>
  <c r="AT151" i="14" s="1"/>
  <c r="AV151" i="14" s="1"/>
  <c r="AW151" i="14" s="1"/>
  <c r="AZ151" i="14" s="1"/>
  <c r="AS110" i="14"/>
  <c r="AT110" i="14" s="1"/>
  <c r="AV110" i="14" s="1"/>
  <c r="AW110" i="14" s="1"/>
  <c r="AZ110" i="14" s="1"/>
  <c r="AB110" i="14"/>
  <c r="AS94" i="14"/>
  <c r="AT94" i="14" s="1"/>
  <c r="AV94" i="14" s="1"/>
  <c r="AW94" i="14" s="1"/>
  <c r="AZ94" i="14" s="1"/>
  <c r="AB94" i="14"/>
  <c r="AS93" i="14"/>
  <c r="AT93" i="14" s="1"/>
  <c r="AV93" i="14" s="1"/>
  <c r="AW93" i="14" s="1"/>
  <c r="AZ93" i="14" s="1"/>
  <c r="AB93" i="14"/>
  <c r="AS70" i="14"/>
  <c r="AT70" i="14" s="1"/>
  <c r="AV70" i="14" s="1"/>
  <c r="AW70" i="14" s="1"/>
  <c r="AZ70" i="14" s="1"/>
  <c r="AB70" i="14"/>
  <c r="AB276" i="14"/>
  <c r="AS242" i="14"/>
  <c r="AT242" i="14" s="1"/>
  <c r="AV242" i="14" s="1"/>
  <c r="AW242" i="14" s="1"/>
  <c r="AZ242" i="14" s="1"/>
  <c r="AS64" i="14"/>
  <c r="AT64" i="14" s="1"/>
  <c r="AV64" i="14" s="1"/>
  <c r="AW64" i="14" s="1"/>
  <c r="AZ64" i="14" s="1"/>
  <c r="AB64" i="14"/>
  <c r="AB145" i="14"/>
  <c r="AB130" i="14"/>
  <c r="AB75" i="14"/>
  <c r="AB69" i="14"/>
  <c r="AB63" i="14"/>
  <c r="AS58" i="14"/>
  <c r="AT58" i="14" s="1"/>
  <c r="AV58" i="14" s="1"/>
  <c r="AW58" i="14" s="1"/>
  <c r="AZ58" i="14" s="1"/>
  <c r="AS43" i="14"/>
  <c r="AT43" i="14" s="1"/>
  <c r="AV43" i="14" s="1"/>
  <c r="AW43" i="14" s="1"/>
  <c r="AZ43" i="14" s="1"/>
  <c r="AB43" i="14"/>
  <c r="AB125" i="14"/>
  <c r="AB124" i="14"/>
  <c r="AB123" i="14"/>
  <c r="AS113" i="14"/>
  <c r="AT113" i="14" s="1"/>
  <c r="AV113" i="14" s="1"/>
  <c r="AW113" i="14" s="1"/>
  <c r="AZ113" i="14" s="1"/>
  <c r="AB52" i="14"/>
  <c r="AB46" i="14"/>
  <c r="AS49" i="14"/>
  <c r="AT49" i="14" s="1"/>
  <c r="AV49" i="14" s="1"/>
  <c r="AW49" i="14" s="1"/>
  <c r="AZ49" i="14" s="1"/>
  <c r="AB49" i="14"/>
  <c r="AB150" i="14"/>
  <c r="AB149" i="14"/>
  <c r="AB148" i="14"/>
  <c r="AB147" i="14"/>
  <c r="AS134" i="14"/>
  <c r="AT134" i="14" s="1"/>
  <c r="AV134" i="14" s="1"/>
  <c r="AW134" i="14" s="1"/>
  <c r="AZ134" i="14" s="1"/>
  <c r="AS120" i="14"/>
  <c r="AT120" i="14" s="1"/>
  <c r="AV120" i="14" s="1"/>
  <c r="AW120" i="14" s="1"/>
  <c r="AZ120" i="14" s="1"/>
  <c r="AB118" i="14"/>
  <c r="AB112" i="14"/>
  <c r="F31" i="12"/>
  <c r="AS13" i="14"/>
  <c r="AT13" i="14" s="1"/>
  <c r="AV13" i="14" s="1"/>
  <c r="AW13" i="14" s="1"/>
  <c r="AZ13" i="14" s="1"/>
  <c r="AB13" i="14"/>
  <c r="AS150" i="14"/>
  <c r="AT150" i="14" s="1"/>
  <c r="AV150" i="14" s="1"/>
  <c r="AW150" i="14" s="1"/>
  <c r="AZ150" i="14" s="1"/>
  <c r="AB134" i="14"/>
  <c r="AB133" i="14"/>
  <c r="AB132" i="14"/>
  <c r="AB120" i="14"/>
  <c r="AB119" i="14"/>
  <c r="AS118" i="14"/>
  <c r="AT118" i="14" s="1"/>
  <c r="AV118" i="14" s="1"/>
  <c r="AW118" i="14" s="1"/>
  <c r="AZ118" i="14" s="1"/>
  <c r="AB56" i="14"/>
  <c r="AB40" i="14"/>
  <c r="AS40" i="14"/>
  <c r="AT40" i="14" s="1"/>
  <c r="AV40" i="14" s="1"/>
  <c r="AW40" i="14" s="1"/>
  <c r="AZ40" i="14" s="1"/>
  <c r="AS38" i="14"/>
  <c r="AT38" i="14" s="1"/>
  <c r="AV38" i="14" s="1"/>
  <c r="AW38" i="14" s="1"/>
  <c r="AZ38" i="14" s="1"/>
  <c r="AB38" i="14"/>
  <c r="AB35" i="14"/>
  <c r="AS35" i="14"/>
  <c r="AT35" i="14" s="1"/>
  <c r="AV35" i="14" s="1"/>
  <c r="AW35" i="14" s="1"/>
  <c r="AZ35" i="14" s="1"/>
  <c r="AB17" i="14"/>
  <c r="AS34" i="14"/>
  <c r="AT34" i="14" s="1"/>
  <c r="AV34" i="14" s="1"/>
  <c r="AW34" i="14" s="1"/>
  <c r="AZ34" i="14" s="1"/>
  <c r="AS19" i="14"/>
  <c r="AT19" i="14" s="1"/>
  <c r="AV19" i="14" s="1"/>
  <c r="AW19" i="14" s="1"/>
  <c r="AZ19" i="14" s="1"/>
  <c r="AB19" i="14"/>
  <c r="AS16" i="14"/>
  <c r="AT16" i="14" s="1"/>
  <c r="AV16" i="14" s="1"/>
  <c r="AW16" i="14" s="1"/>
  <c r="AZ16" i="14" s="1"/>
  <c r="AS6" i="14"/>
  <c r="AT6" i="14" s="1"/>
  <c r="AV6" i="14" s="1"/>
  <c r="AW6" i="14" s="1"/>
  <c r="AZ6" i="14" s="1"/>
  <c r="AS10" i="14"/>
  <c r="AT10" i="14" s="1"/>
  <c r="AV10" i="14" s="1"/>
  <c r="AW10" i="14" s="1"/>
  <c r="AZ10" i="14" s="1"/>
  <c r="AS59" i="14"/>
  <c r="AT59" i="14" s="1"/>
  <c r="AV59" i="14" s="1"/>
  <c r="AW59" i="14" s="1"/>
  <c r="AZ59" i="14" s="1"/>
  <c r="AB59" i="14"/>
  <c r="J23" i="28" l="1"/>
  <c r="J24" i="28" s="1"/>
  <c r="N23" i="28"/>
  <c r="F35" i="12"/>
  <c r="N24" i="28" l="1"/>
  <c r="AT200" i="15" l="1"/>
  <c r="AU200" i="15" s="1"/>
  <c r="AW200" i="15" s="1"/>
  <c r="AX200" i="15" s="1"/>
  <c r="BA200" i="15" s="1"/>
  <c r="J15" i="28"/>
  <c r="AC200" i="15"/>
</calcChain>
</file>

<file path=xl/sharedStrings.xml><?xml version="1.0" encoding="utf-8"?>
<sst xmlns="http://schemas.openxmlformats.org/spreadsheetml/2006/main" count="3367" uniqueCount="1284">
  <si>
    <t xml:space="preserve">    Total     </t>
    <phoneticPr fontId="11" type="noConversion"/>
  </si>
  <si>
    <t>Subtotal</t>
    <phoneticPr fontId="11" type="noConversion"/>
  </si>
  <si>
    <t>Total</t>
    <phoneticPr fontId="11" type="noConversion"/>
  </si>
  <si>
    <t>Chassis Number</t>
    <phoneticPr fontId="11" type="noConversion"/>
  </si>
  <si>
    <t>Model</t>
    <phoneticPr fontId="11" type="noConversion"/>
  </si>
  <si>
    <t>Code</t>
    <phoneticPr fontId="11" type="noConversion"/>
  </si>
  <si>
    <t>Beneficiary Adress</t>
    <phoneticPr fontId="11" type="noConversion"/>
  </si>
  <si>
    <t>Bank Account Number</t>
    <phoneticPr fontId="11" type="noConversion"/>
  </si>
  <si>
    <t>Bank Adress</t>
    <phoneticPr fontId="11" type="noConversion"/>
  </si>
  <si>
    <t>Swift Cose</t>
    <phoneticPr fontId="11" type="noConversion"/>
  </si>
  <si>
    <t>Bank Name</t>
    <phoneticPr fontId="11" type="noConversion"/>
  </si>
  <si>
    <t>Beneficiary</t>
    <phoneticPr fontId="11" type="noConversion"/>
  </si>
  <si>
    <t>BANK ACCOUNT INFORMATION</t>
    <phoneticPr fontId="11" type="noConversion"/>
  </si>
  <si>
    <t>Phone</t>
    <phoneticPr fontId="11" type="noConversion"/>
  </si>
  <si>
    <t>Country</t>
    <phoneticPr fontId="11" type="noConversion"/>
  </si>
  <si>
    <t>Adress</t>
    <phoneticPr fontId="11" type="noConversion"/>
  </si>
  <si>
    <t>Name</t>
    <phoneticPr fontId="11" type="noConversion"/>
  </si>
  <si>
    <t>Invoice No.</t>
  </si>
  <si>
    <t>Date</t>
    <phoneticPr fontId="11" type="noConversion"/>
  </si>
  <si>
    <t>Ssancar LTD 46-1, Gakgol-ro 2an-Gil, Sangnok, Ansan-si, Gyeinggi-do, Incheon, Korea. Phone: +82-505-366-9977</t>
    <phoneticPr fontId="11" type="noConversion"/>
  </si>
  <si>
    <t>PROFORM INVOICE</t>
    <phoneticPr fontId="11" type="noConversion"/>
  </si>
  <si>
    <t>SSANCAR CO LTD</t>
    <phoneticPr fontId="3" type="noConversion"/>
  </si>
  <si>
    <t>SHBKKRSE</t>
  </si>
  <si>
    <t>180-008-400167</t>
  </si>
  <si>
    <t>SHINHAN BANK</t>
    <phoneticPr fontId="11" type="noConversion"/>
  </si>
  <si>
    <t>20,Sejong-Daero9-Gil,Jung-Gu Seoul South Korea</t>
    <phoneticPr fontId="11" type="noConversion"/>
  </si>
  <si>
    <t>65 SEONGHYEON-RO,ILSANDONG-GU,GOYANG-SI,
GYEONGGI-DO, SOUTH KOREA</t>
    <phoneticPr fontId="11" type="noConversion"/>
  </si>
  <si>
    <t xml:space="preserve"> </t>
    <phoneticPr fontId="25" type="noConversion"/>
  </si>
  <si>
    <t>Kosovo</t>
    <phoneticPr fontId="25" type="noConversion"/>
  </si>
  <si>
    <t>Albania</t>
    <phoneticPr fontId="25" type="noConversion"/>
  </si>
  <si>
    <t>AUTO SHQIPONZA</t>
    <phoneticPr fontId="25" type="noConversion"/>
  </si>
  <si>
    <t>Ardian Bajram</t>
    <phoneticPr fontId="25" type="noConversion"/>
  </si>
  <si>
    <t>WDDUX8FB7GA226874</t>
    <phoneticPr fontId="25" type="noConversion"/>
  </si>
  <si>
    <t>S-CLASS</t>
    <phoneticPr fontId="25" type="noConversion"/>
  </si>
  <si>
    <t>340라5374</t>
    <phoneticPr fontId="25" type="noConversion"/>
  </si>
  <si>
    <t>CERTUS  GmbH</t>
    <phoneticPr fontId="25" type="noConversion"/>
  </si>
  <si>
    <t>삼실 판매보고 완</t>
    <phoneticPr fontId="25" type="noConversion"/>
  </si>
  <si>
    <t>USD</t>
    <phoneticPr fontId="25" type="noConversion"/>
  </si>
  <si>
    <t>AUTO-ANDI</t>
    <phoneticPr fontId="25" type="noConversion"/>
  </si>
  <si>
    <t>WDDWF8HB1GF312919</t>
    <phoneticPr fontId="25" type="noConversion"/>
  </si>
  <si>
    <t>C63 S</t>
    <phoneticPr fontId="25" type="noConversion"/>
  </si>
  <si>
    <t>287머3914</t>
    <phoneticPr fontId="25" type="noConversion"/>
  </si>
  <si>
    <t>Raja Shais Ghani</t>
    <phoneticPr fontId="25" type="noConversion"/>
  </si>
  <si>
    <t>WBA8C5102GK640437</t>
    <phoneticPr fontId="25" type="noConversion"/>
  </si>
  <si>
    <t>320D</t>
    <phoneticPr fontId="25" type="noConversion"/>
  </si>
  <si>
    <t>Faturat Net Sh.p.k</t>
    <phoneticPr fontId="25" type="noConversion"/>
  </si>
  <si>
    <t>WAUZZZF27MN004448</t>
    <phoneticPr fontId="25" type="noConversion"/>
  </si>
  <si>
    <t>WDDSJ4GB3GN365070</t>
    <phoneticPr fontId="25" type="noConversion"/>
  </si>
  <si>
    <t>CLA250 4Matic</t>
    <phoneticPr fontId="25" type="noConversion"/>
  </si>
  <si>
    <t>16거0862</t>
    <phoneticPr fontId="25" type="noConversion"/>
  </si>
  <si>
    <t>출고</t>
    <phoneticPr fontId="25" type="noConversion"/>
  </si>
  <si>
    <t>888 AUTO KOSOVA</t>
    <phoneticPr fontId="25" type="noConversion"/>
  </si>
  <si>
    <t>FER-GROUP SH.P.K</t>
    <phoneticPr fontId="25" type="noConversion"/>
  </si>
  <si>
    <t>3510만원</t>
    <phoneticPr fontId="25" type="noConversion"/>
  </si>
  <si>
    <t>WDCDA7EBXGA729350</t>
    <phoneticPr fontId="25" type="noConversion"/>
  </si>
  <si>
    <t>GLE63 AMG</t>
    <phoneticPr fontId="25" type="noConversion"/>
  </si>
  <si>
    <t>291부1888</t>
    <phoneticPr fontId="25" type="noConversion"/>
  </si>
  <si>
    <t>2214만원 진행</t>
    <phoneticPr fontId="25" type="noConversion"/>
  </si>
  <si>
    <t>WDCDA2EB3GA729788</t>
    <phoneticPr fontId="25" type="noConversion"/>
  </si>
  <si>
    <t>GLE350d 4Maitc</t>
    <phoneticPr fontId="25" type="noConversion"/>
  </si>
  <si>
    <t>43라0518</t>
    <phoneticPr fontId="25" type="noConversion"/>
  </si>
  <si>
    <t>1577만원 판매</t>
    <phoneticPr fontId="25" type="noConversion"/>
  </si>
  <si>
    <t>WDCTG5CB7GJ217630</t>
    <phoneticPr fontId="25" type="noConversion"/>
  </si>
  <si>
    <t xml:space="preserve">GLA 45 AMG </t>
    <phoneticPr fontId="25" type="noConversion"/>
  </si>
  <si>
    <t>50모0955</t>
    <phoneticPr fontId="25" type="noConversion"/>
  </si>
  <si>
    <t>CERTUS  GmbH</t>
  </si>
  <si>
    <t>삼실 판매보고 완</t>
  </si>
  <si>
    <t>BENZ공센터에서 에어벡 리콜중</t>
    <phoneticPr fontId="25" type="noConversion"/>
  </si>
  <si>
    <t>9322URO/1588만원</t>
    <phoneticPr fontId="25" type="noConversion"/>
  </si>
  <si>
    <t>WDDKK6FF0GF321194</t>
    <phoneticPr fontId="25" type="noConversion"/>
  </si>
  <si>
    <t>E400 Cabriolet</t>
    <phoneticPr fontId="25" type="noConversion"/>
  </si>
  <si>
    <t>18구7174</t>
    <phoneticPr fontId="25" type="noConversion"/>
  </si>
  <si>
    <t>1610만원 판매</t>
    <phoneticPr fontId="25" type="noConversion"/>
  </si>
  <si>
    <t>WDDL6FB5FA138213</t>
    <phoneticPr fontId="25" type="noConversion"/>
  </si>
  <si>
    <t>CLS400</t>
    <phoneticPr fontId="25" type="noConversion"/>
  </si>
  <si>
    <t>34고5999</t>
    <phoneticPr fontId="25" type="noConversion"/>
  </si>
  <si>
    <t>개인 매입 건</t>
    <phoneticPr fontId="25" type="noConversion"/>
  </si>
  <si>
    <t>1300만원 판매</t>
    <phoneticPr fontId="25" type="noConversion"/>
  </si>
  <si>
    <t>WDDSJ4GB5FN150322</t>
    <phoneticPr fontId="25" type="noConversion"/>
  </si>
  <si>
    <t>31어7979</t>
    <phoneticPr fontId="25" type="noConversion"/>
  </si>
  <si>
    <t>입금완료</t>
    <phoneticPr fontId="25" type="noConversion"/>
  </si>
  <si>
    <t>AUTO-ANDI</t>
  </si>
  <si>
    <t>WDCDA0EB0GA681025</t>
    <phoneticPr fontId="25" type="noConversion"/>
  </si>
  <si>
    <t>GLE250d 4Matic</t>
    <phoneticPr fontId="25" type="noConversion"/>
  </si>
  <si>
    <t>230주7666</t>
    <phoneticPr fontId="25" type="noConversion"/>
  </si>
  <si>
    <t>WDDWF8HB0GF317643</t>
    <phoneticPr fontId="25" type="noConversion"/>
  </si>
  <si>
    <t>C63 S AMG</t>
    <phoneticPr fontId="25" type="noConversion"/>
  </si>
  <si>
    <t>36조0919</t>
    <phoneticPr fontId="25" type="noConversion"/>
  </si>
  <si>
    <t>Manouchehr Mirzaei</t>
    <phoneticPr fontId="25" type="noConversion"/>
  </si>
  <si>
    <t>WDCDA2EB5HA992057</t>
    <phoneticPr fontId="25" type="noConversion"/>
  </si>
  <si>
    <t>GLE350d 4Matic</t>
    <phoneticPr fontId="25" type="noConversion"/>
  </si>
  <si>
    <t>43너1760</t>
    <phoneticPr fontId="25" type="noConversion"/>
  </si>
  <si>
    <t>WDDL9HB3GA183389</t>
    <phoneticPr fontId="25" type="noConversion"/>
  </si>
  <si>
    <t>CLS250 d 4Matic</t>
    <phoneticPr fontId="25" type="noConversion"/>
  </si>
  <si>
    <t>28누0813</t>
    <phoneticPr fontId="25" type="noConversion"/>
  </si>
  <si>
    <t>Albania (신규)</t>
    <phoneticPr fontId="25" type="noConversion"/>
  </si>
  <si>
    <t>Myzejen Zajaku</t>
    <phoneticPr fontId="25" type="noConversion"/>
  </si>
  <si>
    <t>WDCDA7EB7GA741312</t>
    <phoneticPr fontId="25" type="noConversion"/>
  </si>
  <si>
    <t>202모6400</t>
    <phoneticPr fontId="25" type="noConversion"/>
  </si>
  <si>
    <t>돈받은거</t>
    <phoneticPr fontId="25" type="noConversion"/>
  </si>
  <si>
    <t>실지급액</t>
    <phoneticPr fontId="25" type="noConversion"/>
  </si>
  <si>
    <t>비용공제</t>
    <phoneticPr fontId="25" type="noConversion"/>
  </si>
  <si>
    <t>서류공제</t>
    <phoneticPr fontId="25" type="noConversion"/>
  </si>
  <si>
    <t>지급액</t>
  </si>
  <si>
    <t>총 마진</t>
  </si>
  <si>
    <t>부가세 마진</t>
    <phoneticPr fontId="25" type="noConversion"/>
  </si>
  <si>
    <t>판매마진</t>
    <phoneticPr fontId="25" type="noConversion"/>
  </si>
  <si>
    <r>
      <rPr>
        <b/>
        <sz val="10"/>
        <color theme="1"/>
        <rFont val="맑은 고딕"/>
        <family val="3"/>
        <charset val="129"/>
      </rPr>
      <t>정산판매금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원화</t>
    </r>
    <phoneticPr fontId="25" type="noConversion"/>
  </si>
  <si>
    <t>합계</t>
    <phoneticPr fontId="25" type="noConversion"/>
  </si>
  <si>
    <t>기타</t>
    <phoneticPr fontId="25" type="noConversion"/>
  </si>
  <si>
    <t>쇼링</t>
    <phoneticPr fontId="25" type="noConversion"/>
  </si>
  <si>
    <t>캐리어</t>
    <phoneticPr fontId="25" type="noConversion"/>
  </si>
  <si>
    <t>탁송</t>
    <phoneticPr fontId="25" type="noConversion"/>
  </si>
  <si>
    <t>말소/면허</t>
    <phoneticPr fontId="25" type="noConversion"/>
  </si>
  <si>
    <t>선수금</t>
  </si>
  <si>
    <t>적립금     사용</t>
  </si>
  <si>
    <t>정산03</t>
  </si>
  <si>
    <t>입금날짜03</t>
  </si>
  <si>
    <t>정산02</t>
  </si>
  <si>
    <t>입금날짜02</t>
  </si>
  <si>
    <t>정산01</t>
  </si>
  <si>
    <t>입금날짜01</t>
  </si>
  <si>
    <t>메모</t>
  </si>
  <si>
    <t xml:space="preserve">미수금 </t>
  </si>
  <si>
    <t>입금합계</t>
  </si>
  <si>
    <t>판매 총 합계</t>
    <phoneticPr fontId="25" type="noConversion"/>
  </si>
  <si>
    <r>
      <rPr>
        <b/>
        <sz val="10"/>
        <color theme="1"/>
        <rFont val="맑은 고딕"/>
        <family val="3"/>
        <charset val="129"/>
      </rPr>
      <t>부가세</t>
    </r>
    <r>
      <rPr>
        <b/>
        <sz val="10"/>
        <color theme="1"/>
        <rFont val="Arial"/>
        <family val="2"/>
      </rPr>
      <t xml:space="preserve"> </t>
    </r>
    <phoneticPr fontId="25" type="noConversion"/>
  </si>
  <si>
    <t>디스카운트</t>
  </si>
  <si>
    <t>커미션</t>
    <phoneticPr fontId="25" type="noConversion"/>
  </si>
  <si>
    <t>운임</t>
  </si>
  <si>
    <t>환율 1$</t>
  </si>
  <si>
    <t>판매금액</t>
  </si>
  <si>
    <t>입금여부</t>
    <phoneticPr fontId="25" type="noConversion"/>
  </si>
  <si>
    <t>판매보고 여부</t>
    <phoneticPr fontId="25" type="noConversion"/>
  </si>
  <si>
    <t>위치</t>
    <phoneticPr fontId="25" type="noConversion"/>
  </si>
  <si>
    <t>유로</t>
    <phoneticPr fontId="25" type="noConversion"/>
  </si>
  <si>
    <t>총 구입금액</t>
  </si>
  <si>
    <t>매도비</t>
    <phoneticPr fontId="25" type="noConversion"/>
  </si>
  <si>
    <t>구입금액</t>
  </si>
  <si>
    <t>CHASSIS NUMBER</t>
  </si>
  <si>
    <t xml:space="preserve">EVOQUE </t>
    <phoneticPr fontId="25" type="noConversion"/>
  </si>
  <si>
    <r>
      <t>30</t>
    </r>
    <r>
      <rPr>
        <b/>
        <sz val="10"/>
        <color theme="1"/>
        <rFont val="돋움"/>
        <family val="3"/>
        <charset val="129"/>
      </rPr>
      <t>무</t>
    </r>
    <r>
      <rPr>
        <b/>
        <sz val="10"/>
        <color theme="1"/>
        <rFont val="Arial"/>
        <family val="2"/>
      </rPr>
      <t>0996</t>
    </r>
  </si>
  <si>
    <t>나라</t>
  </si>
  <si>
    <t>구입일자</t>
  </si>
  <si>
    <t xml:space="preserve"> NO</t>
    <phoneticPr fontId="25" type="noConversion"/>
  </si>
  <si>
    <t>고객컨사이니</t>
    <phoneticPr fontId="3" type="noConversion"/>
  </si>
  <si>
    <t>고객 ID / 비즈니스 넘버</t>
    <phoneticPr fontId="3" type="noConversion"/>
  </si>
  <si>
    <t>Shipping Cost</t>
  </si>
  <si>
    <t>Dollar exchange rate</t>
    <phoneticPr fontId="11" type="noConversion"/>
  </si>
  <si>
    <t>ID No. / business No.</t>
    <phoneticPr fontId="3" type="noConversion"/>
  </si>
  <si>
    <t>주소</t>
    <phoneticPr fontId="25" type="noConversion"/>
  </si>
  <si>
    <t>전화번호</t>
    <phoneticPr fontId="3" type="noConversion"/>
  </si>
  <si>
    <t>바이어 회사명</t>
    <phoneticPr fontId="3" type="noConversion"/>
  </si>
  <si>
    <t>CAR PRICE</t>
    <phoneticPr fontId="3" type="noConversion"/>
  </si>
  <si>
    <t>replacement cost</t>
  </si>
  <si>
    <t>-</t>
    <phoneticPr fontId="3" type="noConversion"/>
  </si>
  <si>
    <t>USD</t>
    <phoneticPr fontId="3" type="noConversion"/>
  </si>
  <si>
    <t>3550만원 / 106만원</t>
    <phoneticPr fontId="3" type="noConversion"/>
  </si>
  <si>
    <t>Commission</t>
    <phoneticPr fontId="3" type="noConversion"/>
  </si>
  <si>
    <t>Andi Cereku</t>
    <phoneticPr fontId="3" type="noConversion"/>
  </si>
  <si>
    <t>M34710201A</t>
    <phoneticPr fontId="3" type="noConversion"/>
  </si>
  <si>
    <t>696688738</t>
    <phoneticPr fontId="3" type="noConversion"/>
  </si>
  <si>
    <t>+38349930085, +38344371274</t>
    <phoneticPr fontId="3" type="noConversion"/>
  </si>
  <si>
    <t xml:space="preserve"> Faturat Net Sh.p.k</t>
    <phoneticPr fontId="3" type="noConversion"/>
  </si>
  <si>
    <t>ㅇ</t>
    <phoneticPr fontId="3" type="noConversion"/>
  </si>
  <si>
    <t>배송조건 : CFR</t>
    <phoneticPr fontId="3" type="noConversion"/>
  </si>
  <si>
    <r>
      <rPr>
        <b/>
        <sz val="12"/>
        <rFont val="돋움"/>
        <family val="2"/>
        <charset val="129"/>
      </rPr>
      <t xml:space="preserve">계산서 </t>
    </r>
    <r>
      <rPr>
        <b/>
        <sz val="12"/>
        <rFont val="Arial"/>
        <family val="2"/>
      </rPr>
      <t>: 100%</t>
    </r>
    <phoneticPr fontId="3" type="noConversion"/>
  </si>
  <si>
    <r>
      <rPr>
        <b/>
        <sz val="11"/>
        <rFont val="맑은 고딕"/>
        <family val="2"/>
        <charset val="129"/>
      </rPr>
      <t>매매단지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2"/>
        <charset val="129"/>
      </rPr>
      <t>매입</t>
    </r>
    <r>
      <rPr>
        <b/>
        <sz val="11"/>
        <rFont val="Segoe UI Symbol"/>
        <family val="2"/>
      </rPr>
      <t>➖➖➖➖➖➖➖➖➖➖➖➖➖</t>
    </r>
    <phoneticPr fontId="3" type="noConversion"/>
  </si>
  <si>
    <r>
      <rPr>
        <b/>
        <sz val="20"/>
        <rFont val="맑은 고딕"/>
        <family val="3"/>
        <charset val="129"/>
      </rPr>
      <t>판매보고</t>
    </r>
    <r>
      <rPr>
        <b/>
        <sz val="20"/>
        <rFont val="Arial Black"/>
        <family val="2"/>
      </rPr>
      <t xml:space="preserve"> </t>
    </r>
    <r>
      <rPr>
        <b/>
        <sz val="20"/>
        <rFont val="맑은 고딕"/>
        <family val="3"/>
        <charset val="129"/>
      </rPr>
      <t>자동화</t>
    </r>
    <r>
      <rPr>
        <b/>
        <sz val="20"/>
        <rFont val="Arial Black"/>
        <family val="2"/>
      </rPr>
      <t xml:space="preserve"> (AUTO)</t>
    </r>
    <phoneticPr fontId="3" type="noConversion"/>
  </si>
  <si>
    <t>**계약금 : 이용빈 계약 50만**</t>
    <phoneticPr fontId="3" type="noConversion"/>
  </si>
  <si>
    <t>차량번호</t>
    <phoneticPr fontId="3" type="noConversion"/>
  </si>
  <si>
    <t>+383 44878548</t>
    <phoneticPr fontId="3" type="noConversion"/>
  </si>
  <si>
    <t>DURRES POST</t>
    <phoneticPr fontId="3" type="noConversion"/>
  </si>
  <si>
    <t>M43428202S</t>
    <phoneticPr fontId="3" type="noConversion"/>
  </si>
  <si>
    <t>+0696591358</t>
    <phoneticPr fontId="3" type="noConversion"/>
  </si>
  <si>
    <t>+38345883676</t>
    <phoneticPr fontId="3" type="noConversion"/>
  </si>
  <si>
    <t>Lagja Dardania , rruga Idriz Gjilani lokali Nova Bar</t>
    <phoneticPr fontId="3" type="noConversion"/>
  </si>
  <si>
    <t>판매자 정보</t>
    <phoneticPr fontId="25" type="noConversion"/>
  </si>
  <si>
    <t>AUTO SALLON TIKU-DITI SH.P.K</t>
    <phoneticPr fontId="3" type="noConversion"/>
  </si>
  <si>
    <t>Llazareve, nn - 15000 Obiliq, Kosovo</t>
    <phoneticPr fontId="3" type="noConversion"/>
  </si>
  <si>
    <t>+38344340828</t>
    <phoneticPr fontId="3" type="noConversion"/>
  </si>
  <si>
    <t>FERGROUP SHPK</t>
    <phoneticPr fontId="3" type="noConversion"/>
  </si>
  <si>
    <t>‪+383 48 238888‪</t>
    <phoneticPr fontId="3" type="noConversion"/>
  </si>
  <si>
    <t>Company Name.</t>
    <phoneticPr fontId="3" type="noConversion"/>
  </si>
  <si>
    <t>Telephone number.</t>
    <phoneticPr fontId="3" type="noConversion"/>
  </si>
  <si>
    <t>Email.</t>
    <phoneticPr fontId="3" type="noConversion"/>
  </si>
  <si>
    <t>Tax number.</t>
    <phoneticPr fontId="3" type="noConversion"/>
  </si>
  <si>
    <t>VAT ID number.</t>
    <phoneticPr fontId="3" type="noConversion"/>
  </si>
  <si>
    <t xml:space="preserve"> F-GAS Portal ID No.</t>
    <phoneticPr fontId="3" type="noConversion"/>
  </si>
  <si>
    <t xml:space="preserve"> EORI No.</t>
    <phoneticPr fontId="3" type="noConversion"/>
  </si>
  <si>
    <t>CERTUS Industriedienstleistungen GmbH</t>
    <phoneticPr fontId="3" type="noConversion"/>
  </si>
  <si>
    <t xml:space="preserve"> M34710201A</t>
    <phoneticPr fontId="3" type="noConversion"/>
  </si>
  <si>
    <t>James-Watt-Straße 10 /
33334 Gütersloh - Germany</t>
    <phoneticPr fontId="3" type="noConversion"/>
  </si>
  <si>
    <t>+491755624915</t>
    <phoneticPr fontId="3" type="noConversion"/>
  </si>
  <si>
    <t>우리들모터스 / 이재형</t>
    <phoneticPr fontId="3" type="noConversion"/>
  </si>
  <si>
    <t>디에이모터스 / 김대신</t>
    <phoneticPr fontId="3" type="noConversion"/>
  </si>
  <si>
    <t>무결점카모터스 / 정혜원</t>
    <phoneticPr fontId="3" type="noConversion"/>
  </si>
  <si>
    <t>더 하이앤드 / 김태양</t>
    <phoneticPr fontId="3" type="noConversion"/>
  </si>
  <si>
    <t>차투차 / 진세현</t>
    <phoneticPr fontId="3" type="noConversion"/>
  </si>
  <si>
    <t>힐링모터스 / 김의선</t>
    <phoneticPr fontId="3" type="noConversion"/>
  </si>
  <si>
    <t>오케이모터스 / 서동환</t>
    <phoneticPr fontId="3" type="noConversion"/>
  </si>
  <si>
    <t>쌍둥이모터스 / 정월출</t>
    <phoneticPr fontId="3" type="noConversion"/>
  </si>
  <si>
    <t>카매니저 / 김동규</t>
    <phoneticPr fontId="3" type="noConversion"/>
  </si>
  <si>
    <t>왕카 / 한필호</t>
    <phoneticPr fontId="3" type="noConversion"/>
  </si>
  <si>
    <t>달인중고차 / 김성현</t>
    <phoneticPr fontId="3" type="noConversion"/>
  </si>
  <si>
    <t xml:space="preserve">오토허브셀카/ 박종기 </t>
    <phoneticPr fontId="3" type="noConversion"/>
  </si>
  <si>
    <t>빅보스모터스 / 김진현</t>
    <phoneticPr fontId="3" type="noConversion"/>
  </si>
  <si>
    <r>
      <rPr>
        <b/>
        <sz val="10"/>
        <color theme="1"/>
        <rFont val="맑은 고딕"/>
        <family val="3"/>
        <charset val="129"/>
      </rPr>
      <t>구입일자</t>
    </r>
    <r>
      <rPr>
        <b/>
        <sz val="10"/>
        <color theme="1"/>
        <rFont val="Arial"/>
        <family val="2"/>
      </rPr>
      <t>2</t>
    </r>
    <phoneticPr fontId="3" type="noConversion"/>
  </si>
  <si>
    <t>판매자정보3</t>
    <phoneticPr fontId="25" type="noConversion"/>
  </si>
  <si>
    <t>엔진 배기량4</t>
    <phoneticPr fontId="25" type="noConversion"/>
  </si>
  <si>
    <t>엔진타입5</t>
    <phoneticPr fontId="25" type="noConversion"/>
  </si>
  <si>
    <t>에어컨 정보6</t>
    <phoneticPr fontId="25" type="noConversion"/>
  </si>
  <si>
    <t>등록일자7</t>
    <phoneticPr fontId="25" type="noConversion"/>
  </si>
  <si>
    <t>주소8</t>
    <phoneticPr fontId="25" type="noConversion"/>
  </si>
  <si>
    <t>전화번호9</t>
    <phoneticPr fontId="3" type="noConversion"/>
  </si>
  <si>
    <t>고객 ID / 비즈니스 넘버10</t>
    <phoneticPr fontId="3" type="noConversion"/>
  </si>
  <si>
    <t>고객컨사이니11</t>
    <phoneticPr fontId="3" type="noConversion"/>
  </si>
  <si>
    <t>바이어 회사명12</t>
    <phoneticPr fontId="3" type="noConversion"/>
  </si>
  <si>
    <r>
      <t>30</t>
    </r>
    <r>
      <rPr>
        <b/>
        <sz val="10"/>
        <color theme="1"/>
        <rFont val="돋움"/>
        <family val="3"/>
        <charset val="129"/>
      </rPr>
      <t>무</t>
    </r>
    <r>
      <rPr>
        <b/>
        <sz val="10"/>
        <color theme="1"/>
        <rFont val="Arial"/>
        <family val="2"/>
      </rPr>
      <t>0996 14</t>
    </r>
    <phoneticPr fontId="3" type="noConversion"/>
  </si>
  <si>
    <t>차량모델명15</t>
    <phoneticPr fontId="25" type="noConversion"/>
  </si>
  <si>
    <t>351/5769/1588</t>
    <phoneticPr fontId="3" type="noConversion"/>
  </si>
  <si>
    <t>DE247052867</t>
    <phoneticPr fontId="3" type="noConversion"/>
  </si>
  <si>
    <t xml:space="preserve"> DE632486045873121</t>
    <phoneticPr fontId="3" type="noConversion"/>
  </si>
  <si>
    <t>64노9633</t>
    <phoneticPr fontId="3" type="noConversion"/>
  </si>
  <si>
    <t>A4</t>
    <phoneticPr fontId="3" type="noConversion"/>
  </si>
  <si>
    <t>WAUZZZ8K9EA097754</t>
    <phoneticPr fontId="3" type="noConversion"/>
  </si>
  <si>
    <t>Markeci Federiko</t>
    <phoneticPr fontId="3" type="noConversion"/>
  </si>
  <si>
    <t>K80110056Q</t>
    <phoneticPr fontId="3" type="noConversion"/>
  </si>
  <si>
    <t>서진모터스 / 이수욱</t>
    <phoneticPr fontId="3" type="noConversion"/>
  </si>
  <si>
    <t>WVGZZZ5NZGW530185</t>
    <phoneticPr fontId="3" type="noConversion"/>
  </si>
  <si>
    <t>08부3328</t>
    <phoneticPr fontId="3" type="noConversion"/>
  </si>
  <si>
    <t>레인보우 / 김태균</t>
    <phoneticPr fontId="3" type="noConversion"/>
  </si>
  <si>
    <t>KMHJ381ABGU107203</t>
    <phoneticPr fontId="3" type="noConversion"/>
  </si>
  <si>
    <t>일등중고차 / 박종혁</t>
    <phoneticPr fontId="3" type="noConversion"/>
  </si>
  <si>
    <t>32서1679</t>
    <phoneticPr fontId="3" type="noConversion"/>
  </si>
  <si>
    <t>TUCSON</t>
    <phoneticPr fontId="3" type="noConversion"/>
  </si>
  <si>
    <t>AUTO SALLON TIKU-DITI SH.P.K.</t>
    <phoneticPr fontId="3" type="noConversion"/>
  </si>
  <si>
    <t>E-CLASS</t>
    <phoneticPr fontId="3" type="noConversion"/>
  </si>
  <si>
    <t>Idealshped</t>
    <phoneticPr fontId="3" type="noConversion"/>
  </si>
  <si>
    <t>520D</t>
    <phoneticPr fontId="3" type="noConversion"/>
  </si>
  <si>
    <t>TIGUAN</t>
    <phoneticPr fontId="3" type="noConversion"/>
  </si>
  <si>
    <t>EURO exchange rate</t>
    <phoneticPr fontId="11" type="noConversion"/>
  </si>
  <si>
    <t>Meta andi</t>
    <phoneticPr fontId="3" type="noConversion"/>
  </si>
  <si>
    <t>J00629078J</t>
    <phoneticPr fontId="3" type="noConversion"/>
  </si>
  <si>
    <t>+383 49 822 255</t>
    <phoneticPr fontId="3" type="noConversion"/>
  </si>
  <si>
    <t>Sasa Vulovic B.l.</t>
    <phoneticPr fontId="3" type="noConversion"/>
  </si>
  <si>
    <t>Donje Varage zubin Potok</t>
    <phoneticPr fontId="3" type="noConversion"/>
  </si>
  <si>
    <t xml:space="preserve">  </t>
    <phoneticPr fontId="3" type="noConversion"/>
  </si>
  <si>
    <t>준모터스 / 김미란</t>
    <phoneticPr fontId="3" type="noConversion"/>
  </si>
  <si>
    <t>대박모터스 / 윤창기</t>
    <phoneticPr fontId="3" type="noConversion"/>
  </si>
  <si>
    <t>신원모터스 / 원도형</t>
    <phoneticPr fontId="3" type="noConversion"/>
  </si>
  <si>
    <t>+38349930085, +38344371274</t>
  </si>
  <si>
    <t xml:space="preserve"> Faturat Net Sh.p.k</t>
  </si>
  <si>
    <t>Faturat Net Sh.p.k</t>
  </si>
  <si>
    <t>172서3544</t>
    <phoneticPr fontId="3" type="noConversion"/>
  </si>
  <si>
    <t>A6</t>
    <phoneticPr fontId="3" type="noConversion"/>
  </si>
  <si>
    <t>WAUZZZF24LN027166</t>
    <phoneticPr fontId="3" type="noConversion"/>
  </si>
  <si>
    <t>에어라인오토 / 김수종</t>
    <phoneticPr fontId="3" type="noConversion"/>
  </si>
  <si>
    <t>카울렛 / 구태형</t>
    <phoneticPr fontId="3" type="noConversion"/>
  </si>
  <si>
    <t>QM3</t>
    <phoneticPr fontId="3" type="noConversion"/>
  </si>
  <si>
    <t>184무2284</t>
    <phoneticPr fontId="3" type="noConversion"/>
  </si>
  <si>
    <t>WVGZZZ5NEW506780</t>
    <phoneticPr fontId="3" type="noConversion"/>
  </si>
  <si>
    <t>대한모터스 / 김정우</t>
    <phoneticPr fontId="3" type="noConversion"/>
  </si>
  <si>
    <t>WBA7F2104GG523639</t>
    <phoneticPr fontId="3" type="noConversion"/>
  </si>
  <si>
    <t>31다1036</t>
    <phoneticPr fontId="25" type="noConversion"/>
  </si>
  <si>
    <t>경매 수수료 포함 1900만원 판매</t>
    <phoneticPr fontId="3" type="noConversion"/>
  </si>
  <si>
    <t>AJ 경매장</t>
    <phoneticPr fontId="3" type="noConversion"/>
  </si>
  <si>
    <t>현대글로비스</t>
    <phoneticPr fontId="3" type="noConversion"/>
  </si>
  <si>
    <t>397무3797</t>
    <phoneticPr fontId="3" type="noConversion"/>
  </si>
  <si>
    <t>WAUZZZF25LN064453</t>
    <phoneticPr fontId="3" type="noConversion"/>
  </si>
  <si>
    <t>스카이모터스 / 송민서</t>
    <phoneticPr fontId="3" type="noConversion"/>
  </si>
  <si>
    <t>116수7419</t>
    <phoneticPr fontId="3" type="noConversion"/>
  </si>
  <si>
    <t>WVGZZZ5NZLW824483</t>
    <phoneticPr fontId="3" type="noConversion"/>
  </si>
  <si>
    <t>SANTAFE</t>
    <phoneticPr fontId="3" type="noConversion"/>
  </si>
  <si>
    <t>KMHSW81UBDU091784</t>
    <phoneticPr fontId="3" type="noConversion"/>
  </si>
  <si>
    <t>58루8645</t>
    <phoneticPr fontId="3" type="noConversion"/>
  </si>
  <si>
    <t>카울렛 / 김진영</t>
    <phoneticPr fontId="3" type="noConversion"/>
  </si>
  <si>
    <t>인연모터스 / 김석원</t>
    <phoneticPr fontId="3" type="noConversion"/>
  </si>
  <si>
    <t>63마3976</t>
    <phoneticPr fontId="3" type="noConversion"/>
  </si>
  <si>
    <t>KMHSW81XDDU170661</t>
    <phoneticPr fontId="3" type="noConversion"/>
  </si>
  <si>
    <t>AJ</t>
    <phoneticPr fontId="3" type="noConversion"/>
  </si>
  <si>
    <t>Ramadan Xhaferi</t>
    <phoneticPr fontId="3" type="noConversion"/>
  </si>
  <si>
    <t xml:space="preserve">Erand derjaj </t>
    <phoneticPr fontId="3" type="noConversion"/>
  </si>
  <si>
    <t>+355 692079087</t>
    <phoneticPr fontId="3" type="noConversion"/>
  </si>
  <si>
    <t>Lagja 13 , plazh  Albania</t>
    <phoneticPr fontId="3" type="noConversion"/>
  </si>
  <si>
    <t>J60818087L</t>
    <phoneticPr fontId="3" type="noConversion"/>
  </si>
  <si>
    <t>181러3700</t>
    <phoneticPr fontId="3" type="noConversion"/>
  </si>
  <si>
    <t>CLA45 AMG</t>
    <phoneticPr fontId="3" type="noConversion"/>
  </si>
  <si>
    <t>WDDSJ5CB4JN518381</t>
    <phoneticPr fontId="3" type="noConversion"/>
  </si>
  <si>
    <t>+47 40056349</t>
    <phoneticPr fontId="3" type="noConversion"/>
  </si>
  <si>
    <t>Raja Shais Ghani</t>
    <phoneticPr fontId="3" type="noConversion"/>
  </si>
  <si>
    <t>Ole Messelts vei 148</t>
    <phoneticPr fontId="3" type="noConversion"/>
  </si>
  <si>
    <t>뉴코리아모터스 / 조광선</t>
    <phoneticPr fontId="3" type="noConversion"/>
  </si>
  <si>
    <t>149가3390</t>
    <phoneticPr fontId="3" type="noConversion"/>
  </si>
  <si>
    <t>Mercedes-AMG G65</t>
    <phoneticPr fontId="3" type="noConversion"/>
  </si>
  <si>
    <t>WDCYC7EF8GX259993</t>
    <phoneticPr fontId="3" type="noConversion"/>
  </si>
  <si>
    <t>아이오토스 / 임용진</t>
    <phoneticPr fontId="3" type="noConversion"/>
  </si>
  <si>
    <t>K CAR</t>
    <phoneticPr fontId="3" type="noConversion"/>
  </si>
  <si>
    <t>YV1FS79B0J2463418</t>
    <phoneticPr fontId="3" type="noConversion"/>
  </si>
  <si>
    <t>15오2380</t>
    <phoneticPr fontId="3" type="noConversion"/>
  </si>
  <si>
    <t>S60</t>
    <phoneticPr fontId="3" type="noConversion"/>
  </si>
  <si>
    <t>차모터스 / 장현수</t>
    <phoneticPr fontId="3" type="noConversion"/>
  </si>
  <si>
    <r>
      <t xml:space="preserve">RORO </t>
    </r>
    <r>
      <rPr>
        <b/>
        <sz val="18"/>
        <rFont val="맑은 고딕"/>
        <family val="2"/>
        <charset val="129"/>
      </rPr>
      <t>선적지시서</t>
    </r>
    <phoneticPr fontId="58" type="noConversion"/>
  </si>
  <si>
    <t>Main Consigne</t>
    <phoneticPr fontId="58" type="noConversion"/>
  </si>
  <si>
    <t>Final Destination</t>
    <phoneticPr fontId="58" type="noConversion"/>
  </si>
  <si>
    <t>DURRESS,  ALBANIA</t>
  </si>
  <si>
    <t>Forwarding</t>
    <phoneticPr fontId="3" type="noConversion"/>
  </si>
  <si>
    <t>CIG</t>
    <phoneticPr fontId="3" type="noConversion"/>
  </si>
  <si>
    <t>VESSEL NAME</t>
    <phoneticPr fontId="3" type="noConversion"/>
  </si>
  <si>
    <t>DOC</t>
    <phoneticPr fontId="3" type="noConversion"/>
  </si>
  <si>
    <t>-</t>
    <phoneticPr fontId="58" type="noConversion"/>
  </si>
  <si>
    <t>ETD</t>
    <phoneticPr fontId="3" type="noConversion"/>
  </si>
  <si>
    <t>ETA</t>
    <phoneticPr fontId="3" type="noConversion"/>
  </si>
  <si>
    <t>NO.</t>
    <phoneticPr fontId="58" type="noConversion"/>
  </si>
  <si>
    <t>Consigne</t>
    <phoneticPr fontId="3" type="noConversion"/>
  </si>
  <si>
    <t>Commodity</t>
    <phoneticPr fontId="58" type="noConversion"/>
  </si>
  <si>
    <t>Chassis No.</t>
    <phoneticPr fontId="58" type="noConversion"/>
  </si>
  <si>
    <t>Unit Price</t>
    <phoneticPr fontId="58" type="noConversion"/>
  </si>
  <si>
    <t>Shipping</t>
    <phoneticPr fontId="3" type="noConversion"/>
  </si>
  <si>
    <t>MEMO</t>
    <phoneticPr fontId="3" type="noConversion"/>
  </si>
  <si>
    <t>Obiliq,Kosova
+38344272242
FESTIM MEXHUANI
ID: 1243830547
festim-mexhuani@hotmail.com</t>
    <phoneticPr fontId="58" type="noConversion"/>
  </si>
  <si>
    <t xml:space="preserve"> </t>
    <phoneticPr fontId="3" type="noConversion"/>
  </si>
  <si>
    <t>Valmir Gashi 
ID:1175553165 
+38344157977
valmirgashi2001@gmail.com</t>
    <phoneticPr fontId="58" type="noConversion"/>
  </si>
  <si>
    <t>SUB TOTAL</t>
    <phoneticPr fontId="58" type="noConversion"/>
  </si>
  <si>
    <t xml:space="preserve"> </t>
    <phoneticPr fontId="58" type="noConversion"/>
  </si>
  <si>
    <t xml:space="preserve"> GRAND TOTAL :</t>
    <phoneticPr fontId="58" type="noConversion"/>
  </si>
  <si>
    <t xml:space="preserve"> GRAND TOTAL :</t>
  </si>
  <si>
    <t>이메일</t>
    <phoneticPr fontId="25" type="noConversion"/>
  </si>
  <si>
    <t>tm@certus.gmbh</t>
    <phoneticPr fontId="3" type="noConversion"/>
  </si>
  <si>
    <t>유로환율</t>
    <phoneticPr fontId="3" type="noConversion"/>
  </si>
  <si>
    <t>달러환율</t>
    <phoneticPr fontId="25" type="noConversion"/>
  </si>
  <si>
    <t>배송조건 : 컨테이너</t>
    <phoneticPr fontId="3" type="noConversion"/>
  </si>
  <si>
    <t>1991CC</t>
    <phoneticPr fontId="3" type="noConversion"/>
  </si>
  <si>
    <t>Gasoline</t>
    <phoneticPr fontId="3" type="noConversion"/>
  </si>
  <si>
    <t>26.08.2014</t>
    <phoneticPr fontId="3" type="noConversion"/>
  </si>
  <si>
    <t>유주오토 / 안현우</t>
    <phoneticPr fontId="3" type="noConversion"/>
  </si>
  <si>
    <t>221조3438</t>
    <phoneticPr fontId="3" type="noConversion"/>
  </si>
  <si>
    <t>WDDSJ4GB0FN109239</t>
    <phoneticPr fontId="3" type="noConversion"/>
  </si>
  <si>
    <t>1191만원판매</t>
    <phoneticPr fontId="3" type="noConversion"/>
  </si>
  <si>
    <t>61수5927</t>
    <phoneticPr fontId="3" type="noConversion"/>
  </si>
  <si>
    <t>KMHJ281ABGU011230</t>
    <phoneticPr fontId="3" type="noConversion"/>
  </si>
  <si>
    <t>엠앤제이오토모빌/ 공민은</t>
    <phoneticPr fontId="3" type="noConversion"/>
  </si>
  <si>
    <t>04너4140</t>
    <phoneticPr fontId="3" type="noConversion"/>
  </si>
  <si>
    <t>KMHJ381ABHU474661</t>
    <phoneticPr fontId="3" type="noConversion"/>
  </si>
  <si>
    <t>하나모터스 / 이승태</t>
    <phoneticPr fontId="3" type="noConversion"/>
  </si>
  <si>
    <t>GOLF</t>
    <phoneticPr fontId="3" type="noConversion"/>
  </si>
  <si>
    <t>CAR NAME</t>
    <phoneticPr fontId="25" type="noConversion"/>
  </si>
  <si>
    <r>
      <rPr>
        <b/>
        <sz val="16"/>
        <rFont val="맑은 고딕"/>
        <family val="3"/>
        <charset val="129"/>
      </rPr>
      <t>판매보고</t>
    </r>
    <r>
      <rPr>
        <b/>
        <sz val="16"/>
        <rFont val="Arial Black"/>
        <family val="2"/>
      </rPr>
      <t xml:space="preserve"> </t>
    </r>
    <r>
      <rPr>
        <b/>
        <sz val="16"/>
        <rFont val="맑은 고딕"/>
        <family val="3"/>
        <charset val="129"/>
      </rPr>
      <t>자동화</t>
    </r>
    <r>
      <rPr>
        <b/>
        <sz val="16"/>
        <rFont val="Arial Black"/>
        <family val="2"/>
      </rPr>
      <t xml:space="preserve"> (AUTO)</t>
    </r>
    <phoneticPr fontId="3" type="noConversion"/>
  </si>
  <si>
    <t>57고9546</t>
    <phoneticPr fontId="3" type="noConversion"/>
  </si>
  <si>
    <t>WAUZZZ8K1DN040360</t>
    <phoneticPr fontId="3" type="noConversion"/>
  </si>
  <si>
    <t>63더6087</t>
    <phoneticPr fontId="3" type="noConversion"/>
  </si>
  <si>
    <t>A3</t>
    <phoneticPr fontId="3" type="noConversion"/>
  </si>
  <si>
    <t>WAUZZZ8V7F1050752</t>
    <phoneticPr fontId="3" type="noConversion"/>
  </si>
  <si>
    <t>세이프티중고차 / 조성건</t>
    <phoneticPr fontId="3" type="noConversion"/>
  </si>
  <si>
    <t>개인매입</t>
    <phoneticPr fontId="3" type="noConversion"/>
  </si>
  <si>
    <t>47두2956</t>
    <phoneticPr fontId="3" type="noConversion"/>
  </si>
  <si>
    <t>달러현황</t>
    <phoneticPr fontId="58" type="noConversion"/>
  </si>
  <si>
    <t>유로현황</t>
    <phoneticPr fontId="58" type="noConversion"/>
  </si>
  <si>
    <t>독일 노르웨이 현황</t>
    <phoneticPr fontId="58" type="noConversion"/>
  </si>
  <si>
    <t>WAUZZZ4G6JN061542</t>
    <phoneticPr fontId="3" type="noConversion"/>
  </si>
  <si>
    <t>33더4257</t>
    <phoneticPr fontId="3" type="noConversion"/>
  </si>
  <si>
    <t>늘바른 / 김윤호</t>
    <phoneticPr fontId="3" type="noConversion"/>
  </si>
  <si>
    <t>서울모터스 / 곽광도</t>
    <phoneticPr fontId="3" type="noConversion"/>
  </si>
  <si>
    <t>49서0198</t>
    <phoneticPr fontId="3" type="noConversion"/>
  </si>
  <si>
    <t>Discovery Sports</t>
    <phoneticPr fontId="3" type="noConversion"/>
  </si>
  <si>
    <t>SALCA2BN1GH582080</t>
    <phoneticPr fontId="3" type="noConversion"/>
  </si>
  <si>
    <t>08누8815</t>
    <phoneticPr fontId="3" type="noConversion"/>
  </si>
  <si>
    <t>A42.0 TDI</t>
    <phoneticPr fontId="3" type="noConversion"/>
  </si>
  <si>
    <t xml:space="preserve"> 와이비모터스/안소정</t>
    <phoneticPr fontId="3" type="noConversion"/>
  </si>
  <si>
    <t>WAUZZZ8K0DN023677</t>
    <phoneticPr fontId="3" type="noConversion"/>
  </si>
  <si>
    <t>118D</t>
    <phoneticPr fontId="3" type="noConversion"/>
  </si>
  <si>
    <t>CLS250D</t>
    <phoneticPr fontId="3" type="noConversion"/>
  </si>
  <si>
    <t>KCAR</t>
    <phoneticPr fontId="3" type="noConversion"/>
  </si>
  <si>
    <t>A5</t>
    <phoneticPr fontId="3" type="noConversion"/>
  </si>
  <si>
    <t>I30</t>
    <phoneticPr fontId="3" type="noConversion"/>
  </si>
  <si>
    <t>320D</t>
    <phoneticPr fontId="3" type="noConversion"/>
  </si>
  <si>
    <t>DALIP ALSHIQI, 27, 10000 Prishtine, Kosovo</t>
    <phoneticPr fontId="3" type="noConversion"/>
  </si>
  <si>
    <t>WVWZZZAUZEW122285</t>
    <phoneticPr fontId="3" type="noConversion"/>
  </si>
  <si>
    <t>CC</t>
    <phoneticPr fontId="3" type="noConversion"/>
  </si>
  <si>
    <t>출고</t>
    <phoneticPr fontId="3" type="noConversion"/>
  </si>
  <si>
    <t>WDDWF8HB1GF307364</t>
    <phoneticPr fontId="3" type="noConversion"/>
  </si>
  <si>
    <t>C63 S</t>
    <phoneticPr fontId="3" type="noConversion"/>
  </si>
  <si>
    <t>31구0183</t>
    <phoneticPr fontId="3" type="noConversion"/>
  </si>
  <si>
    <t>Manouchehr Mirzaei</t>
    <phoneticPr fontId="3" type="noConversion"/>
  </si>
  <si>
    <t>Mikael Mirzaei</t>
    <phoneticPr fontId="3" type="noConversion"/>
  </si>
  <si>
    <t>+4748606275</t>
    <phoneticPr fontId="3" type="noConversion"/>
  </si>
  <si>
    <t>이볼트모터스/황태현</t>
    <phoneticPr fontId="3" type="noConversion"/>
  </si>
  <si>
    <t>Kosovo</t>
  </si>
  <si>
    <t>Albania</t>
  </si>
  <si>
    <t>Albania</t>
    <phoneticPr fontId="3" type="noConversion"/>
  </si>
  <si>
    <t>Norway</t>
    <phoneticPr fontId="25" type="noConversion"/>
  </si>
  <si>
    <t>+359 89 982 0982</t>
    <phoneticPr fontId="3" type="noConversion"/>
  </si>
  <si>
    <t>WDDHF0CBXEA918795</t>
    <phoneticPr fontId="3" type="noConversion"/>
  </si>
  <si>
    <t>18모1709</t>
    <phoneticPr fontId="3" type="noConversion"/>
  </si>
  <si>
    <t>WAUZZZ4G0FN011534</t>
    <phoneticPr fontId="3" type="noConversion"/>
  </si>
  <si>
    <t>64서3065</t>
    <phoneticPr fontId="3" type="noConversion"/>
  </si>
  <si>
    <t>WDDHF8CB4EA910769</t>
    <phoneticPr fontId="3" type="noConversion"/>
  </si>
  <si>
    <t>16고6141</t>
    <phoneticPr fontId="3" type="noConversion"/>
  </si>
  <si>
    <t>차카/허재</t>
    <phoneticPr fontId="3" type="noConversion"/>
  </si>
  <si>
    <t>175모8928</t>
    <phoneticPr fontId="3" type="noConversion"/>
  </si>
  <si>
    <t>S-CLASS</t>
    <phoneticPr fontId="3" type="noConversion"/>
  </si>
  <si>
    <t>WDDUF3DB5FA158307</t>
    <phoneticPr fontId="3" type="noConversion"/>
  </si>
  <si>
    <t>21로5718</t>
    <phoneticPr fontId="3" type="noConversion"/>
  </si>
  <si>
    <t>WVWZZZAUZEW226952</t>
    <phoneticPr fontId="3" type="noConversion"/>
  </si>
  <si>
    <t>솔카/천승호</t>
    <phoneticPr fontId="3" type="noConversion"/>
  </si>
  <si>
    <t>오토웨이/박병학</t>
    <phoneticPr fontId="3" type="noConversion"/>
  </si>
  <si>
    <t>WAUZZZ4G1DN081010</t>
    <phoneticPr fontId="3" type="noConversion"/>
  </si>
  <si>
    <t>A7 3.0 TDI</t>
    <phoneticPr fontId="3" type="noConversion"/>
  </si>
  <si>
    <t>287저2966</t>
    <phoneticPr fontId="3" type="noConversion"/>
  </si>
  <si>
    <t>신원자동차/정환석</t>
    <phoneticPr fontId="3" type="noConversion"/>
  </si>
  <si>
    <t>32소9154</t>
    <phoneticPr fontId="3" type="noConversion"/>
  </si>
  <si>
    <t>WVGZZZ5NZAW095741</t>
    <phoneticPr fontId="3" type="noConversion"/>
  </si>
  <si>
    <t>380누8232</t>
    <phoneticPr fontId="3" type="noConversion"/>
  </si>
  <si>
    <t>WAUZZZ4G3GN167195</t>
    <phoneticPr fontId="3" type="noConversion"/>
  </si>
  <si>
    <t>WDDHF9EB5FB098588</t>
    <phoneticPr fontId="3" type="noConversion"/>
  </si>
  <si>
    <t>340고3006</t>
    <phoneticPr fontId="3" type="noConversion"/>
  </si>
  <si>
    <t>Balla Eni</t>
    <phoneticPr fontId="3" type="noConversion"/>
  </si>
  <si>
    <t>J00630041G</t>
    <phoneticPr fontId="3" type="noConversion"/>
  </si>
  <si>
    <t>Hasan Sokoli</t>
    <phoneticPr fontId="3" type="noConversion"/>
  </si>
  <si>
    <t>J502020460</t>
    <phoneticPr fontId="3" type="noConversion"/>
  </si>
  <si>
    <t>WBA6E4101GD929387</t>
    <phoneticPr fontId="3" type="noConversion"/>
  </si>
  <si>
    <t>45거3724</t>
    <phoneticPr fontId="3" type="noConversion"/>
  </si>
  <si>
    <t>640D</t>
    <phoneticPr fontId="3" type="noConversion"/>
  </si>
  <si>
    <t>06누0302</t>
    <phoneticPr fontId="3" type="noConversion"/>
  </si>
  <si>
    <t>SALVA2BN6GH136032</t>
    <phoneticPr fontId="3" type="noConversion"/>
  </si>
  <si>
    <t>현진모터스/유현진</t>
    <phoneticPr fontId="3" type="noConversion"/>
  </si>
  <si>
    <t>WVGZZZ5NZLW319878</t>
    <phoneticPr fontId="3" type="noConversion"/>
  </si>
  <si>
    <t>387무3733</t>
    <phoneticPr fontId="3" type="noConversion"/>
  </si>
  <si>
    <t>블루오토/장기훈</t>
    <phoneticPr fontId="3" type="noConversion"/>
  </si>
  <si>
    <t>Ibush Arifi</t>
    <phoneticPr fontId="3" type="noConversion"/>
  </si>
  <si>
    <t>ISMET KRASNIQI, 208, 10 Prishtine, Kosovo</t>
    <phoneticPr fontId="3" type="noConversion"/>
  </si>
  <si>
    <t>+383 45 588 543</t>
    <phoneticPr fontId="3" type="noConversion"/>
  </si>
  <si>
    <t>05두3911</t>
    <phoneticPr fontId="3" type="noConversion"/>
  </si>
  <si>
    <t>WDCDA2EB8HA912265</t>
    <phoneticPr fontId="3" type="noConversion"/>
  </si>
  <si>
    <t>23.06.2017</t>
    <phoneticPr fontId="3" type="noConversion"/>
  </si>
  <si>
    <t>Diesel</t>
    <phoneticPr fontId="3" type="noConversion"/>
  </si>
  <si>
    <t>2987CC</t>
    <phoneticPr fontId="3" type="noConversion"/>
  </si>
  <si>
    <t>GDCAR/김복기</t>
    <phoneticPr fontId="3" type="noConversion"/>
  </si>
  <si>
    <t>287조5161</t>
    <phoneticPr fontId="3" type="noConversion"/>
  </si>
  <si>
    <t>건모터스/김태혁</t>
    <phoneticPr fontId="3" type="noConversion"/>
  </si>
  <si>
    <t>Porsche Macan</t>
    <phoneticPr fontId="3" type="noConversion"/>
  </si>
  <si>
    <t>WP1AD2954FLB88336</t>
    <phoneticPr fontId="3" type="noConversion"/>
  </si>
  <si>
    <t>스마일자동차/김정훈</t>
    <phoneticPr fontId="3" type="noConversion"/>
  </si>
  <si>
    <t>193조6929</t>
    <phoneticPr fontId="3" type="noConversion"/>
  </si>
  <si>
    <t>WAUZZZ8K0GA010729</t>
    <phoneticPr fontId="3" type="noConversion"/>
  </si>
  <si>
    <t>11도5235</t>
    <phoneticPr fontId="3" type="noConversion"/>
  </si>
  <si>
    <t>WVWZZZAUZFW280737</t>
    <phoneticPr fontId="3" type="noConversion"/>
  </si>
  <si>
    <t>GLA</t>
    <phoneticPr fontId="3" type="noConversion"/>
  </si>
  <si>
    <t>298오9431</t>
    <phoneticPr fontId="3" type="noConversion"/>
  </si>
  <si>
    <t>11노1747</t>
    <phoneticPr fontId="3" type="noConversion"/>
  </si>
  <si>
    <t>17소5786</t>
    <phoneticPr fontId="3" type="noConversion"/>
  </si>
  <si>
    <t>56가4320</t>
    <phoneticPr fontId="3" type="noConversion"/>
  </si>
  <si>
    <t>WDDLJ9HB3FA144977</t>
    <phoneticPr fontId="3" type="noConversion"/>
  </si>
  <si>
    <t>WVWZZZAUZFW271981</t>
    <phoneticPr fontId="3" type="noConversion"/>
  </si>
  <si>
    <t>WVWZZZAUZEW401738</t>
    <phoneticPr fontId="3" type="noConversion"/>
  </si>
  <si>
    <t>WDCTG0JB5FJ033212</t>
    <phoneticPr fontId="3" type="noConversion"/>
  </si>
  <si>
    <t>68주1042</t>
    <phoneticPr fontId="3" type="noConversion"/>
  </si>
  <si>
    <t>JETTA</t>
    <phoneticPr fontId="3" type="noConversion"/>
  </si>
  <si>
    <t>PASSAT</t>
    <phoneticPr fontId="3" type="noConversion"/>
  </si>
  <si>
    <t>32서7449</t>
    <phoneticPr fontId="3" type="noConversion"/>
  </si>
  <si>
    <t>41우0205</t>
    <phoneticPr fontId="3" type="noConversion"/>
  </si>
  <si>
    <t xml:space="preserve">PEUGEOT 308 </t>
    <phoneticPr fontId="3" type="noConversion"/>
  </si>
  <si>
    <t>184가6767</t>
    <phoneticPr fontId="3" type="noConversion"/>
  </si>
  <si>
    <t>53도7978</t>
    <phoneticPr fontId="3" type="noConversion"/>
  </si>
  <si>
    <t xml:space="preserve">Kv auto group </t>
    <phoneticPr fontId="3" type="noConversion"/>
  </si>
  <si>
    <t>Q5</t>
    <phoneticPr fontId="3" type="noConversion"/>
  </si>
  <si>
    <t>WVWZZZ16ZDM078771</t>
    <phoneticPr fontId="3" type="noConversion"/>
  </si>
  <si>
    <t>1VWZZZA3ZFC006849</t>
    <phoneticPr fontId="3" type="noConversion"/>
  </si>
  <si>
    <t>VF3LBBHZWGS056943</t>
    <phoneticPr fontId="3" type="noConversion"/>
  </si>
  <si>
    <t>WBACV6100L9B07128</t>
    <phoneticPr fontId="3" type="noConversion"/>
  </si>
  <si>
    <t xml:space="preserve"> WAUZZZ8R7DA008209</t>
    <phoneticPr fontId="3" type="noConversion"/>
  </si>
  <si>
    <t xml:space="preserve">BMW X5 </t>
    <phoneticPr fontId="3" type="noConversion"/>
  </si>
  <si>
    <t xml:space="preserve">298저1919 </t>
    <phoneticPr fontId="3" type="noConversion"/>
  </si>
  <si>
    <t>Benz GLE 300 D 4 MATIC</t>
    <phoneticPr fontId="3" type="noConversion"/>
  </si>
  <si>
    <t xml:space="preserve">WDCFB1KB8KA076789  </t>
    <phoneticPr fontId="3" type="noConversion"/>
  </si>
  <si>
    <t xml:space="preserve">정모터스/ 정상근 </t>
    <phoneticPr fontId="3" type="noConversion"/>
  </si>
  <si>
    <t xml:space="preserve">43소6494   </t>
    <phoneticPr fontId="3" type="noConversion"/>
  </si>
  <si>
    <t>WDDWJ1FB2KF872210</t>
    <phoneticPr fontId="3" type="noConversion"/>
  </si>
  <si>
    <t>253머1590</t>
    <phoneticPr fontId="3" type="noConversion"/>
  </si>
  <si>
    <t>Arteon</t>
    <phoneticPr fontId="3" type="noConversion"/>
  </si>
  <si>
    <t>레인보우</t>
    <phoneticPr fontId="3" type="noConversion"/>
  </si>
  <si>
    <t>06마5650</t>
    <phoneticPr fontId="3" type="noConversion"/>
  </si>
  <si>
    <t>Niro</t>
    <phoneticPr fontId="3" type="noConversion"/>
  </si>
  <si>
    <t>뉴코리아코터스</t>
    <phoneticPr fontId="3" type="noConversion"/>
  </si>
  <si>
    <t>계약금</t>
    <phoneticPr fontId="3" type="noConversion"/>
  </si>
  <si>
    <t>이용빈 통장 100만원</t>
    <phoneticPr fontId="3" type="noConversion"/>
  </si>
  <si>
    <t>이용빈/회사 통장 50만원식</t>
    <phoneticPr fontId="3" type="noConversion"/>
  </si>
  <si>
    <t>42거3455</t>
    <phoneticPr fontId="3" type="noConversion"/>
  </si>
  <si>
    <t>AUTO-ANDI</t>
    <phoneticPr fontId="3" type="noConversion"/>
  </si>
  <si>
    <t>K20217071W</t>
    <phoneticPr fontId="3" type="noConversion"/>
  </si>
  <si>
    <t>MECANAJ ALBION</t>
    <phoneticPr fontId="3" type="noConversion"/>
  </si>
  <si>
    <t>BUZANI REXHEP</t>
    <phoneticPr fontId="3" type="noConversion"/>
  </si>
  <si>
    <t>K10703071M</t>
    <phoneticPr fontId="3" type="noConversion"/>
  </si>
  <si>
    <t>AUTO SHQIPONZA</t>
    <phoneticPr fontId="3" type="noConversion"/>
  </si>
  <si>
    <t>VLORE</t>
    <phoneticPr fontId="3" type="noConversion"/>
  </si>
  <si>
    <t>MYRTA NAIM</t>
    <phoneticPr fontId="3" type="noConversion"/>
  </si>
  <si>
    <t>G70920085G</t>
    <phoneticPr fontId="3" type="noConversion"/>
  </si>
  <si>
    <t>SHOERDHET</t>
    <phoneticPr fontId="3" type="noConversion"/>
  </si>
  <si>
    <t>KNACB81CGJA175189</t>
    <phoneticPr fontId="3" type="noConversion"/>
  </si>
  <si>
    <t>Svetoslav Ivanov Ivanov</t>
    <phoneticPr fontId="3" type="noConversion"/>
  </si>
  <si>
    <t xml:space="preserve"> Plovdiv , Str. Asen Hristoforov №25</t>
    <phoneticPr fontId="3" type="noConversion"/>
  </si>
  <si>
    <t>WVWZZZ3HZKE012994</t>
    <phoneticPr fontId="3" type="noConversion"/>
  </si>
  <si>
    <t xml:space="preserve">Kolev Krasimir Hristov </t>
    <phoneticPr fontId="3" type="noConversion"/>
  </si>
  <si>
    <t>Bulgaria, Varna, str. Vladislav Varnenchik 303 number 6, fl. 6 ap. 24</t>
    <phoneticPr fontId="3" type="noConversion"/>
  </si>
  <si>
    <t>X</t>
    <phoneticPr fontId="3" type="noConversion"/>
  </si>
  <si>
    <t xml:space="preserve"> (주)와이엠모터스   </t>
    <phoneticPr fontId="3" type="noConversion"/>
  </si>
  <si>
    <t>26.06.2019</t>
    <phoneticPr fontId="3" type="noConversion"/>
  </si>
  <si>
    <t>이용빈 계약 50만</t>
    <phoneticPr fontId="3" type="noConversion"/>
  </si>
  <si>
    <t>완</t>
    <phoneticPr fontId="3" type="noConversion"/>
  </si>
  <si>
    <t>야드</t>
    <phoneticPr fontId="3" type="noConversion"/>
  </si>
  <si>
    <t xml:space="preserve">계약금 </t>
    <phoneticPr fontId="3" type="noConversion"/>
  </si>
  <si>
    <t>Business No.</t>
    <phoneticPr fontId="3" type="noConversion"/>
  </si>
  <si>
    <t>Address</t>
    <phoneticPr fontId="3" type="noConversion"/>
  </si>
  <si>
    <t>환율 
USD</t>
    <phoneticPr fontId="3" type="noConversion"/>
  </si>
  <si>
    <t>정산판매금 원화</t>
    <phoneticPr fontId="25" type="noConversion"/>
  </si>
  <si>
    <t>WVGZZZ5NZCW610180</t>
    <phoneticPr fontId="3" type="noConversion"/>
  </si>
  <si>
    <t>GLC220D 4 MATIC COUPE</t>
    <phoneticPr fontId="3" type="noConversion"/>
  </si>
  <si>
    <t>57루4400</t>
    <phoneticPr fontId="3" type="noConversion"/>
  </si>
  <si>
    <t>㈜셀링오토</t>
    <phoneticPr fontId="3" type="noConversion"/>
  </si>
  <si>
    <t>184머6635</t>
    <phoneticPr fontId="3" type="noConversion"/>
  </si>
  <si>
    <t>㈜지모터스</t>
    <phoneticPr fontId="3" type="noConversion"/>
  </si>
  <si>
    <t>26.04.11</t>
    <phoneticPr fontId="3" type="noConversion"/>
  </si>
  <si>
    <t>Bicaku Elda</t>
    <phoneticPr fontId="3" type="noConversion"/>
  </si>
  <si>
    <t>K35923063B</t>
    <phoneticPr fontId="3" type="noConversion"/>
  </si>
  <si>
    <t>8100입금</t>
    <phoneticPr fontId="3" type="noConversion"/>
  </si>
  <si>
    <t>600 선수금</t>
    <phoneticPr fontId="3" type="noConversion"/>
  </si>
  <si>
    <t>27더8058</t>
    <phoneticPr fontId="3" type="noConversion"/>
  </si>
  <si>
    <t xml:space="preserve">WDDZF0FBXHA269021 </t>
    <phoneticPr fontId="3" type="noConversion"/>
  </si>
  <si>
    <t>E220 d 4Matic</t>
    <phoneticPr fontId="3" type="noConversion"/>
  </si>
  <si>
    <t>Address</t>
    <phoneticPr fontId="11" type="noConversion"/>
  </si>
  <si>
    <t>인보이스 금액</t>
    <phoneticPr fontId="25" type="noConversion"/>
  </si>
  <si>
    <t>선수금</t>
    <phoneticPr fontId="3" type="noConversion"/>
  </si>
  <si>
    <t>45거3598</t>
    <phoneticPr fontId="3" type="noConversion"/>
  </si>
  <si>
    <t>WDDSJ4GB2FN239314</t>
    <phoneticPr fontId="3" type="noConversion"/>
  </si>
  <si>
    <t>30.07.2015</t>
    <phoneticPr fontId="3" type="noConversion"/>
  </si>
  <si>
    <t>WDC0J0FB0HF213507</t>
    <phoneticPr fontId="3" type="noConversion"/>
  </si>
  <si>
    <t xml:space="preserve">WAUZZZF42KA125314 </t>
    <phoneticPr fontId="3" type="noConversion"/>
  </si>
  <si>
    <t>㈜솔카</t>
    <phoneticPr fontId="3" type="noConversion"/>
  </si>
  <si>
    <t>이용빈 50만원</t>
    <phoneticPr fontId="3" type="noConversion"/>
  </si>
  <si>
    <t>회사 통장 50만원</t>
    <phoneticPr fontId="3" type="noConversion"/>
  </si>
  <si>
    <t>1991cc</t>
    <phoneticPr fontId="3" type="noConversion"/>
  </si>
  <si>
    <t>㈜명문자동차</t>
    <phoneticPr fontId="3" type="noConversion"/>
  </si>
  <si>
    <t>30.05.16</t>
    <phoneticPr fontId="3" type="noConversion"/>
  </si>
  <si>
    <t>4395cc</t>
    <phoneticPr fontId="3" type="noConversion"/>
  </si>
  <si>
    <t>03.04.2017</t>
    <phoneticPr fontId="3" type="noConversion"/>
  </si>
  <si>
    <t>R-134a</t>
    <phoneticPr fontId="3" type="noConversion"/>
  </si>
  <si>
    <t>Refrigerant Type : R-134a 
Quantity : 650 grams</t>
    <phoneticPr fontId="3" type="noConversion"/>
  </si>
  <si>
    <t>Mercedes-benz CLA250 4Matic</t>
    <phoneticPr fontId="25" type="noConversion"/>
  </si>
  <si>
    <t>BMW 750Li xDrive</t>
    <phoneticPr fontId="25" type="noConversion"/>
  </si>
  <si>
    <t>Mercedes-Benz GLE350D</t>
    <phoneticPr fontId="3" type="noConversion"/>
  </si>
  <si>
    <t xml:space="preserve">Mercedes-Benz C 220 d 4MATIC Coupé  </t>
    <phoneticPr fontId="3" type="noConversion"/>
  </si>
  <si>
    <t>Mercedes-Benz CLA 45 AMG 4MATIC</t>
    <phoneticPr fontId="3" type="noConversion"/>
  </si>
  <si>
    <t>103러8412</t>
    <phoneticPr fontId="3" type="noConversion"/>
  </si>
  <si>
    <t>위즈모토모티브</t>
    <phoneticPr fontId="3" type="noConversion"/>
  </si>
  <si>
    <t>강남모터스</t>
    <phoneticPr fontId="3" type="noConversion"/>
  </si>
  <si>
    <t>366머7245</t>
    <phoneticPr fontId="3" type="noConversion"/>
  </si>
  <si>
    <t>VolvoXC40T4</t>
    <phoneticPr fontId="3" type="noConversion"/>
  </si>
  <si>
    <t>에키원모터스</t>
    <phoneticPr fontId="3" type="noConversion"/>
  </si>
  <si>
    <t>383더9665</t>
    <phoneticPr fontId="3" type="noConversion"/>
  </si>
  <si>
    <t>WAUZZZ4G0GN159300</t>
    <phoneticPr fontId="3" type="noConversion"/>
  </si>
  <si>
    <t>WDDWF0EBXFF087307</t>
    <phoneticPr fontId="3" type="noConversion"/>
  </si>
  <si>
    <t>YV1XZACACL2259209</t>
    <phoneticPr fontId="3" type="noConversion"/>
  </si>
  <si>
    <t>17머9076</t>
    <phoneticPr fontId="3" type="noConversion"/>
  </si>
  <si>
    <t>c220</t>
    <phoneticPr fontId="3" type="noConversion"/>
  </si>
  <si>
    <t>회사 통장 100만원</t>
    <phoneticPr fontId="3" type="noConversion"/>
  </si>
  <si>
    <t>(주)벧엘자동차2</t>
    <phoneticPr fontId="3" type="noConversion"/>
  </si>
  <si>
    <t>28고8915</t>
    <phoneticPr fontId="3" type="noConversion"/>
  </si>
  <si>
    <t>WVWZZZAUZFW123794</t>
    <phoneticPr fontId="3" type="noConversion"/>
  </si>
  <si>
    <t>not paid</t>
    <phoneticPr fontId="3" type="noConversion"/>
  </si>
  <si>
    <t>27서7560</t>
    <phoneticPr fontId="3" type="noConversion"/>
  </si>
  <si>
    <t>WVGZZZ5NZFW500635</t>
    <phoneticPr fontId="3" type="noConversion"/>
  </si>
  <si>
    <t>㈜제이씨오토</t>
    <phoneticPr fontId="3" type="noConversion"/>
  </si>
  <si>
    <t>미수</t>
    <phoneticPr fontId="3" type="noConversion"/>
  </si>
  <si>
    <t>168무3069</t>
    <phoneticPr fontId="3" type="noConversion"/>
  </si>
  <si>
    <t>S350d</t>
    <phoneticPr fontId="3" type="noConversion"/>
  </si>
  <si>
    <t>㈜수성자동차</t>
    <phoneticPr fontId="3" type="noConversion"/>
  </si>
  <si>
    <t>124모8906</t>
    <phoneticPr fontId="3" type="noConversion"/>
  </si>
  <si>
    <t>㈜에스원모터스</t>
    <phoneticPr fontId="3" type="noConversion"/>
  </si>
  <si>
    <t>54두9525</t>
    <phoneticPr fontId="3" type="noConversion"/>
  </si>
  <si>
    <t>㈜비케이 모터스</t>
    <phoneticPr fontId="3" type="noConversion"/>
  </si>
  <si>
    <t>이용빈 계약 100만</t>
    <phoneticPr fontId="3" type="noConversion"/>
  </si>
  <si>
    <t>W1K6F3AB7NA117186</t>
    <phoneticPr fontId="3" type="noConversion"/>
  </si>
  <si>
    <t>WAUZZZF29LN064990</t>
    <phoneticPr fontId="3" type="noConversion"/>
  </si>
  <si>
    <t>156우9509</t>
    <phoneticPr fontId="3" type="noConversion"/>
  </si>
  <si>
    <t>㈜동카</t>
    <phoneticPr fontId="3" type="noConversion"/>
  </si>
  <si>
    <t>17고0986</t>
    <phoneticPr fontId="3" type="noConversion"/>
  </si>
  <si>
    <t>㈜나이스카</t>
    <phoneticPr fontId="3" type="noConversion"/>
  </si>
  <si>
    <t>MINI COOPER</t>
    <phoneticPr fontId="3" type="noConversion"/>
  </si>
  <si>
    <t>WVGZZZ5NZLW891588</t>
    <phoneticPr fontId="3" type="noConversion"/>
  </si>
  <si>
    <t>WVWZZZAUZFW256138</t>
    <phoneticPr fontId="3" type="noConversion"/>
  </si>
  <si>
    <t>WMWXD5104GWT62240</t>
    <phoneticPr fontId="3" type="noConversion"/>
  </si>
  <si>
    <t xml:space="preserve">30모1529 </t>
    <phoneticPr fontId="3" type="noConversion"/>
  </si>
  <si>
    <t xml:space="preserve">1VWZZZA3ZFC061301 </t>
    <phoneticPr fontId="3" type="noConversion"/>
  </si>
  <si>
    <t>11오9354</t>
    <phoneticPr fontId="3" type="noConversion"/>
  </si>
  <si>
    <t>KMHD251UBCU011162</t>
    <phoneticPr fontId="3" type="noConversion"/>
  </si>
  <si>
    <t>41너5794</t>
    <phoneticPr fontId="3" type="noConversion"/>
  </si>
  <si>
    <t>㈜정이모터스</t>
    <phoneticPr fontId="3" type="noConversion"/>
  </si>
  <si>
    <t>KMHJT81VBFU077098</t>
    <phoneticPr fontId="3" type="noConversion"/>
  </si>
  <si>
    <t>Peltekov Damyan</t>
    <phoneticPr fontId="3" type="noConversion"/>
  </si>
  <si>
    <t>Sofia , zh.k Malinova Dolina 25</t>
    <phoneticPr fontId="3" type="noConversion"/>
  </si>
  <si>
    <t>134노3654</t>
    <phoneticPr fontId="3" type="noConversion"/>
  </si>
  <si>
    <t>엘리트모터스</t>
    <phoneticPr fontId="3" type="noConversion"/>
  </si>
  <si>
    <t>24너0743</t>
    <phoneticPr fontId="3" type="noConversion"/>
  </si>
  <si>
    <t>WBA5E7104GG159441</t>
    <phoneticPr fontId="3" type="noConversion"/>
  </si>
  <si>
    <t>WBAJC3102HG855083</t>
    <phoneticPr fontId="3" type="noConversion"/>
  </si>
  <si>
    <t>6550. 26.04.21</t>
    <phoneticPr fontId="3" type="noConversion"/>
  </si>
  <si>
    <t>500 선수금</t>
    <phoneticPr fontId="3" type="noConversion"/>
  </si>
  <si>
    <t>Fetishi Evisa</t>
    <phoneticPr fontId="3" type="noConversion"/>
  </si>
  <si>
    <t>I85526073O</t>
    <phoneticPr fontId="3" type="noConversion"/>
  </si>
  <si>
    <t>Tirane, Albania</t>
    <phoneticPr fontId="3" type="noConversion"/>
  </si>
  <si>
    <t>회사 계약 100만</t>
    <phoneticPr fontId="3" type="noConversion"/>
  </si>
  <si>
    <t>217부4572</t>
    <phoneticPr fontId="3" type="noConversion"/>
  </si>
  <si>
    <t>520d</t>
    <phoneticPr fontId="3" type="noConversion"/>
  </si>
  <si>
    <t>행운모터스</t>
    <phoneticPr fontId="3" type="noConversion"/>
  </si>
  <si>
    <t>58도6850</t>
    <phoneticPr fontId="3" type="noConversion"/>
  </si>
  <si>
    <t>VF12RGJ1DHW756979</t>
    <phoneticPr fontId="3" type="noConversion"/>
  </si>
  <si>
    <t>WBAJC3101JWE63596</t>
    <phoneticPr fontId="3" type="noConversion"/>
  </si>
  <si>
    <t>Ymeraj Rei</t>
    <phoneticPr fontId="3" type="noConversion"/>
  </si>
  <si>
    <t>K30207067O</t>
    <phoneticPr fontId="3" type="noConversion"/>
  </si>
  <si>
    <t>5450 인보이스</t>
    <phoneticPr fontId="3" type="noConversion"/>
  </si>
  <si>
    <t>45어0847</t>
    <phoneticPr fontId="3" type="noConversion"/>
  </si>
  <si>
    <t>VF12RGJ1DGW242103</t>
    <phoneticPr fontId="3" type="noConversion"/>
  </si>
  <si>
    <t>오토플러스</t>
    <phoneticPr fontId="3" type="noConversion"/>
  </si>
  <si>
    <t>Marjan Spasic</t>
    <phoneticPr fontId="3" type="noConversion"/>
  </si>
  <si>
    <t>㈜카베이</t>
    <phoneticPr fontId="3" type="noConversion"/>
  </si>
  <si>
    <t>167누4264</t>
    <phoneticPr fontId="3" type="noConversion"/>
  </si>
  <si>
    <t>㈜윤일용</t>
    <phoneticPr fontId="3" type="noConversion"/>
  </si>
  <si>
    <t>회사 계약 200만</t>
    <phoneticPr fontId="3" type="noConversion"/>
  </si>
  <si>
    <t>㈜와이엠모터스</t>
    <phoneticPr fontId="3" type="noConversion"/>
  </si>
  <si>
    <t>KMHP581LHRU015779</t>
    <phoneticPr fontId="3" type="noConversion"/>
  </si>
  <si>
    <t>Bajrami Lumturije</t>
    <phoneticPr fontId="3" type="noConversion"/>
  </si>
  <si>
    <t>+383 044 72 92 41</t>
    <phoneticPr fontId="3" type="noConversion"/>
  </si>
  <si>
    <t xml:space="preserve">Alberina Grajçevci </t>
    <phoneticPr fontId="3" type="noConversion"/>
  </si>
  <si>
    <t>387나4880</t>
    <phoneticPr fontId="3" type="noConversion"/>
  </si>
  <si>
    <t>E220</t>
    <phoneticPr fontId="3" type="noConversion"/>
  </si>
  <si>
    <t>회사 계약 50만</t>
    <phoneticPr fontId="3" type="noConversion"/>
  </si>
  <si>
    <t>61로4677</t>
    <phoneticPr fontId="3" type="noConversion"/>
  </si>
  <si>
    <t>22도0680</t>
    <phoneticPr fontId="3" type="noConversion"/>
  </si>
  <si>
    <t>e220d</t>
    <phoneticPr fontId="3" type="noConversion"/>
  </si>
  <si>
    <t>45두8408</t>
    <phoneticPr fontId="3" type="noConversion"/>
  </si>
  <si>
    <t>bmw 320d</t>
    <phoneticPr fontId="3" type="noConversion"/>
  </si>
  <si>
    <t xml:space="preserve">개인매입 이영표 </t>
    <phoneticPr fontId="3" type="noConversion"/>
  </si>
  <si>
    <t>WDDHF0AB0GB319825</t>
    <phoneticPr fontId="3" type="noConversion"/>
  </si>
  <si>
    <t>WAUZZZF21MN016885</t>
    <phoneticPr fontId="3" type="noConversion"/>
  </si>
  <si>
    <t>WDDWF0EB1JR316125</t>
    <phoneticPr fontId="3" type="noConversion"/>
  </si>
  <si>
    <t>WDDZF0FB4HA210255</t>
    <phoneticPr fontId="3" type="noConversion"/>
  </si>
  <si>
    <t>WBA8C5103HA068995</t>
    <phoneticPr fontId="3" type="noConversion"/>
  </si>
  <si>
    <t>Auto Sallon Ardiani A&amp;Q SHPK</t>
    <phoneticPr fontId="3" type="noConversion"/>
  </si>
  <si>
    <t>383 049 822 255</t>
    <phoneticPr fontId="3" type="noConversion"/>
  </si>
  <si>
    <t>con10</t>
    <phoneticPr fontId="3" type="noConversion"/>
  </si>
  <si>
    <t>con11</t>
    <phoneticPr fontId="3" type="noConversion"/>
  </si>
  <si>
    <t>COLLAKI KLESJO</t>
    <phoneticPr fontId="3" type="noConversion"/>
  </si>
  <si>
    <t>J90219059T</t>
    <phoneticPr fontId="3" type="noConversion"/>
  </si>
  <si>
    <t>ALBANIA</t>
    <phoneticPr fontId="3" type="noConversion"/>
  </si>
  <si>
    <t>257루9080</t>
    <phoneticPr fontId="3" type="noConversion"/>
  </si>
  <si>
    <t>㈜코오롱모빌리티</t>
    <phoneticPr fontId="3" type="noConversion"/>
  </si>
  <si>
    <t>VF3MJEHZRKS035655</t>
    <phoneticPr fontId="3" type="noConversion"/>
  </si>
  <si>
    <t>2026.04.30</t>
    <phoneticPr fontId="3" type="noConversion"/>
  </si>
  <si>
    <t>IDEAL SHPED</t>
    <phoneticPr fontId="3" type="noConversion"/>
  </si>
  <si>
    <t>HAJRA ANDI</t>
    <phoneticPr fontId="3" type="noConversion"/>
  </si>
  <si>
    <t>ID2143268</t>
    <phoneticPr fontId="3" type="noConversion"/>
  </si>
  <si>
    <t>28주6031</t>
    <phoneticPr fontId="3" type="noConversion"/>
  </si>
  <si>
    <t>WDC0G0FB0JF405319</t>
    <phoneticPr fontId="3" type="noConversion"/>
  </si>
  <si>
    <t>GLC220D 4 MATIC</t>
    <phoneticPr fontId="3" type="noConversion"/>
  </si>
  <si>
    <t>ARTEON</t>
    <phoneticPr fontId="3" type="noConversion"/>
  </si>
  <si>
    <t>334소2450</t>
    <phoneticPr fontId="3" type="noConversion"/>
  </si>
  <si>
    <t>WVWZZZ3HZKE020603</t>
    <phoneticPr fontId="3" type="noConversion"/>
  </si>
  <si>
    <t>272주8289</t>
    <phoneticPr fontId="3" type="noConversion"/>
  </si>
  <si>
    <t>BMW 118D</t>
    <phoneticPr fontId="3" type="noConversion"/>
  </si>
  <si>
    <t>WBA1S5101G5D28017</t>
    <phoneticPr fontId="3" type="noConversion"/>
  </si>
  <si>
    <t>03고0650</t>
    <phoneticPr fontId="3" type="noConversion"/>
  </si>
  <si>
    <t>E250</t>
    <phoneticPr fontId="3" type="noConversion"/>
  </si>
  <si>
    <t>㈜뉴코리아모터스</t>
    <phoneticPr fontId="3" type="noConversion"/>
  </si>
  <si>
    <t>WDDHF9HB1GB284173</t>
    <phoneticPr fontId="3" type="noConversion"/>
  </si>
  <si>
    <t>STOJANI ANDI</t>
    <phoneticPr fontId="3" type="noConversion"/>
  </si>
  <si>
    <t>J1046010R</t>
    <phoneticPr fontId="3" type="noConversion"/>
  </si>
  <si>
    <t>heyman</t>
    <phoneticPr fontId="3" type="noConversion"/>
  </si>
  <si>
    <t>㈜ 플랜오토</t>
    <phoneticPr fontId="3" type="noConversion"/>
  </si>
  <si>
    <t>이용빈 100만원</t>
    <phoneticPr fontId="3" type="noConversion"/>
  </si>
  <si>
    <t>㈜조아조아자동차</t>
    <phoneticPr fontId="3" type="noConversion"/>
  </si>
  <si>
    <t>01누0194</t>
    <phoneticPr fontId="3" type="noConversion"/>
  </si>
  <si>
    <t>BMW X6</t>
    <phoneticPr fontId="3" type="noConversion"/>
  </si>
  <si>
    <t>㈜무결점카모터스</t>
    <phoneticPr fontId="3" type="noConversion"/>
  </si>
  <si>
    <t>WBAKV2103G0R27733</t>
    <phoneticPr fontId="3" type="noConversion"/>
  </si>
  <si>
    <t>168버2224</t>
    <phoneticPr fontId="3" type="noConversion"/>
  </si>
  <si>
    <t>㈜에이투지네트워스</t>
    <phoneticPr fontId="3" type="noConversion"/>
  </si>
  <si>
    <t>5월 현재 스코어</t>
    <phoneticPr fontId="58" type="noConversion"/>
  </si>
  <si>
    <t>11로2790</t>
    <phoneticPr fontId="3" type="noConversion"/>
  </si>
  <si>
    <t>WDDUF3DBXFA179282</t>
    <phoneticPr fontId="3" type="noConversion"/>
  </si>
  <si>
    <t>JULIAN GURI</t>
    <phoneticPr fontId="3" type="noConversion"/>
  </si>
  <si>
    <t>H80704057J</t>
    <phoneticPr fontId="3" type="noConversion"/>
  </si>
  <si>
    <t>상태</t>
    <phoneticPr fontId="25" type="noConversion"/>
  </si>
  <si>
    <t>Asllani Rrezart</t>
    <phoneticPr fontId="3" type="noConversion"/>
  </si>
  <si>
    <t>09고0664</t>
    <phoneticPr fontId="3" type="noConversion"/>
  </si>
  <si>
    <t>경매장- AJ</t>
    <phoneticPr fontId="3" type="noConversion"/>
  </si>
  <si>
    <t>AUDI A7</t>
    <phoneticPr fontId="3" type="noConversion"/>
  </si>
  <si>
    <t>34도2837</t>
    <phoneticPr fontId="3" type="noConversion"/>
  </si>
  <si>
    <t>18저1953</t>
    <phoneticPr fontId="3" type="noConversion"/>
  </si>
  <si>
    <t>50더0709</t>
    <phoneticPr fontId="3" type="noConversion"/>
  </si>
  <si>
    <t xml:space="preserve">GOLF 7 </t>
    <phoneticPr fontId="3" type="noConversion"/>
  </si>
  <si>
    <t>66우6287</t>
    <phoneticPr fontId="3" type="noConversion"/>
  </si>
  <si>
    <t>HYUNDAI I30</t>
    <phoneticPr fontId="3" type="noConversion"/>
  </si>
  <si>
    <t>22도6254</t>
    <phoneticPr fontId="3" type="noConversion"/>
  </si>
  <si>
    <t>WAUZZZ4G0EN117884</t>
    <phoneticPr fontId="3" type="noConversion"/>
  </si>
  <si>
    <t>KMHSU81UBEU188516</t>
    <phoneticPr fontId="3" type="noConversion"/>
  </si>
  <si>
    <t>KMHJ2815GGU139247</t>
    <phoneticPr fontId="3" type="noConversion"/>
  </si>
  <si>
    <t>WVWZZZAUZEW110839</t>
    <phoneticPr fontId="3" type="noConversion"/>
  </si>
  <si>
    <t>KMHD251UBCU038410</t>
    <phoneticPr fontId="3" type="noConversion"/>
  </si>
  <si>
    <t>VF12RGJ1DGW104022</t>
    <phoneticPr fontId="3" type="noConversion"/>
  </si>
  <si>
    <t>180노6876</t>
    <phoneticPr fontId="3" type="noConversion"/>
  </si>
  <si>
    <t>QM6</t>
    <phoneticPr fontId="3" type="noConversion"/>
  </si>
  <si>
    <t>㈜핀카</t>
    <phoneticPr fontId="3" type="noConversion"/>
  </si>
  <si>
    <t>156거8201</t>
    <phoneticPr fontId="3" type="noConversion"/>
  </si>
  <si>
    <t>㈜훈카</t>
    <phoneticPr fontId="3" type="noConversion"/>
  </si>
  <si>
    <t>38소5029</t>
    <phoneticPr fontId="3" type="noConversion"/>
  </si>
  <si>
    <t>356구3706</t>
    <phoneticPr fontId="3" type="noConversion"/>
  </si>
  <si>
    <t>㈜ 골드상사</t>
    <phoneticPr fontId="3" type="noConversion"/>
  </si>
  <si>
    <t>BMW 520D</t>
    <phoneticPr fontId="3" type="noConversion"/>
  </si>
  <si>
    <t>BMW 740D</t>
    <phoneticPr fontId="3" type="noConversion"/>
  </si>
  <si>
    <t>회사 200만원</t>
    <phoneticPr fontId="3" type="noConversion"/>
  </si>
  <si>
    <t>103러3648</t>
    <phoneticPr fontId="3" type="noConversion"/>
  </si>
  <si>
    <t>㈜예인자동치</t>
    <phoneticPr fontId="3" type="noConversion"/>
  </si>
  <si>
    <t>174더4123</t>
    <phoneticPr fontId="3" type="noConversion"/>
  </si>
  <si>
    <t>㈜ 오썸아우토</t>
    <phoneticPr fontId="3" type="noConversion"/>
  </si>
  <si>
    <t>회사 100만원</t>
    <phoneticPr fontId="3" type="noConversion"/>
  </si>
  <si>
    <t xml:space="preserve"> Fatime Ibrahimi</t>
    <phoneticPr fontId="3" type="noConversion"/>
  </si>
  <si>
    <t xml:space="preserve"> +38344 410430</t>
    <phoneticPr fontId="3" type="noConversion"/>
  </si>
  <si>
    <t>Dobraje e madhe, Lipjan</t>
    <phoneticPr fontId="3" type="noConversion"/>
  </si>
  <si>
    <t>Autosallon Elhami SH.PK</t>
    <phoneticPr fontId="3" type="noConversion"/>
  </si>
  <si>
    <t>09조0400</t>
    <phoneticPr fontId="3" type="noConversion"/>
  </si>
  <si>
    <t>㈜ 차모터스</t>
    <phoneticPr fontId="3" type="noConversion"/>
  </si>
  <si>
    <t>경매장-현대글로비스</t>
    <phoneticPr fontId="3" type="noConversion"/>
  </si>
  <si>
    <t>MONDEO</t>
    <phoneticPr fontId="3" type="noConversion"/>
  </si>
  <si>
    <t>46머1174</t>
    <phoneticPr fontId="3" type="noConversion"/>
  </si>
  <si>
    <t>ELIDJON SULO</t>
    <phoneticPr fontId="3" type="noConversion"/>
  </si>
  <si>
    <t>J00116105A</t>
    <phoneticPr fontId="3" type="noConversion"/>
  </si>
  <si>
    <t>Azemi Igballe</t>
    <phoneticPr fontId="3" type="noConversion"/>
  </si>
  <si>
    <t>AUTO SHEVDA</t>
    <phoneticPr fontId="3" type="noConversion"/>
  </si>
  <si>
    <t>경매장-AJ</t>
    <phoneticPr fontId="3" type="noConversion"/>
  </si>
  <si>
    <t>WVWZZZ3CZEE535830</t>
    <phoneticPr fontId="3" type="noConversion"/>
  </si>
  <si>
    <t>41구3526</t>
    <phoneticPr fontId="3" type="noConversion"/>
  </si>
  <si>
    <t>1VWZZZA3ZDC026851</t>
    <phoneticPr fontId="3" type="noConversion"/>
  </si>
  <si>
    <t>68거9662</t>
    <phoneticPr fontId="3" type="noConversion"/>
  </si>
  <si>
    <t>WAUZZZ8K1EA048435</t>
    <phoneticPr fontId="3" type="noConversion"/>
  </si>
  <si>
    <t>22더3870</t>
    <phoneticPr fontId="3" type="noConversion"/>
  </si>
  <si>
    <t>30다7034</t>
    <phoneticPr fontId="3" type="noConversion"/>
  </si>
  <si>
    <t>WAUZZZ8V6F1143696</t>
    <phoneticPr fontId="3" type="noConversion"/>
  </si>
  <si>
    <t>BJ MOTORS</t>
    <phoneticPr fontId="3" type="noConversion"/>
  </si>
  <si>
    <t>48조9417</t>
    <phoneticPr fontId="3" type="noConversion"/>
  </si>
  <si>
    <t>WAUZZZ4G3FN022107</t>
    <phoneticPr fontId="3" type="noConversion"/>
  </si>
  <si>
    <t>카우자동차</t>
    <phoneticPr fontId="3" type="noConversion"/>
  </si>
  <si>
    <t>이용빈50</t>
    <phoneticPr fontId="3" type="noConversion"/>
  </si>
  <si>
    <t>SPORTAGE</t>
    <phoneticPr fontId="3" type="noConversion"/>
  </si>
  <si>
    <t>267어5480</t>
    <phoneticPr fontId="3" type="noConversion"/>
  </si>
  <si>
    <t>KNAPT81BGNK077349</t>
    <phoneticPr fontId="3" type="noConversion"/>
  </si>
  <si>
    <t>154무6439</t>
    <phoneticPr fontId="3" type="noConversion"/>
  </si>
  <si>
    <t>WDDL9HB0HA204541</t>
    <phoneticPr fontId="3" type="noConversion"/>
  </si>
  <si>
    <t>유진모터스/유진우</t>
    <phoneticPr fontId="3" type="noConversion"/>
  </si>
  <si>
    <t>Megadolon shpk</t>
    <phoneticPr fontId="3" type="noConversion"/>
  </si>
  <si>
    <t>회사100</t>
    <phoneticPr fontId="3" type="noConversion"/>
  </si>
  <si>
    <t>용빈 100</t>
    <phoneticPr fontId="3" type="noConversion"/>
  </si>
  <si>
    <t>Bul. Severen 4 ent.A  fl.6  ap. 26</t>
    <phoneticPr fontId="3" type="noConversion"/>
  </si>
  <si>
    <t>CLIO</t>
    <phoneticPr fontId="3" type="noConversion"/>
  </si>
  <si>
    <t>34누5985</t>
    <phoneticPr fontId="3" type="noConversion"/>
  </si>
  <si>
    <t>VF15RBJ0DJR024698</t>
    <phoneticPr fontId="3" type="noConversion"/>
  </si>
  <si>
    <t xml:space="preserve"> BK모터스/ 경현수</t>
    <phoneticPr fontId="3" type="noConversion"/>
  </si>
  <si>
    <t>회사50</t>
    <phoneticPr fontId="3" type="noConversion"/>
  </si>
  <si>
    <t>Shaqir inhrishta prishtine 10000</t>
    <phoneticPr fontId="3" type="noConversion"/>
  </si>
  <si>
    <t>38349110291</t>
    <phoneticPr fontId="3" type="noConversion"/>
  </si>
  <si>
    <t>Peugeot 508</t>
    <phoneticPr fontId="3" type="noConversion"/>
  </si>
  <si>
    <t>29조9274</t>
    <phoneticPr fontId="3" type="noConversion"/>
  </si>
  <si>
    <t>VF38DBHZTGL002564</t>
    <phoneticPr fontId="3" type="noConversion"/>
  </si>
  <si>
    <t>우민모터스 / 배광일</t>
    <phoneticPr fontId="3" type="noConversion"/>
  </si>
  <si>
    <t>348주7431</t>
    <phoneticPr fontId="3" type="noConversion"/>
  </si>
  <si>
    <t>W1KUF2BB6LA579946</t>
    <phoneticPr fontId="3" type="noConversion"/>
  </si>
  <si>
    <t>쏠카/신동민</t>
    <phoneticPr fontId="3" type="noConversion"/>
  </si>
  <si>
    <t>용빈50</t>
    <phoneticPr fontId="3" type="noConversion"/>
  </si>
  <si>
    <t>27너1811</t>
    <phoneticPr fontId="3" type="noConversion"/>
  </si>
  <si>
    <t>VF12RS01AJW021650</t>
    <phoneticPr fontId="3" type="noConversion"/>
  </si>
  <si>
    <t>원스타/이승규</t>
    <phoneticPr fontId="3" type="noConversion"/>
  </si>
  <si>
    <t>187로3654</t>
    <phoneticPr fontId="3" type="noConversion"/>
  </si>
  <si>
    <t>WDD2J1JB7KA041921</t>
    <phoneticPr fontId="3" type="noConversion"/>
  </si>
  <si>
    <t>H오토모티브/장준운</t>
    <phoneticPr fontId="3" type="noConversion"/>
  </si>
  <si>
    <t>316노8043</t>
    <phoneticPr fontId="3" type="noConversion"/>
  </si>
  <si>
    <t>WAUZZZF56LA015294</t>
    <phoneticPr fontId="3" type="noConversion"/>
  </si>
  <si>
    <t>골드상사/박찬홍</t>
    <phoneticPr fontId="3" type="noConversion"/>
  </si>
  <si>
    <t>VESELIN PANOV</t>
    <phoneticPr fontId="3" type="noConversion"/>
  </si>
  <si>
    <t>City:Plovdiv
Zh.K Trakia 127</t>
    <phoneticPr fontId="3" type="noConversion"/>
  </si>
  <si>
    <t>WVGZZZ5NZGW568057</t>
    <phoneticPr fontId="3" type="noConversion"/>
  </si>
  <si>
    <t>149소3319</t>
    <phoneticPr fontId="3" type="noConversion"/>
  </si>
  <si>
    <t>347무9122</t>
    <phoneticPr fontId="3" type="noConversion"/>
  </si>
  <si>
    <t>KNAPV81CDPK147135</t>
    <phoneticPr fontId="3" type="noConversion"/>
  </si>
  <si>
    <t>오토인사이드 / 이재성</t>
    <phoneticPr fontId="3" type="noConversion"/>
  </si>
  <si>
    <t xml:space="preserve">Cvetelina Stoyanova Stefanova </t>
    <phoneticPr fontId="3" type="noConversion"/>
  </si>
  <si>
    <t>0245054372</t>
    <phoneticPr fontId="3" type="noConversion"/>
  </si>
  <si>
    <t>City Plovdiv , str. Boris Petrov 28</t>
    <phoneticPr fontId="3" type="noConversion"/>
  </si>
  <si>
    <t xml:space="preserve">A5 </t>
    <phoneticPr fontId="3" type="noConversion"/>
  </si>
  <si>
    <t>214라8788</t>
    <phoneticPr fontId="3" type="noConversion"/>
  </si>
  <si>
    <t>WAUZZZF52LA015437</t>
    <phoneticPr fontId="3" type="noConversion"/>
  </si>
  <si>
    <t>UK모터스 / 고경민</t>
    <phoneticPr fontId="3" type="noConversion"/>
  </si>
  <si>
    <t>Bozhidar Yonkov Choplishki</t>
    <phoneticPr fontId="3" type="noConversion"/>
  </si>
  <si>
    <t>0042287748</t>
    <phoneticPr fontId="3" type="noConversion"/>
  </si>
  <si>
    <t>City Plovdiv , Bul. Bulgaria 2</t>
    <phoneticPr fontId="3" type="noConversion"/>
  </si>
  <si>
    <t>247더7292</t>
    <phoneticPr fontId="3" type="noConversion"/>
  </si>
  <si>
    <t>WAUZZZF26LN069936</t>
    <phoneticPr fontId="3" type="noConversion"/>
  </si>
  <si>
    <t>카멘토 / 양기택</t>
    <phoneticPr fontId="3" type="noConversion"/>
  </si>
  <si>
    <t>A7 55 TDI</t>
    <phoneticPr fontId="3" type="noConversion"/>
  </si>
  <si>
    <t>48조0810</t>
    <phoneticPr fontId="3" type="noConversion"/>
  </si>
  <si>
    <t>WAUZZZ4G6GN139553</t>
    <phoneticPr fontId="3" type="noConversion"/>
  </si>
  <si>
    <t>우리트레이딩 / 채보경</t>
    <phoneticPr fontId="3" type="noConversion"/>
  </si>
  <si>
    <t>용빈 50</t>
    <phoneticPr fontId="3" type="noConversion"/>
  </si>
  <si>
    <t>17조0166</t>
    <phoneticPr fontId="3" type="noConversion"/>
  </si>
  <si>
    <t>WDCTG0JBXBH287856</t>
    <phoneticPr fontId="3" type="noConversion"/>
  </si>
  <si>
    <t>설레임 / 조성훈</t>
    <phoneticPr fontId="3" type="noConversion"/>
  </si>
  <si>
    <t>회사 50</t>
    <phoneticPr fontId="3" type="noConversion"/>
  </si>
  <si>
    <t>14다1307</t>
    <phoneticPr fontId="3" type="noConversion"/>
  </si>
  <si>
    <t>WVGZZZ5NZFW561214</t>
    <phoneticPr fontId="3" type="noConversion"/>
  </si>
  <si>
    <t>에이스모터스/정재형</t>
    <phoneticPr fontId="3" type="noConversion"/>
  </si>
  <si>
    <t>64부3877</t>
    <phoneticPr fontId="3" type="noConversion"/>
  </si>
  <si>
    <t>WVGZZZ5NZJW943799</t>
    <phoneticPr fontId="3" type="noConversion"/>
  </si>
  <si>
    <t>제이디모터스/윤용범</t>
    <phoneticPr fontId="3" type="noConversion"/>
  </si>
  <si>
    <t>14라9855</t>
    <phoneticPr fontId="3" type="noConversion"/>
  </si>
  <si>
    <t>KMHS281BBKU018161</t>
    <phoneticPr fontId="3" type="noConversion"/>
  </si>
  <si>
    <t>하이오토코리아 / 김종성</t>
    <phoneticPr fontId="3" type="noConversion"/>
  </si>
  <si>
    <t>완</t>
    <phoneticPr fontId="3" type="noConversion"/>
  </si>
  <si>
    <t>282로8301</t>
    <phoneticPr fontId="3" type="noConversion"/>
  </si>
  <si>
    <t>WVGZZZ5NZLM178288</t>
    <phoneticPr fontId="3" type="noConversion"/>
  </si>
  <si>
    <t>카베이 / 이석호</t>
    <phoneticPr fontId="3" type="noConversion"/>
  </si>
  <si>
    <t>SJAAM14V6MC036673</t>
    <phoneticPr fontId="3" type="noConversion"/>
  </si>
  <si>
    <t>138누3453</t>
    <phoneticPr fontId="3" type="noConversion"/>
  </si>
  <si>
    <t>BENTAYGA</t>
    <phoneticPr fontId="3" type="noConversion"/>
  </si>
  <si>
    <t>W1KVK8BB7PF013449</t>
    <phoneticPr fontId="3" type="noConversion"/>
  </si>
  <si>
    <t>BENZ SL</t>
    <phoneticPr fontId="3" type="noConversion"/>
  </si>
  <si>
    <t>244도9761</t>
    <phoneticPr fontId="3" type="noConversion"/>
  </si>
  <si>
    <t>750L I x Drive</t>
    <phoneticPr fontId="3" type="noConversion"/>
  </si>
  <si>
    <t>36너2000</t>
    <phoneticPr fontId="3" type="noConversion"/>
  </si>
  <si>
    <t>WBA7F2108GG523983</t>
    <phoneticPr fontId="3" type="noConversion"/>
  </si>
  <si>
    <t>무결점/박예춘</t>
    <phoneticPr fontId="3" type="noConversion"/>
  </si>
  <si>
    <t>181너7046</t>
    <phoneticPr fontId="3" type="noConversion"/>
  </si>
  <si>
    <t>WDDZF0EB8JA462307</t>
    <phoneticPr fontId="3" type="noConversion"/>
  </si>
  <si>
    <t>19구0684</t>
    <phoneticPr fontId="3" type="noConversion"/>
  </si>
  <si>
    <t>WBA1S5101GV679247</t>
    <phoneticPr fontId="3" type="noConversion"/>
  </si>
  <si>
    <t>314우2051</t>
    <phoneticPr fontId="3" type="noConversion"/>
  </si>
  <si>
    <t>WBA8A9105JAE91874</t>
    <phoneticPr fontId="3" type="noConversion"/>
  </si>
  <si>
    <t>320I</t>
    <phoneticPr fontId="3" type="noConversion"/>
  </si>
  <si>
    <t>385거5360</t>
    <phoneticPr fontId="3" type="noConversion"/>
  </si>
  <si>
    <t>WBAJC310</t>
    <phoneticPr fontId="3" type="noConversion"/>
  </si>
  <si>
    <t>WBAJC100HG857124</t>
    <phoneticPr fontId="3" type="noConversion"/>
  </si>
  <si>
    <t>CLS300D</t>
    <phoneticPr fontId="3" type="noConversion"/>
  </si>
  <si>
    <t>Hysenbelli Shaqir</t>
    <phoneticPr fontId="3" type="noConversion"/>
  </si>
  <si>
    <t>I80319069E</t>
    <phoneticPr fontId="3" type="noConversion"/>
  </si>
  <si>
    <t>울트라모터스 / 김진석</t>
    <phoneticPr fontId="3" type="noConversion"/>
  </si>
  <si>
    <t>S-class Maybach</t>
    <phoneticPr fontId="3" type="noConversion"/>
  </si>
  <si>
    <t>레인보우/ 김태균</t>
    <phoneticPr fontId="3" type="noConversion"/>
  </si>
  <si>
    <t>차모터스 / 김중호</t>
    <phoneticPr fontId="3" type="noConversion"/>
  </si>
  <si>
    <t xml:space="preserve"> V모터스 / 민상진</t>
    <phoneticPr fontId="3" type="noConversion"/>
  </si>
  <si>
    <t>WDDUX8GBXKA452981</t>
    <phoneticPr fontId="3" type="noConversion"/>
  </si>
  <si>
    <t>신원자동차 / 김석희</t>
    <phoneticPr fontId="3" type="noConversion"/>
  </si>
  <si>
    <t>WDDWF1EB7KR432405</t>
    <phoneticPr fontId="3" type="noConversion"/>
  </si>
  <si>
    <t>카베이/ 윤수형</t>
    <phoneticPr fontId="3" type="noConversion"/>
  </si>
  <si>
    <t>342조2646</t>
    <phoneticPr fontId="3" type="noConversion"/>
  </si>
  <si>
    <t>C-CLASS</t>
    <phoneticPr fontId="3" type="noConversion"/>
  </si>
  <si>
    <t>38모1200</t>
    <phoneticPr fontId="3" type="noConversion"/>
  </si>
  <si>
    <t>솔카 / 이종진</t>
    <phoneticPr fontId="3" type="noConversion"/>
  </si>
  <si>
    <t>더하이앤드 / 박태인</t>
    <phoneticPr fontId="3" type="noConversion"/>
  </si>
  <si>
    <t>회사 500</t>
    <phoneticPr fontId="3" type="noConversion"/>
  </si>
  <si>
    <t>회사 300</t>
    <phoneticPr fontId="3" type="noConversion"/>
  </si>
  <si>
    <t>NOVA AUTO ARDI KOREA SHPK</t>
    <phoneticPr fontId="3" type="noConversion"/>
  </si>
  <si>
    <t>23보0437</t>
    <phoneticPr fontId="3" type="noConversion"/>
  </si>
  <si>
    <t>VF12RGJ1DGW303564</t>
    <phoneticPr fontId="3" type="noConversion"/>
  </si>
  <si>
    <t>카팡/ 김동영</t>
    <phoneticPr fontId="3" type="noConversion"/>
  </si>
  <si>
    <t>31모3452</t>
    <phoneticPr fontId="3" type="noConversion"/>
  </si>
  <si>
    <t>WAUZZZ4GXDN089977</t>
    <phoneticPr fontId="3" type="noConversion"/>
  </si>
  <si>
    <t>카팡 / 김동영</t>
    <phoneticPr fontId="3" type="noConversion"/>
  </si>
  <si>
    <t>26노7548</t>
    <phoneticPr fontId="3" type="noConversion"/>
  </si>
  <si>
    <t>KMHJ281ABGU017913</t>
    <phoneticPr fontId="3" type="noConversion"/>
  </si>
  <si>
    <t>정카 / 김정태</t>
    <phoneticPr fontId="3" type="noConversion"/>
  </si>
  <si>
    <t>69저9004</t>
    <phoneticPr fontId="3" type="noConversion"/>
  </si>
  <si>
    <t>WDDWF0EB5FF045742</t>
    <phoneticPr fontId="3" type="noConversion"/>
  </si>
  <si>
    <t>뉴카카/박규민</t>
    <phoneticPr fontId="3" type="noConversion"/>
  </si>
  <si>
    <t>184더4070</t>
    <phoneticPr fontId="3" type="noConversion"/>
  </si>
  <si>
    <t>VF3MCBHZWJL000403</t>
    <phoneticPr fontId="3" type="noConversion"/>
  </si>
  <si>
    <t>Peugeot 5008</t>
    <phoneticPr fontId="3" type="noConversion"/>
  </si>
  <si>
    <t>카베이 / 윤수형</t>
    <phoneticPr fontId="3" type="noConversion"/>
  </si>
  <si>
    <t>E220D Coupe</t>
    <phoneticPr fontId="3" type="noConversion"/>
  </si>
  <si>
    <t>311라6100</t>
    <phoneticPr fontId="3" type="noConversion"/>
  </si>
  <si>
    <t>WDD1JEB6HF019538</t>
    <phoneticPr fontId="3" type="noConversion"/>
  </si>
  <si>
    <t>준모터스 / 김정현</t>
    <phoneticPr fontId="3" type="noConversion"/>
  </si>
  <si>
    <t>268무8664</t>
    <phoneticPr fontId="3" type="noConversion"/>
  </si>
  <si>
    <t>W1K7X5KB7LA030171</t>
    <phoneticPr fontId="3" type="noConversion"/>
  </si>
  <si>
    <t>Mercedes-AMG GT43 4Matic +</t>
    <phoneticPr fontId="3" type="noConversion"/>
  </si>
  <si>
    <t>펀카 / 김성지</t>
    <phoneticPr fontId="3" type="noConversion"/>
  </si>
  <si>
    <t>101어9550</t>
    <phoneticPr fontId="3" type="noConversion"/>
  </si>
  <si>
    <t>KMHJE811BNU051491</t>
    <phoneticPr fontId="3" type="noConversion"/>
  </si>
  <si>
    <t>TUCSON HYBRID</t>
    <phoneticPr fontId="3" type="noConversion"/>
  </si>
  <si>
    <t>회사200</t>
    <phoneticPr fontId="3" type="noConversion"/>
  </si>
  <si>
    <t>NIKOLA TODOROV TODOROV</t>
    <phoneticPr fontId="3" type="noConversion"/>
  </si>
  <si>
    <t>Str . Asen Zlatanov 37</t>
    <phoneticPr fontId="3" type="noConversion"/>
  </si>
  <si>
    <t>280러7607</t>
    <phoneticPr fontId="3" type="noConversion"/>
  </si>
  <si>
    <t>WVGZZZ5NZLM109167</t>
    <phoneticPr fontId="3" type="noConversion"/>
  </si>
  <si>
    <t>수호모터스 / 김민중</t>
    <phoneticPr fontId="3" type="noConversion"/>
  </si>
  <si>
    <t>188보5311</t>
    <phoneticPr fontId="3" type="noConversion"/>
  </si>
  <si>
    <t>WBA8C5104JK736626</t>
    <phoneticPr fontId="3" type="noConversion"/>
  </si>
  <si>
    <t>카베이/양호균</t>
    <phoneticPr fontId="3" type="noConversion"/>
  </si>
  <si>
    <t>여자친구50</t>
    <phoneticPr fontId="3" type="noConversion"/>
  </si>
  <si>
    <t>WAUZZZF23MN018606</t>
    <phoneticPr fontId="3" type="noConversion"/>
  </si>
  <si>
    <t>A6 45 TDI quattro</t>
    <phoneticPr fontId="3" type="noConversion"/>
  </si>
  <si>
    <t>136마5083</t>
    <phoneticPr fontId="3" type="noConversion"/>
  </si>
  <si>
    <t>준모터스 / 김현민</t>
    <phoneticPr fontId="3" type="noConversion"/>
  </si>
  <si>
    <t>여자친구 50</t>
    <phoneticPr fontId="3" type="noConversion"/>
  </si>
  <si>
    <t>완</t>
    <phoneticPr fontId="3" type="noConversion"/>
  </si>
  <si>
    <t>6월 현재 스코어</t>
    <phoneticPr fontId="58" type="noConversion"/>
  </si>
  <si>
    <t>A6 40 TDI</t>
    <phoneticPr fontId="3" type="noConversion"/>
  </si>
  <si>
    <t>EVOQUE</t>
    <phoneticPr fontId="3" type="noConversion"/>
  </si>
  <si>
    <t>C220 d</t>
    <phoneticPr fontId="3" type="noConversion"/>
  </si>
  <si>
    <t>319부9936</t>
    <phoneticPr fontId="3" type="noConversion"/>
  </si>
  <si>
    <t>㈜ 차란차</t>
    <phoneticPr fontId="3" type="noConversion"/>
  </si>
  <si>
    <t>WVGZZZA1ZMV027697</t>
    <phoneticPr fontId="3" type="noConversion"/>
  </si>
  <si>
    <t>11오4585</t>
    <phoneticPr fontId="3" type="noConversion"/>
  </si>
  <si>
    <t>WAUZZZ8V3FA132493</t>
    <phoneticPr fontId="3" type="noConversion"/>
  </si>
  <si>
    <t>WVWZZZAUZDW148842</t>
    <phoneticPr fontId="3" type="noConversion"/>
  </si>
  <si>
    <t>KNME5C2M2KP046254</t>
    <phoneticPr fontId="3" type="noConversion"/>
  </si>
  <si>
    <t>WAUZZZ4G5GN181616</t>
    <phoneticPr fontId="3" type="noConversion"/>
  </si>
  <si>
    <t>WBAJC5100HG850105</t>
    <phoneticPr fontId="3" type="noConversion"/>
  </si>
  <si>
    <t>WBA7S610XLCD70885</t>
    <phoneticPr fontId="3" type="noConversion"/>
  </si>
  <si>
    <t>WVGZZZ5NZLW854080</t>
    <phoneticPr fontId="3" type="noConversion"/>
  </si>
  <si>
    <t>WAUZZZ4G0GN123686</t>
    <phoneticPr fontId="3" type="noConversion"/>
  </si>
  <si>
    <t>WF0DXXWPCHGS28977</t>
    <phoneticPr fontId="3" type="noConversion"/>
  </si>
  <si>
    <t>33오3771</t>
    <phoneticPr fontId="3" type="noConversion"/>
  </si>
  <si>
    <t>WAUZZZ8K9FA004992</t>
    <phoneticPr fontId="3" type="noConversion"/>
  </si>
  <si>
    <t>A7 45 TDI</t>
    <phoneticPr fontId="3" type="noConversion"/>
  </si>
  <si>
    <t>64소3607</t>
    <phoneticPr fontId="3" type="noConversion"/>
  </si>
  <si>
    <t>WAUZZZ4G6GN172780</t>
    <phoneticPr fontId="3" type="noConversion"/>
  </si>
  <si>
    <t>Allko esirald</t>
    <phoneticPr fontId="3" type="noConversion"/>
  </si>
  <si>
    <t xml:space="preserve"> Nova auto ardi korea</t>
    <phoneticPr fontId="3" type="noConversion"/>
  </si>
  <si>
    <t>BERVENIKU CORPORATION SHPK</t>
    <phoneticPr fontId="3" type="noConversion"/>
  </si>
  <si>
    <t>Rruga Mon Balaj, Prishtinë, Kosovë</t>
    <phoneticPr fontId="3" type="noConversion"/>
  </si>
  <si>
    <t>Bulgaria</t>
    <phoneticPr fontId="25" type="noConversion"/>
  </si>
  <si>
    <t>Selo Gotovusa, Strpce</t>
    <phoneticPr fontId="3" type="noConversion"/>
  </si>
  <si>
    <t>Shkurte Rrahmani Duriqi</t>
    <phoneticPr fontId="3" type="noConversion"/>
  </si>
  <si>
    <t xml:space="preserve"> +38344851128</t>
    <phoneticPr fontId="3" type="noConversion"/>
  </si>
  <si>
    <t>Rr. Jakup Ferri - Prishtine</t>
    <phoneticPr fontId="3" type="noConversion"/>
  </si>
  <si>
    <t xml:space="preserve"> +383 44 319 394</t>
    <phoneticPr fontId="3" type="noConversion"/>
  </si>
  <si>
    <t>Prishtinë, Kosovë</t>
    <phoneticPr fontId="3" type="noConversion"/>
  </si>
  <si>
    <t xml:space="preserve">Ymer Berisha </t>
    <phoneticPr fontId="3" type="noConversion"/>
  </si>
  <si>
    <t>Rr 27 Nëntori, pn, Prishtinë</t>
    <phoneticPr fontId="3" type="noConversion"/>
  </si>
  <si>
    <t>ANUAR SH.P.K.</t>
    <phoneticPr fontId="3" type="noConversion"/>
  </si>
  <si>
    <t>Plamen Petkov Petkov</t>
    <phoneticPr fontId="3" type="noConversion"/>
  </si>
  <si>
    <t>Sofia 1000 , str Hristo Kovachev 26</t>
    <phoneticPr fontId="3" type="noConversion"/>
  </si>
  <si>
    <t>Kosovo</t>
    <phoneticPr fontId="3" type="noConversion"/>
  </si>
  <si>
    <t xml:space="preserve"> Blerim Syla</t>
    <phoneticPr fontId="3" type="noConversion"/>
  </si>
  <si>
    <t xml:space="preserve"> +38344179964</t>
    <phoneticPr fontId="3" type="noConversion"/>
  </si>
  <si>
    <t>Jeton Krasniqi</t>
    <phoneticPr fontId="3" type="noConversion"/>
  </si>
  <si>
    <t>XHEVDET DODA, 5, 5-15, 10000 Prishtine, Kosovo</t>
    <phoneticPr fontId="3" type="noConversion"/>
  </si>
  <si>
    <t>Nova auto ardi Korea</t>
    <phoneticPr fontId="3" type="noConversion"/>
  </si>
  <si>
    <t>22러6510</t>
    <phoneticPr fontId="3" type="noConversion"/>
  </si>
  <si>
    <t>WAUZZZ8K0CA054269</t>
    <phoneticPr fontId="3" type="noConversion"/>
  </si>
  <si>
    <t>A6 35 TDI</t>
    <phoneticPr fontId="3" type="noConversion"/>
  </si>
  <si>
    <t>06어6962</t>
    <phoneticPr fontId="3" type="noConversion"/>
  </si>
  <si>
    <t>WAUZZZ4G0JN115661</t>
    <phoneticPr fontId="3" type="noConversion"/>
  </si>
  <si>
    <t>하이앤드 / 김기헌</t>
    <phoneticPr fontId="3" type="noConversion"/>
  </si>
  <si>
    <t>154라1419</t>
    <phoneticPr fontId="3" type="noConversion"/>
  </si>
  <si>
    <t>KMHJ2814BGU023329</t>
    <phoneticPr fontId="3" type="noConversion"/>
  </si>
  <si>
    <t>이동근 ( 단독명의 )</t>
    <phoneticPr fontId="3" type="noConversion"/>
  </si>
  <si>
    <t>A6 3.0TDI</t>
    <phoneticPr fontId="3" type="noConversion"/>
  </si>
  <si>
    <t>229누1701</t>
    <phoneticPr fontId="3" type="noConversion"/>
  </si>
  <si>
    <t xml:space="preserve">WAUZZZ4G8EN159977 </t>
    <phoneticPr fontId="3" type="noConversion"/>
  </si>
  <si>
    <t xml:space="preserve"> 열린모터스 / 장재완</t>
    <phoneticPr fontId="3" type="noConversion"/>
  </si>
  <si>
    <t>154두4776</t>
    <phoneticPr fontId="3" type="noConversion"/>
  </si>
  <si>
    <t xml:space="preserve">WVWZZZ1KZDW080415 </t>
    <phoneticPr fontId="3" type="noConversion"/>
  </si>
  <si>
    <t>A8 4.2 FSI quattro</t>
    <phoneticPr fontId="3" type="noConversion"/>
  </si>
  <si>
    <t>64나2492</t>
    <phoneticPr fontId="3" type="noConversion"/>
  </si>
  <si>
    <t>WAUZZZ4H4B002161</t>
    <phoneticPr fontId="3" type="noConversion"/>
  </si>
  <si>
    <t>왕카 / 이민우</t>
    <phoneticPr fontId="3" type="noConversion"/>
  </si>
  <si>
    <t>730D xDrive M Sport Package</t>
    <phoneticPr fontId="3" type="noConversion"/>
  </si>
  <si>
    <t>335루1767</t>
    <phoneticPr fontId="3" type="noConversion"/>
  </si>
  <si>
    <t>WBA7S4107LCE80376</t>
    <phoneticPr fontId="3" type="noConversion"/>
  </si>
  <si>
    <t xml:space="preserve"> 오토웨이브 김경호</t>
    <phoneticPr fontId="3" type="noConversion"/>
  </si>
  <si>
    <t>35어2331</t>
    <phoneticPr fontId="3" type="noConversion"/>
  </si>
  <si>
    <t>WVGZZZ5NZCW067974</t>
    <phoneticPr fontId="3" type="noConversion"/>
  </si>
  <si>
    <t>레인보우 / 박주용</t>
    <phoneticPr fontId="3" type="noConversion"/>
  </si>
  <si>
    <t>A4 2.0 TDI</t>
    <phoneticPr fontId="3" type="noConversion"/>
  </si>
  <si>
    <t>23누7083</t>
    <phoneticPr fontId="3" type="noConversion"/>
  </si>
  <si>
    <t>WAUZZZ8K8EA084462</t>
    <phoneticPr fontId="3" type="noConversion"/>
  </si>
  <si>
    <t>카카오토샵 / 김대환</t>
    <phoneticPr fontId="3" type="noConversion"/>
  </si>
  <si>
    <t>60너2048</t>
    <phoneticPr fontId="3" type="noConversion"/>
  </si>
  <si>
    <t>KMHJU81VBAU079072</t>
    <phoneticPr fontId="3" type="noConversion"/>
  </si>
  <si>
    <t>서청주자동차 / 이태곤</t>
    <phoneticPr fontId="3" type="noConversion"/>
  </si>
  <si>
    <t>17두 7937</t>
    <phoneticPr fontId="3" type="noConversion"/>
  </si>
  <si>
    <t>WVGZZZ5NZJW932354</t>
    <phoneticPr fontId="3" type="noConversion"/>
  </si>
  <si>
    <t>리본카 최은선</t>
    <phoneticPr fontId="3" type="noConversion"/>
  </si>
  <si>
    <t>252너3597</t>
    <phoneticPr fontId="3" type="noConversion"/>
  </si>
  <si>
    <t>WVGZZZ5NZJW951937</t>
    <phoneticPr fontId="3" type="noConversion"/>
  </si>
  <si>
    <t>우리모터스  지경철</t>
    <phoneticPr fontId="3" type="noConversion"/>
  </si>
  <si>
    <t>28러9364</t>
    <phoneticPr fontId="3" type="noConversion"/>
  </si>
  <si>
    <t>WAUZZZ4G1CN123674</t>
    <phoneticPr fontId="3" type="noConversion"/>
  </si>
  <si>
    <t>다정자동차 / 이경범</t>
    <phoneticPr fontId="3" type="noConversion"/>
  </si>
  <si>
    <t>11고5126</t>
    <phoneticPr fontId="3" type="noConversion"/>
  </si>
  <si>
    <t>KMHJ381ABGU010115</t>
    <phoneticPr fontId="3" type="noConversion"/>
  </si>
  <si>
    <t xml:space="preserve"> 대양모터스 / 김남길</t>
    <phoneticPr fontId="3" type="noConversion"/>
  </si>
  <si>
    <t>Grand Cherokee</t>
    <phoneticPr fontId="3" type="noConversion"/>
  </si>
  <si>
    <t>68우 8964</t>
    <phoneticPr fontId="3" type="noConversion"/>
  </si>
  <si>
    <t>1J8HR58N27C686873</t>
    <phoneticPr fontId="3" type="noConversion"/>
  </si>
  <si>
    <t xml:space="preserve"> 다정모터스 / 김효남</t>
    <phoneticPr fontId="3" type="noConversion"/>
  </si>
  <si>
    <t>PORTER</t>
    <phoneticPr fontId="3" type="noConversion"/>
  </si>
  <si>
    <t>841더3420</t>
    <phoneticPr fontId="3" type="noConversion"/>
  </si>
  <si>
    <t>KMFZCZ7KAEU969321</t>
    <phoneticPr fontId="3" type="noConversion"/>
  </si>
  <si>
    <t>드림카마켓 / 이승호</t>
    <phoneticPr fontId="3" type="noConversion"/>
  </si>
  <si>
    <t>A6 3.0 TDI</t>
    <phoneticPr fontId="3" type="noConversion"/>
  </si>
  <si>
    <t>39수0127</t>
    <phoneticPr fontId="3" type="noConversion"/>
  </si>
  <si>
    <t>WAUZZZ4G3DN066671</t>
    <phoneticPr fontId="3" type="noConversion"/>
  </si>
  <si>
    <t xml:space="preserve"> 솔카 / 남승우 </t>
    <phoneticPr fontId="3" type="noConversion"/>
  </si>
  <si>
    <t>56버0718</t>
    <phoneticPr fontId="3" type="noConversion"/>
  </si>
  <si>
    <t>WAUZZZ4GXGN144836</t>
    <phoneticPr fontId="3" type="noConversion"/>
  </si>
  <si>
    <t xml:space="preserve">시대모터스 / 원종길 </t>
    <phoneticPr fontId="3" type="noConversion"/>
  </si>
  <si>
    <t>19거3283</t>
    <phoneticPr fontId="3" type="noConversion"/>
  </si>
  <si>
    <t>WVGZZZ5NZCW593157</t>
    <phoneticPr fontId="3" type="noConversion"/>
  </si>
  <si>
    <t>수호모터스 / 배현진</t>
    <phoneticPr fontId="3" type="noConversion"/>
  </si>
  <si>
    <t>15노9510</t>
    <phoneticPr fontId="3" type="noConversion"/>
  </si>
  <si>
    <t>WVGZZZ5NZGW534985</t>
    <phoneticPr fontId="3" type="noConversion"/>
  </si>
  <si>
    <t>오토웨이브 / 이문주</t>
    <phoneticPr fontId="3" type="noConversion"/>
  </si>
  <si>
    <t>320D GT</t>
    <phoneticPr fontId="3" type="noConversion"/>
  </si>
  <si>
    <t>54라5106</t>
    <phoneticPr fontId="3" type="noConversion"/>
  </si>
  <si>
    <t>WBA8T5103H816870</t>
    <phoneticPr fontId="3" type="noConversion"/>
  </si>
  <si>
    <t>태양모터스 / 이은선</t>
    <phoneticPr fontId="3" type="noConversion"/>
  </si>
  <si>
    <t>57어2189</t>
    <phoneticPr fontId="3" type="noConversion"/>
  </si>
  <si>
    <t>WVGZZZ5NZEW568536</t>
    <phoneticPr fontId="3" type="noConversion"/>
  </si>
  <si>
    <t xml:space="preserve"> 제이모션 / 안태건 </t>
    <phoneticPr fontId="3" type="noConversion"/>
  </si>
  <si>
    <t>35버1628</t>
    <phoneticPr fontId="3" type="noConversion"/>
  </si>
  <si>
    <t>WVGZZZ5NZBW045756</t>
    <phoneticPr fontId="3" type="noConversion"/>
  </si>
  <si>
    <t>이삼두</t>
    <phoneticPr fontId="3" type="noConversion"/>
  </si>
  <si>
    <t>23두3351</t>
    <phoneticPr fontId="3" type="noConversion"/>
  </si>
  <si>
    <t>WVGZZZ5NZDW604961</t>
    <phoneticPr fontId="3" type="noConversion"/>
  </si>
  <si>
    <t>유레카 / 박경철</t>
    <phoneticPr fontId="3" type="noConversion"/>
  </si>
  <si>
    <t>63무0374</t>
    <phoneticPr fontId="3" type="noConversion"/>
  </si>
  <si>
    <t>WAUZZZ8R5F114452</t>
    <phoneticPr fontId="3" type="noConversion"/>
  </si>
  <si>
    <t>다정모터스 / 김다정</t>
    <phoneticPr fontId="3" type="noConversion"/>
  </si>
  <si>
    <t>21도7330</t>
    <phoneticPr fontId="3" type="noConversion"/>
  </si>
  <si>
    <t>KNME5C2M2HP011609</t>
    <phoneticPr fontId="3" type="noConversion"/>
  </si>
  <si>
    <t xml:space="preserve"> 카즈모터스 / 손성연</t>
    <phoneticPr fontId="3" type="noConversion"/>
  </si>
  <si>
    <t>68주5530</t>
    <phoneticPr fontId="3" type="noConversion"/>
  </si>
  <si>
    <t>KMHJ3815GGU067550</t>
    <phoneticPr fontId="3" type="noConversion"/>
  </si>
  <si>
    <t>삼일모터스 / 박홍균</t>
    <phoneticPr fontId="3" type="noConversion"/>
  </si>
  <si>
    <t>A6 45 TDI</t>
    <phoneticPr fontId="3" type="noConversion"/>
  </si>
  <si>
    <t>243도6391</t>
    <phoneticPr fontId="3" type="noConversion"/>
  </si>
  <si>
    <t>WAUZZZF25LN051265</t>
    <phoneticPr fontId="3" type="noConversion"/>
  </si>
  <si>
    <t xml:space="preserve"> 스카이모터스 원주희</t>
    <phoneticPr fontId="3" type="noConversion"/>
  </si>
  <si>
    <t>Velar D300</t>
    <phoneticPr fontId="3" type="noConversion"/>
  </si>
  <si>
    <t>46라2219</t>
    <phoneticPr fontId="3" type="noConversion"/>
  </si>
  <si>
    <t>SALYA2BK1JA732832</t>
    <phoneticPr fontId="3" type="noConversion"/>
  </si>
  <si>
    <t>아이오토스 / 선민중</t>
    <phoneticPr fontId="3" type="noConversion"/>
  </si>
  <si>
    <t>35다0560</t>
    <phoneticPr fontId="3" type="noConversion"/>
  </si>
  <si>
    <t>WAUZZZ4GXGN021988</t>
    <phoneticPr fontId="3" type="noConversion"/>
  </si>
  <si>
    <t>강창희</t>
    <phoneticPr fontId="3" type="noConversion"/>
  </si>
  <si>
    <t>47소5093</t>
    <phoneticPr fontId="3" type="noConversion"/>
  </si>
  <si>
    <t>WDDWF0EB6FF125289</t>
    <phoneticPr fontId="3" type="noConversion"/>
  </si>
  <si>
    <t xml:space="preserve"> 셀링오토 곽철희</t>
    <phoneticPr fontId="3" type="noConversion"/>
  </si>
  <si>
    <t>63버1609</t>
    <phoneticPr fontId="3" type="noConversion"/>
  </si>
  <si>
    <t>WAUZZZ8R8FA064534</t>
    <phoneticPr fontId="3" type="noConversion"/>
  </si>
  <si>
    <t>주식회사 회성무역</t>
    <phoneticPr fontId="3" type="noConversion"/>
  </si>
  <si>
    <t>38거3214</t>
    <phoneticPr fontId="3" type="noConversion"/>
  </si>
  <si>
    <t>WBA8T5102JG819703</t>
    <phoneticPr fontId="3" type="noConversion"/>
  </si>
  <si>
    <t xml:space="preserve"> MS 모터스 / 황용연</t>
    <phoneticPr fontId="3" type="noConversion"/>
  </si>
  <si>
    <t>54서2846</t>
    <phoneticPr fontId="3" type="noConversion"/>
  </si>
  <si>
    <t>WAUZZZ4G9FN006056</t>
    <phoneticPr fontId="3" type="noConversion"/>
  </si>
  <si>
    <t>셀링오토 / 곽철희</t>
    <phoneticPr fontId="3" type="noConversion"/>
  </si>
  <si>
    <t>362다7392</t>
    <phoneticPr fontId="3" type="noConversion"/>
  </si>
  <si>
    <t>WDDWF0EB7FF111353</t>
    <phoneticPr fontId="3" type="noConversion"/>
  </si>
  <si>
    <t>하이앤드모터스 / 배형빈</t>
    <phoneticPr fontId="3" type="noConversion"/>
  </si>
  <si>
    <t>GLE350 D</t>
    <phoneticPr fontId="3" type="noConversion"/>
  </si>
  <si>
    <t>33너2761</t>
    <phoneticPr fontId="3" type="noConversion"/>
  </si>
  <si>
    <t>WDCED2EB4HA069189</t>
    <phoneticPr fontId="3" type="noConversion"/>
  </si>
  <si>
    <t>Passat GT 2.0TDI</t>
    <phoneticPr fontId="3" type="noConversion"/>
  </si>
  <si>
    <t>280조1895</t>
    <phoneticPr fontId="3" type="noConversion"/>
  </si>
  <si>
    <t>WWWZZZ3CZNE028333</t>
    <phoneticPr fontId="3" type="noConversion"/>
  </si>
  <si>
    <t>GRANDEUR</t>
    <phoneticPr fontId="3" type="noConversion"/>
  </si>
  <si>
    <t>176다7273</t>
    <phoneticPr fontId="3" type="noConversion"/>
  </si>
  <si>
    <t>KMHN341FBPA055016</t>
    <phoneticPr fontId="3" type="noConversion"/>
  </si>
  <si>
    <t xml:space="preserve"> 프리오토</t>
    <phoneticPr fontId="3" type="noConversion"/>
  </si>
  <si>
    <t>WDDWF0EBXHR237711</t>
    <phoneticPr fontId="3" type="noConversion"/>
  </si>
  <si>
    <t>cla 200cdi</t>
    <phoneticPr fontId="3" type="noConversion"/>
  </si>
  <si>
    <t>151어5617</t>
    <phoneticPr fontId="3" type="noConversion"/>
  </si>
  <si>
    <t>WDDSJ0JB1FN208329</t>
    <phoneticPr fontId="3" type="noConversion"/>
  </si>
  <si>
    <t>㈜신원자동차</t>
    <phoneticPr fontId="3" type="noConversion"/>
  </si>
  <si>
    <t>05나0998</t>
    <phoneticPr fontId="3" type="noConversion"/>
  </si>
  <si>
    <t>KMHJ381ABGU059215</t>
    <phoneticPr fontId="3" type="noConversion"/>
  </si>
  <si>
    <t>GM컴퍼니 / 박혜준</t>
    <phoneticPr fontId="3" type="noConversion"/>
  </si>
  <si>
    <t>GOLF 2.0</t>
    <phoneticPr fontId="3" type="noConversion"/>
  </si>
  <si>
    <t>25더8692</t>
    <phoneticPr fontId="3" type="noConversion"/>
  </si>
  <si>
    <t>WVWZZZAUZFW098202</t>
    <phoneticPr fontId="3" type="noConversion"/>
  </si>
  <si>
    <t>홍차/홍석훈</t>
    <phoneticPr fontId="3" type="noConversion"/>
  </si>
  <si>
    <t>완</t>
    <phoneticPr fontId="3" type="noConversion"/>
  </si>
  <si>
    <t>33조0205</t>
    <phoneticPr fontId="3" type="noConversion"/>
  </si>
  <si>
    <t>QM6</t>
    <phoneticPr fontId="3" type="noConversion"/>
  </si>
  <si>
    <t>KNME5C2M8HP000842</t>
    <phoneticPr fontId="3" type="noConversion"/>
  </si>
  <si>
    <t>카팡/ 이승로</t>
    <phoneticPr fontId="3" type="noConversion"/>
  </si>
  <si>
    <t>용빈 50</t>
    <phoneticPr fontId="3" type="noConversion"/>
  </si>
  <si>
    <t>PCK</t>
    <phoneticPr fontId="3" type="noConversion"/>
  </si>
  <si>
    <t xml:space="preserve">Valmir Gashi </t>
    <phoneticPr fontId="3" type="noConversion"/>
  </si>
  <si>
    <t>Rr.Leke Dukagjini 40000 Mitrovica Kosovo</t>
    <phoneticPr fontId="3" type="noConversion"/>
  </si>
  <si>
    <t>+38344157977</t>
    <phoneticPr fontId="3" type="noConversion"/>
  </si>
  <si>
    <t>36수7594</t>
    <phoneticPr fontId="3" type="noConversion"/>
  </si>
  <si>
    <t>KMHS281BBKU101230</t>
    <phoneticPr fontId="3" type="noConversion"/>
  </si>
  <si>
    <t>원스탑/박일근</t>
    <phoneticPr fontId="3" type="noConversion"/>
  </si>
  <si>
    <t>67구1885</t>
    <phoneticPr fontId="3" type="noConversion"/>
  </si>
  <si>
    <t>WAUZZZ8K0EA139602</t>
    <phoneticPr fontId="3" type="noConversion"/>
  </si>
  <si>
    <t>원스타/최환석</t>
    <phoneticPr fontId="3" type="noConversion"/>
  </si>
  <si>
    <t>R8 V10</t>
    <phoneticPr fontId="3" type="noConversion"/>
  </si>
  <si>
    <t>A8 50 TDI quattro</t>
    <phoneticPr fontId="3" type="noConversion"/>
  </si>
  <si>
    <t>TIGUAN</t>
    <phoneticPr fontId="3" type="noConversion"/>
  </si>
  <si>
    <t>64저5559</t>
    <phoneticPr fontId="3" type="noConversion"/>
  </si>
  <si>
    <t>WVGZZZ5NZCW039752</t>
    <phoneticPr fontId="3" type="noConversion"/>
  </si>
  <si>
    <t>개인/이권호</t>
    <phoneticPr fontId="3" type="noConversion"/>
  </si>
  <si>
    <t>여자친구 100</t>
    <phoneticPr fontId="3" type="noConversion"/>
  </si>
  <si>
    <t>Fariese Domenico</t>
    <phoneticPr fontId="3" type="noConversion"/>
  </si>
  <si>
    <t>I63628006T</t>
    <phoneticPr fontId="3" type="noConversion"/>
  </si>
  <si>
    <t>마이카/김민수</t>
    <phoneticPr fontId="3" type="noConversion"/>
  </si>
  <si>
    <t>330나4557</t>
    <phoneticPr fontId="3" type="noConversion"/>
  </si>
  <si>
    <t>WDDUF3DB2GA221638</t>
    <phoneticPr fontId="3" type="noConversion"/>
  </si>
  <si>
    <t>S-CLASS</t>
    <phoneticPr fontId="3" type="noConversion"/>
  </si>
  <si>
    <t>민모터스/민경훈</t>
    <phoneticPr fontId="3" type="noConversion"/>
  </si>
  <si>
    <t>회사200</t>
    <phoneticPr fontId="3" type="noConversion"/>
  </si>
  <si>
    <t>Vinjolli Rigert</t>
    <phoneticPr fontId="3" type="noConversion"/>
  </si>
  <si>
    <t>I81124055J</t>
    <phoneticPr fontId="3" type="noConversion"/>
  </si>
  <si>
    <t>Leti dritan</t>
    <phoneticPr fontId="3" type="noConversion"/>
  </si>
  <si>
    <t>H81009062F</t>
    <phoneticPr fontId="3" type="noConversion"/>
  </si>
  <si>
    <t>완</t>
    <phoneticPr fontId="3" type="noConversion"/>
  </si>
  <si>
    <t>50%적용/ 쉬핑제외</t>
    <phoneticPr fontId="3" type="noConversion"/>
  </si>
  <si>
    <t>JEEP Cherokee</t>
    <phoneticPr fontId="3" type="noConversion"/>
  </si>
  <si>
    <t>49두9999</t>
    <phoneticPr fontId="3" type="noConversion"/>
  </si>
  <si>
    <t>1C4RJFM5HC807360</t>
    <phoneticPr fontId="3" type="noConversion"/>
  </si>
  <si>
    <t>세븐모터스/이기설</t>
    <phoneticPr fontId="3" type="noConversion"/>
  </si>
  <si>
    <t>회사100</t>
    <phoneticPr fontId="3" type="noConversion"/>
  </si>
  <si>
    <t>740d</t>
    <phoneticPr fontId="3" type="noConversion"/>
  </si>
  <si>
    <t>McNaren</t>
    <phoneticPr fontId="3" type="noConversion"/>
  </si>
  <si>
    <t>Burim Aliu</t>
    <phoneticPr fontId="3" type="noConversion"/>
  </si>
  <si>
    <t>383 44 116 519</t>
    <phoneticPr fontId="3" type="noConversion"/>
  </si>
  <si>
    <t>Prishtina - Kosovo</t>
    <phoneticPr fontId="3" type="noConversion"/>
  </si>
  <si>
    <t>Faruk Aliu</t>
    <phoneticPr fontId="3" type="noConversion"/>
  </si>
  <si>
    <t>+383 44 118 901</t>
    <phoneticPr fontId="3" type="noConversion"/>
  </si>
  <si>
    <t>GLE450D 4Matic</t>
    <phoneticPr fontId="3" type="noConversion"/>
  </si>
  <si>
    <t>ILIANA RUSKOVA MILKOVA</t>
    <phoneticPr fontId="3" type="noConversion"/>
  </si>
  <si>
    <t xml:space="preserve"> CITY ZLATOGRAD ; STR. HRISTO BOTEV 29</t>
    <phoneticPr fontId="3" type="noConversion"/>
  </si>
  <si>
    <t>배송</t>
    <phoneticPr fontId="25" type="noConversion"/>
  </si>
  <si>
    <t>40보1247</t>
    <phoneticPr fontId="3" type="noConversion"/>
  </si>
  <si>
    <t>WAUZZZ4GEN085412</t>
    <phoneticPr fontId="3" type="noConversion"/>
  </si>
  <si>
    <t>건모터스/김민현</t>
    <phoneticPr fontId="3" type="noConversion"/>
  </si>
  <si>
    <t>완</t>
    <phoneticPr fontId="3" type="noConversion"/>
  </si>
  <si>
    <t>134조1259</t>
    <phoneticPr fontId="3" type="noConversion"/>
  </si>
  <si>
    <t>WBAJF3104LWW83354</t>
    <phoneticPr fontId="3" type="noConversion"/>
  </si>
  <si>
    <t>신 삼성자동차/ 이재용</t>
    <phoneticPr fontId="3" type="noConversion"/>
  </si>
  <si>
    <t>회사50</t>
    <phoneticPr fontId="3" type="noConversion"/>
  </si>
  <si>
    <t xml:space="preserve"> Shqiprim Zeqiri</t>
    <phoneticPr fontId="3" type="noConversion"/>
  </si>
  <si>
    <t>+38344179964</t>
    <phoneticPr fontId="3" type="noConversion"/>
  </si>
  <si>
    <t>IMZOT NIKË PRELA, 7, 1-7, 10000 Prishtina, Kosov</t>
    <phoneticPr fontId="3" type="noConversion"/>
  </si>
  <si>
    <t>입금완료</t>
    <phoneticPr fontId="3" type="noConversion"/>
  </si>
  <si>
    <t>입금완료</t>
    <phoneticPr fontId="3" type="noConversion"/>
  </si>
  <si>
    <t>ONE CON1</t>
    <phoneticPr fontId="3" type="noConversion"/>
  </si>
  <si>
    <t>CMA CON2</t>
    <phoneticPr fontId="3" type="noConversion"/>
  </si>
  <si>
    <t>01머3244</t>
    <phoneticPr fontId="3" type="noConversion"/>
  </si>
  <si>
    <t>KMHR381EDKU006425</t>
    <phoneticPr fontId="3" type="noConversion"/>
  </si>
  <si>
    <t>왕카/이요한</t>
    <phoneticPr fontId="3" type="noConversion"/>
  </si>
  <si>
    <t>여자친구100</t>
    <phoneticPr fontId="3" type="noConversion"/>
  </si>
  <si>
    <t>STILIYAN IVANOV IVANOV</t>
    <phoneticPr fontId="3" type="noConversion"/>
  </si>
  <si>
    <t>0043264520</t>
    <phoneticPr fontId="3" type="noConversion"/>
  </si>
  <si>
    <t>YANITSA PETROVA BORISLAVOVA</t>
    <phoneticPr fontId="3" type="noConversion"/>
  </si>
  <si>
    <t>입금전</t>
    <phoneticPr fontId="3" type="noConversion"/>
  </si>
  <si>
    <t xml:space="preserve">Kv auto group </t>
    <phoneticPr fontId="3" type="noConversion"/>
  </si>
  <si>
    <t>PALISADE</t>
    <phoneticPr fontId="3" type="noConversion"/>
  </si>
  <si>
    <t>272오1355</t>
    <phoneticPr fontId="3" type="noConversion"/>
  </si>
  <si>
    <t>WUAZZZFX9M7900403</t>
    <phoneticPr fontId="3" type="noConversion"/>
  </si>
  <si>
    <t>명가/정용규</t>
    <phoneticPr fontId="3" type="noConversion"/>
  </si>
  <si>
    <t>회사500</t>
    <phoneticPr fontId="3" type="noConversion"/>
  </si>
  <si>
    <t>175주8302</t>
    <phoneticPr fontId="3" type="noConversion"/>
  </si>
  <si>
    <t>WAUZZZF89LN014997</t>
    <phoneticPr fontId="3" type="noConversion"/>
  </si>
  <si>
    <t>아이오토스/윤준용</t>
    <phoneticPr fontId="3" type="noConversion"/>
  </si>
  <si>
    <t>용빈50</t>
    <phoneticPr fontId="3" type="noConversion"/>
  </si>
  <si>
    <t>272부3464</t>
    <phoneticPr fontId="3" type="noConversion"/>
  </si>
  <si>
    <t>WVGZZZ5NZGW049940</t>
    <phoneticPr fontId="3" type="noConversion"/>
  </si>
  <si>
    <t>안흥자동차/오세훈</t>
    <phoneticPr fontId="3" type="noConversion"/>
  </si>
  <si>
    <t>여자친구50</t>
    <phoneticPr fontId="3" type="noConversion"/>
  </si>
  <si>
    <t>134고5600</t>
    <phoneticPr fontId="3" type="noConversion"/>
  </si>
  <si>
    <t>WVWZZZ3HZKE018358</t>
    <phoneticPr fontId="3" type="noConversion"/>
  </si>
  <si>
    <t>오토웨이 / 박남훈</t>
    <phoneticPr fontId="3" type="noConversion"/>
  </si>
  <si>
    <t>13로0468</t>
    <phoneticPr fontId="3" type="noConversion"/>
  </si>
  <si>
    <t>WVWZZZAUZGW174477</t>
    <phoneticPr fontId="3" type="noConversion"/>
  </si>
  <si>
    <t>에이투지네트웍스 /  김정우</t>
    <phoneticPr fontId="3" type="noConversion"/>
  </si>
  <si>
    <t>369두8181</t>
    <phoneticPr fontId="3" type="noConversion"/>
  </si>
  <si>
    <t>WBA21EJ07RCR81146</t>
    <phoneticPr fontId="3" type="noConversion"/>
  </si>
  <si>
    <t>용일상시 / 김강민</t>
    <phoneticPr fontId="3" type="noConversion"/>
  </si>
  <si>
    <t>회사300</t>
    <phoneticPr fontId="3" type="noConversion"/>
  </si>
  <si>
    <t>31너8888</t>
    <phoneticPr fontId="3" type="noConversion"/>
  </si>
  <si>
    <t>SBM13DAB1HW001936</t>
    <phoneticPr fontId="3" type="noConversion"/>
  </si>
  <si>
    <t>개인매입/ 이순옥</t>
    <phoneticPr fontId="3" type="noConversion"/>
  </si>
  <si>
    <t>회사1000</t>
    <phoneticPr fontId="3" type="noConversion"/>
  </si>
  <si>
    <t>379우9212</t>
    <phoneticPr fontId="3" type="noConversion"/>
  </si>
  <si>
    <t>W1NFB5KB3MA385031</t>
    <phoneticPr fontId="3" type="noConversion"/>
  </si>
  <si>
    <t>뉴코리아모터스 / 김태명</t>
    <phoneticPr fontId="3" type="noConversion"/>
  </si>
  <si>
    <t>용빈100</t>
    <phoneticPr fontId="3" type="noConversion"/>
  </si>
  <si>
    <t>398다4547</t>
    <phoneticPr fontId="3" type="noConversion"/>
  </si>
  <si>
    <t>KNAPW81CBPK131115</t>
    <phoneticPr fontId="3" type="noConversion"/>
  </si>
  <si>
    <t>탑기어/양종진</t>
    <phoneticPr fontId="3" type="noConversion"/>
  </si>
  <si>
    <t>회사100</t>
    <phoneticPr fontId="3" type="noConversion"/>
  </si>
  <si>
    <t>217거5720</t>
    <phoneticPr fontId="3" type="noConversion"/>
  </si>
  <si>
    <t>WDDUF2AB3JA421529</t>
    <phoneticPr fontId="3" type="noConversion"/>
  </si>
  <si>
    <t>가람모터스 / 김정훈</t>
    <phoneticPr fontId="3" type="noConversion"/>
  </si>
  <si>
    <t>174우1473</t>
    <phoneticPr fontId="3" type="noConversion"/>
  </si>
  <si>
    <t>WDDUG6EB9JA388048</t>
    <phoneticPr fontId="3" type="noConversion"/>
  </si>
  <si>
    <t>디에이치모터스 /  윤상연</t>
    <phoneticPr fontId="3" type="noConversion"/>
  </si>
  <si>
    <t>108오3009</t>
    <phoneticPr fontId="3" type="noConversion"/>
  </si>
  <si>
    <t>WBAJC5109JWB87454</t>
    <phoneticPr fontId="3" type="noConversion"/>
  </si>
  <si>
    <t>카베이/윤수형</t>
    <phoneticPr fontId="3" type="noConversion"/>
  </si>
  <si>
    <t>인천항</t>
    <phoneticPr fontId="3" type="noConversion"/>
  </si>
  <si>
    <t>인천항</t>
    <phoneticPr fontId="3" type="noConversion"/>
  </si>
  <si>
    <t>환율 
EURO</t>
    <phoneticPr fontId="3" type="noConversion"/>
  </si>
  <si>
    <t>Joca Edmond</t>
    <phoneticPr fontId="3" type="noConversion"/>
  </si>
  <si>
    <t>K30407051L</t>
    <phoneticPr fontId="3" type="noConversion"/>
  </si>
  <si>
    <t>CON2 운항중</t>
    <phoneticPr fontId="25" type="noConversion"/>
  </si>
  <si>
    <t>CON1 운항중</t>
    <phoneticPr fontId="25" type="noConversion"/>
  </si>
  <si>
    <t>RORO 예정</t>
    <phoneticPr fontId="25" type="noConversion"/>
  </si>
  <si>
    <t>CON3</t>
    <phoneticPr fontId="25" type="noConversion"/>
  </si>
  <si>
    <t>.</t>
    <phoneticPr fontId="25" type="noConversion"/>
  </si>
  <si>
    <r>
      <t>입금완료/</t>
    </r>
    <r>
      <rPr>
        <b/>
        <sz val="15"/>
        <color theme="1"/>
        <rFont val="Noto Sans KR"/>
        <family val="3"/>
        <charset val="129"/>
      </rPr>
      <t>300유로손상보상</t>
    </r>
    <phoneticPr fontId="3" type="noConversion"/>
  </si>
  <si>
    <t xml:space="preserve"> </t>
    <phoneticPr fontId="25" type="noConversion"/>
  </si>
  <si>
    <t>50% 입금완료/0601</t>
    <phoneticPr fontId="25" type="noConversion"/>
  </si>
  <si>
    <t>50% 입금완료/0604</t>
    <phoneticPr fontId="25" type="noConversion"/>
  </si>
  <si>
    <t>50% 입금완료 배송비 제외 /0604</t>
    <phoneticPr fontId="25" type="noConversion"/>
  </si>
  <si>
    <t>39거1721</t>
    <phoneticPr fontId="3" type="noConversion"/>
  </si>
  <si>
    <t>WAUZZZ4G2JN115029</t>
    <phoneticPr fontId="3" type="noConversion"/>
  </si>
  <si>
    <t>킹모터스/이홍식</t>
    <phoneticPr fontId="3" type="noConversion"/>
  </si>
  <si>
    <t>용빈100</t>
    <phoneticPr fontId="3" type="noConversion"/>
  </si>
  <si>
    <t>TIGUAN</t>
    <phoneticPr fontId="25" type="noConversion"/>
  </si>
  <si>
    <t>49더0597</t>
    <phoneticPr fontId="25" type="noConversion"/>
  </si>
  <si>
    <t>WVGZZZ5NZGW090926</t>
    <phoneticPr fontId="25" type="noConversion"/>
  </si>
  <si>
    <t>제이제이오토컴퍼니/남상현</t>
    <phoneticPr fontId="25" type="noConversion"/>
  </si>
  <si>
    <t>회사50</t>
    <phoneticPr fontId="25" type="noConversion"/>
  </si>
  <si>
    <t>STEFAN FILCHEV FILCHEV</t>
    <phoneticPr fontId="25" type="noConversion"/>
  </si>
  <si>
    <t>City: Sopot / str.Aleksandar Stamboliyski 30</t>
    <phoneticPr fontId="3" type="noConversion"/>
  </si>
  <si>
    <t>완</t>
    <phoneticPr fontId="25" type="noConversion"/>
  </si>
  <si>
    <t>판매보고
여부</t>
    <phoneticPr fontId="25" type="noConversion"/>
  </si>
  <si>
    <t>ARTEON</t>
    <phoneticPr fontId="3" type="noConversion"/>
  </si>
  <si>
    <t>372조1047</t>
    <phoneticPr fontId="3" type="noConversion"/>
  </si>
  <si>
    <t>WVWZZZ3HZKE019626</t>
    <phoneticPr fontId="3" type="noConversion"/>
  </si>
  <si>
    <t>S1모터스/김세훈</t>
    <phoneticPr fontId="3" type="noConversion"/>
  </si>
  <si>
    <t>용빈100</t>
    <phoneticPr fontId="3" type="noConversion"/>
  </si>
  <si>
    <t>Dokleat Veseli</t>
    <phoneticPr fontId="3" type="noConversion"/>
  </si>
  <si>
    <t>Kosova, Prishtina</t>
    <phoneticPr fontId="3" type="noConversion"/>
  </si>
  <si>
    <t>KNAPU81CBKNK061080</t>
    <phoneticPr fontId="25" type="noConversion"/>
  </si>
  <si>
    <t>396수1494</t>
    <phoneticPr fontId="25" type="noConversion"/>
  </si>
  <si>
    <t>오토핸즈/이재성</t>
    <phoneticPr fontId="25" type="noConversion"/>
  </si>
  <si>
    <t>용빈50</t>
    <phoneticPr fontId="25" type="noConversion"/>
  </si>
  <si>
    <t>Sasa Spasic</t>
    <phoneticPr fontId="3" type="noConversion"/>
  </si>
  <si>
    <r>
      <rPr>
        <sz val="15"/>
        <color theme="1"/>
        <rFont val="Arial"/>
        <family val="3"/>
        <charset val="238"/>
      </rPr>
      <t>Š</t>
    </r>
    <r>
      <rPr>
        <sz val="15"/>
        <color theme="1"/>
        <rFont val="Calibri"/>
        <family val="3"/>
      </rPr>
      <t>trpce, Kosovo</t>
    </r>
    <phoneticPr fontId="3" type="noConversion"/>
  </si>
  <si>
    <t>입금예정</t>
    <phoneticPr fontId="25" type="noConversion"/>
  </si>
  <si>
    <t>입금예정.</t>
    <phoneticPr fontId="3" type="noConversion"/>
  </si>
  <si>
    <t>회사 100</t>
    <phoneticPr fontId="3" type="noConversion"/>
  </si>
  <si>
    <t>Zheleku Aleks</t>
    <phoneticPr fontId="3" type="noConversion"/>
  </si>
  <si>
    <t>J80222017M</t>
    <phoneticPr fontId="3" type="noConversion"/>
  </si>
  <si>
    <r>
      <rPr>
        <b/>
        <sz val="15"/>
        <color rgb="FFFF0000"/>
        <rFont val="Noto Sans KR"/>
        <family val="3"/>
        <charset val="129"/>
      </rPr>
      <t xml:space="preserve">미수 4800. </t>
    </r>
    <r>
      <rPr>
        <b/>
        <sz val="15"/>
        <color theme="1"/>
        <rFont val="Noto Sans KR"/>
        <family val="3"/>
        <charset val="129"/>
      </rPr>
      <t>6800입금</t>
    </r>
    <phoneticPr fontId="3" type="noConversion"/>
  </si>
  <si>
    <r>
      <t>입금완료/</t>
    </r>
    <r>
      <rPr>
        <b/>
        <sz val="15"/>
        <color rgb="FFFF0000"/>
        <rFont val="Noto Sans KR"/>
        <family val="3"/>
        <charset val="129"/>
      </rPr>
      <t>128인상미수</t>
    </r>
    <phoneticPr fontId="3" type="noConversion"/>
  </si>
  <si>
    <r>
      <t>입금완료</t>
    </r>
    <r>
      <rPr>
        <b/>
        <sz val="15"/>
        <color rgb="FFFF0000"/>
        <rFont val="Noto Sans KR"/>
        <family val="3"/>
        <charset val="129"/>
      </rPr>
      <t>/128인상미수</t>
    </r>
    <phoneticPr fontId="3" type="noConversion"/>
  </si>
  <si>
    <r>
      <rPr>
        <b/>
        <sz val="15"/>
        <color rgb="FF0070C0"/>
        <rFont val="Noto Sans KR"/>
        <family val="3"/>
        <charset val="129"/>
      </rPr>
      <t>입금완료</t>
    </r>
    <r>
      <rPr>
        <b/>
        <sz val="15"/>
        <color theme="1"/>
        <rFont val="Noto Sans KR"/>
        <family val="3"/>
        <charset val="129"/>
      </rPr>
      <t>/</t>
    </r>
    <r>
      <rPr>
        <b/>
        <sz val="15"/>
        <color rgb="FFFF0000"/>
        <rFont val="Noto Sans KR"/>
        <family val="3"/>
        <charset val="129"/>
      </rPr>
      <t>128인상미수</t>
    </r>
    <phoneticPr fontId="25" type="noConversion"/>
  </si>
  <si>
    <r>
      <t>입금완료/</t>
    </r>
    <r>
      <rPr>
        <b/>
        <sz val="15"/>
        <color rgb="FFFF0000"/>
        <rFont val="Noto Sans KR"/>
        <family val="3"/>
        <charset val="129"/>
      </rPr>
      <t>1850선수금처리</t>
    </r>
    <phoneticPr fontId="3" type="noConversion"/>
  </si>
  <si>
    <t xml:space="preserve">t-roc </t>
    <phoneticPr fontId="3" type="noConversion"/>
  </si>
  <si>
    <t>입금완료/522EURO</t>
    <phoneticPr fontId="25" type="noConversion"/>
  </si>
  <si>
    <t>입금완료/128인상미수</t>
    <phoneticPr fontId="25" type="noConversion"/>
  </si>
  <si>
    <t>미수/128인상미수</t>
    <phoneticPr fontId="3" type="noConversion"/>
  </si>
  <si>
    <t>E-CLASS</t>
    <phoneticPr fontId="3" type="noConversion"/>
  </si>
  <si>
    <t>190머9766</t>
    <phoneticPr fontId="3" type="noConversion"/>
  </si>
  <si>
    <t>WDDZ0EB5HA093089</t>
    <phoneticPr fontId="3" type="noConversion"/>
  </si>
  <si>
    <t>세이프티중고차 / 장순주</t>
    <phoneticPr fontId="3" type="noConversion"/>
  </si>
  <si>
    <t>회사100</t>
    <phoneticPr fontId="3" type="noConversion"/>
  </si>
  <si>
    <t>KUGA 2.0 AWD</t>
    <phoneticPr fontId="25" type="noConversion"/>
  </si>
  <si>
    <t>32소0448</t>
    <phoneticPr fontId="25" type="noConversion"/>
  </si>
  <si>
    <t>WF0AXXWPMGFP82989</t>
    <phoneticPr fontId="25" type="noConversion"/>
  </si>
  <si>
    <t>형제모터스/김남용</t>
    <phoneticPr fontId="25" type="noConversion"/>
  </si>
  <si>
    <t>회사100</t>
    <phoneticPr fontId="25" type="noConversion"/>
  </si>
  <si>
    <t>320D</t>
    <phoneticPr fontId="25" type="noConversion"/>
  </si>
  <si>
    <t>회사50</t>
    <phoneticPr fontId="25" type="noConversion"/>
  </si>
  <si>
    <t>23라0437</t>
    <phoneticPr fontId="25" type="noConversion"/>
  </si>
  <si>
    <t>WBA8C5100GK639559</t>
    <phoneticPr fontId="25" type="noConversion"/>
  </si>
  <si>
    <t>207오9586</t>
    <phoneticPr fontId="3" type="noConversion"/>
  </si>
  <si>
    <t>WDDHF0CB1DA684111</t>
    <phoneticPr fontId="3" type="noConversion"/>
  </si>
  <si>
    <t>회사50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</si>
</sst>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6" formatCode="&quot;₩&quot;#,##0;[Red]\-&quot;₩&quot;#,##0"/>
    <numFmt numFmtId="41" formatCode="_-* #,##0_-;\-* #,##0_-;_-* &quot;-&quot;_-;_-@_-"/>
    <numFmt numFmtId="23" formatCode="\$#,##0_);\(\$#,##0\)"/>
    <numFmt numFmtId="176" formatCode="_-\$* #,##0_ ;_-\$* \-#,##0\ ;_-\$* &quot;-&quot;_ ;_-@_ "/>
    <numFmt numFmtId="177" formatCode="&quot;$&quot;#,##0.00"/>
    <numFmt numFmtId="178" formatCode="[$₩]#,##0"/>
    <numFmt numFmtId="179" formatCode="[$$]#,##0"/>
    <numFmt numFmtId="180" formatCode="dd\.mm\.yyyy"/>
    <numFmt numFmtId="181" formatCode="\$#,##0;[Red]\-\$#,##0"/>
    <numFmt numFmtId="182" formatCode="#,##0_ ;[Red]\-#,##0\ "/>
    <numFmt numFmtId="183" formatCode="[$$-475]#,##0;[Red]\-[$$-475]#,##0"/>
    <numFmt numFmtId="184" formatCode="yyyy\-mm\-dd"/>
    <numFmt numFmtId="185" formatCode="_-[$$-409]* #,##0.00_ ;_-[$$-409]* \-#,##0.00\ ;_-[$$-409]* &quot;-&quot;??_ ;_-@_ "/>
    <numFmt numFmtId="186" formatCode="yyyy&quot;-&quot;mm&quot;-&quot;dd"/>
    <numFmt numFmtId="187" formatCode="\$#,##0"/>
    <numFmt numFmtId="188" formatCode="0_);[Red]\(0\)"/>
    <numFmt numFmtId="189" formatCode="[$$-409]#,##0_);\([$$-409]#,##0\)"/>
    <numFmt numFmtId="190" formatCode="[$€-2]\ #,##0_);\([$€-2]\ #,##0\)"/>
    <numFmt numFmtId="191" formatCode="[$€-2]\ #,##0;[Red][$€-2]\ #,##0"/>
    <numFmt numFmtId="192" formatCode="[$€-2]\ #,##0.00_);[Red]\([$€-2]\ #,##0.00\)"/>
    <numFmt numFmtId="193" formatCode="[$€-2]\ #,##0_);[Red]\([$€-2]\ #,##0\)"/>
    <numFmt numFmtId="194" formatCode="0.0_);[Red]\(0.0\)"/>
    <numFmt numFmtId="195" formatCode="[$€-2]\ #,##0.00;[Red][$€-2]\ #,##0.00"/>
    <numFmt numFmtId="196" formatCode="[$$-409]#,##0;[Red][$$-409]#,##0"/>
    <numFmt numFmtId="197" formatCode="[$€-1809]#,##0;[Red][$€-1809]#,##0"/>
    <numFmt numFmtId="198" formatCode="&quot;₩&quot;#,##0;[Red]&quot;₩&quot;#,##0"/>
    <numFmt numFmtId="199" formatCode="_-[$€-2]\ * #,##0_-;\-[$€-2]\ * #,##0_-;_-[$€-2]\ * &quot;-&quot;??_-;_-@_-"/>
    <numFmt numFmtId="200" formatCode="mm&quot;월&quot;\ dd&quot;일&quot;"/>
  </numFmts>
  <fonts count="9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color theme="1"/>
      <name val="나눔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Arial"/>
      <family val="2"/>
    </font>
    <font>
      <sz val="8"/>
      <name val="Tahoma"/>
      <family val="2"/>
    </font>
    <font>
      <b/>
      <sz val="10"/>
      <name val="Arial"/>
      <family val="2"/>
    </font>
    <font>
      <sz val="9"/>
      <name val="Tahoma"/>
      <family val="2"/>
    </font>
    <font>
      <sz val="16"/>
      <name val="Impact"/>
      <family val="2"/>
    </font>
    <font>
      <b/>
      <sz val="12"/>
      <name val="Tahoma"/>
      <family val="2"/>
    </font>
    <font>
      <b/>
      <i/>
      <sz val="8"/>
      <name val="Arial"/>
      <family val="2"/>
    </font>
    <font>
      <u/>
      <sz val="26"/>
      <color theme="0"/>
      <name val="Arial Black"/>
      <family val="2"/>
    </font>
    <font>
      <b/>
      <sz val="16"/>
      <color indexed="9"/>
      <name val="Tahoma"/>
      <family val="2"/>
    </font>
    <font>
      <sz val="9"/>
      <name val="taboma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2"/>
    </font>
    <font>
      <b/>
      <sz val="10"/>
      <color theme="1"/>
      <name val="Arial"/>
      <family val="3"/>
      <charset val="129"/>
    </font>
    <font>
      <b/>
      <sz val="10"/>
      <color theme="1"/>
      <name val="나눔고딕"/>
      <family val="2"/>
      <charset val="129"/>
    </font>
    <font>
      <b/>
      <sz val="10"/>
      <color theme="1"/>
      <name val="맑은 고딕"/>
      <family val="2"/>
      <scheme val="minor"/>
    </font>
    <font>
      <b/>
      <sz val="10"/>
      <color theme="1"/>
      <name val="Arial Unicode MS"/>
      <family val="2"/>
      <charset val="129"/>
    </font>
    <font>
      <b/>
      <sz val="10"/>
      <color theme="1"/>
      <name val="돋움"/>
      <family val="3"/>
      <charset val="129"/>
    </font>
    <font>
      <b/>
      <sz val="48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맑은 고딕"/>
      <family val="2"/>
      <charset val="129"/>
    </font>
    <font>
      <sz val="10"/>
      <color rgb="FF000000"/>
      <name val="Arial"/>
      <family val="2"/>
    </font>
    <font>
      <b/>
      <sz val="12"/>
      <name val="Arial"/>
      <family val="2"/>
    </font>
    <font>
      <b/>
      <sz val="12"/>
      <name val="Arial"/>
      <family val="2"/>
      <charset val="129"/>
    </font>
    <font>
      <b/>
      <sz val="12"/>
      <name val="돋움"/>
      <family val="2"/>
      <charset val="129"/>
    </font>
    <font>
      <b/>
      <sz val="12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name val="Arial"/>
      <family val="2"/>
      <charset val="129"/>
    </font>
    <font>
      <b/>
      <sz val="11"/>
      <name val="맑은 고딕"/>
      <family val="2"/>
      <charset val="129"/>
    </font>
    <font>
      <b/>
      <sz val="11"/>
      <name val="Arial"/>
      <family val="2"/>
    </font>
    <font>
      <b/>
      <sz val="11"/>
      <name val="Segoe UI Symbol"/>
      <family val="2"/>
    </font>
    <font>
      <b/>
      <sz val="20"/>
      <name val="Arial Black"/>
      <family val="2"/>
    </font>
    <font>
      <b/>
      <sz val="20"/>
      <name val="맑은 고딕"/>
      <family val="3"/>
      <charset val="129"/>
    </font>
    <font>
      <b/>
      <sz val="10"/>
      <color theme="1"/>
      <name val="돋움"/>
      <family val="2"/>
      <charset val="129"/>
    </font>
    <font>
      <b/>
      <sz val="11"/>
      <color rgb="FF000000"/>
      <name val="Arial"/>
      <family val="2"/>
    </font>
    <font>
      <b/>
      <sz val="10"/>
      <color rgb="FF000000"/>
      <name val="Tahoma"/>
      <family val="2"/>
    </font>
    <font>
      <b/>
      <sz val="10"/>
      <color rgb="FF00000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color theme="0"/>
      <name val="Arial"/>
      <family val="2"/>
    </font>
    <font>
      <sz val="10"/>
      <name val="taboma"/>
    </font>
    <font>
      <sz val="8"/>
      <name val="돋움"/>
      <family val="3"/>
      <charset val="129"/>
    </font>
    <font>
      <b/>
      <sz val="18"/>
      <name val="Arial Narrow"/>
      <family val="2"/>
    </font>
    <font>
      <b/>
      <sz val="18"/>
      <name val="맑은 고딕"/>
      <family val="2"/>
      <charset val="129"/>
    </font>
    <font>
      <b/>
      <sz val="11"/>
      <color rgb="FF0070C0"/>
      <name val="Arial Narrow"/>
      <family val="2"/>
    </font>
    <font>
      <b/>
      <sz val="11"/>
      <color theme="1"/>
      <name val="Arial Narrow"/>
      <family val="2"/>
    </font>
    <font>
      <b/>
      <sz val="12"/>
      <color rgb="FFFF0000"/>
      <name val="Arial Narrow"/>
      <family val="2"/>
    </font>
    <font>
      <b/>
      <sz val="10"/>
      <color rgb="FFFF0000"/>
      <name val="Arial Narrow"/>
      <family val="2"/>
    </font>
    <font>
      <b/>
      <u/>
      <sz val="10"/>
      <color rgb="FFFF0000"/>
      <name val="Arial Narrow"/>
      <family val="2"/>
    </font>
    <font>
      <b/>
      <sz val="11"/>
      <name val="Arial Narrow"/>
      <family val="2"/>
    </font>
    <font>
      <b/>
      <sz val="10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name val="Arial Narrow"/>
      <family val="2"/>
    </font>
    <font>
      <b/>
      <sz val="36"/>
      <color rgb="FF0070C0"/>
      <name val="Arial Narrow"/>
      <family val="2"/>
    </font>
    <font>
      <b/>
      <sz val="16"/>
      <name val="Arial Black"/>
      <family val="3"/>
      <charset val="129"/>
    </font>
    <font>
      <b/>
      <sz val="16"/>
      <name val="맑은 고딕"/>
      <family val="3"/>
      <charset val="129"/>
    </font>
    <font>
      <b/>
      <sz val="16"/>
      <name val="Arial Black"/>
      <family val="2"/>
    </font>
    <font>
      <sz val="11"/>
      <name val="맑은 고딕"/>
      <family val="2"/>
      <charset val="129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1"/>
      <name val="Noto Sans KR"/>
      <family val="3"/>
      <charset val="129"/>
    </font>
    <font>
      <sz val="12"/>
      <color theme="1"/>
      <name val="맑은 고딕"/>
      <family val="3"/>
      <charset val="129"/>
      <scheme val="minor"/>
    </font>
    <font>
      <sz val="15"/>
      <color theme="1"/>
      <name val="Noto Sans KR"/>
      <family val="3"/>
      <charset val="129"/>
    </font>
    <font>
      <b/>
      <sz val="15"/>
      <color theme="1"/>
      <name val="Noto Sans KR"/>
      <family val="3"/>
      <charset val="129"/>
    </font>
    <font>
      <sz val="15"/>
      <color rgb="FFFF0000"/>
      <name val="Noto Sans KR"/>
      <family val="3"/>
      <charset val="129"/>
    </font>
    <font>
      <b/>
      <sz val="15"/>
      <color rgb="FFFF0000"/>
      <name val="Noto Sans KR"/>
      <family val="3"/>
      <charset val="129"/>
    </font>
    <font>
      <b/>
      <sz val="15"/>
      <color rgb="FF0070C0"/>
      <name val="Noto Sans KR"/>
      <family val="3"/>
      <charset val="129"/>
    </font>
    <font>
      <b/>
      <sz val="15"/>
      <color rgb="FF00B0F0"/>
      <name val="Noto Sans KR"/>
      <family val="3"/>
      <charset val="129"/>
    </font>
    <font>
      <b/>
      <sz val="15"/>
      <color theme="5" tint="-0.249977111117893"/>
      <name val="Noto Sans KR"/>
      <family val="3"/>
      <charset val="129"/>
    </font>
    <font>
      <b/>
      <sz val="14"/>
      <color theme="1"/>
      <name val="Noto Sans KR Black"/>
      <family val="3"/>
      <charset val="129"/>
    </font>
    <font>
      <sz val="15"/>
      <color theme="1"/>
      <name val="Arial"/>
      <family val="3"/>
      <charset val="238"/>
    </font>
    <font>
      <sz val="15"/>
      <color theme="1"/>
      <name val="Calibri"/>
      <family val="3"/>
    </font>
    <font>
      <sz val="15"/>
      <color theme="1"/>
      <name val="Noto Sans KR"/>
      <family val="3"/>
      <charset val="238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CFE2F3"/>
      </patternFill>
    </fill>
    <fill>
      <patternFill patternType="solid">
        <f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4" tint="0.39997558519241921"/>
        <bgColor rgb="FFCFE2F3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68">
    <border>
      <left/>
      <right/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double">
        <color theme="2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2" tint="-0.249977111117893"/>
      </left>
      <right/>
      <top style="double">
        <color theme="2" tint="-0.249977111117893"/>
      </top>
      <bottom style="thin">
        <color theme="2" tint="-0.249977111117893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theme="2" tint="-0.249977111117893"/>
      </top>
      <bottom style="double">
        <color theme="2" tint="-0.249977111117893"/>
      </bottom>
      <diagonal/>
    </border>
    <border>
      <left/>
      <right style="medium">
        <color auto="1"/>
      </right>
      <top style="double">
        <color theme="2" tint="-0.249977111117893"/>
      </top>
      <bottom style="double">
        <color theme="2" tint="-0.249977111117893"/>
      </bottom>
      <diagonal/>
    </border>
    <border>
      <left/>
      <right style="medium">
        <color auto="1"/>
      </right>
      <top style="double">
        <color theme="2" tint="-0.249977111117893"/>
      </top>
      <bottom style="thin">
        <color theme="2" tint="-0.249977111117893"/>
      </bottom>
      <diagonal/>
    </border>
    <border>
      <left style="medium">
        <color auto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auto="1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auto="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double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medium">
        <color auto="1"/>
      </right>
      <top style="double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FF0000"/>
      </left>
      <right/>
      <top style="medium">
        <color rgb="FFFF0000"/>
      </top>
      <bottom style="thin">
        <color auto="1"/>
      </bottom>
      <diagonal/>
    </border>
    <border>
      <left/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/>
      <top style="thin">
        <color auto="1"/>
      </top>
      <bottom style="thin">
        <color auto="1"/>
      </bottom>
      <diagonal/>
    </border>
    <border>
      <left/>
      <right style="medium">
        <color rgb="FFFF0000"/>
      </right>
      <top style="thin">
        <color auto="1"/>
      </top>
      <bottom style="thin">
        <color auto="1"/>
      </bottom>
      <diagonal/>
    </border>
  </borders>
  <cellStyleXfs count="20">
    <xf numFmtId="0" fontId="0" fillId="0" borderId="0">
      <alignment vertical="center"/>
    </xf>
    <xf numFmtId="0" fontId="4" fillId="0" borderId="0"/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/>
    <xf numFmtId="0" fontId="7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/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/>
    <xf numFmtId="0" fontId="37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39" fillId="0" borderId="0"/>
    <xf numFmtId="0" fontId="5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477">
    <xf numFmtId="0" fontId="0" fillId="0" borderId="0" xfId="0">
      <alignment vertical="center"/>
    </xf>
    <xf numFmtId="0" fontId="8" fillId="0" borderId="0" xfId="8"/>
    <xf numFmtId="0" fontId="8" fillId="0" borderId="0" xfId="8" applyAlignment="1">
      <alignment wrapText="1"/>
    </xf>
    <xf numFmtId="0" fontId="9" fillId="0" borderId="3" xfId="8" applyFont="1" applyBorder="1" applyAlignment="1">
      <alignment horizontal="center" vertical="center" wrapText="1"/>
    </xf>
    <xf numFmtId="0" fontId="10" fillId="4" borderId="3" xfId="8" applyFont="1" applyFill="1" applyBorder="1" applyAlignment="1">
      <alignment horizontal="left" vertical="center"/>
    </xf>
    <xf numFmtId="0" fontId="7" fillId="4" borderId="0" xfId="13" applyFill="1" applyAlignment="1">
      <alignment vertical="center"/>
    </xf>
    <xf numFmtId="0" fontId="7" fillId="0" borderId="0" xfId="13" applyAlignment="1">
      <alignment vertical="center"/>
    </xf>
    <xf numFmtId="0" fontId="21" fillId="4" borderId="0" xfId="13" applyFont="1" applyFill="1" applyAlignment="1">
      <alignment horizontal="center" vertical="center"/>
    </xf>
    <xf numFmtId="178" fontId="2" fillId="4" borderId="0" xfId="13" applyNumberFormat="1" applyFont="1" applyFill="1" applyAlignment="1">
      <alignment vertical="center"/>
    </xf>
    <xf numFmtId="178" fontId="2" fillId="0" borderId="0" xfId="13" applyNumberFormat="1" applyFont="1" applyAlignment="1">
      <alignment vertical="center"/>
    </xf>
    <xf numFmtId="179" fontId="2" fillId="0" borderId="0" xfId="13" applyNumberFormat="1" applyFont="1" applyAlignment="1">
      <alignment vertical="center"/>
    </xf>
    <xf numFmtId="180" fontId="2" fillId="0" borderId="0" xfId="13" applyNumberFormat="1" applyFont="1" applyAlignment="1">
      <alignment vertical="center"/>
    </xf>
    <xf numFmtId="180" fontId="2" fillId="4" borderId="0" xfId="13" applyNumberFormat="1" applyFont="1" applyFill="1" applyAlignment="1">
      <alignment vertical="center"/>
    </xf>
    <xf numFmtId="179" fontId="2" fillId="4" borderId="0" xfId="13" applyNumberFormat="1" applyFont="1" applyFill="1" applyAlignment="1">
      <alignment vertical="center"/>
    </xf>
    <xf numFmtId="179" fontId="7" fillId="4" borderId="0" xfId="13" applyNumberFormat="1" applyFill="1" applyAlignment="1">
      <alignment vertical="center"/>
    </xf>
    <xf numFmtId="0" fontId="7" fillId="0" borderId="6" xfId="13" applyBorder="1" applyAlignment="1">
      <alignment vertical="center" shrinkToFit="1"/>
    </xf>
    <xf numFmtId="0" fontId="7" fillId="4" borderId="6" xfId="13" applyFill="1" applyBorder="1" applyAlignment="1">
      <alignment vertical="center" shrinkToFit="1"/>
    </xf>
    <xf numFmtId="6" fontId="2" fillId="4" borderId="6" xfId="13" applyNumberFormat="1" applyFont="1" applyFill="1" applyBorder="1" applyAlignment="1">
      <alignment vertical="center" shrinkToFit="1"/>
    </xf>
    <xf numFmtId="6" fontId="7" fillId="4" borderId="7" xfId="13" applyNumberFormat="1" applyFill="1" applyBorder="1" applyAlignment="1">
      <alignment horizontal="right" vertical="center" shrinkToFit="1"/>
    </xf>
    <xf numFmtId="182" fontId="7" fillId="4" borderId="7" xfId="13" applyNumberFormat="1" applyFill="1" applyBorder="1" applyAlignment="1">
      <alignment horizontal="right" vertical="center" shrinkToFit="1"/>
    </xf>
    <xf numFmtId="181" fontId="7" fillId="4" borderId="6" xfId="13" applyNumberFormat="1" applyFill="1" applyBorder="1" applyAlignment="1">
      <alignment horizontal="right" vertical="center" shrinkToFit="1"/>
    </xf>
    <xf numFmtId="14" fontId="7" fillId="4" borderId="6" xfId="13" applyNumberFormat="1" applyFill="1" applyBorder="1" applyAlignment="1">
      <alignment horizontal="right" vertical="center" shrinkToFit="1"/>
    </xf>
    <xf numFmtId="14" fontId="7" fillId="4" borderId="8" xfId="13" applyNumberFormat="1" applyFill="1" applyBorder="1" applyAlignment="1">
      <alignment horizontal="right" vertical="center" shrinkToFit="1"/>
    </xf>
    <xf numFmtId="179" fontId="7" fillId="4" borderId="9" xfId="13" applyNumberFormat="1" applyFill="1" applyBorder="1" applyAlignment="1">
      <alignment horizontal="center" vertical="center" shrinkToFit="1"/>
    </xf>
    <xf numFmtId="183" fontId="7" fillId="4" borderId="6" xfId="13" applyNumberFormat="1" applyFill="1" applyBorder="1" applyAlignment="1">
      <alignment horizontal="right" vertical="center" shrinkToFit="1"/>
    </xf>
    <xf numFmtId="179" fontId="7" fillId="4" borderId="9" xfId="13" applyNumberFormat="1" applyFill="1" applyBorder="1" applyAlignment="1">
      <alignment horizontal="right" vertical="center" shrinkToFit="1"/>
    </xf>
    <xf numFmtId="179" fontId="22" fillId="4" borderId="6" xfId="13" applyNumberFormat="1" applyFont="1" applyFill="1" applyBorder="1" applyAlignment="1">
      <alignment horizontal="right" vertical="center" shrinkToFit="1"/>
    </xf>
    <xf numFmtId="181" fontId="22" fillId="4" borderId="6" xfId="13" applyNumberFormat="1" applyFont="1" applyFill="1" applyBorder="1" applyAlignment="1">
      <alignment horizontal="right" vertical="center" shrinkToFit="1"/>
    </xf>
    <xf numFmtId="179" fontId="7" fillId="4" borderId="6" xfId="13" applyNumberFormat="1" applyFill="1" applyBorder="1" applyAlignment="1">
      <alignment horizontal="right" vertical="center" shrinkToFit="1"/>
    </xf>
    <xf numFmtId="179" fontId="7" fillId="4" borderId="8" xfId="13" applyNumberFormat="1" applyFill="1" applyBorder="1" applyAlignment="1">
      <alignment horizontal="right" vertical="center" shrinkToFit="1"/>
    </xf>
    <xf numFmtId="0" fontId="21" fillId="4" borderId="6" xfId="13" applyFont="1" applyFill="1" applyBorder="1" applyAlignment="1">
      <alignment horizontal="center" vertical="center" shrinkToFit="1"/>
    </xf>
    <xf numFmtId="178" fontId="7" fillId="4" borderId="10" xfId="13" applyNumberFormat="1" applyFill="1" applyBorder="1" applyAlignment="1">
      <alignment horizontal="right" vertical="center" shrinkToFit="1"/>
    </xf>
    <xf numFmtId="178" fontId="7" fillId="4" borderId="6" xfId="13" applyNumberFormat="1" applyFill="1" applyBorder="1" applyAlignment="1">
      <alignment horizontal="right" vertical="center" shrinkToFit="1"/>
    </xf>
    <xf numFmtId="0" fontId="7" fillId="4" borderId="6" xfId="13" applyFill="1" applyBorder="1" applyAlignment="1">
      <alignment horizontal="center" vertical="center" shrinkToFit="1"/>
    </xf>
    <xf numFmtId="0" fontId="7" fillId="7" borderId="6" xfId="13" applyFill="1" applyBorder="1" applyAlignment="1">
      <alignment horizontal="center"/>
    </xf>
    <xf numFmtId="184" fontId="7" fillId="4" borderId="6" xfId="13" applyNumberFormat="1" applyFill="1" applyBorder="1" applyAlignment="1">
      <alignment horizontal="center" vertical="center" shrinkToFit="1"/>
    </xf>
    <xf numFmtId="0" fontId="7" fillId="4" borderId="6" xfId="13" applyFill="1" applyBorder="1" applyAlignment="1">
      <alignment horizontal="center" vertical="center"/>
    </xf>
    <xf numFmtId="179" fontId="24" fillId="4" borderId="9" xfId="13" applyNumberFormat="1" applyFont="1" applyFill="1" applyBorder="1" applyAlignment="1">
      <alignment horizontal="center" vertical="center" shrinkToFit="1"/>
    </xf>
    <xf numFmtId="0" fontId="2" fillId="4" borderId="6" xfId="13" applyFont="1" applyFill="1" applyBorder="1" applyAlignment="1">
      <alignment horizontal="center" vertical="center" shrinkToFit="1"/>
    </xf>
    <xf numFmtId="184" fontId="2" fillId="4" borderId="6" xfId="13" applyNumberFormat="1" applyFont="1" applyFill="1" applyBorder="1" applyAlignment="1">
      <alignment horizontal="center" vertical="center" shrinkToFit="1"/>
    </xf>
    <xf numFmtId="0" fontId="26" fillId="4" borderId="6" xfId="13" applyFont="1" applyFill="1" applyBorder="1" applyAlignment="1">
      <alignment horizontal="center" vertical="center" shrinkToFit="1"/>
    </xf>
    <xf numFmtId="0" fontId="7" fillId="3" borderId="0" xfId="13" applyFill="1" applyAlignment="1">
      <alignment vertical="center"/>
    </xf>
    <xf numFmtId="0" fontId="7" fillId="4" borderId="6" xfId="13" applyFill="1" applyBorder="1" applyAlignment="1">
      <alignment vertical="center"/>
    </xf>
    <xf numFmtId="0" fontId="21" fillId="4" borderId="6" xfId="13" applyFont="1" applyFill="1" applyBorder="1" applyAlignment="1">
      <alignment horizontal="center" vertical="center"/>
    </xf>
    <xf numFmtId="0" fontId="7" fillId="4" borderId="6" xfId="13" applyFill="1" applyBorder="1" applyAlignment="1">
      <alignment horizontal="center" vertical="center" wrapText="1" shrinkToFit="1"/>
    </xf>
    <xf numFmtId="0" fontId="9" fillId="0" borderId="3" xfId="8" applyFont="1" applyBorder="1" applyAlignment="1">
      <alignment vertical="center" wrapText="1"/>
    </xf>
    <xf numFmtId="0" fontId="8" fillId="0" borderId="3" xfId="8" applyBorder="1" applyAlignment="1">
      <alignment wrapText="1"/>
    </xf>
    <xf numFmtId="49" fontId="7" fillId="4" borderId="6" xfId="13" applyNumberFormat="1" applyFill="1" applyBorder="1" applyAlignment="1">
      <alignment horizontal="center" vertical="center" shrinkToFit="1"/>
    </xf>
    <xf numFmtId="0" fontId="13" fillId="6" borderId="13" xfId="8" applyFont="1" applyFill="1" applyBorder="1" applyAlignment="1">
      <alignment horizontal="left" vertical="center" indent="1"/>
    </xf>
    <xf numFmtId="0" fontId="17" fillId="0" borderId="0" xfId="8" applyFont="1" applyAlignment="1">
      <alignment horizontal="center" wrapText="1"/>
    </xf>
    <xf numFmtId="0" fontId="8" fillId="0" borderId="16" xfId="8" applyBorder="1"/>
    <xf numFmtId="0" fontId="10" fillId="0" borderId="0" xfId="8" applyFont="1" applyAlignment="1">
      <alignment horizontal="right" vertical="center" indent="1"/>
    </xf>
    <xf numFmtId="0" fontId="14" fillId="0" borderId="15" xfId="8" applyFont="1" applyBorder="1" applyAlignment="1">
      <alignment vertical="center" wrapText="1"/>
    </xf>
    <xf numFmtId="0" fontId="14" fillId="0" borderId="0" xfId="8" applyFont="1" applyAlignment="1">
      <alignment vertical="center" wrapText="1"/>
    </xf>
    <xf numFmtId="0" fontId="10" fillId="0" borderId="15" xfId="8" applyFont="1" applyBorder="1" applyAlignment="1">
      <alignment horizontal="center" vertical="center" wrapText="1"/>
    </xf>
    <xf numFmtId="0" fontId="10" fillId="0" borderId="0" xfId="8" applyFont="1" applyAlignment="1">
      <alignment horizontal="center" vertical="center" wrapText="1"/>
    </xf>
    <xf numFmtId="0" fontId="13" fillId="0" borderId="0" xfId="8" applyFont="1" applyAlignment="1">
      <alignment horizontal="right"/>
    </xf>
    <xf numFmtId="177" fontId="8" fillId="0" borderId="0" xfId="8" applyNumberFormat="1"/>
    <xf numFmtId="0" fontId="8" fillId="0" borderId="15" xfId="8" applyBorder="1"/>
    <xf numFmtId="0" fontId="9" fillId="0" borderId="20" xfId="8" applyFont="1" applyBorder="1" applyAlignment="1">
      <alignment horizontal="center" vertical="center" wrapText="1"/>
    </xf>
    <xf numFmtId="0" fontId="20" fillId="0" borderId="0" xfId="6" applyFont="1" applyAlignment="1">
      <alignment horizontal="center" vertical="center"/>
    </xf>
    <xf numFmtId="0" fontId="8" fillId="4" borderId="0" xfId="8" applyFill="1"/>
    <xf numFmtId="0" fontId="12" fillId="4" borderId="0" xfId="8" applyFont="1" applyFill="1" applyAlignment="1">
      <alignment horizontal="left" vertical="center" wrapText="1"/>
    </xf>
    <xf numFmtId="0" fontId="13" fillId="0" borderId="15" xfId="8" applyFont="1" applyBorder="1"/>
    <xf numFmtId="0" fontId="8" fillId="4" borderId="16" xfId="8" applyFill="1" applyBorder="1"/>
    <xf numFmtId="0" fontId="8" fillId="0" borderId="23" xfId="8" applyBorder="1"/>
    <xf numFmtId="0" fontId="8" fillId="0" borderId="24" xfId="8" applyBorder="1"/>
    <xf numFmtId="0" fontId="8" fillId="0" borderId="25" xfId="8" applyBorder="1"/>
    <xf numFmtId="0" fontId="10" fillId="12" borderId="20" xfId="8" applyFont="1" applyFill="1" applyBorder="1" applyAlignment="1">
      <alignment horizontal="center" vertical="center"/>
    </xf>
    <xf numFmtId="0" fontId="10" fillId="12" borderId="3" xfId="8" applyFont="1" applyFill="1" applyBorder="1" applyAlignment="1">
      <alignment horizontal="center" vertical="center"/>
    </xf>
    <xf numFmtId="14" fontId="10" fillId="12" borderId="3" xfId="8" applyNumberFormat="1" applyFont="1" applyFill="1" applyBorder="1" applyAlignment="1">
      <alignment horizontal="center" vertical="center"/>
    </xf>
    <xf numFmtId="0" fontId="39" fillId="0" borderId="0" xfId="16"/>
    <xf numFmtId="0" fontId="38" fillId="0" borderId="0" xfId="8" applyFont="1"/>
    <xf numFmtId="0" fontId="35" fillId="2" borderId="0" xfId="0" applyFont="1" applyFill="1" applyAlignment="1">
      <alignment horizontal="center" vertical="center"/>
    </xf>
    <xf numFmtId="0" fontId="36" fillId="0" borderId="0" xfId="0" applyFont="1">
      <alignment vertical="center"/>
    </xf>
    <xf numFmtId="0" fontId="49" fillId="13" borderId="26" xfId="14" applyFont="1" applyFill="1" applyBorder="1" applyAlignment="1">
      <alignment horizontal="center" vertical="center"/>
    </xf>
    <xf numFmtId="0" fontId="45" fillId="11" borderId="27" xfId="16" applyFont="1" applyFill="1" applyBorder="1" applyAlignment="1">
      <alignment horizontal="left" vertical="center" wrapText="1"/>
    </xf>
    <xf numFmtId="0" fontId="40" fillId="11" borderId="27" xfId="16" applyFont="1" applyFill="1" applyBorder="1" applyAlignment="1">
      <alignment horizontal="left" vertical="center" wrapText="1"/>
    </xf>
    <xf numFmtId="0" fontId="16" fillId="11" borderId="27" xfId="16" applyFont="1" applyFill="1" applyBorder="1" applyAlignment="1">
      <alignment horizontal="left" vertical="center" wrapText="1"/>
    </xf>
    <xf numFmtId="188" fontId="16" fillId="11" borderId="27" xfId="16" applyNumberFormat="1" applyFont="1" applyFill="1" applyBorder="1" applyAlignment="1">
      <alignment horizontal="left" vertical="center" wrapText="1"/>
    </xf>
    <xf numFmtId="9" fontId="41" fillId="11" borderId="27" xfId="16" applyNumberFormat="1" applyFont="1" applyFill="1" applyBorder="1" applyAlignment="1">
      <alignment horizontal="left"/>
    </xf>
    <xf numFmtId="0" fontId="36" fillId="11" borderId="27" xfId="0" applyFont="1" applyFill="1" applyBorder="1">
      <alignment vertical="center"/>
    </xf>
    <xf numFmtId="23" fontId="16" fillId="11" borderId="27" xfId="16" applyNumberFormat="1" applyFont="1" applyFill="1" applyBorder="1" applyAlignment="1">
      <alignment horizontal="left" vertical="center" wrapText="1"/>
    </xf>
    <xf numFmtId="0" fontId="43" fillId="11" borderId="27" xfId="0" applyFont="1" applyFill="1" applyBorder="1" applyAlignment="1">
      <alignment horizontal="left" vertical="center"/>
    </xf>
    <xf numFmtId="189" fontId="16" fillId="11" borderId="27" xfId="16" applyNumberFormat="1" applyFont="1" applyFill="1" applyBorder="1" applyAlignment="1">
      <alignment horizontal="left" vertical="center" wrapText="1"/>
    </xf>
    <xf numFmtId="23" fontId="43" fillId="11" borderId="27" xfId="0" applyNumberFormat="1" applyFont="1" applyFill="1" applyBorder="1" applyAlignment="1">
      <alignment horizontal="left" vertical="center"/>
    </xf>
    <xf numFmtId="0" fontId="44" fillId="11" borderId="28" xfId="0" applyFont="1" applyFill="1" applyBorder="1">
      <alignment vertical="center"/>
    </xf>
    <xf numFmtId="190" fontId="2" fillId="4" borderId="0" xfId="13" applyNumberFormat="1" applyFont="1" applyFill="1" applyAlignment="1">
      <alignment vertical="center"/>
    </xf>
    <xf numFmtId="193" fontId="9" fillId="0" borderId="3" xfId="8" applyNumberFormat="1" applyFont="1" applyBorder="1" applyAlignment="1">
      <alignment horizontal="center" vertical="center" wrapText="1"/>
    </xf>
    <xf numFmtId="0" fontId="52" fillId="13" borderId="30" xfId="16" applyFont="1" applyFill="1" applyBorder="1" applyAlignment="1">
      <alignment horizontal="center" vertical="center"/>
    </xf>
    <xf numFmtId="177" fontId="52" fillId="13" borderId="30" xfId="16" applyNumberFormat="1" applyFont="1" applyFill="1" applyBorder="1" applyAlignment="1">
      <alignment horizontal="center" vertical="center" wrapText="1"/>
    </xf>
    <xf numFmtId="0" fontId="53" fillId="0" borderId="0" xfId="16" applyFont="1" applyAlignment="1">
      <alignment horizontal="right" vertical="center" indent="1"/>
    </xf>
    <xf numFmtId="0" fontId="54" fillId="0" borderId="0" xfId="16" applyFont="1" applyAlignment="1">
      <alignment horizontal="right" vertical="center" indent="1"/>
    </xf>
    <xf numFmtId="0" fontId="53" fillId="0" borderId="0" xfId="16" applyFont="1" applyAlignment="1">
      <alignment horizontal="right" vertical="center" wrapText="1" indent="1"/>
    </xf>
    <xf numFmtId="23" fontId="9" fillId="4" borderId="35" xfId="8" applyNumberFormat="1" applyFont="1" applyFill="1" applyBorder="1" applyAlignment="1">
      <alignment vertical="center"/>
    </xf>
    <xf numFmtId="190" fontId="9" fillId="4" borderId="34" xfId="8" applyNumberFormat="1" applyFont="1" applyFill="1" applyBorder="1" applyAlignment="1">
      <alignment vertical="center"/>
    </xf>
    <xf numFmtId="0" fontId="56" fillId="4" borderId="12" xfId="8" applyFont="1" applyFill="1" applyBorder="1" applyAlignment="1">
      <alignment horizontal="left" vertical="center" indent="1"/>
    </xf>
    <xf numFmtId="0" fontId="56" fillId="4" borderId="13" xfId="8" applyFont="1" applyFill="1" applyBorder="1" applyAlignment="1">
      <alignment horizontal="left" vertical="center" indent="1"/>
    </xf>
    <xf numFmtId="0" fontId="57" fillId="0" borderId="0" xfId="6" applyFont="1" applyAlignment="1">
      <alignment horizontal="center" vertical="center"/>
    </xf>
    <xf numFmtId="23" fontId="9" fillId="0" borderId="3" xfId="8" applyNumberFormat="1" applyFont="1" applyBorder="1" applyAlignment="1">
      <alignment horizontal="center" vertical="center" wrapText="1"/>
    </xf>
    <xf numFmtId="187" fontId="9" fillId="0" borderId="3" xfId="8" applyNumberFormat="1" applyFont="1" applyBorder="1" applyAlignment="1">
      <alignment horizontal="center" vertical="center" wrapText="1"/>
    </xf>
    <xf numFmtId="0" fontId="7" fillId="4" borderId="0" xfId="13" applyFill="1" applyAlignment="1">
      <alignment horizontal="center" vertical="center"/>
    </xf>
    <xf numFmtId="190" fontId="7" fillId="4" borderId="0" xfId="13" applyNumberFormat="1" applyFill="1" applyAlignment="1">
      <alignment vertical="center"/>
    </xf>
    <xf numFmtId="0" fontId="7" fillId="14" borderId="0" xfId="13" applyFill="1" applyAlignment="1">
      <alignment vertical="center"/>
    </xf>
    <xf numFmtId="0" fontId="7" fillId="14" borderId="6" xfId="13" applyFill="1" applyBorder="1" applyAlignment="1">
      <alignment vertical="center" shrinkToFit="1"/>
    </xf>
    <xf numFmtId="181" fontId="2" fillId="4" borderId="0" xfId="13" applyNumberFormat="1" applyFont="1" applyFill="1" applyAlignment="1">
      <alignment vertical="center"/>
    </xf>
    <xf numFmtId="0" fontId="64" fillId="16" borderId="43" xfId="15" applyFont="1" applyFill="1" applyBorder="1" applyAlignment="1">
      <alignment horizontal="right" vertical="center"/>
    </xf>
    <xf numFmtId="41" fontId="65" fillId="16" borderId="43" xfId="18" applyFont="1" applyFill="1" applyBorder="1" applyAlignment="1">
      <alignment horizontal="center" vertical="center" wrapText="1"/>
    </xf>
    <xf numFmtId="0" fontId="65" fillId="16" borderId="36" xfId="15" applyFont="1" applyFill="1" applyBorder="1" applyAlignment="1">
      <alignment horizontal="center" vertical="center"/>
    </xf>
    <xf numFmtId="0" fontId="65" fillId="16" borderId="43" xfId="15" applyFont="1" applyFill="1" applyBorder="1" applyAlignment="1">
      <alignment horizontal="center" vertical="center"/>
    </xf>
    <xf numFmtId="23" fontId="65" fillId="16" borderId="43" xfId="15" applyNumberFormat="1" applyFont="1" applyFill="1" applyBorder="1" applyAlignment="1">
      <alignment horizontal="center" vertical="center"/>
    </xf>
    <xf numFmtId="41" fontId="66" fillId="0" borderId="36" xfId="18" applyFont="1" applyFill="1" applyBorder="1" applyAlignment="1">
      <alignment horizontal="center" vertical="center"/>
    </xf>
    <xf numFmtId="41" fontId="66" fillId="0" borderId="36" xfId="18" applyFont="1" applyFill="1" applyBorder="1" applyAlignment="1">
      <alignment horizontal="center" vertical="center" wrapText="1"/>
    </xf>
    <xf numFmtId="191" fontId="67" fillId="0" borderId="43" xfId="18" applyNumberFormat="1" applyFont="1" applyFill="1" applyBorder="1" applyAlignment="1">
      <alignment horizontal="right" vertical="center"/>
    </xf>
    <xf numFmtId="191" fontId="67" fillId="0" borderId="43" xfId="19" applyNumberFormat="1" applyFont="1" applyBorder="1">
      <alignment vertical="center"/>
    </xf>
    <xf numFmtId="181" fontId="67" fillId="0" borderId="43" xfId="19" applyNumberFormat="1" applyFont="1" applyBorder="1">
      <alignment vertical="center"/>
    </xf>
    <xf numFmtId="41" fontId="68" fillId="4" borderId="36" xfId="18" applyFont="1" applyFill="1" applyBorder="1" applyAlignment="1">
      <alignment horizontal="center" vertical="center" shrinkToFit="1"/>
    </xf>
    <xf numFmtId="191" fontId="67" fillId="4" borderId="43" xfId="18" applyNumberFormat="1" applyFont="1" applyFill="1" applyBorder="1" applyAlignment="1">
      <alignment horizontal="right" vertical="center"/>
    </xf>
    <xf numFmtId="191" fontId="67" fillId="4" borderId="43" xfId="19" applyNumberFormat="1" applyFont="1" applyFill="1" applyBorder="1">
      <alignment vertical="center"/>
    </xf>
    <xf numFmtId="181" fontId="67" fillId="4" borderId="43" xfId="19" applyNumberFormat="1" applyFont="1" applyFill="1" applyBorder="1">
      <alignment vertical="center"/>
    </xf>
    <xf numFmtId="41" fontId="66" fillId="4" borderId="36" xfId="18" applyFont="1" applyFill="1" applyBorder="1" applyAlignment="1">
      <alignment horizontal="center" vertical="center" wrapText="1"/>
    </xf>
    <xf numFmtId="191" fontId="21" fillId="4" borderId="44" xfId="0" applyNumberFormat="1" applyFont="1" applyFill="1" applyBorder="1" applyAlignment="1">
      <alignment horizontal="center" vertical="center" shrinkToFit="1"/>
    </xf>
    <xf numFmtId="41" fontId="68" fillId="4" borderId="36" xfId="18" applyFont="1" applyFill="1" applyBorder="1" applyAlignment="1">
      <alignment horizontal="center" vertical="center" wrapText="1" shrinkToFit="1"/>
    </xf>
    <xf numFmtId="41" fontId="68" fillId="0" borderId="36" xfId="18" applyFont="1" applyFill="1" applyBorder="1" applyAlignment="1">
      <alignment horizontal="center" vertical="center" shrinkToFit="1"/>
    </xf>
    <xf numFmtId="0" fontId="69" fillId="0" borderId="43" xfId="15" applyFont="1" applyBorder="1" applyAlignment="1">
      <alignment horizontal="center" vertical="center"/>
    </xf>
    <xf numFmtId="181" fontId="21" fillId="0" borderId="44" xfId="0" applyNumberFormat="1" applyFont="1" applyBorder="1" applyAlignment="1">
      <alignment horizontal="center" vertical="center" shrinkToFit="1"/>
    </xf>
    <xf numFmtId="181" fontId="67" fillId="0" borderId="43" xfId="18" applyNumberFormat="1" applyFont="1" applyFill="1" applyBorder="1" applyAlignment="1">
      <alignment horizontal="right" vertical="center"/>
    </xf>
    <xf numFmtId="191" fontId="66" fillId="0" borderId="43" xfId="15" applyNumberFormat="1" applyFont="1" applyBorder="1" applyAlignment="1">
      <alignment horizontal="center" vertical="center"/>
    </xf>
    <xf numFmtId="181" fontId="66" fillId="0" borderId="42" xfId="18" applyNumberFormat="1" applyFont="1" applyBorder="1" applyAlignment="1">
      <alignment horizontal="right" vertical="center"/>
    </xf>
    <xf numFmtId="181" fontId="66" fillId="0" borderId="43" xfId="15" applyNumberFormat="1" applyFont="1" applyBorder="1">
      <alignment vertical="center"/>
    </xf>
    <xf numFmtId="0" fontId="70" fillId="0" borderId="0" xfId="15" applyFont="1">
      <alignment vertical="center"/>
    </xf>
    <xf numFmtId="0" fontId="55" fillId="4" borderId="6" xfId="17" applyFill="1" applyBorder="1" applyAlignment="1">
      <alignment horizontal="center" vertical="center" shrinkToFit="1"/>
    </xf>
    <xf numFmtId="192" fontId="16" fillId="11" borderId="52" xfId="16" applyNumberFormat="1" applyFont="1" applyFill="1" applyBorder="1" applyAlignment="1">
      <alignment vertical="center" wrapText="1"/>
    </xf>
    <xf numFmtId="193" fontId="16" fillId="11" borderId="51" xfId="16" applyNumberFormat="1" applyFont="1" applyFill="1" applyBorder="1" applyAlignment="1">
      <alignment vertical="center" wrapText="1"/>
    </xf>
    <xf numFmtId="0" fontId="29" fillId="9" borderId="6" xfId="13" applyFont="1" applyFill="1" applyBorder="1" applyAlignment="1">
      <alignment horizontal="center" vertical="center" wrapText="1"/>
    </xf>
    <xf numFmtId="0" fontId="30" fillId="9" borderId="6" xfId="13" applyFont="1" applyFill="1" applyBorder="1" applyAlignment="1">
      <alignment horizontal="center" vertical="center" wrapText="1"/>
    </xf>
    <xf numFmtId="0" fontId="51" fillId="9" borderId="6" xfId="13" applyFont="1" applyFill="1" applyBorder="1" applyAlignment="1">
      <alignment horizontal="center" vertical="center" wrapText="1"/>
    </xf>
    <xf numFmtId="0" fontId="28" fillId="9" borderId="6" xfId="13" applyFont="1" applyFill="1" applyBorder="1" applyAlignment="1">
      <alignment horizontal="center" vertical="center" wrapText="1"/>
    </xf>
    <xf numFmtId="186" fontId="28" fillId="9" borderId="6" xfId="13" applyNumberFormat="1" applyFont="1" applyFill="1" applyBorder="1" applyAlignment="1">
      <alignment horizontal="center" vertical="center" wrapText="1"/>
    </xf>
    <xf numFmtId="0" fontId="33" fillId="9" borderId="6" xfId="13" applyFont="1" applyFill="1" applyBorder="1" applyAlignment="1">
      <alignment horizontal="center" vertical="center" wrapText="1"/>
    </xf>
    <xf numFmtId="0" fontId="27" fillId="9" borderId="6" xfId="13" applyFont="1" applyFill="1" applyBorder="1" applyAlignment="1">
      <alignment horizontal="center" vertical="center" wrapText="1"/>
    </xf>
    <xf numFmtId="178" fontId="29" fillId="9" borderId="6" xfId="13" applyNumberFormat="1" applyFont="1" applyFill="1" applyBorder="1" applyAlignment="1">
      <alignment horizontal="center" vertical="center" wrapText="1"/>
    </xf>
    <xf numFmtId="178" fontId="33" fillId="9" borderId="6" xfId="13" applyNumberFormat="1" applyFont="1" applyFill="1" applyBorder="1" applyAlignment="1">
      <alignment horizontal="center" vertical="center" wrapText="1"/>
    </xf>
    <xf numFmtId="0" fontId="32" fillId="9" borderId="10" xfId="13" applyFont="1" applyFill="1" applyBorder="1" applyAlignment="1">
      <alignment horizontal="center" vertical="center"/>
    </xf>
    <xf numFmtId="178" fontId="28" fillId="9" borderId="6" xfId="13" applyNumberFormat="1" applyFont="1" applyFill="1" applyBorder="1" applyAlignment="1">
      <alignment horizontal="center" vertical="center" wrapText="1"/>
    </xf>
    <xf numFmtId="179" fontId="29" fillId="9" borderId="6" xfId="13" applyNumberFormat="1" applyFont="1" applyFill="1" applyBorder="1" applyAlignment="1">
      <alignment horizontal="center" vertical="center" wrapText="1"/>
    </xf>
    <xf numFmtId="179" fontId="31" fillId="9" borderId="6" xfId="13" applyNumberFormat="1" applyFont="1" applyFill="1" applyBorder="1" applyAlignment="1">
      <alignment horizontal="center" vertical="center" wrapText="1"/>
    </xf>
    <xf numFmtId="179" fontId="30" fillId="9" borderId="6" xfId="13" applyNumberFormat="1" applyFont="1" applyFill="1" applyBorder="1" applyAlignment="1">
      <alignment horizontal="center" vertical="center" wrapText="1"/>
    </xf>
    <xf numFmtId="179" fontId="27" fillId="9" borderId="9" xfId="13" applyNumberFormat="1" applyFont="1" applyFill="1" applyBorder="1" applyAlignment="1">
      <alignment horizontal="center" vertical="center" wrapText="1"/>
    </xf>
    <xf numFmtId="185" fontId="29" fillId="9" borderId="9" xfId="13" applyNumberFormat="1" applyFont="1" applyFill="1" applyBorder="1" applyAlignment="1">
      <alignment horizontal="center" vertical="center" wrapText="1"/>
    </xf>
    <xf numFmtId="180" fontId="29" fillId="9" borderId="8" xfId="13" applyNumberFormat="1" applyFont="1" applyFill="1" applyBorder="1" applyAlignment="1">
      <alignment horizontal="center" vertical="center" wrapText="1"/>
    </xf>
    <xf numFmtId="180" fontId="29" fillId="9" borderId="6" xfId="13" applyNumberFormat="1" applyFont="1" applyFill="1" applyBorder="1" applyAlignment="1">
      <alignment horizontal="center" vertical="center" wrapText="1"/>
    </xf>
    <xf numFmtId="0" fontId="27" fillId="9" borderId="7" xfId="13" applyFont="1" applyFill="1" applyBorder="1" applyAlignment="1">
      <alignment horizontal="center" vertical="center" wrapText="1"/>
    </xf>
    <xf numFmtId="0" fontId="28" fillId="9" borderId="7" xfId="13" applyFont="1" applyFill="1" applyBorder="1" applyAlignment="1">
      <alignment horizontal="center" vertical="center" wrapText="1"/>
    </xf>
    <xf numFmtId="178" fontId="30" fillId="9" borderId="6" xfId="13" applyNumberFormat="1" applyFont="1" applyFill="1" applyBorder="1" applyAlignment="1">
      <alignment horizontal="center" vertical="center" wrapText="1"/>
    </xf>
    <xf numFmtId="178" fontId="29" fillId="8" borderId="6" xfId="13" applyNumberFormat="1" applyFont="1" applyFill="1" applyBorder="1" applyAlignment="1">
      <alignment horizontal="center" vertical="center" wrapText="1"/>
    </xf>
    <xf numFmtId="178" fontId="27" fillId="8" borderId="6" xfId="13" applyNumberFormat="1" applyFont="1" applyFill="1" applyBorder="1" applyAlignment="1">
      <alignment horizontal="center" vertical="center" wrapText="1"/>
    </xf>
    <xf numFmtId="0" fontId="7" fillId="7" borderId="6" xfId="13" applyFill="1" applyBorder="1" applyAlignment="1">
      <alignment horizontal="center" vertical="center"/>
    </xf>
    <xf numFmtId="178" fontId="7" fillId="4" borderId="6" xfId="13" applyNumberFormat="1" applyFill="1" applyBorder="1" applyAlignment="1">
      <alignment horizontal="center" vertical="center" shrinkToFit="1"/>
    </xf>
    <xf numFmtId="178" fontId="7" fillId="4" borderId="10" xfId="13" applyNumberFormat="1" applyFill="1" applyBorder="1" applyAlignment="1">
      <alignment horizontal="center" vertical="center" shrinkToFit="1"/>
    </xf>
    <xf numFmtId="179" fontId="7" fillId="4" borderId="6" xfId="13" applyNumberFormat="1" applyFill="1" applyBorder="1" applyAlignment="1">
      <alignment horizontal="center" vertical="center" shrinkToFit="1"/>
    </xf>
    <xf numFmtId="181" fontId="7" fillId="4" borderId="6" xfId="13" applyNumberFormat="1" applyFill="1" applyBorder="1" applyAlignment="1">
      <alignment horizontal="center" vertical="center" shrinkToFit="1"/>
    </xf>
    <xf numFmtId="181" fontId="22" fillId="4" borderId="6" xfId="13" applyNumberFormat="1" applyFont="1" applyFill="1" applyBorder="1" applyAlignment="1">
      <alignment horizontal="center" vertical="center" shrinkToFit="1"/>
    </xf>
    <xf numFmtId="179" fontId="22" fillId="4" borderId="6" xfId="13" applyNumberFormat="1" applyFont="1" applyFill="1" applyBorder="1" applyAlignment="1">
      <alignment horizontal="center" vertical="center" shrinkToFit="1"/>
    </xf>
    <xf numFmtId="183" fontId="7" fillId="4" borderId="6" xfId="13" applyNumberFormat="1" applyFill="1" applyBorder="1" applyAlignment="1">
      <alignment horizontal="center" vertical="center" shrinkToFit="1"/>
    </xf>
    <xf numFmtId="14" fontId="7" fillId="4" borderId="8" xfId="13" applyNumberFormat="1" applyFill="1" applyBorder="1" applyAlignment="1">
      <alignment horizontal="center" vertical="center" shrinkToFit="1"/>
    </xf>
    <xf numFmtId="14" fontId="7" fillId="4" borderId="6" xfId="13" applyNumberFormat="1" applyFill="1" applyBorder="1" applyAlignment="1">
      <alignment horizontal="center" vertical="center" shrinkToFit="1"/>
    </xf>
    <xf numFmtId="182" fontId="7" fillId="4" borderId="7" xfId="13" applyNumberFormat="1" applyFill="1" applyBorder="1" applyAlignment="1">
      <alignment horizontal="center" vertical="center" shrinkToFit="1"/>
    </xf>
    <xf numFmtId="6" fontId="2" fillId="4" borderId="6" xfId="13" applyNumberFormat="1" applyFont="1" applyFill="1" applyBorder="1" applyAlignment="1">
      <alignment horizontal="center" vertical="center" shrinkToFit="1"/>
    </xf>
    <xf numFmtId="6" fontId="7" fillId="4" borderId="7" xfId="13" applyNumberFormat="1" applyFill="1" applyBorder="1" applyAlignment="1">
      <alignment horizontal="center" vertical="center" shrinkToFit="1"/>
    </xf>
    <xf numFmtId="181" fontId="2" fillId="4" borderId="6" xfId="13" applyNumberFormat="1" applyFont="1" applyFill="1" applyBorder="1" applyAlignment="1">
      <alignment horizontal="center" vertical="center" shrinkToFit="1"/>
    </xf>
    <xf numFmtId="182" fontId="23" fillId="4" borderId="7" xfId="13" applyNumberFormat="1" applyFont="1" applyFill="1" applyBorder="1" applyAlignment="1">
      <alignment horizontal="center" vertical="center" shrinkToFit="1"/>
    </xf>
    <xf numFmtId="6" fontId="23" fillId="4" borderId="7" xfId="13" applyNumberFormat="1" applyFont="1" applyFill="1" applyBorder="1" applyAlignment="1">
      <alignment horizontal="center" vertical="center" shrinkToFit="1"/>
    </xf>
    <xf numFmtId="178" fontId="2" fillId="4" borderId="0" xfId="13" applyNumberFormat="1" applyFont="1" applyFill="1" applyAlignment="1">
      <alignment horizontal="center" vertical="center"/>
    </xf>
    <xf numFmtId="179" fontId="2" fillId="4" borderId="0" xfId="13" applyNumberFormat="1" applyFont="1" applyFill="1" applyAlignment="1">
      <alignment horizontal="center" vertical="center"/>
    </xf>
    <xf numFmtId="179" fontId="7" fillId="4" borderId="0" xfId="13" applyNumberFormat="1" applyFill="1" applyAlignment="1">
      <alignment horizontal="center" vertical="center"/>
    </xf>
    <xf numFmtId="180" fontId="2" fillId="4" borderId="0" xfId="13" applyNumberFormat="1" applyFont="1" applyFill="1" applyAlignment="1">
      <alignment horizontal="center" vertical="center"/>
    </xf>
    <xf numFmtId="181" fontId="2" fillId="4" borderId="0" xfId="13" applyNumberFormat="1" applyFont="1" applyFill="1" applyAlignment="1">
      <alignment horizontal="center" vertical="center"/>
    </xf>
    <xf numFmtId="184" fontId="7" fillId="17" borderId="6" xfId="13" applyNumberFormat="1" applyFill="1" applyBorder="1" applyAlignment="1">
      <alignment horizontal="center" vertical="center" shrinkToFit="1"/>
    </xf>
    <xf numFmtId="49" fontId="7" fillId="17" borderId="6" xfId="13" applyNumberFormat="1" applyFill="1" applyBorder="1" applyAlignment="1">
      <alignment horizontal="center" vertical="center" shrinkToFit="1"/>
    </xf>
    <xf numFmtId="0" fontId="7" fillId="17" borderId="6" xfId="13" applyFill="1" applyBorder="1" applyAlignment="1">
      <alignment horizontal="center" vertical="center" shrinkToFit="1"/>
    </xf>
    <xf numFmtId="178" fontId="7" fillId="17" borderId="10" xfId="13" applyNumberFormat="1" applyFill="1" applyBorder="1" applyAlignment="1">
      <alignment horizontal="right" vertical="center" shrinkToFit="1"/>
    </xf>
    <xf numFmtId="0" fontId="26" fillId="17" borderId="6" xfId="13" applyFont="1" applyFill="1" applyBorder="1" applyAlignment="1">
      <alignment horizontal="center" vertical="center" shrinkToFit="1"/>
    </xf>
    <xf numFmtId="0" fontId="21" fillId="17" borderId="6" xfId="13" applyFont="1" applyFill="1" applyBorder="1" applyAlignment="1">
      <alignment horizontal="center" vertical="center" shrinkToFit="1"/>
    </xf>
    <xf numFmtId="179" fontId="7" fillId="17" borderId="9" xfId="13" applyNumberFormat="1" applyFill="1" applyBorder="1" applyAlignment="1">
      <alignment horizontal="center" vertical="center" shrinkToFit="1"/>
    </xf>
    <xf numFmtId="179" fontId="24" fillId="17" borderId="9" xfId="13" applyNumberFormat="1" applyFont="1" applyFill="1" applyBorder="1" applyAlignment="1">
      <alignment horizontal="center" vertical="center" shrinkToFit="1"/>
    </xf>
    <xf numFmtId="0" fontId="7" fillId="17" borderId="6" xfId="13" applyFill="1" applyBorder="1" applyAlignment="1">
      <alignment horizontal="center" vertical="center" wrapText="1" shrinkToFit="1"/>
    </xf>
    <xf numFmtId="0" fontId="55" fillId="17" borderId="6" xfId="17" applyFill="1" applyBorder="1" applyAlignment="1">
      <alignment horizontal="center" vertical="center" shrinkToFit="1"/>
    </xf>
    <xf numFmtId="0" fontId="7" fillId="18" borderId="6" xfId="13" applyFill="1" applyBorder="1" applyAlignment="1">
      <alignment horizontal="center" vertical="center"/>
    </xf>
    <xf numFmtId="178" fontId="7" fillId="17" borderId="6" xfId="13" applyNumberFormat="1" applyFill="1" applyBorder="1" applyAlignment="1">
      <alignment horizontal="center" vertical="center" shrinkToFit="1"/>
    </xf>
    <xf numFmtId="178" fontId="7" fillId="17" borderId="10" xfId="13" applyNumberFormat="1" applyFill="1" applyBorder="1" applyAlignment="1">
      <alignment horizontal="center" vertical="center" shrinkToFit="1"/>
    </xf>
    <xf numFmtId="196" fontId="7" fillId="17" borderId="6" xfId="13" applyNumberFormat="1" applyFill="1" applyBorder="1" applyAlignment="1">
      <alignment horizontal="center" vertical="center" shrinkToFit="1"/>
    </xf>
    <xf numFmtId="179" fontId="7" fillId="17" borderId="6" xfId="13" applyNumberFormat="1" applyFill="1" applyBorder="1" applyAlignment="1">
      <alignment horizontal="center" vertical="center" shrinkToFit="1"/>
    </xf>
    <xf numFmtId="181" fontId="7" fillId="17" borderId="6" xfId="13" applyNumberFormat="1" applyFill="1" applyBorder="1" applyAlignment="1">
      <alignment horizontal="center" vertical="center" shrinkToFit="1"/>
    </xf>
    <xf numFmtId="181" fontId="22" fillId="17" borderId="6" xfId="13" applyNumberFormat="1" applyFont="1" applyFill="1" applyBorder="1" applyAlignment="1">
      <alignment horizontal="center" vertical="center" shrinkToFit="1"/>
    </xf>
    <xf numFmtId="179" fontId="22" fillId="17" borderId="6" xfId="13" applyNumberFormat="1" applyFont="1" applyFill="1" applyBorder="1" applyAlignment="1">
      <alignment horizontal="center" vertical="center" shrinkToFit="1"/>
    </xf>
    <xf numFmtId="183" fontId="7" fillId="17" borderId="6" xfId="13" applyNumberFormat="1" applyFill="1" applyBorder="1" applyAlignment="1">
      <alignment horizontal="center" vertical="center" shrinkToFit="1"/>
    </xf>
    <xf numFmtId="14" fontId="7" fillId="17" borderId="8" xfId="13" applyNumberFormat="1" applyFill="1" applyBorder="1" applyAlignment="1">
      <alignment horizontal="center" vertical="center" shrinkToFit="1"/>
    </xf>
    <xf numFmtId="14" fontId="7" fillId="17" borderId="6" xfId="13" applyNumberFormat="1" applyFill="1" applyBorder="1" applyAlignment="1">
      <alignment horizontal="center" vertical="center" shrinkToFit="1"/>
    </xf>
    <xf numFmtId="182" fontId="7" fillId="17" borderId="7" xfId="13" applyNumberFormat="1" applyFill="1" applyBorder="1" applyAlignment="1">
      <alignment horizontal="center" vertical="center" shrinkToFit="1"/>
    </xf>
    <xf numFmtId="6" fontId="2" fillId="17" borderId="6" xfId="13" applyNumberFormat="1" applyFont="1" applyFill="1" applyBorder="1" applyAlignment="1">
      <alignment horizontal="center" vertical="center" shrinkToFit="1"/>
    </xf>
    <xf numFmtId="6" fontId="7" fillId="17" borderId="7" xfId="13" applyNumberFormat="1" applyFill="1" applyBorder="1" applyAlignment="1">
      <alignment horizontal="center" vertical="center" shrinkToFit="1"/>
    </xf>
    <xf numFmtId="196" fontId="2" fillId="4" borderId="0" xfId="13" applyNumberFormat="1" applyFont="1" applyFill="1" applyAlignment="1">
      <alignment horizontal="center" vertical="center"/>
    </xf>
    <xf numFmtId="196" fontId="7" fillId="4" borderId="0" xfId="13" applyNumberFormat="1" applyFill="1" applyAlignment="1">
      <alignment horizontal="center" vertical="center"/>
    </xf>
    <xf numFmtId="23" fontId="9" fillId="4" borderId="35" xfId="8" applyNumberFormat="1" applyFont="1" applyFill="1" applyBorder="1" applyAlignment="1">
      <alignment horizontal="center" vertical="center"/>
    </xf>
    <xf numFmtId="197" fontId="9" fillId="4" borderId="11" xfId="8" applyNumberFormat="1" applyFont="1" applyFill="1" applyBorder="1" applyAlignment="1">
      <alignment horizontal="center" vertical="center"/>
    </xf>
    <xf numFmtId="198" fontId="76" fillId="0" borderId="43" xfId="8" applyNumberFormat="1" applyFont="1" applyBorder="1" applyAlignment="1">
      <alignment horizontal="center" vertical="center" wrapText="1"/>
    </xf>
    <xf numFmtId="198" fontId="0" fillId="0" borderId="53" xfId="0" applyNumberFormat="1" applyBorder="1" applyAlignment="1">
      <alignment horizontal="center" vertical="center"/>
    </xf>
    <xf numFmtId="198" fontId="76" fillId="0" borderId="54" xfId="8" applyNumberFormat="1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75" fillId="0" borderId="59" xfId="8" applyFont="1" applyBorder="1" applyAlignment="1">
      <alignment horizontal="center" vertical="center" wrapText="1"/>
    </xf>
    <xf numFmtId="0" fontId="75" fillId="0" borderId="60" xfId="8" applyFont="1" applyBorder="1" applyAlignment="1">
      <alignment horizontal="center" vertical="center" wrapText="1"/>
    </xf>
    <xf numFmtId="192" fontId="16" fillId="11" borderId="66" xfId="16" applyNumberFormat="1" applyFont="1" applyFill="1" applyBorder="1" applyAlignment="1">
      <alignment vertical="center" wrapText="1"/>
    </xf>
    <xf numFmtId="192" fontId="16" fillId="11" borderId="67" xfId="16" applyNumberFormat="1" applyFont="1" applyFill="1" applyBorder="1" applyAlignment="1">
      <alignment vertical="center" wrapText="1"/>
    </xf>
    <xf numFmtId="178" fontId="7" fillId="13" borderId="10" xfId="13" applyNumberFormat="1" applyFill="1" applyBorder="1" applyAlignment="1">
      <alignment horizontal="right" vertical="center" shrinkToFit="1"/>
    </xf>
    <xf numFmtId="0" fontId="21" fillId="13" borderId="6" xfId="13" applyFont="1" applyFill="1" applyBorder="1" applyAlignment="1">
      <alignment horizontal="center" vertical="center" shrinkToFit="1"/>
    </xf>
    <xf numFmtId="0" fontId="1" fillId="4" borderId="6" xfId="13" applyFont="1" applyFill="1" applyBorder="1" applyAlignment="1">
      <alignment horizontal="center" vertical="center" shrinkToFit="1"/>
    </xf>
    <xf numFmtId="0" fontId="7" fillId="4" borderId="0" xfId="13" applyFill="1" applyAlignment="1">
      <alignment horizontal="left" vertical="center"/>
    </xf>
    <xf numFmtId="0" fontId="7" fillId="19" borderId="6" xfId="13" applyFill="1" applyBorder="1" applyAlignment="1">
      <alignment horizontal="center" vertical="center"/>
    </xf>
    <xf numFmtId="184" fontId="7" fillId="19" borderId="6" xfId="13" applyNumberFormat="1" applyFill="1" applyBorder="1" applyAlignment="1">
      <alignment horizontal="center" vertical="center" shrinkToFit="1"/>
    </xf>
    <xf numFmtId="0" fontId="7" fillId="19" borderId="6" xfId="13" applyFill="1" applyBorder="1" applyAlignment="1">
      <alignment horizontal="center" vertical="center" shrinkToFit="1"/>
    </xf>
    <xf numFmtId="0" fontId="7" fillId="20" borderId="6" xfId="13" applyFill="1" applyBorder="1" applyAlignment="1">
      <alignment horizontal="center" vertical="center"/>
    </xf>
    <xf numFmtId="49" fontId="7" fillId="19" borderId="6" xfId="13" applyNumberFormat="1" applyFill="1" applyBorder="1" applyAlignment="1">
      <alignment horizontal="center" vertical="center" shrinkToFit="1"/>
    </xf>
    <xf numFmtId="0" fontId="55" fillId="19" borderId="6" xfId="17" applyFill="1" applyBorder="1" applyAlignment="1">
      <alignment horizontal="center" vertical="center" shrinkToFit="1"/>
    </xf>
    <xf numFmtId="178" fontId="7" fillId="19" borderId="6" xfId="13" applyNumberFormat="1" applyFill="1" applyBorder="1" applyAlignment="1">
      <alignment horizontal="center" vertical="center" shrinkToFit="1"/>
    </xf>
    <xf numFmtId="178" fontId="7" fillId="19" borderId="10" xfId="13" applyNumberFormat="1" applyFill="1" applyBorder="1" applyAlignment="1">
      <alignment horizontal="center" vertical="center" shrinkToFit="1"/>
    </xf>
    <xf numFmtId="0" fontId="21" fillId="19" borderId="6" xfId="13" applyFont="1" applyFill="1" applyBorder="1" applyAlignment="1">
      <alignment horizontal="center" vertical="center" shrinkToFit="1"/>
    </xf>
    <xf numFmtId="178" fontId="7" fillId="19" borderId="10" xfId="13" applyNumberFormat="1" applyFill="1" applyBorder="1" applyAlignment="1">
      <alignment horizontal="right" vertical="center" shrinkToFit="1"/>
    </xf>
    <xf numFmtId="0" fontId="7" fillId="21" borderId="6" xfId="13" applyFill="1" applyBorder="1" applyAlignment="1">
      <alignment horizontal="center" vertical="center" shrinkToFit="1"/>
    </xf>
    <xf numFmtId="0" fontId="7" fillId="22" borderId="6" xfId="13" applyFill="1" applyBorder="1" applyAlignment="1">
      <alignment horizontal="center" vertical="center" shrinkToFit="1"/>
    </xf>
    <xf numFmtId="0" fontId="77" fillId="22" borderId="6" xfId="13" applyFont="1" applyFill="1" applyBorder="1" applyAlignment="1">
      <alignment horizontal="center" vertical="center" shrinkToFit="1"/>
    </xf>
    <xf numFmtId="41" fontId="16" fillId="11" borderId="27" xfId="19" applyFont="1" applyFill="1" applyBorder="1" applyAlignment="1">
      <alignment horizontal="left" vertical="center" wrapText="1"/>
    </xf>
    <xf numFmtId="3" fontId="7" fillId="4" borderId="6" xfId="13" applyNumberFormat="1" applyFill="1" applyBorder="1" applyAlignment="1">
      <alignment horizontal="center" vertical="center" shrinkToFit="1"/>
    </xf>
    <xf numFmtId="3" fontId="21" fillId="19" borderId="6" xfId="13" applyNumberFormat="1" applyFont="1" applyFill="1" applyBorder="1" applyAlignment="1">
      <alignment horizontal="center" vertical="center" shrinkToFit="1"/>
    </xf>
    <xf numFmtId="3" fontId="21" fillId="4" borderId="6" xfId="13" applyNumberFormat="1" applyFont="1" applyFill="1" applyBorder="1" applyAlignment="1">
      <alignment horizontal="center" vertical="center" shrinkToFit="1"/>
    </xf>
    <xf numFmtId="199" fontId="7" fillId="4" borderId="0" xfId="13" applyNumberFormat="1" applyFill="1" applyAlignment="1">
      <alignment vertical="center"/>
    </xf>
    <xf numFmtId="199" fontId="29" fillId="9" borderId="8" xfId="13" applyNumberFormat="1" applyFont="1" applyFill="1" applyBorder="1" applyAlignment="1">
      <alignment horizontal="center" vertical="center" wrapText="1"/>
    </xf>
    <xf numFmtId="199" fontId="7" fillId="17" borderId="8" xfId="13" applyNumberFormat="1" applyFill="1" applyBorder="1" applyAlignment="1">
      <alignment horizontal="center" vertical="center" shrinkToFit="1"/>
    </xf>
    <xf numFmtId="199" fontId="7" fillId="4" borderId="8" xfId="13" applyNumberFormat="1" applyFill="1" applyBorder="1" applyAlignment="1">
      <alignment horizontal="center" vertical="center" shrinkToFit="1"/>
    </xf>
    <xf numFmtId="199" fontId="7" fillId="4" borderId="0" xfId="13" applyNumberFormat="1" applyFill="1" applyAlignment="1">
      <alignment horizontal="center" vertical="center"/>
    </xf>
    <xf numFmtId="199" fontId="28" fillId="9" borderId="6" xfId="13" applyNumberFormat="1" applyFont="1" applyFill="1" applyBorder="1" applyAlignment="1">
      <alignment horizontal="center" vertical="center" wrapText="1"/>
    </xf>
    <xf numFmtId="199" fontId="7" fillId="17" borderId="6" xfId="13" applyNumberFormat="1" applyFill="1" applyBorder="1" applyAlignment="1">
      <alignment horizontal="center" vertical="center" shrinkToFit="1"/>
    </xf>
    <xf numFmtId="199" fontId="7" fillId="4" borderId="6" xfId="13" applyNumberFormat="1" applyFill="1" applyBorder="1" applyAlignment="1">
      <alignment horizontal="center" vertical="center" shrinkToFit="1"/>
    </xf>
    <xf numFmtId="199" fontId="2" fillId="4" borderId="0" xfId="13" applyNumberFormat="1" applyFont="1" applyFill="1" applyAlignment="1">
      <alignment horizontal="center" vertical="center"/>
    </xf>
    <xf numFmtId="199" fontId="2" fillId="4" borderId="0" xfId="13" applyNumberFormat="1" applyFont="1" applyFill="1" applyAlignment="1">
      <alignment vertical="center"/>
    </xf>
    <xf numFmtId="191" fontId="2" fillId="4" borderId="0" xfId="13" applyNumberFormat="1" applyFont="1" applyFill="1" applyAlignment="1">
      <alignment vertical="center"/>
    </xf>
    <xf numFmtId="191" fontId="7" fillId="4" borderId="0" xfId="13" applyNumberFormat="1" applyFill="1" applyAlignment="1">
      <alignment vertical="center"/>
    </xf>
    <xf numFmtId="179" fontId="29" fillId="9" borderId="8" xfId="13" applyNumberFormat="1" applyFont="1" applyFill="1" applyBorder="1" applyAlignment="1">
      <alignment horizontal="center" vertical="center" wrapText="1"/>
    </xf>
    <xf numFmtId="0" fontId="7" fillId="2" borderId="6" xfId="13" applyFill="1" applyBorder="1" applyAlignment="1">
      <alignment horizontal="center" vertical="center"/>
    </xf>
    <xf numFmtId="0" fontId="21" fillId="23" borderId="6" xfId="13" applyFont="1" applyFill="1" applyBorder="1" applyAlignment="1">
      <alignment horizontal="center" vertical="center" shrinkToFit="1"/>
    </xf>
    <xf numFmtId="0" fontId="78" fillId="0" borderId="3" xfId="8" applyFont="1" applyBorder="1" applyAlignment="1">
      <alignment horizontal="center" vertical="center" wrapText="1"/>
    </xf>
    <xf numFmtId="0" fontId="7" fillId="2" borderId="6" xfId="13" applyFill="1" applyBorder="1" applyAlignment="1">
      <alignment horizontal="center" vertical="center" shrinkToFit="1"/>
    </xf>
    <xf numFmtId="184" fontId="7" fillId="2" borderId="6" xfId="13" applyNumberFormat="1" applyFill="1" applyBorder="1" applyAlignment="1">
      <alignment horizontal="center" vertical="center" shrinkToFit="1"/>
    </xf>
    <xf numFmtId="0" fontId="7" fillId="27" borderId="6" xfId="13" applyFill="1" applyBorder="1" applyAlignment="1">
      <alignment horizontal="center"/>
    </xf>
    <xf numFmtId="178" fontId="7" fillId="2" borderId="6" xfId="13" applyNumberFormat="1" applyFill="1" applyBorder="1" applyAlignment="1">
      <alignment horizontal="right" vertical="center" shrinkToFit="1"/>
    </xf>
    <xf numFmtId="0" fontId="79" fillId="4" borderId="6" xfId="13" applyFont="1" applyFill="1" applyBorder="1" applyAlignment="1">
      <alignment vertical="center" shrinkToFit="1"/>
    </xf>
    <xf numFmtId="0" fontId="79" fillId="4" borderId="0" xfId="13" applyFont="1" applyFill="1" applyAlignment="1">
      <alignment vertical="center"/>
    </xf>
    <xf numFmtId="0" fontId="80" fillId="9" borderId="6" xfId="13" applyFont="1" applyFill="1" applyBorder="1" applyAlignment="1">
      <alignment horizontal="center" vertical="center"/>
    </xf>
    <xf numFmtId="178" fontId="80" fillId="9" borderId="6" xfId="13" applyNumberFormat="1" applyFont="1" applyFill="1" applyBorder="1" applyAlignment="1">
      <alignment horizontal="center" vertical="center"/>
    </xf>
    <xf numFmtId="0" fontId="80" fillId="9" borderId="10" xfId="13" applyFont="1" applyFill="1" applyBorder="1" applyAlignment="1">
      <alignment horizontal="center" vertical="center"/>
    </xf>
    <xf numFmtId="0" fontId="80" fillId="4" borderId="6" xfId="13" applyFont="1" applyFill="1" applyBorder="1" applyAlignment="1">
      <alignment horizontal="center" vertical="center"/>
    </xf>
    <xf numFmtId="186" fontId="80" fillId="9" borderId="6" xfId="13" applyNumberFormat="1" applyFont="1" applyFill="1" applyBorder="1" applyAlignment="1">
      <alignment horizontal="center" vertical="center"/>
    </xf>
    <xf numFmtId="190" fontId="80" fillId="9" borderId="8" xfId="13" applyNumberFormat="1" applyFont="1" applyFill="1" applyBorder="1" applyAlignment="1">
      <alignment horizontal="center" vertical="center"/>
    </xf>
    <xf numFmtId="190" fontId="80" fillId="9" borderId="6" xfId="13" applyNumberFormat="1" applyFont="1" applyFill="1" applyBorder="1" applyAlignment="1">
      <alignment horizontal="center" vertical="center" wrapText="1"/>
    </xf>
    <xf numFmtId="196" fontId="80" fillId="9" borderId="6" xfId="13" applyNumberFormat="1" applyFont="1" applyFill="1" applyBorder="1" applyAlignment="1">
      <alignment horizontal="center" vertical="center" wrapText="1"/>
    </xf>
    <xf numFmtId="199" fontId="80" fillId="9" borderId="6" xfId="13" applyNumberFormat="1" applyFont="1" applyFill="1" applyBorder="1" applyAlignment="1">
      <alignment horizontal="center" vertical="center"/>
    </xf>
    <xf numFmtId="190" fontId="81" fillId="9" borderId="6" xfId="13" applyNumberFormat="1" applyFont="1" applyFill="1" applyBorder="1" applyAlignment="1">
      <alignment horizontal="center" vertical="center"/>
    </xf>
    <xf numFmtId="190" fontId="80" fillId="9" borderId="9" xfId="13" applyNumberFormat="1" applyFont="1" applyFill="1" applyBorder="1" applyAlignment="1">
      <alignment horizontal="center" vertical="center"/>
    </xf>
    <xf numFmtId="179" fontId="80" fillId="9" borderId="6" xfId="13" applyNumberFormat="1" applyFont="1" applyFill="1" applyBorder="1" applyAlignment="1">
      <alignment horizontal="center" vertical="center"/>
    </xf>
    <xf numFmtId="191" fontId="80" fillId="9" borderId="6" xfId="13" applyNumberFormat="1" applyFont="1" applyFill="1" applyBorder="1" applyAlignment="1">
      <alignment horizontal="center" vertical="center"/>
    </xf>
    <xf numFmtId="185" fontId="81" fillId="9" borderId="9" xfId="13" applyNumberFormat="1" applyFont="1" applyFill="1" applyBorder="1" applyAlignment="1">
      <alignment horizontal="center" vertical="center"/>
    </xf>
    <xf numFmtId="180" fontId="81" fillId="9" borderId="8" xfId="13" applyNumberFormat="1" applyFont="1" applyFill="1" applyBorder="1" applyAlignment="1">
      <alignment horizontal="center" vertical="center"/>
    </xf>
    <xf numFmtId="179" fontId="81" fillId="9" borderId="6" xfId="13" applyNumberFormat="1" applyFont="1" applyFill="1" applyBorder="1" applyAlignment="1">
      <alignment horizontal="center" vertical="center"/>
    </xf>
    <xf numFmtId="180" fontId="81" fillId="9" borderId="6" xfId="13" applyNumberFormat="1" applyFont="1" applyFill="1" applyBorder="1" applyAlignment="1">
      <alignment horizontal="center" vertical="center"/>
    </xf>
    <xf numFmtId="0" fontId="80" fillId="9" borderId="7" xfId="13" applyFont="1" applyFill="1" applyBorder="1" applyAlignment="1">
      <alignment horizontal="center" vertical="center"/>
    </xf>
    <xf numFmtId="0" fontId="81" fillId="9" borderId="7" xfId="13" applyFont="1" applyFill="1" applyBorder="1" applyAlignment="1">
      <alignment horizontal="center" vertical="center"/>
    </xf>
    <xf numFmtId="178" fontId="80" fillId="8" borderId="6" xfId="13" applyNumberFormat="1" applyFont="1" applyFill="1" applyBorder="1" applyAlignment="1">
      <alignment horizontal="center" vertical="center"/>
    </xf>
    <xf numFmtId="184" fontId="80" fillId="4" borderId="6" xfId="13" applyNumberFormat="1" applyFont="1" applyFill="1" applyBorder="1" applyAlignment="1">
      <alignment horizontal="center" vertical="center" shrinkToFit="1"/>
    </xf>
    <xf numFmtId="0" fontId="80" fillId="4" borderId="6" xfId="13" applyFont="1" applyFill="1" applyBorder="1" applyAlignment="1">
      <alignment horizontal="center" vertical="center" shrinkToFit="1"/>
    </xf>
    <xf numFmtId="0" fontId="80" fillId="4" borderId="6" xfId="0" applyFont="1" applyFill="1" applyBorder="1" applyAlignment="1">
      <alignment horizontal="center" vertical="center"/>
    </xf>
    <xf numFmtId="178" fontId="80" fillId="4" borderId="6" xfId="13" applyNumberFormat="1" applyFont="1" applyFill="1" applyBorder="1" applyAlignment="1">
      <alignment horizontal="center" vertical="center" shrinkToFit="1"/>
    </xf>
    <xf numFmtId="178" fontId="80" fillId="4" borderId="10" xfId="13" applyNumberFormat="1" applyFont="1" applyFill="1" applyBorder="1" applyAlignment="1">
      <alignment horizontal="center" vertical="center" shrinkToFit="1"/>
    </xf>
    <xf numFmtId="0" fontId="81" fillId="4" borderId="6" xfId="13" applyFont="1" applyFill="1" applyBorder="1" applyAlignment="1">
      <alignment horizontal="center" vertical="center" shrinkToFit="1"/>
    </xf>
    <xf numFmtId="184" fontId="80" fillId="4" borderId="6" xfId="13" quotePrefix="1" applyNumberFormat="1" applyFont="1" applyFill="1" applyBorder="1" applyAlignment="1">
      <alignment horizontal="center" vertical="center" shrinkToFit="1"/>
    </xf>
    <xf numFmtId="0" fontId="80" fillId="7" borderId="6" xfId="13" applyFont="1" applyFill="1" applyBorder="1" applyAlignment="1">
      <alignment horizontal="center" vertical="center"/>
    </xf>
    <xf numFmtId="190" fontId="80" fillId="4" borderId="8" xfId="13" applyNumberFormat="1" applyFont="1" applyFill="1" applyBorder="1" applyAlignment="1">
      <alignment horizontal="center" vertical="center" shrinkToFit="1"/>
    </xf>
    <xf numFmtId="190" fontId="80" fillId="4" borderId="6" xfId="13" applyNumberFormat="1" applyFont="1" applyFill="1" applyBorder="1" applyAlignment="1">
      <alignment horizontal="center" vertical="center" shrinkToFit="1"/>
    </xf>
    <xf numFmtId="196" fontId="80" fillId="4" borderId="6" xfId="13" applyNumberFormat="1" applyFont="1" applyFill="1" applyBorder="1" applyAlignment="1">
      <alignment horizontal="center" vertical="center" shrinkToFit="1"/>
    </xf>
    <xf numFmtId="199" fontId="80" fillId="4" borderId="6" xfId="13" applyNumberFormat="1" applyFont="1" applyFill="1" applyBorder="1" applyAlignment="1">
      <alignment horizontal="center" vertical="center" shrinkToFit="1"/>
    </xf>
    <xf numFmtId="190" fontId="82" fillId="4" borderId="6" xfId="13" applyNumberFormat="1" applyFont="1" applyFill="1" applyBorder="1" applyAlignment="1">
      <alignment horizontal="center" vertical="center" shrinkToFit="1"/>
    </xf>
    <xf numFmtId="191" fontId="80" fillId="4" borderId="9" xfId="13" applyNumberFormat="1" applyFont="1" applyFill="1" applyBorder="1" applyAlignment="1">
      <alignment horizontal="center" vertical="center" shrinkToFit="1"/>
    </xf>
    <xf numFmtId="181" fontId="80" fillId="4" borderId="6" xfId="13" applyNumberFormat="1" applyFont="1" applyFill="1" applyBorder="1" applyAlignment="1">
      <alignment horizontal="center" vertical="center" shrinkToFit="1"/>
    </xf>
    <xf numFmtId="191" fontId="80" fillId="4" borderId="6" xfId="13" applyNumberFormat="1" applyFont="1" applyFill="1" applyBorder="1" applyAlignment="1">
      <alignment horizontal="center" vertical="center" shrinkToFit="1"/>
    </xf>
    <xf numFmtId="179" fontId="80" fillId="4" borderId="9" xfId="13" applyNumberFormat="1" applyFont="1" applyFill="1" applyBorder="1" applyAlignment="1">
      <alignment horizontal="center" vertical="center" shrinkToFit="1"/>
    </xf>
    <xf numFmtId="14" fontId="80" fillId="4" borderId="8" xfId="13" applyNumberFormat="1" applyFont="1" applyFill="1" applyBorder="1" applyAlignment="1">
      <alignment horizontal="center" vertical="center" shrinkToFit="1"/>
    </xf>
    <xf numFmtId="14" fontId="80" fillId="4" borderId="6" xfId="13" applyNumberFormat="1" applyFont="1" applyFill="1" applyBorder="1" applyAlignment="1">
      <alignment horizontal="center" vertical="center" shrinkToFit="1"/>
    </xf>
    <xf numFmtId="182" fontId="80" fillId="4" borderId="7" xfId="13" applyNumberFormat="1" applyFont="1" applyFill="1" applyBorder="1" applyAlignment="1">
      <alignment horizontal="center" vertical="center" shrinkToFit="1"/>
    </xf>
    <xf numFmtId="6" fontId="80" fillId="4" borderId="6" xfId="13" applyNumberFormat="1" applyFont="1" applyFill="1" applyBorder="1" applyAlignment="1">
      <alignment horizontal="center" vertical="center" shrinkToFit="1"/>
    </xf>
    <xf numFmtId="6" fontId="80" fillId="4" borderId="7" xfId="13" applyNumberFormat="1" applyFont="1" applyFill="1" applyBorder="1" applyAlignment="1">
      <alignment horizontal="center" vertical="center" shrinkToFit="1"/>
    </xf>
    <xf numFmtId="0" fontId="83" fillId="4" borderId="6" xfId="13" applyFont="1" applyFill="1" applyBorder="1" applyAlignment="1">
      <alignment horizontal="center" vertical="center" shrinkToFit="1"/>
    </xf>
    <xf numFmtId="0" fontId="82" fillId="4" borderId="6" xfId="13" applyFont="1" applyFill="1" applyBorder="1" applyAlignment="1">
      <alignment horizontal="center" vertical="center"/>
    </xf>
    <xf numFmtId="0" fontId="81" fillId="2" borderId="6" xfId="13" applyFont="1" applyFill="1" applyBorder="1" applyAlignment="1">
      <alignment horizontal="center" vertical="center" shrinkToFit="1"/>
    </xf>
    <xf numFmtId="0" fontId="80" fillId="24" borderId="6" xfId="13" applyFont="1" applyFill="1" applyBorder="1" applyAlignment="1">
      <alignment horizontal="center" vertical="center" shrinkToFit="1"/>
    </xf>
    <xf numFmtId="184" fontId="80" fillId="24" borderId="6" xfId="13" quotePrefix="1" applyNumberFormat="1" applyFont="1" applyFill="1" applyBorder="1" applyAlignment="1">
      <alignment horizontal="center" vertical="center" shrinkToFit="1"/>
    </xf>
    <xf numFmtId="0" fontId="80" fillId="25" borderId="6" xfId="13" applyFont="1" applyFill="1" applyBorder="1" applyAlignment="1">
      <alignment horizontal="center" vertical="center"/>
    </xf>
    <xf numFmtId="0" fontId="81" fillId="24" borderId="6" xfId="13" applyFont="1" applyFill="1" applyBorder="1" applyAlignment="1">
      <alignment horizontal="center" vertical="center" shrinkToFit="1"/>
    </xf>
    <xf numFmtId="190" fontId="80" fillId="24" borderId="8" xfId="13" applyNumberFormat="1" applyFont="1" applyFill="1" applyBorder="1" applyAlignment="1">
      <alignment horizontal="center" vertical="center" shrinkToFit="1"/>
    </xf>
    <xf numFmtId="190" fontId="80" fillId="24" borderId="6" xfId="13" applyNumberFormat="1" applyFont="1" applyFill="1" applyBorder="1" applyAlignment="1">
      <alignment horizontal="center" vertical="center" shrinkToFit="1"/>
    </xf>
    <xf numFmtId="196" fontId="80" fillId="24" borderId="6" xfId="13" applyNumberFormat="1" applyFont="1" applyFill="1" applyBorder="1" applyAlignment="1">
      <alignment horizontal="center" vertical="center" shrinkToFit="1"/>
    </xf>
    <xf numFmtId="199" fontId="80" fillId="24" borderId="6" xfId="13" applyNumberFormat="1" applyFont="1" applyFill="1" applyBorder="1" applyAlignment="1">
      <alignment horizontal="center" vertical="center" shrinkToFit="1"/>
    </xf>
    <xf numFmtId="190" fontId="82" fillId="24" borderId="6" xfId="13" applyNumberFormat="1" applyFont="1" applyFill="1" applyBorder="1" applyAlignment="1">
      <alignment horizontal="center" vertical="center" shrinkToFit="1"/>
    </xf>
    <xf numFmtId="191" fontId="80" fillId="24" borderId="9" xfId="13" applyNumberFormat="1" applyFont="1" applyFill="1" applyBorder="1" applyAlignment="1">
      <alignment horizontal="center" vertical="center" shrinkToFit="1"/>
    </xf>
    <xf numFmtId="181" fontId="80" fillId="24" borderId="6" xfId="13" applyNumberFormat="1" applyFont="1" applyFill="1" applyBorder="1" applyAlignment="1">
      <alignment horizontal="center" vertical="center" shrinkToFit="1"/>
    </xf>
    <xf numFmtId="191" fontId="80" fillId="24" borderId="6" xfId="13" applyNumberFormat="1" applyFont="1" applyFill="1" applyBorder="1" applyAlignment="1">
      <alignment horizontal="center" vertical="center" shrinkToFit="1"/>
    </xf>
    <xf numFmtId="179" fontId="80" fillId="24" borderId="9" xfId="13" applyNumberFormat="1" applyFont="1" applyFill="1" applyBorder="1" applyAlignment="1">
      <alignment horizontal="center" vertical="center" shrinkToFit="1"/>
    </xf>
    <xf numFmtId="14" fontId="80" fillId="24" borderId="8" xfId="13" applyNumberFormat="1" applyFont="1" applyFill="1" applyBorder="1" applyAlignment="1">
      <alignment horizontal="center" vertical="center" shrinkToFit="1"/>
    </xf>
    <xf numFmtId="14" fontId="80" fillId="24" borderId="6" xfId="13" applyNumberFormat="1" applyFont="1" applyFill="1" applyBorder="1" applyAlignment="1">
      <alignment horizontal="center" vertical="center" shrinkToFit="1"/>
    </xf>
    <xf numFmtId="182" fontId="80" fillId="24" borderId="7" xfId="13" applyNumberFormat="1" applyFont="1" applyFill="1" applyBorder="1" applyAlignment="1">
      <alignment horizontal="center" vertical="center" shrinkToFit="1"/>
    </xf>
    <xf numFmtId="6" fontId="80" fillId="24" borderId="6" xfId="13" applyNumberFormat="1" applyFont="1" applyFill="1" applyBorder="1" applyAlignment="1">
      <alignment horizontal="center" vertical="center" shrinkToFit="1"/>
    </xf>
    <xf numFmtId="6" fontId="80" fillId="24" borderId="7" xfId="13" applyNumberFormat="1" applyFont="1" applyFill="1" applyBorder="1" applyAlignment="1">
      <alignment horizontal="center" vertical="center" shrinkToFit="1"/>
    </xf>
    <xf numFmtId="0" fontId="80" fillId="4" borderId="6" xfId="13" quotePrefix="1" applyFont="1" applyFill="1" applyBorder="1" applyAlignment="1">
      <alignment horizontal="center" vertical="center" shrinkToFit="1"/>
    </xf>
    <xf numFmtId="200" fontId="81" fillId="4" borderId="6" xfId="13" applyNumberFormat="1" applyFont="1" applyFill="1" applyBorder="1" applyAlignment="1">
      <alignment horizontal="center" vertical="center" shrinkToFit="1"/>
    </xf>
    <xf numFmtId="14" fontId="81" fillId="4" borderId="6" xfId="13" applyNumberFormat="1" applyFont="1" applyFill="1" applyBorder="1" applyAlignment="1">
      <alignment horizontal="center" vertical="center" shrinkToFit="1"/>
    </xf>
    <xf numFmtId="0" fontId="80" fillId="4" borderId="0" xfId="13" applyFont="1" applyFill="1" applyAlignment="1">
      <alignment horizontal="center" vertical="center"/>
    </xf>
    <xf numFmtId="190" fontId="80" fillId="4" borderId="0" xfId="13" applyNumberFormat="1" applyFont="1" applyFill="1" applyAlignment="1">
      <alignment horizontal="center" vertical="center"/>
    </xf>
    <xf numFmtId="196" fontId="80" fillId="4" borderId="0" xfId="13" applyNumberFormat="1" applyFont="1" applyFill="1" applyAlignment="1">
      <alignment horizontal="center" vertical="center"/>
    </xf>
    <xf numFmtId="199" fontId="80" fillId="4" borderId="0" xfId="13" applyNumberFormat="1" applyFont="1" applyFill="1" applyAlignment="1">
      <alignment horizontal="center" vertical="center"/>
    </xf>
    <xf numFmtId="179" fontId="80" fillId="4" borderId="0" xfId="13" applyNumberFormat="1" applyFont="1" applyFill="1" applyAlignment="1">
      <alignment horizontal="center" vertical="center"/>
    </xf>
    <xf numFmtId="191" fontId="80" fillId="4" borderId="0" xfId="13" applyNumberFormat="1" applyFont="1" applyFill="1" applyAlignment="1">
      <alignment horizontal="center" vertical="center"/>
    </xf>
    <xf numFmtId="178" fontId="80" fillId="4" borderId="0" xfId="13" applyNumberFormat="1" applyFont="1" applyFill="1" applyAlignment="1">
      <alignment horizontal="center" vertical="center"/>
    </xf>
    <xf numFmtId="180" fontId="80" fillId="4" borderId="0" xfId="13" applyNumberFormat="1" applyFont="1" applyFill="1" applyAlignment="1">
      <alignment horizontal="center" vertical="center"/>
    </xf>
    <xf numFmtId="0" fontId="81" fillId="4" borderId="6" xfId="13" applyFont="1" applyFill="1" applyBorder="1" applyAlignment="1">
      <alignment horizontal="center" vertical="center"/>
    </xf>
    <xf numFmtId="0" fontId="81" fillId="4" borderId="0" xfId="13" applyFont="1" applyFill="1" applyAlignment="1">
      <alignment horizontal="center" vertical="center"/>
    </xf>
    <xf numFmtId="0" fontId="80" fillId="2" borderId="6" xfId="13" applyFont="1" applyFill="1" applyBorder="1" applyAlignment="1">
      <alignment horizontal="center" vertical="center" shrinkToFit="1"/>
    </xf>
    <xf numFmtId="0" fontId="84" fillId="4" borderId="6" xfId="13" applyFont="1" applyFill="1" applyBorder="1" applyAlignment="1">
      <alignment horizontal="center" vertical="center" shrinkToFit="1"/>
    </xf>
    <xf numFmtId="0" fontId="85" fillId="29" borderId="6" xfId="13" applyFont="1" applyFill="1" applyBorder="1" applyAlignment="1">
      <alignment horizontal="center" vertical="center" shrinkToFit="1"/>
    </xf>
    <xf numFmtId="0" fontId="85" fillId="4" borderId="6" xfId="13" applyFont="1" applyFill="1" applyBorder="1" applyAlignment="1">
      <alignment horizontal="center" vertical="center" shrinkToFit="1"/>
    </xf>
    <xf numFmtId="9" fontId="86" fillId="4" borderId="6" xfId="13" applyNumberFormat="1" applyFont="1" applyFill="1" applyBorder="1" applyAlignment="1">
      <alignment horizontal="center" vertical="center" shrinkToFit="1"/>
    </xf>
    <xf numFmtId="0" fontId="87" fillId="28" borderId="6" xfId="13" applyFont="1" applyFill="1" applyBorder="1" applyAlignment="1">
      <alignment horizontal="center" vertical="center"/>
    </xf>
    <xf numFmtId="0" fontId="87" fillId="26" borderId="6" xfId="13" applyFont="1" applyFill="1" applyBorder="1" applyAlignment="1">
      <alignment horizontal="center" vertical="center" shrinkToFit="1"/>
    </xf>
    <xf numFmtId="0" fontId="87" fillId="26" borderId="0" xfId="13" applyFont="1" applyFill="1" applyAlignment="1">
      <alignment horizontal="center" vertical="center"/>
    </xf>
    <xf numFmtId="0" fontId="87" fillId="26" borderId="0" xfId="13" applyFont="1" applyFill="1" applyAlignment="1">
      <alignment vertical="center"/>
    </xf>
    <xf numFmtId="0" fontId="21" fillId="4" borderId="6" xfId="13" applyFont="1" applyFill="1" applyBorder="1" applyAlignment="1">
      <alignment horizontal="center" vertical="center" wrapText="1"/>
    </xf>
    <xf numFmtId="0" fontId="90" fillId="4" borderId="6" xfId="13" applyFont="1" applyFill="1" applyBorder="1" applyAlignment="1">
      <alignment horizontal="center" vertical="center" shrinkToFit="1"/>
    </xf>
    <xf numFmtId="187" fontId="9" fillId="0" borderId="2" xfId="8" applyNumberFormat="1" applyFont="1" applyBorder="1" applyAlignment="1">
      <alignment horizontal="center" vertical="center" wrapText="1"/>
    </xf>
    <xf numFmtId="187" fontId="9" fillId="0" borderId="22" xfId="8" applyNumberFormat="1" applyFont="1" applyBorder="1" applyAlignment="1">
      <alignment horizontal="center" vertical="center" wrapText="1"/>
    </xf>
    <xf numFmtId="176" fontId="9" fillId="0" borderId="2" xfId="8" applyNumberFormat="1" applyFont="1" applyBorder="1" applyAlignment="1">
      <alignment horizontal="center" vertical="center" wrapText="1"/>
    </xf>
    <xf numFmtId="176" fontId="9" fillId="0" borderId="22" xfId="8" applyNumberFormat="1" applyFont="1" applyBorder="1" applyAlignment="1">
      <alignment horizontal="center" vertical="center" wrapText="1"/>
    </xf>
    <xf numFmtId="176" fontId="9" fillId="12" borderId="3" xfId="8" applyNumberFormat="1" applyFont="1" applyFill="1" applyBorder="1" applyAlignment="1">
      <alignment horizontal="center" vertical="center"/>
    </xf>
    <xf numFmtId="176" fontId="9" fillId="12" borderId="21" xfId="8" applyNumberFormat="1" applyFont="1" applyFill="1" applyBorder="1" applyAlignment="1">
      <alignment horizontal="center" vertical="center"/>
    </xf>
    <xf numFmtId="0" fontId="18" fillId="6" borderId="13" xfId="8" applyFont="1" applyFill="1" applyBorder="1" applyAlignment="1">
      <alignment horizontal="center" vertical="center"/>
    </xf>
    <xf numFmtId="0" fontId="18" fillId="6" borderId="14" xfId="8" applyFont="1" applyFill="1" applyBorder="1" applyAlignment="1">
      <alignment horizontal="center" vertical="center"/>
    </xf>
    <xf numFmtId="0" fontId="15" fillId="12" borderId="20" xfId="8" applyFont="1" applyFill="1" applyBorder="1" applyAlignment="1">
      <alignment horizontal="center"/>
    </xf>
    <xf numFmtId="0" fontId="15" fillId="12" borderId="3" xfId="8" applyFont="1" applyFill="1" applyBorder="1" applyAlignment="1">
      <alignment horizontal="center"/>
    </xf>
    <xf numFmtId="0" fontId="15" fillId="12" borderId="21" xfId="8" applyFont="1" applyFill="1" applyBorder="1" applyAlignment="1">
      <alignment horizontal="center"/>
    </xf>
    <xf numFmtId="0" fontId="10" fillId="0" borderId="15" xfId="8" applyFont="1" applyBorder="1" applyAlignment="1">
      <alignment horizontal="center" vertical="center" wrapText="1"/>
    </xf>
    <xf numFmtId="0" fontId="10" fillId="0" borderId="0" xfId="8" applyFont="1" applyAlignment="1">
      <alignment horizontal="center" vertical="center" wrapText="1"/>
    </xf>
    <xf numFmtId="0" fontId="17" fillId="0" borderId="15" xfId="8" applyFont="1" applyBorder="1" applyAlignment="1">
      <alignment horizontal="center" wrapText="1"/>
    </xf>
    <xf numFmtId="0" fontId="17" fillId="0" borderId="0" xfId="8" applyFont="1" applyAlignment="1">
      <alignment horizontal="center" wrapText="1"/>
    </xf>
    <xf numFmtId="0" fontId="8" fillId="0" borderId="15" xfId="8" applyBorder="1" applyAlignment="1">
      <alignment horizontal="center"/>
    </xf>
    <xf numFmtId="0" fontId="8" fillId="0" borderId="0" xfId="8" applyAlignment="1">
      <alignment horizontal="center"/>
    </xf>
    <xf numFmtId="0" fontId="9" fillId="0" borderId="4" xfId="8" applyFont="1" applyBorder="1" applyAlignment="1">
      <alignment horizontal="center" vertical="center" wrapText="1"/>
    </xf>
    <xf numFmtId="0" fontId="9" fillId="0" borderId="18" xfId="8" applyFont="1" applyBorder="1" applyAlignment="1">
      <alignment horizontal="center" vertical="center" wrapText="1"/>
    </xf>
    <xf numFmtId="14" fontId="9" fillId="0" borderId="5" xfId="8" applyNumberFormat="1" applyFont="1" applyBorder="1" applyAlignment="1">
      <alignment horizontal="center" vertical="center" wrapText="1"/>
    </xf>
    <xf numFmtId="14" fontId="9" fillId="0" borderId="17" xfId="8" applyNumberFormat="1" applyFont="1" applyBorder="1" applyAlignment="1">
      <alignment horizontal="center" vertical="center" wrapText="1"/>
    </xf>
    <xf numFmtId="23" fontId="9" fillId="4" borderId="11" xfId="8" applyNumberFormat="1" applyFont="1" applyFill="1" applyBorder="1" applyAlignment="1">
      <alignment horizontal="center" vertical="center"/>
    </xf>
    <xf numFmtId="23" fontId="9" fillId="4" borderId="19" xfId="8" applyNumberFormat="1" applyFont="1" applyFill="1" applyBorder="1" applyAlignment="1">
      <alignment horizontal="center" vertical="center"/>
    </xf>
    <xf numFmtId="0" fontId="14" fillId="4" borderId="2" xfId="8" applyFont="1" applyFill="1" applyBorder="1" applyAlignment="1">
      <alignment horizontal="left" vertical="center"/>
    </xf>
    <xf numFmtId="0" fontId="14" fillId="4" borderId="1" xfId="8" applyFont="1" applyFill="1" applyBorder="1" applyAlignment="1">
      <alignment horizontal="left" vertical="center"/>
    </xf>
    <xf numFmtId="0" fontId="10" fillId="4" borderId="20" xfId="8" applyFont="1" applyFill="1" applyBorder="1" applyAlignment="1">
      <alignment horizontal="left" vertical="center"/>
    </xf>
    <xf numFmtId="0" fontId="10" fillId="4" borderId="3" xfId="8" applyFont="1" applyFill="1" applyBorder="1" applyAlignment="1">
      <alignment horizontal="left" vertical="center"/>
    </xf>
    <xf numFmtId="0" fontId="12" fillId="0" borderId="2" xfId="8" applyFont="1" applyBorder="1" applyAlignment="1">
      <alignment horizontal="left" vertical="center" wrapText="1"/>
    </xf>
    <xf numFmtId="0" fontId="14" fillId="0" borderId="22" xfId="8" applyFont="1" applyBorder="1" applyAlignment="1">
      <alignment horizontal="left" vertical="center"/>
    </xf>
    <xf numFmtId="23" fontId="10" fillId="12" borderId="2" xfId="8" applyNumberFormat="1" applyFont="1" applyFill="1" applyBorder="1" applyAlignment="1">
      <alignment horizontal="center" vertical="center"/>
    </xf>
    <xf numFmtId="23" fontId="10" fillId="12" borderId="22" xfId="8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176" fontId="9" fillId="12" borderId="2" xfId="8" applyNumberFormat="1" applyFont="1" applyFill="1" applyBorder="1" applyAlignment="1">
      <alignment horizontal="center" vertical="center"/>
    </xf>
    <xf numFmtId="176" fontId="9" fillId="12" borderId="22" xfId="8" applyNumberFormat="1" applyFont="1" applyFill="1" applyBorder="1" applyAlignment="1">
      <alignment horizontal="center" vertical="center"/>
    </xf>
    <xf numFmtId="23" fontId="9" fillId="12" borderId="2" xfId="8" applyNumberFormat="1" applyFont="1" applyFill="1" applyBorder="1" applyAlignment="1">
      <alignment horizontal="center" vertical="center"/>
    </xf>
    <xf numFmtId="23" fontId="9" fillId="12" borderId="22" xfId="8" applyNumberFormat="1" applyFont="1" applyFill="1" applyBorder="1" applyAlignment="1">
      <alignment horizontal="center" vertical="center"/>
    </xf>
    <xf numFmtId="0" fontId="10" fillId="12" borderId="2" xfId="8" applyFont="1" applyFill="1" applyBorder="1" applyAlignment="1">
      <alignment horizontal="center" vertical="center"/>
    </xf>
    <xf numFmtId="0" fontId="10" fillId="12" borderId="22" xfId="8" applyFont="1" applyFill="1" applyBorder="1" applyAlignment="1">
      <alignment horizontal="center" vertical="center"/>
    </xf>
    <xf numFmtId="192" fontId="9" fillId="12" borderId="2" xfId="8" applyNumberFormat="1" applyFont="1" applyFill="1" applyBorder="1" applyAlignment="1">
      <alignment horizontal="center" vertical="center"/>
    </xf>
    <xf numFmtId="192" fontId="9" fillId="12" borderId="22" xfId="8" applyNumberFormat="1" applyFont="1" applyFill="1" applyBorder="1" applyAlignment="1">
      <alignment horizontal="center" vertical="center"/>
    </xf>
    <xf numFmtId="192" fontId="9" fillId="12" borderId="3" xfId="8" applyNumberFormat="1" applyFont="1" applyFill="1" applyBorder="1" applyAlignment="1">
      <alignment horizontal="center" vertical="center"/>
    </xf>
    <xf numFmtId="192" fontId="9" fillId="12" borderId="21" xfId="8" applyNumberFormat="1" applyFont="1" applyFill="1" applyBorder="1" applyAlignment="1">
      <alignment horizontal="center" vertical="center"/>
    </xf>
    <xf numFmtId="190" fontId="10" fillId="12" borderId="2" xfId="8" applyNumberFormat="1" applyFont="1" applyFill="1" applyBorder="1" applyAlignment="1">
      <alignment horizontal="center" vertical="center"/>
    </xf>
    <xf numFmtId="190" fontId="10" fillId="12" borderId="22" xfId="8" applyNumberFormat="1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0" borderId="62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90" fontId="9" fillId="12" borderId="2" xfId="8" applyNumberFormat="1" applyFont="1" applyFill="1" applyBorder="1" applyAlignment="1">
      <alignment horizontal="center" vertical="center"/>
    </xf>
    <xf numFmtId="190" fontId="9" fillId="12" borderId="22" xfId="8" applyNumberFormat="1" applyFont="1" applyFill="1" applyBorder="1" applyAlignment="1">
      <alignment horizontal="center" vertical="center"/>
    </xf>
    <xf numFmtId="0" fontId="21" fillId="13" borderId="55" xfId="0" applyFont="1" applyFill="1" applyBorder="1" applyAlignment="1">
      <alignment horizontal="center" vertical="center"/>
    </xf>
    <xf numFmtId="0" fontId="21" fillId="13" borderId="56" xfId="0" applyFont="1" applyFill="1" applyBorder="1" applyAlignment="1">
      <alignment horizontal="center" vertical="center"/>
    </xf>
    <xf numFmtId="0" fontId="21" fillId="13" borderId="57" xfId="0" applyFont="1" applyFill="1" applyBorder="1" applyAlignment="1">
      <alignment horizontal="center" vertical="center"/>
    </xf>
    <xf numFmtId="195" fontId="43" fillId="11" borderId="66" xfId="0" applyNumberFormat="1" applyFont="1" applyFill="1" applyBorder="1" applyAlignment="1">
      <alignment horizontal="left" vertical="center"/>
    </xf>
    <xf numFmtId="195" fontId="43" fillId="11" borderId="67" xfId="0" applyNumberFormat="1" applyFont="1" applyFill="1" applyBorder="1" applyAlignment="1">
      <alignment horizontal="left" vertical="center"/>
    </xf>
    <xf numFmtId="190" fontId="9" fillId="0" borderId="2" xfId="8" applyNumberFormat="1" applyFont="1" applyBorder="1" applyAlignment="1">
      <alignment horizontal="center" vertical="center" wrapText="1"/>
    </xf>
    <xf numFmtId="190" fontId="9" fillId="0" borderId="22" xfId="8" applyNumberFormat="1" applyFont="1" applyBorder="1" applyAlignment="1">
      <alignment horizontal="center" vertical="center" wrapText="1"/>
    </xf>
    <xf numFmtId="188" fontId="16" fillId="11" borderId="66" xfId="16" applyNumberFormat="1" applyFont="1" applyFill="1" applyBorder="1" applyAlignment="1">
      <alignment horizontal="left" vertical="center" wrapText="1"/>
    </xf>
    <xf numFmtId="188" fontId="16" fillId="11" borderId="67" xfId="16" applyNumberFormat="1" applyFont="1" applyFill="1" applyBorder="1" applyAlignment="1">
      <alignment horizontal="left" vertical="center" wrapText="1"/>
    </xf>
    <xf numFmtId="9" fontId="41" fillId="11" borderId="66" xfId="16" applyNumberFormat="1" applyFont="1" applyFill="1" applyBorder="1" applyAlignment="1">
      <alignment horizontal="left" vertical="center"/>
    </xf>
    <xf numFmtId="9" fontId="41" fillId="11" borderId="67" xfId="16" applyNumberFormat="1" applyFont="1" applyFill="1" applyBorder="1" applyAlignment="1">
      <alignment horizontal="left" vertical="center"/>
    </xf>
    <xf numFmtId="193" fontId="16" fillId="11" borderId="66" xfId="16" applyNumberFormat="1" applyFont="1" applyFill="1" applyBorder="1" applyAlignment="1">
      <alignment horizontal="left" vertical="center" wrapText="1"/>
    </xf>
    <xf numFmtId="193" fontId="16" fillId="11" borderId="67" xfId="16" applyNumberFormat="1" applyFont="1" applyFill="1" applyBorder="1" applyAlignment="1">
      <alignment horizontal="left" vertical="center" wrapText="1"/>
    </xf>
    <xf numFmtId="0" fontId="16" fillId="11" borderId="66" xfId="16" applyFont="1" applyFill="1" applyBorder="1" applyAlignment="1">
      <alignment horizontal="left" vertical="center" wrapText="1"/>
    </xf>
    <xf numFmtId="0" fontId="16" fillId="11" borderId="67" xfId="16" applyFont="1" applyFill="1" applyBorder="1" applyAlignment="1">
      <alignment horizontal="left" vertical="center" wrapText="1"/>
    </xf>
    <xf numFmtId="0" fontId="36" fillId="11" borderId="66" xfId="0" applyFont="1" applyFill="1" applyBorder="1" applyAlignment="1">
      <alignment horizontal="left" vertical="center"/>
    </xf>
    <xf numFmtId="0" fontId="36" fillId="11" borderId="67" xfId="0" applyFont="1" applyFill="1" applyBorder="1" applyAlignment="1">
      <alignment horizontal="left" vertical="center"/>
    </xf>
    <xf numFmtId="23" fontId="16" fillId="11" borderId="66" xfId="16" applyNumberFormat="1" applyFont="1" applyFill="1" applyBorder="1" applyAlignment="1">
      <alignment horizontal="left" vertical="center" wrapText="1"/>
    </xf>
    <xf numFmtId="23" fontId="16" fillId="11" borderId="67" xfId="16" applyNumberFormat="1" applyFont="1" applyFill="1" applyBorder="1" applyAlignment="1">
      <alignment horizontal="left" vertical="center" wrapText="1"/>
    </xf>
    <xf numFmtId="0" fontId="43" fillId="11" borderId="66" xfId="0" applyFont="1" applyFill="1" applyBorder="1" applyAlignment="1">
      <alignment horizontal="left" vertical="center"/>
    </xf>
    <xf numFmtId="0" fontId="43" fillId="11" borderId="67" xfId="0" applyFont="1" applyFill="1" applyBorder="1" applyAlignment="1">
      <alignment horizontal="left" vertical="center"/>
    </xf>
    <xf numFmtId="0" fontId="72" fillId="13" borderId="64" xfId="14" applyFont="1" applyFill="1" applyBorder="1" applyAlignment="1">
      <alignment horizontal="center" vertical="center"/>
    </xf>
    <xf numFmtId="0" fontId="72" fillId="13" borderId="65" xfId="14" applyFont="1" applyFill="1" applyBorder="1" applyAlignment="1">
      <alignment horizontal="center" vertical="center"/>
    </xf>
    <xf numFmtId="0" fontId="45" fillId="11" borderId="66" xfId="16" applyFont="1" applyFill="1" applyBorder="1" applyAlignment="1">
      <alignment horizontal="left" vertical="center" wrapText="1"/>
    </xf>
    <xf numFmtId="0" fontId="45" fillId="11" borderId="67" xfId="16" applyFont="1" applyFill="1" applyBorder="1" applyAlignment="1">
      <alignment horizontal="left" vertical="center" wrapText="1"/>
    </xf>
    <xf numFmtId="0" fontId="40" fillId="11" borderId="66" xfId="16" applyFont="1" applyFill="1" applyBorder="1" applyAlignment="1">
      <alignment horizontal="left" vertical="center" wrapText="1"/>
    </xf>
    <xf numFmtId="0" fontId="40" fillId="11" borderId="67" xfId="16" applyFont="1" applyFill="1" applyBorder="1" applyAlignment="1">
      <alignment horizontal="left" vertical="center" wrapText="1"/>
    </xf>
    <xf numFmtId="41" fontId="16" fillId="11" borderId="66" xfId="19" applyFont="1" applyFill="1" applyBorder="1" applyAlignment="1">
      <alignment horizontal="left" vertical="center" wrapText="1"/>
    </xf>
    <xf numFmtId="41" fontId="16" fillId="11" borderId="67" xfId="19" applyFont="1" applyFill="1" applyBorder="1" applyAlignment="1">
      <alignment horizontal="left" vertical="center" wrapText="1"/>
    </xf>
    <xf numFmtId="193" fontId="10" fillId="12" borderId="2" xfId="8" applyNumberFormat="1" applyFont="1" applyFill="1" applyBorder="1" applyAlignment="1">
      <alignment horizontal="center" vertical="center"/>
    </xf>
    <xf numFmtId="193" fontId="10" fillId="12" borderId="22" xfId="8" applyNumberFormat="1" applyFont="1" applyFill="1" applyBorder="1" applyAlignment="1">
      <alignment horizontal="center" vertical="center"/>
    </xf>
    <xf numFmtId="0" fontId="52" fillId="13" borderId="29" xfId="16" applyFont="1" applyFill="1" applyBorder="1" applyAlignment="1">
      <alignment horizontal="center" vertical="center"/>
    </xf>
    <xf numFmtId="0" fontId="52" fillId="13" borderId="30" xfId="16" applyFont="1" applyFill="1" applyBorder="1" applyAlignment="1">
      <alignment horizontal="center" vertical="center"/>
    </xf>
    <xf numFmtId="0" fontId="52" fillId="13" borderId="31" xfId="16" applyFont="1" applyFill="1" applyBorder="1" applyAlignment="1">
      <alignment horizontal="center" vertical="center"/>
    </xf>
    <xf numFmtId="0" fontId="52" fillId="13" borderId="32" xfId="16" applyFont="1" applyFill="1" applyBorder="1" applyAlignment="1">
      <alignment horizontal="center" vertical="center"/>
    </xf>
    <xf numFmtId="0" fontId="52" fillId="13" borderId="33" xfId="16" applyFont="1" applyFill="1" applyBorder="1" applyAlignment="1">
      <alignment horizontal="center" vertical="center"/>
    </xf>
    <xf numFmtId="0" fontId="55" fillId="0" borderId="4" xfId="17" applyBorder="1" applyAlignment="1">
      <alignment horizontal="center" vertical="center" wrapText="1"/>
    </xf>
    <xf numFmtId="193" fontId="9" fillId="12" borderId="2" xfId="8" applyNumberFormat="1" applyFont="1" applyFill="1" applyBorder="1" applyAlignment="1">
      <alignment horizontal="center" vertical="center"/>
    </xf>
    <xf numFmtId="193" fontId="9" fillId="12" borderId="22" xfId="8" applyNumberFormat="1" applyFont="1" applyFill="1" applyBorder="1" applyAlignment="1">
      <alignment horizontal="center" vertical="center"/>
    </xf>
    <xf numFmtId="193" fontId="9" fillId="0" borderId="2" xfId="8" applyNumberFormat="1" applyFont="1" applyBorder="1" applyAlignment="1">
      <alignment horizontal="center" vertical="center" wrapText="1"/>
    </xf>
    <xf numFmtId="193" fontId="9" fillId="0" borderId="22" xfId="8" applyNumberFormat="1" applyFont="1" applyBorder="1" applyAlignment="1">
      <alignment horizontal="center" vertical="center" wrapText="1"/>
    </xf>
    <xf numFmtId="0" fontId="19" fillId="5" borderId="12" xfId="8" applyFont="1" applyFill="1" applyBorder="1" applyAlignment="1">
      <alignment horizontal="center" vertical="center"/>
    </xf>
    <xf numFmtId="0" fontId="19" fillId="5" borderId="13" xfId="8" applyFont="1" applyFill="1" applyBorder="1" applyAlignment="1">
      <alignment horizontal="center" vertical="center"/>
    </xf>
    <xf numFmtId="0" fontId="49" fillId="13" borderId="49" xfId="14" applyFont="1" applyFill="1" applyBorder="1" applyAlignment="1">
      <alignment horizontal="center" vertical="center"/>
    </xf>
    <xf numFmtId="0" fontId="49" fillId="13" borderId="50" xfId="14" applyFont="1" applyFill="1" applyBorder="1" applyAlignment="1">
      <alignment horizontal="center" vertical="center"/>
    </xf>
    <xf numFmtId="9" fontId="41" fillId="11" borderId="51" xfId="16" applyNumberFormat="1" applyFont="1" applyFill="1" applyBorder="1" applyAlignment="1">
      <alignment horizontal="left" vertical="center"/>
    </xf>
    <xf numFmtId="9" fontId="41" fillId="11" borderId="52" xfId="16" applyNumberFormat="1" applyFont="1" applyFill="1" applyBorder="1" applyAlignment="1">
      <alignment horizontal="left" vertical="center"/>
    </xf>
    <xf numFmtId="0" fontId="36" fillId="11" borderId="51" xfId="0" applyFont="1" applyFill="1" applyBorder="1" applyAlignment="1">
      <alignment horizontal="left" vertical="center"/>
    </xf>
    <xf numFmtId="0" fontId="36" fillId="11" borderId="52" xfId="0" applyFont="1" applyFill="1" applyBorder="1" applyAlignment="1">
      <alignment horizontal="left" vertical="center"/>
    </xf>
    <xf numFmtId="0" fontId="43" fillId="11" borderId="51" xfId="0" applyFont="1" applyFill="1" applyBorder="1" applyAlignment="1">
      <alignment horizontal="left" vertical="center"/>
    </xf>
    <xf numFmtId="0" fontId="43" fillId="11" borderId="52" xfId="0" applyFont="1" applyFill="1" applyBorder="1" applyAlignment="1">
      <alignment horizontal="left" vertical="center"/>
    </xf>
    <xf numFmtId="194" fontId="16" fillId="11" borderId="51" xfId="16" applyNumberFormat="1" applyFont="1" applyFill="1" applyBorder="1" applyAlignment="1">
      <alignment horizontal="left" vertical="center" wrapText="1"/>
    </xf>
    <xf numFmtId="194" fontId="16" fillId="11" borderId="52" xfId="16" applyNumberFormat="1" applyFont="1" applyFill="1" applyBorder="1" applyAlignment="1">
      <alignment horizontal="left" vertical="center" wrapText="1"/>
    </xf>
    <xf numFmtId="0" fontId="16" fillId="11" borderId="51" xfId="16" applyFont="1" applyFill="1" applyBorder="1" applyAlignment="1">
      <alignment horizontal="left" vertical="center" wrapText="1"/>
    </xf>
    <xf numFmtId="0" fontId="16" fillId="11" borderId="52" xfId="16" applyFont="1" applyFill="1" applyBorder="1" applyAlignment="1">
      <alignment horizontal="left" vertical="center" wrapText="1"/>
    </xf>
    <xf numFmtId="0" fontId="45" fillId="11" borderId="51" xfId="16" applyFont="1" applyFill="1" applyBorder="1" applyAlignment="1">
      <alignment horizontal="left" vertical="center" wrapText="1"/>
    </xf>
    <xf numFmtId="0" fontId="45" fillId="11" borderId="52" xfId="16" applyFont="1" applyFill="1" applyBorder="1" applyAlignment="1">
      <alignment horizontal="left" vertical="center" wrapText="1"/>
    </xf>
    <xf numFmtId="0" fontId="40" fillId="11" borderId="51" xfId="16" applyFont="1" applyFill="1" applyBorder="1" applyAlignment="1">
      <alignment horizontal="left" vertical="center" wrapText="1"/>
    </xf>
    <xf numFmtId="0" fontId="40" fillId="11" borderId="52" xfId="16" applyFont="1" applyFill="1" applyBorder="1" applyAlignment="1">
      <alignment horizontal="left" vertical="center" wrapText="1"/>
    </xf>
    <xf numFmtId="0" fontId="59" fillId="15" borderId="36" xfId="15" applyFont="1" applyFill="1" applyBorder="1" applyAlignment="1">
      <alignment horizontal="center" vertical="center"/>
    </xf>
    <xf numFmtId="0" fontId="59" fillId="15" borderId="37" xfId="15" applyFont="1" applyFill="1" applyBorder="1" applyAlignment="1">
      <alignment horizontal="center" vertical="center"/>
    </xf>
    <xf numFmtId="0" fontId="59" fillId="15" borderId="38" xfId="15" applyFont="1" applyFill="1" applyBorder="1" applyAlignment="1">
      <alignment horizontal="center" vertical="center"/>
    </xf>
    <xf numFmtId="0" fontId="61" fillId="0" borderId="39" xfId="15" applyFont="1" applyBorder="1" applyAlignment="1">
      <alignment horizontal="center" vertical="center"/>
    </xf>
    <xf numFmtId="0" fontId="61" fillId="0" borderId="40" xfId="15" applyFont="1" applyBorder="1" applyAlignment="1">
      <alignment horizontal="center" vertical="center"/>
    </xf>
    <xf numFmtId="0" fontId="62" fillId="0" borderId="41" xfId="0" applyFont="1" applyBorder="1" applyAlignment="1">
      <alignment horizontal="left" vertical="center" indent="2"/>
    </xf>
    <xf numFmtId="0" fontId="62" fillId="0" borderId="42" xfId="0" applyFont="1" applyBorder="1" applyAlignment="1">
      <alignment horizontal="left" vertical="center" indent="2"/>
    </xf>
    <xf numFmtId="0" fontId="63" fillId="0" borderId="36" xfId="15" applyFont="1" applyBorder="1" applyAlignment="1">
      <alignment horizontal="center" vertical="center" wrapText="1"/>
    </xf>
    <xf numFmtId="0" fontId="63" fillId="0" borderId="38" xfId="15" applyFont="1" applyBorder="1" applyAlignment="1">
      <alignment horizontal="center" vertical="center" wrapText="1"/>
    </xf>
    <xf numFmtId="0" fontId="71" fillId="0" borderId="39" xfId="15" applyFont="1" applyBorder="1" applyAlignment="1">
      <alignment horizontal="center" vertical="center"/>
    </xf>
    <xf numFmtId="0" fontId="71" fillId="0" borderId="40" xfId="15" applyFont="1" applyBorder="1" applyAlignment="1">
      <alignment horizontal="center" vertical="center"/>
    </xf>
    <xf numFmtId="0" fontId="71" fillId="0" borderId="46" xfId="15" applyFont="1" applyBorder="1" applyAlignment="1">
      <alignment horizontal="center" vertical="center"/>
    </xf>
    <xf numFmtId="0" fontId="71" fillId="0" borderId="47" xfId="15" applyFont="1" applyBorder="1" applyAlignment="1">
      <alignment horizontal="center" vertical="center"/>
    </xf>
    <xf numFmtId="0" fontId="71" fillId="0" borderId="0" xfId="15" applyFont="1" applyAlignment="1">
      <alignment horizontal="center" vertical="center"/>
    </xf>
    <xf numFmtId="0" fontId="71" fillId="0" borderId="48" xfId="15" applyFont="1" applyBorder="1" applyAlignment="1">
      <alignment horizontal="center" vertical="center"/>
    </xf>
    <xf numFmtId="0" fontId="71" fillId="0" borderId="41" xfId="15" applyFont="1" applyBorder="1" applyAlignment="1">
      <alignment horizontal="center" vertical="center"/>
    </xf>
    <xf numFmtId="0" fontId="71" fillId="0" borderId="45" xfId="15" applyFont="1" applyBorder="1" applyAlignment="1">
      <alignment horizontal="center" vertical="center"/>
    </xf>
    <xf numFmtId="0" fontId="71" fillId="0" borderId="42" xfId="15" applyFont="1" applyBorder="1" applyAlignment="1">
      <alignment horizontal="center" vertical="center"/>
    </xf>
    <xf numFmtId="0" fontId="66" fillId="0" borderId="36" xfId="15" applyFont="1" applyBorder="1" applyAlignment="1">
      <alignment horizontal="center" vertical="center"/>
    </xf>
    <xf numFmtId="0" fontId="66" fillId="0" borderId="37" xfId="15" applyFont="1" applyBorder="1" applyAlignment="1">
      <alignment horizontal="center" vertical="center"/>
    </xf>
    <xf numFmtId="0" fontId="66" fillId="0" borderId="38" xfId="15" applyFont="1" applyBorder="1" applyAlignment="1">
      <alignment horizontal="center" vertical="center"/>
    </xf>
    <xf numFmtId="191" fontId="66" fillId="0" borderId="43" xfId="15" applyNumberFormat="1" applyFont="1" applyBorder="1" applyAlignment="1">
      <alignment horizontal="center" vertical="center"/>
    </xf>
    <xf numFmtId="0" fontId="84" fillId="30" borderId="6" xfId="13" applyFont="1" applyFill="1" applyBorder="1" applyAlignment="1">
      <alignment horizontal="center" vertical="center" shrinkToFit="1"/>
    </xf>
  </cellXfs>
  <cellStyles count="20">
    <cellStyle name="Comma [0] 2" xfId="12" xr:uid="{20530709-06FC-4601-BCB5-E79ECA011CEC}"/>
    <cellStyle name="Normal 2" xfId="1" xr:uid="{00000000-0005-0000-0000-000000000000}"/>
    <cellStyle name="Normal 2 2" xfId="4" xr:uid="{00000000-0005-0000-0000-000001000000}"/>
    <cellStyle name="Normal 3" xfId="11" xr:uid="{F91FA44D-AC31-47B0-A72C-0EB18912AF4B}"/>
    <cellStyle name="Normal 4" xfId="13" xr:uid="{A3A76875-5457-4E39-9B79-46DC891A725E}"/>
    <cellStyle name="강조색3" xfId="14" builtinId="37"/>
    <cellStyle name="쉼표 [0]" xfId="19" builtinId="6"/>
    <cellStyle name="쉼표 [0] 2" xfId="2" xr:uid="{00000000-0005-0000-0000-000003000000}"/>
    <cellStyle name="쉼표 [0] 2 2 3" xfId="18" xr:uid="{B9C5503E-1645-4625-8AB9-0AC40325BB3B}"/>
    <cellStyle name="쉼표 [0] 3" xfId="7" xr:uid="{00000000-0005-0000-0000-000004000000}"/>
    <cellStyle name="표준" xfId="0" builtinId="0"/>
    <cellStyle name="표준 15" xfId="15" xr:uid="{619854A0-2D4A-4EED-A80D-F86DDA1663EF}"/>
    <cellStyle name="표준 2" xfId="3" xr:uid="{00000000-0005-0000-0000-000006000000}"/>
    <cellStyle name="표준 2 3" xfId="9" xr:uid="{23A6BB23-540E-4F92-93AF-61CDFD58D140}"/>
    <cellStyle name="표준 2 5" xfId="16" xr:uid="{846D2CD1-0F22-4C4F-B6D0-15357475CB93}"/>
    <cellStyle name="표준 3" xfId="5" xr:uid="{00000000-0005-0000-0000-000007000000}"/>
    <cellStyle name="표준 3 2" xfId="8" xr:uid="{00000000-0005-0000-0000-000008000000}"/>
    <cellStyle name="표준 4" xfId="6" xr:uid="{00000000-0005-0000-0000-000009000000}"/>
    <cellStyle name="표준 9" xfId="10" xr:uid="{C5214DF0-45B3-40D3-8E11-5DBBB04D6FD9}"/>
    <cellStyle name="하이퍼링크" xfId="17" builtinId="8"/>
  </cellStyles>
  <dxfs count="6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30</xdr:row>
      <xdr:rowOff>76200</xdr:rowOff>
    </xdr:from>
    <xdr:ext cx="3190875" cy="1504950"/>
    <xdr:pic>
      <xdr:nvPicPr>
        <xdr:cNvPr id="6" name="Picture 6">
          <a:extLst>
            <a:ext uri="{FF2B5EF4-FFF2-40B4-BE49-F238E27FC236}">
              <a16:creationId xmlns:a16="http://schemas.microsoft.com/office/drawing/2014/main" id="{A8C867CF-8048-4B0E-B82B-35800653B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686925"/>
          <a:ext cx="3190875" cy="1504950"/>
        </a:xfrm>
        <a:prstGeom prst="rect">
          <a:avLst/>
        </a:prstGeom>
        <a:noFill/>
        <a:ln cap="flat">
          <a:noFill/>
        </a:ln>
      </xdr:spPr>
    </xdr:pic>
    <xdr:clientData/>
  </xdr:oneCellAnchor>
  <xdr:twoCellAnchor editAs="oneCell">
    <xdr:from>
      <xdr:col>0</xdr:col>
      <xdr:colOff>47625</xdr:colOff>
      <xdr:row>34</xdr:row>
      <xdr:rowOff>180974</xdr:rowOff>
    </xdr:from>
    <xdr:to>
      <xdr:col>2</xdr:col>
      <xdr:colOff>1773907</xdr:colOff>
      <xdr:row>41</xdr:row>
      <xdr:rowOff>143038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C8686E5-606D-758E-626B-7C68101F4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11315699"/>
          <a:ext cx="4124901" cy="1314615"/>
        </a:xfrm>
        <a:prstGeom prst="rect">
          <a:avLst/>
        </a:prstGeom>
      </xdr:spPr>
    </xdr:pic>
    <xdr:clientData/>
  </xdr:twoCellAnchor>
  <xdr:oneCellAnchor>
    <xdr:from>
      <xdr:col>0</xdr:col>
      <xdr:colOff>44824</xdr:colOff>
      <xdr:row>0</xdr:row>
      <xdr:rowOff>33616</xdr:rowOff>
    </xdr:from>
    <xdr:ext cx="2297206" cy="523875"/>
    <xdr:pic>
      <xdr:nvPicPr>
        <xdr:cNvPr id="4" name="Picture 2" descr="C:\Users\JC\Desktop\work\브로셔\브로셔 이미지\싼카.jpg">
          <a:extLst>
            <a:ext uri="{FF2B5EF4-FFF2-40B4-BE49-F238E27FC236}">
              <a16:creationId xmlns:a16="http://schemas.microsoft.com/office/drawing/2014/main" id="{5C17AE02-B421-45FF-8714-793D18885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4" y="33616"/>
          <a:ext cx="229720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71906</xdr:colOff>
      <xdr:row>0</xdr:row>
      <xdr:rowOff>615204</xdr:rowOff>
    </xdr:from>
    <xdr:ext cx="3343275" cy="460561"/>
    <xdr:pic>
      <xdr:nvPicPr>
        <xdr:cNvPr id="5" name="Picture 3" descr="C:\Users\JC\Desktop\work\브로셔\브로셔 이미지\싼카2.jpg">
          <a:extLst>
            <a:ext uri="{FF2B5EF4-FFF2-40B4-BE49-F238E27FC236}">
              <a16:creationId xmlns:a16="http://schemas.microsoft.com/office/drawing/2014/main" id="{FB6BB7DA-2608-43F6-9F7A-8BF416823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06" y="615204"/>
          <a:ext cx="3343275" cy="460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44824</xdr:colOff>
      <xdr:row>0</xdr:row>
      <xdr:rowOff>33616</xdr:rowOff>
    </xdr:from>
    <xdr:ext cx="2297206" cy="523875"/>
    <xdr:pic>
      <xdr:nvPicPr>
        <xdr:cNvPr id="2" name="Picture 2" descr="C:\Users\JC\Desktop\work\브로셔\브로셔 이미지\싼카.jpg">
          <a:extLst>
            <a:ext uri="{FF2B5EF4-FFF2-40B4-BE49-F238E27FC236}">
              <a16:creationId xmlns:a16="http://schemas.microsoft.com/office/drawing/2014/main" id="{50E4C1EA-21BB-4029-8AC9-831936449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4" y="33616"/>
          <a:ext cx="229720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71906</xdr:colOff>
      <xdr:row>0</xdr:row>
      <xdr:rowOff>615204</xdr:rowOff>
    </xdr:from>
    <xdr:ext cx="3343275" cy="471767"/>
    <xdr:pic>
      <xdr:nvPicPr>
        <xdr:cNvPr id="3" name="Picture 3" descr="C:\Users\JC\Desktop\work\브로셔\브로셔 이미지\싼카2.jpg">
          <a:extLst>
            <a:ext uri="{FF2B5EF4-FFF2-40B4-BE49-F238E27FC236}">
              <a16:creationId xmlns:a16="http://schemas.microsoft.com/office/drawing/2014/main" id="{9E3BBE01-F047-4469-A73D-2860EEE05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06" y="205629"/>
          <a:ext cx="3343275" cy="4717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47625</xdr:colOff>
      <xdr:row>30</xdr:row>
      <xdr:rowOff>76200</xdr:rowOff>
    </xdr:from>
    <xdr:ext cx="3190875" cy="1504950"/>
    <xdr:pic>
      <xdr:nvPicPr>
        <xdr:cNvPr id="4" name="Picture 6">
          <a:extLst>
            <a:ext uri="{FF2B5EF4-FFF2-40B4-BE49-F238E27FC236}">
              <a16:creationId xmlns:a16="http://schemas.microsoft.com/office/drawing/2014/main" id="{F536C0FD-33F1-44F9-B364-3E2C011F7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6362700"/>
          <a:ext cx="3190875" cy="150495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47625</xdr:colOff>
      <xdr:row>34</xdr:row>
      <xdr:rowOff>180974</xdr:rowOff>
    </xdr:from>
    <xdr:ext cx="4137676" cy="1290708"/>
    <xdr:pic>
      <xdr:nvPicPr>
        <xdr:cNvPr id="5" name="그림 4">
          <a:extLst>
            <a:ext uri="{FF2B5EF4-FFF2-40B4-BE49-F238E27FC236}">
              <a16:creationId xmlns:a16="http://schemas.microsoft.com/office/drawing/2014/main" id="{8BC6C5BB-6207-427A-B8E6-96C88A22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305674"/>
          <a:ext cx="4137676" cy="129070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15875</xdr:colOff>
      <xdr:row>0</xdr:row>
      <xdr:rowOff>0</xdr:rowOff>
    </xdr:from>
    <xdr:ext cx="2340334" cy="523875"/>
    <xdr:pic>
      <xdr:nvPicPr>
        <xdr:cNvPr id="2" name="Picture 2" descr="C:\Users\JC\Desktop\work\브로셔\브로셔 이미지\싼카.jpg">
          <a:extLst>
            <a:ext uri="{FF2B5EF4-FFF2-40B4-BE49-F238E27FC236}">
              <a16:creationId xmlns:a16="http://schemas.microsoft.com/office/drawing/2014/main" id="{19DB152E-632D-40C6-8108-BCF5E841B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" y="0"/>
          <a:ext cx="2340334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15875</xdr:colOff>
      <xdr:row>0</xdr:row>
      <xdr:rowOff>525556</xdr:rowOff>
    </xdr:from>
    <xdr:ext cx="3343275" cy="561975"/>
    <xdr:pic>
      <xdr:nvPicPr>
        <xdr:cNvPr id="3" name="Picture 3" descr="C:\Users\JC\Desktop\work\브로셔\브로셔 이미지\싼카2.jpg">
          <a:extLst>
            <a:ext uri="{FF2B5EF4-FFF2-40B4-BE49-F238E27FC236}">
              <a16:creationId xmlns:a16="http://schemas.microsoft.com/office/drawing/2014/main" id="{088B23E5-179B-4EF0-A20A-BE4ED3B4B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" y="525556"/>
          <a:ext cx="33432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47625</xdr:colOff>
      <xdr:row>34</xdr:row>
      <xdr:rowOff>76200</xdr:rowOff>
    </xdr:from>
    <xdr:ext cx="3190875" cy="1504950"/>
    <xdr:pic>
      <xdr:nvPicPr>
        <xdr:cNvPr id="4" name="Picture 6">
          <a:extLst>
            <a:ext uri="{FF2B5EF4-FFF2-40B4-BE49-F238E27FC236}">
              <a16:creationId xmlns:a16="http://schemas.microsoft.com/office/drawing/2014/main" id="{256DFA9E-2AA4-479D-928A-0E5259A82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" y="9572625"/>
          <a:ext cx="3190875" cy="1504950"/>
        </a:xfrm>
        <a:prstGeom prst="rect">
          <a:avLst/>
        </a:prstGeom>
        <a:noFill/>
        <a:ln cap="flat">
          <a:noFill/>
        </a:ln>
      </xdr:spPr>
    </xdr:pic>
    <xdr:clientData/>
  </xdr:oneCellAnchor>
  <xdr:twoCellAnchor editAs="oneCell">
    <xdr:from>
      <xdr:col>0</xdr:col>
      <xdr:colOff>47625</xdr:colOff>
      <xdr:row>38</xdr:row>
      <xdr:rowOff>180974</xdr:rowOff>
    </xdr:from>
    <xdr:to>
      <xdr:col>2</xdr:col>
      <xdr:colOff>1955106</xdr:colOff>
      <xdr:row>45</xdr:row>
      <xdr:rowOff>141133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9A3D28D-8E2F-4143-A281-FF4657A2C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11201399"/>
          <a:ext cx="4124901" cy="13146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33</xdr:row>
      <xdr:rowOff>76200</xdr:rowOff>
    </xdr:from>
    <xdr:ext cx="3190875" cy="1504950"/>
    <xdr:pic>
      <xdr:nvPicPr>
        <xdr:cNvPr id="4" name="Picture 6">
          <a:extLst>
            <a:ext uri="{FF2B5EF4-FFF2-40B4-BE49-F238E27FC236}">
              <a16:creationId xmlns:a16="http://schemas.microsoft.com/office/drawing/2014/main" id="{982AB017-61EF-47E6-A9F5-C3D8F9AB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725025"/>
          <a:ext cx="3190875" cy="1504950"/>
        </a:xfrm>
        <a:prstGeom prst="rect">
          <a:avLst/>
        </a:prstGeom>
        <a:noFill/>
        <a:ln cap="flat">
          <a:noFill/>
        </a:ln>
      </xdr:spPr>
    </xdr:pic>
    <xdr:clientData/>
  </xdr:oneCellAnchor>
  <xdr:twoCellAnchor editAs="oneCell">
    <xdr:from>
      <xdr:col>0</xdr:col>
      <xdr:colOff>47625</xdr:colOff>
      <xdr:row>37</xdr:row>
      <xdr:rowOff>180974</xdr:rowOff>
    </xdr:from>
    <xdr:to>
      <xdr:col>2</xdr:col>
      <xdr:colOff>1048700</xdr:colOff>
      <xdr:row>43</xdr:row>
      <xdr:rowOff>22948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671ED32-543F-4847-A0D6-6FAF2B576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11353799"/>
          <a:ext cx="4133119" cy="13177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457;&#49888;&#47924;&#50669;\01-&#52264;&#47049;&#44396;&#47588;\2016.10.19%20&#49457;&#49888;%20&#49688;&#52636;&#54788;&#54889;&#5436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ar\Office_Korea\2017&#45380;%20&#49688;&#52636;&#54788;&#5488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mpany\1000\2002&#45380;&#51648;&#5263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7&#45380;%20&#49688;&#52636;&#54788;&#5488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판"/>
      <sheetName val="입출고"/>
      <sheetName val="차량말소신청서"/>
      <sheetName val="사업자등록증"/>
      <sheetName val="계약서"/>
      <sheetName val="매매계약서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  <sheetName val="입출고"/>
    </sheetNames>
    <sheetDataSet>
      <sheetData sheetId="0"/>
      <sheetData sheetId="1">
        <row r="4">
          <cell r="A4" t="str">
            <v>차명</v>
          </cell>
        </row>
        <row r="5">
          <cell r="A5" t="str">
            <v>엑센트1495</v>
          </cell>
        </row>
        <row r="6">
          <cell r="A6" t="str">
            <v>엑센트1396</v>
          </cell>
        </row>
        <row r="7">
          <cell r="A7" t="str">
            <v>엑센트1341</v>
          </cell>
        </row>
        <row r="8">
          <cell r="A8" t="str">
            <v>엑센트1591</v>
          </cell>
        </row>
        <row r="9">
          <cell r="A9" t="str">
            <v>엑센트1368</v>
          </cell>
        </row>
        <row r="10">
          <cell r="A10" t="str">
            <v>엑센트1582</v>
          </cell>
        </row>
        <row r="11">
          <cell r="A11" t="str">
            <v>엑센트</v>
          </cell>
        </row>
        <row r="12">
          <cell r="A12" t="str">
            <v>아반떼</v>
          </cell>
        </row>
        <row r="13">
          <cell r="A13" t="str">
            <v>md</v>
          </cell>
        </row>
        <row r="14">
          <cell r="A14" t="str">
            <v>아반떼오토</v>
          </cell>
        </row>
        <row r="15">
          <cell r="A15" t="str">
            <v>hd</v>
          </cell>
        </row>
        <row r="16">
          <cell r="A16" t="str">
            <v>xd</v>
          </cell>
        </row>
        <row r="17">
          <cell r="A17" t="str">
            <v>뉴아반떼</v>
          </cell>
        </row>
        <row r="18">
          <cell r="A18" t="str">
            <v>클릭</v>
          </cell>
        </row>
        <row r="19">
          <cell r="A19" t="str">
            <v>뉴클릭</v>
          </cell>
        </row>
        <row r="20">
          <cell r="A20" t="str">
            <v>엘란트라</v>
          </cell>
        </row>
        <row r="21">
          <cell r="A21" t="str">
            <v>그레이스</v>
          </cell>
        </row>
        <row r="22">
          <cell r="A22" t="str">
            <v>그레이스9</v>
          </cell>
        </row>
        <row r="23">
          <cell r="A23" t="str">
            <v>그레이스12</v>
          </cell>
        </row>
        <row r="24">
          <cell r="A24">
            <v>0</v>
          </cell>
        </row>
        <row r="25">
          <cell r="A25" t="str">
            <v>그레이스15</v>
          </cell>
        </row>
        <row r="26">
          <cell r="A26">
            <v>0</v>
          </cell>
        </row>
        <row r="27">
          <cell r="A27" t="str">
            <v>그레이스6밴</v>
          </cell>
        </row>
        <row r="28">
          <cell r="A28" t="str">
            <v>그레이스
장축6밴</v>
          </cell>
        </row>
        <row r="29">
          <cell r="A29" t="str">
            <v>그레이스
장축3밴</v>
          </cell>
        </row>
        <row r="30">
          <cell r="A30">
            <v>0</v>
          </cell>
        </row>
        <row r="31">
          <cell r="A31" t="str">
            <v>마이티 2.5톤</v>
          </cell>
        </row>
        <row r="32">
          <cell r="A32" t="str">
            <v>마이티</v>
          </cell>
        </row>
        <row r="33">
          <cell r="A33" t="str">
            <v>마이티2 터보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 t="str">
            <v>그랜드스타렉스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 t="str">
            <v>포터초장축더블캡</v>
          </cell>
        </row>
        <row r="51">
          <cell r="A51" t="str">
            <v>포터초장축슈퍼캡</v>
          </cell>
        </row>
        <row r="52">
          <cell r="A52">
            <v>0</v>
          </cell>
        </row>
        <row r="53">
          <cell r="A53" t="str">
            <v>포터</v>
          </cell>
        </row>
        <row r="54">
          <cell r="A54" t="str">
            <v>포터장축켑</v>
          </cell>
        </row>
        <row r="55">
          <cell r="A55" t="str">
            <v>포터초장축</v>
          </cell>
        </row>
        <row r="56">
          <cell r="A56" t="str">
            <v>포터2</v>
          </cell>
        </row>
        <row r="57">
          <cell r="A57">
            <v>0</v>
          </cell>
        </row>
        <row r="58">
          <cell r="A58" t="str">
            <v>포터2내장탑</v>
          </cell>
        </row>
        <row r="59">
          <cell r="A59" t="str">
            <v>포터2냉동탑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현대5톤트럭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 t="str">
            <v>스타렉스</v>
          </cell>
        </row>
        <row r="68">
          <cell r="A68" t="str">
            <v>스타렉스인터쿨러9</v>
          </cell>
        </row>
        <row r="69">
          <cell r="A69" t="str">
            <v>스타렉스9</v>
          </cell>
        </row>
        <row r="70">
          <cell r="A70">
            <v>0</v>
          </cell>
        </row>
        <row r="71">
          <cell r="A71" t="str">
            <v>스타렉스12</v>
          </cell>
        </row>
        <row r="72">
          <cell r="A72">
            <v>0</v>
          </cell>
        </row>
        <row r="73">
          <cell r="A73" t="str">
            <v>스타렉스6</v>
          </cell>
        </row>
        <row r="74">
          <cell r="A74">
            <v>0</v>
          </cell>
        </row>
        <row r="75">
          <cell r="A75" t="str">
            <v>스타렉스터보롱12</v>
          </cell>
        </row>
        <row r="76">
          <cell r="A76" t="str">
            <v>스타렉스4륜</v>
          </cell>
        </row>
        <row r="77">
          <cell r="A77">
            <v>0</v>
          </cell>
        </row>
        <row r="78">
          <cell r="A78" t="str">
            <v>테라칸</v>
          </cell>
        </row>
        <row r="79">
          <cell r="A79">
            <v>0</v>
          </cell>
        </row>
        <row r="80">
          <cell r="A80" t="str">
            <v>베르나</v>
          </cell>
        </row>
        <row r="81">
          <cell r="A81" t="str">
            <v>뉴베르나</v>
          </cell>
        </row>
        <row r="82">
          <cell r="A82" t="str">
            <v>베르나하이브리드</v>
          </cell>
        </row>
        <row r="83">
          <cell r="A83">
            <v>0</v>
          </cell>
        </row>
        <row r="84">
          <cell r="A84" t="str">
            <v>카운티</v>
          </cell>
        </row>
        <row r="85">
          <cell r="A85" t="str">
            <v>이-카운티</v>
          </cell>
        </row>
        <row r="86">
          <cell r="A86" t="str">
            <v>벨로스터</v>
          </cell>
        </row>
        <row r="87">
          <cell r="A87" t="str">
            <v>베르나</v>
          </cell>
        </row>
        <row r="88">
          <cell r="A88" t="str">
            <v>아토스</v>
          </cell>
        </row>
        <row r="89">
          <cell r="A89" t="str">
            <v>라비타</v>
          </cell>
        </row>
        <row r="90">
          <cell r="A90">
            <v>0</v>
          </cell>
        </row>
        <row r="91">
          <cell r="A91" t="str">
            <v>투싼</v>
          </cell>
        </row>
        <row r="92">
          <cell r="A92" t="str">
            <v>투스카니</v>
          </cell>
        </row>
        <row r="93">
          <cell r="A93" t="str">
            <v>티뷰론터뷸런스</v>
          </cell>
        </row>
        <row r="94">
          <cell r="A94">
            <v>0</v>
          </cell>
        </row>
        <row r="95">
          <cell r="A95" t="str">
            <v>쏘나타</v>
          </cell>
        </row>
        <row r="96">
          <cell r="A96" t="str">
            <v>ef쏘나타</v>
          </cell>
        </row>
        <row r="97">
          <cell r="A97">
            <v>0</v>
          </cell>
        </row>
        <row r="98">
          <cell r="A98" t="str">
            <v>뉴EF쏘나타</v>
          </cell>
        </row>
        <row r="99">
          <cell r="A99" t="str">
            <v>뉴EF쏘나타골드</v>
          </cell>
        </row>
        <row r="100">
          <cell r="A100" t="str">
            <v>쏘나타 하이브리드</v>
          </cell>
        </row>
        <row r="101">
          <cell r="A101">
            <v>0</v>
          </cell>
        </row>
        <row r="102">
          <cell r="A102" t="str">
            <v>에쿠스</v>
          </cell>
        </row>
        <row r="103">
          <cell r="A103" t="str">
            <v>i30</v>
          </cell>
        </row>
        <row r="104">
          <cell r="A104">
            <v>0</v>
          </cell>
        </row>
        <row r="105">
          <cell r="A105" t="str">
            <v>싼타페</v>
          </cell>
        </row>
        <row r="106">
          <cell r="A106" t="str">
            <v>그랜저</v>
          </cell>
        </row>
        <row r="107">
          <cell r="A107" t="str">
            <v>그랜저XG</v>
          </cell>
        </row>
        <row r="108">
          <cell r="A108" t="str">
            <v>뉴그랜저XG</v>
          </cell>
        </row>
        <row r="109">
          <cell r="A109" t="str">
            <v>그랜저TG</v>
          </cell>
        </row>
        <row r="110">
          <cell r="A110" t="str">
            <v>로체</v>
          </cell>
        </row>
        <row r="111">
          <cell r="A111" t="str">
            <v>포르테</v>
          </cell>
        </row>
        <row r="112">
          <cell r="A112" t="str">
            <v>포르테쿱</v>
          </cell>
        </row>
        <row r="113">
          <cell r="A113" t="str">
            <v>봉고</v>
          </cell>
        </row>
        <row r="114">
          <cell r="A114">
            <v>0</v>
          </cell>
        </row>
        <row r="115">
          <cell r="A115" t="str">
            <v>델타</v>
          </cell>
        </row>
        <row r="116">
          <cell r="A116" t="str">
            <v>아벨라</v>
          </cell>
        </row>
        <row r="117">
          <cell r="A117" t="str">
            <v>쎄라토</v>
          </cell>
        </row>
        <row r="118">
          <cell r="A118" t="str">
            <v>k5</v>
          </cell>
        </row>
        <row r="119">
          <cell r="A119" t="str">
            <v>k5 하이브리드</v>
          </cell>
        </row>
        <row r="120">
          <cell r="A120" t="str">
            <v>리오</v>
          </cell>
        </row>
        <row r="121">
          <cell r="A121" t="str">
            <v>리오RX-V</v>
          </cell>
        </row>
        <row r="122">
          <cell r="A122" t="str">
            <v>리오sf</v>
          </cell>
        </row>
        <row r="123">
          <cell r="A123" t="str">
            <v>세피아</v>
          </cell>
        </row>
        <row r="124">
          <cell r="A124" t="str">
            <v>세피아2</v>
          </cell>
        </row>
        <row r="125">
          <cell r="A125" t="str">
            <v>세피아오토</v>
          </cell>
        </row>
        <row r="126">
          <cell r="A126" t="str">
            <v>스펙트라</v>
          </cell>
        </row>
        <row r="127">
          <cell r="A127" t="str">
            <v>스펙트라윙</v>
          </cell>
        </row>
        <row r="128">
          <cell r="A128" t="str">
            <v>비스토</v>
          </cell>
        </row>
        <row r="129">
          <cell r="A129" t="str">
            <v>슈마</v>
          </cell>
        </row>
        <row r="130">
          <cell r="A130" t="str">
            <v>프라이드웨곤</v>
          </cell>
        </row>
        <row r="131">
          <cell r="A131" t="str">
            <v>프라이드</v>
          </cell>
        </row>
        <row r="132">
          <cell r="A132">
            <v>0</v>
          </cell>
        </row>
        <row r="133">
          <cell r="A133" t="str">
            <v>프런티어</v>
          </cell>
        </row>
        <row r="134">
          <cell r="A134">
            <v>0</v>
          </cell>
        </row>
        <row r="135">
          <cell r="A135" t="str">
            <v>스포티지</v>
          </cell>
        </row>
        <row r="137">
          <cell r="A137" t="str">
            <v>프런티어1.3톤</v>
          </cell>
        </row>
        <row r="138">
          <cell r="A138" t="str">
            <v>오텍봉고킹캡</v>
          </cell>
        </row>
        <row r="139">
          <cell r="A139">
            <v>0</v>
          </cell>
        </row>
        <row r="140">
          <cell r="A140" t="str">
            <v>프런티어1.4톤</v>
          </cell>
        </row>
        <row r="141">
          <cell r="A141" t="str">
            <v>봉고킹캡</v>
          </cell>
        </row>
        <row r="142">
          <cell r="A142">
            <v>0</v>
          </cell>
        </row>
        <row r="143">
          <cell r="A143" t="str">
            <v>오텍프런티어</v>
          </cell>
        </row>
        <row r="144">
          <cell r="A144">
            <v>0</v>
          </cell>
        </row>
        <row r="145">
          <cell r="A145" t="str">
            <v>봉고3</v>
          </cell>
        </row>
        <row r="146">
          <cell r="A146" t="str">
            <v>봉고3 1.2</v>
          </cell>
        </row>
        <row r="147">
          <cell r="A147" t="str">
            <v>봉고3 1.4</v>
          </cell>
        </row>
        <row r="148">
          <cell r="A148" t="str">
            <v>봉고3 1톤</v>
          </cell>
        </row>
        <row r="149">
          <cell r="A149" t="str">
            <v>봉고3 카고</v>
          </cell>
        </row>
        <row r="150">
          <cell r="A150" t="str">
            <v>봉고3 플러스</v>
          </cell>
        </row>
        <row r="151">
          <cell r="A151" t="str">
            <v>봉고프런티어킹캡</v>
          </cell>
        </row>
        <row r="152">
          <cell r="A152" t="str">
            <v>봉고프런티어4륜</v>
          </cell>
        </row>
        <row r="153">
          <cell r="A153" t="str">
            <v>봉고프런티어</v>
          </cell>
        </row>
        <row r="154">
          <cell r="A154" t="str">
            <v>봉고3 탑</v>
          </cell>
        </row>
        <row r="155">
          <cell r="A155" t="str">
            <v>봉고 트런티어 탑</v>
          </cell>
        </row>
        <row r="156">
          <cell r="A156" t="str">
            <v>봉고프런티어 GLS</v>
          </cell>
        </row>
        <row r="157">
          <cell r="A157" t="str">
            <v>마티즈</v>
          </cell>
        </row>
        <row r="158">
          <cell r="A158" t="str">
            <v>마티즈0.8at</v>
          </cell>
        </row>
        <row r="159">
          <cell r="A159" t="str">
            <v>마티즈0.8mt</v>
          </cell>
        </row>
        <row r="160">
          <cell r="A160" t="str">
            <v>마티즈밴 AT</v>
          </cell>
        </row>
        <row r="161">
          <cell r="A161">
            <v>0</v>
          </cell>
        </row>
        <row r="162">
          <cell r="A162" t="str">
            <v>윈스톰</v>
          </cell>
        </row>
        <row r="163">
          <cell r="A163" t="str">
            <v>라노스1.3</v>
          </cell>
        </row>
        <row r="164">
          <cell r="A164" t="str">
            <v>라노스1.5</v>
          </cell>
        </row>
        <row r="165">
          <cell r="A165" t="str">
            <v>라노스해치백1.3</v>
          </cell>
        </row>
        <row r="166">
          <cell r="A166" t="str">
            <v>라노스해치백1.5</v>
          </cell>
        </row>
        <row r="167">
          <cell r="A167" t="str">
            <v>라노스</v>
          </cell>
        </row>
        <row r="168">
          <cell r="A168">
            <v>0</v>
          </cell>
        </row>
        <row r="169">
          <cell r="A169" t="str">
            <v>매그너스</v>
          </cell>
        </row>
        <row r="170">
          <cell r="A170">
            <v>0</v>
          </cell>
        </row>
        <row r="171">
          <cell r="A171" t="str">
            <v>누비라1.5</v>
          </cell>
        </row>
        <row r="173">
          <cell r="A173" t="str">
            <v>라세티1.6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 t="str">
            <v>라세티5</v>
          </cell>
        </row>
        <row r="177">
          <cell r="A177" t="str">
            <v>라세티5 mt</v>
          </cell>
        </row>
        <row r="178">
          <cell r="A178">
            <v>0</v>
          </cell>
        </row>
        <row r="179">
          <cell r="A179" t="str">
            <v>라세티1.5</v>
          </cell>
        </row>
        <row r="180">
          <cell r="A180">
            <v>0</v>
          </cell>
        </row>
        <row r="181">
          <cell r="A181" t="str">
            <v>젠트라1.5</v>
          </cell>
        </row>
        <row r="182">
          <cell r="A182" t="str">
            <v>젠트라1.6</v>
          </cell>
        </row>
        <row r="183">
          <cell r="A183" t="str">
            <v>젠트라1.2</v>
          </cell>
        </row>
        <row r="185">
          <cell r="A185" t="str">
            <v>칼로스1.2</v>
          </cell>
        </row>
        <row r="186">
          <cell r="A186" t="str">
            <v>칼로스1.5</v>
          </cell>
        </row>
        <row r="187">
          <cell r="A187" t="str">
            <v>티코</v>
          </cell>
        </row>
        <row r="188">
          <cell r="A188" t="str">
            <v>다마스</v>
          </cell>
        </row>
        <row r="189">
          <cell r="A189" t="str">
            <v>다마스밴</v>
          </cell>
        </row>
        <row r="190">
          <cell r="A190" t="str">
            <v>다마스5</v>
          </cell>
        </row>
        <row r="191">
          <cell r="A191" t="str">
            <v>다마스7</v>
          </cell>
        </row>
        <row r="192">
          <cell r="A192" t="str">
            <v>레간자</v>
          </cell>
        </row>
        <row r="193">
          <cell r="A193" t="str">
            <v>레간자2.0</v>
          </cell>
        </row>
        <row r="194">
          <cell r="A194" t="str">
            <v>라보</v>
          </cell>
        </row>
        <row r="195">
          <cell r="A195" t="str">
            <v>라보롱카고</v>
          </cell>
        </row>
        <row r="196">
          <cell r="A196">
            <v>0</v>
          </cell>
        </row>
        <row r="197">
          <cell r="A197" t="str">
            <v>라보5MT</v>
          </cell>
        </row>
        <row r="198">
          <cell r="A198" t="str">
            <v>CR-V</v>
          </cell>
        </row>
        <row r="199">
          <cell r="A199" t="str">
            <v>쏘울</v>
          </cell>
        </row>
        <row r="200">
          <cell r="A200" t="str">
            <v>모닝</v>
          </cell>
        </row>
        <row r="201">
          <cell r="A201" t="str">
            <v>쏘렌토</v>
          </cell>
        </row>
        <row r="202">
          <cell r="A202" t="str">
            <v>쏘렌토gl</v>
          </cell>
        </row>
        <row r="203">
          <cell r="A203" t="str">
            <v>쏘렌토GLS</v>
          </cell>
        </row>
        <row r="204">
          <cell r="A204">
            <v>0</v>
          </cell>
        </row>
        <row r="205">
          <cell r="A205" t="str">
            <v>파맥스</v>
          </cell>
        </row>
        <row r="206">
          <cell r="A206" t="str">
            <v>타우너</v>
          </cell>
        </row>
        <row r="207">
          <cell r="A207" t="str">
            <v>프레지오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 t="str">
            <v>오피러스</v>
          </cell>
        </row>
        <row r="213">
          <cell r="A213" t="str">
            <v>옵티마</v>
          </cell>
        </row>
        <row r="214">
          <cell r="A214" t="str">
            <v>옵티마리갈</v>
          </cell>
        </row>
        <row r="215">
          <cell r="A215" t="str">
            <v>sm3</v>
          </cell>
        </row>
        <row r="216">
          <cell r="A216">
            <v>520</v>
          </cell>
        </row>
        <row r="217">
          <cell r="A217" t="str">
            <v>520 LPG</v>
          </cell>
        </row>
        <row r="218">
          <cell r="A218">
            <v>518</v>
          </cell>
        </row>
        <row r="219">
          <cell r="A219" t="str">
            <v>525V</v>
          </cell>
        </row>
        <row r="220">
          <cell r="A220" t="str">
            <v>520v</v>
          </cell>
        </row>
        <row r="221">
          <cell r="A221">
            <v>518</v>
          </cell>
        </row>
        <row r="222">
          <cell r="A222" t="str">
            <v>시에로</v>
          </cell>
        </row>
        <row r="223">
          <cell r="A223">
            <v>518</v>
          </cell>
        </row>
        <row r="224">
          <cell r="A224">
            <v>518</v>
          </cell>
        </row>
        <row r="225">
          <cell r="A225">
            <v>518</v>
          </cell>
        </row>
        <row r="226">
          <cell r="A226">
            <v>518</v>
          </cell>
        </row>
        <row r="227">
          <cell r="A227">
            <v>518</v>
          </cell>
        </row>
        <row r="228">
          <cell r="A228">
            <v>518</v>
          </cell>
        </row>
        <row r="229">
          <cell r="A229" t="str">
            <v>bmw525i</v>
          </cell>
        </row>
        <row r="230">
          <cell r="A230">
            <v>518</v>
          </cell>
        </row>
        <row r="231">
          <cell r="A231">
            <v>518</v>
          </cell>
        </row>
        <row r="232">
          <cell r="A232">
            <v>518</v>
          </cell>
        </row>
        <row r="233">
          <cell r="A233">
            <v>518</v>
          </cell>
        </row>
        <row r="234">
          <cell r="A234">
            <v>518</v>
          </cell>
        </row>
        <row r="235">
          <cell r="A235" t="str">
            <v>무쏘</v>
          </cell>
        </row>
        <row r="236">
          <cell r="A236" t="str">
            <v>뉴무쏘</v>
          </cell>
        </row>
        <row r="237">
          <cell r="A237" t="str">
            <v>카니발</v>
          </cell>
        </row>
        <row r="238">
          <cell r="A238" t="str">
            <v>카니발2</v>
          </cell>
        </row>
        <row r="239">
          <cell r="A239" t="str">
            <v>카렌스</v>
          </cell>
        </row>
        <row r="240">
          <cell r="A240" t="str">
            <v>렉스턴</v>
          </cell>
        </row>
        <row r="241">
          <cell r="A241" t="str">
            <v>체어맨</v>
          </cell>
        </row>
        <row r="242">
          <cell r="A242">
            <v>518</v>
          </cell>
        </row>
        <row r="243">
          <cell r="A243">
            <v>518</v>
          </cell>
        </row>
        <row r="244">
          <cell r="A244" t="str">
            <v>이스타나</v>
          </cell>
        </row>
        <row r="245">
          <cell r="A245" t="str">
            <v>이스타나15</v>
          </cell>
        </row>
        <row r="246">
          <cell r="A246" t="str">
            <v>이스타나12</v>
          </cell>
        </row>
        <row r="247">
          <cell r="A247" t="str">
            <v>이스타나6밴</v>
          </cell>
        </row>
        <row r="248">
          <cell r="A248" t="str">
            <v>엑티언</v>
          </cell>
        </row>
        <row r="249">
          <cell r="A249" t="str">
            <v>엑티언스포츠</v>
          </cell>
        </row>
        <row r="250">
          <cell r="A250" t="str">
            <v>코란도</v>
          </cell>
        </row>
        <row r="251">
          <cell r="A251" t="str">
            <v>렉서스ES330</v>
          </cell>
        </row>
        <row r="252">
          <cell r="A252" t="str">
            <v>렉서스ES350</v>
          </cell>
        </row>
        <row r="253">
          <cell r="A253" t="str">
            <v>렉서스LS430</v>
          </cell>
        </row>
        <row r="254">
          <cell r="A254" t="str">
            <v>렉서스GS300</v>
          </cell>
        </row>
        <row r="255">
          <cell r="A255" t="str">
            <v>렉서스LS460</v>
          </cell>
        </row>
        <row r="256">
          <cell r="A256" t="str">
            <v>렉서스LS460L</v>
          </cell>
        </row>
        <row r="257">
          <cell r="A257" t="str">
            <v>벤츠 C-240</v>
          </cell>
        </row>
        <row r="258">
          <cell r="A258" t="str">
            <v>아우디a6</v>
          </cell>
        </row>
        <row r="259">
          <cell r="A259" t="str">
            <v>아우디a4</v>
          </cell>
        </row>
        <row r="260">
          <cell r="A260" t="str">
            <v>엑센트</v>
          </cell>
        </row>
        <row r="261">
          <cell r="A261" t="str">
            <v>스타렉스인터쿨러9인4WD</v>
          </cell>
        </row>
        <row r="262">
          <cell r="A262" t="str">
            <v>스타렉스9</v>
          </cell>
        </row>
        <row r="263">
          <cell r="A263" t="str">
            <v>뉴스타렉스4륜AT</v>
          </cell>
        </row>
        <row r="264">
          <cell r="A264" t="str">
            <v>스타렉스인터쿨러단축9인</v>
          </cell>
        </row>
        <row r="265">
          <cell r="A265" t="str">
            <v>프라이드해치백</v>
          </cell>
        </row>
        <row r="266">
          <cell r="A266" t="str">
            <v>싼타페AT</v>
          </cell>
        </row>
        <row r="267">
          <cell r="A267" t="str">
            <v>뉴스타렉스12</v>
          </cell>
        </row>
        <row r="268">
          <cell r="A268" t="str">
            <v>포터II냉동탑차</v>
          </cell>
        </row>
        <row r="269">
          <cell r="A269" t="str">
            <v>포터II슈퍼캡냉동탑차</v>
          </cell>
        </row>
        <row r="270">
          <cell r="A270" t="str">
            <v>다마스5인승</v>
          </cell>
        </row>
        <row r="271">
          <cell r="A271" t="str">
            <v>카운티25</v>
          </cell>
        </row>
        <row r="272">
          <cell r="A272" t="str">
            <v>프라이드가솔린해치</v>
          </cell>
        </row>
        <row r="273">
          <cell r="A273" t="str">
            <v>봉고 III 코치15</v>
          </cell>
        </row>
        <row r="274">
          <cell r="A274" t="str">
            <v>그레이스15인승</v>
          </cell>
        </row>
        <row r="275">
          <cell r="A275" t="str">
            <v>프라이드해치백디젤</v>
          </cell>
        </row>
        <row r="276">
          <cell r="A276" t="str">
            <v>올뉴마티즈</v>
          </cell>
        </row>
        <row r="277">
          <cell r="A277" t="str">
            <v>갤로퍼</v>
          </cell>
        </row>
        <row r="278">
          <cell r="A278" t="str">
            <v>그랜드스타렉스12</v>
          </cell>
        </row>
        <row r="279">
          <cell r="A279" t="str">
            <v>투싼 AT</v>
          </cell>
        </row>
        <row r="280">
          <cell r="A280" t="str">
            <v>봉고 III 1.2톤카고</v>
          </cell>
        </row>
        <row r="281">
          <cell r="A281" t="str">
            <v>투싼 CRDI</v>
          </cell>
        </row>
        <row r="282">
          <cell r="A282" t="str">
            <v>카운티25</v>
          </cell>
        </row>
        <row r="283">
          <cell r="A283" t="str">
            <v>그레이스터보15인</v>
          </cell>
        </row>
        <row r="284">
          <cell r="A284" t="str">
            <v>그레이스터보15인승</v>
          </cell>
        </row>
        <row r="285">
          <cell r="A285" t="str">
            <v>포터II냉동탑차</v>
          </cell>
        </row>
        <row r="286">
          <cell r="A286" t="str">
            <v>봉고 III 코치15</v>
          </cell>
        </row>
        <row r="287">
          <cell r="A287" t="str">
            <v>봉고 III 1톤카고</v>
          </cell>
        </row>
        <row r="288">
          <cell r="A288" t="str">
            <v>봉고III 코치</v>
          </cell>
        </row>
        <row r="289">
          <cell r="A289" t="str">
            <v>봉고III 1톤</v>
          </cell>
        </row>
        <row r="290">
          <cell r="A290" t="str">
            <v>봉고 III 12인승</v>
          </cell>
        </row>
        <row r="291">
          <cell r="A291" t="str">
            <v>오텍파라메딕특수구급차</v>
          </cell>
        </row>
        <row r="292">
          <cell r="A292" t="str">
            <v>봉고 III 카고</v>
          </cell>
        </row>
        <row r="293">
          <cell r="A293" t="str">
            <v>스타렉스4wdAT</v>
          </cell>
        </row>
        <row r="294">
          <cell r="A294" t="str">
            <v>포터II 카고</v>
          </cell>
        </row>
        <row r="295">
          <cell r="A295" t="str">
            <v>프라이드1.6</v>
          </cell>
        </row>
        <row r="296">
          <cell r="A296" t="str">
            <v>스타렉스7인승</v>
          </cell>
        </row>
        <row r="297">
          <cell r="A297" t="str">
            <v>뉴스타렉스9</v>
          </cell>
        </row>
        <row r="298">
          <cell r="A298" t="str">
            <v>봉고III냉탑</v>
          </cell>
        </row>
        <row r="299">
          <cell r="A299" t="str">
            <v>프라이드해치백디젤</v>
          </cell>
        </row>
        <row r="300">
          <cell r="A300" t="str">
            <v>테라칸ex</v>
          </cell>
        </row>
        <row r="301">
          <cell r="A301" t="str">
            <v>라세티</v>
          </cell>
        </row>
        <row r="302">
          <cell r="A302" t="str">
            <v>뉴스타렉스12</v>
          </cell>
        </row>
        <row r="303">
          <cell r="A303" t="str">
            <v>봉고III코치</v>
          </cell>
        </row>
        <row r="304">
          <cell r="A304" t="str">
            <v>뉴스타렉스</v>
          </cell>
        </row>
        <row r="305">
          <cell r="A305" t="str">
            <v>테라칸 JX250</v>
          </cell>
        </row>
        <row r="306">
          <cell r="A306" t="str">
            <v>스타렉스4륜</v>
          </cell>
        </row>
        <row r="307">
          <cell r="A307" t="str">
            <v>뉴스타렉스사륜</v>
          </cell>
        </row>
        <row r="308">
          <cell r="A308" t="str">
            <v>라세티해치백가솔린</v>
          </cell>
        </row>
        <row r="309">
          <cell r="A309" t="str">
            <v>스타렉스사륜</v>
          </cell>
        </row>
        <row r="310">
          <cell r="A310" t="str">
            <v>갤로퍼II승합</v>
          </cell>
        </row>
        <row r="311">
          <cell r="A311" t="str">
            <v>갤로퍼</v>
          </cell>
        </row>
        <row r="312">
          <cell r="A312" t="str">
            <v>라세티해치백</v>
          </cell>
        </row>
        <row r="313">
          <cell r="A313" t="str">
            <v>뉴스타렉스12인승2륜</v>
          </cell>
        </row>
        <row r="314">
          <cell r="A314">
            <v>518</v>
          </cell>
        </row>
        <row r="315">
          <cell r="A315">
            <v>518</v>
          </cell>
        </row>
        <row r="316">
          <cell r="A316">
            <v>518</v>
          </cell>
        </row>
        <row r="317">
          <cell r="A317">
            <v>518</v>
          </cell>
        </row>
        <row r="318">
          <cell r="A318">
            <v>518</v>
          </cell>
        </row>
        <row r="319">
          <cell r="A319">
            <v>518</v>
          </cell>
        </row>
        <row r="320">
          <cell r="A320">
            <v>518</v>
          </cell>
        </row>
        <row r="321">
          <cell r="A321">
            <v>518</v>
          </cell>
        </row>
        <row r="322">
          <cell r="A322">
            <v>518</v>
          </cell>
        </row>
        <row r="323">
          <cell r="A323">
            <v>518</v>
          </cell>
        </row>
        <row r="324">
          <cell r="A324">
            <v>518</v>
          </cell>
        </row>
        <row r="325">
          <cell r="A325">
            <v>518</v>
          </cell>
        </row>
        <row r="326">
          <cell r="A326">
            <v>518</v>
          </cell>
        </row>
        <row r="327">
          <cell r="A327">
            <v>518</v>
          </cell>
        </row>
        <row r="328">
          <cell r="A328">
            <v>518</v>
          </cell>
        </row>
        <row r="329">
          <cell r="A329">
            <v>518</v>
          </cell>
        </row>
        <row r="330">
          <cell r="A330">
            <v>518</v>
          </cell>
        </row>
        <row r="331">
          <cell r="A331">
            <v>518</v>
          </cell>
        </row>
        <row r="332">
          <cell r="A332">
            <v>518</v>
          </cell>
        </row>
        <row r="333">
          <cell r="A333">
            <v>518</v>
          </cell>
        </row>
        <row r="334">
          <cell r="A334">
            <v>518</v>
          </cell>
        </row>
        <row r="335">
          <cell r="A335">
            <v>518</v>
          </cell>
        </row>
        <row r="336">
          <cell r="A336">
            <v>518</v>
          </cell>
        </row>
        <row r="337">
          <cell r="A337">
            <v>518</v>
          </cell>
        </row>
        <row r="338">
          <cell r="A338">
            <v>518</v>
          </cell>
        </row>
        <row r="339">
          <cell r="A339">
            <v>518</v>
          </cell>
        </row>
        <row r="340">
          <cell r="A340">
            <v>518</v>
          </cell>
        </row>
        <row r="341">
          <cell r="A341">
            <v>518</v>
          </cell>
        </row>
      </sheetData>
      <sheetData sheetId="2"/>
      <sheetData sheetId="3"/>
      <sheetData sheetId="4"/>
      <sheetData sheetId="5"/>
      <sheetData sheetId="6">
        <row r="2">
          <cell r="G2" t="str">
            <v>KJ1705-22</v>
          </cell>
        </row>
        <row r="3">
          <cell r="B3">
            <v>2017</v>
          </cell>
          <cell r="C3">
            <v>5</v>
          </cell>
          <cell r="G3">
            <v>5</v>
          </cell>
          <cell r="J3">
            <v>42856</v>
          </cell>
        </row>
        <row r="4">
          <cell r="J4">
            <v>5</v>
          </cell>
        </row>
        <row r="12">
          <cell r="B12">
            <v>5</v>
          </cell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  <cell r="R12">
            <v>0</v>
          </cell>
          <cell r="S12">
            <v>0</v>
          </cell>
          <cell r="T12">
            <v>31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B13">
            <v>0</v>
          </cell>
          <cell r="C13">
            <v>0</v>
          </cell>
          <cell r="D13" t="str">
            <v>매매계약서</v>
          </cell>
          <cell r="E13">
            <v>0</v>
          </cell>
          <cell r="F13">
            <v>0</v>
          </cell>
          <cell r="G13">
            <v>0</v>
          </cell>
          <cell r="H13" t="str">
            <v>재고</v>
          </cell>
          <cell r="I13">
            <v>284</v>
          </cell>
          <cell r="J13">
            <v>284</v>
          </cell>
          <cell r="K13">
            <v>284</v>
          </cell>
          <cell r="L13">
            <v>31</v>
          </cell>
          <cell r="M13">
            <v>31</v>
          </cell>
          <cell r="N13">
            <v>31</v>
          </cell>
          <cell r="Q13">
            <v>31</v>
          </cell>
          <cell r="R13">
            <v>31</v>
          </cell>
          <cell r="S13">
            <v>31</v>
          </cell>
          <cell r="T13">
            <v>31</v>
          </cell>
          <cell r="U13">
            <v>31</v>
          </cell>
          <cell r="V13">
            <v>31</v>
          </cell>
          <cell r="W13">
            <v>31</v>
          </cell>
          <cell r="X13">
            <v>31</v>
          </cell>
          <cell r="Y13">
            <v>31</v>
          </cell>
          <cell r="Z13">
            <v>31</v>
          </cell>
          <cell r="AB13">
            <v>31</v>
          </cell>
          <cell r="AC13">
            <v>31</v>
          </cell>
          <cell r="AD13">
            <v>31</v>
          </cell>
          <cell r="AE13">
            <v>31</v>
          </cell>
          <cell r="AF13">
            <v>31</v>
          </cell>
          <cell r="AG13">
            <v>31</v>
          </cell>
          <cell r="AH13">
            <v>31</v>
          </cell>
          <cell r="AI13">
            <v>31</v>
          </cell>
          <cell r="AJ13">
            <v>31</v>
          </cell>
          <cell r="AK13">
            <v>31</v>
          </cell>
          <cell r="AL13" t="str">
            <v>전체</v>
          </cell>
        </row>
        <row r="14">
          <cell r="B14" t="str">
            <v>구분입력</v>
          </cell>
          <cell r="C14" t="str">
            <v>2회사</v>
          </cell>
          <cell r="D14" t="str">
            <v>3번호</v>
          </cell>
          <cell r="E14" t="str">
            <v>4날짜</v>
          </cell>
          <cell r="F14" t="str">
            <v>5차번</v>
          </cell>
          <cell r="G14" t="str">
            <v>6차명</v>
          </cell>
          <cell r="H14" t="str">
            <v>7연식</v>
          </cell>
          <cell r="I14" t="str">
            <v>8세금계산서</v>
          </cell>
          <cell r="J14" t="str">
            <v>9면장액</v>
          </cell>
          <cell r="K14" t="str">
            <v>10영세율</v>
          </cell>
          <cell r="L14" t="str">
            <v>11등록번호</v>
          </cell>
          <cell r="M14" t="str">
            <v>12매출일</v>
          </cell>
          <cell r="N14" t="str">
            <v>13차대번호</v>
          </cell>
          <cell r="O14" t="str">
            <v>14말소일</v>
          </cell>
          <cell r="P14" t="str">
            <v>15관청</v>
          </cell>
          <cell r="Q14" t="str">
            <v>16메모</v>
          </cell>
          <cell r="R14" t="str">
            <v>17면장</v>
          </cell>
          <cell r="S14" t="str">
            <v>18면장번호</v>
          </cell>
          <cell r="T14" t="str">
            <v>선적
업체20</v>
          </cell>
          <cell r="U14" t="str">
            <v>b/l no.21</v>
          </cell>
          <cell r="V14" t="str">
            <v>21색깔</v>
          </cell>
          <cell r="W14" t="str">
            <v>도착지22</v>
          </cell>
          <cell r="X14" t="str">
            <v>매입처23</v>
          </cell>
          <cell r="Y14" t="str">
            <v>CONSIGNEE24</v>
          </cell>
          <cell r="Z14" t="str">
            <v>팩스25</v>
          </cell>
          <cell r="AA14" t="str">
            <v>전화번호26</v>
          </cell>
          <cell r="AB14" t="str">
            <v>실매입금27</v>
          </cell>
          <cell r="AC14" t="str">
            <v>선입금28</v>
          </cell>
          <cell r="AD14" t="str">
            <v>잔금29</v>
          </cell>
          <cell r="AE14" t="str">
            <v>실거래 차액30</v>
          </cell>
          <cell r="AF14" t="str">
            <v>차액받은날</v>
          </cell>
          <cell r="AG14" t="str">
            <v>수출이행32</v>
          </cell>
          <cell r="AH14" t="str">
            <v>계산서/환급33</v>
          </cell>
          <cell r="AI14" t="str">
            <v>차주성명34</v>
          </cell>
          <cell r="AJ14" t="str">
            <v>주민등록번호35</v>
          </cell>
          <cell r="AK14" t="str">
            <v>주소36</v>
          </cell>
          <cell r="AL14" t="str">
            <v>현재고</v>
          </cell>
        </row>
        <row r="15">
          <cell r="B15">
            <v>530</v>
          </cell>
          <cell r="C15" t="str">
            <v>성신</v>
          </cell>
          <cell r="D15" t="str">
            <v>1 / No.1</v>
          </cell>
          <cell r="E15">
            <v>42873.019456018519</v>
          </cell>
          <cell r="F15" t="str">
            <v>마티즈</v>
          </cell>
          <cell r="G15" t="str">
            <v xml:space="preserve">DAEWOO  MATIZ </v>
          </cell>
          <cell r="H15" t="str">
            <v>2001</v>
          </cell>
          <cell r="I15">
            <v>42873</v>
          </cell>
          <cell r="J15">
            <v>0</v>
          </cell>
          <cell r="K15">
            <v>1600000</v>
          </cell>
          <cell r="L15" t="str">
            <v>17소8195</v>
          </cell>
          <cell r="M15">
            <v>1600000</v>
          </cell>
          <cell r="N15" t="str">
            <v>KLY4A11BD1C726117</v>
          </cell>
          <cell r="O15">
            <v>42607</v>
          </cell>
          <cell r="P15" t="str">
            <v>인천광역시 연수구청장</v>
          </cell>
          <cell r="Q15">
            <v>42607</v>
          </cell>
          <cell r="R15">
            <v>42768</v>
          </cell>
          <cell r="S15">
            <v>4374</v>
          </cell>
          <cell r="T15">
            <v>4374</v>
          </cell>
          <cell r="U15">
            <v>4374</v>
          </cell>
          <cell r="V15">
            <v>4374</v>
          </cell>
          <cell r="W15" t="str">
            <v>UZB</v>
          </cell>
          <cell r="X15" t="str">
            <v>구자견 이사</v>
          </cell>
          <cell r="Y15" t="str">
            <v/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 t="str">
            <v>개인</v>
          </cell>
          <cell r="AI15" t="str">
            <v>김용식</v>
          </cell>
          <cell r="AJ15" t="str">
            <v>650704-1471211</v>
          </cell>
          <cell r="AK15" t="str">
            <v>인천시 부평구 장제로 28번길</v>
          </cell>
          <cell r="AL15" t="str">
            <v>SSYA1701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  <sheetName val="12_(3)"/>
      <sheetName val="2_(2)"/>
      <sheetName val="4_(2)"/>
      <sheetName val="5_(2)"/>
      <sheetName val="6_(2)"/>
      <sheetName val="7_(2)"/>
      <sheetName val="8_(2)"/>
      <sheetName val="9_(2)"/>
      <sheetName val="10_(2)"/>
      <sheetName val="11_(2)"/>
      <sheetName val="12_(2)"/>
      <sheetName val="12_(3)1"/>
      <sheetName val="2_(2)1"/>
      <sheetName val="4_(2)1"/>
      <sheetName val="5_(2)1"/>
      <sheetName val="6_(2)1"/>
      <sheetName val="7_(2)1"/>
      <sheetName val="8_(2)1"/>
      <sheetName val="9_(2)1"/>
      <sheetName val="10_(2)1"/>
      <sheetName val="11_(2)1"/>
      <sheetName val="12_(2)1"/>
      <sheetName val="12_(3)2"/>
      <sheetName val="2_(2)2"/>
      <sheetName val="4_(2)2"/>
      <sheetName val="5_(2)2"/>
      <sheetName val="6_(2)2"/>
      <sheetName val="7_(2)2"/>
      <sheetName val="8_(2)2"/>
      <sheetName val="9_(2)2"/>
      <sheetName val="10_(2)2"/>
      <sheetName val="11_(2)2"/>
      <sheetName val="12_(2)2"/>
      <sheetName val="12_(3)3"/>
      <sheetName val="2_(2)3"/>
      <sheetName val="4_(2)3"/>
      <sheetName val="5_(2)3"/>
      <sheetName val="6_(2)3"/>
      <sheetName val="7_(2)3"/>
      <sheetName val="8_(2)3"/>
      <sheetName val="9_(2)3"/>
      <sheetName val="10_(2)3"/>
      <sheetName val="11_(2)3"/>
      <sheetName val="12_(2)3"/>
      <sheetName val="12_(3)4"/>
      <sheetName val="2_(2)4"/>
      <sheetName val="4_(2)4"/>
      <sheetName val="5_(2)4"/>
      <sheetName val="6_(2)4"/>
      <sheetName val="7_(2)4"/>
      <sheetName val="8_(2)4"/>
      <sheetName val="9_(2)4"/>
      <sheetName val="10_(2)4"/>
      <sheetName val="11_(2)4"/>
      <sheetName val="12_(2)4"/>
      <sheetName val="12_(3)5"/>
      <sheetName val="2_(2)5"/>
      <sheetName val="4_(2)5"/>
      <sheetName val="5_(2)5"/>
      <sheetName val="6_(2)5"/>
      <sheetName val="7_(2)5"/>
      <sheetName val="8_(2)5"/>
      <sheetName val="9_(2)5"/>
      <sheetName val="10_(2)5"/>
      <sheetName val="11_(2)5"/>
      <sheetName val="12_(2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</sheetNames>
    <sheetDataSet>
      <sheetData sheetId="0"/>
      <sheetData sheetId="1">
        <row r="4">
          <cell r="A4" t="str">
            <v>차명</v>
          </cell>
        </row>
        <row r="5">
          <cell r="A5" t="str">
            <v>엑센트1495</v>
          </cell>
        </row>
        <row r="6">
          <cell r="A6" t="str">
            <v>엑센트1396</v>
          </cell>
        </row>
        <row r="7">
          <cell r="A7" t="str">
            <v>엑센트1341</v>
          </cell>
        </row>
        <row r="8">
          <cell r="A8" t="str">
            <v>엑센트1591</v>
          </cell>
        </row>
        <row r="9">
          <cell r="A9" t="str">
            <v>엑센트1368</v>
          </cell>
        </row>
        <row r="10">
          <cell r="A10" t="str">
            <v>엑센트1582</v>
          </cell>
        </row>
        <row r="11">
          <cell r="A11" t="str">
            <v>엑센트</v>
          </cell>
        </row>
        <row r="12">
          <cell r="A12" t="str">
            <v>아반떼</v>
          </cell>
        </row>
        <row r="13">
          <cell r="A13" t="str">
            <v>md</v>
          </cell>
        </row>
        <row r="14">
          <cell r="A14" t="str">
            <v>아반떼오토</v>
          </cell>
        </row>
        <row r="15">
          <cell r="A15" t="str">
            <v>hd</v>
          </cell>
        </row>
        <row r="16">
          <cell r="A16" t="str">
            <v>xd</v>
          </cell>
        </row>
        <row r="17">
          <cell r="A17" t="str">
            <v>뉴아반떼</v>
          </cell>
        </row>
        <row r="18">
          <cell r="A18" t="str">
            <v>클릭</v>
          </cell>
        </row>
        <row r="19">
          <cell r="A19" t="str">
            <v>뉴클릭</v>
          </cell>
        </row>
        <row r="20">
          <cell r="A20" t="str">
            <v>엘란트라</v>
          </cell>
        </row>
        <row r="21">
          <cell r="A21" t="str">
            <v>그레이스</v>
          </cell>
        </row>
        <row r="22">
          <cell r="A22" t="str">
            <v>그레이스9</v>
          </cell>
        </row>
        <row r="23">
          <cell r="A23" t="str">
            <v>그레이스12</v>
          </cell>
        </row>
        <row r="24">
          <cell r="A24">
            <v>0</v>
          </cell>
        </row>
        <row r="25">
          <cell r="A25" t="str">
            <v>그레이스15</v>
          </cell>
        </row>
        <row r="26">
          <cell r="A26">
            <v>0</v>
          </cell>
        </row>
        <row r="27">
          <cell r="A27" t="str">
            <v>그레이스6밴</v>
          </cell>
        </row>
        <row r="28">
          <cell r="A28" t="str">
            <v>그레이스
장축6밴</v>
          </cell>
        </row>
        <row r="29">
          <cell r="A29" t="str">
            <v>그레이스
장축3밴</v>
          </cell>
        </row>
        <row r="30">
          <cell r="A30">
            <v>0</v>
          </cell>
        </row>
        <row r="31">
          <cell r="A31" t="str">
            <v>마이티 2.5톤</v>
          </cell>
        </row>
        <row r="32">
          <cell r="A32" t="str">
            <v>마이티</v>
          </cell>
        </row>
        <row r="33">
          <cell r="A33" t="str">
            <v>마이티2 터보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 t="str">
            <v>그랜드스타렉스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 t="str">
            <v>포터초장축더블캡</v>
          </cell>
        </row>
        <row r="51">
          <cell r="A51" t="str">
            <v>포터초장축슈퍼캡</v>
          </cell>
        </row>
        <row r="52">
          <cell r="A52">
            <v>0</v>
          </cell>
        </row>
        <row r="53">
          <cell r="A53" t="str">
            <v>포터</v>
          </cell>
        </row>
        <row r="54">
          <cell r="A54" t="str">
            <v>포터장축켑</v>
          </cell>
        </row>
        <row r="55">
          <cell r="A55" t="str">
            <v>포터초장축</v>
          </cell>
        </row>
        <row r="56">
          <cell r="A56" t="str">
            <v>포터2</v>
          </cell>
        </row>
        <row r="57">
          <cell r="A57">
            <v>0</v>
          </cell>
        </row>
        <row r="58">
          <cell r="A58" t="str">
            <v>포터2내장탑</v>
          </cell>
        </row>
        <row r="59">
          <cell r="A59" t="str">
            <v>포터2냉동탑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현대5톤트럭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 t="str">
            <v>스타렉스</v>
          </cell>
        </row>
        <row r="68">
          <cell r="A68" t="str">
            <v>스타렉스인터쿨러9</v>
          </cell>
        </row>
        <row r="69">
          <cell r="A69" t="str">
            <v>스타렉스9</v>
          </cell>
        </row>
        <row r="70">
          <cell r="A70">
            <v>0</v>
          </cell>
        </row>
        <row r="71">
          <cell r="A71" t="str">
            <v>스타렉스12</v>
          </cell>
        </row>
        <row r="72">
          <cell r="A72">
            <v>0</v>
          </cell>
        </row>
        <row r="73">
          <cell r="A73" t="str">
            <v>스타렉스6</v>
          </cell>
        </row>
        <row r="74">
          <cell r="A74">
            <v>0</v>
          </cell>
        </row>
        <row r="75">
          <cell r="A75" t="str">
            <v>스타렉스터보롱12</v>
          </cell>
        </row>
        <row r="76">
          <cell r="A76" t="str">
            <v>스타렉스4륜</v>
          </cell>
        </row>
        <row r="77">
          <cell r="A77">
            <v>0</v>
          </cell>
        </row>
        <row r="78">
          <cell r="A78" t="str">
            <v>테라칸</v>
          </cell>
        </row>
        <row r="79">
          <cell r="A79">
            <v>0</v>
          </cell>
        </row>
        <row r="80">
          <cell r="A80" t="str">
            <v>베르나</v>
          </cell>
        </row>
        <row r="81">
          <cell r="A81" t="str">
            <v>뉴베르나</v>
          </cell>
        </row>
        <row r="82">
          <cell r="A82" t="str">
            <v>베르나하이브리드</v>
          </cell>
        </row>
        <row r="83">
          <cell r="A83">
            <v>0</v>
          </cell>
        </row>
        <row r="84">
          <cell r="A84" t="str">
            <v>카운티</v>
          </cell>
        </row>
        <row r="85">
          <cell r="A85" t="str">
            <v>이-카운티</v>
          </cell>
        </row>
        <row r="86">
          <cell r="A86" t="str">
            <v>벨로스터</v>
          </cell>
        </row>
        <row r="87">
          <cell r="A87" t="str">
            <v>베르나</v>
          </cell>
        </row>
        <row r="88">
          <cell r="A88" t="str">
            <v>아토스</v>
          </cell>
        </row>
        <row r="89">
          <cell r="A89" t="str">
            <v>라비타</v>
          </cell>
        </row>
        <row r="90">
          <cell r="A90">
            <v>0</v>
          </cell>
        </row>
        <row r="91">
          <cell r="A91" t="str">
            <v>투싼</v>
          </cell>
        </row>
        <row r="92">
          <cell r="A92" t="str">
            <v>투스카니</v>
          </cell>
        </row>
        <row r="93">
          <cell r="A93" t="str">
            <v>티뷰론터뷸런스</v>
          </cell>
        </row>
        <row r="94">
          <cell r="A94">
            <v>0</v>
          </cell>
        </row>
        <row r="95">
          <cell r="A95" t="str">
            <v>쏘나타</v>
          </cell>
        </row>
        <row r="96">
          <cell r="A96" t="str">
            <v>ef쏘나타</v>
          </cell>
        </row>
        <row r="97">
          <cell r="A97">
            <v>0</v>
          </cell>
        </row>
        <row r="98">
          <cell r="A98" t="str">
            <v>뉴EF쏘나타</v>
          </cell>
        </row>
        <row r="99">
          <cell r="A99" t="str">
            <v>뉴EF쏘나타골드</v>
          </cell>
        </row>
        <row r="100">
          <cell r="A100" t="str">
            <v>쏘나타 하이브리드</v>
          </cell>
        </row>
        <row r="101">
          <cell r="A101">
            <v>0</v>
          </cell>
        </row>
        <row r="102">
          <cell r="A102" t="str">
            <v>에쿠스</v>
          </cell>
        </row>
        <row r="103">
          <cell r="A103" t="str">
            <v>i30</v>
          </cell>
        </row>
        <row r="104">
          <cell r="A104">
            <v>0</v>
          </cell>
        </row>
        <row r="105">
          <cell r="A105" t="str">
            <v>싼타페</v>
          </cell>
        </row>
        <row r="106">
          <cell r="A106" t="str">
            <v>그랜저</v>
          </cell>
        </row>
        <row r="107">
          <cell r="A107" t="str">
            <v>그랜저XG</v>
          </cell>
        </row>
        <row r="108">
          <cell r="A108" t="str">
            <v>뉴그랜저XG</v>
          </cell>
        </row>
        <row r="109">
          <cell r="A109" t="str">
            <v>그랜저TG</v>
          </cell>
        </row>
        <row r="110">
          <cell r="A110" t="str">
            <v>로체</v>
          </cell>
        </row>
        <row r="111">
          <cell r="A111" t="str">
            <v>포르테</v>
          </cell>
        </row>
        <row r="112">
          <cell r="A112" t="str">
            <v>포르테쿱</v>
          </cell>
        </row>
        <row r="113">
          <cell r="A113" t="str">
            <v>봉고</v>
          </cell>
        </row>
        <row r="114">
          <cell r="A114">
            <v>0</v>
          </cell>
        </row>
        <row r="115">
          <cell r="A115" t="str">
            <v>델타</v>
          </cell>
        </row>
        <row r="116">
          <cell r="A116" t="str">
            <v>아벨라</v>
          </cell>
        </row>
        <row r="117">
          <cell r="A117" t="str">
            <v>쎄라토</v>
          </cell>
        </row>
        <row r="118">
          <cell r="A118" t="str">
            <v>k5</v>
          </cell>
        </row>
        <row r="119">
          <cell r="A119" t="str">
            <v>k5 하이브리드</v>
          </cell>
        </row>
        <row r="120">
          <cell r="A120" t="str">
            <v>리오</v>
          </cell>
        </row>
        <row r="121">
          <cell r="A121" t="str">
            <v>리오RX-V</v>
          </cell>
        </row>
        <row r="122">
          <cell r="A122" t="str">
            <v>리오sf</v>
          </cell>
        </row>
        <row r="123">
          <cell r="A123" t="str">
            <v>세피아</v>
          </cell>
        </row>
        <row r="124">
          <cell r="A124" t="str">
            <v>세피아2</v>
          </cell>
        </row>
        <row r="125">
          <cell r="A125" t="str">
            <v>세피아오토</v>
          </cell>
        </row>
        <row r="126">
          <cell r="A126" t="str">
            <v>스펙트라</v>
          </cell>
        </row>
        <row r="127">
          <cell r="A127" t="str">
            <v>스펙트라윙</v>
          </cell>
        </row>
        <row r="128">
          <cell r="A128" t="str">
            <v>비스토</v>
          </cell>
        </row>
        <row r="129">
          <cell r="A129" t="str">
            <v>슈마</v>
          </cell>
        </row>
        <row r="130">
          <cell r="A130" t="str">
            <v>프라이드웨곤</v>
          </cell>
        </row>
        <row r="131">
          <cell r="A131" t="str">
            <v>프라이드</v>
          </cell>
        </row>
        <row r="132">
          <cell r="A132">
            <v>0</v>
          </cell>
        </row>
        <row r="133">
          <cell r="A133" t="str">
            <v>프런티어</v>
          </cell>
        </row>
        <row r="134">
          <cell r="A134">
            <v>0</v>
          </cell>
        </row>
        <row r="135">
          <cell r="A135" t="str">
            <v>스포티지</v>
          </cell>
        </row>
        <row r="136">
          <cell r="A136" t="str">
            <v>오텍봉고킹캡</v>
          </cell>
        </row>
        <row r="137">
          <cell r="A137" t="str">
            <v>프런티어1.3톤</v>
          </cell>
        </row>
        <row r="138">
          <cell r="A138" t="str">
            <v>오텍봉고킹캡</v>
          </cell>
        </row>
        <row r="139">
          <cell r="A139">
            <v>0</v>
          </cell>
        </row>
        <row r="140">
          <cell r="A140" t="str">
            <v>프런티어1.4톤</v>
          </cell>
        </row>
        <row r="141">
          <cell r="A141" t="str">
            <v>봉고킹캡</v>
          </cell>
        </row>
        <row r="142">
          <cell r="A142">
            <v>0</v>
          </cell>
        </row>
        <row r="143">
          <cell r="A143" t="str">
            <v>오텍프런티어</v>
          </cell>
        </row>
        <row r="144">
          <cell r="A144">
            <v>0</v>
          </cell>
        </row>
        <row r="145">
          <cell r="A145" t="str">
            <v>봉고3</v>
          </cell>
        </row>
        <row r="146">
          <cell r="A146" t="str">
            <v>봉고3 1.2</v>
          </cell>
        </row>
        <row r="147">
          <cell r="A147" t="str">
            <v>봉고3 1.4</v>
          </cell>
        </row>
        <row r="148">
          <cell r="A148" t="str">
            <v>봉고3 1톤</v>
          </cell>
        </row>
        <row r="149">
          <cell r="A149" t="str">
            <v>봉고3 카고</v>
          </cell>
        </row>
        <row r="150">
          <cell r="A150" t="str">
            <v>봉고3 플러스</v>
          </cell>
        </row>
        <row r="151">
          <cell r="A151" t="str">
            <v>봉고프런티어킹캡</v>
          </cell>
        </row>
        <row r="152">
          <cell r="A152" t="str">
            <v>봉고프런티어4륜</v>
          </cell>
        </row>
        <row r="153">
          <cell r="A153" t="str">
            <v>봉고프런티어</v>
          </cell>
        </row>
        <row r="154">
          <cell r="A154" t="str">
            <v>봉고3 탑</v>
          </cell>
        </row>
        <row r="155">
          <cell r="A155" t="str">
            <v>봉고 트런티어 탑</v>
          </cell>
        </row>
        <row r="156">
          <cell r="A156" t="str">
            <v>봉고프런티어 GLS</v>
          </cell>
        </row>
        <row r="157">
          <cell r="A157" t="str">
            <v>마티즈</v>
          </cell>
        </row>
        <row r="158">
          <cell r="A158" t="str">
            <v>마티즈0.8at</v>
          </cell>
        </row>
        <row r="159">
          <cell r="A159" t="str">
            <v>마티즈0.8mt</v>
          </cell>
        </row>
        <row r="160">
          <cell r="A160" t="str">
            <v>마티즈밴 AT</v>
          </cell>
        </row>
        <row r="161">
          <cell r="A161">
            <v>0</v>
          </cell>
        </row>
        <row r="162">
          <cell r="A162" t="str">
            <v>윈스톰</v>
          </cell>
        </row>
        <row r="163">
          <cell r="A163" t="str">
            <v>라노스1.3</v>
          </cell>
        </row>
        <row r="164">
          <cell r="A164" t="str">
            <v>라노스1.5</v>
          </cell>
        </row>
        <row r="165">
          <cell r="A165" t="str">
            <v>라노스해치백1.3</v>
          </cell>
        </row>
        <row r="166">
          <cell r="A166" t="str">
            <v>라노스해치백1.5</v>
          </cell>
        </row>
        <row r="167">
          <cell r="A167" t="str">
            <v>라노스</v>
          </cell>
        </row>
        <row r="168">
          <cell r="A168">
            <v>0</v>
          </cell>
        </row>
        <row r="169">
          <cell r="A169" t="str">
            <v>매그너스</v>
          </cell>
        </row>
        <row r="170">
          <cell r="A170">
            <v>0</v>
          </cell>
        </row>
        <row r="171">
          <cell r="A171" t="str">
            <v>누비라1.5</v>
          </cell>
        </row>
        <row r="172">
          <cell r="A172">
            <v>0</v>
          </cell>
        </row>
        <row r="173">
          <cell r="A173" t="str">
            <v>라세티1.6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 t="str">
            <v>라세티5</v>
          </cell>
        </row>
        <row r="177">
          <cell r="A177" t="str">
            <v>라세티5 mt</v>
          </cell>
        </row>
        <row r="178">
          <cell r="A178">
            <v>0</v>
          </cell>
        </row>
        <row r="179">
          <cell r="A179" t="str">
            <v>라세티1.5</v>
          </cell>
        </row>
        <row r="180">
          <cell r="A180">
            <v>0</v>
          </cell>
        </row>
        <row r="181">
          <cell r="A181" t="str">
            <v>젠트라1.5</v>
          </cell>
        </row>
        <row r="182">
          <cell r="A182" t="str">
            <v>젠트라1.6</v>
          </cell>
        </row>
        <row r="183">
          <cell r="A183" t="str">
            <v>젠트라1.2</v>
          </cell>
        </row>
        <row r="184">
          <cell r="A184" t="str">
            <v>칼로스1.5</v>
          </cell>
        </row>
        <row r="185">
          <cell r="A185" t="str">
            <v>칼로스1.2</v>
          </cell>
        </row>
        <row r="186">
          <cell r="A186" t="str">
            <v>칼로스1.5</v>
          </cell>
        </row>
        <row r="187">
          <cell r="A187" t="str">
            <v>티코</v>
          </cell>
        </row>
        <row r="188">
          <cell r="A188" t="str">
            <v>다마스</v>
          </cell>
        </row>
        <row r="189">
          <cell r="A189" t="str">
            <v>다마스밴</v>
          </cell>
        </row>
        <row r="190">
          <cell r="A190" t="str">
            <v>다마스5</v>
          </cell>
        </row>
        <row r="191">
          <cell r="A191" t="str">
            <v>다마스7</v>
          </cell>
        </row>
        <row r="192">
          <cell r="A192" t="str">
            <v>레간자</v>
          </cell>
        </row>
        <row r="193">
          <cell r="A193" t="str">
            <v>레간자2.0</v>
          </cell>
        </row>
        <row r="194">
          <cell r="A194" t="str">
            <v>라보</v>
          </cell>
        </row>
        <row r="195">
          <cell r="A195" t="str">
            <v>라보롱카고</v>
          </cell>
        </row>
        <row r="196">
          <cell r="A196">
            <v>0</v>
          </cell>
        </row>
        <row r="197">
          <cell r="A197" t="str">
            <v>라보5MT</v>
          </cell>
        </row>
        <row r="198">
          <cell r="A198" t="str">
            <v>CR-V</v>
          </cell>
        </row>
        <row r="199">
          <cell r="A199" t="str">
            <v>쏘울</v>
          </cell>
        </row>
        <row r="200">
          <cell r="A200" t="str">
            <v>모닝</v>
          </cell>
        </row>
        <row r="201">
          <cell r="A201" t="str">
            <v>쏘렌토</v>
          </cell>
        </row>
        <row r="202">
          <cell r="A202" t="str">
            <v>쏘렌토gl</v>
          </cell>
        </row>
        <row r="203">
          <cell r="A203" t="str">
            <v>쏘렌토GLS</v>
          </cell>
        </row>
        <row r="204">
          <cell r="A204">
            <v>0</v>
          </cell>
        </row>
        <row r="205">
          <cell r="A205" t="str">
            <v>파맥스</v>
          </cell>
        </row>
        <row r="206">
          <cell r="A206" t="str">
            <v>타우너</v>
          </cell>
        </row>
        <row r="207">
          <cell r="A207" t="str">
            <v>프레지오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 t="str">
            <v>오피러스</v>
          </cell>
        </row>
        <row r="213">
          <cell r="A213" t="str">
            <v>옵티마</v>
          </cell>
        </row>
        <row r="214">
          <cell r="A214" t="str">
            <v>옵티마리갈</v>
          </cell>
        </row>
        <row r="215">
          <cell r="A215" t="str">
            <v>sm3</v>
          </cell>
        </row>
        <row r="216">
          <cell r="A216">
            <v>520</v>
          </cell>
        </row>
        <row r="217">
          <cell r="A217" t="str">
            <v>520 LPG</v>
          </cell>
        </row>
        <row r="218">
          <cell r="A218">
            <v>518</v>
          </cell>
        </row>
        <row r="219">
          <cell r="A219" t="str">
            <v>525V</v>
          </cell>
        </row>
        <row r="220">
          <cell r="A220" t="str">
            <v>520v</v>
          </cell>
        </row>
        <row r="221">
          <cell r="A221">
            <v>0</v>
          </cell>
        </row>
        <row r="222">
          <cell r="A222" t="str">
            <v>시에로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 t="str">
            <v>bmw525i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 t="str">
            <v>무쏘</v>
          </cell>
        </row>
        <row r="236">
          <cell r="A236" t="str">
            <v>뉴무쏘</v>
          </cell>
        </row>
        <row r="237">
          <cell r="A237" t="str">
            <v>카니발</v>
          </cell>
        </row>
        <row r="238">
          <cell r="A238" t="str">
            <v>카니발2</v>
          </cell>
        </row>
        <row r="239">
          <cell r="A239" t="str">
            <v>카렌스</v>
          </cell>
        </row>
        <row r="240">
          <cell r="A240" t="str">
            <v>렉스턴</v>
          </cell>
        </row>
        <row r="241">
          <cell r="A241" t="str">
            <v>체어맨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 t="str">
            <v>이스타나</v>
          </cell>
        </row>
        <row r="245">
          <cell r="A245" t="str">
            <v>이스타나15</v>
          </cell>
        </row>
        <row r="246">
          <cell r="A246" t="str">
            <v>이스타나12</v>
          </cell>
        </row>
        <row r="247">
          <cell r="A247" t="str">
            <v>이스타나6밴</v>
          </cell>
        </row>
        <row r="248">
          <cell r="A248" t="str">
            <v>엑티언</v>
          </cell>
        </row>
        <row r="249">
          <cell r="A249" t="str">
            <v>엑티언스포츠</v>
          </cell>
        </row>
        <row r="250">
          <cell r="A250" t="str">
            <v>코란도</v>
          </cell>
        </row>
        <row r="251">
          <cell r="A251" t="str">
            <v>렉서스ES330</v>
          </cell>
        </row>
        <row r="252">
          <cell r="A252" t="str">
            <v>렉서스ES350</v>
          </cell>
        </row>
        <row r="253">
          <cell r="A253" t="str">
            <v>렉서스LS430</v>
          </cell>
        </row>
        <row r="254">
          <cell r="A254" t="str">
            <v>렉서스GS300</v>
          </cell>
        </row>
        <row r="255">
          <cell r="A255" t="str">
            <v>렉서스LS460</v>
          </cell>
        </row>
        <row r="256">
          <cell r="A256" t="str">
            <v>렉서스LS460L</v>
          </cell>
        </row>
        <row r="257">
          <cell r="A257" t="str">
            <v>벤츠 C-240</v>
          </cell>
        </row>
        <row r="258">
          <cell r="A258" t="str">
            <v>아우디a6</v>
          </cell>
        </row>
        <row r="259">
          <cell r="A259" t="str">
            <v>아우디a4</v>
          </cell>
        </row>
        <row r="260">
          <cell r="A260" t="str">
            <v>엑센트</v>
          </cell>
        </row>
        <row r="261">
          <cell r="A261" t="str">
            <v>스타렉스인터쿨러9인4WD</v>
          </cell>
        </row>
        <row r="262">
          <cell r="A262" t="str">
            <v>스타렉스9</v>
          </cell>
        </row>
        <row r="263">
          <cell r="A263" t="str">
            <v>뉴스타렉스4륜AT</v>
          </cell>
        </row>
        <row r="264">
          <cell r="A264" t="str">
            <v>스타렉스인터쿨러단축9인</v>
          </cell>
        </row>
        <row r="265">
          <cell r="A265" t="str">
            <v>프라이드해치백</v>
          </cell>
        </row>
        <row r="266">
          <cell r="A266" t="str">
            <v>싼타페AT</v>
          </cell>
        </row>
        <row r="267">
          <cell r="A267" t="str">
            <v>뉴스타렉스12</v>
          </cell>
        </row>
        <row r="268">
          <cell r="A268" t="str">
            <v>포터II냉동탑차</v>
          </cell>
        </row>
        <row r="269">
          <cell r="A269" t="str">
            <v>포터II슈퍼캡냉동탑차</v>
          </cell>
        </row>
        <row r="270">
          <cell r="A270" t="str">
            <v>다마스5인승</v>
          </cell>
        </row>
        <row r="271">
          <cell r="A271" t="str">
            <v>카운티25</v>
          </cell>
        </row>
        <row r="272">
          <cell r="A272" t="str">
            <v>프라이드가솔린해치</v>
          </cell>
        </row>
        <row r="273">
          <cell r="A273" t="str">
            <v>봉고 III 코치15</v>
          </cell>
        </row>
        <row r="274">
          <cell r="A274" t="str">
            <v>그레이스15인승</v>
          </cell>
        </row>
        <row r="275">
          <cell r="A275" t="str">
            <v>프라이드해치백디젤</v>
          </cell>
        </row>
        <row r="276">
          <cell r="A276" t="str">
            <v>올뉴마티즈</v>
          </cell>
        </row>
        <row r="277">
          <cell r="A277" t="str">
            <v>갤로퍼</v>
          </cell>
        </row>
        <row r="278">
          <cell r="A278" t="str">
            <v>그랜드스타렉스12</v>
          </cell>
        </row>
        <row r="279">
          <cell r="A279" t="str">
            <v>투싼 AT</v>
          </cell>
        </row>
        <row r="280">
          <cell r="A280" t="str">
            <v>봉고 III 1.2톤카고</v>
          </cell>
        </row>
        <row r="281">
          <cell r="A281" t="str">
            <v>투싼 CRDI</v>
          </cell>
        </row>
        <row r="282">
          <cell r="A282" t="str">
            <v>카운티25</v>
          </cell>
        </row>
        <row r="283">
          <cell r="A283" t="str">
            <v>그레이스터보15인</v>
          </cell>
        </row>
        <row r="284">
          <cell r="A284" t="str">
            <v>그레이스터보15인승</v>
          </cell>
        </row>
        <row r="285">
          <cell r="A285" t="str">
            <v>포터II냉동탑차</v>
          </cell>
        </row>
        <row r="286">
          <cell r="A286" t="str">
            <v>봉고 III 코치15</v>
          </cell>
        </row>
        <row r="287">
          <cell r="A287" t="str">
            <v>봉고 III 1톤카고</v>
          </cell>
        </row>
        <row r="288">
          <cell r="A288" t="str">
            <v>봉고III 코치</v>
          </cell>
        </row>
        <row r="289">
          <cell r="A289" t="str">
            <v>봉고III 1톤</v>
          </cell>
        </row>
        <row r="290">
          <cell r="A290" t="str">
            <v>봉고 III 12인승</v>
          </cell>
        </row>
        <row r="291">
          <cell r="A291" t="str">
            <v>오텍파라메딕특수구급차</v>
          </cell>
        </row>
        <row r="292">
          <cell r="A292" t="str">
            <v>봉고 III 카고</v>
          </cell>
        </row>
        <row r="293">
          <cell r="A293" t="str">
            <v>스타렉스4wdAT</v>
          </cell>
        </row>
        <row r="294">
          <cell r="A294" t="str">
            <v>포터II 카고</v>
          </cell>
        </row>
        <row r="295">
          <cell r="A295" t="str">
            <v>프라이드1.6</v>
          </cell>
        </row>
        <row r="296">
          <cell r="A296" t="str">
            <v>스타렉스7인승</v>
          </cell>
        </row>
        <row r="297">
          <cell r="A297" t="str">
            <v>뉴스타렉스9</v>
          </cell>
        </row>
        <row r="298">
          <cell r="A298" t="str">
            <v>봉고III냉탑</v>
          </cell>
        </row>
        <row r="299">
          <cell r="A299" t="str">
            <v>프라이드해치백디젤</v>
          </cell>
        </row>
        <row r="300">
          <cell r="A300" t="str">
            <v>테라칸ex</v>
          </cell>
        </row>
        <row r="301">
          <cell r="A301" t="str">
            <v>라세티</v>
          </cell>
        </row>
        <row r="302">
          <cell r="A302" t="str">
            <v>뉴스타렉스12</v>
          </cell>
        </row>
        <row r="303">
          <cell r="A303" t="str">
            <v>봉고III코치</v>
          </cell>
        </row>
        <row r="304">
          <cell r="A304" t="str">
            <v>뉴스타렉스</v>
          </cell>
        </row>
        <row r="305">
          <cell r="A305" t="str">
            <v>테라칸 JX250</v>
          </cell>
        </row>
        <row r="306">
          <cell r="A306" t="str">
            <v>스타렉스4륜</v>
          </cell>
        </row>
        <row r="307">
          <cell r="A307" t="str">
            <v>뉴스타렉스사륜</v>
          </cell>
        </row>
        <row r="308">
          <cell r="A308" t="str">
            <v>라세티해치백가솔린</v>
          </cell>
        </row>
        <row r="309">
          <cell r="A309" t="str">
            <v>스타렉스사륜</v>
          </cell>
        </row>
        <row r="310">
          <cell r="A310" t="str">
            <v>갤로퍼II승합</v>
          </cell>
        </row>
        <row r="311">
          <cell r="A311" t="str">
            <v>갤로퍼</v>
          </cell>
        </row>
        <row r="312">
          <cell r="A312" t="str">
            <v>라세티해치백</v>
          </cell>
        </row>
        <row r="313">
          <cell r="A313" t="str">
            <v>뉴스타렉스12인승2륜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</sheetData>
      <sheetData sheetId="2"/>
      <sheetData sheetId="3"/>
      <sheetData sheetId="4"/>
      <sheetData sheetId="5"/>
      <sheetData sheetId="6">
        <row r="2">
          <cell r="G2" t="str">
            <v>C142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tm@certus.gmbh" TargetMode="External"/><Relationship Id="rId13" Type="http://schemas.openxmlformats.org/officeDocument/2006/relationships/hyperlink" Target="mailto:tm@certus.gmbh" TargetMode="External"/><Relationship Id="rId18" Type="http://schemas.openxmlformats.org/officeDocument/2006/relationships/hyperlink" Target="mailto:tm@certus.gmbh" TargetMode="External"/><Relationship Id="rId3" Type="http://schemas.openxmlformats.org/officeDocument/2006/relationships/hyperlink" Target="mailto:tm@certus.gmbh" TargetMode="External"/><Relationship Id="rId7" Type="http://schemas.openxmlformats.org/officeDocument/2006/relationships/hyperlink" Target="mailto:tm@certus.gmbh" TargetMode="External"/><Relationship Id="rId12" Type="http://schemas.openxmlformats.org/officeDocument/2006/relationships/hyperlink" Target="mailto:tm@certus.gmbh" TargetMode="External"/><Relationship Id="rId17" Type="http://schemas.openxmlformats.org/officeDocument/2006/relationships/hyperlink" Target="mailto:tm@certus.gmbh" TargetMode="External"/><Relationship Id="rId2" Type="http://schemas.openxmlformats.org/officeDocument/2006/relationships/hyperlink" Target="mailto:tm@certus.gmbh" TargetMode="External"/><Relationship Id="rId16" Type="http://schemas.openxmlformats.org/officeDocument/2006/relationships/hyperlink" Target="mailto:tm@certus.gmbh" TargetMode="External"/><Relationship Id="rId1" Type="http://schemas.openxmlformats.org/officeDocument/2006/relationships/hyperlink" Target="mailto:tm@certus.gmbh" TargetMode="External"/><Relationship Id="rId6" Type="http://schemas.openxmlformats.org/officeDocument/2006/relationships/hyperlink" Target="mailto:tm@certus.gmbh" TargetMode="External"/><Relationship Id="rId11" Type="http://schemas.openxmlformats.org/officeDocument/2006/relationships/hyperlink" Target="mailto:tm@certus.gmbh" TargetMode="External"/><Relationship Id="rId5" Type="http://schemas.openxmlformats.org/officeDocument/2006/relationships/hyperlink" Target="mailto:tm@certus.gmbh" TargetMode="External"/><Relationship Id="rId15" Type="http://schemas.openxmlformats.org/officeDocument/2006/relationships/hyperlink" Target="mailto:tm@certus.gmbh" TargetMode="External"/><Relationship Id="rId10" Type="http://schemas.openxmlformats.org/officeDocument/2006/relationships/hyperlink" Target="mailto:tm@certus.gmbh" TargetMode="External"/><Relationship Id="rId19" Type="http://schemas.openxmlformats.org/officeDocument/2006/relationships/printerSettings" Target="../printerSettings/printerSettings5.bin"/><Relationship Id="rId4" Type="http://schemas.openxmlformats.org/officeDocument/2006/relationships/hyperlink" Target="mailto:tm@certus.gmbh" TargetMode="External"/><Relationship Id="rId9" Type="http://schemas.openxmlformats.org/officeDocument/2006/relationships/hyperlink" Target="mailto:tm@certus.gmbh" TargetMode="External"/><Relationship Id="rId14" Type="http://schemas.openxmlformats.org/officeDocument/2006/relationships/hyperlink" Target="mailto:tm@certus.gmbh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tm@certus.gmbh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55BC-9017-4ECD-824A-8825E66DEBA5}">
  <sheetPr>
    <tabColor rgb="FFFFFF00"/>
    <outlinePr summaryBelow="0"/>
  </sheetPr>
  <dimension ref="A1:CW1420"/>
  <sheetViews>
    <sheetView zoomScale="36" zoomScaleNormal="85" workbookViewId="0">
      <pane ySplit="1" topLeftCell="A47" activePane="bottomLeft" state="frozen"/>
      <selection pane="bottomLeft" activeCell="U73" sqref="T73:U75"/>
    </sheetView>
  </sheetViews>
  <sheetFormatPr defaultColWidth="12.625" defaultRowHeight="15" customHeight="1" outlineLevelCol="1"/>
  <cols>
    <col min="1" max="1" width="4.375" style="5" customWidth="1"/>
    <col min="2" max="2" width="10.875" style="5" customWidth="1"/>
    <col min="3" max="3" width="10.625" style="5" customWidth="1"/>
    <col min="4" max="4" width="10.625" style="41" customWidth="1"/>
    <col min="5" max="5" width="22.125" style="5" customWidth="1"/>
    <col min="6" max="6" width="13.625" style="5" customWidth="1" outlineLevel="1"/>
    <col min="7" max="7" width="10.625" style="5" customWidth="1"/>
    <col min="8" max="8" width="19.625" style="5" customWidth="1" outlineLevel="1"/>
    <col min="9" max="10" width="10.625" style="5" customWidth="1" outlineLevel="1"/>
    <col min="11" max="11" width="15.125" style="5" customWidth="1" outlineLevel="1"/>
    <col min="12" max="12" width="10.625" style="5" customWidth="1" outlineLevel="1"/>
    <col min="13" max="15" width="15.75" style="5" customWidth="1"/>
    <col min="16" max="17" width="16.25" style="7" customWidth="1"/>
    <col min="18" max="18" width="8.125" style="7" customWidth="1"/>
    <col min="19" max="19" width="16.25" style="7" customWidth="1"/>
    <col min="20" max="20" width="10.25" style="5" customWidth="1"/>
    <col min="21" max="21" width="8.75" style="5" customWidth="1"/>
    <col min="22" max="22" width="9.875" style="5" customWidth="1"/>
    <col min="23" max="24" width="8.375" style="6" hidden="1" customWidth="1"/>
    <col min="25" max="25" width="9.375" style="6" hidden="1" customWidth="1"/>
    <col min="26" max="26" width="11.375" style="5" customWidth="1"/>
    <col min="27" max="27" width="10.625" style="5" customWidth="1"/>
    <col min="28" max="28" width="12.625" style="5" customWidth="1"/>
    <col min="29" max="30" width="30.125" style="6" hidden="1" customWidth="1"/>
    <col min="31" max="31" width="10.75" style="6" hidden="1" customWidth="1"/>
    <col min="32" max="32" width="10.625" style="6" hidden="1" customWidth="1"/>
    <col min="33" max="33" width="10.75" style="6" hidden="1" customWidth="1"/>
    <col min="34" max="34" width="10.625" style="6" hidden="1" customWidth="1"/>
    <col min="35" max="35" width="11" style="6" hidden="1" customWidth="1"/>
    <col min="36" max="36" width="10.625" style="6" hidden="1" customWidth="1"/>
    <col min="37" max="38" width="8.375" style="6" hidden="1" customWidth="1"/>
    <col min="39" max="40" width="10.125" style="5" hidden="1" customWidth="1" outlineLevel="1"/>
    <col min="41" max="43" width="10.125" style="6" hidden="1" customWidth="1" outlineLevel="1"/>
    <col min="44" max="44" width="10.125" style="5" hidden="1" customWidth="1" outlineLevel="1"/>
    <col min="45" max="45" width="12.625" style="5" hidden="1" customWidth="1" outlineLevel="1"/>
    <col min="46" max="47" width="12.625" style="5" customWidth="1" outlineLevel="1"/>
    <col min="48" max="48" width="13.375" style="5" customWidth="1" outlineLevel="1"/>
    <col min="49" max="49" width="12.625" style="5" customWidth="1" outlineLevel="1"/>
    <col min="50" max="51" width="10.125" style="5" customWidth="1" outlineLevel="1"/>
    <col min="52" max="52" width="12.625" style="5" customWidth="1" outlineLevel="1"/>
    <col min="53" max="53" width="16.25" style="5" hidden="1" customWidth="1"/>
    <col min="54" max="55" width="15.375" style="5" hidden="1" customWidth="1"/>
    <col min="56" max="16384" width="12.625" style="5"/>
  </cols>
  <sheetData>
    <row r="1" spans="1:55" s="101" customFormat="1" ht="46.5" customHeight="1">
      <c r="A1" s="134" t="s">
        <v>144</v>
      </c>
      <c r="B1" s="134" t="s">
        <v>143</v>
      </c>
      <c r="C1" s="134" t="s">
        <v>140</v>
      </c>
      <c r="D1" s="134" t="s">
        <v>141</v>
      </c>
      <c r="E1" s="134" t="s">
        <v>139</v>
      </c>
      <c r="F1" s="136" t="s">
        <v>177</v>
      </c>
      <c r="G1" s="137" t="s">
        <v>484</v>
      </c>
      <c r="H1" s="137" t="s">
        <v>152</v>
      </c>
      <c r="I1" s="140" t="s">
        <v>145</v>
      </c>
      <c r="J1" s="139" t="s">
        <v>146</v>
      </c>
      <c r="K1" s="138" t="s">
        <v>151</v>
      </c>
      <c r="L1" s="134" t="s">
        <v>142</v>
      </c>
      <c r="M1" s="141" t="s">
        <v>138</v>
      </c>
      <c r="N1" s="142" t="s">
        <v>137</v>
      </c>
      <c r="O1" s="143" t="s">
        <v>136</v>
      </c>
      <c r="P1" s="43" t="s">
        <v>135</v>
      </c>
      <c r="Q1" s="43" t="s">
        <v>691</v>
      </c>
      <c r="R1" s="342" t="s">
        <v>1239</v>
      </c>
      <c r="S1" s="43" t="s">
        <v>132</v>
      </c>
      <c r="T1" s="247" t="s">
        <v>131</v>
      </c>
      <c r="U1" s="141" t="s">
        <v>130</v>
      </c>
      <c r="V1" s="145" t="s">
        <v>129</v>
      </c>
      <c r="W1" s="146" t="s">
        <v>128</v>
      </c>
      <c r="X1" s="146" t="s">
        <v>127</v>
      </c>
      <c r="Y1" s="147" t="s">
        <v>126</v>
      </c>
      <c r="Z1" s="148" t="s">
        <v>125</v>
      </c>
      <c r="AA1" s="146" t="s">
        <v>124</v>
      </c>
      <c r="AB1" s="145" t="s">
        <v>123</v>
      </c>
      <c r="AC1" s="149" t="s">
        <v>122</v>
      </c>
      <c r="AD1" s="149" t="s">
        <v>122</v>
      </c>
      <c r="AE1" s="150" t="s">
        <v>121</v>
      </c>
      <c r="AF1" s="145" t="s">
        <v>120</v>
      </c>
      <c r="AG1" s="151" t="s">
        <v>119</v>
      </c>
      <c r="AH1" s="145" t="s">
        <v>118</v>
      </c>
      <c r="AI1" s="151" t="s">
        <v>117</v>
      </c>
      <c r="AJ1" s="145" t="s">
        <v>116</v>
      </c>
      <c r="AK1" s="146" t="s">
        <v>115</v>
      </c>
      <c r="AL1" s="146" t="s">
        <v>114</v>
      </c>
      <c r="AM1" s="152" t="s">
        <v>113</v>
      </c>
      <c r="AN1" s="153" t="s">
        <v>112</v>
      </c>
      <c r="AO1" s="153" t="s">
        <v>111</v>
      </c>
      <c r="AP1" s="153" t="s">
        <v>110</v>
      </c>
      <c r="AQ1" s="153" t="s">
        <v>109</v>
      </c>
      <c r="AR1" s="153" t="s">
        <v>108</v>
      </c>
      <c r="AS1" s="154" t="s">
        <v>107</v>
      </c>
      <c r="AT1" s="144" t="s">
        <v>106</v>
      </c>
      <c r="AU1" s="144" t="s">
        <v>105</v>
      </c>
      <c r="AV1" s="155" t="s">
        <v>104</v>
      </c>
      <c r="AW1" s="155" t="s">
        <v>103</v>
      </c>
      <c r="AX1" s="153" t="s">
        <v>102</v>
      </c>
      <c r="AY1" s="153" t="s">
        <v>101</v>
      </c>
      <c r="AZ1" s="156" t="s">
        <v>100</v>
      </c>
      <c r="BA1" s="36" t="s">
        <v>99</v>
      </c>
      <c r="BB1" s="36"/>
      <c r="BC1" s="36"/>
    </row>
    <row r="2" spans="1:55" ht="16.899999999999999">
      <c r="A2" s="36">
        <v>1</v>
      </c>
      <c r="B2" s="35">
        <v>45970</v>
      </c>
      <c r="C2" s="33" t="s">
        <v>224</v>
      </c>
      <c r="D2" s="33" t="s">
        <v>955</v>
      </c>
      <c r="E2" s="33" t="s">
        <v>956</v>
      </c>
      <c r="F2" s="33" t="s">
        <v>873</v>
      </c>
      <c r="G2" s="33"/>
      <c r="H2" s="33" t="s">
        <v>81</v>
      </c>
      <c r="I2" s="33" t="s">
        <v>159</v>
      </c>
      <c r="J2" s="33" t="s">
        <v>160</v>
      </c>
      <c r="K2" s="35" t="s">
        <v>161</v>
      </c>
      <c r="L2" s="34" t="s">
        <v>29</v>
      </c>
      <c r="M2" s="32">
        <v>4300000</v>
      </c>
      <c r="N2" s="32">
        <v>0</v>
      </c>
      <c r="O2" s="181">
        <f t="shared" ref="O2:O8" si="0">M2+N2</f>
        <v>4300000</v>
      </c>
      <c r="P2" s="183" t="s">
        <v>37</v>
      </c>
      <c r="Q2" s="249" t="s">
        <v>379</v>
      </c>
      <c r="R2" s="30" t="s">
        <v>508</v>
      </c>
      <c r="S2" s="183" t="s">
        <v>80</v>
      </c>
      <c r="T2" s="29">
        <v>3030</v>
      </c>
      <c r="U2" s="20">
        <v>1443</v>
      </c>
      <c r="V2" s="28">
        <v>1670</v>
      </c>
      <c r="W2" s="20"/>
      <c r="X2" s="27"/>
      <c r="Y2" s="26"/>
      <c r="Z2" s="25">
        <f t="shared" ref="Z2:Z13" si="1">SUM(T2,V2:Y2)</f>
        <v>4700</v>
      </c>
      <c r="AA2" s="20">
        <f t="shared" ref="AA2:AA65" si="2">SUM(AF2+AH2+AJ2+AK2-AL2)</f>
        <v>0</v>
      </c>
      <c r="AB2" s="24">
        <f t="shared" ref="AB2:AB8" si="3">SUM(AA2-Z2)</f>
        <v>-4700</v>
      </c>
      <c r="AC2" s="37"/>
      <c r="AD2" s="37"/>
      <c r="AE2" s="22"/>
      <c r="AF2" s="20"/>
      <c r="AG2" s="21"/>
      <c r="AH2" s="20"/>
      <c r="AI2" s="21"/>
      <c r="AJ2" s="20"/>
      <c r="AK2" s="20"/>
      <c r="AL2" s="20"/>
      <c r="AM2" s="19">
        <v>35000</v>
      </c>
      <c r="AN2" s="19">
        <v>30000</v>
      </c>
      <c r="AO2" s="19"/>
      <c r="AP2" s="19"/>
      <c r="AQ2" s="19"/>
      <c r="AR2" s="19">
        <f t="shared" ref="AR2:AR65" si="4">SUM(AM2:AQ2)</f>
        <v>65000</v>
      </c>
      <c r="AS2" s="17">
        <f t="shared" ref="AS2:AS65" si="5">SUM(Z2-V2)*U2-AR2</f>
        <v>4307290</v>
      </c>
      <c r="AT2" s="17">
        <f t="shared" ref="AT2:AT65" si="6">SUM(AS2-O2)</f>
        <v>7290</v>
      </c>
      <c r="AU2" s="17">
        <f t="shared" ref="AU2:AU65" si="7">SUM(M2*0.09)</f>
        <v>387000</v>
      </c>
      <c r="AV2" s="17">
        <f t="shared" ref="AV2:AV8" si="8">SUM(AT2:AU2)/2</f>
        <v>197145</v>
      </c>
      <c r="AW2" s="17">
        <f t="shared" ref="AW2:AW8" si="9">AV2-(AV2*10%)</f>
        <v>177430.5</v>
      </c>
      <c r="AX2" s="18">
        <v>50000</v>
      </c>
      <c r="AY2" s="18"/>
      <c r="AZ2" s="17">
        <f t="shared" ref="AZ2:AZ8" si="10">SUM(AW2-AX2-AY2)</f>
        <v>127430.5</v>
      </c>
      <c r="BA2" s="16"/>
      <c r="BB2" s="16"/>
      <c r="BC2" s="16"/>
    </row>
    <row r="3" spans="1:55" ht="16.899999999999999">
      <c r="A3" s="36">
        <v>2</v>
      </c>
      <c r="B3" s="35">
        <v>45970</v>
      </c>
      <c r="C3" s="33" t="s">
        <v>957</v>
      </c>
      <c r="D3" s="33" t="s">
        <v>958</v>
      </c>
      <c r="E3" s="33" t="s">
        <v>959</v>
      </c>
      <c r="F3" s="33" t="s">
        <v>960</v>
      </c>
      <c r="G3" s="33"/>
      <c r="H3" s="33" t="s">
        <v>45</v>
      </c>
      <c r="I3" s="33" t="s">
        <v>163</v>
      </c>
      <c r="J3" s="33">
        <v>811577636</v>
      </c>
      <c r="K3" s="35" t="s">
        <v>162</v>
      </c>
      <c r="L3" s="34" t="s">
        <v>28</v>
      </c>
      <c r="M3" s="32">
        <v>17960000</v>
      </c>
      <c r="N3" s="32">
        <v>440000</v>
      </c>
      <c r="O3" s="181">
        <f t="shared" si="0"/>
        <v>18400000</v>
      </c>
      <c r="P3" s="183" t="s">
        <v>156</v>
      </c>
      <c r="Q3" s="249" t="s">
        <v>379</v>
      </c>
      <c r="R3" s="30" t="s">
        <v>508</v>
      </c>
      <c r="S3" s="183" t="s">
        <v>80</v>
      </c>
      <c r="T3" s="29">
        <v>12430</v>
      </c>
      <c r="U3" s="20">
        <v>1443</v>
      </c>
      <c r="V3" s="28">
        <v>1670</v>
      </c>
      <c r="W3" s="20"/>
      <c r="X3" s="27"/>
      <c r="Y3" s="26"/>
      <c r="Z3" s="25">
        <f t="shared" si="1"/>
        <v>14100</v>
      </c>
      <c r="AA3" s="20">
        <f t="shared" si="2"/>
        <v>0</v>
      </c>
      <c r="AB3" s="24">
        <f t="shared" si="3"/>
        <v>-14100</v>
      </c>
      <c r="AC3" s="37"/>
      <c r="AD3" s="37"/>
      <c r="AE3" s="22"/>
      <c r="AF3" s="20"/>
      <c r="AG3" s="21"/>
      <c r="AH3" s="20"/>
      <c r="AI3" s="21"/>
      <c r="AJ3" s="20"/>
      <c r="AK3" s="20"/>
      <c r="AL3" s="20"/>
      <c r="AM3" s="19">
        <v>35000</v>
      </c>
      <c r="AN3" s="19">
        <v>30000</v>
      </c>
      <c r="AO3" s="19"/>
      <c r="AP3" s="19"/>
      <c r="AQ3" s="19"/>
      <c r="AR3" s="19">
        <f t="shared" si="4"/>
        <v>65000</v>
      </c>
      <c r="AS3" s="17">
        <f t="shared" si="5"/>
        <v>17871490</v>
      </c>
      <c r="AT3" s="17">
        <f t="shared" si="6"/>
        <v>-528510</v>
      </c>
      <c r="AU3" s="17">
        <f t="shared" si="7"/>
        <v>1616400</v>
      </c>
      <c r="AV3" s="17">
        <f t="shared" si="8"/>
        <v>543945</v>
      </c>
      <c r="AW3" s="17">
        <f t="shared" si="9"/>
        <v>489550.5</v>
      </c>
      <c r="AX3" s="18">
        <v>50000</v>
      </c>
      <c r="AY3" s="18"/>
      <c r="AZ3" s="17">
        <f t="shared" si="10"/>
        <v>439550.5</v>
      </c>
      <c r="BA3" s="16"/>
      <c r="BB3" s="16"/>
      <c r="BC3" s="16"/>
    </row>
    <row r="4" spans="1:55" ht="16.899999999999999">
      <c r="A4" s="36">
        <v>3</v>
      </c>
      <c r="B4" s="35">
        <v>45978</v>
      </c>
      <c r="C4" s="33" t="s">
        <v>235</v>
      </c>
      <c r="D4" s="33" t="s">
        <v>961</v>
      </c>
      <c r="E4" s="33" t="s">
        <v>962</v>
      </c>
      <c r="F4" s="33" t="s">
        <v>963</v>
      </c>
      <c r="G4" s="33"/>
      <c r="H4" s="33" t="s">
        <v>81</v>
      </c>
      <c r="I4" s="33" t="s">
        <v>159</v>
      </c>
      <c r="J4" s="33" t="s">
        <v>160</v>
      </c>
      <c r="K4" s="35" t="s">
        <v>161</v>
      </c>
      <c r="L4" s="34" t="s">
        <v>29</v>
      </c>
      <c r="M4" s="32">
        <v>8600000</v>
      </c>
      <c r="N4" s="32">
        <v>0</v>
      </c>
      <c r="O4" s="181">
        <f t="shared" si="0"/>
        <v>8600000</v>
      </c>
      <c r="P4" s="183" t="s">
        <v>37</v>
      </c>
      <c r="Q4" s="249" t="s">
        <v>379</v>
      </c>
      <c r="R4" s="30" t="s">
        <v>508</v>
      </c>
      <c r="S4" s="183" t="s">
        <v>80</v>
      </c>
      <c r="T4" s="29">
        <v>6080</v>
      </c>
      <c r="U4" s="20">
        <v>1451</v>
      </c>
      <c r="V4" s="28">
        <v>1770</v>
      </c>
      <c r="W4" s="20"/>
      <c r="X4" s="27"/>
      <c r="Y4" s="26"/>
      <c r="Z4" s="25">
        <f t="shared" si="1"/>
        <v>7850</v>
      </c>
      <c r="AA4" s="20">
        <f t="shared" si="2"/>
        <v>0</v>
      </c>
      <c r="AB4" s="24">
        <f t="shared" si="3"/>
        <v>-7850</v>
      </c>
      <c r="AC4" s="37"/>
      <c r="AD4" s="37"/>
      <c r="AE4" s="22"/>
      <c r="AF4" s="20"/>
      <c r="AG4" s="21"/>
      <c r="AH4" s="20"/>
      <c r="AI4" s="21"/>
      <c r="AJ4" s="20"/>
      <c r="AK4" s="20"/>
      <c r="AL4" s="20"/>
      <c r="AM4" s="19">
        <v>35000</v>
      </c>
      <c r="AN4" s="19">
        <v>30000</v>
      </c>
      <c r="AO4" s="19"/>
      <c r="AP4" s="19"/>
      <c r="AQ4" s="19"/>
      <c r="AR4" s="19">
        <f t="shared" si="4"/>
        <v>65000</v>
      </c>
      <c r="AS4" s="17">
        <f t="shared" si="5"/>
        <v>8757080</v>
      </c>
      <c r="AT4" s="17">
        <f t="shared" si="6"/>
        <v>157080</v>
      </c>
      <c r="AU4" s="17">
        <f t="shared" si="7"/>
        <v>774000</v>
      </c>
      <c r="AV4" s="17">
        <f t="shared" si="8"/>
        <v>465540</v>
      </c>
      <c r="AW4" s="17">
        <f t="shared" si="9"/>
        <v>418986</v>
      </c>
      <c r="AX4" s="18">
        <v>50000</v>
      </c>
      <c r="AY4" s="18"/>
      <c r="AZ4" s="17">
        <f t="shared" si="10"/>
        <v>368986</v>
      </c>
      <c r="BA4" s="16"/>
      <c r="BB4" s="16"/>
      <c r="BC4" s="16"/>
    </row>
    <row r="5" spans="1:55" ht="16.899999999999999">
      <c r="A5" s="36">
        <v>4</v>
      </c>
      <c r="B5" s="35">
        <v>45978</v>
      </c>
      <c r="C5" s="33" t="s">
        <v>964</v>
      </c>
      <c r="D5" s="33" t="s">
        <v>965</v>
      </c>
      <c r="E5" s="33" t="s">
        <v>966</v>
      </c>
      <c r="F5" s="33" t="s">
        <v>967</v>
      </c>
      <c r="G5" s="33"/>
      <c r="H5" s="33" t="s">
        <v>81</v>
      </c>
      <c r="I5" s="33" t="s">
        <v>159</v>
      </c>
      <c r="J5" s="33" t="s">
        <v>160</v>
      </c>
      <c r="K5" s="35" t="s">
        <v>161</v>
      </c>
      <c r="L5" s="34" t="s">
        <v>29</v>
      </c>
      <c r="M5" s="32">
        <v>4200000</v>
      </c>
      <c r="N5" s="32">
        <v>440000</v>
      </c>
      <c r="O5" s="181">
        <f t="shared" si="0"/>
        <v>4640000</v>
      </c>
      <c r="P5" s="183" t="s">
        <v>37</v>
      </c>
      <c r="Q5" s="249" t="s">
        <v>379</v>
      </c>
      <c r="R5" s="30" t="s">
        <v>508</v>
      </c>
      <c r="S5" s="183" t="s">
        <v>80</v>
      </c>
      <c r="T5" s="29">
        <v>3280</v>
      </c>
      <c r="U5" s="20">
        <v>1455</v>
      </c>
      <c r="V5" s="28">
        <v>1670</v>
      </c>
      <c r="W5" s="20"/>
      <c r="X5" s="27"/>
      <c r="Y5" s="26"/>
      <c r="Z5" s="25">
        <f t="shared" si="1"/>
        <v>4950</v>
      </c>
      <c r="AA5" s="20">
        <f t="shared" si="2"/>
        <v>0</v>
      </c>
      <c r="AB5" s="24">
        <f t="shared" si="3"/>
        <v>-4950</v>
      </c>
      <c r="AC5" s="37"/>
      <c r="AD5" s="37"/>
      <c r="AE5" s="22"/>
      <c r="AF5" s="20"/>
      <c r="AG5" s="21"/>
      <c r="AH5" s="20"/>
      <c r="AI5" s="21"/>
      <c r="AJ5" s="20"/>
      <c r="AK5" s="20"/>
      <c r="AL5" s="20"/>
      <c r="AM5" s="19">
        <v>35000</v>
      </c>
      <c r="AN5" s="19">
        <v>30000</v>
      </c>
      <c r="AO5" s="19"/>
      <c r="AP5" s="19"/>
      <c r="AQ5" s="19"/>
      <c r="AR5" s="19">
        <f t="shared" si="4"/>
        <v>65000</v>
      </c>
      <c r="AS5" s="17">
        <f t="shared" si="5"/>
        <v>4707400</v>
      </c>
      <c r="AT5" s="17">
        <f t="shared" si="6"/>
        <v>67400</v>
      </c>
      <c r="AU5" s="17">
        <f t="shared" si="7"/>
        <v>378000</v>
      </c>
      <c r="AV5" s="17">
        <f t="shared" si="8"/>
        <v>222700</v>
      </c>
      <c r="AW5" s="17">
        <f t="shared" si="9"/>
        <v>200430</v>
      </c>
      <c r="AX5" s="18">
        <v>50000</v>
      </c>
      <c r="AY5" s="18"/>
      <c r="AZ5" s="17">
        <f t="shared" si="10"/>
        <v>150430</v>
      </c>
      <c r="BA5" s="16"/>
      <c r="BB5" s="16"/>
      <c r="BC5" s="16"/>
    </row>
    <row r="6" spans="1:55" ht="16.899999999999999">
      <c r="A6" s="36">
        <v>5</v>
      </c>
      <c r="B6" s="35">
        <v>45978</v>
      </c>
      <c r="C6" s="33" t="s">
        <v>345</v>
      </c>
      <c r="D6" s="33" t="s">
        <v>968</v>
      </c>
      <c r="E6" s="33" t="s">
        <v>969</v>
      </c>
      <c r="F6" s="33" t="s">
        <v>231</v>
      </c>
      <c r="G6" s="33"/>
      <c r="H6" s="33" t="s">
        <v>81</v>
      </c>
      <c r="I6" s="33" t="s">
        <v>159</v>
      </c>
      <c r="J6" s="33" t="s">
        <v>160</v>
      </c>
      <c r="K6" s="35" t="s">
        <v>161</v>
      </c>
      <c r="L6" s="34" t="s">
        <v>29</v>
      </c>
      <c r="M6" s="32">
        <v>4300000</v>
      </c>
      <c r="N6" s="32">
        <v>440000</v>
      </c>
      <c r="O6" s="181">
        <f t="shared" si="0"/>
        <v>4740000</v>
      </c>
      <c r="P6" s="183" t="s">
        <v>37</v>
      </c>
      <c r="Q6" s="249" t="s">
        <v>379</v>
      </c>
      <c r="R6" s="30" t="s">
        <v>508</v>
      </c>
      <c r="S6" s="183" t="s">
        <v>80</v>
      </c>
      <c r="T6" s="29">
        <v>3180</v>
      </c>
      <c r="U6" s="20">
        <v>1455</v>
      </c>
      <c r="V6" s="28">
        <v>1670</v>
      </c>
      <c r="W6" s="20"/>
      <c r="X6" s="27"/>
      <c r="Y6" s="26"/>
      <c r="Z6" s="25">
        <f t="shared" si="1"/>
        <v>4850</v>
      </c>
      <c r="AA6" s="20">
        <f t="shared" si="2"/>
        <v>0</v>
      </c>
      <c r="AB6" s="24">
        <f t="shared" si="3"/>
        <v>-4850</v>
      </c>
      <c r="AC6" s="37"/>
      <c r="AD6" s="37"/>
      <c r="AE6" s="22"/>
      <c r="AF6" s="20"/>
      <c r="AG6" s="21"/>
      <c r="AH6" s="20"/>
      <c r="AI6" s="21"/>
      <c r="AJ6" s="20"/>
      <c r="AK6" s="20"/>
      <c r="AL6" s="20"/>
      <c r="AM6" s="19">
        <v>35000</v>
      </c>
      <c r="AN6" s="19">
        <v>30000</v>
      </c>
      <c r="AO6" s="19"/>
      <c r="AP6" s="19"/>
      <c r="AQ6" s="19"/>
      <c r="AR6" s="19">
        <f t="shared" si="4"/>
        <v>65000</v>
      </c>
      <c r="AS6" s="17">
        <f t="shared" si="5"/>
        <v>4561900</v>
      </c>
      <c r="AT6" s="17">
        <f t="shared" si="6"/>
        <v>-178100</v>
      </c>
      <c r="AU6" s="17">
        <f t="shared" si="7"/>
        <v>387000</v>
      </c>
      <c r="AV6" s="17">
        <f t="shared" si="8"/>
        <v>104450</v>
      </c>
      <c r="AW6" s="17">
        <f t="shared" si="9"/>
        <v>94005</v>
      </c>
      <c r="AX6" s="18">
        <v>50000</v>
      </c>
      <c r="AY6" s="18"/>
      <c r="AZ6" s="17">
        <f t="shared" si="10"/>
        <v>44005</v>
      </c>
      <c r="BA6" s="16"/>
      <c r="BB6" s="16"/>
      <c r="BC6" s="16"/>
    </row>
    <row r="7" spans="1:55" ht="16.899999999999999">
      <c r="A7" s="36">
        <v>6</v>
      </c>
      <c r="B7" s="35">
        <v>45979</v>
      </c>
      <c r="C7" s="33" t="s">
        <v>970</v>
      </c>
      <c r="D7" s="33" t="s">
        <v>971</v>
      </c>
      <c r="E7" s="33" t="s">
        <v>972</v>
      </c>
      <c r="F7" s="33" t="s">
        <v>973</v>
      </c>
      <c r="G7" s="33"/>
      <c r="H7" s="33" t="s">
        <v>96</v>
      </c>
      <c r="I7" s="33"/>
      <c r="J7" s="33"/>
      <c r="K7" s="35"/>
      <c r="L7" s="34" t="s">
        <v>95</v>
      </c>
      <c r="M7" s="32">
        <v>7100000</v>
      </c>
      <c r="N7" s="32">
        <v>0</v>
      </c>
      <c r="O7" s="181">
        <f t="shared" si="0"/>
        <v>7100000</v>
      </c>
      <c r="P7" s="183"/>
      <c r="Q7" s="249" t="s">
        <v>379</v>
      </c>
      <c r="R7" s="30" t="s">
        <v>508</v>
      </c>
      <c r="S7" s="183" t="s">
        <v>80</v>
      </c>
      <c r="T7" s="29">
        <v>5382</v>
      </c>
      <c r="U7" s="20">
        <v>1457</v>
      </c>
      <c r="V7" s="28"/>
      <c r="W7" s="20"/>
      <c r="X7" s="27"/>
      <c r="Y7" s="26"/>
      <c r="Z7" s="25">
        <f t="shared" si="1"/>
        <v>5382</v>
      </c>
      <c r="AA7" s="20">
        <f t="shared" si="2"/>
        <v>0</v>
      </c>
      <c r="AB7" s="24">
        <f t="shared" si="3"/>
        <v>-5382</v>
      </c>
      <c r="AC7" s="37"/>
      <c r="AD7" s="37"/>
      <c r="AE7" s="22"/>
      <c r="AF7" s="20"/>
      <c r="AG7" s="21"/>
      <c r="AH7" s="20"/>
      <c r="AI7" s="21"/>
      <c r="AJ7" s="20"/>
      <c r="AK7" s="20"/>
      <c r="AL7" s="20"/>
      <c r="AM7" s="19">
        <v>35000</v>
      </c>
      <c r="AN7" s="19">
        <v>30000</v>
      </c>
      <c r="AO7" s="19"/>
      <c r="AP7" s="19"/>
      <c r="AQ7" s="19"/>
      <c r="AR7" s="19">
        <f t="shared" si="4"/>
        <v>65000</v>
      </c>
      <c r="AS7" s="17">
        <f t="shared" si="5"/>
        <v>7776574</v>
      </c>
      <c r="AT7" s="17">
        <f t="shared" si="6"/>
        <v>676574</v>
      </c>
      <c r="AU7" s="17">
        <f t="shared" si="7"/>
        <v>639000</v>
      </c>
      <c r="AV7" s="17">
        <f t="shared" si="8"/>
        <v>657787</v>
      </c>
      <c r="AW7" s="17">
        <f t="shared" si="9"/>
        <v>592008.30000000005</v>
      </c>
      <c r="AX7" s="18">
        <v>50000</v>
      </c>
      <c r="AY7" s="18"/>
      <c r="AZ7" s="17">
        <f t="shared" si="10"/>
        <v>542008.30000000005</v>
      </c>
      <c r="BA7" s="16"/>
      <c r="BB7" s="16"/>
      <c r="BC7" s="16"/>
    </row>
    <row r="8" spans="1:55" ht="16.899999999999999">
      <c r="A8" s="36">
        <v>7</v>
      </c>
      <c r="B8" s="35">
        <v>45981</v>
      </c>
      <c r="C8" s="33" t="s">
        <v>974</v>
      </c>
      <c r="D8" s="33" t="s">
        <v>975</v>
      </c>
      <c r="E8" s="33" t="s">
        <v>976</v>
      </c>
      <c r="F8" s="33" t="s">
        <v>977</v>
      </c>
      <c r="G8" s="33"/>
      <c r="H8" s="33" t="s">
        <v>45</v>
      </c>
      <c r="I8" s="33" t="s">
        <v>163</v>
      </c>
      <c r="J8" s="33">
        <v>811577636</v>
      </c>
      <c r="K8" s="35" t="s">
        <v>162</v>
      </c>
      <c r="L8" s="34" t="s">
        <v>28</v>
      </c>
      <c r="M8" s="32">
        <v>53600000</v>
      </c>
      <c r="N8" s="32">
        <v>0</v>
      </c>
      <c r="O8" s="181">
        <f t="shared" si="0"/>
        <v>53600000</v>
      </c>
      <c r="P8" s="183" t="s">
        <v>37</v>
      </c>
      <c r="Q8" s="249" t="s">
        <v>379</v>
      </c>
      <c r="R8" s="30" t="s">
        <v>508</v>
      </c>
      <c r="S8" s="183" t="s">
        <v>80</v>
      </c>
      <c r="T8" s="29">
        <v>35330</v>
      </c>
      <c r="U8" s="20">
        <v>1453</v>
      </c>
      <c r="V8" s="28"/>
      <c r="W8" s="20"/>
      <c r="X8" s="27"/>
      <c r="Y8" s="26"/>
      <c r="Z8" s="25">
        <f t="shared" si="1"/>
        <v>35330</v>
      </c>
      <c r="AA8" s="20">
        <f t="shared" si="2"/>
        <v>0</v>
      </c>
      <c r="AB8" s="24">
        <f t="shared" si="3"/>
        <v>-35330</v>
      </c>
      <c r="AC8" s="37"/>
      <c r="AD8" s="37"/>
      <c r="AE8" s="22"/>
      <c r="AF8" s="20"/>
      <c r="AG8" s="21"/>
      <c r="AH8" s="20"/>
      <c r="AI8" s="21"/>
      <c r="AJ8" s="20"/>
      <c r="AK8" s="20"/>
      <c r="AL8" s="20"/>
      <c r="AM8" s="19">
        <v>35000</v>
      </c>
      <c r="AN8" s="19">
        <v>30000</v>
      </c>
      <c r="AO8" s="19"/>
      <c r="AP8" s="19"/>
      <c r="AQ8" s="19"/>
      <c r="AR8" s="19">
        <f t="shared" si="4"/>
        <v>65000</v>
      </c>
      <c r="AS8" s="17">
        <f t="shared" si="5"/>
        <v>51269490</v>
      </c>
      <c r="AT8" s="17">
        <f t="shared" si="6"/>
        <v>-2330510</v>
      </c>
      <c r="AU8" s="17">
        <f t="shared" si="7"/>
        <v>4824000</v>
      </c>
      <c r="AV8" s="17">
        <f t="shared" si="8"/>
        <v>1246745</v>
      </c>
      <c r="AW8" s="17">
        <f t="shared" si="9"/>
        <v>1122070.5</v>
      </c>
      <c r="AX8" s="18">
        <v>50000</v>
      </c>
      <c r="AY8" s="18"/>
      <c r="AZ8" s="17">
        <f t="shared" si="10"/>
        <v>1072070.5</v>
      </c>
      <c r="BA8" s="16"/>
      <c r="BB8" s="16"/>
      <c r="BC8" s="16"/>
    </row>
    <row r="9" spans="1:55" ht="16.899999999999999">
      <c r="A9" s="36">
        <v>8</v>
      </c>
      <c r="B9" s="35">
        <v>45985</v>
      </c>
      <c r="C9" s="33" t="s">
        <v>240</v>
      </c>
      <c r="D9" s="33" t="s">
        <v>978</v>
      </c>
      <c r="E9" s="33" t="s">
        <v>979</v>
      </c>
      <c r="F9" s="33" t="s">
        <v>980</v>
      </c>
      <c r="G9" s="33"/>
      <c r="H9" s="33" t="s">
        <v>81</v>
      </c>
      <c r="I9" s="33" t="s">
        <v>159</v>
      </c>
      <c r="J9" s="33" t="s">
        <v>160</v>
      </c>
      <c r="K9" s="35" t="s">
        <v>161</v>
      </c>
      <c r="L9" s="34" t="s">
        <v>29</v>
      </c>
      <c r="M9" s="32">
        <v>5800000</v>
      </c>
      <c r="N9" s="32">
        <v>440000</v>
      </c>
      <c r="O9" s="181">
        <f t="shared" ref="O9:O31" si="11">M9+N9</f>
        <v>6240000</v>
      </c>
      <c r="P9" s="183" t="s">
        <v>37</v>
      </c>
      <c r="Q9" s="249" t="s">
        <v>379</v>
      </c>
      <c r="R9" s="30" t="s">
        <v>508</v>
      </c>
      <c r="S9" s="183" t="s">
        <v>80</v>
      </c>
      <c r="T9" s="29">
        <v>4180</v>
      </c>
      <c r="U9" s="20">
        <v>1455</v>
      </c>
      <c r="V9" s="28">
        <v>1770</v>
      </c>
      <c r="W9" s="20"/>
      <c r="X9" s="27"/>
      <c r="Y9" s="26"/>
      <c r="Z9" s="25">
        <f t="shared" si="1"/>
        <v>5950</v>
      </c>
      <c r="AA9" s="20">
        <f t="shared" si="2"/>
        <v>0</v>
      </c>
      <c r="AB9" s="24">
        <f t="shared" ref="AB9:AB31" si="12">SUM(AA9-Z9)</f>
        <v>-5950</v>
      </c>
      <c r="AC9" s="37"/>
      <c r="AD9" s="37"/>
      <c r="AE9" s="22"/>
      <c r="AF9" s="20"/>
      <c r="AG9" s="21"/>
      <c r="AH9" s="20"/>
      <c r="AI9" s="21"/>
      <c r="AJ9" s="20"/>
      <c r="AK9" s="20"/>
      <c r="AL9" s="20"/>
      <c r="AM9" s="19">
        <v>35000</v>
      </c>
      <c r="AN9" s="19">
        <v>30000</v>
      </c>
      <c r="AO9" s="19"/>
      <c r="AP9" s="19"/>
      <c r="AQ9" s="19"/>
      <c r="AR9" s="19">
        <f t="shared" si="4"/>
        <v>65000</v>
      </c>
      <c r="AS9" s="17">
        <f t="shared" si="5"/>
        <v>6016900</v>
      </c>
      <c r="AT9" s="17">
        <f t="shared" si="6"/>
        <v>-223100</v>
      </c>
      <c r="AU9" s="17">
        <f t="shared" si="7"/>
        <v>522000</v>
      </c>
      <c r="AV9" s="17">
        <f t="shared" ref="AV9:AV31" si="13">SUM(AT9:AU9)/2</f>
        <v>149450</v>
      </c>
      <c r="AW9" s="17">
        <f t="shared" ref="AW9:AW31" si="14">AV9-(AV9*10%)</f>
        <v>134505</v>
      </c>
      <c r="AX9" s="18">
        <v>50000</v>
      </c>
      <c r="AY9" s="18"/>
      <c r="AZ9" s="17">
        <f t="shared" ref="AZ9:AZ20" si="15">SUM(AW9-AX9-AY9)</f>
        <v>84505</v>
      </c>
      <c r="BA9" s="16"/>
      <c r="BB9" s="16"/>
      <c r="BC9" s="16"/>
    </row>
    <row r="10" spans="1:55" ht="16.899999999999999">
      <c r="A10" s="36">
        <v>9</v>
      </c>
      <c r="B10" s="35">
        <v>45986</v>
      </c>
      <c r="C10" s="33" t="s">
        <v>981</v>
      </c>
      <c r="D10" s="33" t="s">
        <v>982</v>
      </c>
      <c r="E10" s="33" t="s">
        <v>983</v>
      </c>
      <c r="F10" s="33" t="s">
        <v>984</v>
      </c>
      <c r="G10" s="33"/>
      <c r="H10" s="33" t="s">
        <v>81</v>
      </c>
      <c r="I10" s="33" t="s">
        <v>159</v>
      </c>
      <c r="J10" s="33" t="s">
        <v>160</v>
      </c>
      <c r="K10" s="35" t="s">
        <v>161</v>
      </c>
      <c r="L10" s="34" t="s">
        <v>29</v>
      </c>
      <c r="M10" s="32">
        <v>6840000</v>
      </c>
      <c r="N10" s="32">
        <v>0</v>
      </c>
      <c r="O10" s="181">
        <f t="shared" si="11"/>
        <v>6840000</v>
      </c>
      <c r="P10" s="183" t="s">
        <v>37</v>
      </c>
      <c r="Q10" s="249" t="s">
        <v>379</v>
      </c>
      <c r="R10" s="30" t="s">
        <v>508</v>
      </c>
      <c r="S10" s="183" t="s">
        <v>80</v>
      </c>
      <c r="T10" s="29">
        <v>4680</v>
      </c>
      <c r="U10" s="20">
        <v>1455</v>
      </c>
      <c r="V10" s="28">
        <v>1670</v>
      </c>
      <c r="W10" s="20"/>
      <c r="X10" s="27"/>
      <c r="Y10" s="26"/>
      <c r="Z10" s="25">
        <f t="shared" si="1"/>
        <v>6350</v>
      </c>
      <c r="AA10" s="20">
        <f t="shared" si="2"/>
        <v>0</v>
      </c>
      <c r="AB10" s="24">
        <f t="shared" si="12"/>
        <v>-6350</v>
      </c>
      <c r="AC10" s="37"/>
      <c r="AD10" s="37"/>
      <c r="AE10" s="22"/>
      <c r="AF10" s="20"/>
      <c r="AG10" s="21"/>
      <c r="AH10" s="20"/>
      <c r="AI10" s="21"/>
      <c r="AJ10" s="20"/>
      <c r="AK10" s="20"/>
      <c r="AL10" s="20"/>
      <c r="AM10" s="19">
        <v>35000</v>
      </c>
      <c r="AN10" s="19">
        <v>30000</v>
      </c>
      <c r="AO10" s="19"/>
      <c r="AP10" s="19"/>
      <c r="AQ10" s="19"/>
      <c r="AR10" s="19">
        <f t="shared" si="4"/>
        <v>65000</v>
      </c>
      <c r="AS10" s="17">
        <f t="shared" si="5"/>
        <v>6744400</v>
      </c>
      <c r="AT10" s="17">
        <f t="shared" si="6"/>
        <v>-95600</v>
      </c>
      <c r="AU10" s="17">
        <f t="shared" si="7"/>
        <v>615600</v>
      </c>
      <c r="AV10" s="17">
        <f t="shared" si="13"/>
        <v>260000</v>
      </c>
      <c r="AW10" s="17">
        <f t="shared" si="14"/>
        <v>234000</v>
      </c>
      <c r="AX10" s="18">
        <v>50000</v>
      </c>
      <c r="AY10" s="18"/>
      <c r="AZ10" s="17">
        <f t="shared" si="15"/>
        <v>184000</v>
      </c>
      <c r="BA10" s="16">
        <v>0</v>
      </c>
      <c r="BB10" s="16"/>
      <c r="BC10" s="16"/>
    </row>
    <row r="11" spans="1:55" ht="16.5" customHeight="1">
      <c r="A11" s="36">
        <v>10</v>
      </c>
      <c r="B11" s="35">
        <v>45986</v>
      </c>
      <c r="C11" s="33" t="s">
        <v>235</v>
      </c>
      <c r="D11" s="33" t="s">
        <v>985</v>
      </c>
      <c r="E11" s="33" t="s">
        <v>986</v>
      </c>
      <c r="F11" s="33" t="s">
        <v>987</v>
      </c>
      <c r="G11" s="33"/>
      <c r="H11" s="33" t="s">
        <v>81</v>
      </c>
      <c r="I11" s="33" t="s">
        <v>159</v>
      </c>
      <c r="J11" s="33" t="s">
        <v>160</v>
      </c>
      <c r="K11" s="35" t="s">
        <v>161</v>
      </c>
      <c r="L11" s="34" t="s">
        <v>29</v>
      </c>
      <c r="M11" s="32">
        <v>4850000</v>
      </c>
      <c r="N11" s="32">
        <v>0</v>
      </c>
      <c r="O11" s="181">
        <f t="shared" si="11"/>
        <v>4850000</v>
      </c>
      <c r="P11" s="183" t="s">
        <v>37</v>
      </c>
      <c r="Q11" s="249" t="s">
        <v>379</v>
      </c>
      <c r="R11" s="30" t="s">
        <v>508</v>
      </c>
      <c r="S11" s="183" t="s">
        <v>80</v>
      </c>
      <c r="T11" s="29">
        <v>3430</v>
      </c>
      <c r="U11" s="20">
        <v>1455</v>
      </c>
      <c r="V11" s="28">
        <v>1770</v>
      </c>
      <c r="W11" s="20"/>
      <c r="X11" s="27"/>
      <c r="Y11" s="26"/>
      <c r="Z11" s="25">
        <f t="shared" si="1"/>
        <v>5200</v>
      </c>
      <c r="AA11" s="20">
        <f t="shared" si="2"/>
        <v>0</v>
      </c>
      <c r="AB11" s="24">
        <f t="shared" si="12"/>
        <v>-5200</v>
      </c>
      <c r="AC11" s="37"/>
      <c r="AD11" s="37"/>
      <c r="AE11" s="22"/>
      <c r="AF11" s="20"/>
      <c r="AG11" s="21"/>
      <c r="AH11" s="20"/>
      <c r="AI11" s="21"/>
      <c r="AJ11" s="20"/>
      <c r="AK11" s="20"/>
      <c r="AL11" s="20"/>
      <c r="AM11" s="19">
        <v>35000</v>
      </c>
      <c r="AN11" s="19">
        <v>30000</v>
      </c>
      <c r="AO11" s="19"/>
      <c r="AP11" s="19"/>
      <c r="AQ11" s="19"/>
      <c r="AR11" s="19">
        <f t="shared" si="4"/>
        <v>65000</v>
      </c>
      <c r="AS11" s="17">
        <f t="shared" si="5"/>
        <v>4925650</v>
      </c>
      <c r="AT11" s="17">
        <f t="shared" si="6"/>
        <v>75650</v>
      </c>
      <c r="AU11" s="17">
        <f t="shared" si="7"/>
        <v>436500</v>
      </c>
      <c r="AV11" s="17">
        <f t="shared" si="13"/>
        <v>256075</v>
      </c>
      <c r="AW11" s="17">
        <f t="shared" si="14"/>
        <v>230467.5</v>
      </c>
      <c r="AX11" s="18">
        <v>50000</v>
      </c>
      <c r="AY11" s="18"/>
      <c r="AZ11" s="17">
        <f t="shared" si="15"/>
        <v>180467.5</v>
      </c>
      <c r="BA11" s="16">
        <v>0</v>
      </c>
      <c r="BB11" s="16"/>
      <c r="BC11" s="16"/>
    </row>
    <row r="12" spans="1:55" ht="16.899999999999999">
      <c r="A12" s="36">
        <v>11</v>
      </c>
      <c r="B12" s="35">
        <v>45989</v>
      </c>
      <c r="C12" s="33" t="s">
        <v>240</v>
      </c>
      <c r="D12" s="33" t="s">
        <v>988</v>
      </c>
      <c r="E12" s="33" t="s">
        <v>989</v>
      </c>
      <c r="F12" s="33" t="s">
        <v>990</v>
      </c>
      <c r="G12" s="33"/>
      <c r="H12" s="33" t="s">
        <v>45</v>
      </c>
      <c r="I12" s="33" t="s">
        <v>163</v>
      </c>
      <c r="J12" s="33">
        <v>811577636</v>
      </c>
      <c r="K12" s="35" t="s">
        <v>162</v>
      </c>
      <c r="L12" s="34" t="s">
        <v>28</v>
      </c>
      <c r="M12" s="32">
        <v>21140000</v>
      </c>
      <c r="N12" s="32">
        <v>0</v>
      </c>
      <c r="O12" s="181">
        <f t="shared" si="11"/>
        <v>21140000</v>
      </c>
      <c r="P12" s="183" t="s">
        <v>37</v>
      </c>
      <c r="Q12" s="249" t="s">
        <v>379</v>
      </c>
      <c r="R12" s="30" t="s">
        <v>508</v>
      </c>
      <c r="S12" s="183" t="s">
        <v>80</v>
      </c>
      <c r="T12" s="29">
        <v>13880</v>
      </c>
      <c r="U12" s="20">
        <v>1448</v>
      </c>
      <c r="V12" s="28">
        <v>1770</v>
      </c>
      <c r="W12" s="20"/>
      <c r="X12" s="27"/>
      <c r="Y12" s="26"/>
      <c r="Z12" s="25">
        <f t="shared" si="1"/>
        <v>15650</v>
      </c>
      <c r="AA12" s="20">
        <f t="shared" si="2"/>
        <v>0</v>
      </c>
      <c r="AB12" s="24">
        <f t="shared" si="12"/>
        <v>-15650</v>
      </c>
      <c r="AC12" s="37"/>
      <c r="AD12" s="37"/>
      <c r="AE12" s="22"/>
      <c r="AF12" s="20"/>
      <c r="AG12" s="21"/>
      <c r="AH12" s="20"/>
      <c r="AI12" s="21"/>
      <c r="AJ12" s="20"/>
      <c r="AK12" s="20"/>
      <c r="AL12" s="20"/>
      <c r="AM12" s="19">
        <v>35000</v>
      </c>
      <c r="AN12" s="19">
        <v>30000</v>
      </c>
      <c r="AO12" s="19"/>
      <c r="AP12" s="19"/>
      <c r="AQ12" s="19"/>
      <c r="AR12" s="19">
        <f t="shared" si="4"/>
        <v>65000</v>
      </c>
      <c r="AS12" s="17">
        <f t="shared" si="5"/>
        <v>20033240</v>
      </c>
      <c r="AT12" s="17">
        <f t="shared" si="6"/>
        <v>-1106760</v>
      </c>
      <c r="AU12" s="17">
        <f t="shared" si="7"/>
        <v>1902600</v>
      </c>
      <c r="AV12" s="17">
        <f t="shared" si="13"/>
        <v>397920</v>
      </c>
      <c r="AW12" s="17">
        <f t="shared" si="14"/>
        <v>358128</v>
      </c>
      <c r="AX12" s="18">
        <v>50000</v>
      </c>
      <c r="AY12" s="18"/>
      <c r="AZ12" s="17">
        <f t="shared" si="15"/>
        <v>308128</v>
      </c>
      <c r="BA12" s="16">
        <v>0</v>
      </c>
      <c r="BB12" s="16"/>
      <c r="BC12" s="16"/>
    </row>
    <row r="13" spans="1:55" ht="16.899999999999999">
      <c r="A13" s="36">
        <v>12</v>
      </c>
      <c r="B13" s="35">
        <v>46358</v>
      </c>
      <c r="C13" s="33" t="s">
        <v>240</v>
      </c>
      <c r="D13" s="33" t="s">
        <v>991</v>
      </c>
      <c r="E13" s="33" t="s">
        <v>992</v>
      </c>
      <c r="F13" s="33" t="s">
        <v>993</v>
      </c>
      <c r="G13" s="33"/>
      <c r="H13" s="33" t="s">
        <v>45</v>
      </c>
      <c r="I13" s="33" t="s">
        <v>163</v>
      </c>
      <c r="J13" s="33">
        <v>811577636</v>
      </c>
      <c r="K13" s="35" t="s">
        <v>162</v>
      </c>
      <c r="L13" s="34" t="s">
        <v>28</v>
      </c>
      <c r="M13" s="32">
        <v>18000000</v>
      </c>
      <c r="N13" s="32">
        <v>300000</v>
      </c>
      <c r="O13" s="181">
        <f t="shared" si="11"/>
        <v>18300000</v>
      </c>
      <c r="P13" s="183" t="s">
        <v>37</v>
      </c>
      <c r="Q13" s="249" t="s">
        <v>379</v>
      </c>
      <c r="R13" s="30" t="s">
        <v>508</v>
      </c>
      <c r="S13" s="183" t="s">
        <v>80</v>
      </c>
      <c r="T13" s="29">
        <v>12075</v>
      </c>
      <c r="U13" s="20">
        <v>1456</v>
      </c>
      <c r="V13" s="28">
        <v>1770</v>
      </c>
      <c r="W13" s="20"/>
      <c r="X13" s="27"/>
      <c r="Y13" s="26"/>
      <c r="Z13" s="25">
        <f t="shared" si="1"/>
        <v>13845</v>
      </c>
      <c r="AA13" s="20">
        <f t="shared" si="2"/>
        <v>0</v>
      </c>
      <c r="AB13" s="24">
        <f t="shared" si="12"/>
        <v>-13845</v>
      </c>
      <c r="AC13" s="37"/>
      <c r="AD13" s="37"/>
      <c r="AE13" s="22"/>
      <c r="AF13" s="20"/>
      <c r="AG13" s="21"/>
      <c r="AH13" s="20"/>
      <c r="AI13" s="21"/>
      <c r="AJ13" s="20"/>
      <c r="AK13" s="20"/>
      <c r="AL13" s="20"/>
      <c r="AM13" s="19">
        <v>35000</v>
      </c>
      <c r="AN13" s="19">
        <v>30000</v>
      </c>
      <c r="AO13" s="19"/>
      <c r="AP13" s="19"/>
      <c r="AQ13" s="19"/>
      <c r="AR13" s="19">
        <f t="shared" si="4"/>
        <v>65000</v>
      </c>
      <c r="AS13" s="17">
        <f t="shared" si="5"/>
        <v>17516200</v>
      </c>
      <c r="AT13" s="17">
        <f t="shared" si="6"/>
        <v>-783800</v>
      </c>
      <c r="AU13" s="17">
        <f t="shared" si="7"/>
        <v>1620000</v>
      </c>
      <c r="AV13" s="17">
        <f t="shared" si="13"/>
        <v>418100</v>
      </c>
      <c r="AW13" s="17">
        <f t="shared" si="14"/>
        <v>376290</v>
      </c>
      <c r="AX13" s="18">
        <v>50000</v>
      </c>
      <c r="AY13" s="18"/>
      <c r="AZ13" s="17">
        <f t="shared" si="15"/>
        <v>326290</v>
      </c>
      <c r="BA13" s="16"/>
      <c r="BB13" s="16"/>
      <c r="BC13" s="16"/>
    </row>
    <row r="14" spans="1:55" ht="16.899999999999999">
      <c r="A14" s="36">
        <v>13</v>
      </c>
      <c r="B14" s="35">
        <v>45999</v>
      </c>
      <c r="C14" s="33" t="s">
        <v>255</v>
      </c>
      <c r="D14" s="33" t="s">
        <v>994</v>
      </c>
      <c r="E14" s="33" t="s">
        <v>995</v>
      </c>
      <c r="F14" s="33" t="s">
        <v>996</v>
      </c>
      <c r="G14" s="33"/>
      <c r="H14" s="33" t="s">
        <v>81</v>
      </c>
      <c r="I14" s="33" t="s">
        <v>159</v>
      </c>
      <c r="J14" s="33" t="s">
        <v>160</v>
      </c>
      <c r="K14" s="35" t="s">
        <v>161</v>
      </c>
      <c r="L14" s="34" t="s">
        <v>29</v>
      </c>
      <c r="M14" s="32">
        <v>5600000</v>
      </c>
      <c r="N14" s="32">
        <v>0</v>
      </c>
      <c r="O14" s="181">
        <f t="shared" si="11"/>
        <v>5600000</v>
      </c>
      <c r="P14" s="183" t="s">
        <v>37</v>
      </c>
      <c r="Q14" s="249" t="s">
        <v>379</v>
      </c>
      <c r="R14" s="30" t="s">
        <v>508</v>
      </c>
      <c r="S14" s="183" t="s">
        <v>80</v>
      </c>
      <c r="T14" s="29">
        <v>3930</v>
      </c>
      <c r="U14" s="20">
        <v>1461</v>
      </c>
      <c r="V14" s="28">
        <v>1670</v>
      </c>
      <c r="W14" s="20"/>
      <c r="X14" s="27"/>
      <c r="Y14" s="26"/>
      <c r="Z14" s="25">
        <f t="shared" ref="Z14:Z34" si="16">SUM(T14,V14:Y14)</f>
        <v>5600</v>
      </c>
      <c r="AA14" s="20">
        <f t="shared" si="2"/>
        <v>0</v>
      </c>
      <c r="AB14" s="24">
        <f t="shared" si="12"/>
        <v>-5600</v>
      </c>
      <c r="AC14" s="37"/>
      <c r="AD14" s="37"/>
      <c r="AE14" s="22"/>
      <c r="AF14" s="20"/>
      <c r="AG14" s="21"/>
      <c r="AH14" s="20"/>
      <c r="AI14" s="21"/>
      <c r="AJ14" s="20"/>
      <c r="AK14" s="20"/>
      <c r="AL14" s="20"/>
      <c r="AM14" s="19">
        <v>35000</v>
      </c>
      <c r="AN14" s="19">
        <v>30000</v>
      </c>
      <c r="AO14" s="19"/>
      <c r="AP14" s="19"/>
      <c r="AQ14" s="19"/>
      <c r="AR14" s="19">
        <f t="shared" si="4"/>
        <v>65000</v>
      </c>
      <c r="AS14" s="17">
        <f t="shared" si="5"/>
        <v>5676730</v>
      </c>
      <c r="AT14" s="17">
        <f t="shared" si="6"/>
        <v>76730</v>
      </c>
      <c r="AU14" s="17">
        <f t="shared" si="7"/>
        <v>504000</v>
      </c>
      <c r="AV14" s="17">
        <f t="shared" si="13"/>
        <v>290365</v>
      </c>
      <c r="AW14" s="17">
        <f t="shared" si="14"/>
        <v>261328.5</v>
      </c>
      <c r="AX14" s="18">
        <v>50000</v>
      </c>
      <c r="AY14" s="18"/>
      <c r="AZ14" s="17">
        <f t="shared" si="15"/>
        <v>211328.5</v>
      </c>
      <c r="BA14" s="16"/>
      <c r="BB14" s="16"/>
      <c r="BC14" s="16"/>
    </row>
    <row r="15" spans="1:55" ht="16.899999999999999">
      <c r="A15" s="36">
        <v>14</v>
      </c>
      <c r="B15" s="35">
        <v>46002</v>
      </c>
      <c r="C15" s="33" t="s">
        <v>235</v>
      </c>
      <c r="D15" s="33" t="s">
        <v>997</v>
      </c>
      <c r="E15" s="33" t="s">
        <v>998</v>
      </c>
      <c r="F15" s="33" t="s">
        <v>999</v>
      </c>
      <c r="G15" s="33"/>
      <c r="H15" s="33" t="s">
        <v>81</v>
      </c>
      <c r="I15" s="33" t="s">
        <v>159</v>
      </c>
      <c r="J15" s="33" t="s">
        <v>160</v>
      </c>
      <c r="K15" s="35" t="s">
        <v>161</v>
      </c>
      <c r="L15" s="34" t="s">
        <v>29</v>
      </c>
      <c r="M15" s="32">
        <v>8100000</v>
      </c>
      <c r="N15" s="32">
        <v>440000</v>
      </c>
      <c r="O15" s="181">
        <f t="shared" si="11"/>
        <v>8540000</v>
      </c>
      <c r="P15" s="183" t="s">
        <v>37</v>
      </c>
      <c r="Q15" s="249" t="s">
        <v>379</v>
      </c>
      <c r="R15" s="30" t="s">
        <v>508</v>
      </c>
      <c r="S15" s="183" t="s">
        <v>80</v>
      </c>
      <c r="T15" s="29">
        <v>5630</v>
      </c>
      <c r="U15" s="20">
        <v>1453</v>
      </c>
      <c r="V15" s="28">
        <v>1770</v>
      </c>
      <c r="W15" s="20"/>
      <c r="X15" s="27"/>
      <c r="Y15" s="26"/>
      <c r="Z15" s="25">
        <f t="shared" si="16"/>
        <v>7400</v>
      </c>
      <c r="AA15" s="20">
        <f t="shared" si="2"/>
        <v>0</v>
      </c>
      <c r="AB15" s="24">
        <f t="shared" si="12"/>
        <v>-7400</v>
      </c>
      <c r="AC15" s="37"/>
      <c r="AD15" s="37"/>
      <c r="AE15" s="22"/>
      <c r="AF15" s="20"/>
      <c r="AG15" s="21"/>
      <c r="AH15" s="20"/>
      <c r="AI15" s="21"/>
      <c r="AJ15" s="20"/>
      <c r="AK15" s="20"/>
      <c r="AL15" s="20"/>
      <c r="AM15" s="19">
        <v>35000</v>
      </c>
      <c r="AN15" s="19">
        <v>30000</v>
      </c>
      <c r="AO15" s="19"/>
      <c r="AP15" s="19"/>
      <c r="AQ15" s="19"/>
      <c r="AR15" s="19">
        <f t="shared" si="4"/>
        <v>65000</v>
      </c>
      <c r="AS15" s="17">
        <f t="shared" si="5"/>
        <v>8115390</v>
      </c>
      <c r="AT15" s="17">
        <f t="shared" si="6"/>
        <v>-424610</v>
      </c>
      <c r="AU15" s="17">
        <f t="shared" si="7"/>
        <v>729000</v>
      </c>
      <c r="AV15" s="17">
        <f t="shared" si="13"/>
        <v>152195</v>
      </c>
      <c r="AW15" s="17">
        <f t="shared" si="14"/>
        <v>136975.5</v>
      </c>
      <c r="AX15" s="18">
        <v>50000</v>
      </c>
      <c r="AY15" s="18"/>
      <c r="AZ15" s="17">
        <f t="shared" si="15"/>
        <v>86975.5</v>
      </c>
      <c r="BA15" s="16"/>
      <c r="BB15" s="16"/>
      <c r="BC15" s="16"/>
    </row>
    <row r="16" spans="1:55" ht="16.899999999999999">
      <c r="A16" s="36">
        <v>15</v>
      </c>
      <c r="B16" s="35">
        <v>46002</v>
      </c>
      <c r="C16" s="33" t="s">
        <v>1000</v>
      </c>
      <c r="D16" s="33" t="s">
        <v>1001</v>
      </c>
      <c r="E16" s="33" t="s">
        <v>1002</v>
      </c>
      <c r="F16" s="33" t="s">
        <v>1003</v>
      </c>
      <c r="G16" s="33"/>
      <c r="H16" s="33" t="s">
        <v>81</v>
      </c>
      <c r="I16" s="33" t="s">
        <v>159</v>
      </c>
      <c r="J16" s="33" t="s">
        <v>160</v>
      </c>
      <c r="K16" s="35" t="s">
        <v>161</v>
      </c>
      <c r="L16" s="34" t="s">
        <v>29</v>
      </c>
      <c r="M16" s="32">
        <v>4900000</v>
      </c>
      <c r="N16" s="32">
        <v>0</v>
      </c>
      <c r="O16" s="181">
        <f t="shared" si="11"/>
        <v>4900000</v>
      </c>
      <c r="P16" s="183" t="s">
        <v>37</v>
      </c>
      <c r="Q16" s="249" t="s">
        <v>379</v>
      </c>
      <c r="R16" s="30" t="s">
        <v>508</v>
      </c>
      <c r="S16" s="183" t="s">
        <v>80</v>
      </c>
      <c r="T16" s="29">
        <v>3430</v>
      </c>
      <c r="U16" s="20">
        <v>1453</v>
      </c>
      <c r="V16" s="28">
        <v>1870</v>
      </c>
      <c r="W16" s="20"/>
      <c r="X16" s="27"/>
      <c r="Y16" s="26"/>
      <c r="Z16" s="25">
        <f t="shared" si="16"/>
        <v>5300</v>
      </c>
      <c r="AA16" s="20">
        <f t="shared" si="2"/>
        <v>0</v>
      </c>
      <c r="AB16" s="24">
        <f t="shared" si="12"/>
        <v>-5300</v>
      </c>
      <c r="AC16" s="37"/>
      <c r="AD16" s="37"/>
      <c r="AE16" s="22"/>
      <c r="AF16" s="20"/>
      <c r="AG16" s="21"/>
      <c r="AH16" s="20"/>
      <c r="AI16" s="21"/>
      <c r="AJ16" s="20"/>
      <c r="AK16" s="20"/>
      <c r="AL16" s="20"/>
      <c r="AM16" s="19">
        <v>35000</v>
      </c>
      <c r="AN16" s="19">
        <v>30000</v>
      </c>
      <c r="AO16" s="19"/>
      <c r="AP16" s="19"/>
      <c r="AQ16" s="19"/>
      <c r="AR16" s="19">
        <f t="shared" si="4"/>
        <v>65000</v>
      </c>
      <c r="AS16" s="17">
        <f t="shared" si="5"/>
        <v>4918790</v>
      </c>
      <c r="AT16" s="17">
        <f t="shared" si="6"/>
        <v>18790</v>
      </c>
      <c r="AU16" s="17">
        <f t="shared" si="7"/>
        <v>441000</v>
      </c>
      <c r="AV16" s="17">
        <f t="shared" si="13"/>
        <v>229895</v>
      </c>
      <c r="AW16" s="17">
        <f t="shared" si="14"/>
        <v>206905.5</v>
      </c>
      <c r="AX16" s="18">
        <v>50000</v>
      </c>
      <c r="AY16" s="18"/>
      <c r="AZ16" s="17">
        <f t="shared" si="15"/>
        <v>156905.5</v>
      </c>
      <c r="BA16" s="16"/>
      <c r="BB16" s="16"/>
      <c r="BC16" s="16"/>
    </row>
    <row r="17" spans="1:55" ht="16.899999999999999">
      <c r="A17" s="36">
        <v>16</v>
      </c>
      <c r="B17" s="35">
        <v>46005</v>
      </c>
      <c r="C17" s="33" t="s">
        <v>1004</v>
      </c>
      <c r="D17" s="33" t="s">
        <v>1005</v>
      </c>
      <c r="E17" s="33" t="s">
        <v>1006</v>
      </c>
      <c r="F17" s="33" t="s">
        <v>1007</v>
      </c>
      <c r="G17" s="33"/>
      <c r="H17" s="33" t="s">
        <v>81</v>
      </c>
      <c r="I17" s="33" t="s">
        <v>159</v>
      </c>
      <c r="J17" s="33" t="s">
        <v>160</v>
      </c>
      <c r="K17" s="35" t="s">
        <v>161</v>
      </c>
      <c r="L17" s="34" t="s">
        <v>29</v>
      </c>
      <c r="M17" s="32">
        <v>5400000</v>
      </c>
      <c r="N17" s="32">
        <v>0</v>
      </c>
      <c r="O17" s="181">
        <f t="shared" si="11"/>
        <v>5400000</v>
      </c>
      <c r="P17" s="183" t="s">
        <v>37</v>
      </c>
      <c r="Q17" s="249" t="s">
        <v>379</v>
      </c>
      <c r="R17" s="30" t="s">
        <v>508</v>
      </c>
      <c r="S17" s="183" t="s">
        <v>80</v>
      </c>
      <c r="T17" s="29">
        <v>3730</v>
      </c>
      <c r="U17" s="20">
        <v>1463</v>
      </c>
      <c r="V17" s="28">
        <v>1870</v>
      </c>
      <c r="W17" s="20"/>
      <c r="X17" s="27"/>
      <c r="Y17" s="26"/>
      <c r="Z17" s="25">
        <f t="shared" si="16"/>
        <v>5600</v>
      </c>
      <c r="AA17" s="20">
        <f t="shared" si="2"/>
        <v>0</v>
      </c>
      <c r="AB17" s="24">
        <f t="shared" si="12"/>
        <v>-5600</v>
      </c>
      <c r="AC17" s="37"/>
      <c r="AD17" s="37"/>
      <c r="AE17" s="22"/>
      <c r="AF17" s="20"/>
      <c r="AG17" s="21"/>
      <c r="AH17" s="20"/>
      <c r="AI17" s="21"/>
      <c r="AJ17" s="20"/>
      <c r="AK17" s="20"/>
      <c r="AL17" s="20"/>
      <c r="AM17" s="19">
        <v>35000</v>
      </c>
      <c r="AN17" s="19">
        <v>30000</v>
      </c>
      <c r="AO17" s="19"/>
      <c r="AP17" s="19"/>
      <c r="AQ17" s="19"/>
      <c r="AR17" s="19">
        <f t="shared" si="4"/>
        <v>65000</v>
      </c>
      <c r="AS17" s="17">
        <f t="shared" si="5"/>
        <v>5391990</v>
      </c>
      <c r="AT17" s="17">
        <f t="shared" si="6"/>
        <v>-8010</v>
      </c>
      <c r="AU17" s="17">
        <f t="shared" si="7"/>
        <v>486000</v>
      </c>
      <c r="AV17" s="17">
        <f t="shared" si="13"/>
        <v>238995</v>
      </c>
      <c r="AW17" s="17">
        <f t="shared" si="14"/>
        <v>215095.5</v>
      </c>
      <c r="AX17" s="18">
        <v>50000</v>
      </c>
      <c r="AY17" s="18"/>
      <c r="AZ17" s="17">
        <f t="shared" si="15"/>
        <v>165095.5</v>
      </c>
      <c r="BA17" s="16"/>
      <c r="BB17" s="16"/>
      <c r="BC17" s="16"/>
    </row>
    <row r="18" spans="1:55" ht="16.899999999999999">
      <c r="A18" s="36">
        <v>17</v>
      </c>
      <c r="B18" s="35">
        <v>46015</v>
      </c>
      <c r="C18" s="33" t="s">
        <v>1008</v>
      </c>
      <c r="D18" s="33" t="s">
        <v>1009</v>
      </c>
      <c r="E18" s="33" t="s">
        <v>1010</v>
      </c>
      <c r="F18" s="33" t="s">
        <v>1011</v>
      </c>
      <c r="G18" s="33"/>
      <c r="H18" s="33" t="s">
        <v>38</v>
      </c>
      <c r="I18" s="33" t="s">
        <v>159</v>
      </c>
      <c r="J18" s="33" t="s">
        <v>160</v>
      </c>
      <c r="K18" s="35" t="s">
        <v>161</v>
      </c>
      <c r="L18" s="34" t="s">
        <v>29</v>
      </c>
      <c r="M18" s="32">
        <v>4800000</v>
      </c>
      <c r="N18" s="32">
        <v>440000</v>
      </c>
      <c r="O18" s="181">
        <f t="shared" si="11"/>
        <v>5240000</v>
      </c>
      <c r="P18" s="183" t="s">
        <v>37</v>
      </c>
      <c r="Q18" s="249" t="s">
        <v>379</v>
      </c>
      <c r="R18" s="30" t="s">
        <v>508</v>
      </c>
      <c r="S18" s="183" t="s">
        <v>80</v>
      </c>
      <c r="T18" s="29">
        <v>4030</v>
      </c>
      <c r="U18" s="20">
        <v>1443</v>
      </c>
      <c r="V18" s="28">
        <v>1670</v>
      </c>
      <c r="W18" s="20"/>
      <c r="X18" s="27"/>
      <c r="Y18" s="26"/>
      <c r="Z18" s="25">
        <f t="shared" si="16"/>
        <v>5700</v>
      </c>
      <c r="AA18" s="20">
        <f t="shared" si="2"/>
        <v>0</v>
      </c>
      <c r="AB18" s="24">
        <f t="shared" si="12"/>
        <v>-5700</v>
      </c>
      <c r="AC18" s="37"/>
      <c r="AD18" s="37"/>
      <c r="AE18" s="22"/>
      <c r="AF18" s="20"/>
      <c r="AG18" s="21"/>
      <c r="AH18" s="20"/>
      <c r="AI18" s="21"/>
      <c r="AJ18" s="20"/>
      <c r="AK18" s="20"/>
      <c r="AL18" s="20"/>
      <c r="AM18" s="19">
        <v>35000</v>
      </c>
      <c r="AN18" s="19">
        <v>30000</v>
      </c>
      <c r="AO18" s="19"/>
      <c r="AP18" s="19"/>
      <c r="AQ18" s="19"/>
      <c r="AR18" s="19">
        <f t="shared" si="4"/>
        <v>65000</v>
      </c>
      <c r="AS18" s="17">
        <f t="shared" si="5"/>
        <v>5750290</v>
      </c>
      <c r="AT18" s="17">
        <f t="shared" si="6"/>
        <v>510290</v>
      </c>
      <c r="AU18" s="17">
        <f t="shared" si="7"/>
        <v>432000</v>
      </c>
      <c r="AV18" s="17">
        <f t="shared" si="13"/>
        <v>471145</v>
      </c>
      <c r="AW18" s="17">
        <f t="shared" si="14"/>
        <v>424030.5</v>
      </c>
      <c r="AX18" s="18">
        <v>50000</v>
      </c>
      <c r="AY18" s="18"/>
      <c r="AZ18" s="17">
        <f t="shared" si="15"/>
        <v>374030.5</v>
      </c>
      <c r="BA18" s="16"/>
      <c r="BB18" s="16"/>
      <c r="BC18" s="16"/>
    </row>
    <row r="19" spans="1:55" ht="16.899999999999999">
      <c r="A19" s="36">
        <v>18</v>
      </c>
      <c r="B19" s="35">
        <v>46015</v>
      </c>
      <c r="C19" s="33" t="s">
        <v>1008</v>
      </c>
      <c r="D19" s="33" t="s">
        <v>1012</v>
      </c>
      <c r="E19" s="33" t="s">
        <v>1013</v>
      </c>
      <c r="F19" s="33" t="s">
        <v>1014</v>
      </c>
      <c r="G19" s="33"/>
      <c r="H19" s="33" t="s">
        <v>45</v>
      </c>
      <c r="I19" s="33" t="s">
        <v>163</v>
      </c>
      <c r="J19" s="33">
        <v>811577636</v>
      </c>
      <c r="K19" s="35" t="s">
        <v>162</v>
      </c>
      <c r="L19" s="34" t="s">
        <v>28</v>
      </c>
      <c r="M19" s="32">
        <v>14900000</v>
      </c>
      <c r="N19" s="32">
        <v>0</v>
      </c>
      <c r="O19" s="181">
        <f t="shared" si="11"/>
        <v>14900000</v>
      </c>
      <c r="P19" s="183" t="s">
        <v>37</v>
      </c>
      <c r="Q19" s="249" t="s">
        <v>379</v>
      </c>
      <c r="R19" s="30" t="s">
        <v>508</v>
      </c>
      <c r="S19" s="183" t="s">
        <v>80</v>
      </c>
      <c r="T19" s="29">
        <v>9930</v>
      </c>
      <c r="U19" s="20">
        <v>1443</v>
      </c>
      <c r="V19" s="28">
        <v>1670</v>
      </c>
      <c r="W19" s="20"/>
      <c r="X19" s="27"/>
      <c r="Y19" s="26"/>
      <c r="Z19" s="25">
        <f t="shared" si="16"/>
        <v>11600</v>
      </c>
      <c r="AA19" s="20">
        <f t="shared" si="2"/>
        <v>0</v>
      </c>
      <c r="AB19" s="24">
        <f t="shared" si="12"/>
        <v>-11600</v>
      </c>
      <c r="AC19" s="37"/>
      <c r="AD19" s="37"/>
      <c r="AE19" s="22"/>
      <c r="AF19" s="20"/>
      <c r="AG19" s="21"/>
      <c r="AH19" s="20"/>
      <c r="AI19" s="21"/>
      <c r="AJ19" s="20"/>
      <c r="AK19" s="20"/>
      <c r="AL19" s="20"/>
      <c r="AM19" s="19">
        <v>35000</v>
      </c>
      <c r="AN19" s="19">
        <v>30000</v>
      </c>
      <c r="AO19" s="19"/>
      <c r="AP19" s="19"/>
      <c r="AQ19" s="19"/>
      <c r="AR19" s="19">
        <f t="shared" si="4"/>
        <v>65000</v>
      </c>
      <c r="AS19" s="17">
        <f t="shared" si="5"/>
        <v>14263990</v>
      </c>
      <c r="AT19" s="17">
        <f t="shared" si="6"/>
        <v>-636010</v>
      </c>
      <c r="AU19" s="17">
        <f t="shared" si="7"/>
        <v>1341000</v>
      </c>
      <c r="AV19" s="17">
        <f t="shared" si="13"/>
        <v>352495</v>
      </c>
      <c r="AW19" s="17">
        <f t="shared" si="14"/>
        <v>317245.5</v>
      </c>
      <c r="AX19" s="18">
        <v>50000</v>
      </c>
      <c r="AY19" s="18"/>
      <c r="AZ19" s="17">
        <f t="shared" si="15"/>
        <v>267245.5</v>
      </c>
      <c r="BA19" s="16"/>
      <c r="BB19" s="16"/>
      <c r="BC19" s="16"/>
    </row>
    <row r="20" spans="1:55" ht="16.899999999999999">
      <c r="A20" s="36">
        <v>19</v>
      </c>
      <c r="B20" s="35">
        <v>46015</v>
      </c>
      <c r="C20" s="33" t="s">
        <v>240</v>
      </c>
      <c r="D20" s="33" t="s">
        <v>1015</v>
      </c>
      <c r="E20" s="33" t="s">
        <v>1016</v>
      </c>
      <c r="F20" s="33" t="s">
        <v>1017</v>
      </c>
      <c r="G20" s="33"/>
      <c r="H20" s="33" t="s">
        <v>38</v>
      </c>
      <c r="I20" s="33" t="s">
        <v>159</v>
      </c>
      <c r="J20" s="33" t="s">
        <v>160</v>
      </c>
      <c r="K20" s="35" t="s">
        <v>161</v>
      </c>
      <c r="L20" s="34" t="s">
        <v>29</v>
      </c>
      <c r="M20" s="32">
        <v>6700000</v>
      </c>
      <c r="N20" s="32">
        <v>440000</v>
      </c>
      <c r="O20" s="181">
        <f t="shared" si="11"/>
        <v>7140000</v>
      </c>
      <c r="P20" s="183" t="s">
        <v>37</v>
      </c>
      <c r="Q20" s="249" t="s">
        <v>379</v>
      </c>
      <c r="R20" s="30" t="s">
        <v>508</v>
      </c>
      <c r="S20" s="183" t="s">
        <v>80</v>
      </c>
      <c r="T20" s="29">
        <v>4830</v>
      </c>
      <c r="U20" s="20">
        <v>1443</v>
      </c>
      <c r="V20" s="28">
        <v>1770</v>
      </c>
      <c r="W20" s="20"/>
      <c r="X20" s="27"/>
      <c r="Y20" s="26"/>
      <c r="Z20" s="25">
        <f t="shared" si="16"/>
        <v>6600</v>
      </c>
      <c r="AA20" s="20">
        <f t="shared" si="2"/>
        <v>0</v>
      </c>
      <c r="AB20" s="24">
        <f t="shared" si="12"/>
        <v>-6600</v>
      </c>
      <c r="AC20" s="37"/>
      <c r="AD20" s="37"/>
      <c r="AE20" s="22"/>
      <c r="AF20" s="20"/>
      <c r="AG20" s="21"/>
      <c r="AH20" s="20"/>
      <c r="AI20" s="21"/>
      <c r="AJ20" s="20"/>
      <c r="AK20" s="20"/>
      <c r="AL20" s="20"/>
      <c r="AM20" s="19">
        <v>35000</v>
      </c>
      <c r="AN20" s="19">
        <v>30000</v>
      </c>
      <c r="AO20" s="19"/>
      <c r="AP20" s="19"/>
      <c r="AQ20" s="19"/>
      <c r="AR20" s="19">
        <f t="shared" si="4"/>
        <v>65000</v>
      </c>
      <c r="AS20" s="17">
        <f t="shared" si="5"/>
        <v>6904690</v>
      </c>
      <c r="AT20" s="17">
        <f t="shared" si="6"/>
        <v>-235310</v>
      </c>
      <c r="AU20" s="17">
        <f t="shared" si="7"/>
        <v>603000</v>
      </c>
      <c r="AV20" s="17">
        <f t="shared" si="13"/>
        <v>183845</v>
      </c>
      <c r="AW20" s="17">
        <f t="shared" si="14"/>
        <v>165460.5</v>
      </c>
      <c r="AX20" s="18">
        <v>50000</v>
      </c>
      <c r="AY20" s="18"/>
      <c r="AZ20" s="17">
        <f t="shared" si="15"/>
        <v>115460.5</v>
      </c>
      <c r="BA20" s="16"/>
      <c r="BB20" s="16"/>
      <c r="BC20" s="16"/>
    </row>
    <row r="21" spans="1:55" ht="16.899999999999999">
      <c r="A21" s="36">
        <v>20</v>
      </c>
      <c r="B21" s="35">
        <v>46015</v>
      </c>
      <c r="C21" s="33" t="s">
        <v>240</v>
      </c>
      <c r="D21" s="33" t="s">
        <v>1018</v>
      </c>
      <c r="E21" s="33" t="s">
        <v>1019</v>
      </c>
      <c r="F21" s="33" t="s">
        <v>1020</v>
      </c>
      <c r="G21" s="33"/>
      <c r="H21" s="33" t="s">
        <v>38</v>
      </c>
      <c r="I21" s="33" t="s">
        <v>159</v>
      </c>
      <c r="J21" s="33" t="s">
        <v>160</v>
      </c>
      <c r="K21" s="35" t="s">
        <v>161</v>
      </c>
      <c r="L21" s="34" t="s">
        <v>29</v>
      </c>
      <c r="M21" s="32">
        <v>5400000</v>
      </c>
      <c r="N21" s="32">
        <v>0</v>
      </c>
      <c r="O21" s="181">
        <f t="shared" si="11"/>
        <v>5400000</v>
      </c>
      <c r="P21" s="183" t="s">
        <v>37</v>
      </c>
      <c r="Q21" s="249" t="s">
        <v>379</v>
      </c>
      <c r="R21" s="30" t="s">
        <v>508</v>
      </c>
      <c r="S21" s="183" t="s">
        <v>80</v>
      </c>
      <c r="T21" s="29">
        <v>3730</v>
      </c>
      <c r="U21" s="20">
        <v>1443</v>
      </c>
      <c r="V21" s="28">
        <v>1770</v>
      </c>
      <c r="W21" s="20"/>
      <c r="X21" s="27"/>
      <c r="Y21" s="26"/>
      <c r="Z21" s="25">
        <f t="shared" si="16"/>
        <v>5500</v>
      </c>
      <c r="AA21" s="20">
        <f t="shared" si="2"/>
        <v>0</v>
      </c>
      <c r="AB21" s="24">
        <f t="shared" si="12"/>
        <v>-5500</v>
      </c>
      <c r="AC21" s="37"/>
      <c r="AD21" s="37"/>
      <c r="AE21" s="22"/>
      <c r="AF21" s="20"/>
      <c r="AG21" s="21"/>
      <c r="AH21" s="20"/>
      <c r="AI21" s="21"/>
      <c r="AJ21" s="20"/>
      <c r="AK21" s="20"/>
      <c r="AL21" s="20"/>
      <c r="AM21" s="19">
        <v>35000</v>
      </c>
      <c r="AN21" s="19">
        <v>30000</v>
      </c>
      <c r="AO21" s="19"/>
      <c r="AP21" s="19"/>
      <c r="AQ21" s="19"/>
      <c r="AR21" s="19">
        <f t="shared" si="4"/>
        <v>65000</v>
      </c>
      <c r="AS21" s="17">
        <f t="shared" si="5"/>
        <v>5317390</v>
      </c>
      <c r="AT21" s="17">
        <f t="shared" si="6"/>
        <v>-82610</v>
      </c>
      <c r="AU21" s="17">
        <f t="shared" si="7"/>
        <v>486000</v>
      </c>
      <c r="AV21" s="17">
        <f t="shared" si="13"/>
        <v>201695</v>
      </c>
      <c r="AW21" s="17">
        <f t="shared" si="14"/>
        <v>181525.5</v>
      </c>
      <c r="AX21" s="18">
        <v>50000</v>
      </c>
      <c r="AY21" s="18"/>
      <c r="AZ21" s="17" t="s">
        <v>27</v>
      </c>
      <c r="BA21" s="16"/>
      <c r="BB21" s="16"/>
      <c r="BC21" s="16"/>
    </row>
    <row r="22" spans="1:55" ht="16.899999999999999">
      <c r="A22" s="36">
        <v>21</v>
      </c>
      <c r="B22" s="35">
        <v>46024</v>
      </c>
      <c r="C22" s="33" t="s">
        <v>1021</v>
      </c>
      <c r="D22" s="33" t="s">
        <v>1022</v>
      </c>
      <c r="E22" s="33" t="s">
        <v>1023</v>
      </c>
      <c r="F22" s="33" t="s">
        <v>1024</v>
      </c>
      <c r="G22" s="33"/>
      <c r="H22" s="33" t="s">
        <v>45</v>
      </c>
      <c r="I22" s="33" t="s">
        <v>163</v>
      </c>
      <c r="J22" s="33">
        <v>811577636</v>
      </c>
      <c r="K22" s="35" t="s">
        <v>162</v>
      </c>
      <c r="L22" s="34" t="s">
        <v>28</v>
      </c>
      <c r="M22" s="32">
        <v>16400000</v>
      </c>
      <c r="N22" s="32">
        <v>440000</v>
      </c>
      <c r="O22" s="181">
        <f t="shared" si="11"/>
        <v>16840000</v>
      </c>
      <c r="P22" s="183" t="s">
        <v>37</v>
      </c>
      <c r="Q22" s="249" t="s">
        <v>379</v>
      </c>
      <c r="R22" s="30" t="s">
        <v>508</v>
      </c>
      <c r="S22" s="183" t="s">
        <v>80</v>
      </c>
      <c r="T22" s="29">
        <v>11330</v>
      </c>
      <c r="U22" s="20">
        <v>1430</v>
      </c>
      <c r="V22" s="28">
        <v>1670</v>
      </c>
      <c r="W22" s="20"/>
      <c r="X22" s="27"/>
      <c r="Y22" s="26"/>
      <c r="Z22" s="25">
        <f t="shared" si="16"/>
        <v>13000</v>
      </c>
      <c r="AA22" s="20">
        <f t="shared" si="2"/>
        <v>0</v>
      </c>
      <c r="AB22" s="24">
        <f t="shared" si="12"/>
        <v>-13000</v>
      </c>
      <c r="AC22" s="37"/>
      <c r="AD22" s="37"/>
      <c r="AE22" s="22"/>
      <c r="AF22" s="20"/>
      <c r="AG22" s="21"/>
      <c r="AH22" s="20"/>
      <c r="AI22" s="21"/>
      <c r="AJ22" s="20"/>
      <c r="AK22" s="20"/>
      <c r="AL22" s="20"/>
      <c r="AM22" s="19">
        <v>35000</v>
      </c>
      <c r="AN22" s="19">
        <v>30000</v>
      </c>
      <c r="AO22" s="19"/>
      <c r="AP22" s="19"/>
      <c r="AQ22" s="19"/>
      <c r="AR22" s="19">
        <f t="shared" si="4"/>
        <v>65000</v>
      </c>
      <c r="AS22" s="17">
        <f t="shared" si="5"/>
        <v>16136900</v>
      </c>
      <c r="AT22" s="17">
        <f t="shared" si="6"/>
        <v>-703100</v>
      </c>
      <c r="AU22" s="17">
        <f t="shared" si="7"/>
        <v>1476000</v>
      </c>
      <c r="AV22" s="17">
        <f t="shared" si="13"/>
        <v>386450</v>
      </c>
      <c r="AW22" s="17">
        <f t="shared" si="14"/>
        <v>347805</v>
      </c>
      <c r="AX22" s="18">
        <v>50000</v>
      </c>
      <c r="AY22" s="18"/>
      <c r="AZ22" s="17">
        <f t="shared" ref="AZ22:AZ39" si="17">SUM(AW22-AX22-AY22)</f>
        <v>297805</v>
      </c>
      <c r="BA22" s="16"/>
      <c r="BB22" s="16"/>
      <c r="BC22" s="16"/>
    </row>
    <row r="23" spans="1:55" ht="16.899999999999999">
      <c r="A23" s="36">
        <v>22</v>
      </c>
      <c r="B23" s="35">
        <v>46024</v>
      </c>
      <c r="C23" s="33" t="s">
        <v>240</v>
      </c>
      <c r="D23" s="33" t="s">
        <v>1025</v>
      </c>
      <c r="E23" s="33" t="s">
        <v>1026</v>
      </c>
      <c r="F23" s="33" t="s">
        <v>1027</v>
      </c>
      <c r="G23" s="33"/>
      <c r="H23" s="33" t="s">
        <v>38</v>
      </c>
      <c r="I23" s="33" t="s">
        <v>159</v>
      </c>
      <c r="J23" s="33" t="s">
        <v>160</v>
      </c>
      <c r="K23" s="35" t="s">
        <v>161</v>
      </c>
      <c r="L23" s="34" t="s">
        <v>29</v>
      </c>
      <c r="M23" s="32">
        <v>7600000</v>
      </c>
      <c r="N23" s="32">
        <v>0</v>
      </c>
      <c r="O23" s="181">
        <f t="shared" si="11"/>
        <v>7600000</v>
      </c>
      <c r="P23" s="183" t="s">
        <v>37</v>
      </c>
      <c r="Q23" s="249" t="s">
        <v>379</v>
      </c>
      <c r="R23" s="30" t="s">
        <v>508</v>
      </c>
      <c r="S23" s="183" t="s">
        <v>80</v>
      </c>
      <c r="T23" s="29">
        <v>5230</v>
      </c>
      <c r="U23" s="20">
        <v>1426</v>
      </c>
      <c r="V23" s="28">
        <v>1770</v>
      </c>
      <c r="W23" s="20"/>
      <c r="X23" s="27"/>
      <c r="Y23" s="26"/>
      <c r="Z23" s="25">
        <f t="shared" si="16"/>
        <v>7000</v>
      </c>
      <c r="AA23" s="20">
        <f t="shared" si="2"/>
        <v>0</v>
      </c>
      <c r="AB23" s="24">
        <f t="shared" si="12"/>
        <v>-7000</v>
      </c>
      <c r="AC23" s="37"/>
      <c r="AD23" s="37"/>
      <c r="AE23" s="22"/>
      <c r="AF23" s="20"/>
      <c r="AG23" s="21"/>
      <c r="AH23" s="20"/>
      <c r="AI23" s="21"/>
      <c r="AJ23" s="20"/>
      <c r="AK23" s="20"/>
      <c r="AL23" s="20"/>
      <c r="AM23" s="19">
        <v>35000</v>
      </c>
      <c r="AN23" s="19">
        <v>30000</v>
      </c>
      <c r="AO23" s="19"/>
      <c r="AP23" s="19"/>
      <c r="AQ23" s="19"/>
      <c r="AR23" s="19">
        <f t="shared" si="4"/>
        <v>65000</v>
      </c>
      <c r="AS23" s="17">
        <f t="shared" si="5"/>
        <v>7392980</v>
      </c>
      <c r="AT23" s="17">
        <f t="shared" si="6"/>
        <v>-207020</v>
      </c>
      <c r="AU23" s="17">
        <f t="shared" si="7"/>
        <v>684000</v>
      </c>
      <c r="AV23" s="17">
        <f t="shared" si="13"/>
        <v>238490</v>
      </c>
      <c r="AW23" s="17">
        <f t="shared" si="14"/>
        <v>214641</v>
      </c>
      <c r="AX23" s="18">
        <v>50000</v>
      </c>
      <c r="AY23" s="18"/>
      <c r="AZ23" s="17">
        <f t="shared" si="17"/>
        <v>164641</v>
      </c>
      <c r="BA23" s="16"/>
      <c r="BB23" s="16"/>
      <c r="BC23" s="16"/>
    </row>
    <row r="24" spans="1:55" ht="16.899999999999999">
      <c r="A24" s="36">
        <v>23</v>
      </c>
      <c r="B24" s="35">
        <v>46024</v>
      </c>
      <c r="C24" s="33" t="s">
        <v>240</v>
      </c>
      <c r="D24" s="33" t="s">
        <v>1028</v>
      </c>
      <c r="E24" s="33" t="s">
        <v>1029</v>
      </c>
      <c r="F24" s="33" t="s">
        <v>1030</v>
      </c>
      <c r="G24" s="33"/>
      <c r="H24" s="33" t="s">
        <v>38</v>
      </c>
      <c r="I24" s="33" t="s">
        <v>159</v>
      </c>
      <c r="J24" s="33" t="s">
        <v>160</v>
      </c>
      <c r="K24" s="35" t="s">
        <v>161</v>
      </c>
      <c r="L24" s="34" t="s">
        <v>29</v>
      </c>
      <c r="M24" s="32">
        <v>4000000</v>
      </c>
      <c r="N24" s="32">
        <v>0</v>
      </c>
      <c r="O24" s="181">
        <f t="shared" si="11"/>
        <v>4000000</v>
      </c>
      <c r="P24" s="183" t="s">
        <v>37</v>
      </c>
      <c r="Q24" s="249" t="s">
        <v>379</v>
      </c>
      <c r="R24" s="30" t="s">
        <v>508</v>
      </c>
      <c r="S24" s="183" t="s">
        <v>80</v>
      </c>
      <c r="T24" s="29">
        <v>2930</v>
      </c>
      <c r="U24" s="20">
        <v>1430</v>
      </c>
      <c r="V24" s="28">
        <v>1770</v>
      </c>
      <c r="W24" s="20"/>
      <c r="X24" s="27"/>
      <c r="Y24" s="26"/>
      <c r="Z24" s="25">
        <f t="shared" si="16"/>
        <v>4700</v>
      </c>
      <c r="AA24" s="20">
        <f t="shared" si="2"/>
        <v>0</v>
      </c>
      <c r="AB24" s="24">
        <f t="shared" si="12"/>
        <v>-4700</v>
      </c>
      <c r="AC24" s="37"/>
      <c r="AD24" s="37" t="s">
        <v>76</v>
      </c>
      <c r="AE24" s="22"/>
      <c r="AF24" s="20"/>
      <c r="AG24" s="21"/>
      <c r="AH24" s="20"/>
      <c r="AI24" s="21"/>
      <c r="AJ24" s="20"/>
      <c r="AK24" s="20"/>
      <c r="AL24" s="20"/>
      <c r="AM24" s="19">
        <v>35000</v>
      </c>
      <c r="AN24" s="19">
        <v>30000</v>
      </c>
      <c r="AO24" s="19"/>
      <c r="AP24" s="19"/>
      <c r="AQ24" s="19"/>
      <c r="AR24" s="19">
        <f t="shared" si="4"/>
        <v>65000</v>
      </c>
      <c r="AS24" s="17">
        <f t="shared" si="5"/>
        <v>4124900</v>
      </c>
      <c r="AT24" s="17">
        <f t="shared" si="6"/>
        <v>124900</v>
      </c>
      <c r="AU24" s="17">
        <f t="shared" si="7"/>
        <v>360000</v>
      </c>
      <c r="AV24" s="17">
        <f t="shared" si="13"/>
        <v>242450</v>
      </c>
      <c r="AW24" s="17">
        <f t="shared" si="14"/>
        <v>218205</v>
      </c>
      <c r="AX24" s="18">
        <v>50000</v>
      </c>
      <c r="AY24" s="18"/>
      <c r="AZ24" s="17">
        <f t="shared" si="17"/>
        <v>168205</v>
      </c>
      <c r="BA24" s="16"/>
      <c r="BB24" s="16"/>
      <c r="BC24" s="16"/>
    </row>
    <row r="25" spans="1:55" ht="16.899999999999999">
      <c r="A25" s="36">
        <v>24</v>
      </c>
      <c r="B25" s="35">
        <v>46027</v>
      </c>
      <c r="C25" s="33" t="s">
        <v>240</v>
      </c>
      <c r="D25" s="33" t="s">
        <v>1031</v>
      </c>
      <c r="E25" s="33" t="s">
        <v>1032</v>
      </c>
      <c r="F25" s="33" t="s">
        <v>1033</v>
      </c>
      <c r="G25" s="33"/>
      <c r="H25" s="33" t="s">
        <v>38</v>
      </c>
      <c r="I25" s="33" t="s">
        <v>159</v>
      </c>
      <c r="J25" s="33" t="s">
        <v>160</v>
      </c>
      <c r="K25" s="35" t="s">
        <v>161</v>
      </c>
      <c r="L25" s="34" t="s">
        <v>29</v>
      </c>
      <c r="M25" s="32">
        <v>6200000</v>
      </c>
      <c r="N25" s="32">
        <v>440000</v>
      </c>
      <c r="O25" s="181">
        <f t="shared" si="11"/>
        <v>6640000</v>
      </c>
      <c r="P25" s="183" t="s">
        <v>37</v>
      </c>
      <c r="Q25" s="249" t="s">
        <v>379</v>
      </c>
      <c r="R25" s="30" t="s">
        <v>508</v>
      </c>
      <c r="S25" s="183" t="s">
        <v>80</v>
      </c>
      <c r="T25" s="29">
        <v>4880</v>
      </c>
      <c r="U25" s="20">
        <v>1435</v>
      </c>
      <c r="V25" s="28">
        <v>1770</v>
      </c>
      <c r="W25" s="20"/>
      <c r="X25" s="27"/>
      <c r="Y25" s="26"/>
      <c r="Z25" s="25">
        <f t="shared" si="16"/>
        <v>6650</v>
      </c>
      <c r="AA25" s="20">
        <f t="shared" si="2"/>
        <v>0</v>
      </c>
      <c r="AB25" s="24">
        <f t="shared" si="12"/>
        <v>-6650</v>
      </c>
      <c r="AC25" s="37"/>
      <c r="AD25" s="37"/>
      <c r="AE25" s="22"/>
      <c r="AF25" s="20"/>
      <c r="AG25" s="21"/>
      <c r="AH25" s="20"/>
      <c r="AI25" s="21"/>
      <c r="AJ25" s="20"/>
      <c r="AK25" s="20"/>
      <c r="AL25" s="20"/>
      <c r="AM25" s="19">
        <v>35000</v>
      </c>
      <c r="AN25" s="19">
        <v>30000</v>
      </c>
      <c r="AO25" s="19"/>
      <c r="AP25" s="19"/>
      <c r="AQ25" s="19"/>
      <c r="AR25" s="19">
        <f t="shared" si="4"/>
        <v>65000</v>
      </c>
      <c r="AS25" s="17">
        <f t="shared" si="5"/>
        <v>6937800</v>
      </c>
      <c r="AT25" s="17">
        <f t="shared" si="6"/>
        <v>297800</v>
      </c>
      <c r="AU25" s="17">
        <f t="shared" si="7"/>
        <v>558000</v>
      </c>
      <c r="AV25" s="17">
        <f t="shared" si="13"/>
        <v>427900</v>
      </c>
      <c r="AW25" s="17">
        <f t="shared" si="14"/>
        <v>385110</v>
      </c>
      <c r="AX25" s="18">
        <v>50000</v>
      </c>
      <c r="AY25" s="18"/>
      <c r="AZ25" s="17">
        <f t="shared" si="17"/>
        <v>335110</v>
      </c>
      <c r="BA25" s="16"/>
      <c r="BB25" s="16"/>
      <c r="BC25" s="16"/>
    </row>
    <row r="26" spans="1:55" ht="16.899999999999999">
      <c r="A26" s="36">
        <v>25</v>
      </c>
      <c r="B26" s="35">
        <v>46028</v>
      </c>
      <c r="C26" s="33" t="s">
        <v>465</v>
      </c>
      <c r="D26" s="33" t="s">
        <v>1034</v>
      </c>
      <c r="E26" s="33" t="s">
        <v>1035</v>
      </c>
      <c r="F26" s="33" t="s">
        <v>1036</v>
      </c>
      <c r="G26" s="33"/>
      <c r="H26" s="33" t="s">
        <v>38</v>
      </c>
      <c r="I26" s="33" t="s">
        <v>159</v>
      </c>
      <c r="J26" s="33" t="s">
        <v>160</v>
      </c>
      <c r="K26" s="35" t="s">
        <v>161</v>
      </c>
      <c r="L26" s="34" t="s">
        <v>29</v>
      </c>
      <c r="M26" s="32">
        <v>9500000</v>
      </c>
      <c r="N26" s="32">
        <v>0</v>
      </c>
      <c r="O26" s="181">
        <f t="shared" si="11"/>
        <v>9500000</v>
      </c>
      <c r="P26" s="183" t="s">
        <v>37</v>
      </c>
      <c r="Q26" s="249" t="s">
        <v>379</v>
      </c>
      <c r="R26" s="30" t="s">
        <v>508</v>
      </c>
      <c r="S26" s="183" t="s">
        <v>80</v>
      </c>
      <c r="T26" s="29">
        <v>6530</v>
      </c>
      <c r="U26" s="20">
        <v>1435</v>
      </c>
      <c r="V26" s="28">
        <v>1770</v>
      </c>
      <c r="W26" s="20"/>
      <c r="X26" s="27"/>
      <c r="Y26" s="26"/>
      <c r="Z26" s="25">
        <f t="shared" si="16"/>
        <v>8300</v>
      </c>
      <c r="AA26" s="20">
        <f t="shared" si="2"/>
        <v>0</v>
      </c>
      <c r="AB26" s="24">
        <f t="shared" si="12"/>
        <v>-8300</v>
      </c>
      <c r="AC26" s="37"/>
      <c r="AD26" s="37"/>
      <c r="AE26" s="22"/>
      <c r="AF26" s="20"/>
      <c r="AG26" s="21"/>
      <c r="AH26" s="20"/>
      <c r="AI26" s="21"/>
      <c r="AJ26" s="20"/>
      <c r="AK26" s="20"/>
      <c r="AL26" s="20"/>
      <c r="AM26" s="19">
        <v>35000</v>
      </c>
      <c r="AN26" s="19">
        <v>30000</v>
      </c>
      <c r="AO26" s="19"/>
      <c r="AP26" s="19"/>
      <c r="AQ26" s="19"/>
      <c r="AR26" s="19">
        <f t="shared" si="4"/>
        <v>65000</v>
      </c>
      <c r="AS26" s="17">
        <f t="shared" si="5"/>
        <v>9305550</v>
      </c>
      <c r="AT26" s="17">
        <f t="shared" si="6"/>
        <v>-194450</v>
      </c>
      <c r="AU26" s="17">
        <f t="shared" si="7"/>
        <v>855000</v>
      </c>
      <c r="AV26" s="17">
        <f t="shared" si="13"/>
        <v>330275</v>
      </c>
      <c r="AW26" s="17">
        <f t="shared" si="14"/>
        <v>297247.5</v>
      </c>
      <c r="AX26" s="18">
        <v>50000</v>
      </c>
      <c r="AY26" s="18"/>
      <c r="AZ26" s="17">
        <f t="shared" si="17"/>
        <v>247247.5</v>
      </c>
      <c r="BA26" s="16"/>
      <c r="BB26" s="16"/>
      <c r="BC26" s="16"/>
    </row>
    <row r="27" spans="1:55" ht="16.899999999999999">
      <c r="A27" s="36">
        <v>26</v>
      </c>
      <c r="B27" s="35">
        <v>46028</v>
      </c>
      <c r="C27" s="33" t="s">
        <v>710</v>
      </c>
      <c r="D27" s="33" t="s">
        <v>1037</v>
      </c>
      <c r="E27" s="33" t="s">
        <v>1038</v>
      </c>
      <c r="F27" s="33" t="s">
        <v>1039</v>
      </c>
      <c r="G27" s="33"/>
      <c r="H27" s="33" t="s">
        <v>45</v>
      </c>
      <c r="I27" s="33" t="s">
        <v>163</v>
      </c>
      <c r="J27" s="33">
        <v>811577636</v>
      </c>
      <c r="K27" s="35" t="s">
        <v>162</v>
      </c>
      <c r="L27" s="34" t="s">
        <v>28</v>
      </c>
      <c r="M27" s="32">
        <v>8500000</v>
      </c>
      <c r="N27" s="32">
        <v>0</v>
      </c>
      <c r="O27" s="181">
        <f t="shared" si="11"/>
        <v>8500000</v>
      </c>
      <c r="P27" s="183" t="s">
        <v>37</v>
      </c>
      <c r="Q27" s="249" t="s">
        <v>379</v>
      </c>
      <c r="R27" s="30" t="s">
        <v>508</v>
      </c>
      <c r="S27" s="183" t="s">
        <v>80</v>
      </c>
      <c r="T27" s="29">
        <v>5980</v>
      </c>
      <c r="U27" s="20">
        <v>1432</v>
      </c>
      <c r="V27" s="28">
        <v>1770</v>
      </c>
      <c r="W27" s="20"/>
      <c r="X27" s="27"/>
      <c r="Y27" s="26"/>
      <c r="Z27" s="25">
        <f t="shared" si="16"/>
        <v>7750</v>
      </c>
      <c r="AA27" s="20">
        <f t="shared" si="2"/>
        <v>0</v>
      </c>
      <c r="AB27" s="24">
        <f t="shared" si="12"/>
        <v>-7750</v>
      </c>
      <c r="AC27" s="37"/>
      <c r="AD27" s="37"/>
      <c r="AE27" s="22"/>
      <c r="AF27" s="20"/>
      <c r="AG27" s="21"/>
      <c r="AH27" s="20"/>
      <c r="AI27" s="21"/>
      <c r="AJ27" s="20"/>
      <c r="AK27" s="20"/>
      <c r="AL27" s="20"/>
      <c r="AM27" s="19">
        <v>35000</v>
      </c>
      <c r="AN27" s="19">
        <v>30000</v>
      </c>
      <c r="AO27" s="19"/>
      <c r="AP27" s="19"/>
      <c r="AQ27" s="19"/>
      <c r="AR27" s="19">
        <f t="shared" si="4"/>
        <v>65000</v>
      </c>
      <c r="AS27" s="17">
        <f t="shared" si="5"/>
        <v>8498360</v>
      </c>
      <c r="AT27" s="17">
        <f t="shared" si="6"/>
        <v>-1640</v>
      </c>
      <c r="AU27" s="17">
        <f t="shared" si="7"/>
        <v>765000</v>
      </c>
      <c r="AV27" s="17">
        <f t="shared" si="13"/>
        <v>381680</v>
      </c>
      <c r="AW27" s="17">
        <f t="shared" si="14"/>
        <v>343512</v>
      </c>
      <c r="AX27" s="18">
        <v>50000</v>
      </c>
      <c r="AY27" s="18"/>
      <c r="AZ27" s="17">
        <f t="shared" si="17"/>
        <v>293512</v>
      </c>
      <c r="BA27" s="16"/>
      <c r="BB27" s="16"/>
      <c r="BC27" s="16"/>
    </row>
    <row r="28" spans="1:55" ht="16.5" customHeight="1">
      <c r="A28" s="36">
        <v>27</v>
      </c>
      <c r="B28" s="35">
        <v>46028</v>
      </c>
      <c r="C28" s="33" t="s">
        <v>235</v>
      </c>
      <c r="D28" s="33" t="s">
        <v>1040</v>
      </c>
      <c r="E28" s="33" t="s">
        <v>1041</v>
      </c>
      <c r="F28" s="33" t="s">
        <v>1042</v>
      </c>
      <c r="G28" s="33"/>
      <c r="H28" s="33" t="s">
        <v>38</v>
      </c>
      <c r="I28" s="33" t="s">
        <v>159</v>
      </c>
      <c r="J28" s="33" t="s">
        <v>160</v>
      </c>
      <c r="K28" s="35" t="s">
        <v>161</v>
      </c>
      <c r="L28" s="34" t="s">
        <v>29</v>
      </c>
      <c r="M28" s="32">
        <v>6500000</v>
      </c>
      <c r="N28" s="32">
        <v>0</v>
      </c>
      <c r="O28" s="181">
        <f t="shared" si="11"/>
        <v>6500000</v>
      </c>
      <c r="P28" s="183" t="s">
        <v>37</v>
      </c>
      <c r="Q28" s="249" t="s">
        <v>379</v>
      </c>
      <c r="R28" s="30" t="s">
        <v>508</v>
      </c>
      <c r="S28" s="183" t="s">
        <v>80</v>
      </c>
      <c r="T28" s="29">
        <v>4530</v>
      </c>
      <c r="U28" s="20">
        <v>1435</v>
      </c>
      <c r="V28" s="28">
        <v>1770</v>
      </c>
      <c r="W28" s="20"/>
      <c r="X28" s="27"/>
      <c r="Y28" s="26"/>
      <c r="Z28" s="25">
        <f t="shared" si="16"/>
        <v>6300</v>
      </c>
      <c r="AA28" s="20">
        <f t="shared" si="2"/>
        <v>0</v>
      </c>
      <c r="AB28" s="24">
        <f t="shared" si="12"/>
        <v>-6300</v>
      </c>
      <c r="AC28" s="37"/>
      <c r="AD28" s="37"/>
      <c r="AE28" s="22"/>
      <c r="AF28" s="20"/>
      <c r="AG28" s="21"/>
      <c r="AH28" s="20"/>
      <c r="AI28" s="21"/>
      <c r="AJ28" s="20"/>
      <c r="AK28" s="20"/>
      <c r="AL28" s="20"/>
      <c r="AM28" s="19">
        <v>35000</v>
      </c>
      <c r="AN28" s="19">
        <v>30000</v>
      </c>
      <c r="AO28" s="19"/>
      <c r="AP28" s="19"/>
      <c r="AQ28" s="19"/>
      <c r="AR28" s="19">
        <f t="shared" si="4"/>
        <v>65000</v>
      </c>
      <c r="AS28" s="17">
        <f t="shared" si="5"/>
        <v>6435550</v>
      </c>
      <c r="AT28" s="17">
        <f t="shared" si="6"/>
        <v>-64450</v>
      </c>
      <c r="AU28" s="17">
        <f t="shared" si="7"/>
        <v>585000</v>
      </c>
      <c r="AV28" s="17">
        <f t="shared" si="13"/>
        <v>260275</v>
      </c>
      <c r="AW28" s="17">
        <f t="shared" si="14"/>
        <v>234247.5</v>
      </c>
      <c r="AX28" s="18">
        <v>50000</v>
      </c>
      <c r="AY28" s="18"/>
      <c r="AZ28" s="17">
        <f t="shared" si="17"/>
        <v>184247.5</v>
      </c>
      <c r="BA28" s="16"/>
      <c r="BB28" s="16"/>
      <c r="BC28" s="16"/>
    </row>
    <row r="29" spans="1:55" ht="16.899999999999999">
      <c r="A29" s="36">
        <v>28</v>
      </c>
      <c r="B29" s="35">
        <v>46030</v>
      </c>
      <c r="C29" s="33" t="s">
        <v>1043</v>
      </c>
      <c r="D29" s="33" t="s">
        <v>1044</v>
      </c>
      <c r="E29" s="33" t="s">
        <v>1045</v>
      </c>
      <c r="F29" s="33" t="s">
        <v>1046</v>
      </c>
      <c r="G29" s="33"/>
      <c r="H29" s="33" t="s">
        <v>38</v>
      </c>
      <c r="I29" s="33" t="s">
        <v>159</v>
      </c>
      <c r="J29" s="33" t="s">
        <v>160</v>
      </c>
      <c r="K29" s="35" t="s">
        <v>161</v>
      </c>
      <c r="L29" s="34" t="s">
        <v>29</v>
      </c>
      <c r="M29" s="32">
        <v>31200000</v>
      </c>
      <c r="N29" s="32">
        <v>0</v>
      </c>
      <c r="O29" s="181">
        <f t="shared" si="11"/>
        <v>31200000</v>
      </c>
      <c r="P29" s="183" t="s">
        <v>37</v>
      </c>
      <c r="Q29" s="249" t="s">
        <v>379</v>
      </c>
      <c r="R29" s="30" t="s">
        <v>508</v>
      </c>
      <c r="S29" s="183" t="s">
        <v>80</v>
      </c>
      <c r="T29" s="29">
        <v>20830</v>
      </c>
      <c r="U29" s="20">
        <v>1435</v>
      </c>
      <c r="V29" s="28">
        <v>1670</v>
      </c>
      <c r="W29" s="20"/>
      <c r="X29" s="27"/>
      <c r="Y29" s="26"/>
      <c r="Z29" s="25">
        <f t="shared" si="16"/>
        <v>22500</v>
      </c>
      <c r="AA29" s="20">
        <f t="shared" si="2"/>
        <v>0</v>
      </c>
      <c r="AB29" s="24">
        <f t="shared" si="12"/>
        <v>-22500</v>
      </c>
      <c r="AC29" s="37"/>
      <c r="AD29" s="37"/>
      <c r="AE29" s="22"/>
      <c r="AF29" s="20"/>
      <c r="AG29" s="21"/>
      <c r="AH29" s="20"/>
      <c r="AI29" s="21"/>
      <c r="AJ29" s="20"/>
      <c r="AK29" s="20"/>
      <c r="AL29" s="20"/>
      <c r="AM29" s="19">
        <v>35000</v>
      </c>
      <c r="AN29" s="19">
        <v>30000</v>
      </c>
      <c r="AO29" s="19"/>
      <c r="AP29" s="19"/>
      <c r="AQ29" s="19"/>
      <c r="AR29" s="19">
        <f t="shared" si="4"/>
        <v>65000</v>
      </c>
      <c r="AS29" s="17">
        <f t="shared" si="5"/>
        <v>29826050</v>
      </c>
      <c r="AT29" s="17">
        <f t="shared" si="6"/>
        <v>-1373950</v>
      </c>
      <c r="AU29" s="17">
        <f t="shared" si="7"/>
        <v>2808000</v>
      </c>
      <c r="AV29" s="17">
        <f t="shared" si="13"/>
        <v>717025</v>
      </c>
      <c r="AW29" s="17">
        <f t="shared" si="14"/>
        <v>645322.5</v>
      </c>
      <c r="AX29" s="18">
        <v>50000</v>
      </c>
      <c r="AY29" s="18"/>
      <c r="AZ29" s="17">
        <f t="shared" si="17"/>
        <v>595322.5</v>
      </c>
      <c r="BA29" s="16"/>
      <c r="BB29" s="16"/>
      <c r="BC29" s="16"/>
    </row>
    <row r="30" spans="1:55" s="6" customFormat="1" ht="16.899999999999999">
      <c r="A30" s="36">
        <v>29</v>
      </c>
      <c r="B30" s="35">
        <v>46031</v>
      </c>
      <c r="C30" s="33" t="s">
        <v>1047</v>
      </c>
      <c r="D30" s="33" t="s">
        <v>1048</v>
      </c>
      <c r="E30" s="33" t="s">
        <v>1049</v>
      </c>
      <c r="F30" s="33" t="s">
        <v>1050</v>
      </c>
      <c r="G30" s="33"/>
      <c r="H30" s="33" t="s">
        <v>45</v>
      </c>
      <c r="I30" s="33" t="s">
        <v>163</v>
      </c>
      <c r="J30" s="33">
        <v>811577636</v>
      </c>
      <c r="K30" s="35" t="s">
        <v>162</v>
      </c>
      <c r="L30" s="34" t="s">
        <v>28</v>
      </c>
      <c r="M30" s="32">
        <v>32660000</v>
      </c>
      <c r="N30" s="32">
        <v>0</v>
      </c>
      <c r="O30" s="181">
        <f t="shared" si="11"/>
        <v>32660000</v>
      </c>
      <c r="P30" s="183" t="s">
        <v>37</v>
      </c>
      <c r="Q30" s="249" t="s">
        <v>379</v>
      </c>
      <c r="R30" s="30" t="s">
        <v>508</v>
      </c>
      <c r="S30" s="183" t="s">
        <v>80</v>
      </c>
      <c r="T30" s="29">
        <v>22030</v>
      </c>
      <c r="U30" s="20">
        <v>1435</v>
      </c>
      <c r="V30" s="28"/>
      <c r="W30" s="20"/>
      <c r="X30" s="27"/>
      <c r="Y30" s="26"/>
      <c r="Z30" s="25">
        <f t="shared" si="16"/>
        <v>22030</v>
      </c>
      <c r="AA30" s="20">
        <f t="shared" si="2"/>
        <v>0</v>
      </c>
      <c r="AB30" s="24">
        <f t="shared" si="12"/>
        <v>-22030</v>
      </c>
      <c r="AC30" s="37"/>
      <c r="AD30" s="37"/>
      <c r="AE30" s="22"/>
      <c r="AF30" s="20"/>
      <c r="AG30" s="21"/>
      <c r="AH30" s="20"/>
      <c r="AI30" s="21"/>
      <c r="AJ30" s="20"/>
      <c r="AK30" s="20"/>
      <c r="AL30" s="20"/>
      <c r="AM30" s="19">
        <v>35000</v>
      </c>
      <c r="AN30" s="19">
        <v>30000</v>
      </c>
      <c r="AO30" s="19"/>
      <c r="AP30" s="19"/>
      <c r="AQ30" s="19"/>
      <c r="AR30" s="19">
        <f t="shared" si="4"/>
        <v>65000</v>
      </c>
      <c r="AS30" s="17">
        <f t="shared" si="5"/>
        <v>31548050</v>
      </c>
      <c r="AT30" s="17">
        <f t="shared" si="6"/>
        <v>-1111950</v>
      </c>
      <c r="AU30" s="17">
        <f t="shared" si="7"/>
        <v>2939400</v>
      </c>
      <c r="AV30" s="17">
        <f t="shared" si="13"/>
        <v>913725</v>
      </c>
      <c r="AW30" s="17">
        <f t="shared" si="14"/>
        <v>822352.5</v>
      </c>
      <c r="AX30" s="18">
        <v>50000</v>
      </c>
      <c r="AY30" s="18"/>
      <c r="AZ30" s="17">
        <f t="shared" si="17"/>
        <v>772352.5</v>
      </c>
      <c r="BA30" s="16"/>
      <c r="BB30" s="15"/>
      <c r="BC30" s="15"/>
    </row>
    <row r="31" spans="1:55" ht="16.899999999999999">
      <c r="A31" s="36">
        <v>30</v>
      </c>
      <c r="B31" s="35">
        <v>46032</v>
      </c>
      <c r="C31" s="33" t="s">
        <v>912</v>
      </c>
      <c r="D31" s="33" t="s">
        <v>1051</v>
      </c>
      <c r="E31" s="33" t="s">
        <v>1052</v>
      </c>
      <c r="F31" s="33" t="s">
        <v>1053</v>
      </c>
      <c r="G31" s="33"/>
      <c r="H31" s="33" t="s">
        <v>38</v>
      </c>
      <c r="I31" s="33" t="s">
        <v>159</v>
      </c>
      <c r="J31" s="33" t="s">
        <v>160</v>
      </c>
      <c r="K31" s="35" t="s">
        <v>161</v>
      </c>
      <c r="L31" s="34" t="s">
        <v>29</v>
      </c>
      <c r="M31" s="32">
        <v>7100000</v>
      </c>
      <c r="N31" s="32">
        <v>0</v>
      </c>
      <c r="O31" s="181">
        <f t="shared" si="11"/>
        <v>7100000</v>
      </c>
      <c r="P31" s="183" t="s">
        <v>37</v>
      </c>
      <c r="Q31" s="249" t="s">
        <v>379</v>
      </c>
      <c r="R31" s="30" t="s">
        <v>508</v>
      </c>
      <c r="S31" s="183" t="s">
        <v>80</v>
      </c>
      <c r="T31" s="29">
        <v>5230</v>
      </c>
      <c r="U31" s="20">
        <v>1439</v>
      </c>
      <c r="V31" s="28">
        <v>1670</v>
      </c>
      <c r="W31" s="20"/>
      <c r="X31" s="27"/>
      <c r="Y31" s="26"/>
      <c r="Z31" s="25">
        <f t="shared" si="16"/>
        <v>6900</v>
      </c>
      <c r="AA31" s="20">
        <f t="shared" si="2"/>
        <v>0</v>
      </c>
      <c r="AB31" s="24">
        <f t="shared" si="12"/>
        <v>-6900</v>
      </c>
      <c r="AC31" s="37"/>
      <c r="AD31" s="37"/>
      <c r="AE31" s="22"/>
      <c r="AF31" s="20"/>
      <c r="AG31" s="21"/>
      <c r="AH31" s="20"/>
      <c r="AI31" s="21"/>
      <c r="AJ31" s="20"/>
      <c r="AK31" s="20"/>
      <c r="AL31" s="20"/>
      <c r="AM31" s="19">
        <v>35000</v>
      </c>
      <c r="AN31" s="19">
        <v>30000</v>
      </c>
      <c r="AO31" s="19"/>
      <c r="AP31" s="19"/>
      <c r="AQ31" s="19"/>
      <c r="AR31" s="19">
        <f t="shared" si="4"/>
        <v>65000</v>
      </c>
      <c r="AS31" s="17">
        <f t="shared" si="5"/>
        <v>7460970</v>
      </c>
      <c r="AT31" s="17">
        <f t="shared" si="6"/>
        <v>360970</v>
      </c>
      <c r="AU31" s="17">
        <f t="shared" si="7"/>
        <v>639000</v>
      </c>
      <c r="AV31" s="17">
        <f t="shared" si="13"/>
        <v>499985</v>
      </c>
      <c r="AW31" s="17">
        <f t="shared" si="14"/>
        <v>449986.5</v>
      </c>
      <c r="AX31" s="18">
        <v>50000</v>
      </c>
      <c r="AY31" s="18"/>
      <c r="AZ31" s="17">
        <f t="shared" si="17"/>
        <v>399986.5</v>
      </c>
      <c r="BA31" s="16"/>
      <c r="BB31" s="16"/>
      <c r="BC31" s="16"/>
    </row>
    <row r="32" spans="1:55" ht="16.899999999999999">
      <c r="A32" s="36">
        <v>31</v>
      </c>
      <c r="B32" s="35">
        <v>46035</v>
      </c>
      <c r="C32" s="33" t="s">
        <v>861</v>
      </c>
      <c r="D32" s="33" t="s">
        <v>1054</v>
      </c>
      <c r="E32" s="33" t="s">
        <v>1055</v>
      </c>
      <c r="F32" s="33" t="s">
        <v>1056</v>
      </c>
      <c r="G32" s="33"/>
      <c r="H32" s="33" t="s">
        <v>38</v>
      </c>
      <c r="I32" s="33" t="s">
        <v>159</v>
      </c>
      <c r="J32" s="33" t="s">
        <v>160</v>
      </c>
      <c r="K32" s="35" t="s">
        <v>161</v>
      </c>
      <c r="L32" s="34" t="s">
        <v>29</v>
      </c>
      <c r="M32" s="32">
        <v>10400000</v>
      </c>
      <c r="N32" s="32">
        <v>0</v>
      </c>
      <c r="O32" s="181">
        <f t="shared" ref="O32:O59" si="18">M32+N32</f>
        <v>10400000</v>
      </c>
      <c r="P32" s="183" t="s">
        <v>37</v>
      </c>
      <c r="Q32" s="249" t="s">
        <v>379</v>
      </c>
      <c r="R32" s="30" t="s">
        <v>508</v>
      </c>
      <c r="S32" s="183" t="s">
        <v>80</v>
      </c>
      <c r="T32" s="29">
        <v>7030</v>
      </c>
      <c r="U32" s="20">
        <v>1465</v>
      </c>
      <c r="V32" s="28">
        <v>1670</v>
      </c>
      <c r="W32" s="20"/>
      <c r="X32" s="27"/>
      <c r="Y32" s="26"/>
      <c r="Z32" s="25">
        <f t="shared" si="16"/>
        <v>8700</v>
      </c>
      <c r="AA32" s="20">
        <f t="shared" si="2"/>
        <v>0</v>
      </c>
      <c r="AB32" s="24">
        <f t="shared" ref="AB32:AB59" si="19">SUM(AA32-Z32)</f>
        <v>-8700</v>
      </c>
      <c r="AC32" s="37"/>
      <c r="AD32" s="37"/>
      <c r="AE32" s="22"/>
      <c r="AF32" s="20"/>
      <c r="AG32" s="21"/>
      <c r="AH32" s="20"/>
      <c r="AI32" s="21"/>
      <c r="AJ32" s="20"/>
      <c r="AK32" s="20"/>
      <c r="AL32" s="20"/>
      <c r="AM32" s="19">
        <v>35000</v>
      </c>
      <c r="AN32" s="19">
        <v>30000</v>
      </c>
      <c r="AO32" s="19"/>
      <c r="AP32" s="19"/>
      <c r="AQ32" s="19"/>
      <c r="AR32" s="19">
        <f t="shared" si="4"/>
        <v>65000</v>
      </c>
      <c r="AS32" s="17">
        <f t="shared" si="5"/>
        <v>10233950</v>
      </c>
      <c r="AT32" s="17">
        <f t="shared" si="6"/>
        <v>-166050</v>
      </c>
      <c r="AU32" s="17">
        <f t="shared" si="7"/>
        <v>936000</v>
      </c>
      <c r="AV32" s="17">
        <f t="shared" ref="AV32:AV59" si="20">SUM(AT32:AU32)/2</f>
        <v>384975</v>
      </c>
      <c r="AW32" s="17">
        <f t="shared" ref="AW32:AW59" si="21">AV32-(AV32*10%)</f>
        <v>346477.5</v>
      </c>
      <c r="AX32" s="18">
        <v>50000</v>
      </c>
      <c r="AY32" s="18"/>
      <c r="AZ32" s="17">
        <f t="shared" si="17"/>
        <v>296477.5</v>
      </c>
      <c r="BA32" s="16"/>
      <c r="BB32" s="16"/>
      <c r="BC32" s="16"/>
    </row>
    <row r="33" spans="1:55" ht="16.899999999999999">
      <c r="A33" s="36">
        <v>32</v>
      </c>
      <c r="B33" s="35">
        <v>46037</v>
      </c>
      <c r="C33" s="33" t="s">
        <v>465</v>
      </c>
      <c r="D33" s="33" t="s">
        <v>1057</v>
      </c>
      <c r="E33" s="33" t="s">
        <v>1058</v>
      </c>
      <c r="F33" s="33" t="s">
        <v>1059</v>
      </c>
      <c r="G33" s="33"/>
      <c r="H33" s="33" t="s">
        <v>38</v>
      </c>
      <c r="I33" s="33" t="s">
        <v>159</v>
      </c>
      <c r="J33" s="33" t="s">
        <v>160</v>
      </c>
      <c r="K33" s="35" t="s">
        <v>161</v>
      </c>
      <c r="L33" s="34" t="s">
        <v>29</v>
      </c>
      <c r="M33" s="32">
        <v>8600000</v>
      </c>
      <c r="N33" s="32">
        <v>0</v>
      </c>
      <c r="O33" s="181">
        <f t="shared" si="18"/>
        <v>8600000</v>
      </c>
      <c r="P33" s="183" t="s">
        <v>37</v>
      </c>
      <c r="Q33" s="249" t="s">
        <v>379</v>
      </c>
      <c r="R33" s="30" t="s">
        <v>508</v>
      </c>
      <c r="S33" s="183" t="s">
        <v>80</v>
      </c>
      <c r="T33" s="29">
        <v>5930</v>
      </c>
      <c r="U33" s="20">
        <v>1465</v>
      </c>
      <c r="V33" s="28">
        <v>1770</v>
      </c>
      <c r="W33" s="20"/>
      <c r="X33" s="27"/>
      <c r="Y33" s="26"/>
      <c r="Z33" s="25">
        <f t="shared" si="16"/>
        <v>7700</v>
      </c>
      <c r="AA33" s="20">
        <f t="shared" si="2"/>
        <v>0</v>
      </c>
      <c r="AB33" s="24">
        <f t="shared" si="19"/>
        <v>-7700</v>
      </c>
      <c r="AC33" s="37"/>
      <c r="AD33" s="37"/>
      <c r="AE33" s="22"/>
      <c r="AF33" s="20"/>
      <c r="AG33" s="21"/>
      <c r="AH33" s="20"/>
      <c r="AI33" s="21"/>
      <c r="AJ33" s="20"/>
      <c r="AK33" s="20"/>
      <c r="AL33" s="20"/>
      <c r="AM33" s="19">
        <v>35000</v>
      </c>
      <c r="AN33" s="19">
        <v>30000</v>
      </c>
      <c r="AO33" s="19"/>
      <c r="AP33" s="19"/>
      <c r="AQ33" s="19"/>
      <c r="AR33" s="19">
        <f t="shared" si="4"/>
        <v>65000</v>
      </c>
      <c r="AS33" s="17">
        <f t="shared" si="5"/>
        <v>8622450</v>
      </c>
      <c r="AT33" s="17">
        <f t="shared" si="6"/>
        <v>22450</v>
      </c>
      <c r="AU33" s="17">
        <f t="shared" si="7"/>
        <v>774000</v>
      </c>
      <c r="AV33" s="17">
        <f t="shared" si="20"/>
        <v>398225</v>
      </c>
      <c r="AW33" s="17">
        <f t="shared" si="21"/>
        <v>358402.5</v>
      </c>
      <c r="AX33" s="18">
        <v>50000</v>
      </c>
      <c r="AY33" s="18"/>
      <c r="AZ33" s="17">
        <f t="shared" si="17"/>
        <v>308402.5</v>
      </c>
      <c r="BA33" s="16"/>
      <c r="BB33" s="16"/>
      <c r="BC33" s="16"/>
    </row>
    <row r="34" spans="1:55" ht="16.899999999999999">
      <c r="A34" s="36">
        <v>33</v>
      </c>
      <c r="B34" s="35">
        <v>46049</v>
      </c>
      <c r="C34" s="33" t="s">
        <v>1021</v>
      </c>
      <c r="D34" s="33" t="s">
        <v>1060</v>
      </c>
      <c r="E34" s="33" t="s">
        <v>1061</v>
      </c>
      <c r="F34" s="33" t="s">
        <v>1062</v>
      </c>
      <c r="G34" s="33"/>
      <c r="H34" s="33" t="s">
        <v>45</v>
      </c>
      <c r="I34" s="33" t="s">
        <v>163</v>
      </c>
      <c r="J34" s="33">
        <v>811577636</v>
      </c>
      <c r="K34" s="35" t="s">
        <v>162</v>
      </c>
      <c r="L34" s="34" t="s">
        <v>28</v>
      </c>
      <c r="M34" s="32">
        <v>10500000</v>
      </c>
      <c r="N34" s="32">
        <v>0</v>
      </c>
      <c r="O34" s="181">
        <f t="shared" si="18"/>
        <v>10500000</v>
      </c>
      <c r="P34" s="183" t="s">
        <v>156</v>
      </c>
      <c r="Q34" s="249" t="s">
        <v>379</v>
      </c>
      <c r="R34" s="30" t="s">
        <v>508</v>
      </c>
      <c r="S34" s="183" t="s">
        <v>80</v>
      </c>
      <c r="T34" s="29">
        <v>7080</v>
      </c>
      <c r="U34" s="20">
        <v>1454</v>
      </c>
      <c r="V34" s="28"/>
      <c r="W34" s="20"/>
      <c r="X34" s="27"/>
      <c r="Y34" s="26"/>
      <c r="Z34" s="25">
        <f t="shared" si="16"/>
        <v>7080</v>
      </c>
      <c r="AA34" s="20">
        <f t="shared" si="2"/>
        <v>0</v>
      </c>
      <c r="AB34" s="24">
        <f t="shared" si="19"/>
        <v>-7080</v>
      </c>
      <c r="AC34" s="37"/>
      <c r="AD34" s="37"/>
      <c r="AE34" s="22"/>
      <c r="AF34" s="20"/>
      <c r="AG34" s="21"/>
      <c r="AH34" s="20"/>
      <c r="AI34" s="21"/>
      <c r="AJ34" s="20"/>
      <c r="AK34" s="20"/>
      <c r="AL34" s="20"/>
      <c r="AM34" s="19">
        <v>35000</v>
      </c>
      <c r="AN34" s="19">
        <v>30000</v>
      </c>
      <c r="AO34" s="19"/>
      <c r="AP34" s="19"/>
      <c r="AQ34" s="19"/>
      <c r="AR34" s="19">
        <f t="shared" si="4"/>
        <v>65000</v>
      </c>
      <c r="AS34" s="17">
        <f t="shared" si="5"/>
        <v>10229320</v>
      </c>
      <c r="AT34" s="17">
        <f t="shared" si="6"/>
        <v>-270680</v>
      </c>
      <c r="AU34" s="17">
        <f t="shared" si="7"/>
        <v>945000</v>
      </c>
      <c r="AV34" s="17">
        <f t="shared" si="20"/>
        <v>337160</v>
      </c>
      <c r="AW34" s="17">
        <f t="shared" si="21"/>
        <v>303444</v>
      </c>
      <c r="AX34" s="18">
        <v>50000</v>
      </c>
      <c r="AY34" s="18"/>
      <c r="AZ34" s="17">
        <f t="shared" si="17"/>
        <v>253444</v>
      </c>
      <c r="BA34" s="16"/>
      <c r="BB34" s="16"/>
      <c r="BC34" s="16"/>
    </row>
    <row r="35" spans="1:55" ht="16.899999999999999">
      <c r="A35" s="36">
        <v>34</v>
      </c>
      <c r="B35" s="35">
        <v>46054</v>
      </c>
      <c r="C35" s="33" t="s">
        <v>930</v>
      </c>
      <c r="D35" s="33" t="s">
        <v>1063</v>
      </c>
      <c r="E35" s="33" t="s">
        <v>1064</v>
      </c>
      <c r="F35" s="33" t="s">
        <v>1065</v>
      </c>
      <c r="G35" s="33"/>
      <c r="H35" s="33" t="s">
        <v>38</v>
      </c>
      <c r="I35" s="33" t="s">
        <v>159</v>
      </c>
      <c r="J35" s="33" t="s">
        <v>160</v>
      </c>
      <c r="K35" s="35" t="s">
        <v>161</v>
      </c>
      <c r="L35" s="34" t="s">
        <v>29</v>
      </c>
      <c r="M35" s="32">
        <v>8300000</v>
      </c>
      <c r="N35" s="32">
        <v>0</v>
      </c>
      <c r="O35" s="181">
        <f t="shared" si="18"/>
        <v>8300000</v>
      </c>
      <c r="P35" s="183" t="s">
        <v>37</v>
      </c>
      <c r="Q35" s="249" t="s">
        <v>379</v>
      </c>
      <c r="R35" s="30" t="s">
        <v>508</v>
      </c>
      <c r="S35" s="183" t="s">
        <v>80</v>
      </c>
      <c r="T35" s="29">
        <v>5930</v>
      </c>
      <c r="U35" s="20">
        <v>1439</v>
      </c>
      <c r="V35" s="28">
        <v>1670</v>
      </c>
      <c r="W35" s="20"/>
      <c r="X35" s="27"/>
      <c r="Y35" s="26"/>
      <c r="Z35" s="25">
        <f t="shared" ref="Z35:Z75" si="22">SUM(T35,V35:Y35)</f>
        <v>7600</v>
      </c>
      <c r="AA35" s="20">
        <f t="shared" si="2"/>
        <v>0</v>
      </c>
      <c r="AB35" s="24">
        <f t="shared" si="19"/>
        <v>-7600</v>
      </c>
      <c r="AC35" s="37"/>
      <c r="AD35" s="37"/>
      <c r="AE35" s="22"/>
      <c r="AF35" s="20"/>
      <c r="AG35" s="21"/>
      <c r="AH35" s="20"/>
      <c r="AI35" s="21"/>
      <c r="AJ35" s="20"/>
      <c r="AK35" s="20"/>
      <c r="AL35" s="20"/>
      <c r="AM35" s="19">
        <v>35000</v>
      </c>
      <c r="AN35" s="19">
        <v>30000</v>
      </c>
      <c r="AO35" s="19"/>
      <c r="AP35" s="19"/>
      <c r="AQ35" s="19"/>
      <c r="AR35" s="19">
        <f t="shared" si="4"/>
        <v>65000</v>
      </c>
      <c r="AS35" s="17">
        <f t="shared" si="5"/>
        <v>8468270</v>
      </c>
      <c r="AT35" s="17">
        <f t="shared" si="6"/>
        <v>168270</v>
      </c>
      <c r="AU35" s="17">
        <f t="shared" si="7"/>
        <v>747000</v>
      </c>
      <c r="AV35" s="17">
        <f t="shared" si="20"/>
        <v>457635</v>
      </c>
      <c r="AW35" s="17">
        <f t="shared" si="21"/>
        <v>411871.5</v>
      </c>
      <c r="AX35" s="18">
        <v>50000</v>
      </c>
      <c r="AY35" s="18"/>
      <c r="AZ35" s="17">
        <f t="shared" si="17"/>
        <v>361871.5</v>
      </c>
      <c r="BA35" s="16"/>
      <c r="BB35" s="16"/>
      <c r="BC35" s="16"/>
    </row>
    <row r="36" spans="1:55" ht="16.899999999999999">
      <c r="A36" s="36">
        <v>35</v>
      </c>
      <c r="B36" s="35">
        <v>46054</v>
      </c>
      <c r="C36" s="33" t="s">
        <v>861</v>
      </c>
      <c r="D36" s="33" t="s">
        <v>1066</v>
      </c>
      <c r="E36" s="33" t="s">
        <v>1067</v>
      </c>
      <c r="F36" s="33" t="s">
        <v>1068</v>
      </c>
      <c r="G36" s="33"/>
      <c r="H36" s="33" t="s">
        <v>38</v>
      </c>
      <c r="I36" s="33" t="s">
        <v>159</v>
      </c>
      <c r="J36" s="33" t="s">
        <v>160</v>
      </c>
      <c r="K36" s="35" t="s">
        <v>161</v>
      </c>
      <c r="L36" s="34" t="s">
        <v>29</v>
      </c>
      <c r="M36" s="32">
        <v>11800000</v>
      </c>
      <c r="N36" s="32">
        <v>0</v>
      </c>
      <c r="O36" s="181">
        <f t="shared" si="18"/>
        <v>11800000</v>
      </c>
      <c r="P36" s="183" t="s">
        <v>37</v>
      </c>
      <c r="Q36" s="249" t="s">
        <v>379</v>
      </c>
      <c r="R36" s="30" t="s">
        <v>508</v>
      </c>
      <c r="S36" s="183" t="s">
        <v>80</v>
      </c>
      <c r="T36" s="29">
        <v>7980</v>
      </c>
      <c r="U36" s="20">
        <v>1439</v>
      </c>
      <c r="V36" s="28">
        <v>1670</v>
      </c>
      <c r="W36" s="20"/>
      <c r="X36" s="27"/>
      <c r="Y36" s="26"/>
      <c r="Z36" s="25">
        <f t="shared" si="22"/>
        <v>9650</v>
      </c>
      <c r="AA36" s="20">
        <f t="shared" si="2"/>
        <v>0</v>
      </c>
      <c r="AB36" s="24">
        <f t="shared" si="19"/>
        <v>-9650</v>
      </c>
      <c r="AC36" s="37"/>
      <c r="AD36" s="37"/>
      <c r="AE36" s="22"/>
      <c r="AF36" s="20"/>
      <c r="AG36" s="21"/>
      <c r="AH36" s="20"/>
      <c r="AI36" s="21"/>
      <c r="AJ36" s="20"/>
      <c r="AK36" s="20"/>
      <c r="AL36" s="20"/>
      <c r="AM36" s="19">
        <v>35000</v>
      </c>
      <c r="AN36" s="19">
        <v>30000</v>
      </c>
      <c r="AO36" s="19"/>
      <c r="AP36" s="19"/>
      <c r="AQ36" s="19"/>
      <c r="AR36" s="19">
        <f t="shared" si="4"/>
        <v>65000</v>
      </c>
      <c r="AS36" s="17">
        <f t="shared" si="5"/>
        <v>11418220</v>
      </c>
      <c r="AT36" s="17">
        <f t="shared" si="6"/>
        <v>-381780</v>
      </c>
      <c r="AU36" s="17">
        <f t="shared" si="7"/>
        <v>1062000</v>
      </c>
      <c r="AV36" s="17">
        <f t="shared" si="20"/>
        <v>340110</v>
      </c>
      <c r="AW36" s="17">
        <f t="shared" si="21"/>
        <v>306099</v>
      </c>
      <c r="AX36" s="18">
        <v>50000</v>
      </c>
      <c r="AY36" s="18"/>
      <c r="AZ36" s="17">
        <f t="shared" si="17"/>
        <v>256099</v>
      </c>
      <c r="BA36" s="16"/>
      <c r="BB36" s="16"/>
      <c r="BC36" s="16"/>
    </row>
    <row r="37" spans="1:55" ht="16.899999999999999">
      <c r="A37" s="36">
        <v>36</v>
      </c>
      <c r="B37" s="35">
        <v>46056</v>
      </c>
      <c r="C37" s="33" t="s">
        <v>1069</v>
      </c>
      <c r="D37" s="33" t="s">
        <v>1070</v>
      </c>
      <c r="E37" s="33" t="s">
        <v>1071</v>
      </c>
      <c r="F37" s="33" t="s">
        <v>249</v>
      </c>
      <c r="G37" s="33"/>
      <c r="H37" s="33" t="s">
        <v>38</v>
      </c>
      <c r="I37" s="33" t="s">
        <v>159</v>
      </c>
      <c r="J37" s="33" t="s">
        <v>160</v>
      </c>
      <c r="K37" s="35" t="s">
        <v>161</v>
      </c>
      <c r="L37" s="34" t="s">
        <v>29</v>
      </c>
      <c r="M37" s="32">
        <v>27700000</v>
      </c>
      <c r="N37" s="32">
        <v>0</v>
      </c>
      <c r="O37" s="181">
        <f t="shared" si="18"/>
        <v>27700000</v>
      </c>
      <c r="P37" s="183" t="s">
        <v>37</v>
      </c>
      <c r="Q37" s="249" t="s">
        <v>379</v>
      </c>
      <c r="R37" s="30" t="s">
        <v>508</v>
      </c>
      <c r="S37" s="183" t="s">
        <v>80</v>
      </c>
      <c r="T37" s="29">
        <v>18330</v>
      </c>
      <c r="U37" s="20">
        <v>1439</v>
      </c>
      <c r="V37" s="28">
        <v>1870</v>
      </c>
      <c r="W37" s="20"/>
      <c r="X37" s="27"/>
      <c r="Y37" s="26"/>
      <c r="Z37" s="25">
        <f t="shared" si="22"/>
        <v>20200</v>
      </c>
      <c r="AA37" s="20">
        <f t="shared" si="2"/>
        <v>0</v>
      </c>
      <c r="AB37" s="24">
        <f t="shared" si="19"/>
        <v>-20200</v>
      </c>
      <c r="AC37" s="37"/>
      <c r="AD37" s="37"/>
      <c r="AE37" s="22"/>
      <c r="AF37" s="20"/>
      <c r="AG37" s="21"/>
      <c r="AH37" s="20"/>
      <c r="AI37" s="21"/>
      <c r="AJ37" s="20"/>
      <c r="AK37" s="20"/>
      <c r="AL37" s="20"/>
      <c r="AM37" s="19">
        <v>35000</v>
      </c>
      <c r="AN37" s="19">
        <v>30000</v>
      </c>
      <c r="AO37" s="19"/>
      <c r="AP37" s="19"/>
      <c r="AQ37" s="19"/>
      <c r="AR37" s="19">
        <f t="shared" si="4"/>
        <v>65000</v>
      </c>
      <c r="AS37" s="17">
        <f t="shared" si="5"/>
        <v>26311870</v>
      </c>
      <c r="AT37" s="17">
        <f t="shared" si="6"/>
        <v>-1388130</v>
      </c>
      <c r="AU37" s="17">
        <f t="shared" si="7"/>
        <v>2493000</v>
      </c>
      <c r="AV37" s="17">
        <f t="shared" si="20"/>
        <v>552435</v>
      </c>
      <c r="AW37" s="17">
        <f t="shared" si="21"/>
        <v>497191.5</v>
      </c>
      <c r="AX37" s="18">
        <v>50000</v>
      </c>
      <c r="AY37" s="18"/>
      <c r="AZ37" s="17">
        <f t="shared" si="17"/>
        <v>447191.5</v>
      </c>
      <c r="BA37" s="16"/>
      <c r="BB37" s="16"/>
      <c r="BC37" s="16"/>
    </row>
    <row r="38" spans="1:55" s="6" customFormat="1" ht="16.899999999999999">
      <c r="A38" s="36">
        <v>37</v>
      </c>
      <c r="B38" s="35">
        <v>46072</v>
      </c>
      <c r="C38" s="33" t="s">
        <v>1072</v>
      </c>
      <c r="D38" s="33" t="s">
        <v>1073</v>
      </c>
      <c r="E38" s="33" t="s">
        <v>1074</v>
      </c>
      <c r="F38" s="33" t="s">
        <v>248</v>
      </c>
      <c r="G38" s="33"/>
      <c r="H38" s="33" t="s">
        <v>45</v>
      </c>
      <c r="I38" s="33" t="s">
        <v>163</v>
      </c>
      <c r="J38" s="33">
        <v>811577636</v>
      </c>
      <c r="K38" s="35" t="s">
        <v>162</v>
      </c>
      <c r="L38" s="34" t="s">
        <v>28</v>
      </c>
      <c r="M38" s="32">
        <v>24400000</v>
      </c>
      <c r="N38" s="32">
        <v>0</v>
      </c>
      <c r="O38" s="181">
        <f t="shared" si="18"/>
        <v>24400000</v>
      </c>
      <c r="P38" s="183" t="s">
        <v>37</v>
      </c>
      <c r="Q38" s="249" t="s">
        <v>379</v>
      </c>
      <c r="R38" s="30" t="s">
        <v>508</v>
      </c>
      <c r="S38" s="183" t="s">
        <v>80</v>
      </c>
      <c r="T38" s="29">
        <v>16630</v>
      </c>
      <c r="U38" s="20">
        <v>1436</v>
      </c>
      <c r="V38" s="28"/>
      <c r="W38" s="20"/>
      <c r="X38" s="27"/>
      <c r="Y38" s="26"/>
      <c r="Z38" s="25">
        <f t="shared" si="22"/>
        <v>16630</v>
      </c>
      <c r="AA38" s="20">
        <f t="shared" si="2"/>
        <v>0</v>
      </c>
      <c r="AB38" s="24">
        <f t="shared" si="19"/>
        <v>-16630</v>
      </c>
      <c r="AC38" s="37"/>
      <c r="AD38" s="37"/>
      <c r="AE38" s="22"/>
      <c r="AF38" s="20"/>
      <c r="AG38" s="21"/>
      <c r="AH38" s="20"/>
      <c r="AI38" s="21"/>
      <c r="AJ38" s="20"/>
      <c r="AK38" s="20"/>
      <c r="AL38" s="20"/>
      <c r="AM38" s="19">
        <v>35000</v>
      </c>
      <c r="AN38" s="19">
        <v>30000</v>
      </c>
      <c r="AO38" s="19"/>
      <c r="AP38" s="19"/>
      <c r="AQ38" s="19"/>
      <c r="AR38" s="19">
        <f t="shared" si="4"/>
        <v>65000</v>
      </c>
      <c r="AS38" s="17">
        <f t="shared" si="5"/>
        <v>23815680</v>
      </c>
      <c r="AT38" s="17">
        <f t="shared" si="6"/>
        <v>-584320</v>
      </c>
      <c r="AU38" s="17">
        <f t="shared" si="7"/>
        <v>2196000</v>
      </c>
      <c r="AV38" s="17">
        <f t="shared" si="20"/>
        <v>805840</v>
      </c>
      <c r="AW38" s="17">
        <f t="shared" si="21"/>
        <v>725256</v>
      </c>
      <c r="AX38" s="18">
        <v>50000</v>
      </c>
      <c r="AY38" s="18"/>
      <c r="AZ38" s="17">
        <f t="shared" si="17"/>
        <v>675256</v>
      </c>
      <c r="BA38" s="16"/>
      <c r="BB38" s="15"/>
      <c r="BC38" s="15"/>
    </row>
    <row r="39" spans="1:55" ht="16.899999999999999">
      <c r="A39" s="36">
        <v>38</v>
      </c>
      <c r="B39" s="35">
        <v>46072</v>
      </c>
      <c r="C39" s="33" t="s">
        <v>1075</v>
      </c>
      <c r="D39" s="33" t="s">
        <v>1076</v>
      </c>
      <c r="E39" s="33" t="s">
        <v>1077</v>
      </c>
      <c r="F39" s="33" t="s">
        <v>250</v>
      </c>
      <c r="G39" s="33"/>
      <c r="H39" s="33" t="s">
        <v>38</v>
      </c>
      <c r="I39" s="33" t="s">
        <v>242</v>
      </c>
      <c r="J39" s="33" t="s">
        <v>243</v>
      </c>
      <c r="K39" s="35" t="s">
        <v>161</v>
      </c>
      <c r="L39" s="34" t="s">
        <v>29</v>
      </c>
      <c r="M39" s="32">
        <v>23200000</v>
      </c>
      <c r="N39" s="32">
        <v>0</v>
      </c>
      <c r="O39" s="181">
        <f t="shared" si="18"/>
        <v>23200000</v>
      </c>
      <c r="P39" s="183" t="s">
        <v>37</v>
      </c>
      <c r="Q39" s="249" t="s">
        <v>379</v>
      </c>
      <c r="R39" s="30" t="s">
        <v>508</v>
      </c>
      <c r="S39" s="183" t="s">
        <v>80</v>
      </c>
      <c r="T39" s="29">
        <v>15480</v>
      </c>
      <c r="U39" s="20">
        <v>1436</v>
      </c>
      <c r="V39" s="28">
        <v>1370</v>
      </c>
      <c r="W39" s="20"/>
      <c r="X39" s="27"/>
      <c r="Y39" s="26"/>
      <c r="Z39" s="25">
        <f t="shared" si="22"/>
        <v>16850</v>
      </c>
      <c r="AA39" s="20">
        <f t="shared" si="2"/>
        <v>0</v>
      </c>
      <c r="AB39" s="24">
        <f t="shared" si="19"/>
        <v>-16850</v>
      </c>
      <c r="AC39" s="37"/>
      <c r="AD39" s="37"/>
      <c r="AE39" s="22"/>
      <c r="AF39" s="20"/>
      <c r="AG39" s="21"/>
      <c r="AH39" s="20"/>
      <c r="AI39" s="21"/>
      <c r="AJ39" s="20"/>
      <c r="AK39" s="20"/>
      <c r="AL39" s="20"/>
      <c r="AM39" s="19">
        <v>35000</v>
      </c>
      <c r="AN39" s="19">
        <v>30000</v>
      </c>
      <c r="AO39" s="19"/>
      <c r="AP39" s="19"/>
      <c r="AQ39" s="19"/>
      <c r="AR39" s="19">
        <f t="shared" si="4"/>
        <v>65000</v>
      </c>
      <c r="AS39" s="17">
        <f t="shared" si="5"/>
        <v>22164280</v>
      </c>
      <c r="AT39" s="17">
        <f t="shared" si="6"/>
        <v>-1035720</v>
      </c>
      <c r="AU39" s="17">
        <f t="shared" si="7"/>
        <v>2088000</v>
      </c>
      <c r="AV39" s="17">
        <f t="shared" si="20"/>
        <v>526140</v>
      </c>
      <c r="AW39" s="17">
        <f t="shared" si="21"/>
        <v>473526</v>
      </c>
      <c r="AX39" s="18">
        <v>50000</v>
      </c>
      <c r="AY39" s="18"/>
      <c r="AZ39" s="17">
        <f t="shared" si="17"/>
        <v>423526</v>
      </c>
      <c r="BA39" s="16"/>
      <c r="BB39" s="16"/>
      <c r="BC39" s="16"/>
    </row>
    <row r="40" spans="1:55" ht="16.899999999999999">
      <c r="A40" s="36">
        <v>39</v>
      </c>
      <c r="B40" s="35">
        <v>46076</v>
      </c>
      <c r="C40" s="33" t="s">
        <v>224</v>
      </c>
      <c r="D40" s="33" t="s">
        <v>223</v>
      </c>
      <c r="E40" s="33" t="s">
        <v>225</v>
      </c>
      <c r="F40" s="33" t="s">
        <v>228</v>
      </c>
      <c r="G40" s="33"/>
      <c r="H40" s="33" t="s">
        <v>38</v>
      </c>
      <c r="I40" s="33" t="s">
        <v>226</v>
      </c>
      <c r="J40" s="33" t="s">
        <v>227</v>
      </c>
      <c r="K40" s="35" t="s">
        <v>161</v>
      </c>
      <c r="L40" s="34" t="s">
        <v>29</v>
      </c>
      <c r="M40" s="32">
        <v>5700000</v>
      </c>
      <c r="N40" s="32">
        <v>0</v>
      </c>
      <c r="O40" s="181">
        <f t="shared" si="18"/>
        <v>5700000</v>
      </c>
      <c r="P40" s="183"/>
      <c r="Q40" s="249" t="s">
        <v>379</v>
      </c>
      <c r="R40" s="30" t="s">
        <v>508</v>
      </c>
      <c r="S40" s="183" t="s">
        <v>80</v>
      </c>
      <c r="T40" s="29">
        <v>3900</v>
      </c>
      <c r="U40" s="20">
        <v>1434</v>
      </c>
      <c r="V40" s="28">
        <v>1370</v>
      </c>
      <c r="W40" s="20"/>
      <c r="X40" s="27"/>
      <c r="Y40" s="26"/>
      <c r="Z40" s="25">
        <f t="shared" si="22"/>
        <v>5270</v>
      </c>
      <c r="AA40" s="20">
        <f t="shared" si="2"/>
        <v>0</v>
      </c>
      <c r="AB40" s="24">
        <f t="shared" si="19"/>
        <v>-5270</v>
      </c>
      <c r="AC40" s="37"/>
      <c r="AD40" s="37"/>
      <c r="AE40" s="22"/>
      <c r="AF40" s="20"/>
      <c r="AG40" s="21"/>
      <c r="AH40" s="20"/>
      <c r="AI40" s="21"/>
      <c r="AJ40" s="20"/>
      <c r="AK40" s="20"/>
      <c r="AL40" s="20"/>
      <c r="AM40" s="19">
        <v>35000</v>
      </c>
      <c r="AN40" s="19">
        <v>30000</v>
      </c>
      <c r="AO40" s="19"/>
      <c r="AP40" s="19"/>
      <c r="AQ40" s="19"/>
      <c r="AR40" s="19">
        <f t="shared" si="4"/>
        <v>65000</v>
      </c>
      <c r="AS40" s="17">
        <f t="shared" si="5"/>
        <v>5527600</v>
      </c>
      <c r="AT40" s="17">
        <f t="shared" si="6"/>
        <v>-172400</v>
      </c>
      <c r="AU40" s="17">
        <f t="shared" si="7"/>
        <v>513000</v>
      </c>
      <c r="AV40" s="17">
        <f t="shared" si="20"/>
        <v>170300</v>
      </c>
      <c r="AW40" s="17">
        <f t="shared" si="21"/>
        <v>153270</v>
      </c>
      <c r="AX40" s="18">
        <v>50000</v>
      </c>
      <c r="AY40" s="18"/>
      <c r="AZ40" s="17">
        <f t="shared" ref="AZ40:AZ100" si="23">SUM(AW40-AX40-AY40)</f>
        <v>103270</v>
      </c>
      <c r="BA40" s="16"/>
      <c r="BB40" s="16"/>
      <c r="BC40" s="16"/>
    </row>
    <row r="41" spans="1:55" ht="16.899999999999999">
      <c r="A41" s="36">
        <v>40</v>
      </c>
      <c r="B41" s="35">
        <v>46076</v>
      </c>
      <c r="C41" s="33" t="s">
        <v>240</v>
      </c>
      <c r="D41" s="33" t="s">
        <v>230</v>
      </c>
      <c r="E41" s="33" t="s">
        <v>229</v>
      </c>
      <c r="F41" s="33" t="s">
        <v>231</v>
      </c>
      <c r="G41" s="33"/>
      <c r="H41" s="33" t="s">
        <v>38</v>
      </c>
      <c r="I41" s="33" t="s">
        <v>226</v>
      </c>
      <c r="J41" s="33" t="s">
        <v>227</v>
      </c>
      <c r="K41" s="35" t="s">
        <v>161</v>
      </c>
      <c r="L41" s="34" t="s">
        <v>29</v>
      </c>
      <c r="M41" s="32">
        <v>6700000</v>
      </c>
      <c r="N41" s="32">
        <v>440000</v>
      </c>
      <c r="O41" s="181">
        <f t="shared" si="18"/>
        <v>7140000</v>
      </c>
      <c r="P41" s="183"/>
      <c r="Q41" s="249" t="s">
        <v>379</v>
      </c>
      <c r="R41" s="30" t="s">
        <v>508</v>
      </c>
      <c r="S41" s="183" t="s">
        <v>80</v>
      </c>
      <c r="T41" s="29">
        <v>4930</v>
      </c>
      <c r="U41" s="20">
        <v>1434</v>
      </c>
      <c r="V41" s="28">
        <v>1470</v>
      </c>
      <c r="W41" s="20"/>
      <c r="X41" s="27"/>
      <c r="Y41" s="26"/>
      <c r="Z41" s="25">
        <f t="shared" si="22"/>
        <v>6400</v>
      </c>
      <c r="AA41" s="20">
        <f t="shared" si="2"/>
        <v>0</v>
      </c>
      <c r="AB41" s="24">
        <f t="shared" si="19"/>
        <v>-6400</v>
      </c>
      <c r="AC41" s="37"/>
      <c r="AD41" s="37"/>
      <c r="AE41" s="22"/>
      <c r="AF41" s="20"/>
      <c r="AG41" s="21"/>
      <c r="AH41" s="20"/>
      <c r="AI41" s="21"/>
      <c r="AJ41" s="20"/>
      <c r="AK41" s="20"/>
      <c r="AL41" s="20"/>
      <c r="AM41" s="19">
        <v>35000</v>
      </c>
      <c r="AN41" s="19">
        <v>30000</v>
      </c>
      <c r="AO41" s="19"/>
      <c r="AP41" s="19"/>
      <c r="AQ41" s="19"/>
      <c r="AR41" s="19">
        <f t="shared" si="4"/>
        <v>65000</v>
      </c>
      <c r="AS41" s="17">
        <f t="shared" si="5"/>
        <v>7004620</v>
      </c>
      <c r="AT41" s="17">
        <f t="shared" si="6"/>
        <v>-135380</v>
      </c>
      <c r="AU41" s="17">
        <f t="shared" si="7"/>
        <v>603000</v>
      </c>
      <c r="AV41" s="17">
        <f t="shared" si="20"/>
        <v>233810</v>
      </c>
      <c r="AW41" s="17">
        <f t="shared" si="21"/>
        <v>210429</v>
      </c>
      <c r="AX41" s="18">
        <v>50000</v>
      </c>
      <c r="AY41" s="18"/>
      <c r="AZ41" s="17">
        <f t="shared" si="23"/>
        <v>160429</v>
      </c>
      <c r="BA41" s="16"/>
      <c r="BB41" s="16"/>
      <c r="BC41" s="16"/>
    </row>
    <row r="42" spans="1:55" ht="16.899999999999999">
      <c r="A42" s="36">
        <v>41</v>
      </c>
      <c r="B42" s="35">
        <v>46076</v>
      </c>
      <c r="C42" s="33" t="s">
        <v>235</v>
      </c>
      <c r="D42" s="33" t="s">
        <v>234</v>
      </c>
      <c r="E42" s="33" t="s">
        <v>232</v>
      </c>
      <c r="F42" s="33" t="s">
        <v>233</v>
      </c>
      <c r="G42" s="33"/>
      <c r="H42" s="33" t="s">
        <v>38</v>
      </c>
      <c r="I42" s="33" t="s">
        <v>159</v>
      </c>
      <c r="J42" s="33" t="s">
        <v>160</v>
      </c>
      <c r="K42" s="35" t="s">
        <v>161</v>
      </c>
      <c r="L42" s="34" t="s">
        <v>29</v>
      </c>
      <c r="M42" s="32">
        <v>7900000</v>
      </c>
      <c r="N42" s="32">
        <v>0</v>
      </c>
      <c r="O42" s="181">
        <f t="shared" si="18"/>
        <v>7900000</v>
      </c>
      <c r="P42" s="183"/>
      <c r="Q42" s="249" t="s">
        <v>379</v>
      </c>
      <c r="R42" s="30" t="s">
        <v>508</v>
      </c>
      <c r="S42" s="183" t="s">
        <v>80</v>
      </c>
      <c r="T42" s="29">
        <v>5380</v>
      </c>
      <c r="U42" s="20">
        <v>1434</v>
      </c>
      <c r="V42" s="28">
        <v>1470</v>
      </c>
      <c r="W42" s="20"/>
      <c r="X42" s="27"/>
      <c r="Y42" s="26"/>
      <c r="Z42" s="25">
        <f t="shared" si="22"/>
        <v>6850</v>
      </c>
      <c r="AA42" s="20">
        <f t="shared" si="2"/>
        <v>0</v>
      </c>
      <c r="AB42" s="24">
        <f t="shared" si="19"/>
        <v>-6850</v>
      </c>
      <c r="AC42" s="37"/>
      <c r="AD42" s="37"/>
      <c r="AE42" s="22"/>
      <c r="AF42" s="20"/>
      <c r="AG42" s="21"/>
      <c r="AH42" s="20"/>
      <c r="AI42" s="21"/>
      <c r="AJ42" s="20"/>
      <c r="AK42" s="20"/>
      <c r="AL42" s="20"/>
      <c r="AM42" s="19">
        <v>35000</v>
      </c>
      <c r="AN42" s="19">
        <v>30000</v>
      </c>
      <c r="AO42" s="19"/>
      <c r="AP42" s="19"/>
      <c r="AQ42" s="19"/>
      <c r="AR42" s="19">
        <f t="shared" si="4"/>
        <v>65000</v>
      </c>
      <c r="AS42" s="17">
        <f t="shared" si="5"/>
        <v>7649920</v>
      </c>
      <c r="AT42" s="17">
        <f t="shared" si="6"/>
        <v>-250080</v>
      </c>
      <c r="AU42" s="17">
        <f t="shared" si="7"/>
        <v>711000</v>
      </c>
      <c r="AV42" s="17">
        <f t="shared" si="20"/>
        <v>230460</v>
      </c>
      <c r="AW42" s="17">
        <f t="shared" si="21"/>
        <v>207414</v>
      </c>
      <c r="AX42" s="18">
        <v>50000</v>
      </c>
      <c r="AY42" s="18"/>
      <c r="AZ42" s="17">
        <f t="shared" si="23"/>
        <v>157414</v>
      </c>
      <c r="BA42" s="16"/>
      <c r="BB42" s="16"/>
      <c r="BC42" s="16"/>
    </row>
    <row r="43" spans="1:55" s="6" customFormat="1" ht="16.899999999999999">
      <c r="A43" s="36">
        <v>42</v>
      </c>
      <c r="B43" s="35">
        <v>46080</v>
      </c>
      <c r="C43" s="33" t="s">
        <v>255</v>
      </c>
      <c r="D43" s="33" t="s">
        <v>254</v>
      </c>
      <c r="E43" s="33" t="s">
        <v>256</v>
      </c>
      <c r="F43" s="33" t="s">
        <v>257</v>
      </c>
      <c r="G43" s="33"/>
      <c r="H43" s="33" t="s">
        <v>45</v>
      </c>
      <c r="I43" s="33" t="s">
        <v>163</v>
      </c>
      <c r="J43" s="33">
        <v>811577636</v>
      </c>
      <c r="K43" s="35" t="s">
        <v>162</v>
      </c>
      <c r="L43" s="34" t="s">
        <v>387</v>
      </c>
      <c r="M43" s="32">
        <v>31900000</v>
      </c>
      <c r="N43" s="32">
        <v>0</v>
      </c>
      <c r="O43" s="181">
        <f t="shared" si="18"/>
        <v>31900000</v>
      </c>
      <c r="P43" s="183"/>
      <c r="Q43" s="249" t="s">
        <v>379</v>
      </c>
      <c r="R43" s="30" t="s">
        <v>508</v>
      </c>
      <c r="S43" s="183" t="s">
        <v>80</v>
      </c>
      <c r="T43" s="29">
        <v>21730</v>
      </c>
      <c r="U43" s="20">
        <v>1409</v>
      </c>
      <c r="V43" s="28">
        <v>1370</v>
      </c>
      <c r="W43" s="20"/>
      <c r="X43" s="27"/>
      <c r="Y43" s="26"/>
      <c r="Z43" s="25">
        <f t="shared" si="22"/>
        <v>23100</v>
      </c>
      <c r="AA43" s="20">
        <f t="shared" si="2"/>
        <v>0</v>
      </c>
      <c r="AB43" s="24">
        <f t="shared" si="19"/>
        <v>-23100</v>
      </c>
      <c r="AC43" s="37"/>
      <c r="AD43" s="37"/>
      <c r="AE43" s="22"/>
      <c r="AF43" s="20"/>
      <c r="AG43" s="21"/>
      <c r="AH43" s="20"/>
      <c r="AI43" s="21"/>
      <c r="AJ43" s="20"/>
      <c r="AK43" s="20"/>
      <c r="AL43" s="20"/>
      <c r="AM43" s="19">
        <v>35000</v>
      </c>
      <c r="AN43" s="19">
        <v>30000</v>
      </c>
      <c r="AO43" s="19"/>
      <c r="AP43" s="19"/>
      <c r="AQ43" s="19"/>
      <c r="AR43" s="19">
        <f t="shared" si="4"/>
        <v>65000</v>
      </c>
      <c r="AS43" s="17">
        <f t="shared" si="5"/>
        <v>30552570</v>
      </c>
      <c r="AT43" s="17">
        <f t="shared" si="6"/>
        <v>-1347430</v>
      </c>
      <c r="AU43" s="17">
        <f t="shared" si="7"/>
        <v>2871000</v>
      </c>
      <c r="AV43" s="17">
        <f t="shared" si="20"/>
        <v>761785</v>
      </c>
      <c r="AW43" s="17">
        <f t="shared" si="21"/>
        <v>685606.5</v>
      </c>
      <c r="AX43" s="18">
        <v>50000</v>
      </c>
      <c r="AY43" s="18"/>
      <c r="AZ43" s="17">
        <f t="shared" si="23"/>
        <v>635606.5</v>
      </c>
      <c r="BA43" s="16"/>
      <c r="BB43" s="15"/>
      <c r="BC43" s="15"/>
    </row>
    <row r="44" spans="1:55" s="103" customFormat="1" ht="16.899999999999999">
      <c r="A44" s="36">
        <v>43</v>
      </c>
      <c r="B44" s="35">
        <v>46080</v>
      </c>
      <c r="C44" s="33" t="s">
        <v>240</v>
      </c>
      <c r="D44" s="33" t="s">
        <v>260</v>
      </c>
      <c r="E44" s="33" t="s">
        <v>261</v>
      </c>
      <c r="F44" s="33" t="s">
        <v>262</v>
      </c>
      <c r="G44" s="33"/>
      <c r="H44" s="33" t="s">
        <v>38</v>
      </c>
      <c r="I44" s="33" t="s">
        <v>159</v>
      </c>
      <c r="J44" s="33" t="s">
        <v>160</v>
      </c>
      <c r="K44" s="35" t="s">
        <v>161</v>
      </c>
      <c r="L44" s="34" t="s">
        <v>388</v>
      </c>
      <c r="M44" s="32">
        <v>5900000</v>
      </c>
      <c r="N44" s="32">
        <v>0</v>
      </c>
      <c r="O44" s="181">
        <f t="shared" si="18"/>
        <v>5900000</v>
      </c>
      <c r="P44" s="183"/>
      <c r="Q44" s="249" t="s">
        <v>379</v>
      </c>
      <c r="R44" s="30" t="s">
        <v>508</v>
      </c>
      <c r="S44" s="183" t="s">
        <v>80</v>
      </c>
      <c r="T44" s="29">
        <v>4330</v>
      </c>
      <c r="U44" s="20">
        <v>1409</v>
      </c>
      <c r="V44" s="28">
        <v>1470</v>
      </c>
      <c r="W44" s="20"/>
      <c r="X44" s="27"/>
      <c r="Y44" s="26"/>
      <c r="Z44" s="25">
        <f t="shared" si="22"/>
        <v>5800</v>
      </c>
      <c r="AA44" s="20">
        <f t="shared" si="2"/>
        <v>0</v>
      </c>
      <c r="AB44" s="24">
        <f t="shared" si="19"/>
        <v>-5800</v>
      </c>
      <c r="AC44" s="37"/>
      <c r="AD44" s="37"/>
      <c r="AE44" s="22"/>
      <c r="AF44" s="20"/>
      <c r="AG44" s="21"/>
      <c r="AH44" s="20"/>
      <c r="AI44" s="21"/>
      <c r="AJ44" s="20"/>
      <c r="AK44" s="20"/>
      <c r="AL44" s="20"/>
      <c r="AM44" s="19">
        <v>35000</v>
      </c>
      <c r="AN44" s="19">
        <v>30000</v>
      </c>
      <c r="AO44" s="19"/>
      <c r="AP44" s="19"/>
      <c r="AQ44" s="19"/>
      <c r="AR44" s="19">
        <f t="shared" si="4"/>
        <v>65000</v>
      </c>
      <c r="AS44" s="17">
        <f t="shared" si="5"/>
        <v>6035970</v>
      </c>
      <c r="AT44" s="17">
        <f t="shared" si="6"/>
        <v>135970</v>
      </c>
      <c r="AU44" s="17">
        <f t="shared" si="7"/>
        <v>531000</v>
      </c>
      <c r="AV44" s="17">
        <f t="shared" si="20"/>
        <v>333485</v>
      </c>
      <c r="AW44" s="17">
        <f t="shared" si="21"/>
        <v>300136.5</v>
      </c>
      <c r="AX44" s="18">
        <v>50000</v>
      </c>
      <c r="AY44" s="18"/>
      <c r="AZ44" s="17">
        <f t="shared" si="23"/>
        <v>250136.5</v>
      </c>
      <c r="BA44" s="16"/>
      <c r="BB44" s="104"/>
      <c r="BC44" s="104"/>
    </row>
    <row r="45" spans="1:55" s="103" customFormat="1" ht="16.899999999999999">
      <c r="A45" s="36">
        <v>44</v>
      </c>
      <c r="B45" s="35">
        <v>46085</v>
      </c>
      <c r="C45" s="33" t="s">
        <v>240</v>
      </c>
      <c r="D45" s="33" t="s">
        <v>271</v>
      </c>
      <c r="E45" s="33" t="s">
        <v>272</v>
      </c>
      <c r="F45" s="33"/>
      <c r="G45" s="33"/>
      <c r="H45" s="33" t="s">
        <v>45</v>
      </c>
      <c r="I45" s="33" t="s">
        <v>163</v>
      </c>
      <c r="J45" s="33">
        <v>811577636</v>
      </c>
      <c r="K45" s="35" t="s">
        <v>162</v>
      </c>
      <c r="L45" s="34" t="s">
        <v>387</v>
      </c>
      <c r="M45" s="32">
        <v>19200000</v>
      </c>
      <c r="N45" s="32">
        <v>440000</v>
      </c>
      <c r="O45" s="214">
        <f t="shared" si="18"/>
        <v>19640000</v>
      </c>
      <c r="P45" s="215"/>
      <c r="Q45" s="249" t="s">
        <v>379</v>
      </c>
      <c r="R45" s="30" t="s">
        <v>508</v>
      </c>
      <c r="S45" s="183" t="s">
        <v>80</v>
      </c>
      <c r="T45" s="29">
        <v>12830</v>
      </c>
      <c r="U45" s="20">
        <v>1463</v>
      </c>
      <c r="V45" s="28">
        <v>1470</v>
      </c>
      <c r="W45" s="20"/>
      <c r="X45" s="27"/>
      <c r="Y45" s="26"/>
      <c r="Z45" s="25">
        <f t="shared" si="22"/>
        <v>14300</v>
      </c>
      <c r="AA45" s="20">
        <f t="shared" si="2"/>
        <v>0</v>
      </c>
      <c r="AB45" s="24">
        <f t="shared" si="19"/>
        <v>-14300</v>
      </c>
      <c r="AC45" s="37"/>
      <c r="AD45" s="37"/>
      <c r="AE45" s="22"/>
      <c r="AF45" s="20"/>
      <c r="AG45" s="21"/>
      <c r="AH45" s="20"/>
      <c r="AI45" s="21"/>
      <c r="AJ45" s="20"/>
      <c r="AK45" s="20"/>
      <c r="AL45" s="20"/>
      <c r="AM45" s="19">
        <v>35000</v>
      </c>
      <c r="AN45" s="19">
        <v>30000</v>
      </c>
      <c r="AO45" s="19"/>
      <c r="AP45" s="19"/>
      <c r="AQ45" s="19"/>
      <c r="AR45" s="19">
        <f t="shared" si="4"/>
        <v>65000</v>
      </c>
      <c r="AS45" s="17">
        <f t="shared" si="5"/>
        <v>18705290</v>
      </c>
      <c r="AT45" s="17">
        <f t="shared" si="6"/>
        <v>-934710</v>
      </c>
      <c r="AU45" s="17">
        <f t="shared" si="7"/>
        <v>1728000</v>
      </c>
      <c r="AV45" s="17">
        <f t="shared" si="20"/>
        <v>396645</v>
      </c>
      <c r="AW45" s="17">
        <f t="shared" si="21"/>
        <v>356980.5</v>
      </c>
      <c r="AX45" s="18">
        <v>50000</v>
      </c>
      <c r="AY45" s="18"/>
      <c r="AZ45" s="17">
        <f t="shared" si="23"/>
        <v>306980.5</v>
      </c>
      <c r="BA45" s="16"/>
      <c r="BB45" s="104"/>
      <c r="BC45" s="104"/>
    </row>
    <row r="46" spans="1:55" s="103" customFormat="1" ht="16.899999999999999">
      <c r="A46" s="36">
        <v>45</v>
      </c>
      <c r="B46" s="35">
        <v>46085</v>
      </c>
      <c r="C46" s="33" t="s">
        <v>255</v>
      </c>
      <c r="D46" s="33" t="s">
        <v>268</v>
      </c>
      <c r="E46" s="33" t="s">
        <v>269</v>
      </c>
      <c r="F46" s="33" t="s">
        <v>270</v>
      </c>
      <c r="G46" s="33"/>
      <c r="H46" s="33" t="s">
        <v>45</v>
      </c>
      <c r="I46" s="33" t="s">
        <v>163</v>
      </c>
      <c r="J46" s="33">
        <v>811577636</v>
      </c>
      <c r="K46" s="35" t="s">
        <v>162</v>
      </c>
      <c r="L46" s="34" t="s">
        <v>387</v>
      </c>
      <c r="M46" s="32">
        <v>29900000</v>
      </c>
      <c r="N46" s="32">
        <v>0</v>
      </c>
      <c r="O46" s="214">
        <f t="shared" si="18"/>
        <v>29900000</v>
      </c>
      <c r="P46" s="215"/>
      <c r="Q46" s="249" t="s">
        <v>379</v>
      </c>
      <c r="R46" s="30" t="s">
        <v>508</v>
      </c>
      <c r="S46" s="183" t="s">
        <v>80</v>
      </c>
      <c r="T46" s="29">
        <v>19530</v>
      </c>
      <c r="U46" s="20">
        <v>1463</v>
      </c>
      <c r="V46" s="28">
        <v>1370</v>
      </c>
      <c r="W46" s="20"/>
      <c r="X46" s="27"/>
      <c r="Y46" s="26"/>
      <c r="Z46" s="25">
        <f t="shared" si="22"/>
        <v>20900</v>
      </c>
      <c r="AA46" s="20">
        <f t="shared" si="2"/>
        <v>0</v>
      </c>
      <c r="AB46" s="24">
        <f t="shared" si="19"/>
        <v>-20900</v>
      </c>
      <c r="AC46" s="37"/>
      <c r="AD46" s="37"/>
      <c r="AE46" s="22"/>
      <c r="AF46" s="20"/>
      <c r="AG46" s="21"/>
      <c r="AH46" s="20"/>
      <c r="AI46" s="21"/>
      <c r="AJ46" s="20"/>
      <c r="AK46" s="20"/>
      <c r="AL46" s="20"/>
      <c r="AM46" s="19">
        <v>35000</v>
      </c>
      <c r="AN46" s="19">
        <v>30000</v>
      </c>
      <c r="AO46" s="19"/>
      <c r="AP46" s="19"/>
      <c r="AQ46" s="19"/>
      <c r="AR46" s="19">
        <f t="shared" si="4"/>
        <v>65000</v>
      </c>
      <c r="AS46" s="17">
        <f t="shared" si="5"/>
        <v>28507390</v>
      </c>
      <c r="AT46" s="17">
        <f t="shared" si="6"/>
        <v>-1392610</v>
      </c>
      <c r="AU46" s="17">
        <f t="shared" si="7"/>
        <v>2691000</v>
      </c>
      <c r="AV46" s="17">
        <f t="shared" si="20"/>
        <v>649195</v>
      </c>
      <c r="AW46" s="17">
        <f t="shared" si="21"/>
        <v>584275.5</v>
      </c>
      <c r="AX46" s="18">
        <v>50000</v>
      </c>
      <c r="AY46" s="18"/>
      <c r="AZ46" s="17">
        <f t="shared" si="23"/>
        <v>534275.5</v>
      </c>
      <c r="BA46" s="16"/>
      <c r="BB46" s="104"/>
      <c r="BC46" s="104"/>
    </row>
    <row r="47" spans="1:55" s="103" customFormat="1" ht="16.899999999999999">
      <c r="A47" s="36">
        <v>46</v>
      </c>
      <c r="B47" s="35">
        <v>46086</v>
      </c>
      <c r="C47" s="33" t="s">
        <v>273</v>
      </c>
      <c r="D47" s="33" t="s">
        <v>275</v>
      </c>
      <c r="E47" s="33" t="s">
        <v>274</v>
      </c>
      <c r="F47" s="33" t="s">
        <v>276</v>
      </c>
      <c r="G47" s="33"/>
      <c r="H47" s="33" t="s">
        <v>38</v>
      </c>
      <c r="I47" s="33" t="s">
        <v>159</v>
      </c>
      <c r="J47" s="33" t="s">
        <v>160</v>
      </c>
      <c r="K47" s="35" t="s">
        <v>161</v>
      </c>
      <c r="L47" s="34" t="s">
        <v>388</v>
      </c>
      <c r="M47" s="32">
        <v>7100000</v>
      </c>
      <c r="N47" s="32">
        <v>0</v>
      </c>
      <c r="O47" s="214">
        <f t="shared" si="18"/>
        <v>7100000</v>
      </c>
      <c r="P47" s="215"/>
      <c r="Q47" s="249" t="s">
        <v>379</v>
      </c>
      <c r="R47" s="30" t="s">
        <v>508</v>
      </c>
      <c r="S47" s="183" t="s">
        <v>80</v>
      </c>
      <c r="T47" s="29">
        <v>4730</v>
      </c>
      <c r="U47" s="20">
        <v>1463</v>
      </c>
      <c r="V47" s="28">
        <v>1470</v>
      </c>
      <c r="W47" s="20"/>
      <c r="X47" s="27"/>
      <c r="Y47" s="26"/>
      <c r="Z47" s="25">
        <f t="shared" si="22"/>
        <v>6200</v>
      </c>
      <c r="AA47" s="20">
        <f t="shared" si="2"/>
        <v>0</v>
      </c>
      <c r="AB47" s="24">
        <f t="shared" si="19"/>
        <v>-6200</v>
      </c>
      <c r="AC47" s="37"/>
      <c r="AD47" s="37"/>
      <c r="AE47" s="22"/>
      <c r="AF47" s="20"/>
      <c r="AG47" s="21"/>
      <c r="AH47" s="20"/>
      <c r="AI47" s="21"/>
      <c r="AJ47" s="20"/>
      <c r="AK47" s="20"/>
      <c r="AL47" s="20"/>
      <c r="AM47" s="19">
        <v>35000</v>
      </c>
      <c r="AN47" s="19">
        <v>30000</v>
      </c>
      <c r="AO47" s="19"/>
      <c r="AP47" s="19"/>
      <c r="AQ47" s="19"/>
      <c r="AR47" s="19">
        <f t="shared" si="4"/>
        <v>65000</v>
      </c>
      <c r="AS47" s="17">
        <f t="shared" si="5"/>
        <v>6854990</v>
      </c>
      <c r="AT47" s="17">
        <f t="shared" si="6"/>
        <v>-245010</v>
      </c>
      <c r="AU47" s="17">
        <f t="shared" si="7"/>
        <v>639000</v>
      </c>
      <c r="AV47" s="17">
        <f t="shared" si="20"/>
        <v>196995</v>
      </c>
      <c r="AW47" s="17">
        <f t="shared" si="21"/>
        <v>177295.5</v>
      </c>
      <c r="AX47" s="18">
        <v>50000</v>
      </c>
      <c r="AY47" s="18"/>
      <c r="AZ47" s="17">
        <f t="shared" si="23"/>
        <v>127295.5</v>
      </c>
      <c r="BA47" s="16"/>
      <c r="BB47" s="104"/>
      <c r="BC47" s="104"/>
    </row>
    <row r="48" spans="1:55" s="103" customFormat="1" ht="16.899999999999999">
      <c r="A48" s="36">
        <v>47</v>
      </c>
      <c r="B48" s="35">
        <v>46086</v>
      </c>
      <c r="C48" s="33" t="s">
        <v>273</v>
      </c>
      <c r="D48" s="33" t="s">
        <v>278</v>
      </c>
      <c r="E48" s="33" t="s">
        <v>279</v>
      </c>
      <c r="F48" s="33" t="s">
        <v>277</v>
      </c>
      <c r="G48" s="33"/>
      <c r="H48" s="33" t="s">
        <v>38</v>
      </c>
      <c r="I48" s="33" t="s">
        <v>159</v>
      </c>
      <c r="J48" s="33" t="s">
        <v>160</v>
      </c>
      <c r="K48" s="35" t="s">
        <v>161</v>
      </c>
      <c r="L48" s="34" t="s">
        <v>388</v>
      </c>
      <c r="M48" s="32">
        <v>6600000</v>
      </c>
      <c r="N48" s="32">
        <v>0</v>
      </c>
      <c r="O48" s="214">
        <f t="shared" si="18"/>
        <v>6600000</v>
      </c>
      <c r="P48" s="215"/>
      <c r="Q48" s="249" t="s">
        <v>379</v>
      </c>
      <c r="R48" s="30" t="s">
        <v>508</v>
      </c>
      <c r="S48" s="183" t="s">
        <v>80</v>
      </c>
      <c r="T48" s="29">
        <v>4530</v>
      </c>
      <c r="U48" s="20">
        <v>1463</v>
      </c>
      <c r="V48" s="28">
        <v>1470</v>
      </c>
      <c r="W48" s="20"/>
      <c r="X48" s="27"/>
      <c r="Y48" s="26"/>
      <c r="Z48" s="25">
        <f t="shared" si="22"/>
        <v>6000</v>
      </c>
      <c r="AA48" s="20">
        <f t="shared" si="2"/>
        <v>0</v>
      </c>
      <c r="AB48" s="24">
        <f t="shared" si="19"/>
        <v>-6000</v>
      </c>
      <c r="AC48" s="37"/>
      <c r="AD48" s="37"/>
      <c r="AE48" s="22"/>
      <c r="AF48" s="20"/>
      <c r="AG48" s="21"/>
      <c r="AH48" s="20"/>
      <c r="AI48" s="21"/>
      <c r="AJ48" s="20"/>
      <c r="AK48" s="20"/>
      <c r="AL48" s="20"/>
      <c r="AM48" s="19">
        <v>35000</v>
      </c>
      <c r="AN48" s="19">
        <v>30000</v>
      </c>
      <c r="AO48" s="19"/>
      <c r="AP48" s="19"/>
      <c r="AQ48" s="19"/>
      <c r="AR48" s="19">
        <f t="shared" si="4"/>
        <v>65000</v>
      </c>
      <c r="AS48" s="17">
        <f t="shared" si="5"/>
        <v>6562390</v>
      </c>
      <c r="AT48" s="17">
        <f t="shared" si="6"/>
        <v>-37610</v>
      </c>
      <c r="AU48" s="17">
        <f t="shared" si="7"/>
        <v>594000</v>
      </c>
      <c r="AV48" s="17">
        <f t="shared" si="20"/>
        <v>278195</v>
      </c>
      <c r="AW48" s="17">
        <f t="shared" si="21"/>
        <v>250375.5</v>
      </c>
      <c r="AX48" s="18">
        <v>50000</v>
      </c>
      <c r="AY48" s="18"/>
      <c r="AZ48" s="17">
        <f t="shared" si="23"/>
        <v>200375.5</v>
      </c>
      <c r="BA48" s="16"/>
      <c r="BB48" s="104"/>
      <c r="BC48" s="104"/>
    </row>
    <row r="49" spans="1:101" s="6" customFormat="1" ht="16.899999999999999">
      <c r="A49" s="36">
        <v>48</v>
      </c>
      <c r="B49" s="35">
        <v>46087</v>
      </c>
      <c r="C49" s="33" t="s">
        <v>300</v>
      </c>
      <c r="D49" s="33" t="s">
        <v>299</v>
      </c>
      <c r="E49" s="33" t="s">
        <v>298</v>
      </c>
      <c r="F49" s="33" t="s">
        <v>301</v>
      </c>
      <c r="G49" s="33"/>
      <c r="H49" s="33" t="s">
        <v>45</v>
      </c>
      <c r="I49" s="33" t="s">
        <v>163</v>
      </c>
      <c r="J49" s="33">
        <v>811577636</v>
      </c>
      <c r="K49" s="35" t="s">
        <v>162</v>
      </c>
      <c r="L49" s="34" t="s">
        <v>387</v>
      </c>
      <c r="M49" s="32">
        <v>7000000</v>
      </c>
      <c r="N49" s="32">
        <v>0</v>
      </c>
      <c r="O49" s="214">
        <f t="shared" si="18"/>
        <v>7000000</v>
      </c>
      <c r="P49" s="215"/>
      <c r="Q49" s="249" t="s">
        <v>379</v>
      </c>
      <c r="R49" s="30" t="s">
        <v>508</v>
      </c>
      <c r="S49" s="183" t="s">
        <v>80</v>
      </c>
      <c r="T49" s="29">
        <v>4880</v>
      </c>
      <c r="U49" s="20">
        <v>1449</v>
      </c>
      <c r="V49" s="28">
        <v>1370</v>
      </c>
      <c r="W49" s="20"/>
      <c r="X49" s="27"/>
      <c r="Y49" s="26"/>
      <c r="Z49" s="25">
        <f t="shared" si="22"/>
        <v>6250</v>
      </c>
      <c r="AA49" s="20">
        <f t="shared" si="2"/>
        <v>0</v>
      </c>
      <c r="AB49" s="24">
        <f t="shared" si="19"/>
        <v>-6250</v>
      </c>
      <c r="AC49" s="37"/>
      <c r="AD49" s="37"/>
      <c r="AE49" s="22"/>
      <c r="AF49" s="20"/>
      <c r="AG49" s="21"/>
      <c r="AH49" s="20"/>
      <c r="AI49" s="21"/>
      <c r="AJ49" s="20"/>
      <c r="AK49" s="20"/>
      <c r="AL49" s="20"/>
      <c r="AM49" s="19">
        <v>35000</v>
      </c>
      <c r="AN49" s="19">
        <v>30000</v>
      </c>
      <c r="AO49" s="19"/>
      <c r="AP49" s="19"/>
      <c r="AQ49" s="19"/>
      <c r="AR49" s="19">
        <f t="shared" si="4"/>
        <v>65000</v>
      </c>
      <c r="AS49" s="17">
        <f t="shared" si="5"/>
        <v>7006120</v>
      </c>
      <c r="AT49" s="17">
        <f t="shared" si="6"/>
        <v>6120</v>
      </c>
      <c r="AU49" s="17">
        <f t="shared" si="7"/>
        <v>630000</v>
      </c>
      <c r="AV49" s="17">
        <f t="shared" si="20"/>
        <v>318060</v>
      </c>
      <c r="AW49" s="17">
        <f t="shared" si="21"/>
        <v>286254</v>
      </c>
      <c r="AX49" s="18">
        <v>50000</v>
      </c>
      <c r="AY49" s="18"/>
      <c r="AZ49" s="17">
        <f t="shared" si="23"/>
        <v>236254</v>
      </c>
      <c r="BA49" s="16"/>
      <c r="BB49" s="15"/>
      <c r="BC49" s="15"/>
    </row>
    <row r="50" spans="1:101" s="6" customFormat="1" ht="16.899999999999999">
      <c r="A50" s="36">
        <v>49</v>
      </c>
      <c r="B50" s="35">
        <v>46092</v>
      </c>
      <c r="C50" s="33" t="s">
        <v>235</v>
      </c>
      <c r="D50" s="33" t="s">
        <v>339</v>
      </c>
      <c r="E50" s="33" t="s">
        <v>340</v>
      </c>
      <c r="F50" s="33" t="s">
        <v>341</v>
      </c>
      <c r="G50" s="33"/>
      <c r="H50" s="33" t="s">
        <v>38</v>
      </c>
      <c r="I50" s="33" t="s">
        <v>159</v>
      </c>
      <c r="J50" s="33" t="s">
        <v>160</v>
      </c>
      <c r="K50" s="35" t="s">
        <v>161</v>
      </c>
      <c r="L50" s="34" t="s">
        <v>388</v>
      </c>
      <c r="M50" s="32">
        <v>9900000</v>
      </c>
      <c r="N50" s="32">
        <v>0</v>
      </c>
      <c r="O50" s="214">
        <f t="shared" si="18"/>
        <v>9900000</v>
      </c>
      <c r="P50" s="215"/>
      <c r="Q50" s="249" t="s">
        <v>379</v>
      </c>
      <c r="R50" s="30" t="s">
        <v>508</v>
      </c>
      <c r="S50" s="183" t="s">
        <v>80</v>
      </c>
      <c r="T50" s="29">
        <v>6630</v>
      </c>
      <c r="U50" s="20">
        <v>1452</v>
      </c>
      <c r="V50" s="28">
        <v>1470</v>
      </c>
      <c r="W50" s="20"/>
      <c r="X50" s="27"/>
      <c r="Y50" s="26"/>
      <c r="Z50" s="25">
        <f t="shared" si="22"/>
        <v>8100</v>
      </c>
      <c r="AA50" s="20">
        <f t="shared" si="2"/>
        <v>0</v>
      </c>
      <c r="AB50" s="24">
        <f t="shared" si="19"/>
        <v>-8100</v>
      </c>
      <c r="AC50" s="37"/>
      <c r="AD50" s="37"/>
      <c r="AE50" s="22"/>
      <c r="AF50" s="20"/>
      <c r="AG50" s="21"/>
      <c r="AH50" s="20"/>
      <c r="AI50" s="21"/>
      <c r="AJ50" s="20"/>
      <c r="AK50" s="20"/>
      <c r="AL50" s="20"/>
      <c r="AM50" s="19">
        <v>35000</v>
      </c>
      <c r="AN50" s="19">
        <v>30000</v>
      </c>
      <c r="AO50" s="19"/>
      <c r="AP50" s="19"/>
      <c r="AQ50" s="19"/>
      <c r="AR50" s="19">
        <f t="shared" si="4"/>
        <v>65000</v>
      </c>
      <c r="AS50" s="17">
        <f t="shared" si="5"/>
        <v>9561760</v>
      </c>
      <c r="AT50" s="17">
        <f t="shared" si="6"/>
        <v>-338240</v>
      </c>
      <c r="AU50" s="17">
        <f t="shared" si="7"/>
        <v>891000</v>
      </c>
      <c r="AV50" s="17">
        <f t="shared" si="20"/>
        <v>276380</v>
      </c>
      <c r="AW50" s="17">
        <f t="shared" si="21"/>
        <v>248742</v>
      </c>
      <c r="AX50" s="18">
        <v>50000</v>
      </c>
      <c r="AY50" s="18"/>
      <c r="AZ50" s="17">
        <f t="shared" si="23"/>
        <v>198742</v>
      </c>
      <c r="BA50" s="16"/>
      <c r="BB50" s="15"/>
      <c r="BC50" s="15"/>
    </row>
    <row r="51" spans="1:101" s="6" customFormat="1" ht="16.899999999999999">
      <c r="A51" s="36">
        <v>50</v>
      </c>
      <c r="B51" s="35">
        <v>46093</v>
      </c>
      <c r="C51" s="33" t="s">
        <v>235</v>
      </c>
      <c r="D51" s="33" t="s">
        <v>342</v>
      </c>
      <c r="E51" s="33" t="s">
        <v>343</v>
      </c>
      <c r="F51" s="33" t="s">
        <v>344</v>
      </c>
      <c r="G51" s="33"/>
      <c r="H51" s="33" t="s">
        <v>38</v>
      </c>
      <c r="I51" s="33" t="s">
        <v>159</v>
      </c>
      <c r="J51" s="33" t="s">
        <v>160</v>
      </c>
      <c r="K51" s="35" t="s">
        <v>161</v>
      </c>
      <c r="L51" s="34" t="s">
        <v>389</v>
      </c>
      <c r="M51" s="32">
        <v>11200000</v>
      </c>
      <c r="N51" s="32">
        <v>0</v>
      </c>
      <c r="O51" s="214">
        <f t="shared" si="18"/>
        <v>11200000</v>
      </c>
      <c r="P51" s="215"/>
      <c r="Q51" s="249" t="s">
        <v>379</v>
      </c>
      <c r="R51" s="30" t="s">
        <v>508</v>
      </c>
      <c r="S51" s="183" t="s">
        <v>80</v>
      </c>
      <c r="T51" s="29">
        <v>7430</v>
      </c>
      <c r="U51" s="20">
        <v>1452</v>
      </c>
      <c r="V51" s="28">
        <v>1470</v>
      </c>
      <c r="W51" s="20"/>
      <c r="X51" s="27"/>
      <c r="Y51" s="26"/>
      <c r="Z51" s="25">
        <f t="shared" si="22"/>
        <v>8900</v>
      </c>
      <c r="AA51" s="20">
        <f t="shared" si="2"/>
        <v>0</v>
      </c>
      <c r="AB51" s="24">
        <f t="shared" si="19"/>
        <v>-8900</v>
      </c>
      <c r="AC51" s="37"/>
      <c r="AD51" s="37"/>
      <c r="AE51" s="22"/>
      <c r="AF51" s="20"/>
      <c r="AG51" s="21"/>
      <c r="AH51" s="20"/>
      <c r="AI51" s="21"/>
      <c r="AJ51" s="20"/>
      <c r="AK51" s="20"/>
      <c r="AL51" s="20"/>
      <c r="AM51" s="19">
        <v>35000</v>
      </c>
      <c r="AN51" s="19">
        <v>30000</v>
      </c>
      <c r="AO51" s="19"/>
      <c r="AP51" s="19"/>
      <c r="AQ51" s="19"/>
      <c r="AR51" s="19">
        <f t="shared" si="4"/>
        <v>65000</v>
      </c>
      <c r="AS51" s="17">
        <f t="shared" si="5"/>
        <v>10723360</v>
      </c>
      <c r="AT51" s="17">
        <f t="shared" si="6"/>
        <v>-476640</v>
      </c>
      <c r="AU51" s="17">
        <f t="shared" si="7"/>
        <v>1008000</v>
      </c>
      <c r="AV51" s="17">
        <f t="shared" si="20"/>
        <v>265680</v>
      </c>
      <c r="AW51" s="17">
        <f t="shared" si="21"/>
        <v>239112</v>
      </c>
      <c r="AX51" s="18">
        <v>50000</v>
      </c>
      <c r="AY51" s="18"/>
      <c r="AZ51" s="17">
        <f t="shared" si="23"/>
        <v>189112</v>
      </c>
      <c r="BA51" s="16"/>
      <c r="BB51" s="15"/>
      <c r="BC51" s="15"/>
    </row>
    <row r="52" spans="1:101" s="6" customFormat="1" ht="16.899999999999999">
      <c r="A52" s="36">
        <v>51</v>
      </c>
      <c r="B52" s="35">
        <v>46096</v>
      </c>
      <c r="C52" s="33" t="s">
        <v>224</v>
      </c>
      <c r="D52" s="33" t="s">
        <v>348</v>
      </c>
      <c r="E52" s="33" t="s">
        <v>349</v>
      </c>
      <c r="F52" s="33" t="s">
        <v>341</v>
      </c>
      <c r="G52" s="33"/>
      <c r="H52" s="33" t="s">
        <v>38</v>
      </c>
      <c r="I52" s="33" t="s">
        <v>159</v>
      </c>
      <c r="J52" s="33" t="s">
        <v>160</v>
      </c>
      <c r="K52" s="35" t="s">
        <v>161</v>
      </c>
      <c r="L52" s="34" t="s">
        <v>388</v>
      </c>
      <c r="M52" s="32">
        <v>5700000</v>
      </c>
      <c r="N52" s="32">
        <v>0</v>
      </c>
      <c r="O52" s="214">
        <f t="shared" si="18"/>
        <v>5700000</v>
      </c>
      <c r="P52" s="215"/>
      <c r="Q52" s="249" t="s">
        <v>379</v>
      </c>
      <c r="R52" s="30" t="s">
        <v>508</v>
      </c>
      <c r="S52" s="183" t="s">
        <v>80</v>
      </c>
      <c r="T52" s="29">
        <v>3830</v>
      </c>
      <c r="U52" s="20">
        <v>1484</v>
      </c>
      <c r="V52" s="28">
        <v>1370</v>
      </c>
      <c r="W52" s="20"/>
      <c r="X52" s="27"/>
      <c r="Y52" s="26"/>
      <c r="Z52" s="25">
        <f t="shared" si="22"/>
        <v>5200</v>
      </c>
      <c r="AA52" s="20">
        <f t="shared" si="2"/>
        <v>0</v>
      </c>
      <c r="AB52" s="24">
        <f t="shared" si="19"/>
        <v>-5200</v>
      </c>
      <c r="AC52" s="37"/>
      <c r="AD52" s="37"/>
      <c r="AE52" s="22"/>
      <c r="AF52" s="20"/>
      <c r="AG52" s="21"/>
      <c r="AH52" s="20"/>
      <c r="AI52" s="21"/>
      <c r="AJ52" s="20"/>
      <c r="AK52" s="20"/>
      <c r="AL52" s="20"/>
      <c r="AM52" s="19">
        <v>35000</v>
      </c>
      <c r="AN52" s="19">
        <v>30000</v>
      </c>
      <c r="AO52" s="19"/>
      <c r="AP52" s="19"/>
      <c r="AQ52" s="19"/>
      <c r="AR52" s="19">
        <f t="shared" si="4"/>
        <v>65000</v>
      </c>
      <c r="AS52" s="17">
        <f t="shared" si="5"/>
        <v>5618720</v>
      </c>
      <c r="AT52" s="17">
        <f t="shared" si="6"/>
        <v>-81280</v>
      </c>
      <c r="AU52" s="17">
        <f t="shared" si="7"/>
        <v>513000</v>
      </c>
      <c r="AV52" s="17">
        <f t="shared" si="20"/>
        <v>215860</v>
      </c>
      <c r="AW52" s="17">
        <f t="shared" si="21"/>
        <v>194274</v>
      </c>
      <c r="AX52" s="18">
        <v>50000</v>
      </c>
      <c r="AY52" s="18"/>
      <c r="AZ52" s="17">
        <f t="shared" si="23"/>
        <v>144274</v>
      </c>
      <c r="BA52" s="16"/>
      <c r="BB52" s="15"/>
      <c r="BC52" s="1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</row>
    <row r="53" spans="1:101" ht="16.899999999999999">
      <c r="A53" s="36">
        <v>52</v>
      </c>
      <c r="B53" s="35">
        <v>46096</v>
      </c>
      <c r="C53" s="33" t="s">
        <v>351</v>
      </c>
      <c r="D53" s="33" t="s">
        <v>350</v>
      </c>
      <c r="E53" s="33" t="s">
        <v>352</v>
      </c>
      <c r="F53" s="33" t="s">
        <v>353</v>
      </c>
      <c r="G53" s="33"/>
      <c r="H53" s="33" t="s">
        <v>38</v>
      </c>
      <c r="I53" s="33" t="s">
        <v>159</v>
      </c>
      <c r="J53" s="33" t="s">
        <v>160</v>
      </c>
      <c r="K53" s="35" t="s">
        <v>161</v>
      </c>
      <c r="L53" s="34" t="s">
        <v>388</v>
      </c>
      <c r="M53" s="32">
        <v>9100000</v>
      </c>
      <c r="N53" s="32">
        <v>0</v>
      </c>
      <c r="O53" s="214">
        <f t="shared" si="18"/>
        <v>9100000</v>
      </c>
      <c r="P53" s="215"/>
      <c r="Q53" s="249" t="s">
        <v>379</v>
      </c>
      <c r="R53" s="30" t="s">
        <v>508</v>
      </c>
      <c r="S53" s="183" t="s">
        <v>80</v>
      </c>
      <c r="T53" s="29">
        <v>6030</v>
      </c>
      <c r="U53" s="20">
        <v>1484</v>
      </c>
      <c r="V53" s="28">
        <v>1370</v>
      </c>
      <c r="W53" s="20"/>
      <c r="X53" s="27"/>
      <c r="Y53" s="26"/>
      <c r="Z53" s="25">
        <f t="shared" si="22"/>
        <v>7400</v>
      </c>
      <c r="AA53" s="20">
        <f t="shared" si="2"/>
        <v>0</v>
      </c>
      <c r="AB53" s="24">
        <f t="shared" si="19"/>
        <v>-7400</v>
      </c>
      <c r="AC53" s="37"/>
      <c r="AD53" s="37"/>
      <c r="AE53" s="22"/>
      <c r="AF53" s="20"/>
      <c r="AG53" s="21"/>
      <c r="AH53" s="20"/>
      <c r="AI53" s="21"/>
      <c r="AJ53" s="20"/>
      <c r="AK53" s="20"/>
      <c r="AL53" s="20"/>
      <c r="AM53" s="19">
        <v>35000</v>
      </c>
      <c r="AN53" s="19">
        <v>30000</v>
      </c>
      <c r="AO53" s="19"/>
      <c r="AP53" s="19"/>
      <c r="AQ53" s="19"/>
      <c r="AR53" s="19">
        <f t="shared" si="4"/>
        <v>65000</v>
      </c>
      <c r="AS53" s="17">
        <f t="shared" si="5"/>
        <v>8883520</v>
      </c>
      <c r="AT53" s="17">
        <f t="shared" si="6"/>
        <v>-216480</v>
      </c>
      <c r="AU53" s="17">
        <f t="shared" si="7"/>
        <v>819000</v>
      </c>
      <c r="AV53" s="17">
        <f t="shared" si="20"/>
        <v>301260</v>
      </c>
      <c r="AW53" s="17">
        <f t="shared" si="21"/>
        <v>271134</v>
      </c>
      <c r="AX53" s="18">
        <v>50000</v>
      </c>
      <c r="AY53" s="18"/>
      <c r="AZ53" s="17">
        <f t="shared" si="23"/>
        <v>221134</v>
      </c>
      <c r="BA53" s="16"/>
      <c r="BB53" s="16"/>
      <c r="BC53" s="16"/>
    </row>
    <row r="54" spans="1:101" ht="16.899999999999999">
      <c r="A54" s="36">
        <v>53</v>
      </c>
      <c r="B54" s="35">
        <v>46096</v>
      </c>
      <c r="C54" s="33" t="s">
        <v>345</v>
      </c>
      <c r="D54" s="33" t="s">
        <v>355</v>
      </c>
      <c r="E54" s="33" t="s">
        <v>377</v>
      </c>
      <c r="F54" s="33" t="s">
        <v>354</v>
      </c>
      <c r="G54" s="33"/>
      <c r="H54" s="33" t="s">
        <v>38</v>
      </c>
      <c r="I54" s="33" t="s">
        <v>159</v>
      </c>
      <c r="J54" s="33" t="s">
        <v>160</v>
      </c>
      <c r="K54" s="35" t="s">
        <v>161</v>
      </c>
      <c r="L54" s="34" t="s">
        <v>388</v>
      </c>
      <c r="M54" s="32">
        <v>7100000</v>
      </c>
      <c r="N54" s="32">
        <v>0</v>
      </c>
      <c r="O54" s="214">
        <f t="shared" si="18"/>
        <v>7100000</v>
      </c>
      <c r="P54" s="215"/>
      <c r="Q54" s="249" t="s">
        <v>379</v>
      </c>
      <c r="R54" s="30" t="s">
        <v>508</v>
      </c>
      <c r="S54" s="183" t="s">
        <v>80</v>
      </c>
      <c r="T54" s="29">
        <v>4780</v>
      </c>
      <c r="U54" s="20">
        <v>1484</v>
      </c>
      <c r="V54" s="28">
        <v>1370</v>
      </c>
      <c r="W54" s="20"/>
      <c r="X54" s="27"/>
      <c r="Y54" s="26"/>
      <c r="Z54" s="25">
        <f t="shared" si="22"/>
        <v>6150</v>
      </c>
      <c r="AA54" s="20">
        <f t="shared" si="2"/>
        <v>0</v>
      </c>
      <c r="AB54" s="24">
        <f t="shared" si="19"/>
        <v>-6150</v>
      </c>
      <c r="AC54" s="37"/>
      <c r="AD54" s="37"/>
      <c r="AE54" s="22"/>
      <c r="AF54" s="20"/>
      <c r="AG54" s="21"/>
      <c r="AH54" s="20"/>
      <c r="AI54" s="21"/>
      <c r="AJ54" s="20"/>
      <c r="AK54" s="20"/>
      <c r="AL54" s="20"/>
      <c r="AM54" s="19">
        <v>35000</v>
      </c>
      <c r="AN54" s="19">
        <v>30000</v>
      </c>
      <c r="AO54" s="19"/>
      <c r="AP54" s="19"/>
      <c r="AQ54" s="19"/>
      <c r="AR54" s="19">
        <f t="shared" si="4"/>
        <v>65000</v>
      </c>
      <c r="AS54" s="17">
        <f t="shared" si="5"/>
        <v>7028520</v>
      </c>
      <c r="AT54" s="17">
        <f t="shared" si="6"/>
        <v>-71480</v>
      </c>
      <c r="AU54" s="17">
        <f t="shared" si="7"/>
        <v>639000</v>
      </c>
      <c r="AV54" s="17">
        <f t="shared" si="20"/>
        <v>283760</v>
      </c>
      <c r="AW54" s="17">
        <f t="shared" si="21"/>
        <v>255384</v>
      </c>
      <c r="AX54" s="18">
        <v>50000</v>
      </c>
      <c r="AY54" s="18"/>
      <c r="AZ54" s="17">
        <f t="shared" si="23"/>
        <v>205384</v>
      </c>
      <c r="BA54" s="16"/>
      <c r="BB54" s="16"/>
      <c r="BC54" s="16"/>
    </row>
    <row r="55" spans="1:101" ht="16.899999999999999">
      <c r="A55" s="36">
        <v>54</v>
      </c>
      <c r="B55" s="35">
        <v>46096</v>
      </c>
      <c r="C55" s="33" t="s">
        <v>255</v>
      </c>
      <c r="D55" s="33" t="s">
        <v>360</v>
      </c>
      <c r="E55" s="33" t="s">
        <v>359</v>
      </c>
      <c r="F55" s="33" t="s">
        <v>361</v>
      </c>
      <c r="G55" s="33"/>
      <c r="H55" s="33" t="s">
        <v>45</v>
      </c>
      <c r="I55" s="33" t="s">
        <v>163</v>
      </c>
      <c r="J55" s="33">
        <v>811577636</v>
      </c>
      <c r="K55" s="35" t="s">
        <v>162</v>
      </c>
      <c r="L55" s="34" t="s">
        <v>387</v>
      </c>
      <c r="M55" s="32">
        <v>16500000</v>
      </c>
      <c r="N55" s="32">
        <v>440000</v>
      </c>
      <c r="O55" s="214">
        <f t="shared" si="18"/>
        <v>16940000</v>
      </c>
      <c r="P55" s="215"/>
      <c r="Q55" s="249" t="s">
        <v>379</v>
      </c>
      <c r="R55" s="30" t="s">
        <v>508</v>
      </c>
      <c r="S55" s="183" t="s">
        <v>80</v>
      </c>
      <c r="T55" s="29">
        <v>10930</v>
      </c>
      <c r="U55" s="20">
        <v>1482</v>
      </c>
      <c r="V55" s="28">
        <v>1370</v>
      </c>
      <c r="W55" s="20"/>
      <c r="X55" s="27"/>
      <c r="Y55" s="26"/>
      <c r="Z55" s="25">
        <f t="shared" si="22"/>
        <v>12300</v>
      </c>
      <c r="AA55" s="20">
        <f t="shared" si="2"/>
        <v>0</v>
      </c>
      <c r="AB55" s="24">
        <f t="shared" si="19"/>
        <v>-12300</v>
      </c>
      <c r="AC55" s="37"/>
      <c r="AD55" s="37"/>
      <c r="AE55" s="22"/>
      <c r="AF55" s="20"/>
      <c r="AG55" s="21"/>
      <c r="AH55" s="20"/>
      <c r="AI55" s="21"/>
      <c r="AJ55" s="20"/>
      <c r="AK55" s="20"/>
      <c r="AL55" s="20"/>
      <c r="AM55" s="19">
        <v>35000</v>
      </c>
      <c r="AN55" s="19">
        <v>30000</v>
      </c>
      <c r="AO55" s="19"/>
      <c r="AP55" s="19"/>
      <c r="AQ55" s="19"/>
      <c r="AR55" s="19">
        <f t="shared" si="4"/>
        <v>65000</v>
      </c>
      <c r="AS55" s="17">
        <f t="shared" si="5"/>
        <v>16133260</v>
      </c>
      <c r="AT55" s="17">
        <f t="shared" si="6"/>
        <v>-806740</v>
      </c>
      <c r="AU55" s="17">
        <f t="shared" si="7"/>
        <v>1485000</v>
      </c>
      <c r="AV55" s="17">
        <f t="shared" si="20"/>
        <v>339130</v>
      </c>
      <c r="AW55" s="17">
        <f t="shared" si="21"/>
        <v>305217</v>
      </c>
      <c r="AX55" s="18">
        <v>50000</v>
      </c>
      <c r="AY55" s="18"/>
      <c r="AZ55" s="17">
        <f t="shared" si="23"/>
        <v>255217</v>
      </c>
      <c r="BA55" s="16"/>
      <c r="BB55" s="16"/>
      <c r="BC55" s="16"/>
    </row>
    <row r="56" spans="1:101" ht="16.899999999999999">
      <c r="A56" s="36">
        <v>55</v>
      </c>
      <c r="B56" s="35">
        <v>46100</v>
      </c>
      <c r="C56" s="33" t="s">
        <v>364</v>
      </c>
      <c r="D56" s="33" t="s">
        <v>363</v>
      </c>
      <c r="E56" s="33" t="s">
        <v>365</v>
      </c>
      <c r="F56" s="33" t="s">
        <v>362</v>
      </c>
      <c r="G56" s="33"/>
      <c r="H56" s="33" t="s">
        <v>45</v>
      </c>
      <c r="I56" s="33" t="s">
        <v>163</v>
      </c>
      <c r="J56" s="33">
        <v>811577636</v>
      </c>
      <c r="K56" s="35" t="s">
        <v>162</v>
      </c>
      <c r="L56" s="34" t="s">
        <v>387</v>
      </c>
      <c r="M56" s="32">
        <v>9000000</v>
      </c>
      <c r="N56" s="32">
        <v>440000</v>
      </c>
      <c r="O56" s="31">
        <f t="shared" si="18"/>
        <v>9440000</v>
      </c>
      <c r="P56" s="30"/>
      <c r="Q56" s="249" t="s">
        <v>379</v>
      </c>
      <c r="R56" s="30" t="s">
        <v>508</v>
      </c>
      <c r="S56" s="183" t="s">
        <v>80</v>
      </c>
      <c r="T56" s="29">
        <v>6210</v>
      </c>
      <c r="U56" s="20">
        <v>1485</v>
      </c>
      <c r="V56" s="28">
        <v>1590</v>
      </c>
      <c r="W56" s="20"/>
      <c r="X56" s="27"/>
      <c r="Y56" s="26"/>
      <c r="Z56" s="25">
        <f t="shared" si="22"/>
        <v>7800</v>
      </c>
      <c r="AA56" s="20">
        <f t="shared" si="2"/>
        <v>0</v>
      </c>
      <c r="AB56" s="24">
        <f t="shared" si="19"/>
        <v>-7800</v>
      </c>
      <c r="AC56" s="37"/>
      <c r="AD56" s="37"/>
      <c r="AE56" s="22"/>
      <c r="AF56" s="20"/>
      <c r="AG56" s="21"/>
      <c r="AH56" s="20"/>
      <c r="AI56" s="21"/>
      <c r="AJ56" s="20"/>
      <c r="AK56" s="20"/>
      <c r="AL56" s="20"/>
      <c r="AM56" s="19">
        <v>35000</v>
      </c>
      <c r="AN56" s="19">
        <v>30000</v>
      </c>
      <c r="AO56" s="19"/>
      <c r="AP56" s="19"/>
      <c r="AQ56" s="19"/>
      <c r="AR56" s="19">
        <f t="shared" si="4"/>
        <v>65000</v>
      </c>
      <c r="AS56" s="17">
        <f t="shared" si="5"/>
        <v>9156850</v>
      </c>
      <c r="AT56" s="17">
        <f t="shared" si="6"/>
        <v>-283150</v>
      </c>
      <c r="AU56" s="17">
        <f t="shared" si="7"/>
        <v>810000</v>
      </c>
      <c r="AV56" s="17">
        <f t="shared" si="20"/>
        <v>263425</v>
      </c>
      <c r="AW56" s="17">
        <f t="shared" si="21"/>
        <v>237082.5</v>
      </c>
      <c r="AX56" s="18">
        <v>50000</v>
      </c>
      <c r="AY56" s="18"/>
      <c r="AZ56" s="17">
        <f t="shared" si="23"/>
        <v>187082.5</v>
      </c>
      <c r="BA56" s="16"/>
      <c r="BB56" s="16"/>
      <c r="BC56" s="16"/>
    </row>
    <row r="57" spans="1:101" ht="16.899999999999999">
      <c r="A57" s="36">
        <v>56</v>
      </c>
      <c r="B57" s="35">
        <v>46099</v>
      </c>
      <c r="C57" s="33" t="s">
        <v>367</v>
      </c>
      <c r="D57" s="33" t="s">
        <v>366</v>
      </c>
      <c r="E57" s="33" t="s">
        <v>369</v>
      </c>
      <c r="F57" s="33" t="s">
        <v>368</v>
      </c>
      <c r="G57" s="33"/>
      <c r="H57" s="33" t="s">
        <v>38</v>
      </c>
      <c r="I57" s="33" t="s">
        <v>159</v>
      </c>
      <c r="J57" s="33" t="s">
        <v>160</v>
      </c>
      <c r="K57" s="35" t="s">
        <v>161</v>
      </c>
      <c r="L57" s="34" t="s">
        <v>388</v>
      </c>
      <c r="M57" s="32">
        <v>5200000</v>
      </c>
      <c r="N57" s="32">
        <v>0</v>
      </c>
      <c r="O57" s="31">
        <f t="shared" si="18"/>
        <v>5200000</v>
      </c>
      <c r="P57" s="30"/>
      <c r="Q57" s="249" t="s">
        <v>379</v>
      </c>
      <c r="R57" s="30" t="s">
        <v>508</v>
      </c>
      <c r="S57" s="183" t="s">
        <v>80</v>
      </c>
      <c r="T57" s="29">
        <v>3510</v>
      </c>
      <c r="U57" s="20">
        <v>1485</v>
      </c>
      <c r="V57" s="28">
        <v>1490</v>
      </c>
      <c r="W57" s="20"/>
      <c r="X57" s="27"/>
      <c r="Y57" s="26"/>
      <c r="Z57" s="25">
        <f t="shared" si="22"/>
        <v>5000</v>
      </c>
      <c r="AA57" s="20">
        <f t="shared" si="2"/>
        <v>0</v>
      </c>
      <c r="AB57" s="24">
        <f t="shared" si="19"/>
        <v>-5000</v>
      </c>
      <c r="AC57" s="37"/>
      <c r="AD57" s="37"/>
      <c r="AE57" s="22"/>
      <c r="AF57" s="20"/>
      <c r="AG57" s="21"/>
      <c r="AH57" s="20"/>
      <c r="AI57" s="21"/>
      <c r="AJ57" s="20"/>
      <c r="AK57" s="20"/>
      <c r="AL57" s="20"/>
      <c r="AM57" s="19">
        <v>35000</v>
      </c>
      <c r="AN57" s="19">
        <v>30000</v>
      </c>
      <c r="AO57" s="19"/>
      <c r="AP57" s="19"/>
      <c r="AQ57" s="19"/>
      <c r="AR57" s="19">
        <f t="shared" si="4"/>
        <v>65000</v>
      </c>
      <c r="AS57" s="17">
        <f t="shared" si="5"/>
        <v>5147350</v>
      </c>
      <c r="AT57" s="17">
        <f t="shared" si="6"/>
        <v>-52650</v>
      </c>
      <c r="AU57" s="17">
        <f t="shared" si="7"/>
        <v>468000</v>
      </c>
      <c r="AV57" s="17">
        <f t="shared" si="20"/>
        <v>207675</v>
      </c>
      <c r="AW57" s="17">
        <f t="shared" si="21"/>
        <v>186907.5</v>
      </c>
      <c r="AX57" s="18">
        <v>50000</v>
      </c>
      <c r="AY57" s="18"/>
      <c r="AZ57" s="17">
        <f t="shared" si="23"/>
        <v>136907.5</v>
      </c>
      <c r="BA57" s="16"/>
      <c r="BB57" s="16"/>
      <c r="BC57" s="16"/>
    </row>
    <row r="58" spans="1:101" ht="16.899999999999999">
      <c r="A58" s="36">
        <v>57</v>
      </c>
      <c r="B58" s="35">
        <v>46111</v>
      </c>
      <c r="C58" s="33" t="s">
        <v>381</v>
      </c>
      <c r="D58" s="33" t="s">
        <v>382</v>
      </c>
      <c r="E58" s="33" t="s">
        <v>380</v>
      </c>
      <c r="F58" s="33" t="s">
        <v>386</v>
      </c>
      <c r="G58" s="33"/>
      <c r="H58" s="33" t="s">
        <v>383</v>
      </c>
      <c r="I58" s="33" t="s">
        <v>384</v>
      </c>
      <c r="J58" s="33">
        <v>17069739709</v>
      </c>
      <c r="K58" s="35" t="s">
        <v>385</v>
      </c>
      <c r="L58" s="34" t="s">
        <v>390</v>
      </c>
      <c r="M58" s="32">
        <v>47500000</v>
      </c>
      <c r="N58" s="32">
        <v>0</v>
      </c>
      <c r="O58" s="31">
        <f t="shared" si="18"/>
        <v>47500000</v>
      </c>
      <c r="P58" s="30"/>
      <c r="Q58" s="249" t="s">
        <v>379</v>
      </c>
      <c r="R58" s="30" t="s">
        <v>508</v>
      </c>
      <c r="S58" s="183" t="s">
        <v>80</v>
      </c>
      <c r="T58" s="29">
        <v>32400</v>
      </c>
      <c r="U58" s="20">
        <v>1494</v>
      </c>
      <c r="V58" s="28">
        <v>0</v>
      </c>
      <c r="W58" s="20"/>
      <c r="X58" s="27"/>
      <c r="Y58" s="26"/>
      <c r="Z58" s="25">
        <f t="shared" si="22"/>
        <v>32400</v>
      </c>
      <c r="AA58" s="20">
        <f t="shared" si="2"/>
        <v>0</v>
      </c>
      <c r="AB58" s="24">
        <f t="shared" si="19"/>
        <v>-32400</v>
      </c>
      <c r="AC58" s="37"/>
      <c r="AD58" s="37"/>
      <c r="AE58" s="22"/>
      <c r="AF58" s="20"/>
      <c r="AG58" s="21"/>
      <c r="AH58" s="20"/>
      <c r="AI58" s="21"/>
      <c r="AJ58" s="20"/>
      <c r="AK58" s="20"/>
      <c r="AL58" s="20"/>
      <c r="AM58" s="19">
        <v>35000</v>
      </c>
      <c r="AN58" s="19">
        <v>30000</v>
      </c>
      <c r="AO58" s="19"/>
      <c r="AP58" s="19"/>
      <c r="AQ58" s="19"/>
      <c r="AR58" s="19">
        <f t="shared" si="4"/>
        <v>65000</v>
      </c>
      <c r="AS58" s="17">
        <f t="shared" si="5"/>
        <v>48340600</v>
      </c>
      <c r="AT58" s="17">
        <f t="shared" si="6"/>
        <v>840600</v>
      </c>
      <c r="AU58" s="17">
        <f t="shared" si="7"/>
        <v>4275000</v>
      </c>
      <c r="AV58" s="17">
        <f t="shared" si="20"/>
        <v>2557800</v>
      </c>
      <c r="AW58" s="17">
        <f t="shared" si="21"/>
        <v>2302020</v>
      </c>
      <c r="AX58" s="18">
        <v>50000</v>
      </c>
      <c r="AY58" s="18"/>
      <c r="AZ58" s="17">
        <f t="shared" si="23"/>
        <v>2252020</v>
      </c>
      <c r="BA58" s="16"/>
      <c r="BB58" s="16"/>
      <c r="BC58" s="16"/>
    </row>
    <row r="59" spans="1:101" ht="16.899999999999999">
      <c r="A59" s="36">
        <v>58</v>
      </c>
      <c r="B59" s="35">
        <v>46122</v>
      </c>
      <c r="C59" s="33" t="s">
        <v>240</v>
      </c>
      <c r="D59" s="33" t="s">
        <v>487</v>
      </c>
      <c r="E59" s="33" t="s">
        <v>515</v>
      </c>
      <c r="F59" s="33" t="s">
        <v>1078</v>
      </c>
      <c r="G59" s="33"/>
      <c r="H59" s="33" t="s">
        <v>488</v>
      </c>
      <c r="I59" s="33" t="s">
        <v>674</v>
      </c>
      <c r="J59" s="33" t="s">
        <v>675</v>
      </c>
      <c r="K59" s="35" t="s">
        <v>161</v>
      </c>
      <c r="L59" s="34" t="s">
        <v>388</v>
      </c>
      <c r="M59" s="32">
        <v>6300000</v>
      </c>
      <c r="N59" s="32">
        <v>0</v>
      </c>
      <c r="O59" s="227">
        <f t="shared" si="18"/>
        <v>6300000</v>
      </c>
      <c r="P59" s="226"/>
      <c r="Q59" s="249" t="s">
        <v>379</v>
      </c>
      <c r="R59" s="30" t="s">
        <v>508</v>
      </c>
      <c r="S59" s="183" t="s">
        <v>80</v>
      </c>
      <c r="T59" s="29">
        <v>4010</v>
      </c>
      <c r="U59" s="20">
        <v>1470</v>
      </c>
      <c r="V59" s="28">
        <v>1590</v>
      </c>
      <c r="W59" s="20"/>
      <c r="X59" s="27"/>
      <c r="Y59" s="26"/>
      <c r="Z59" s="25">
        <f t="shared" si="22"/>
        <v>5600</v>
      </c>
      <c r="AA59" s="20">
        <f t="shared" si="2"/>
        <v>0</v>
      </c>
      <c r="AB59" s="24">
        <f t="shared" si="19"/>
        <v>-5600</v>
      </c>
      <c r="AC59" s="37"/>
      <c r="AD59" s="37"/>
      <c r="AE59" s="22"/>
      <c r="AF59" s="20"/>
      <c r="AG59" s="21"/>
      <c r="AH59" s="20"/>
      <c r="AI59" s="21"/>
      <c r="AJ59" s="20"/>
      <c r="AK59" s="20"/>
      <c r="AL59" s="20"/>
      <c r="AM59" s="19">
        <v>35000</v>
      </c>
      <c r="AN59" s="19">
        <v>30000</v>
      </c>
      <c r="AO59" s="19"/>
      <c r="AP59" s="19"/>
      <c r="AQ59" s="19"/>
      <c r="AR59" s="19">
        <f t="shared" si="4"/>
        <v>65000</v>
      </c>
      <c r="AS59" s="17">
        <f t="shared" si="5"/>
        <v>5829700</v>
      </c>
      <c r="AT59" s="17">
        <f t="shared" si="6"/>
        <v>-470300</v>
      </c>
      <c r="AU59" s="17">
        <f t="shared" si="7"/>
        <v>567000</v>
      </c>
      <c r="AV59" s="17">
        <f t="shared" si="20"/>
        <v>48350</v>
      </c>
      <c r="AW59" s="17">
        <f t="shared" si="21"/>
        <v>43515</v>
      </c>
      <c r="AX59" s="18">
        <v>50000</v>
      </c>
      <c r="AY59" s="18"/>
      <c r="AZ59" s="17">
        <f t="shared" si="23"/>
        <v>-6485</v>
      </c>
      <c r="BA59" s="16"/>
      <c r="BB59" s="16"/>
      <c r="BC59" s="16"/>
    </row>
    <row r="60" spans="1:101" ht="16.899999999999999">
      <c r="A60" s="36">
        <v>59</v>
      </c>
      <c r="B60" s="35">
        <v>46124</v>
      </c>
      <c r="C60" s="33" t="s">
        <v>516</v>
      </c>
      <c r="D60" s="33" t="s">
        <v>517</v>
      </c>
      <c r="E60" s="33" t="s">
        <v>535</v>
      </c>
      <c r="F60" s="33" t="s">
        <v>518</v>
      </c>
      <c r="G60" s="33" t="s">
        <v>539</v>
      </c>
      <c r="H60" s="33" t="s">
        <v>253</v>
      </c>
      <c r="I60" s="33" t="s">
        <v>252</v>
      </c>
      <c r="J60" s="33">
        <v>811577636</v>
      </c>
      <c r="K60" s="35" t="s">
        <v>251</v>
      </c>
      <c r="L60" s="34" t="s">
        <v>387</v>
      </c>
      <c r="M60" s="32">
        <v>27600000</v>
      </c>
      <c r="N60" s="32">
        <v>440000</v>
      </c>
      <c r="O60" s="31">
        <f t="shared" ref="O60:O123" si="24">M60+N60</f>
        <v>28040000</v>
      </c>
      <c r="P60" s="30"/>
      <c r="Q60" s="249" t="s">
        <v>379</v>
      </c>
      <c r="R60" s="30" t="s">
        <v>508</v>
      </c>
      <c r="S60" s="183" t="s">
        <v>80</v>
      </c>
      <c r="T60" s="29">
        <f>20400-1590</f>
        <v>18810</v>
      </c>
      <c r="U60" s="20">
        <v>1472</v>
      </c>
      <c r="V60" s="28">
        <v>1590</v>
      </c>
      <c r="W60" s="20"/>
      <c r="X60" s="27"/>
      <c r="Y60" s="26"/>
      <c r="Z60" s="25">
        <f t="shared" si="22"/>
        <v>20400</v>
      </c>
      <c r="AA60" s="20">
        <f t="shared" si="2"/>
        <v>0</v>
      </c>
      <c r="AB60" s="24">
        <f t="shared" ref="AB60:AB123" si="25">SUM(AA60-Z60)</f>
        <v>-20400</v>
      </c>
      <c r="AC60" s="37"/>
      <c r="AD60" s="37"/>
      <c r="AE60" s="22"/>
      <c r="AF60" s="20"/>
      <c r="AG60" s="21"/>
      <c r="AH60" s="20"/>
      <c r="AI60" s="21"/>
      <c r="AJ60" s="20"/>
      <c r="AK60" s="20"/>
      <c r="AL60" s="20"/>
      <c r="AM60" s="19">
        <v>35000</v>
      </c>
      <c r="AN60" s="19">
        <v>30000</v>
      </c>
      <c r="AO60" s="19"/>
      <c r="AP60" s="19"/>
      <c r="AQ60" s="19"/>
      <c r="AR60" s="19">
        <f t="shared" si="4"/>
        <v>65000</v>
      </c>
      <c r="AS60" s="17">
        <f t="shared" si="5"/>
        <v>27623320</v>
      </c>
      <c r="AT60" s="17">
        <f t="shared" si="6"/>
        <v>-416680</v>
      </c>
      <c r="AU60" s="17">
        <f t="shared" si="7"/>
        <v>2484000</v>
      </c>
      <c r="AV60" s="17">
        <f t="shared" ref="AV60:AV123" si="26">SUM(AT60:AU60)/2</f>
        <v>1033660</v>
      </c>
      <c r="AW60" s="17">
        <f t="shared" ref="AW60:AW123" si="27">AV60-(AV60*10%)</f>
        <v>930294</v>
      </c>
      <c r="AX60" s="18">
        <v>50000</v>
      </c>
      <c r="AY60" s="18"/>
      <c r="AZ60" s="17">
        <f t="shared" si="23"/>
        <v>880294</v>
      </c>
      <c r="BA60" s="16"/>
      <c r="BB60" s="16"/>
      <c r="BC60" s="16"/>
    </row>
    <row r="61" spans="1:101" ht="16.899999999999999">
      <c r="A61" s="36">
        <v>60</v>
      </c>
      <c r="B61" s="35">
        <v>46124</v>
      </c>
      <c r="C61" s="33" t="s">
        <v>224</v>
      </c>
      <c r="D61" s="33" t="s">
        <v>519</v>
      </c>
      <c r="E61" s="33" t="s">
        <v>536</v>
      </c>
      <c r="F61" s="33" t="s">
        <v>520</v>
      </c>
      <c r="G61" s="33" t="s">
        <v>539</v>
      </c>
      <c r="H61" s="33" t="s">
        <v>253</v>
      </c>
      <c r="I61" s="33" t="s">
        <v>252</v>
      </c>
      <c r="J61" s="33">
        <v>811577636</v>
      </c>
      <c r="K61" s="35" t="s">
        <v>251</v>
      </c>
      <c r="L61" s="34" t="s">
        <v>387</v>
      </c>
      <c r="M61" s="32">
        <v>21560000</v>
      </c>
      <c r="N61" s="32">
        <v>440000</v>
      </c>
      <c r="O61" s="31">
        <f t="shared" si="24"/>
        <v>22000000</v>
      </c>
      <c r="P61" s="30"/>
      <c r="Q61" s="249" t="s">
        <v>379</v>
      </c>
      <c r="R61" s="30" t="s">
        <v>508</v>
      </c>
      <c r="S61" s="183" t="s">
        <v>80</v>
      </c>
      <c r="T61" s="29">
        <f>15800-1490</f>
        <v>14310</v>
      </c>
      <c r="U61" s="20">
        <v>1472</v>
      </c>
      <c r="V61" s="28">
        <v>1490</v>
      </c>
      <c r="W61" s="20"/>
      <c r="X61" s="27"/>
      <c r="Y61" s="26"/>
      <c r="Z61" s="25">
        <f t="shared" si="22"/>
        <v>15800</v>
      </c>
      <c r="AA61" s="20">
        <f t="shared" si="2"/>
        <v>0</v>
      </c>
      <c r="AB61" s="24">
        <f t="shared" si="25"/>
        <v>-15800</v>
      </c>
      <c r="AC61" s="37"/>
      <c r="AD61" s="37"/>
      <c r="AE61" s="22"/>
      <c r="AF61" s="20"/>
      <c r="AG61" s="21"/>
      <c r="AH61" s="20"/>
      <c r="AI61" s="21"/>
      <c r="AJ61" s="20"/>
      <c r="AK61" s="20"/>
      <c r="AL61" s="20"/>
      <c r="AM61" s="19">
        <v>35000</v>
      </c>
      <c r="AN61" s="19">
        <v>30000</v>
      </c>
      <c r="AO61" s="19"/>
      <c r="AP61" s="19"/>
      <c r="AQ61" s="19"/>
      <c r="AR61" s="19">
        <f t="shared" si="4"/>
        <v>65000</v>
      </c>
      <c r="AS61" s="17">
        <f t="shared" si="5"/>
        <v>20999320</v>
      </c>
      <c r="AT61" s="17">
        <f t="shared" si="6"/>
        <v>-1000680</v>
      </c>
      <c r="AU61" s="17">
        <f t="shared" si="7"/>
        <v>1940400</v>
      </c>
      <c r="AV61" s="17">
        <f t="shared" si="26"/>
        <v>469860</v>
      </c>
      <c r="AW61" s="17">
        <f t="shared" si="27"/>
        <v>422874</v>
      </c>
      <c r="AX61" s="18">
        <v>50000</v>
      </c>
      <c r="AY61" s="18"/>
      <c r="AZ61" s="17">
        <f t="shared" si="23"/>
        <v>372874</v>
      </c>
      <c r="BA61" s="16"/>
      <c r="BB61" s="16"/>
      <c r="BC61" s="16"/>
    </row>
    <row r="62" spans="1:101" ht="16.899999999999999">
      <c r="A62" s="36">
        <v>61</v>
      </c>
      <c r="B62" s="35">
        <v>46124</v>
      </c>
      <c r="C62" s="33" t="s">
        <v>528</v>
      </c>
      <c r="D62" s="33" t="s">
        <v>526</v>
      </c>
      <c r="E62" s="33" t="s">
        <v>527</v>
      </c>
      <c r="F62" s="33" t="s">
        <v>537</v>
      </c>
      <c r="G62" s="33" t="s">
        <v>538</v>
      </c>
      <c r="H62" s="33" t="s">
        <v>253</v>
      </c>
      <c r="I62" s="33" t="s">
        <v>252</v>
      </c>
      <c r="J62" s="33">
        <v>811577636</v>
      </c>
      <c r="K62" s="35" t="s">
        <v>251</v>
      </c>
      <c r="L62" s="34" t="s">
        <v>387</v>
      </c>
      <c r="M62" s="32">
        <f>20800000-N61</f>
        <v>20360000</v>
      </c>
      <c r="N62" s="32">
        <v>440000</v>
      </c>
      <c r="O62" s="31">
        <f t="shared" si="24"/>
        <v>20800000</v>
      </c>
      <c r="P62" s="30"/>
      <c r="Q62" s="249" t="s">
        <v>379</v>
      </c>
      <c r="R62" s="30" t="s">
        <v>508</v>
      </c>
      <c r="S62" s="183" t="s">
        <v>80</v>
      </c>
      <c r="T62" s="29">
        <f>15000-1490</f>
        <v>13510</v>
      </c>
      <c r="U62" s="20">
        <v>1470</v>
      </c>
      <c r="V62" s="28">
        <v>1490</v>
      </c>
      <c r="W62" s="20"/>
      <c r="X62" s="27"/>
      <c r="Y62" s="26"/>
      <c r="Z62" s="25">
        <f t="shared" si="22"/>
        <v>15000</v>
      </c>
      <c r="AA62" s="20">
        <f t="shared" si="2"/>
        <v>0</v>
      </c>
      <c r="AB62" s="24">
        <f t="shared" si="25"/>
        <v>-15000</v>
      </c>
      <c r="AC62" s="37"/>
      <c r="AD62" s="37"/>
      <c r="AE62" s="22"/>
      <c r="AF62" s="20"/>
      <c r="AG62" s="21"/>
      <c r="AH62" s="20"/>
      <c r="AI62" s="21"/>
      <c r="AJ62" s="20"/>
      <c r="AK62" s="20"/>
      <c r="AL62" s="20"/>
      <c r="AM62" s="19">
        <v>35000</v>
      </c>
      <c r="AN62" s="19">
        <v>30000</v>
      </c>
      <c r="AO62" s="19"/>
      <c r="AP62" s="19"/>
      <c r="AQ62" s="19"/>
      <c r="AR62" s="19">
        <f t="shared" si="4"/>
        <v>65000</v>
      </c>
      <c r="AS62" s="17">
        <f t="shared" si="5"/>
        <v>19794700</v>
      </c>
      <c r="AT62" s="17">
        <f t="shared" si="6"/>
        <v>-1005300</v>
      </c>
      <c r="AU62" s="17">
        <f t="shared" si="7"/>
        <v>1832400</v>
      </c>
      <c r="AV62" s="17">
        <f t="shared" si="26"/>
        <v>413550</v>
      </c>
      <c r="AW62" s="17">
        <f t="shared" si="27"/>
        <v>372195</v>
      </c>
      <c r="AX62" s="18">
        <v>50000</v>
      </c>
      <c r="AY62" s="18"/>
      <c r="AZ62" s="17">
        <f t="shared" si="23"/>
        <v>322195</v>
      </c>
      <c r="BA62" s="16"/>
      <c r="BB62" s="16"/>
      <c r="BC62" s="16"/>
    </row>
    <row r="63" spans="1:101" ht="16.899999999999999">
      <c r="A63" s="36">
        <v>62</v>
      </c>
      <c r="B63" s="35">
        <v>46127</v>
      </c>
      <c r="C63" s="33" t="s">
        <v>563</v>
      </c>
      <c r="D63" s="33" t="s">
        <v>562</v>
      </c>
      <c r="E63" s="33" t="s">
        <v>1079</v>
      </c>
      <c r="F63" s="33" t="s">
        <v>565</v>
      </c>
      <c r="G63" s="33" t="s">
        <v>564</v>
      </c>
      <c r="H63" s="33" t="s">
        <v>253</v>
      </c>
      <c r="I63" s="33" t="s">
        <v>252</v>
      </c>
      <c r="J63" s="33">
        <v>811577636</v>
      </c>
      <c r="K63" s="35" t="s">
        <v>251</v>
      </c>
      <c r="L63" s="34" t="s">
        <v>387</v>
      </c>
      <c r="M63" s="32">
        <f>17800000-440000</f>
        <v>17360000</v>
      </c>
      <c r="N63" s="32">
        <v>440000</v>
      </c>
      <c r="O63" s="31">
        <f t="shared" si="24"/>
        <v>17800000</v>
      </c>
      <c r="P63" s="30"/>
      <c r="Q63" s="249" t="s">
        <v>379</v>
      </c>
      <c r="R63" s="30" t="s">
        <v>508</v>
      </c>
      <c r="S63" s="183" t="s">
        <v>80</v>
      </c>
      <c r="T63" s="29">
        <f>13250-1490</f>
        <v>11760</v>
      </c>
      <c r="U63" s="20">
        <v>1460</v>
      </c>
      <c r="V63" s="28">
        <v>1490</v>
      </c>
      <c r="W63" s="20"/>
      <c r="X63" s="27"/>
      <c r="Y63" s="26"/>
      <c r="Z63" s="25">
        <f t="shared" si="22"/>
        <v>13250</v>
      </c>
      <c r="AA63" s="20">
        <f t="shared" si="2"/>
        <v>0</v>
      </c>
      <c r="AB63" s="24">
        <f t="shared" si="25"/>
        <v>-13250</v>
      </c>
      <c r="AC63" s="37"/>
      <c r="AD63" s="37"/>
      <c r="AE63" s="22"/>
      <c r="AF63" s="20"/>
      <c r="AG63" s="21"/>
      <c r="AH63" s="20"/>
      <c r="AI63" s="21"/>
      <c r="AJ63" s="20"/>
      <c r="AK63" s="20"/>
      <c r="AL63" s="20"/>
      <c r="AM63" s="19">
        <v>35000</v>
      </c>
      <c r="AN63" s="19">
        <v>30000</v>
      </c>
      <c r="AO63" s="19"/>
      <c r="AP63" s="19"/>
      <c r="AQ63" s="19"/>
      <c r="AR63" s="19">
        <f t="shared" si="4"/>
        <v>65000</v>
      </c>
      <c r="AS63" s="17">
        <f t="shared" si="5"/>
        <v>17104600</v>
      </c>
      <c r="AT63" s="17">
        <f t="shared" si="6"/>
        <v>-695400</v>
      </c>
      <c r="AU63" s="17">
        <f t="shared" si="7"/>
        <v>1562400</v>
      </c>
      <c r="AV63" s="17">
        <f t="shared" si="26"/>
        <v>433500</v>
      </c>
      <c r="AW63" s="17">
        <f t="shared" si="27"/>
        <v>390150</v>
      </c>
      <c r="AX63" s="18">
        <v>50000</v>
      </c>
      <c r="AY63" s="18"/>
      <c r="AZ63" s="17">
        <f t="shared" si="23"/>
        <v>340150</v>
      </c>
      <c r="BA63" s="16"/>
      <c r="BB63" s="16"/>
      <c r="BC63" s="16"/>
    </row>
    <row r="64" spans="1:101" ht="16.899999999999999">
      <c r="A64" s="36">
        <v>63</v>
      </c>
      <c r="B64" s="35">
        <v>46131</v>
      </c>
      <c r="C64" s="33" t="s">
        <v>235</v>
      </c>
      <c r="D64" s="33" t="s">
        <v>595</v>
      </c>
      <c r="E64" s="33" t="s">
        <v>597</v>
      </c>
      <c r="F64" s="33" t="s">
        <v>596</v>
      </c>
      <c r="G64" s="33" t="s">
        <v>538</v>
      </c>
      <c r="H64" s="33" t="s">
        <v>38</v>
      </c>
      <c r="I64" s="33" t="s">
        <v>674</v>
      </c>
      <c r="J64" s="33" t="s">
        <v>675</v>
      </c>
      <c r="K64" s="35" t="s">
        <v>161</v>
      </c>
      <c r="L64" s="34" t="s">
        <v>388</v>
      </c>
      <c r="M64" s="32">
        <f>4540000-N64</f>
        <v>4100000</v>
      </c>
      <c r="N64" s="32">
        <v>440000</v>
      </c>
      <c r="O64" s="31">
        <f t="shared" si="24"/>
        <v>4540000</v>
      </c>
      <c r="P64" s="30"/>
      <c r="Q64" s="249" t="s">
        <v>379</v>
      </c>
      <c r="R64" s="30" t="s">
        <v>508</v>
      </c>
      <c r="S64" s="183" t="s">
        <v>80</v>
      </c>
      <c r="T64" s="29">
        <f>4650-1590</f>
        <v>3060</v>
      </c>
      <c r="U64" s="20">
        <v>1455</v>
      </c>
      <c r="V64" s="28">
        <v>1590</v>
      </c>
      <c r="W64" s="20"/>
      <c r="X64" s="27"/>
      <c r="Y64" s="26"/>
      <c r="Z64" s="25">
        <f t="shared" si="22"/>
        <v>4650</v>
      </c>
      <c r="AA64" s="20">
        <f t="shared" si="2"/>
        <v>0</v>
      </c>
      <c r="AB64" s="24">
        <f t="shared" si="25"/>
        <v>-4650</v>
      </c>
      <c r="AC64" s="37"/>
      <c r="AD64" s="37"/>
      <c r="AE64" s="22"/>
      <c r="AF64" s="20"/>
      <c r="AG64" s="21"/>
      <c r="AH64" s="20"/>
      <c r="AI64" s="21"/>
      <c r="AJ64" s="20"/>
      <c r="AK64" s="20"/>
      <c r="AL64" s="20"/>
      <c r="AM64" s="19">
        <v>35000</v>
      </c>
      <c r="AN64" s="19">
        <v>30000</v>
      </c>
      <c r="AO64" s="19"/>
      <c r="AP64" s="19"/>
      <c r="AQ64" s="19"/>
      <c r="AR64" s="19">
        <f t="shared" si="4"/>
        <v>65000</v>
      </c>
      <c r="AS64" s="17">
        <f t="shared" si="5"/>
        <v>4387300</v>
      </c>
      <c r="AT64" s="17">
        <f t="shared" si="6"/>
        <v>-152700</v>
      </c>
      <c r="AU64" s="17">
        <f t="shared" si="7"/>
        <v>369000</v>
      </c>
      <c r="AV64" s="17">
        <f t="shared" si="26"/>
        <v>108150</v>
      </c>
      <c r="AW64" s="17">
        <f t="shared" si="27"/>
        <v>97335</v>
      </c>
      <c r="AX64" s="18">
        <v>50000</v>
      </c>
      <c r="AY64" s="18"/>
      <c r="AZ64" s="17">
        <f t="shared" si="23"/>
        <v>47335</v>
      </c>
      <c r="BA64" s="16"/>
      <c r="BB64" s="16"/>
      <c r="BC64" s="16"/>
    </row>
    <row r="65" spans="1:55" ht="16.899999999999999">
      <c r="A65" s="36">
        <v>64</v>
      </c>
      <c r="B65" s="35">
        <v>46142</v>
      </c>
      <c r="C65" s="33" t="s">
        <v>663</v>
      </c>
      <c r="D65" s="33" t="s">
        <v>661</v>
      </c>
      <c r="E65" s="33" t="s">
        <v>662</v>
      </c>
      <c r="F65" s="33" t="s">
        <v>677</v>
      </c>
      <c r="G65" s="33" t="s">
        <v>678</v>
      </c>
      <c r="H65" s="33" t="s">
        <v>253</v>
      </c>
      <c r="I65" s="33" t="s">
        <v>252</v>
      </c>
      <c r="J65" s="33">
        <v>811577636</v>
      </c>
      <c r="K65" s="35" t="s">
        <v>251</v>
      </c>
      <c r="L65" s="34" t="s">
        <v>387</v>
      </c>
      <c r="M65" s="32">
        <f>27000000-N63</f>
        <v>26560000</v>
      </c>
      <c r="N65" s="32">
        <v>440000</v>
      </c>
      <c r="O65" s="31">
        <f t="shared" si="24"/>
        <v>27000000</v>
      </c>
      <c r="P65" s="30"/>
      <c r="Q65" s="249" t="s">
        <v>379</v>
      </c>
      <c r="R65" s="30" t="s">
        <v>508</v>
      </c>
      <c r="S65" s="183" t="s">
        <v>80</v>
      </c>
      <c r="T65" s="29">
        <f>19000-V65</f>
        <v>17410</v>
      </c>
      <c r="U65" s="20">
        <v>1471</v>
      </c>
      <c r="V65" s="28">
        <v>1590</v>
      </c>
      <c r="W65" s="20"/>
      <c r="X65" s="27"/>
      <c r="Y65" s="26"/>
      <c r="Z65" s="25">
        <f t="shared" si="22"/>
        <v>19000</v>
      </c>
      <c r="AA65" s="20">
        <f t="shared" si="2"/>
        <v>0</v>
      </c>
      <c r="AB65" s="24">
        <f t="shared" si="25"/>
        <v>-19000</v>
      </c>
      <c r="AC65" s="37"/>
      <c r="AD65" s="37"/>
      <c r="AE65" s="22"/>
      <c r="AF65" s="20"/>
      <c r="AG65" s="21"/>
      <c r="AH65" s="20"/>
      <c r="AI65" s="21"/>
      <c r="AJ65" s="20"/>
      <c r="AK65" s="20"/>
      <c r="AL65" s="20"/>
      <c r="AM65" s="19">
        <v>35000</v>
      </c>
      <c r="AN65" s="19">
        <v>30000</v>
      </c>
      <c r="AO65" s="19"/>
      <c r="AP65" s="19"/>
      <c r="AQ65" s="19"/>
      <c r="AR65" s="19">
        <f t="shared" si="4"/>
        <v>65000</v>
      </c>
      <c r="AS65" s="17">
        <f t="shared" si="5"/>
        <v>25545110</v>
      </c>
      <c r="AT65" s="17">
        <f t="shared" si="6"/>
        <v>-1454890</v>
      </c>
      <c r="AU65" s="17">
        <f t="shared" si="7"/>
        <v>2390400</v>
      </c>
      <c r="AV65" s="17">
        <f t="shared" si="26"/>
        <v>467755</v>
      </c>
      <c r="AW65" s="17">
        <f t="shared" si="27"/>
        <v>420979.5</v>
      </c>
      <c r="AX65" s="18">
        <v>50000</v>
      </c>
      <c r="AY65" s="18"/>
      <c r="AZ65" s="17">
        <f t="shared" si="23"/>
        <v>370979.5</v>
      </c>
      <c r="BA65" s="16"/>
      <c r="BB65" s="16"/>
      <c r="BC65" s="16"/>
    </row>
    <row r="66" spans="1:55" ht="16.899999999999999">
      <c r="A66" s="36">
        <v>65</v>
      </c>
      <c r="B66" s="35">
        <v>46145</v>
      </c>
      <c r="C66" s="33" t="s">
        <v>1080</v>
      </c>
      <c r="D66" s="33" t="s">
        <v>1081</v>
      </c>
      <c r="E66" s="33" t="s">
        <v>1082</v>
      </c>
      <c r="F66" s="33" t="s">
        <v>1083</v>
      </c>
      <c r="G66" s="33" t="s">
        <v>1083</v>
      </c>
      <c r="H66" s="33" t="s">
        <v>38</v>
      </c>
      <c r="I66" s="33" t="s">
        <v>159</v>
      </c>
      <c r="J66" s="33" t="s">
        <v>160</v>
      </c>
      <c r="K66" s="35" t="s">
        <v>161</v>
      </c>
      <c r="L66" s="34" t="s">
        <v>388</v>
      </c>
      <c r="M66" s="32">
        <f>6900000-N65</f>
        <v>6460000</v>
      </c>
      <c r="N66" s="32">
        <v>440000</v>
      </c>
      <c r="O66" s="31">
        <f t="shared" si="24"/>
        <v>6900000</v>
      </c>
      <c r="P66" s="30"/>
      <c r="Q66" s="249" t="s">
        <v>379</v>
      </c>
      <c r="R66" s="30" t="s">
        <v>508</v>
      </c>
      <c r="S66" s="183" t="s">
        <v>80</v>
      </c>
      <c r="T66" s="29">
        <f>6300-V66</f>
        <v>4810</v>
      </c>
      <c r="U66" s="20">
        <v>1463</v>
      </c>
      <c r="V66" s="28">
        <v>1490</v>
      </c>
      <c r="W66" s="20"/>
      <c r="X66" s="27"/>
      <c r="Y66" s="26"/>
      <c r="Z66" s="25">
        <f t="shared" si="22"/>
        <v>6300</v>
      </c>
      <c r="AA66" s="20">
        <f t="shared" ref="AA66:AA129" si="28">SUM(AF66+AH66+AJ66+AK66-AL66)</f>
        <v>0</v>
      </c>
      <c r="AB66" s="24">
        <f t="shared" si="25"/>
        <v>-6300</v>
      </c>
      <c r="AC66" s="37"/>
      <c r="AD66" s="37"/>
      <c r="AE66" s="22"/>
      <c r="AF66" s="20"/>
      <c r="AG66" s="21"/>
      <c r="AH66" s="20"/>
      <c r="AI66" s="21"/>
      <c r="AJ66" s="20"/>
      <c r="AK66" s="20"/>
      <c r="AL66" s="20"/>
      <c r="AM66" s="19">
        <v>35000</v>
      </c>
      <c r="AN66" s="19">
        <v>30000</v>
      </c>
      <c r="AO66" s="19"/>
      <c r="AP66" s="19"/>
      <c r="AQ66" s="19"/>
      <c r="AR66" s="19">
        <f t="shared" ref="AR66:AR129" si="29">SUM(AM66:AQ66)</f>
        <v>65000</v>
      </c>
      <c r="AS66" s="17">
        <f t="shared" ref="AS66:AS129" si="30">SUM(Z66-V66)*U66-AR66</f>
        <v>6972030</v>
      </c>
      <c r="AT66" s="17">
        <f t="shared" ref="AT66:AT129" si="31">SUM(AS66-O66)</f>
        <v>72030</v>
      </c>
      <c r="AU66" s="17">
        <f t="shared" ref="AU66:AU129" si="32">SUM(M66*0.09)</f>
        <v>581400</v>
      </c>
      <c r="AV66" s="17">
        <f t="shared" si="26"/>
        <v>326715</v>
      </c>
      <c r="AW66" s="17">
        <f t="shared" si="27"/>
        <v>294043.5</v>
      </c>
      <c r="AX66" s="18">
        <v>50000</v>
      </c>
      <c r="AY66" s="18"/>
      <c r="AZ66" s="17">
        <f t="shared" si="23"/>
        <v>244043.5</v>
      </c>
      <c r="BA66" s="16"/>
      <c r="BB66" s="16"/>
      <c r="BC66" s="16"/>
    </row>
    <row r="67" spans="1:55" ht="16.899999999999999">
      <c r="A67" s="36">
        <v>66</v>
      </c>
      <c r="B67" s="35">
        <v>46158</v>
      </c>
      <c r="C67" s="33" t="s">
        <v>351</v>
      </c>
      <c r="D67" s="33" t="s">
        <v>745</v>
      </c>
      <c r="E67" s="33" t="s">
        <v>746</v>
      </c>
      <c r="F67" s="33" t="s">
        <v>747</v>
      </c>
      <c r="G67" s="33" t="s">
        <v>751</v>
      </c>
      <c r="H67" s="33" t="s">
        <v>38</v>
      </c>
      <c r="I67" s="33" t="s">
        <v>159</v>
      </c>
      <c r="J67" s="33" t="s">
        <v>160</v>
      </c>
      <c r="K67" s="35" t="s">
        <v>161</v>
      </c>
      <c r="L67" s="34" t="s">
        <v>388</v>
      </c>
      <c r="M67" s="32">
        <v>5230000</v>
      </c>
      <c r="N67" s="32">
        <v>0</v>
      </c>
      <c r="O67" s="31">
        <f t="shared" si="24"/>
        <v>5230000</v>
      </c>
      <c r="P67" s="30"/>
      <c r="Q67" s="249" t="s">
        <v>379</v>
      </c>
      <c r="R67" s="30" t="s">
        <v>508</v>
      </c>
      <c r="S67" s="183" t="s">
        <v>80</v>
      </c>
      <c r="T67" s="29">
        <v>3550</v>
      </c>
      <c r="U67" s="20">
        <v>1485</v>
      </c>
      <c r="V67" s="28">
        <v>1640</v>
      </c>
      <c r="W67" s="20"/>
      <c r="X67" s="27"/>
      <c r="Y67" s="26"/>
      <c r="Z67" s="25">
        <f t="shared" si="22"/>
        <v>5190</v>
      </c>
      <c r="AA67" s="20">
        <f t="shared" si="28"/>
        <v>0</v>
      </c>
      <c r="AB67" s="24">
        <f t="shared" si="25"/>
        <v>-5190</v>
      </c>
      <c r="AC67" s="37"/>
      <c r="AD67" s="37"/>
      <c r="AE67" s="22"/>
      <c r="AF67" s="20"/>
      <c r="AG67" s="21"/>
      <c r="AH67" s="20"/>
      <c r="AI67" s="21"/>
      <c r="AJ67" s="20"/>
      <c r="AK67" s="20"/>
      <c r="AL67" s="20"/>
      <c r="AM67" s="19">
        <v>35000</v>
      </c>
      <c r="AN67" s="19">
        <v>30000</v>
      </c>
      <c r="AO67" s="19"/>
      <c r="AP67" s="19"/>
      <c r="AQ67" s="19"/>
      <c r="AR67" s="19">
        <f t="shared" si="29"/>
        <v>65000</v>
      </c>
      <c r="AS67" s="17">
        <f t="shared" si="30"/>
        <v>5206750</v>
      </c>
      <c r="AT67" s="17">
        <f t="shared" si="31"/>
        <v>-23250</v>
      </c>
      <c r="AU67" s="17">
        <f t="shared" si="32"/>
        <v>470700</v>
      </c>
      <c r="AV67" s="17">
        <f t="shared" si="26"/>
        <v>223725</v>
      </c>
      <c r="AW67" s="17">
        <f t="shared" si="27"/>
        <v>201352.5</v>
      </c>
      <c r="AX67" s="18">
        <v>50000</v>
      </c>
      <c r="AY67" s="18"/>
      <c r="AZ67" s="17">
        <f t="shared" si="23"/>
        <v>151352.5</v>
      </c>
      <c r="BA67" s="16"/>
      <c r="BB67" s="16"/>
      <c r="BC67" s="16"/>
    </row>
    <row r="68" spans="1:55" ht="16.899999999999999">
      <c r="A68" s="36">
        <v>67</v>
      </c>
      <c r="B68" s="35">
        <v>46158</v>
      </c>
      <c r="C68" s="33" t="s">
        <v>255</v>
      </c>
      <c r="D68" s="33" t="s">
        <v>748</v>
      </c>
      <c r="E68" s="33" t="s">
        <v>749</v>
      </c>
      <c r="F68" s="33" t="s">
        <v>750</v>
      </c>
      <c r="G68" s="33" t="s">
        <v>751</v>
      </c>
      <c r="H68" s="33" t="s">
        <v>38</v>
      </c>
      <c r="I68" s="33" t="s">
        <v>159</v>
      </c>
      <c r="J68" s="33" t="s">
        <v>160</v>
      </c>
      <c r="K68" s="35" t="s">
        <v>161</v>
      </c>
      <c r="L68" s="34" t="s">
        <v>388</v>
      </c>
      <c r="M68" s="32">
        <v>6000000</v>
      </c>
      <c r="N68" s="32">
        <v>0</v>
      </c>
      <c r="O68" s="31">
        <f t="shared" si="24"/>
        <v>6000000</v>
      </c>
      <c r="P68" s="30"/>
      <c r="Q68" s="249" t="s">
        <v>379</v>
      </c>
      <c r="R68" s="30" t="s">
        <v>508</v>
      </c>
      <c r="S68" s="183" t="s">
        <v>80</v>
      </c>
      <c r="T68" s="29">
        <v>4060</v>
      </c>
      <c r="U68" s="20">
        <v>1485</v>
      </c>
      <c r="V68" s="28">
        <v>1640</v>
      </c>
      <c r="W68" s="20"/>
      <c r="X68" s="27"/>
      <c r="Y68" s="26"/>
      <c r="Z68" s="25">
        <f t="shared" si="22"/>
        <v>5700</v>
      </c>
      <c r="AA68" s="20">
        <f t="shared" si="28"/>
        <v>0</v>
      </c>
      <c r="AB68" s="24">
        <f t="shared" si="25"/>
        <v>-5700</v>
      </c>
      <c r="AC68" s="37"/>
      <c r="AD68" s="37"/>
      <c r="AE68" s="22"/>
      <c r="AF68" s="20"/>
      <c r="AG68" s="21"/>
      <c r="AH68" s="20"/>
      <c r="AI68" s="21"/>
      <c r="AJ68" s="20"/>
      <c r="AK68" s="20"/>
      <c r="AL68" s="20"/>
      <c r="AM68" s="19">
        <v>35000</v>
      </c>
      <c r="AN68" s="19">
        <v>30000</v>
      </c>
      <c r="AO68" s="19"/>
      <c r="AP68" s="19"/>
      <c r="AQ68" s="19"/>
      <c r="AR68" s="19">
        <f t="shared" si="29"/>
        <v>65000</v>
      </c>
      <c r="AS68" s="17">
        <f t="shared" si="30"/>
        <v>5964100</v>
      </c>
      <c r="AT68" s="17">
        <f t="shared" si="31"/>
        <v>-35900</v>
      </c>
      <c r="AU68" s="17">
        <f t="shared" si="32"/>
        <v>540000</v>
      </c>
      <c r="AV68" s="17">
        <f t="shared" si="26"/>
        <v>252050</v>
      </c>
      <c r="AW68" s="17">
        <f t="shared" si="27"/>
        <v>226845</v>
      </c>
      <c r="AX68" s="18">
        <v>50000</v>
      </c>
      <c r="AY68" s="18"/>
      <c r="AZ68" s="17">
        <f t="shared" si="23"/>
        <v>176845</v>
      </c>
      <c r="BA68" s="16"/>
      <c r="BB68" s="16"/>
      <c r="BC68" s="16"/>
    </row>
    <row r="69" spans="1:55" ht="16.899999999999999">
      <c r="A69" s="36">
        <v>68</v>
      </c>
      <c r="B69" s="35">
        <v>46158</v>
      </c>
      <c r="C69" s="33" t="s">
        <v>235</v>
      </c>
      <c r="D69" s="33" t="s">
        <v>1084</v>
      </c>
      <c r="E69" s="33" t="s">
        <v>1085</v>
      </c>
      <c r="F69" s="33" t="s">
        <v>1086</v>
      </c>
      <c r="G69" s="33" t="s">
        <v>751</v>
      </c>
      <c r="H69" s="33" t="s">
        <v>38</v>
      </c>
      <c r="I69" s="33" t="s">
        <v>159</v>
      </c>
      <c r="J69" s="33" t="s">
        <v>160</v>
      </c>
      <c r="K69" s="35" t="s">
        <v>161</v>
      </c>
      <c r="L69" s="34" t="s">
        <v>388</v>
      </c>
      <c r="M69" s="32">
        <v>10100000</v>
      </c>
      <c r="N69" s="32">
        <v>440000</v>
      </c>
      <c r="O69" s="31">
        <f t="shared" si="24"/>
        <v>10540000</v>
      </c>
      <c r="P69" s="30"/>
      <c r="Q69" s="249" t="s">
        <v>379</v>
      </c>
      <c r="R69" s="30" t="s">
        <v>508</v>
      </c>
      <c r="S69" s="183" t="s">
        <v>80</v>
      </c>
      <c r="T69" s="29">
        <v>6810</v>
      </c>
      <c r="U69" s="20">
        <v>1485</v>
      </c>
      <c r="V69" s="28">
        <v>1740</v>
      </c>
      <c r="W69" s="20"/>
      <c r="X69" s="27"/>
      <c r="Y69" s="26"/>
      <c r="Z69" s="25">
        <f t="shared" si="22"/>
        <v>8550</v>
      </c>
      <c r="AA69" s="20">
        <f t="shared" si="28"/>
        <v>0</v>
      </c>
      <c r="AB69" s="24">
        <f t="shared" si="25"/>
        <v>-8550</v>
      </c>
      <c r="AC69" s="37"/>
      <c r="AD69" s="37"/>
      <c r="AE69" s="22"/>
      <c r="AF69" s="20"/>
      <c r="AG69" s="21"/>
      <c r="AH69" s="20"/>
      <c r="AI69" s="21"/>
      <c r="AJ69" s="20"/>
      <c r="AK69" s="20"/>
      <c r="AL69" s="20"/>
      <c r="AM69" s="19">
        <v>35000</v>
      </c>
      <c r="AN69" s="19">
        <v>30000</v>
      </c>
      <c r="AO69" s="19"/>
      <c r="AP69" s="19"/>
      <c r="AQ69" s="19"/>
      <c r="AR69" s="19">
        <f t="shared" si="29"/>
        <v>65000</v>
      </c>
      <c r="AS69" s="17">
        <f t="shared" si="30"/>
        <v>10047850</v>
      </c>
      <c r="AT69" s="17">
        <f t="shared" si="31"/>
        <v>-492150</v>
      </c>
      <c r="AU69" s="17">
        <f t="shared" si="32"/>
        <v>909000</v>
      </c>
      <c r="AV69" s="17">
        <f t="shared" si="26"/>
        <v>208425</v>
      </c>
      <c r="AW69" s="17">
        <f t="shared" si="27"/>
        <v>187582.5</v>
      </c>
      <c r="AX69" s="18">
        <v>50000</v>
      </c>
      <c r="AY69" s="18"/>
      <c r="AZ69" s="17">
        <f t="shared" si="23"/>
        <v>137582.5</v>
      </c>
      <c r="BA69" s="16"/>
      <c r="BB69" s="16"/>
      <c r="BC69" s="16"/>
    </row>
    <row r="70" spans="1:55" ht="16.899999999999999">
      <c r="A70" s="36">
        <v>69</v>
      </c>
      <c r="B70" s="35">
        <v>46168</v>
      </c>
      <c r="C70" s="33" t="s">
        <v>240</v>
      </c>
      <c r="D70" s="33" t="s">
        <v>815</v>
      </c>
      <c r="E70" s="33" t="s">
        <v>816</v>
      </c>
      <c r="F70" s="33" t="s">
        <v>817</v>
      </c>
      <c r="G70" s="33" t="s">
        <v>766</v>
      </c>
      <c r="H70" s="33" t="s">
        <v>38</v>
      </c>
      <c r="I70" s="33" t="s">
        <v>159</v>
      </c>
      <c r="J70" s="33" t="s">
        <v>160</v>
      </c>
      <c r="K70" s="35" t="s">
        <v>161</v>
      </c>
      <c r="L70" s="34" t="s">
        <v>388</v>
      </c>
      <c r="M70" s="32">
        <v>5100000</v>
      </c>
      <c r="N70" s="32"/>
      <c r="O70" s="31">
        <f t="shared" si="24"/>
        <v>5100000</v>
      </c>
      <c r="P70" s="30"/>
      <c r="Q70" s="249" t="s">
        <v>379</v>
      </c>
      <c r="R70" s="30" t="s">
        <v>824</v>
      </c>
      <c r="S70" s="183" t="s">
        <v>80</v>
      </c>
      <c r="T70" s="29">
        <v>3360</v>
      </c>
      <c r="U70" s="20">
        <v>1485</v>
      </c>
      <c r="V70" s="28">
        <v>1740</v>
      </c>
      <c r="W70" s="20"/>
      <c r="X70" s="27"/>
      <c r="Y70" s="26"/>
      <c r="Z70" s="25">
        <f t="shared" si="22"/>
        <v>5100</v>
      </c>
      <c r="AA70" s="20">
        <f t="shared" si="28"/>
        <v>0</v>
      </c>
      <c r="AB70" s="24">
        <f t="shared" si="25"/>
        <v>-5100</v>
      </c>
      <c r="AC70" s="37"/>
      <c r="AD70" s="37"/>
      <c r="AE70" s="22"/>
      <c r="AF70" s="20"/>
      <c r="AG70" s="21"/>
      <c r="AH70" s="20"/>
      <c r="AI70" s="21"/>
      <c r="AJ70" s="20"/>
      <c r="AK70" s="20"/>
      <c r="AL70" s="20"/>
      <c r="AM70" s="19">
        <v>35000</v>
      </c>
      <c r="AN70" s="19">
        <v>30000</v>
      </c>
      <c r="AO70" s="19"/>
      <c r="AP70" s="19"/>
      <c r="AQ70" s="19"/>
      <c r="AR70" s="19">
        <f t="shared" si="29"/>
        <v>65000</v>
      </c>
      <c r="AS70" s="17">
        <f t="shared" si="30"/>
        <v>4924600</v>
      </c>
      <c r="AT70" s="17">
        <f t="shared" si="31"/>
        <v>-175400</v>
      </c>
      <c r="AU70" s="17">
        <f t="shared" si="32"/>
        <v>459000</v>
      </c>
      <c r="AV70" s="17">
        <f t="shared" si="26"/>
        <v>141800</v>
      </c>
      <c r="AW70" s="17">
        <f t="shared" si="27"/>
        <v>127620</v>
      </c>
      <c r="AX70" s="18">
        <v>50000</v>
      </c>
      <c r="AY70" s="18"/>
      <c r="AZ70" s="17">
        <f t="shared" si="23"/>
        <v>77620</v>
      </c>
      <c r="BA70" s="16"/>
      <c r="BB70" s="16"/>
      <c r="BC70" s="16"/>
    </row>
    <row r="71" spans="1:55" ht="16.899999999999999">
      <c r="A71" s="248">
        <v>70</v>
      </c>
      <c r="B71" s="35">
        <v>46177</v>
      </c>
      <c r="C71" s="33" t="s">
        <v>407</v>
      </c>
      <c r="D71" s="33" t="s">
        <v>871</v>
      </c>
      <c r="E71" s="33" t="s">
        <v>872</v>
      </c>
      <c r="F71" s="33" t="s">
        <v>873</v>
      </c>
      <c r="G71" s="33" t="s">
        <v>776</v>
      </c>
      <c r="H71" s="33" t="s">
        <v>38</v>
      </c>
      <c r="I71" s="33" t="s">
        <v>159</v>
      </c>
      <c r="J71" s="33" t="s">
        <v>160</v>
      </c>
      <c r="K71" s="35" t="s">
        <v>161</v>
      </c>
      <c r="L71" s="34" t="s">
        <v>388</v>
      </c>
      <c r="M71" s="32">
        <v>7200000</v>
      </c>
      <c r="N71" s="32">
        <v>0</v>
      </c>
      <c r="O71" s="31">
        <f t="shared" si="24"/>
        <v>7200000</v>
      </c>
      <c r="P71" s="30"/>
      <c r="Q71" s="249" t="s">
        <v>379</v>
      </c>
      <c r="R71" s="30" t="s">
        <v>508</v>
      </c>
      <c r="S71" s="183" t="s">
        <v>80</v>
      </c>
      <c r="T71" s="29">
        <v>4660</v>
      </c>
      <c r="U71" s="20">
        <v>1513</v>
      </c>
      <c r="V71" s="28">
        <v>1640</v>
      </c>
      <c r="W71" s="20"/>
      <c r="X71" s="27"/>
      <c r="Y71" s="26"/>
      <c r="Z71" s="25">
        <f t="shared" si="22"/>
        <v>6300</v>
      </c>
      <c r="AA71" s="20">
        <f t="shared" si="28"/>
        <v>0</v>
      </c>
      <c r="AB71" s="24">
        <f t="shared" si="25"/>
        <v>-6300</v>
      </c>
      <c r="AC71" s="37"/>
      <c r="AD71" s="37"/>
      <c r="AE71" s="22"/>
      <c r="AF71" s="20"/>
      <c r="AG71" s="21"/>
      <c r="AH71" s="20"/>
      <c r="AI71" s="21"/>
      <c r="AJ71" s="20"/>
      <c r="AK71" s="20"/>
      <c r="AL71" s="20"/>
      <c r="AM71" s="19">
        <v>35000</v>
      </c>
      <c r="AN71" s="19">
        <v>30000</v>
      </c>
      <c r="AO71" s="19"/>
      <c r="AP71" s="19"/>
      <c r="AQ71" s="19"/>
      <c r="AR71" s="19">
        <f t="shared" si="29"/>
        <v>65000</v>
      </c>
      <c r="AS71" s="17">
        <f t="shared" si="30"/>
        <v>6985580</v>
      </c>
      <c r="AT71" s="17">
        <f t="shared" si="31"/>
        <v>-214420</v>
      </c>
      <c r="AU71" s="17">
        <f t="shared" si="32"/>
        <v>648000</v>
      </c>
      <c r="AV71" s="17">
        <f t="shared" si="26"/>
        <v>216790</v>
      </c>
      <c r="AW71" s="17">
        <f t="shared" si="27"/>
        <v>195111</v>
      </c>
      <c r="AX71" s="18">
        <v>50000</v>
      </c>
      <c r="AY71" s="18"/>
      <c r="AZ71" s="17">
        <f t="shared" si="23"/>
        <v>145111</v>
      </c>
      <c r="BA71" s="16"/>
      <c r="BB71" s="16"/>
      <c r="BC71" s="16"/>
    </row>
    <row r="72" spans="1:55" ht="16.899999999999999">
      <c r="A72" s="36">
        <v>71</v>
      </c>
      <c r="B72" s="35">
        <v>46177</v>
      </c>
      <c r="C72" s="33" t="s">
        <v>235</v>
      </c>
      <c r="D72" s="33" t="s">
        <v>874</v>
      </c>
      <c r="E72" s="33" t="s">
        <v>875</v>
      </c>
      <c r="F72" s="33" t="s">
        <v>876</v>
      </c>
      <c r="G72" s="33" t="s">
        <v>776</v>
      </c>
      <c r="H72" s="33" t="s">
        <v>38</v>
      </c>
      <c r="I72" s="33" t="s">
        <v>159</v>
      </c>
      <c r="J72" s="33" t="s">
        <v>160</v>
      </c>
      <c r="K72" s="35" t="s">
        <v>161</v>
      </c>
      <c r="L72" s="34" t="s">
        <v>388</v>
      </c>
      <c r="M72" s="32">
        <v>8300000</v>
      </c>
      <c r="N72" s="32">
        <v>0</v>
      </c>
      <c r="O72" s="31">
        <f t="shared" si="24"/>
        <v>8300000</v>
      </c>
      <c r="P72" s="30"/>
      <c r="Q72" s="249" t="s">
        <v>379</v>
      </c>
      <c r="R72" s="30" t="s">
        <v>508</v>
      </c>
      <c r="S72" s="183" t="s">
        <v>80</v>
      </c>
      <c r="T72" s="29">
        <v>5560</v>
      </c>
      <c r="U72" s="20">
        <v>1513</v>
      </c>
      <c r="V72" s="28">
        <v>1740</v>
      </c>
      <c r="W72" s="20"/>
      <c r="X72" s="27"/>
      <c r="Y72" s="26"/>
      <c r="Z72" s="25">
        <f t="shared" si="22"/>
        <v>7300</v>
      </c>
      <c r="AA72" s="20">
        <f t="shared" si="28"/>
        <v>0</v>
      </c>
      <c r="AB72" s="24">
        <f t="shared" si="25"/>
        <v>-7300</v>
      </c>
      <c r="AC72" s="37"/>
      <c r="AD72" s="37"/>
      <c r="AE72" s="22"/>
      <c r="AF72" s="20"/>
      <c r="AG72" s="21"/>
      <c r="AH72" s="20"/>
      <c r="AI72" s="21"/>
      <c r="AJ72" s="20"/>
      <c r="AK72" s="20"/>
      <c r="AL72" s="20"/>
      <c r="AM72" s="19">
        <v>35000</v>
      </c>
      <c r="AN72" s="19">
        <v>30000</v>
      </c>
      <c r="AO72" s="19"/>
      <c r="AP72" s="19"/>
      <c r="AQ72" s="19"/>
      <c r="AR72" s="19">
        <f t="shared" si="29"/>
        <v>65000</v>
      </c>
      <c r="AS72" s="17">
        <f t="shared" si="30"/>
        <v>8347280</v>
      </c>
      <c r="AT72" s="17">
        <f t="shared" si="31"/>
        <v>47280</v>
      </c>
      <c r="AU72" s="17">
        <f t="shared" si="32"/>
        <v>747000</v>
      </c>
      <c r="AV72" s="17">
        <f t="shared" si="26"/>
        <v>397140</v>
      </c>
      <c r="AW72" s="17">
        <f t="shared" si="27"/>
        <v>357426</v>
      </c>
      <c r="AX72" s="18">
        <v>50000</v>
      </c>
      <c r="AY72" s="18"/>
      <c r="AZ72" s="17">
        <f t="shared" si="23"/>
        <v>307426</v>
      </c>
      <c r="BA72" s="16"/>
      <c r="BB72" s="16"/>
      <c r="BC72" s="16"/>
    </row>
    <row r="73" spans="1:55" ht="16.899999999999999">
      <c r="A73" s="36">
        <v>72</v>
      </c>
      <c r="B73" s="35">
        <v>46177</v>
      </c>
      <c r="C73" s="33" t="s">
        <v>861</v>
      </c>
      <c r="D73" s="33" t="s">
        <v>877</v>
      </c>
      <c r="E73" s="33" t="s">
        <v>878</v>
      </c>
      <c r="F73" s="33" t="s">
        <v>879</v>
      </c>
      <c r="G73" s="33" t="s">
        <v>776</v>
      </c>
      <c r="H73" s="33" t="s">
        <v>38</v>
      </c>
      <c r="I73" s="33" t="s">
        <v>159</v>
      </c>
      <c r="J73" s="33" t="s">
        <v>160</v>
      </c>
      <c r="K73" s="35" t="s">
        <v>161</v>
      </c>
      <c r="L73" s="34" t="s">
        <v>388</v>
      </c>
      <c r="M73" s="32">
        <v>10440000</v>
      </c>
      <c r="N73" s="32">
        <v>0</v>
      </c>
      <c r="O73" s="31">
        <f t="shared" si="24"/>
        <v>10440000</v>
      </c>
      <c r="P73" s="30"/>
      <c r="Q73" s="249" t="s">
        <v>379</v>
      </c>
      <c r="R73" s="30" t="s">
        <v>508</v>
      </c>
      <c r="S73" s="183" t="s">
        <v>80</v>
      </c>
      <c r="T73" s="29">
        <v>6435</v>
      </c>
      <c r="U73" s="20">
        <v>1513</v>
      </c>
      <c r="V73" s="28">
        <v>1640</v>
      </c>
      <c r="W73" s="20"/>
      <c r="X73" s="27"/>
      <c r="Y73" s="26"/>
      <c r="Z73" s="25">
        <f t="shared" si="22"/>
        <v>8075</v>
      </c>
      <c r="AA73" s="20">
        <f t="shared" si="28"/>
        <v>0</v>
      </c>
      <c r="AB73" s="24">
        <f t="shared" si="25"/>
        <v>-8075</v>
      </c>
      <c r="AC73" s="37"/>
      <c r="AD73" s="37"/>
      <c r="AE73" s="22"/>
      <c r="AF73" s="20"/>
      <c r="AG73" s="21"/>
      <c r="AH73" s="20"/>
      <c r="AI73" s="21"/>
      <c r="AJ73" s="20"/>
      <c r="AK73" s="20"/>
      <c r="AL73" s="20"/>
      <c r="AM73" s="19">
        <v>35000</v>
      </c>
      <c r="AN73" s="19">
        <v>30000</v>
      </c>
      <c r="AO73" s="19"/>
      <c r="AP73" s="19"/>
      <c r="AQ73" s="19"/>
      <c r="AR73" s="19">
        <f t="shared" si="29"/>
        <v>65000</v>
      </c>
      <c r="AS73" s="17">
        <f t="shared" si="30"/>
        <v>9671155</v>
      </c>
      <c r="AT73" s="17">
        <f t="shared" si="31"/>
        <v>-768845</v>
      </c>
      <c r="AU73" s="17">
        <f t="shared" si="32"/>
        <v>939600</v>
      </c>
      <c r="AV73" s="17">
        <f t="shared" si="26"/>
        <v>85377.5</v>
      </c>
      <c r="AW73" s="17">
        <f t="shared" si="27"/>
        <v>76839.75</v>
      </c>
      <c r="AX73" s="18">
        <v>50000</v>
      </c>
      <c r="AY73" s="18"/>
      <c r="AZ73" s="17">
        <f t="shared" si="23"/>
        <v>26839.75</v>
      </c>
      <c r="BA73" s="16"/>
      <c r="BB73" s="16"/>
      <c r="BC73" s="16"/>
    </row>
    <row r="74" spans="1:55" ht="16.899999999999999">
      <c r="A74" s="36">
        <v>73</v>
      </c>
      <c r="B74" s="35">
        <v>46177</v>
      </c>
      <c r="C74" s="33" t="s">
        <v>906</v>
      </c>
      <c r="D74" s="33" t="s">
        <v>907</v>
      </c>
      <c r="E74" s="33" t="s">
        <v>905</v>
      </c>
      <c r="F74" s="33" t="s">
        <v>908</v>
      </c>
      <c r="G74" s="33" t="s">
        <v>909</v>
      </c>
      <c r="H74" s="33" t="s">
        <v>253</v>
      </c>
      <c r="I74" s="33" t="s">
        <v>252</v>
      </c>
      <c r="J74" s="33">
        <v>811577636</v>
      </c>
      <c r="K74" s="35" t="s">
        <v>251</v>
      </c>
      <c r="L74" s="34" t="s">
        <v>387</v>
      </c>
      <c r="M74" s="32">
        <v>31900000</v>
      </c>
      <c r="N74" s="32">
        <v>0</v>
      </c>
      <c r="O74" s="31">
        <f t="shared" si="24"/>
        <v>31900000</v>
      </c>
      <c r="P74" s="30"/>
      <c r="Q74" s="249" t="s">
        <v>379</v>
      </c>
      <c r="R74" s="30" t="s">
        <v>508</v>
      </c>
      <c r="S74" s="183" t="s">
        <v>80</v>
      </c>
      <c r="T74" s="29">
        <v>20200</v>
      </c>
      <c r="U74" s="20">
        <v>1520</v>
      </c>
      <c r="V74" s="28">
        <v>1640</v>
      </c>
      <c r="W74" s="20"/>
      <c r="X74" s="27"/>
      <c r="Y74" s="26"/>
      <c r="Z74" s="25">
        <f t="shared" si="22"/>
        <v>21840</v>
      </c>
      <c r="AA74" s="20">
        <f t="shared" si="28"/>
        <v>0</v>
      </c>
      <c r="AB74" s="24">
        <f t="shared" si="25"/>
        <v>-21840</v>
      </c>
      <c r="AC74" s="37"/>
      <c r="AD74" s="37"/>
      <c r="AE74" s="22"/>
      <c r="AF74" s="20"/>
      <c r="AG74" s="21"/>
      <c r="AH74" s="20"/>
      <c r="AI74" s="21"/>
      <c r="AJ74" s="20"/>
      <c r="AK74" s="20"/>
      <c r="AL74" s="20"/>
      <c r="AM74" s="19">
        <v>35000</v>
      </c>
      <c r="AN74" s="19">
        <v>30000</v>
      </c>
      <c r="AO74" s="19"/>
      <c r="AP74" s="19"/>
      <c r="AQ74" s="19"/>
      <c r="AR74" s="19">
        <f t="shared" si="29"/>
        <v>65000</v>
      </c>
      <c r="AS74" s="17">
        <f t="shared" si="30"/>
        <v>30639000</v>
      </c>
      <c r="AT74" s="17">
        <f t="shared" si="31"/>
        <v>-1261000</v>
      </c>
      <c r="AU74" s="17">
        <f t="shared" si="32"/>
        <v>2871000</v>
      </c>
      <c r="AV74" s="17">
        <f t="shared" si="26"/>
        <v>805000</v>
      </c>
      <c r="AW74" s="17">
        <f t="shared" si="27"/>
        <v>724500</v>
      </c>
      <c r="AX74" s="18">
        <v>50000</v>
      </c>
      <c r="AY74" s="18"/>
      <c r="AZ74" s="17">
        <f t="shared" si="23"/>
        <v>674500</v>
      </c>
      <c r="BA74" s="16"/>
      <c r="BB74" s="16"/>
      <c r="BC74" s="16"/>
    </row>
    <row r="75" spans="1:55" ht="16.899999999999999">
      <c r="A75" s="248">
        <v>74</v>
      </c>
      <c r="B75" s="252">
        <v>46178</v>
      </c>
      <c r="C75" s="251" t="s">
        <v>1087</v>
      </c>
      <c r="D75" s="251" t="s">
        <v>1088</v>
      </c>
      <c r="E75" s="251" t="s">
        <v>1089</v>
      </c>
      <c r="F75" s="251" t="s">
        <v>1090</v>
      </c>
      <c r="G75" s="251" t="s">
        <v>909</v>
      </c>
      <c r="H75" s="251" t="s">
        <v>38</v>
      </c>
      <c r="I75" s="251" t="s">
        <v>159</v>
      </c>
      <c r="J75" s="251" t="s">
        <v>160</v>
      </c>
      <c r="K75" s="252" t="s">
        <v>161</v>
      </c>
      <c r="L75" s="253" t="s">
        <v>388</v>
      </c>
      <c r="M75" s="254">
        <v>6700000</v>
      </c>
      <c r="N75" s="254">
        <v>440000</v>
      </c>
      <c r="O75" s="31">
        <f t="shared" si="24"/>
        <v>7140000</v>
      </c>
      <c r="P75" s="30"/>
      <c r="Q75" s="249" t="s">
        <v>379</v>
      </c>
      <c r="R75" s="30" t="s">
        <v>508</v>
      </c>
      <c r="S75" s="183" t="s">
        <v>80</v>
      </c>
      <c r="T75" s="29">
        <v>4760</v>
      </c>
      <c r="U75" s="20">
        <v>1544</v>
      </c>
      <c r="V75" s="28">
        <v>1640</v>
      </c>
      <c r="W75" s="20"/>
      <c r="X75" s="27"/>
      <c r="Y75" s="26"/>
      <c r="Z75" s="25">
        <f t="shared" si="22"/>
        <v>6400</v>
      </c>
      <c r="AA75" s="20">
        <f t="shared" si="28"/>
        <v>0</v>
      </c>
      <c r="AB75" s="24">
        <f t="shared" si="25"/>
        <v>-6400</v>
      </c>
      <c r="AC75" s="37"/>
      <c r="AD75" s="37"/>
      <c r="AE75" s="22"/>
      <c r="AF75" s="20"/>
      <c r="AG75" s="21"/>
      <c r="AH75" s="20"/>
      <c r="AI75" s="21"/>
      <c r="AJ75" s="20"/>
      <c r="AK75" s="20"/>
      <c r="AL75" s="20"/>
      <c r="AM75" s="19">
        <v>35000</v>
      </c>
      <c r="AN75" s="19">
        <v>30000</v>
      </c>
      <c r="AO75" s="19"/>
      <c r="AP75" s="19"/>
      <c r="AQ75" s="19"/>
      <c r="AR75" s="19">
        <f t="shared" si="29"/>
        <v>65000</v>
      </c>
      <c r="AS75" s="17">
        <f t="shared" si="30"/>
        <v>7284440</v>
      </c>
      <c r="AT75" s="17">
        <f t="shared" si="31"/>
        <v>144440</v>
      </c>
      <c r="AU75" s="17">
        <f t="shared" si="32"/>
        <v>603000</v>
      </c>
      <c r="AV75" s="17">
        <f t="shared" si="26"/>
        <v>373720</v>
      </c>
      <c r="AW75" s="17">
        <f t="shared" si="27"/>
        <v>336348</v>
      </c>
      <c r="AX75" s="18">
        <v>50000</v>
      </c>
      <c r="AY75" s="18"/>
      <c r="AZ75" s="17">
        <f t="shared" si="23"/>
        <v>286348</v>
      </c>
      <c r="BA75" s="16"/>
      <c r="BB75" s="16"/>
      <c r="BC75" s="16"/>
    </row>
    <row r="76" spans="1:55" ht="16.899999999999999">
      <c r="A76" s="36">
        <v>75</v>
      </c>
      <c r="B76" s="35">
        <v>46178</v>
      </c>
      <c r="C76" s="33" t="s">
        <v>273</v>
      </c>
      <c r="D76" s="33" t="s">
        <v>1101</v>
      </c>
      <c r="E76" s="33" t="s">
        <v>1102</v>
      </c>
      <c r="F76" s="33" t="s">
        <v>1103</v>
      </c>
      <c r="G76" s="33" t="s">
        <v>776</v>
      </c>
      <c r="H76" s="33" t="s">
        <v>253</v>
      </c>
      <c r="I76" s="33" t="s">
        <v>252</v>
      </c>
      <c r="J76" s="33">
        <v>811577636</v>
      </c>
      <c r="K76" s="35" t="s">
        <v>251</v>
      </c>
      <c r="L76" s="34" t="s">
        <v>387</v>
      </c>
      <c r="M76" s="32">
        <v>15400000</v>
      </c>
      <c r="N76" s="32">
        <v>0</v>
      </c>
      <c r="O76" s="31">
        <f t="shared" si="24"/>
        <v>15400000</v>
      </c>
      <c r="P76" s="30"/>
      <c r="Q76" s="249" t="s">
        <v>379</v>
      </c>
      <c r="R76" s="30" t="s">
        <v>508</v>
      </c>
      <c r="S76" s="183" t="s">
        <v>80</v>
      </c>
      <c r="T76" s="29">
        <v>9760</v>
      </c>
      <c r="U76" s="20">
        <v>1544</v>
      </c>
      <c r="V76" s="28">
        <v>1740</v>
      </c>
      <c r="W76" s="20"/>
      <c r="X76" s="27"/>
      <c r="Y76" s="26"/>
      <c r="Z76" s="25">
        <f t="shared" ref="Z76:Z139" si="33">SUM(T76,V76:Y76)</f>
        <v>11500</v>
      </c>
      <c r="AA76" s="20">
        <f t="shared" si="28"/>
        <v>0</v>
      </c>
      <c r="AB76" s="24">
        <f t="shared" si="25"/>
        <v>-11500</v>
      </c>
      <c r="AC76" s="37"/>
      <c r="AD76" s="37"/>
      <c r="AE76" s="22"/>
      <c r="AF76" s="20"/>
      <c r="AG76" s="21"/>
      <c r="AH76" s="20"/>
      <c r="AI76" s="21"/>
      <c r="AJ76" s="20"/>
      <c r="AK76" s="20"/>
      <c r="AL76" s="20"/>
      <c r="AM76" s="19">
        <v>35000</v>
      </c>
      <c r="AN76" s="19">
        <v>30000</v>
      </c>
      <c r="AO76" s="19"/>
      <c r="AP76" s="19"/>
      <c r="AQ76" s="19"/>
      <c r="AR76" s="19">
        <f t="shared" si="29"/>
        <v>65000</v>
      </c>
      <c r="AS76" s="17">
        <f t="shared" si="30"/>
        <v>15004440</v>
      </c>
      <c r="AT76" s="17">
        <f t="shared" si="31"/>
        <v>-395560</v>
      </c>
      <c r="AU76" s="17">
        <f t="shared" si="32"/>
        <v>1386000</v>
      </c>
      <c r="AV76" s="17">
        <f t="shared" si="26"/>
        <v>495220</v>
      </c>
      <c r="AW76" s="17">
        <f t="shared" si="27"/>
        <v>445698</v>
      </c>
      <c r="AX76" s="18">
        <v>50000</v>
      </c>
      <c r="AY76" s="18"/>
      <c r="AZ76" s="17">
        <f t="shared" si="23"/>
        <v>395698</v>
      </c>
      <c r="BA76" s="16"/>
      <c r="BB76" s="16"/>
      <c r="BC76" s="16"/>
    </row>
    <row r="77" spans="1:55" ht="16.5" customHeight="1">
      <c r="A77" s="36">
        <v>76</v>
      </c>
      <c r="B77" s="35">
        <v>46178</v>
      </c>
      <c r="C77" s="33" t="s">
        <v>224</v>
      </c>
      <c r="D77" s="33" t="s">
        <v>1104</v>
      </c>
      <c r="E77" s="33" t="s">
        <v>1105</v>
      </c>
      <c r="F77" s="33" t="s">
        <v>1106</v>
      </c>
      <c r="G77" s="33" t="s">
        <v>909</v>
      </c>
      <c r="H77" s="33" t="s">
        <v>38</v>
      </c>
      <c r="I77" s="33" t="s">
        <v>1122</v>
      </c>
      <c r="J77" s="33" t="s">
        <v>1123</v>
      </c>
      <c r="K77" s="35" t="s">
        <v>161</v>
      </c>
      <c r="L77" s="34" t="s">
        <v>388</v>
      </c>
      <c r="M77" s="32">
        <v>5400000</v>
      </c>
      <c r="N77" s="32">
        <v>0</v>
      </c>
      <c r="O77" s="31">
        <f t="shared" si="24"/>
        <v>5400000</v>
      </c>
      <c r="P77" s="30"/>
      <c r="Q77" s="249" t="s">
        <v>379</v>
      </c>
      <c r="R77" s="30" t="s">
        <v>508</v>
      </c>
      <c r="S77" s="183" t="s">
        <v>80</v>
      </c>
      <c r="T77" s="29">
        <v>3510</v>
      </c>
      <c r="U77" s="20">
        <v>1544</v>
      </c>
      <c r="V77" s="28">
        <v>1640</v>
      </c>
      <c r="W77" s="20"/>
      <c r="X77" s="27"/>
      <c r="Y77" s="26"/>
      <c r="Z77" s="25">
        <f t="shared" si="33"/>
        <v>5150</v>
      </c>
      <c r="AA77" s="20">
        <f t="shared" si="28"/>
        <v>0</v>
      </c>
      <c r="AB77" s="24">
        <f t="shared" si="25"/>
        <v>-5150</v>
      </c>
      <c r="AC77" s="37"/>
      <c r="AD77" s="37"/>
      <c r="AE77" s="22"/>
      <c r="AF77" s="20"/>
      <c r="AG77" s="21"/>
      <c r="AH77" s="20"/>
      <c r="AI77" s="21"/>
      <c r="AJ77" s="20"/>
      <c r="AK77" s="20"/>
      <c r="AL77" s="20"/>
      <c r="AM77" s="19">
        <v>35000</v>
      </c>
      <c r="AN77" s="19">
        <v>30000</v>
      </c>
      <c r="AO77" s="19"/>
      <c r="AP77" s="19"/>
      <c r="AQ77" s="19"/>
      <c r="AR77" s="19">
        <f t="shared" si="29"/>
        <v>65000</v>
      </c>
      <c r="AS77" s="17">
        <f t="shared" si="30"/>
        <v>5354440</v>
      </c>
      <c r="AT77" s="17">
        <f t="shared" si="31"/>
        <v>-45560</v>
      </c>
      <c r="AU77" s="17">
        <f t="shared" si="32"/>
        <v>486000</v>
      </c>
      <c r="AV77" s="17">
        <f t="shared" si="26"/>
        <v>220220</v>
      </c>
      <c r="AW77" s="17">
        <f t="shared" si="27"/>
        <v>198198</v>
      </c>
      <c r="AX77" s="18">
        <v>50000</v>
      </c>
      <c r="AY77" s="18"/>
      <c r="AZ77" s="17">
        <f t="shared" si="23"/>
        <v>148198</v>
      </c>
      <c r="BA77" s="16"/>
      <c r="BB77" s="16"/>
      <c r="BC77" s="16"/>
    </row>
    <row r="78" spans="1:55" ht="16.899999999999999">
      <c r="A78" s="36">
        <v>77</v>
      </c>
      <c r="B78" s="35">
        <v>46178</v>
      </c>
      <c r="C78" s="33" t="s">
        <v>1109</v>
      </c>
      <c r="D78" s="33" t="s">
        <v>1110</v>
      </c>
      <c r="E78" s="33" t="s">
        <v>1111</v>
      </c>
      <c r="F78" s="33" t="s">
        <v>1112</v>
      </c>
      <c r="G78" s="33" t="s">
        <v>1113</v>
      </c>
      <c r="H78" s="33" t="s">
        <v>38</v>
      </c>
      <c r="I78" s="33" t="s">
        <v>159</v>
      </c>
      <c r="J78" s="33" t="s">
        <v>160</v>
      </c>
      <c r="K78" s="35" t="s">
        <v>161</v>
      </c>
      <c r="L78" s="34" t="s">
        <v>388</v>
      </c>
      <c r="M78" s="32">
        <v>4500000</v>
      </c>
      <c r="N78" s="32">
        <v>0</v>
      </c>
      <c r="O78" s="31">
        <f t="shared" si="24"/>
        <v>4500000</v>
      </c>
      <c r="P78" s="30"/>
      <c r="Q78" s="249" t="s">
        <v>379</v>
      </c>
      <c r="R78" s="30" t="s">
        <v>1091</v>
      </c>
      <c r="S78" s="183" t="s">
        <v>80</v>
      </c>
      <c r="T78" s="29">
        <v>3310</v>
      </c>
      <c r="U78" s="20">
        <v>1544</v>
      </c>
      <c r="V78" s="28">
        <v>1740</v>
      </c>
      <c r="W78" s="20"/>
      <c r="X78" s="27"/>
      <c r="Y78" s="26"/>
      <c r="Z78" s="25">
        <f t="shared" si="33"/>
        <v>5050</v>
      </c>
      <c r="AA78" s="20">
        <f t="shared" si="28"/>
        <v>0</v>
      </c>
      <c r="AB78" s="24">
        <f t="shared" si="25"/>
        <v>-5050</v>
      </c>
      <c r="AC78" s="37"/>
      <c r="AD78" s="37"/>
      <c r="AE78" s="22"/>
      <c r="AF78" s="20"/>
      <c r="AG78" s="21"/>
      <c r="AH78" s="20"/>
      <c r="AI78" s="21"/>
      <c r="AJ78" s="20"/>
      <c r="AK78" s="20"/>
      <c r="AL78" s="20"/>
      <c r="AM78" s="19">
        <v>35000</v>
      </c>
      <c r="AN78" s="19">
        <v>30000</v>
      </c>
      <c r="AO78" s="19"/>
      <c r="AP78" s="19"/>
      <c r="AQ78" s="19"/>
      <c r="AR78" s="19">
        <f t="shared" si="29"/>
        <v>65000</v>
      </c>
      <c r="AS78" s="17">
        <f t="shared" si="30"/>
        <v>5045640</v>
      </c>
      <c r="AT78" s="17">
        <f t="shared" si="31"/>
        <v>545640</v>
      </c>
      <c r="AU78" s="17">
        <f t="shared" si="32"/>
        <v>405000</v>
      </c>
      <c r="AV78" s="17">
        <f t="shared" si="26"/>
        <v>475320</v>
      </c>
      <c r="AW78" s="17">
        <f t="shared" si="27"/>
        <v>427788</v>
      </c>
      <c r="AX78" s="18">
        <v>50000</v>
      </c>
      <c r="AY78" s="18"/>
      <c r="AZ78" s="17">
        <f t="shared" si="23"/>
        <v>377788</v>
      </c>
      <c r="BA78" s="16"/>
      <c r="BB78" s="16"/>
      <c r="BC78" s="16"/>
    </row>
    <row r="79" spans="1:55" ht="16.899999999999999">
      <c r="A79" s="36">
        <v>78</v>
      </c>
      <c r="B79" s="35">
        <v>46178</v>
      </c>
      <c r="C79" s="33" t="s">
        <v>1119</v>
      </c>
      <c r="D79" s="33" t="s">
        <v>1117</v>
      </c>
      <c r="E79" s="33" t="s">
        <v>1118</v>
      </c>
      <c r="F79" s="33" t="s">
        <v>1120</v>
      </c>
      <c r="G79" s="33" t="s">
        <v>1121</v>
      </c>
      <c r="H79" s="33" t="s">
        <v>38</v>
      </c>
      <c r="I79" s="33" t="s">
        <v>1124</v>
      </c>
      <c r="J79" s="33" t="s">
        <v>1125</v>
      </c>
      <c r="K79" s="35" t="s">
        <v>161</v>
      </c>
      <c r="L79" s="34" t="s">
        <v>388</v>
      </c>
      <c r="M79" s="32">
        <v>17800000</v>
      </c>
      <c r="N79" s="32">
        <v>0</v>
      </c>
      <c r="O79" s="31">
        <f t="shared" si="24"/>
        <v>17800000</v>
      </c>
      <c r="P79" s="30"/>
      <c r="Q79" s="249" t="s">
        <v>379</v>
      </c>
      <c r="R79" s="30" t="s">
        <v>1126</v>
      </c>
      <c r="S79" s="183" t="s">
        <v>80</v>
      </c>
      <c r="T79" s="29">
        <v>11660</v>
      </c>
      <c r="U79" s="20">
        <v>1509</v>
      </c>
      <c r="V79" s="28">
        <v>1740</v>
      </c>
      <c r="W79" s="20"/>
      <c r="X79" s="27"/>
      <c r="Y79" s="26"/>
      <c r="Z79" s="25">
        <f t="shared" si="33"/>
        <v>13400</v>
      </c>
      <c r="AA79" s="20">
        <f t="shared" si="28"/>
        <v>0</v>
      </c>
      <c r="AB79" s="24">
        <f t="shared" si="25"/>
        <v>-13400</v>
      </c>
      <c r="AC79" s="37"/>
      <c r="AD79" s="37"/>
      <c r="AE79" s="22"/>
      <c r="AF79" s="20"/>
      <c r="AG79" s="21"/>
      <c r="AH79" s="20"/>
      <c r="AI79" s="21"/>
      <c r="AJ79" s="20"/>
      <c r="AK79" s="20"/>
      <c r="AL79" s="20"/>
      <c r="AM79" s="19">
        <v>35000</v>
      </c>
      <c r="AN79" s="19">
        <v>30000</v>
      </c>
      <c r="AO79" s="19"/>
      <c r="AP79" s="19"/>
      <c r="AQ79" s="19"/>
      <c r="AR79" s="19">
        <f t="shared" si="29"/>
        <v>65000</v>
      </c>
      <c r="AS79" s="17">
        <f t="shared" si="30"/>
        <v>17529940</v>
      </c>
      <c r="AT79" s="17">
        <f t="shared" si="31"/>
        <v>-270060</v>
      </c>
      <c r="AU79" s="17">
        <f t="shared" si="32"/>
        <v>1602000</v>
      </c>
      <c r="AV79" s="17">
        <f t="shared" si="26"/>
        <v>665970</v>
      </c>
      <c r="AW79" s="17">
        <f t="shared" si="27"/>
        <v>599373</v>
      </c>
      <c r="AX79" s="18">
        <v>50000</v>
      </c>
      <c r="AY79" s="18"/>
      <c r="AZ79" s="17">
        <f t="shared" si="23"/>
        <v>549373</v>
      </c>
      <c r="BA79" s="16"/>
      <c r="BB79" s="16"/>
      <c r="BC79" s="16"/>
    </row>
    <row r="80" spans="1:55" s="6" customFormat="1" ht="16.899999999999999">
      <c r="A80" s="248">
        <v>79</v>
      </c>
      <c r="B80" s="252">
        <v>46184</v>
      </c>
      <c r="C80" s="251" t="s">
        <v>1128</v>
      </c>
      <c r="D80" s="251" t="s">
        <v>1129</v>
      </c>
      <c r="E80" s="251" t="s">
        <v>1130</v>
      </c>
      <c r="F80" s="251" t="s">
        <v>1131</v>
      </c>
      <c r="G80" s="251" t="s">
        <v>1132</v>
      </c>
      <c r="H80" s="251" t="s">
        <v>253</v>
      </c>
      <c r="I80" s="251" t="s">
        <v>252</v>
      </c>
      <c r="J80" s="251">
        <v>811577636</v>
      </c>
      <c r="K80" s="252" t="s">
        <v>251</v>
      </c>
      <c r="L80" s="253" t="s">
        <v>387</v>
      </c>
      <c r="M80" s="254">
        <v>12900000</v>
      </c>
      <c r="N80" s="254">
        <v>0</v>
      </c>
      <c r="O80" s="31">
        <f t="shared" si="24"/>
        <v>12900000</v>
      </c>
      <c r="P80" s="30"/>
      <c r="Q80" s="249" t="s">
        <v>379</v>
      </c>
      <c r="R80" s="30" t="s">
        <v>1126</v>
      </c>
      <c r="S80" s="183" t="s">
        <v>80</v>
      </c>
      <c r="T80" s="29">
        <v>8160</v>
      </c>
      <c r="U80" s="20">
        <v>1509</v>
      </c>
      <c r="V80" s="28">
        <v>1840</v>
      </c>
      <c r="W80" s="20"/>
      <c r="X80" s="27"/>
      <c r="Y80" s="26"/>
      <c r="Z80" s="25">
        <f t="shared" si="33"/>
        <v>10000</v>
      </c>
      <c r="AA80" s="20">
        <f t="shared" si="28"/>
        <v>0</v>
      </c>
      <c r="AB80" s="24">
        <f t="shared" si="25"/>
        <v>-10000</v>
      </c>
      <c r="AC80" s="37"/>
      <c r="AD80" s="37"/>
      <c r="AE80" s="22"/>
      <c r="AF80" s="20"/>
      <c r="AG80" s="21"/>
      <c r="AH80" s="20"/>
      <c r="AI80" s="21"/>
      <c r="AJ80" s="20"/>
      <c r="AK80" s="20"/>
      <c r="AL80" s="20"/>
      <c r="AM80" s="19">
        <v>35000</v>
      </c>
      <c r="AN80" s="19">
        <v>30000</v>
      </c>
      <c r="AO80" s="19"/>
      <c r="AP80" s="19"/>
      <c r="AQ80" s="19"/>
      <c r="AR80" s="19">
        <f t="shared" si="29"/>
        <v>65000</v>
      </c>
      <c r="AS80" s="17">
        <f t="shared" si="30"/>
        <v>12248440</v>
      </c>
      <c r="AT80" s="17">
        <f t="shared" si="31"/>
        <v>-651560</v>
      </c>
      <c r="AU80" s="17">
        <f t="shared" si="32"/>
        <v>1161000</v>
      </c>
      <c r="AV80" s="17">
        <f t="shared" si="26"/>
        <v>254720</v>
      </c>
      <c r="AW80" s="17">
        <f t="shared" si="27"/>
        <v>229248</v>
      </c>
      <c r="AX80" s="18">
        <v>50000</v>
      </c>
      <c r="AY80" s="18"/>
      <c r="AZ80" s="17">
        <f t="shared" si="23"/>
        <v>179248</v>
      </c>
      <c r="BA80" s="16"/>
      <c r="BB80" s="15"/>
      <c r="BC80" s="15"/>
    </row>
    <row r="81" spans="1:55" s="6" customFormat="1" ht="16.899999999999999">
      <c r="A81" s="248">
        <v>80</v>
      </c>
      <c r="B81" s="252">
        <v>46185</v>
      </c>
      <c r="C81" s="251" t="s">
        <v>255</v>
      </c>
      <c r="D81" s="251" t="s">
        <v>1144</v>
      </c>
      <c r="E81" s="251" t="s">
        <v>1145</v>
      </c>
      <c r="F81" s="251" t="s">
        <v>1146</v>
      </c>
      <c r="G81" s="251" t="s">
        <v>766</v>
      </c>
      <c r="H81" s="251" t="s">
        <v>38</v>
      </c>
      <c r="I81" s="251" t="s">
        <v>159</v>
      </c>
      <c r="J81" s="251" t="s">
        <v>160</v>
      </c>
      <c r="K81" s="252" t="s">
        <v>161</v>
      </c>
      <c r="L81" s="253" t="s">
        <v>388</v>
      </c>
      <c r="M81" s="254">
        <v>4700000</v>
      </c>
      <c r="N81" s="254">
        <v>0</v>
      </c>
      <c r="O81" s="31">
        <f t="shared" si="24"/>
        <v>4700000</v>
      </c>
      <c r="P81" s="30"/>
      <c r="Q81" s="249" t="s">
        <v>379</v>
      </c>
      <c r="R81" s="30" t="s">
        <v>508</v>
      </c>
      <c r="S81" s="249" t="s">
        <v>1166</v>
      </c>
      <c r="T81" s="29">
        <v>3310</v>
      </c>
      <c r="U81" s="20">
        <v>1505</v>
      </c>
      <c r="V81" s="28">
        <v>1640</v>
      </c>
      <c r="W81" s="20"/>
      <c r="X81" s="27"/>
      <c r="Y81" s="26"/>
      <c r="Z81" s="25">
        <f t="shared" si="33"/>
        <v>4950</v>
      </c>
      <c r="AA81" s="20">
        <f t="shared" si="28"/>
        <v>0</v>
      </c>
      <c r="AB81" s="24">
        <f t="shared" si="25"/>
        <v>-4950</v>
      </c>
      <c r="AC81" s="37"/>
      <c r="AD81" s="37"/>
      <c r="AE81" s="22"/>
      <c r="AF81" s="20"/>
      <c r="AG81" s="21"/>
      <c r="AH81" s="20"/>
      <c r="AI81" s="21"/>
      <c r="AJ81" s="20"/>
      <c r="AK81" s="20"/>
      <c r="AL81" s="20"/>
      <c r="AM81" s="19">
        <v>35000</v>
      </c>
      <c r="AN81" s="19">
        <v>30000</v>
      </c>
      <c r="AO81" s="19"/>
      <c r="AP81" s="19"/>
      <c r="AQ81" s="19"/>
      <c r="AR81" s="19">
        <f t="shared" si="29"/>
        <v>65000</v>
      </c>
      <c r="AS81" s="17">
        <f t="shared" si="30"/>
        <v>4916550</v>
      </c>
      <c r="AT81" s="17">
        <f t="shared" si="31"/>
        <v>216550</v>
      </c>
      <c r="AU81" s="17">
        <f t="shared" si="32"/>
        <v>423000</v>
      </c>
      <c r="AV81" s="17">
        <f t="shared" si="26"/>
        <v>319775</v>
      </c>
      <c r="AW81" s="17">
        <f t="shared" si="27"/>
        <v>287797.5</v>
      </c>
      <c r="AX81" s="18">
        <v>50000</v>
      </c>
      <c r="AY81" s="18"/>
      <c r="AZ81" s="17">
        <f t="shared" si="23"/>
        <v>237797.5</v>
      </c>
      <c r="BA81" s="16"/>
      <c r="BB81" s="15"/>
      <c r="BC81" s="15"/>
    </row>
    <row r="82" spans="1:55" s="6" customFormat="1" ht="16.899999999999999">
      <c r="A82" s="36">
        <v>81</v>
      </c>
      <c r="B82" s="35">
        <v>46189</v>
      </c>
      <c r="C82" s="33" t="s">
        <v>255</v>
      </c>
      <c r="D82" s="33" t="s">
        <v>1227</v>
      </c>
      <c r="E82" s="33" t="s">
        <v>1228</v>
      </c>
      <c r="F82" s="33" t="s">
        <v>1229</v>
      </c>
      <c r="G82" s="33" t="s">
        <v>1230</v>
      </c>
      <c r="H82" s="33" t="s">
        <v>253</v>
      </c>
      <c r="I82" s="33" t="s">
        <v>252</v>
      </c>
      <c r="J82" s="33">
        <v>811577636</v>
      </c>
      <c r="K82" s="35" t="s">
        <v>251</v>
      </c>
      <c r="L82" s="34" t="s">
        <v>387</v>
      </c>
      <c r="M82" s="32">
        <v>17950000</v>
      </c>
      <c r="N82" s="32">
        <v>0</v>
      </c>
      <c r="O82" s="31">
        <f t="shared" si="24"/>
        <v>17950000</v>
      </c>
      <c r="P82" s="30"/>
      <c r="Q82" s="30"/>
      <c r="R82" s="30" t="s">
        <v>508</v>
      </c>
      <c r="S82" s="249" t="s">
        <v>1166</v>
      </c>
      <c r="T82" s="29">
        <v>11760</v>
      </c>
      <c r="U82" s="20">
        <v>1497</v>
      </c>
      <c r="V82" s="28">
        <v>1640</v>
      </c>
      <c r="W82" s="20"/>
      <c r="X82" s="27"/>
      <c r="Y82" s="26"/>
      <c r="Z82" s="25">
        <f t="shared" si="33"/>
        <v>13400</v>
      </c>
      <c r="AA82" s="20">
        <f t="shared" si="28"/>
        <v>0</v>
      </c>
      <c r="AB82" s="24">
        <f t="shared" si="25"/>
        <v>-13400</v>
      </c>
      <c r="AC82" s="37"/>
      <c r="AD82" s="37"/>
      <c r="AE82" s="22"/>
      <c r="AF82" s="20"/>
      <c r="AG82" s="21"/>
      <c r="AH82" s="20"/>
      <c r="AI82" s="21"/>
      <c r="AJ82" s="20"/>
      <c r="AK82" s="20"/>
      <c r="AL82" s="20"/>
      <c r="AM82" s="19">
        <v>35000</v>
      </c>
      <c r="AN82" s="19">
        <v>30000</v>
      </c>
      <c r="AO82" s="19"/>
      <c r="AP82" s="19"/>
      <c r="AQ82" s="19"/>
      <c r="AR82" s="19">
        <f t="shared" si="29"/>
        <v>65000</v>
      </c>
      <c r="AS82" s="17">
        <f t="shared" si="30"/>
        <v>17539720</v>
      </c>
      <c r="AT82" s="17">
        <f t="shared" si="31"/>
        <v>-410280</v>
      </c>
      <c r="AU82" s="17">
        <f t="shared" si="32"/>
        <v>1615500</v>
      </c>
      <c r="AV82" s="17">
        <f t="shared" si="26"/>
        <v>602610</v>
      </c>
      <c r="AW82" s="17">
        <f t="shared" si="27"/>
        <v>542349</v>
      </c>
      <c r="AX82" s="18">
        <v>50000</v>
      </c>
      <c r="AY82" s="18"/>
      <c r="AZ82" s="17">
        <f t="shared" si="23"/>
        <v>492349</v>
      </c>
      <c r="BA82" s="16"/>
      <c r="BB82" s="15"/>
      <c r="BC82" s="15"/>
    </row>
    <row r="83" spans="1:55" s="6" customFormat="1" ht="16.899999999999999">
      <c r="A83" s="36">
        <v>82</v>
      </c>
      <c r="B83" s="35">
        <v>46189</v>
      </c>
      <c r="C83" s="33" t="s">
        <v>1240</v>
      </c>
      <c r="D83" s="33" t="s">
        <v>1241</v>
      </c>
      <c r="E83" s="33" t="s">
        <v>1242</v>
      </c>
      <c r="F83" s="33" t="s">
        <v>1243</v>
      </c>
      <c r="G83" s="33" t="s">
        <v>1244</v>
      </c>
      <c r="H83" s="33" t="s">
        <v>253</v>
      </c>
      <c r="I83" s="33" t="s">
        <v>252</v>
      </c>
      <c r="J83" s="33">
        <v>811577636</v>
      </c>
      <c r="K83" s="35" t="s">
        <v>251</v>
      </c>
      <c r="L83" s="34" t="s">
        <v>387</v>
      </c>
      <c r="M83" s="32">
        <v>19700000</v>
      </c>
      <c r="N83" s="32">
        <v>0</v>
      </c>
      <c r="O83" s="31">
        <f t="shared" si="24"/>
        <v>19700000</v>
      </c>
      <c r="P83" s="30"/>
      <c r="Q83" s="30"/>
      <c r="R83" s="30" t="s">
        <v>508</v>
      </c>
      <c r="S83" s="249" t="s">
        <v>1166</v>
      </c>
      <c r="T83" s="29">
        <v>12910</v>
      </c>
      <c r="U83" s="20">
        <v>1497</v>
      </c>
      <c r="V83" s="28">
        <v>1640</v>
      </c>
      <c r="W83" s="20"/>
      <c r="X83" s="27"/>
      <c r="Y83" s="26"/>
      <c r="Z83" s="25">
        <f t="shared" si="33"/>
        <v>14550</v>
      </c>
      <c r="AA83" s="20">
        <f t="shared" si="28"/>
        <v>0</v>
      </c>
      <c r="AB83" s="24">
        <f t="shared" si="25"/>
        <v>-14550</v>
      </c>
      <c r="AC83" s="37"/>
      <c r="AD83" s="37"/>
      <c r="AE83" s="22"/>
      <c r="AF83" s="20"/>
      <c r="AG83" s="21"/>
      <c r="AH83" s="20"/>
      <c r="AI83" s="21"/>
      <c r="AJ83" s="20"/>
      <c r="AK83" s="20"/>
      <c r="AL83" s="20"/>
      <c r="AM83" s="19">
        <v>35000</v>
      </c>
      <c r="AN83" s="19">
        <v>30000</v>
      </c>
      <c r="AO83" s="19"/>
      <c r="AP83" s="19"/>
      <c r="AQ83" s="19"/>
      <c r="AR83" s="19">
        <f t="shared" si="29"/>
        <v>65000</v>
      </c>
      <c r="AS83" s="17">
        <f t="shared" si="30"/>
        <v>19261270</v>
      </c>
      <c r="AT83" s="17">
        <f t="shared" si="31"/>
        <v>-438730</v>
      </c>
      <c r="AU83" s="17">
        <f t="shared" si="32"/>
        <v>1773000</v>
      </c>
      <c r="AV83" s="17">
        <f t="shared" si="26"/>
        <v>667135</v>
      </c>
      <c r="AW83" s="17">
        <f t="shared" si="27"/>
        <v>600421.5</v>
      </c>
      <c r="AX83" s="18">
        <v>50000</v>
      </c>
      <c r="AY83" s="18"/>
      <c r="AZ83" s="17">
        <f t="shared" si="23"/>
        <v>550421.5</v>
      </c>
      <c r="BA83" s="16"/>
      <c r="BB83" s="15"/>
      <c r="BC83" s="15"/>
    </row>
    <row r="84" spans="1:55" s="6" customFormat="1" ht="16.899999999999999">
      <c r="A84" s="36">
        <v>83</v>
      </c>
      <c r="B84" s="35">
        <v>46190</v>
      </c>
      <c r="C84" s="33" t="s">
        <v>1267</v>
      </c>
      <c r="D84" s="33" t="s">
        <v>1268</v>
      </c>
      <c r="E84" s="33" t="s">
        <v>1269</v>
      </c>
      <c r="F84" s="33" t="s">
        <v>1270</v>
      </c>
      <c r="G84" s="33" t="s">
        <v>1271</v>
      </c>
      <c r="H84" s="33" t="s">
        <v>253</v>
      </c>
      <c r="I84" s="33" t="s">
        <v>252</v>
      </c>
      <c r="J84" s="33">
        <v>811577636</v>
      </c>
      <c r="K84" s="35" t="s">
        <v>251</v>
      </c>
      <c r="L84" s="34" t="s">
        <v>387</v>
      </c>
      <c r="M84" s="32">
        <v>17500000</v>
      </c>
      <c r="N84" s="32">
        <v>0</v>
      </c>
      <c r="O84" s="31">
        <f t="shared" si="24"/>
        <v>17500000</v>
      </c>
      <c r="P84" s="30"/>
      <c r="R84" s="30" t="s">
        <v>508</v>
      </c>
      <c r="S84" s="249" t="s">
        <v>1166</v>
      </c>
      <c r="T84" s="29">
        <v>11410</v>
      </c>
      <c r="U84" s="20">
        <v>1505</v>
      </c>
      <c r="V84" s="28">
        <v>1640</v>
      </c>
      <c r="W84" s="20"/>
      <c r="X84" s="27"/>
      <c r="Y84" s="26"/>
      <c r="Z84" s="25">
        <f t="shared" si="33"/>
        <v>13050</v>
      </c>
      <c r="AA84" s="20">
        <f t="shared" si="28"/>
        <v>0</v>
      </c>
      <c r="AB84" s="24">
        <f t="shared" si="25"/>
        <v>-13050</v>
      </c>
      <c r="AC84" s="37"/>
      <c r="AD84" s="37"/>
      <c r="AE84" s="22"/>
      <c r="AF84" s="20"/>
      <c r="AG84" s="21"/>
      <c r="AH84" s="20"/>
      <c r="AI84" s="21"/>
      <c r="AJ84" s="20"/>
      <c r="AK84" s="20"/>
      <c r="AL84" s="20"/>
      <c r="AM84" s="19">
        <v>35000</v>
      </c>
      <c r="AN84" s="19">
        <v>30000</v>
      </c>
      <c r="AO84" s="19"/>
      <c r="AP84" s="19"/>
      <c r="AQ84" s="19"/>
      <c r="AR84" s="19">
        <f t="shared" si="29"/>
        <v>65000</v>
      </c>
      <c r="AS84" s="17">
        <f t="shared" si="30"/>
        <v>17107050</v>
      </c>
      <c r="AT84" s="17">
        <f t="shared" si="31"/>
        <v>-392950</v>
      </c>
      <c r="AU84" s="17">
        <f t="shared" si="32"/>
        <v>1575000</v>
      </c>
      <c r="AV84" s="17">
        <f t="shared" si="26"/>
        <v>591025</v>
      </c>
      <c r="AW84" s="17">
        <f t="shared" si="27"/>
        <v>531922.5</v>
      </c>
      <c r="AX84" s="18">
        <v>50000</v>
      </c>
      <c r="AY84" s="18"/>
      <c r="AZ84" s="17">
        <f t="shared" si="23"/>
        <v>481922.5</v>
      </c>
      <c r="BA84" s="16"/>
      <c r="BB84" s="15"/>
      <c r="BC84" s="15"/>
    </row>
    <row r="85" spans="1:55" s="6" customFormat="1" ht="16.899999999999999">
      <c r="A85" s="36">
        <v>84</v>
      </c>
      <c r="B85" s="35">
        <v>46191</v>
      </c>
      <c r="C85" s="33" t="s">
        <v>1267</v>
      </c>
      <c r="D85" s="33" t="s">
        <v>1281</v>
      </c>
      <c r="E85" s="33" t="s">
        <v>1282</v>
      </c>
      <c r="F85" s="33" t="s">
        <v>276</v>
      </c>
      <c r="G85" s="33" t="s">
        <v>1283</v>
      </c>
      <c r="H85" s="33" t="s">
        <v>38</v>
      </c>
      <c r="I85" s="33" t="s">
        <v>159</v>
      </c>
      <c r="J85" s="33" t="s">
        <v>160</v>
      </c>
      <c r="K85" s="35" t="s">
        <v>161</v>
      </c>
      <c r="L85" s="34" t="s">
        <v>388</v>
      </c>
      <c r="M85" s="32">
        <v>4200000</v>
      </c>
      <c r="N85" s="32"/>
      <c r="O85" s="31">
        <f t="shared" si="24"/>
        <v>4200000</v>
      </c>
      <c r="P85" s="30"/>
      <c r="Q85" s="30"/>
      <c r="R85" s="30"/>
      <c r="S85" s="30"/>
      <c r="T85" s="29">
        <v>2810</v>
      </c>
      <c r="U85" s="20">
        <v>1505</v>
      </c>
      <c r="V85" s="28">
        <v>1640</v>
      </c>
      <c r="W85" s="20"/>
      <c r="X85" s="27"/>
      <c r="Y85" s="26"/>
      <c r="Z85" s="25">
        <f t="shared" si="33"/>
        <v>4450</v>
      </c>
      <c r="AA85" s="20">
        <f t="shared" si="28"/>
        <v>0</v>
      </c>
      <c r="AB85" s="24">
        <f t="shared" si="25"/>
        <v>-4450</v>
      </c>
      <c r="AC85" s="37"/>
      <c r="AD85" s="37"/>
      <c r="AE85" s="22"/>
      <c r="AF85" s="20"/>
      <c r="AG85" s="21"/>
      <c r="AH85" s="20"/>
      <c r="AI85" s="21"/>
      <c r="AJ85" s="20"/>
      <c r="AK85" s="20"/>
      <c r="AL85" s="20"/>
      <c r="AM85" s="19">
        <v>35000</v>
      </c>
      <c r="AN85" s="19">
        <v>30000</v>
      </c>
      <c r="AO85" s="19"/>
      <c r="AP85" s="19"/>
      <c r="AQ85" s="19"/>
      <c r="AR85" s="19">
        <f t="shared" si="29"/>
        <v>65000</v>
      </c>
      <c r="AS85" s="17">
        <f t="shared" si="30"/>
        <v>4164050</v>
      </c>
      <c r="AT85" s="17">
        <f t="shared" si="31"/>
        <v>-35950</v>
      </c>
      <c r="AU85" s="17">
        <f t="shared" si="32"/>
        <v>378000</v>
      </c>
      <c r="AV85" s="17">
        <f t="shared" si="26"/>
        <v>171025</v>
      </c>
      <c r="AW85" s="17">
        <f t="shared" si="27"/>
        <v>153922.5</v>
      </c>
      <c r="AX85" s="18">
        <v>50000</v>
      </c>
      <c r="AY85" s="18"/>
      <c r="AZ85" s="17">
        <f t="shared" si="23"/>
        <v>103922.5</v>
      </c>
      <c r="BA85" s="16"/>
      <c r="BB85" s="15"/>
      <c r="BC85" s="15"/>
    </row>
    <row r="86" spans="1:55" s="6" customFormat="1" ht="16.899999999999999">
      <c r="A86" s="36">
        <v>85</v>
      </c>
      <c r="B86" s="35"/>
      <c r="C86" s="33"/>
      <c r="D86" s="33"/>
      <c r="E86" s="33"/>
      <c r="F86" s="33"/>
      <c r="G86" s="33" t="e">
        <f>"YB"&amp;RIGHT(#REF!,6)</f>
        <v>#REF!</v>
      </c>
      <c r="H86" s="33"/>
      <c r="I86" s="33"/>
      <c r="J86" s="33"/>
      <c r="K86" s="35"/>
      <c r="L86" s="34"/>
      <c r="M86" s="32"/>
      <c r="N86" s="32"/>
      <c r="O86" s="31">
        <f t="shared" si="24"/>
        <v>0</v>
      </c>
      <c r="P86" s="30"/>
      <c r="Q86" s="30"/>
      <c r="R86" s="30"/>
      <c r="S86" s="30"/>
      <c r="T86" s="29"/>
      <c r="U86" s="20"/>
      <c r="V86" s="28"/>
      <c r="W86" s="20"/>
      <c r="X86" s="27"/>
      <c r="Y86" s="26"/>
      <c r="Z86" s="25">
        <f t="shared" si="33"/>
        <v>0</v>
      </c>
      <c r="AA86" s="20">
        <f t="shared" si="28"/>
        <v>0</v>
      </c>
      <c r="AB86" s="24">
        <f t="shared" si="25"/>
        <v>0</v>
      </c>
      <c r="AC86" s="37"/>
      <c r="AD86" s="37"/>
      <c r="AE86" s="22"/>
      <c r="AF86" s="20"/>
      <c r="AG86" s="21"/>
      <c r="AH86" s="20"/>
      <c r="AI86" s="21"/>
      <c r="AJ86" s="20"/>
      <c r="AK86" s="20"/>
      <c r="AL86" s="20"/>
      <c r="AM86" s="19">
        <v>35000</v>
      </c>
      <c r="AN86" s="19">
        <v>30000</v>
      </c>
      <c r="AO86" s="19"/>
      <c r="AP86" s="19"/>
      <c r="AQ86" s="19"/>
      <c r="AR86" s="19">
        <f t="shared" si="29"/>
        <v>65000</v>
      </c>
      <c r="AS86" s="17">
        <f t="shared" si="30"/>
        <v>-65000</v>
      </c>
      <c r="AT86" s="17">
        <f t="shared" si="31"/>
        <v>-65000</v>
      </c>
      <c r="AU86" s="17">
        <f t="shared" si="32"/>
        <v>0</v>
      </c>
      <c r="AV86" s="17">
        <f t="shared" si="26"/>
        <v>-32500</v>
      </c>
      <c r="AW86" s="17">
        <f t="shared" si="27"/>
        <v>-29250</v>
      </c>
      <c r="AX86" s="18">
        <v>50000</v>
      </c>
      <c r="AY86" s="18"/>
      <c r="AZ86" s="17">
        <f t="shared" si="23"/>
        <v>-79250</v>
      </c>
      <c r="BA86" s="16"/>
      <c r="BB86" s="15"/>
      <c r="BC86" s="15"/>
    </row>
    <row r="87" spans="1:55" s="6" customFormat="1" ht="16.899999999999999">
      <c r="A87" s="36">
        <v>86</v>
      </c>
      <c r="B87" s="35"/>
      <c r="C87" s="33"/>
      <c r="D87" s="33"/>
      <c r="E87" s="33"/>
      <c r="F87" s="33"/>
      <c r="G87" s="33" t="e">
        <f>"YB"&amp;RIGHT(#REF!,6)</f>
        <v>#REF!</v>
      </c>
      <c r="H87" s="33"/>
      <c r="I87" s="33"/>
      <c r="J87" s="33"/>
      <c r="K87" s="35"/>
      <c r="L87" s="34"/>
      <c r="M87" s="32"/>
      <c r="N87" s="32"/>
      <c r="O87" s="31">
        <f t="shared" si="24"/>
        <v>0</v>
      </c>
      <c r="P87" s="30"/>
      <c r="Q87" s="30"/>
      <c r="R87" s="30"/>
      <c r="S87" s="30"/>
      <c r="T87" s="29"/>
      <c r="U87" s="20"/>
      <c r="V87" s="28"/>
      <c r="W87" s="20"/>
      <c r="X87" s="27"/>
      <c r="Y87" s="26"/>
      <c r="Z87" s="25">
        <f t="shared" si="33"/>
        <v>0</v>
      </c>
      <c r="AA87" s="20">
        <f t="shared" si="28"/>
        <v>0</v>
      </c>
      <c r="AB87" s="24">
        <f t="shared" si="25"/>
        <v>0</v>
      </c>
      <c r="AC87" s="37"/>
      <c r="AD87" s="37"/>
      <c r="AE87" s="22"/>
      <c r="AF87" s="20"/>
      <c r="AG87" s="21"/>
      <c r="AH87" s="20"/>
      <c r="AI87" s="21"/>
      <c r="AJ87" s="20"/>
      <c r="AK87" s="20"/>
      <c r="AL87" s="20"/>
      <c r="AM87" s="19">
        <v>35000</v>
      </c>
      <c r="AN87" s="19">
        <v>30000</v>
      </c>
      <c r="AO87" s="19"/>
      <c r="AP87" s="19"/>
      <c r="AQ87" s="19"/>
      <c r="AR87" s="19">
        <f t="shared" si="29"/>
        <v>65000</v>
      </c>
      <c r="AS87" s="17">
        <f t="shared" si="30"/>
        <v>-65000</v>
      </c>
      <c r="AT87" s="17">
        <f t="shared" si="31"/>
        <v>-65000</v>
      </c>
      <c r="AU87" s="17">
        <f t="shared" si="32"/>
        <v>0</v>
      </c>
      <c r="AV87" s="17">
        <f t="shared" si="26"/>
        <v>-32500</v>
      </c>
      <c r="AW87" s="17">
        <f t="shared" si="27"/>
        <v>-29250</v>
      </c>
      <c r="AX87" s="18">
        <v>50000</v>
      </c>
      <c r="AY87" s="18"/>
      <c r="AZ87" s="17">
        <f t="shared" si="23"/>
        <v>-79250</v>
      </c>
      <c r="BA87" s="16"/>
      <c r="BB87" s="15"/>
      <c r="BC87" s="15"/>
    </row>
    <row r="88" spans="1:55" s="6" customFormat="1" ht="16.899999999999999">
      <c r="A88" s="36">
        <v>87</v>
      </c>
      <c r="B88" s="35"/>
      <c r="C88" s="33"/>
      <c r="D88" s="33"/>
      <c r="E88" s="33"/>
      <c r="F88" s="33"/>
      <c r="G88" s="33" t="e">
        <f>"YB"&amp;RIGHT(#REF!,6)</f>
        <v>#REF!</v>
      </c>
      <c r="H88" s="33"/>
      <c r="I88" s="33"/>
      <c r="J88" s="33"/>
      <c r="K88" s="35"/>
      <c r="L88" s="34"/>
      <c r="M88" s="32"/>
      <c r="N88" s="32"/>
      <c r="O88" s="31">
        <f t="shared" si="24"/>
        <v>0</v>
      </c>
      <c r="P88" s="30"/>
      <c r="Q88" s="30"/>
      <c r="R88" s="30"/>
      <c r="S88" s="30"/>
      <c r="T88" s="29"/>
      <c r="U88" s="20"/>
      <c r="V88" s="28"/>
      <c r="W88" s="20"/>
      <c r="X88" s="27"/>
      <c r="Y88" s="26"/>
      <c r="Z88" s="25">
        <f t="shared" si="33"/>
        <v>0</v>
      </c>
      <c r="AA88" s="20">
        <f t="shared" si="28"/>
        <v>0</v>
      </c>
      <c r="AB88" s="24">
        <f t="shared" si="25"/>
        <v>0</v>
      </c>
      <c r="AC88" s="37"/>
      <c r="AD88" s="37"/>
      <c r="AE88" s="22"/>
      <c r="AF88" s="20"/>
      <c r="AG88" s="21"/>
      <c r="AH88" s="20"/>
      <c r="AI88" s="21"/>
      <c r="AJ88" s="20"/>
      <c r="AK88" s="20"/>
      <c r="AL88" s="20"/>
      <c r="AM88" s="19">
        <v>35000</v>
      </c>
      <c r="AN88" s="19">
        <v>30000</v>
      </c>
      <c r="AO88" s="19"/>
      <c r="AP88" s="19"/>
      <c r="AQ88" s="19"/>
      <c r="AR88" s="19">
        <f t="shared" si="29"/>
        <v>65000</v>
      </c>
      <c r="AS88" s="17">
        <f t="shared" si="30"/>
        <v>-65000</v>
      </c>
      <c r="AT88" s="17">
        <f t="shared" si="31"/>
        <v>-65000</v>
      </c>
      <c r="AU88" s="17">
        <f t="shared" si="32"/>
        <v>0</v>
      </c>
      <c r="AV88" s="17">
        <f t="shared" si="26"/>
        <v>-32500</v>
      </c>
      <c r="AW88" s="17">
        <f t="shared" si="27"/>
        <v>-29250</v>
      </c>
      <c r="AX88" s="18">
        <v>50000</v>
      </c>
      <c r="AY88" s="18"/>
      <c r="AZ88" s="17">
        <f t="shared" si="23"/>
        <v>-79250</v>
      </c>
      <c r="BA88" s="16"/>
      <c r="BB88" s="15"/>
      <c r="BC88" s="15"/>
    </row>
    <row r="89" spans="1:55" s="6" customFormat="1" ht="16.899999999999999">
      <c r="A89" s="36">
        <v>88</v>
      </c>
      <c r="B89" s="35"/>
      <c r="C89" s="33"/>
      <c r="D89" s="33"/>
      <c r="E89" s="33"/>
      <c r="F89" s="33"/>
      <c r="G89" s="33" t="e">
        <f>"YB"&amp;RIGHT(#REF!,6)</f>
        <v>#REF!</v>
      </c>
      <c r="H89" s="33"/>
      <c r="I89" s="33"/>
      <c r="J89" s="33"/>
      <c r="K89" s="35"/>
      <c r="L89" s="34"/>
      <c r="M89" s="32"/>
      <c r="N89" s="32"/>
      <c r="O89" s="31">
        <f t="shared" si="24"/>
        <v>0</v>
      </c>
      <c r="P89" s="30"/>
      <c r="Q89" s="30"/>
      <c r="R89" s="30"/>
      <c r="S89" s="30"/>
      <c r="T89" s="29"/>
      <c r="U89" s="20"/>
      <c r="V89" s="28"/>
      <c r="W89" s="20"/>
      <c r="X89" s="27"/>
      <c r="Y89" s="26"/>
      <c r="Z89" s="25">
        <f t="shared" si="33"/>
        <v>0</v>
      </c>
      <c r="AA89" s="20">
        <f t="shared" si="28"/>
        <v>0</v>
      </c>
      <c r="AB89" s="24">
        <f t="shared" si="25"/>
        <v>0</v>
      </c>
      <c r="AC89" s="37"/>
      <c r="AD89" s="37"/>
      <c r="AE89" s="22"/>
      <c r="AF89" s="20"/>
      <c r="AG89" s="21"/>
      <c r="AH89" s="20"/>
      <c r="AI89" s="21"/>
      <c r="AJ89" s="20"/>
      <c r="AK89" s="20"/>
      <c r="AL89" s="20"/>
      <c r="AM89" s="19">
        <v>35000</v>
      </c>
      <c r="AN89" s="19">
        <v>30000</v>
      </c>
      <c r="AO89" s="19"/>
      <c r="AP89" s="19"/>
      <c r="AQ89" s="19"/>
      <c r="AR89" s="19">
        <f t="shared" si="29"/>
        <v>65000</v>
      </c>
      <c r="AS89" s="17">
        <f t="shared" si="30"/>
        <v>-65000</v>
      </c>
      <c r="AT89" s="17">
        <f t="shared" si="31"/>
        <v>-65000</v>
      </c>
      <c r="AU89" s="17">
        <f t="shared" si="32"/>
        <v>0</v>
      </c>
      <c r="AV89" s="17">
        <f t="shared" si="26"/>
        <v>-32500</v>
      </c>
      <c r="AW89" s="17">
        <f t="shared" si="27"/>
        <v>-29250</v>
      </c>
      <c r="AX89" s="18">
        <v>50000</v>
      </c>
      <c r="AY89" s="18"/>
      <c r="AZ89" s="17">
        <f t="shared" si="23"/>
        <v>-79250</v>
      </c>
      <c r="BA89" s="16"/>
      <c r="BB89" s="15"/>
      <c r="BC89" s="15"/>
    </row>
    <row r="90" spans="1:55" s="6" customFormat="1" ht="16.899999999999999">
      <c r="A90" s="36">
        <v>89</v>
      </c>
      <c r="B90" s="35"/>
      <c r="C90" s="33"/>
      <c r="D90" s="33"/>
      <c r="E90" s="33"/>
      <c r="F90" s="33"/>
      <c r="G90" s="33" t="e">
        <f>"YB"&amp;RIGHT(#REF!,6)</f>
        <v>#REF!</v>
      </c>
      <c r="H90" s="33"/>
      <c r="I90" s="33"/>
      <c r="J90" s="33"/>
      <c r="K90" s="35"/>
      <c r="L90" s="34"/>
      <c r="M90" s="32"/>
      <c r="N90" s="32"/>
      <c r="O90" s="31">
        <f t="shared" si="24"/>
        <v>0</v>
      </c>
      <c r="P90" s="30"/>
      <c r="Q90" s="30"/>
      <c r="R90" s="30"/>
      <c r="S90" s="30"/>
      <c r="T90" s="29"/>
      <c r="U90" s="20"/>
      <c r="V90" s="28"/>
      <c r="W90" s="20"/>
      <c r="X90" s="27"/>
      <c r="Y90" s="26"/>
      <c r="Z90" s="25">
        <f t="shared" si="33"/>
        <v>0</v>
      </c>
      <c r="AA90" s="20">
        <f t="shared" si="28"/>
        <v>0</v>
      </c>
      <c r="AB90" s="24">
        <f t="shared" si="25"/>
        <v>0</v>
      </c>
      <c r="AC90" s="37"/>
      <c r="AD90" s="37"/>
      <c r="AE90" s="22"/>
      <c r="AF90" s="20"/>
      <c r="AG90" s="21"/>
      <c r="AH90" s="20"/>
      <c r="AI90" s="21"/>
      <c r="AJ90" s="20"/>
      <c r="AK90" s="20"/>
      <c r="AL90" s="20"/>
      <c r="AM90" s="19">
        <v>35000</v>
      </c>
      <c r="AN90" s="19">
        <v>30000</v>
      </c>
      <c r="AO90" s="19"/>
      <c r="AP90" s="19"/>
      <c r="AQ90" s="19"/>
      <c r="AR90" s="19">
        <f t="shared" si="29"/>
        <v>65000</v>
      </c>
      <c r="AS90" s="17">
        <f t="shared" si="30"/>
        <v>-65000</v>
      </c>
      <c r="AT90" s="17">
        <f t="shared" si="31"/>
        <v>-65000</v>
      </c>
      <c r="AU90" s="17">
        <f t="shared" si="32"/>
        <v>0</v>
      </c>
      <c r="AV90" s="17">
        <f t="shared" si="26"/>
        <v>-32500</v>
      </c>
      <c r="AW90" s="17">
        <f t="shared" si="27"/>
        <v>-29250</v>
      </c>
      <c r="AX90" s="18">
        <v>50000</v>
      </c>
      <c r="AY90" s="18"/>
      <c r="AZ90" s="17">
        <f t="shared" si="23"/>
        <v>-79250</v>
      </c>
      <c r="BA90" s="16"/>
      <c r="BB90" s="15"/>
      <c r="BC90" s="15"/>
    </row>
    <row r="91" spans="1:55" s="6" customFormat="1" ht="16.899999999999999">
      <c r="A91" s="36">
        <v>90</v>
      </c>
      <c r="B91" s="35"/>
      <c r="C91" s="33"/>
      <c r="D91" s="33"/>
      <c r="E91" s="33"/>
      <c r="F91" s="33"/>
      <c r="G91" s="33" t="e">
        <f>"YB"&amp;RIGHT(#REF!,6)</f>
        <v>#REF!</v>
      </c>
      <c r="H91" s="33"/>
      <c r="I91" s="33"/>
      <c r="J91" s="33"/>
      <c r="K91" s="35"/>
      <c r="L91" s="34"/>
      <c r="M91" s="32"/>
      <c r="N91" s="32"/>
      <c r="O91" s="31">
        <f t="shared" si="24"/>
        <v>0</v>
      </c>
      <c r="P91" s="30"/>
      <c r="Q91" s="30"/>
      <c r="R91" s="30"/>
      <c r="S91" s="30"/>
      <c r="T91" s="29"/>
      <c r="U91" s="20"/>
      <c r="V91" s="28"/>
      <c r="W91" s="20"/>
      <c r="X91" s="27"/>
      <c r="Y91" s="26"/>
      <c r="Z91" s="25">
        <f t="shared" si="33"/>
        <v>0</v>
      </c>
      <c r="AA91" s="20">
        <f t="shared" si="28"/>
        <v>0</v>
      </c>
      <c r="AB91" s="24">
        <f t="shared" si="25"/>
        <v>0</v>
      </c>
      <c r="AC91" s="37"/>
      <c r="AD91" s="37"/>
      <c r="AE91" s="22"/>
      <c r="AF91" s="20"/>
      <c r="AG91" s="21"/>
      <c r="AH91" s="20"/>
      <c r="AI91" s="21"/>
      <c r="AJ91" s="20"/>
      <c r="AK91" s="20"/>
      <c r="AL91" s="20"/>
      <c r="AM91" s="19">
        <v>35000</v>
      </c>
      <c r="AN91" s="19">
        <v>30000</v>
      </c>
      <c r="AO91" s="19"/>
      <c r="AP91" s="19"/>
      <c r="AQ91" s="19"/>
      <c r="AR91" s="19">
        <f t="shared" si="29"/>
        <v>65000</v>
      </c>
      <c r="AS91" s="17">
        <f t="shared" si="30"/>
        <v>-65000</v>
      </c>
      <c r="AT91" s="17">
        <f t="shared" si="31"/>
        <v>-65000</v>
      </c>
      <c r="AU91" s="17">
        <f t="shared" si="32"/>
        <v>0</v>
      </c>
      <c r="AV91" s="17">
        <f t="shared" si="26"/>
        <v>-32500</v>
      </c>
      <c r="AW91" s="17">
        <f t="shared" si="27"/>
        <v>-29250</v>
      </c>
      <c r="AX91" s="18">
        <v>50000</v>
      </c>
      <c r="AY91" s="18"/>
      <c r="AZ91" s="17">
        <f t="shared" si="23"/>
        <v>-79250</v>
      </c>
      <c r="BA91" s="16"/>
      <c r="BB91" s="15"/>
      <c r="BC91" s="15"/>
    </row>
    <row r="92" spans="1:55" s="6" customFormat="1" ht="16.899999999999999">
      <c r="A92" s="36">
        <v>91</v>
      </c>
      <c r="B92" s="35"/>
      <c r="C92" s="33"/>
      <c r="D92" s="33"/>
      <c r="E92" s="33"/>
      <c r="F92" s="33"/>
      <c r="G92" s="33" t="e">
        <f>"YB"&amp;RIGHT(#REF!,6)</f>
        <v>#REF!</v>
      </c>
      <c r="H92" s="33"/>
      <c r="I92" s="33"/>
      <c r="J92" s="33"/>
      <c r="K92" s="35"/>
      <c r="L92" s="34"/>
      <c r="M92" s="32"/>
      <c r="N92" s="32"/>
      <c r="O92" s="31">
        <f t="shared" si="24"/>
        <v>0</v>
      </c>
      <c r="P92" s="30"/>
      <c r="Q92" s="30"/>
      <c r="R92" s="30"/>
      <c r="S92" s="30"/>
      <c r="T92" s="29"/>
      <c r="U92" s="20"/>
      <c r="V92" s="28"/>
      <c r="W92" s="20"/>
      <c r="X92" s="27"/>
      <c r="Y92" s="26"/>
      <c r="Z92" s="25">
        <f t="shared" si="33"/>
        <v>0</v>
      </c>
      <c r="AA92" s="20">
        <f t="shared" si="28"/>
        <v>0</v>
      </c>
      <c r="AB92" s="24">
        <f t="shared" si="25"/>
        <v>0</v>
      </c>
      <c r="AC92" s="37"/>
      <c r="AD92" s="37"/>
      <c r="AE92" s="22"/>
      <c r="AF92" s="20"/>
      <c r="AG92" s="21"/>
      <c r="AH92" s="20"/>
      <c r="AI92" s="21"/>
      <c r="AJ92" s="20"/>
      <c r="AK92" s="20"/>
      <c r="AL92" s="20"/>
      <c r="AM92" s="19">
        <v>35000</v>
      </c>
      <c r="AN92" s="19">
        <v>30000</v>
      </c>
      <c r="AO92" s="19"/>
      <c r="AP92" s="19"/>
      <c r="AQ92" s="19"/>
      <c r="AR92" s="19">
        <f t="shared" si="29"/>
        <v>65000</v>
      </c>
      <c r="AS92" s="17">
        <f t="shared" si="30"/>
        <v>-65000</v>
      </c>
      <c r="AT92" s="17">
        <f t="shared" si="31"/>
        <v>-65000</v>
      </c>
      <c r="AU92" s="17">
        <f t="shared" si="32"/>
        <v>0</v>
      </c>
      <c r="AV92" s="17">
        <f t="shared" si="26"/>
        <v>-32500</v>
      </c>
      <c r="AW92" s="17">
        <f t="shared" si="27"/>
        <v>-29250</v>
      </c>
      <c r="AX92" s="18">
        <v>50000</v>
      </c>
      <c r="AY92" s="18"/>
      <c r="AZ92" s="17">
        <f t="shared" si="23"/>
        <v>-79250</v>
      </c>
      <c r="BA92" s="16"/>
      <c r="BB92" s="15"/>
      <c r="BC92" s="15"/>
    </row>
    <row r="93" spans="1:55" s="6" customFormat="1" ht="16.899999999999999">
      <c r="A93" s="36">
        <v>92</v>
      </c>
      <c r="B93" s="35"/>
      <c r="C93" s="33"/>
      <c r="D93" s="33"/>
      <c r="E93" s="33"/>
      <c r="F93" s="33"/>
      <c r="G93" s="33" t="e">
        <f>"YB"&amp;RIGHT(#REF!,6)</f>
        <v>#REF!</v>
      </c>
      <c r="H93" s="33"/>
      <c r="I93" s="33"/>
      <c r="J93" s="33"/>
      <c r="K93" s="35"/>
      <c r="L93" s="34"/>
      <c r="M93" s="32"/>
      <c r="N93" s="32"/>
      <c r="O93" s="31">
        <f t="shared" si="24"/>
        <v>0</v>
      </c>
      <c r="P93" s="30"/>
      <c r="Q93" s="30"/>
      <c r="R93" s="30"/>
      <c r="S93" s="30"/>
      <c r="T93" s="29"/>
      <c r="U93" s="20"/>
      <c r="V93" s="28"/>
      <c r="W93" s="20"/>
      <c r="X93" s="27"/>
      <c r="Y93" s="26"/>
      <c r="Z93" s="25">
        <f t="shared" si="33"/>
        <v>0</v>
      </c>
      <c r="AA93" s="20">
        <f t="shared" si="28"/>
        <v>0</v>
      </c>
      <c r="AB93" s="24">
        <f t="shared" si="25"/>
        <v>0</v>
      </c>
      <c r="AC93" s="37"/>
      <c r="AD93" s="37"/>
      <c r="AE93" s="22"/>
      <c r="AF93" s="20"/>
      <c r="AG93" s="21"/>
      <c r="AH93" s="20"/>
      <c r="AI93" s="21"/>
      <c r="AJ93" s="20"/>
      <c r="AK93" s="20"/>
      <c r="AL93" s="20"/>
      <c r="AM93" s="19">
        <v>35000</v>
      </c>
      <c r="AN93" s="19">
        <v>30000</v>
      </c>
      <c r="AO93" s="19"/>
      <c r="AP93" s="19"/>
      <c r="AQ93" s="19"/>
      <c r="AR93" s="19">
        <f t="shared" si="29"/>
        <v>65000</v>
      </c>
      <c r="AS93" s="17">
        <f t="shared" si="30"/>
        <v>-65000</v>
      </c>
      <c r="AT93" s="17">
        <f t="shared" si="31"/>
        <v>-65000</v>
      </c>
      <c r="AU93" s="17">
        <f t="shared" si="32"/>
        <v>0</v>
      </c>
      <c r="AV93" s="17">
        <f t="shared" si="26"/>
        <v>-32500</v>
      </c>
      <c r="AW93" s="17">
        <f t="shared" si="27"/>
        <v>-29250</v>
      </c>
      <c r="AX93" s="18">
        <v>50000</v>
      </c>
      <c r="AY93" s="18"/>
      <c r="AZ93" s="17">
        <f t="shared" si="23"/>
        <v>-79250</v>
      </c>
      <c r="BA93" s="16"/>
      <c r="BB93" s="15"/>
      <c r="BC93" s="15"/>
    </row>
    <row r="94" spans="1:55" s="6" customFormat="1" ht="16.899999999999999">
      <c r="A94" s="36">
        <v>93</v>
      </c>
      <c r="B94" s="35"/>
      <c r="C94" s="33"/>
      <c r="D94" s="33"/>
      <c r="E94" s="33"/>
      <c r="F94" s="33"/>
      <c r="G94" s="33" t="e">
        <f>"YB"&amp;RIGHT(#REF!,6)</f>
        <v>#REF!</v>
      </c>
      <c r="H94" s="33"/>
      <c r="I94" s="33"/>
      <c r="J94" s="33"/>
      <c r="K94" s="35"/>
      <c r="L94" s="34"/>
      <c r="M94" s="32"/>
      <c r="N94" s="32"/>
      <c r="O94" s="31">
        <f t="shared" si="24"/>
        <v>0</v>
      </c>
      <c r="P94" s="30"/>
      <c r="Q94" s="30"/>
      <c r="R94" s="30"/>
      <c r="S94" s="30"/>
      <c r="T94" s="29"/>
      <c r="U94" s="20"/>
      <c r="V94" s="28"/>
      <c r="W94" s="20"/>
      <c r="X94" s="27"/>
      <c r="Y94" s="26"/>
      <c r="Z94" s="25">
        <f t="shared" si="33"/>
        <v>0</v>
      </c>
      <c r="AA94" s="20">
        <f t="shared" si="28"/>
        <v>0</v>
      </c>
      <c r="AB94" s="24">
        <f t="shared" si="25"/>
        <v>0</v>
      </c>
      <c r="AC94" s="37"/>
      <c r="AD94" s="37"/>
      <c r="AE94" s="22"/>
      <c r="AF94" s="20"/>
      <c r="AG94" s="21"/>
      <c r="AH94" s="20"/>
      <c r="AI94" s="21"/>
      <c r="AJ94" s="20"/>
      <c r="AK94" s="20"/>
      <c r="AL94" s="20"/>
      <c r="AM94" s="19">
        <v>35000</v>
      </c>
      <c r="AN94" s="19">
        <v>30000</v>
      </c>
      <c r="AO94" s="19"/>
      <c r="AP94" s="19"/>
      <c r="AQ94" s="19"/>
      <c r="AR94" s="19">
        <f t="shared" si="29"/>
        <v>65000</v>
      </c>
      <c r="AS94" s="17">
        <f t="shared" si="30"/>
        <v>-65000</v>
      </c>
      <c r="AT94" s="17">
        <f t="shared" si="31"/>
        <v>-65000</v>
      </c>
      <c r="AU94" s="17">
        <f t="shared" si="32"/>
        <v>0</v>
      </c>
      <c r="AV94" s="17">
        <f t="shared" si="26"/>
        <v>-32500</v>
      </c>
      <c r="AW94" s="17">
        <f t="shared" si="27"/>
        <v>-29250</v>
      </c>
      <c r="AX94" s="18">
        <v>50000</v>
      </c>
      <c r="AY94" s="18"/>
      <c r="AZ94" s="17">
        <f t="shared" si="23"/>
        <v>-79250</v>
      </c>
      <c r="BA94" s="16"/>
      <c r="BB94" s="15"/>
      <c r="BC94" s="15"/>
    </row>
    <row r="95" spans="1:55" s="6" customFormat="1" ht="16.899999999999999">
      <c r="A95" s="36">
        <v>94</v>
      </c>
      <c r="B95" s="35"/>
      <c r="C95" s="33"/>
      <c r="D95" s="33"/>
      <c r="E95" s="33"/>
      <c r="F95" s="33"/>
      <c r="G95" s="33" t="e">
        <f>"YB"&amp;RIGHT(#REF!,6)</f>
        <v>#REF!</v>
      </c>
      <c r="H95" s="33"/>
      <c r="I95" s="33"/>
      <c r="J95" s="33"/>
      <c r="K95" s="35"/>
      <c r="L95" s="34"/>
      <c r="M95" s="32"/>
      <c r="N95" s="32"/>
      <c r="O95" s="31">
        <f t="shared" si="24"/>
        <v>0</v>
      </c>
      <c r="P95" s="30"/>
      <c r="Q95" s="30"/>
      <c r="R95" s="30"/>
      <c r="S95" s="30"/>
      <c r="T95" s="29"/>
      <c r="U95" s="20"/>
      <c r="V95" s="28"/>
      <c r="W95" s="20"/>
      <c r="X95" s="27"/>
      <c r="Y95" s="26"/>
      <c r="Z95" s="25">
        <f t="shared" si="33"/>
        <v>0</v>
      </c>
      <c r="AA95" s="20">
        <f t="shared" si="28"/>
        <v>0</v>
      </c>
      <c r="AB95" s="24">
        <f t="shared" si="25"/>
        <v>0</v>
      </c>
      <c r="AC95" s="37"/>
      <c r="AD95" s="37"/>
      <c r="AE95" s="22"/>
      <c r="AF95" s="20"/>
      <c r="AG95" s="21"/>
      <c r="AH95" s="20"/>
      <c r="AI95" s="21"/>
      <c r="AJ95" s="20"/>
      <c r="AK95" s="20"/>
      <c r="AL95" s="20"/>
      <c r="AM95" s="19">
        <v>35000</v>
      </c>
      <c r="AN95" s="19">
        <v>30000</v>
      </c>
      <c r="AO95" s="19"/>
      <c r="AP95" s="19"/>
      <c r="AQ95" s="19"/>
      <c r="AR95" s="19">
        <f t="shared" si="29"/>
        <v>65000</v>
      </c>
      <c r="AS95" s="17">
        <f t="shared" si="30"/>
        <v>-65000</v>
      </c>
      <c r="AT95" s="17">
        <f t="shared" si="31"/>
        <v>-65000</v>
      </c>
      <c r="AU95" s="17">
        <f t="shared" si="32"/>
        <v>0</v>
      </c>
      <c r="AV95" s="17">
        <f t="shared" si="26"/>
        <v>-32500</v>
      </c>
      <c r="AW95" s="17">
        <f t="shared" si="27"/>
        <v>-29250</v>
      </c>
      <c r="AX95" s="18">
        <v>50000</v>
      </c>
      <c r="AY95" s="18"/>
      <c r="AZ95" s="17">
        <f t="shared" si="23"/>
        <v>-79250</v>
      </c>
      <c r="BA95" s="16"/>
      <c r="BB95" s="15"/>
      <c r="BC95" s="15"/>
    </row>
    <row r="96" spans="1:55" s="6" customFormat="1" ht="16.899999999999999">
      <c r="A96" s="36">
        <v>95</v>
      </c>
      <c r="B96" s="35"/>
      <c r="C96" s="33"/>
      <c r="D96" s="33"/>
      <c r="E96" s="33"/>
      <c r="F96" s="33"/>
      <c r="G96" s="33" t="e">
        <f>"YB"&amp;RIGHT(#REF!,6)</f>
        <v>#REF!</v>
      </c>
      <c r="H96" s="33"/>
      <c r="I96" s="33"/>
      <c r="J96" s="33"/>
      <c r="K96" s="35"/>
      <c r="L96" s="34"/>
      <c r="M96" s="32"/>
      <c r="N96" s="32"/>
      <c r="O96" s="31">
        <f t="shared" si="24"/>
        <v>0</v>
      </c>
      <c r="P96" s="30"/>
      <c r="Q96" s="30"/>
      <c r="R96" s="30"/>
      <c r="S96" s="30"/>
      <c r="T96" s="29"/>
      <c r="U96" s="20"/>
      <c r="V96" s="28"/>
      <c r="W96" s="20"/>
      <c r="X96" s="27"/>
      <c r="Y96" s="26"/>
      <c r="Z96" s="25">
        <f t="shared" si="33"/>
        <v>0</v>
      </c>
      <c r="AA96" s="20">
        <f t="shared" si="28"/>
        <v>0</v>
      </c>
      <c r="AB96" s="24">
        <f t="shared" si="25"/>
        <v>0</v>
      </c>
      <c r="AC96" s="37"/>
      <c r="AD96" s="37"/>
      <c r="AE96" s="22"/>
      <c r="AF96" s="20"/>
      <c r="AG96" s="21"/>
      <c r="AH96" s="20"/>
      <c r="AI96" s="21"/>
      <c r="AJ96" s="20"/>
      <c r="AK96" s="20"/>
      <c r="AL96" s="20"/>
      <c r="AM96" s="19">
        <v>35000</v>
      </c>
      <c r="AN96" s="19">
        <v>30000</v>
      </c>
      <c r="AO96" s="19"/>
      <c r="AP96" s="19"/>
      <c r="AQ96" s="19"/>
      <c r="AR96" s="19">
        <f t="shared" si="29"/>
        <v>65000</v>
      </c>
      <c r="AS96" s="17">
        <f t="shared" si="30"/>
        <v>-65000</v>
      </c>
      <c r="AT96" s="17">
        <f t="shared" si="31"/>
        <v>-65000</v>
      </c>
      <c r="AU96" s="17">
        <f t="shared" si="32"/>
        <v>0</v>
      </c>
      <c r="AV96" s="17">
        <f t="shared" si="26"/>
        <v>-32500</v>
      </c>
      <c r="AW96" s="17">
        <f t="shared" si="27"/>
        <v>-29250</v>
      </c>
      <c r="AX96" s="18">
        <v>50000</v>
      </c>
      <c r="AY96" s="18"/>
      <c r="AZ96" s="17">
        <f t="shared" si="23"/>
        <v>-79250</v>
      </c>
      <c r="BA96" s="16"/>
      <c r="BB96" s="15"/>
      <c r="BC96" s="15"/>
    </row>
    <row r="97" spans="1:55" s="6" customFormat="1" ht="16.899999999999999">
      <c r="A97" s="36">
        <v>96</v>
      </c>
      <c r="B97" s="35"/>
      <c r="C97" s="33"/>
      <c r="D97" s="33"/>
      <c r="E97" s="33"/>
      <c r="F97" s="33"/>
      <c r="G97" s="33" t="e">
        <f>"YB"&amp;RIGHT(#REF!,6)</f>
        <v>#REF!</v>
      </c>
      <c r="H97" s="33"/>
      <c r="I97" s="33"/>
      <c r="J97" s="33"/>
      <c r="K97" s="35"/>
      <c r="L97" s="34"/>
      <c r="M97" s="32"/>
      <c r="N97" s="32"/>
      <c r="O97" s="31">
        <f t="shared" si="24"/>
        <v>0</v>
      </c>
      <c r="P97" s="30"/>
      <c r="Q97" s="30"/>
      <c r="R97" s="30"/>
      <c r="S97" s="30"/>
      <c r="T97" s="29"/>
      <c r="U97" s="20"/>
      <c r="V97" s="28"/>
      <c r="W97" s="20"/>
      <c r="X97" s="27"/>
      <c r="Y97" s="26"/>
      <c r="Z97" s="25">
        <f t="shared" si="33"/>
        <v>0</v>
      </c>
      <c r="AA97" s="20">
        <f t="shared" si="28"/>
        <v>0</v>
      </c>
      <c r="AB97" s="24">
        <f t="shared" si="25"/>
        <v>0</v>
      </c>
      <c r="AC97" s="37"/>
      <c r="AD97" s="37"/>
      <c r="AE97" s="22"/>
      <c r="AF97" s="20"/>
      <c r="AG97" s="21"/>
      <c r="AH97" s="20"/>
      <c r="AI97" s="21"/>
      <c r="AJ97" s="20"/>
      <c r="AK97" s="20"/>
      <c r="AL97" s="20"/>
      <c r="AM97" s="19">
        <v>35000</v>
      </c>
      <c r="AN97" s="19">
        <v>30000</v>
      </c>
      <c r="AO97" s="19"/>
      <c r="AP97" s="19"/>
      <c r="AQ97" s="19"/>
      <c r="AR97" s="19">
        <f t="shared" si="29"/>
        <v>65000</v>
      </c>
      <c r="AS97" s="17">
        <f t="shared" si="30"/>
        <v>-65000</v>
      </c>
      <c r="AT97" s="17">
        <f t="shared" si="31"/>
        <v>-65000</v>
      </c>
      <c r="AU97" s="17">
        <f t="shared" si="32"/>
        <v>0</v>
      </c>
      <c r="AV97" s="17">
        <f t="shared" si="26"/>
        <v>-32500</v>
      </c>
      <c r="AW97" s="17">
        <f t="shared" si="27"/>
        <v>-29250</v>
      </c>
      <c r="AX97" s="18">
        <v>50000</v>
      </c>
      <c r="AY97" s="18"/>
      <c r="AZ97" s="17">
        <f t="shared" si="23"/>
        <v>-79250</v>
      </c>
      <c r="BA97" s="16"/>
      <c r="BB97" s="15"/>
      <c r="BC97" s="15"/>
    </row>
    <row r="98" spans="1:55" ht="16.899999999999999">
      <c r="A98" s="36">
        <v>97</v>
      </c>
      <c r="B98" s="35"/>
      <c r="C98" s="33"/>
      <c r="D98" s="33"/>
      <c r="E98" s="33"/>
      <c r="F98" s="33"/>
      <c r="G98" s="33" t="e">
        <f>"YB"&amp;RIGHT(#REF!,6)</f>
        <v>#REF!</v>
      </c>
      <c r="H98" s="33"/>
      <c r="I98" s="33"/>
      <c r="J98" s="33"/>
      <c r="K98" s="35" t="s">
        <v>27</v>
      </c>
      <c r="L98" s="34"/>
      <c r="M98" s="32"/>
      <c r="N98" s="32"/>
      <c r="O98" s="31">
        <f t="shared" si="24"/>
        <v>0</v>
      </c>
      <c r="P98" s="30"/>
      <c r="Q98" s="30"/>
      <c r="R98" s="30"/>
      <c r="S98" s="30"/>
      <c r="T98" s="29"/>
      <c r="U98" s="20"/>
      <c r="V98" s="28"/>
      <c r="W98" s="20"/>
      <c r="X98" s="27"/>
      <c r="Y98" s="26"/>
      <c r="Z98" s="25">
        <f t="shared" si="33"/>
        <v>0</v>
      </c>
      <c r="AA98" s="20">
        <f t="shared" si="28"/>
        <v>0</v>
      </c>
      <c r="AB98" s="24">
        <f t="shared" si="25"/>
        <v>0</v>
      </c>
      <c r="AC98" s="37"/>
      <c r="AD98" s="37"/>
      <c r="AE98" s="22"/>
      <c r="AF98" s="20"/>
      <c r="AG98" s="21"/>
      <c r="AH98" s="20"/>
      <c r="AI98" s="21"/>
      <c r="AJ98" s="20"/>
      <c r="AK98" s="20"/>
      <c r="AL98" s="20"/>
      <c r="AM98" s="19">
        <v>35000</v>
      </c>
      <c r="AN98" s="19">
        <v>30000</v>
      </c>
      <c r="AO98" s="19"/>
      <c r="AP98" s="19"/>
      <c r="AQ98" s="19"/>
      <c r="AR98" s="19">
        <f t="shared" si="29"/>
        <v>65000</v>
      </c>
      <c r="AS98" s="17">
        <f t="shared" si="30"/>
        <v>-65000</v>
      </c>
      <c r="AT98" s="17">
        <f t="shared" si="31"/>
        <v>-65000</v>
      </c>
      <c r="AU98" s="17">
        <f t="shared" si="32"/>
        <v>0</v>
      </c>
      <c r="AV98" s="17">
        <f t="shared" si="26"/>
        <v>-32500</v>
      </c>
      <c r="AW98" s="17">
        <f t="shared" si="27"/>
        <v>-29250</v>
      </c>
      <c r="AX98" s="18">
        <v>50000</v>
      </c>
      <c r="AY98" s="18"/>
      <c r="AZ98" s="17">
        <f t="shared" si="23"/>
        <v>-79250</v>
      </c>
      <c r="BA98" s="16"/>
      <c r="BB98" s="16"/>
      <c r="BC98" s="16"/>
    </row>
    <row r="99" spans="1:55" ht="16.899999999999999">
      <c r="A99" s="36">
        <v>98</v>
      </c>
      <c r="B99" s="35"/>
      <c r="C99" s="33"/>
      <c r="D99" s="33"/>
      <c r="E99" s="33"/>
      <c r="F99" s="33"/>
      <c r="G99" s="33" t="e">
        <f>"YB"&amp;RIGHT(#REF!,6)</f>
        <v>#REF!</v>
      </c>
      <c r="H99" s="33"/>
      <c r="I99" s="33"/>
      <c r="J99" s="33"/>
      <c r="K99" s="35"/>
      <c r="L99" s="34"/>
      <c r="M99" s="32"/>
      <c r="N99" s="32"/>
      <c r="O99" s="31">
        <f t="shared" si="24"/>
        <v>0</v>
      </c>
      <c r="P99" s="30"/>
      <c r="Q99" s="30"/>
      <c r="R99" s="30"/>
      <c r="S99" s="30"/>
      <c r="T99" s="29"/>
      <c r="U99" s="20"/>
      <c r="V99" s="28"/>
      <c r="W99" s="20"/>
      <c r="X99" s="27"/>
      <c r="Y99" s="26"/>
      <c r="Z99" s="25">
        <f t="shared" si="33"/>
        <v>0</v>
      </c>
      <c r="AA99" s="20">
        <f t="shared" si="28"/>
        <v>0</v>
      </c>
      <c r="AB99" s="24">
        <f t="shared" si="25"/>
        <v>0</v>
      </c>
      <c r="AC99" s="37"/>
      <c r="AD99" s="37"/>
      <c r="AE99" s="22"/>
      <c r="AF99" s="20"/>
      <c r="AG99" s="21"/>
      <c r="AH99" s="20"/>
      <c r="AI99" s="21"/>
      <c r="AJ99" s="20"/>
      <c r="AK99" s="20"/>
      <c r="AL99" s="20"/>
      <c r="AM99" s="19">
        <v>35000</v>
      </c>
      <c r="AN99" s="19">
        <v>30000</v>
      </c>
      <c r="AO99" s="19"/>
      <c r="AP99" s="19"/>
      <c r="AQ99" s="19"/>
      <c r="AR99" s="19">
        <f t="shared" si="29"/>
        <v>65000</v>
      </c>
      <c r="AS99" s="17">
        <f t="shared" si="30"/>
        <v>-65000</v>
      </c>
      <c r="AT99" s="17">
        <f t="shared" si="31"/>
        <v>-65000</v>
      </c>
      <c r="AU99" s="17">
        <f t="shared" si="32"/>
        <v>0</v>
      </c>
      <c r="AV99" s="17">
        <f t="shared" si="26"/>
        <v>-32500</v>
      </c>
      <c r="AW99" s="17">
        <f t="shared" si="27"/>
        <v>-29250</v>
      </c>
      <c r="AX99" s="18">
        <v>50000</v>
      </c>
      <c r="AY99" s="18"/>
      <c r="AZ99" s="17">
        <f t="shared" si="23"/>
        <v>-79250</v>
      </c>
      <c r="BA99" s="16"/>
      <c r="BB99" s="16"/>
      <c r="BC99" s="16"/>
    </row>
    <row r="100" spans="1:55" ht="16.899999999999999">
      <c r="A100" s="36">
        <v>99</v>
      </c>
      <c r="B100" s="35"/>
      <c r="C100" s="33"/>
      <c r="D100" s="33"/>
      <c r="E100" s="33"/>
      <c r="F100" s="33"/>
      <c r="G100" s="33" t="e">
        <f>"YB"&amp;RIGHT(#REF!,6)</f>
        <v>#REF!</v>
      </c>
      <c r="H100" s="33"/>
      <c r="I100" s="33"/>
      <c r="J100" s="33"/>
      <c r="K100" s="35"/>
      <c r="L100" s="34"/>
      <c r="M100" s="32"/>
      <c r="N100" s="32"/>
      <c r="O100" s="31">
        <f t="shared" si="24"/>
        <v>0</v>
      </c>
      <c r="P100" s="30"/>
      <c r="Q100" s="30"/>
      <c r="R100" s="30"/>
      <c r="S100" s="30"/>
      <c r="T100" s="29"/>
      <c r="U100" s="20"/>
      <c r="V100" s="28"/>
      <c r="W100" s="20"/>
      <c r="X100" s="27"/>
      <c r="Y100" s="26"/>
      <c r="Z100" s="25">
        <f t="shared" si="33"/>
        <v>0</v>
      </c>
      <c r="AA100" s="20">
        <f t="shared" si="28"/>
        <v>0</v>
      </c>
      <c r="AB100" s="24">
        <f t="shared" si="25"/>
        <v>0</v>
      </c>
      <c r="AC100" s="37"/>
      <c r="AD100" s="37"/>
      <c r="AE100" s="22"/>
      <c r="AF100" s="20"/>
      <c r="AG100" s="21"/>
      <c r="AH100" s="20"/>
      <c r="AI100" s="21"/>
      <c r="AJ100" s="20"/>
      <c r="AK100" s="20"/>
      <c r="AL100" s="20"/>
      <c r="AM100" s="19">
        <v>35000</v>
      </c>
      <c r="AN100" s="19">
        <v>30000</v>
      </c>
      <c r="AO100" s="19"/>
      <c r="AP100" s="19"/>
      <c r="AQ100" s="19"/>
      <c r="AR100" s="19">
        <f t="shared" si="29"/>
        <v>65000</v>
      </c>
      <c r="AS100" s="17">
        <f t="shared" si="30"/>
        <v>-65000</v>
      </c>
      <c r="AT100" s="17">
        <f t="shared" si="31"/>
        <v>-65000</v>
      </c>
      <c r="AU100" s="17">
        <f t="shared" si="32"/>
        <v>0</v>
      </c>
      <c r="AV100" s="17">
        <f t="shared" si="26"/>
        <v>-32500</v>
      </c>
      <c r="AW100" s="17">
        <f t="shared" si="27"/>
        <v>-29250</v>
      </c>
      <c r="AX100" s="18">
        <v>50000</v>
      </c>
      <c r="AY100" s="18"/>
      <c r="AZ100" s="17">
        <f t="shared" si="23"/>
        <v>-79250</v>
      </c>
      <c r="BA100" s="16"/>
      <c r="BB100" s="16"/>
      <c r="BC100" s="16"/>
    </row>
    <row r="101" spans="1:55" ht="16.899999999999999">
      <c r="A101" s="36">
        <v>100</v>
      </c>
      <c r="B101" s="35"/>
      <c r="C101" s="33"/>
      <c r="D101" s="33"/>
      <c r="E101" s="33"/>
      <c r="F101" s="33"/>
      <c r="G101" s="33" t="e">
        <f>"YB"&amp;RIGHT(#REF!,6)</f>
        <v>#REF!</v>
      </c>
      <c r="H101" s="33"/>
      <c r="I101" s="33"/>
      <c r="J101" s="33"/>
      <c r="K101" s="35"/>
      <c r="L101" s="34"/>
      <c r="M101" s="32"/>
      <c r="N101" s="32"/>
      <c r="O101" s="31">
        <f t="shared" si="24"/>
        <v>0</v>
      </c>
      <c r="P101" s="30"/>
      <c r="Q101" s="30"/>
      <c r="R101" s="30"/>
      <c r="S101" s="30"/>
      <c r="T101" s="29"/>
      <c r="U101" s="20"/>
      <c r="V101" s="28"/>
      <c r="W101" s="20"/>
      <c r="X101" s="27"/>
      <c r="Y101" s="26"/>
      <c r="Z101" s="25">
        <f t="shared" si="33"/>
        <v>0</v>
      </c>
      <c r="AA101" s="20">
        <f t="shared" si="28"/>
        <v>0</v>
      </c>
      <c r="AB101" s="24">
        <f t="shared" si="25"/>
        <v>0</v>
      </c>
      <c r="AC101" s="37"/>
      <c r="AD101" s="37"/>
      <c r="AE101" s="22"/>
      <c r="AF101" s="20"/>
      <c r="AG101" s="21"/>
      <c r="AH101" s="20"/>
      <c r="AI101" s="21"/>
      <c r="AJ101" s="20"/>
      <c r="AK101" s="20"/>
      <c r="AL101" s="20"/>
      <c r="AM101" s="19">
        <v>35000</v>
      </c>
      <c r="AN101" s="19">
        <v>30000</v>
      </c>
      <c r="AO101" s="19"/>
      <c r="AP101" s="19"/>
      <c r="AQ101" s="19"/>
      <c r="AR101" s="19">
        <f t="shared" si="29"/>
        <v>65000</v>
      </c>
      <c r="AS101" s="17">
        <f t="shared" si="30"/>
        <v>-65000</v>
      </c>
      <c r="AT101" s="17">
        <f t="shared" si="31"/>
        <v>-65000</v>
      </c>
      <c r="AU101" s="17">
        <f t="shared" si="32"/>
        <v>0</v>
      </c>
      <c r="AV101" s="17">
        <f t="shared" si="26"/>
        <v>-32500</v>
      </c>
      <c r="AW101" s="17">
        <f t="shared" si="27"/>
        <v>-29250</v>
      </c>
      <c r="AX101" s="18">
        <v>50000</v>
      </c>
      <c r="AY101" s="18"/>
      <c r="AZ101" s="17">
        <f t="shared" ref="AZ101:AZ164" si="34">SUM(AW101-AX101-AY101)</f>
        <v>-79250</v>
      </c>
      <c r="BA101" s="16"/>
      <c r="BB101" s="16"/>
      <c r="BC101" s="16"/>
    </row>
    <row r="102" spans="1:55" ht="16.899999999999999">
      <c r="A102" s="36">
        <v>101</v>
      </c>
      <c r="B102" s="35"/>
      <c r="C102" s="33"/>
      <c r="D102" s="33"/>
      <c r="E102" s="33"/>
      <c r="F102" s="33"/>
      <c r="G102" s="33" t="e">
        <f>"YB"&amp;RIGHT(#REF!,6)</f>
        <v>#REF!</v>
      </c>
      <c r="H102" s="33"/>
      <c r="I102" s="33"/>
      <c r="J102" s="33"/>
      <c r="K102" s="35"/>
      <c r="L102" s="34"/>
      <c r="M102" s="32"/>
      <c r="N102" s="32"/>
      <c r="O102" s="31">
        <f t="shared" si="24"/>
        <v>0</v>
      </c>
      <c r="P102" s="30"/>
      <c r="Q102" s="30"/>
      <c r="R102" s="30"/>
      <c r="S102" s="30"/>
      <c r="T102" s="29"/>
      <c r="U102" s="20"/>
      <c r="V102" s="28"/>
      <c r="W102" s="20"/>
      <c r="X102" s="27"/>
      <c r="Y102" s="26"/>
      <c r="Z102" s="25">
        <f t="shared" si="33"/>
        <v>0</v>
      </c>
      <c r="AA102" s="20">
        <f t="shared" si="28"/>
        <v>0</v>
      </c>
      <c r="AB102" s="24">
        <f t="shared" si="25"/>
        <v>0</v>
      </c>
      <c r="AC102" s="37"/>
      <c r="AD102" s="37"/>
      <c r="AE102" s="22"/>
      <c r="AF102" s="20"/>
      <c r="AG102" s="21"/>
      <c r="AH102" s="20"/>
      <c r="AI102" s="21"/>
      <c r="AJ102" s="20"/>
      <c r="AK102" s="20"/>
      <c r="AL102" s="20"/>
      <c r="AM102" s="19">
        <v>35000</v>
      </c>
      <c r="AN102" s="19">
        <v>30000</v>
      </c>
      <c r="AO102" s="19"/>
      <c r="AP102" s="19"/>
      <c r="AQ102" s="19"/>
      <c r="AR102" s="19">
        <f t="shared" si="29"/>
        <v>65000</v>
      </c>
      <c r="AS102" s="17">
        <f t="shared" si="30"/>
        <v>-65000</v>
      </c>
      <c r="AT102" s="17">
        <f t="shared" si="31"/>
        <v>-65000</v>
      </c>
      <c r="AU102" s="17">
        <f t="shared" si="32"/>
        <v>0</v>
      </c>
      <c r="AV102" s="17">
        <f t="shared" si="26"/>
        <v>-32500</v>
      </c>
      <c r="AW102" s="17">
        <f t="shared" si="27"/>
        <v>-29250</v>
      </c>
      <c r="AX102" s="18">
        <v>50000</v>
      </c>
      <c r="AY102" s="18"/>
      <c r="AZ102" s="17">
        <f t="shared" si="34"/>
        <v>-79250</v>
      </c>
      <c r="BA102" s="16"/>
      <c r="BB102" s="16"/>
      <c r="BC102" s="16"/>
    </row>
    <row r="103" spans="1:55" ht="16.899999999999999">
      <c r="A103" s="36">
        <v>102</v>
      </c>
      <c r="B103" s="35"/>
      <c r="C103" s="33"/>
      <c r="D103" s="33"/>
      <c r="E103" s="33"/>
      <c r="F103" s="33"/>
      <c r="G103" s="33" t="e">
        <f>"YB"&amp;RIGHT(#REF!,6)</f>
        <v>#REF!</v>
      </c>
      <c r="H103" s="33"/>
      <c r="I103" s="33"/>
      <c r="J103" s="33"/>
      <c r="K103" s="35"/>
      <c r="L103" s="34"/>
      <c r="M103" s="32"/>
      <c r="N103" s="32"/>
      <c r="O103" s="31">
        <f t="shared" si="24"/>
        <v>0</v>
      </c>
      <c r="P103" s="30"/>
      <c r="Q103" s="30"/>
      <c r="R103" s="30"/>
      <c r="S103" s="30"/>
      <c r="T103" s="29"/>
      <c r="U103" s="20"/>
      <c r="V103" s="28"/>
      <c r="W103" s="20"/>
      <c r="X103" s="27"/>
      <c r="Y103" s="26"/>
      <c r="Z103" s="25">
        <f t="shared" si="33"/>
        <v>0</v>
      </c>
      <c r="AA103" s="20">
        <f t="shared" si="28"/>
        <v>0</v>
      </c>
      <c r="AB103" s="24">
        <f t="shared" si="25"/>
        <v>0</v>
      </c>
      <c r="AC103" s="37"/>
      <c r="AD103" s="37"/>
      <c r="AE103" s="22"/>
      <c r="AF103" s="20"/>
      <c r="AG103" s="21"/>
      <c r="AH103" s="20"/>
      <c r="AI103" s="21"/>
      <c r="AJ103" s="20"/>
      <c r="AK103" s="20"/>
      <c r="AL103" s="20"/>
      <c r="AM103" s="19">
        <v>35000</v>
      </c>
      <c r="AN103" s="19">
        <v>30000</v>
      </c>
      <c r="AO103" s="19"/>
      <c r="AP103" s="19"/>
      <c r="AQ103" s="19"/>
      <c r="AR103" s="19">
        <f t="shared" si="29"/>
        <v>65000</v>
      </c>
      <c r="AS103" s="17">
        <f t="shared" si="30"/>
        <v>-65000</v>
      </c>
      <c r="AT103" s="17">
        <f t="shared" si="31"/>
        <v>-65000</v>
      </c>
      <c r="AU103" s="17">
        <f t="shared" si="32"/>
        <v>0</v>
      </c>
      <c r="AV103" s="17">
        <f t="shared" si="26"/>
        <v>-32500</v>
      </c>
      <c r="AW103" s="17">
        <f t="shared" si="27"/>
        <v>-29250</v>
      </c>
      <c r="AX103" s="18">
        <v>50000</v>
      </c>
      <c r="AY103" s="18"/>
      <c r="AZ103" s="17">
        <f t="shared" si="34"/>
        <v>-79250</v>
      </c>
      <c r="BA103" s="16"/>
      <c r="BB103" s="16"/>
      <c r="BC103" s="16"/>
    </row>
    <row r="104" spans="1:55" ht="16.899999999999999">
      <c r="A104" s="36">
        <v>103</v>
      </c>
      <c r="B104" s="35"/>
      <c r="C104" s="33"/>
      <c r="D104" s="33"/>
      <c r="E104" s="33"/>
      <c r="F104" s="33"/>
      <c r="G104" s="33" t="e">
        <f>"YB"&amp;RIGHT(#REF!,6)</f>
        <v>#REF!</v>
      </c>
      <c r="H104" s="33"/>
      <c r="I104" s="33"/>
      <c r="J104" s="33"/>
      <c r="K104" s="35"/>
      <c r="L104" s="34"/>
      <c r="M104" s="32"/>
      <c r="N104" s="32"/>
      <c r="O104" s="31">
        <f t="shared" si="24"/>
        <v>0</v>
      </c>
      <c r="P104" s="30"/>
      <c r="Q104" s="30"/>
      <c r="R104" s="30"/>
      <c r="S104" s="30"/>
      <c r="T104" s="29"/>
      <c r="U104" s="20"/>
      <c r="V104" s="28"/>
      <c r="W104" s="20"/>
      <c r="X104" s="27"/>
      <c r="Y104" s="26"/>
      <c r="Z104" s="25">
        <f t="shared" si="33"/>
        <v>0</v>
      </c>
      <c r="AA104" s="20">
        <f t="shared" si="28"/>
        <v>0</v>
      </c>
      <c r="AB104" s="24">
        <f t="shared" si="25"/>
        <v>0</v>
      </c>
      <c r="AC104" s="37"/>
      <c r="AD104" s="37"/>
      <c r="AE104" s="22"/>
      <c r="AF104" s="20"/>
      <c r="AG104" s="21"/>
      <c r="AH104" s="20"/>
      <c r="AI104" s="21"/>
      <c r="AJ104" s="20"/>
      <c r="AK104" s="20"/>
      <c r="AL104" s="20"/>
      <c r="AM104" s="19">
        <v>35000</v>
      </c>
      <c r="AN104" s="19">
        <v>30000</v>
      </c>
      <c r="AO104" s="19"/>
      <c r="AP104" s="19"/>
      <c r="AQ104" s="19"/>
      <c r="AR104" s="19">
        <f t="shared" si="29"/>
        <v>65000</v>
      </c>
      <c r="AS104" s="17">
        <f t="shared" si="30"/>
        <v>-65000</v>
      </c>
      <c r="AT104" s="17">
        <f t="shared" si="31"/>
        <v>-65000</v>
      </c>
      <c r="AU104" s="17">
        <f t="shared" si="32"/>
        <v>0</v>
      </c>
      <c r="AV104" s="17">
        <f t="shared" si="26"/>
        <v>-32500</v>
      </c>
      <c r="AW104" s="17">
        <f t="shared" si="27"/>
        <v>-29250</v>
      </c>
      <c r="AX104" s="18">
        <v>50000</v>
      </c>
      <c r="AY104" s="18"/>
      <c r="AZ104" s="17">
        <f t="shared" si="34"/>
        <v>-79250</v>
      </c>
      <c r="BA104" s="16"/>
      <c r="BB104" s="16"/>
      <c r="BC104" s="16"/>
    </row>
    <row r="105" spans="1:55" ht="16.899999999999999">
      <c r="A105" s="36">
        <v>104</v>
      </c>
      <c r="B105" s="35"/>
      <c r="C105" s="33"/>
      <c r="D105" s="33"/>
      <c r="E105" s="33"/>
      <c r="F105" s="33"/>
      <c r="G105" s="33" t="e">
        <f>"YB"&amp;RIGHT(#REF!,6)</f>
        <v>#REF!</v>
      </c>
      <c r="H105" s="33"/>
      <c r="I105" s="33"/>
      <c r="J105" s="33"/>
      <c r="K105" s="35"/>
      <c r="L105" s="34"/>
      <c r="M105" s="32"/>
      <c r="N105" s="32"/>
      <c r="O105" s="31">
        <f t="shared" si="24"/>
        <v>0</v>
      </c>
      <c r="P105" s="30"/>
      <c r="Q105" s="30"/>
      <c r="R105" s="30"/>
      <c r="S105" s="30"/>
      <c r="T105" s="29"/>
      <c r="U105" s="20"/>
      <c r="V105" s="28"/>
      <c r="W105" s="20"/>
      <c r="X105" s="27"/>
      <c r="Y105" s="26"/>
      <c r="Z105" s="25">
        <f t="shared" si="33"/>
        <v>0</v>
      </c>
      <c r="AA105" s="20">
        <f t="shared" si="28"/>
        <v>0</v>
      </c>
      <c r="AB105" s="24">
        <f t="shared" si="25"/>
        <v>0</v>
      </c>
      <c r="AC105" s="37"/>
      <c r="AD105" s="37"/>
      <c r="AE105" s="22"/>
      <c r="AF105" s="20"/>
      <c r="AG105" s="21"/>
      <c r="AH105" s="20"/>
      <c r="AI105" s="21"/>
      <c r="AJ105" s="20"/>
      <c r="AK105" s="20"/>
      <c r="AL105" s="20"/>
      <c r="AM105" s="19">
        <v>35000</v>
      </c>
      <c r="AN105" s="19">
        <v>30000</v>
      </c>
      <c r="AO105" s="19"/>
      <c r="AP105" s="19"/>
      <c r="AQ105" s="19"/>
      <c r="AR105" s="19">
        <f t="shared" si="29"/>
        <v>65000</v>
      </c>
      <c r="AS105" s="17">
        <f t="shared" si="30"/>
        <v>-65000</v>
      </c>
      <c r="AT105" s="17">
        <f t="shared" si="31"/>
        <v>-65000</v>
      </c>
      <c r="AU105" s="17">
        <f t="shared" si="32"/>
        <v>0</v>
      </c>
      <c r="AV105" s="17">
        <f t="shared" si="26"/>
        <v>-32500</v>
      </c>
      <c r="AW105" s="17">
        <f t="shared" si="27"/>
        <v>-29250</v>
      </c>
      <c r="AX105" s="18">
        <v>50000</v>
      </c>
      <c r="AY105" s="18"/>
      <c r="AZ105" s="17">
        <f t="shared" si="34"/>
        <v>-79250</v>
      </c>
      <c r="BA105" s="16"/>
      <c r="BB105" s="16"/>
      <c r="BC105" s="16"/>
    </row>
    <row r="106" spans="1:55" ht="16.899999999999999">
      <c r="A106" s="36">
        <v>105</v>
      </c>
      <c r="B106" s="35"/>
      <c r="C106" s="33"/>
      <c r="D106" s="33"/>
      <c r="E106" s="33"/>
      <c r="F106" s="33"/>
      <c r="G106" s="33" t="e">
        <f>"YB"&amp;RIGHT(#REF!,6)</f>
        <v>#REF!</v>
      </c>
      <c r="H106" s="33"/>
      <c r="I106" s="33"/>
      <c r="J106" s="33"/>
      <c r="K106" s="35"/>
      <c r="L106" s="34"/>
      <c r="M106" s="32"/>
      <c r="N106" s="32"/>
      <c r="O106" s="31">
        <f t="shared" si="24"/>
        <v>0</v>
      </c>
      <c r="P106" s="30"/>
      <c r="Q106" s="30"/>
      <c r="R106" s="30"/>
      <c r="S106" s="30"/>
      <c r="T106" s="29"/>
      <c r="U106" s="20"/>
      <c r="V106" s="28"/>
      <c r="W106" s="20"/>
      <c r="X106" s="27"/>
      <c r="Y106" s="26"/>
      <c r="Z106" s="25">
        <f t="shared" si="33"/>
        <v>0</v>
      </c>
      <c r="AA106" s="20">
        <f t="shared" si="28"/>
        <v>0</v>
      </c>
      <c r="AB106" s="24">
        <f t="shared" si="25"/>
        <v>0</v>
      </c>
      <c r="AC106" s="37"/>
      <c r="AD106" s="37"/>
      <c r="AE106" s="22"/>
      <c r="AF106" s="20"/>
      <c r="AG106" s="21"/>
      <c r="AH106" s="20"/>
      <c r="AI106" s="21"/>
      <c r="AJ106" s="20"/>
      <c r="AK106" s="20"/>
      <c r="AL106" s="20"/>
      <c r="AM106" s="19">
        <v>35000</v>
      </c>
      <c r="AN106" s="19">
        <v>30000</v>
      </c>
      <c r="AO106" s="19"/>
      <c r="AP106" s="19"/>
      <c r="AQ106" s="19"/>
      <c r="AR106" s="19">
        <f t="shared" si="29"/>
        <v>65000</v>
      </c>
      <c r="AS106" s="17">
        <f t="shared" si="30"/>
        <v>-65000</v>
      </c>
      <c r="AT106" s="17">
        <f t="shared" si="31"/>
        <v>-65000</v>
      </c>
      <c r="AU106" s="17">
        <f t="shared" si="32"/>
        <v>0</v>
      </c>
      <c r="AV106" s="17">
        <f t="shared" si="26"/>
        <v>-32500</v>
      </c>
      <c r="AW106" s="17">
        <f t="shared" si="27"/>
        <v>-29250</v>
      </c>
      <c r="AX106" s="18">
        <v>50000</v>
      </c>
      <c r="AY106" s="18"/>
      <c r="AZ106" s="17">
        <f t="shared" si="34"/>
        <v>-79250</v>
      </c>
      <c r="BA106" s="16"/>
      <c r="BB106" s="16"/>
      <c r="BC106" s="16"/>
    </row>
    <row r="107" spans="1:55" ht="16.899999999999999">
      <c r="A107" s="36">
        <v>106</v>
      </c>
      <c r="B107" s="35"/>
      <c r="C107" s="33"/>
      <c r="D107" s="33"/>
      <c r="E107" s="33"/>
      <c r="F107" s="33"/>
      <c r="G107" s="33" t="e">
        <f>"YB"&amp;RIGHT(#REF!,6)</f>
        <v>#REF!</v>
      </c>
      <c r="H107" s="33"/>
      <c r="I107" s="33"/>
      <c r="J107" s="33"/>
      <c r="K107" s="35"/>
      <c r="L107" s="34"/>
      <c r="M107" s="32"/>
      <c r="N107" s="32"/>
      <c r="O107" s="31">
        <f t="shared" si="24"/>
        <v>0</v>
      </c>
      <c r="P107" s="30"/>
      <c r="Q107" s="30"/>
      <c r="R107" s="30"/>
      <c r="S107" s="30"/>
      <c r="T107" s="29"/>
      <c r="U107" s="20"/>
      <c r="V107" s="28"/>
      <c r="W107" s="20"/>
      <c r="X107" s="27"/>
      <c r="Y107" s="26"/>
      <c r="Z107" s="25">
        <f t="shared" si="33"/>
        <v>0</v>
      </c>
      <c r="AA107" s="20">
        <f t="shared" si="28"/>
        <v>0</v>
      </c>
      <c r="AB107" s="24">
        <f t="shared" si="25"/>
        <v>0</v>
      </c>
      <c r="AC107" s="37"/>
      <c r="AD107" s="37"/>
      <c r="AE107" s="22"/>
      <c r="AF107" s="20"/>
      <c r="AG107" s="21"/>
      <c r="AH107" s="20"/>
      <c r="AI107" s="21"/>
      <c r="AJ107" s="20"/>
      <c r="AK107" s="20"/>
      <c r="AL107" s="20"/>
      <c r="AM107" s="19">
        <v>35000</v>
      </c>
      <c r="AN107" s="19">
        <v>30000</v>
      </c>
      <c r="AO107" s="19"/>
      <c r="AP107" s="19"/>
      <c r="AQ107" s="19"/>
      <c r="AR107" s="19">
        <f t="shared" si="29"/>
        <v>65000</v>
      </c>
      <c r="AS107" s="17">
        <f t="shared" si="30"/>
        <v>-65000</v>
      </c>
      <c r="AT107" s="17">
        <f t="shared" si="31"/>
        <v>-65000</v>
      </c>
      <c r="AU107" s="17">
        <f t="shared" si="32"/>
        <v>0</v>
      </c>
      <c r="AV107" s="17">
        <f t="shared" si="26"/>
        <v>-32500</v>
      </c>
      <c r="AW107" s="17">
        <f t="shared" si="27"/>
        <v>-29250</v>
      </c>
      <c r="AX107" s="18">
        <v>50000</v>
      </c>
      <c r="AY107" s="18"/>
      <c r="AZ107" s="17">
        <f t="shared" si="34"/>
        <v>-79250</v>
      </c>
      <c r="BA107" s="16"/>
      <c r="BB107" s="16"/>
      <c r="BC107" s="16"/>
    </row>
    <row r="108" spans="1:55" ht="16.899999999999999">
      <c r="A108" s="36">
        <v>107</v>
      </c>
      <c r="B108" s="35"/>
      <c r="C108" s="33"/>
      <c r="D108" s="33"/>
      <c r="E108" s="33"/>
      <c r="F108" s="33"/>
      <c r="G108" s="33" t="e">
        <f>"YB"&amp;RIGHT(#REF!,6)</f>
        <v>#REF!</v>
      </c>
      <c r="H108" s="33"/>
      <c r="I108" s="33"/>
      <c r="J108" s="33"/>
      <c r="K108" s="35"/>
      <c r="L108" s="34"/>
      <c r="M108" s="32"/>
      <c r="N108" s="32"/>
      <c r="O108" s="31">
        <f t="shared" si="24"/>
        <v>0</v>
      </c>
      <c r="P108" s="30"/>
      <c r="Q108" s="30"/>
      <c r="R108" s="30"/>
      <c r="S108" s="30"/>
      <c r="T108" s="29"/>
      <c r="U108" s="20"/>
      <c r="V108" s="28"/>
      <c r="W108" s="20"/>
      <c r="X108" s="27"/>
      <c r="Y108" s="26"/>
      <c r="Z108" s="25">
        <f t="shared" si="33"/>
        <v>0</v>
      </c>
      <c r="AA108" s="20">
        <f t="shared" si="28"/>
        <v>0</v>
      </c>
      <c r="AB108" s="24">
        <f t="shared" si="25"/>
        <v>0</v>
      </c>
      <c r="AC108" s="37"/>
      <c r="AD108" s="37"/>
      <c r="AE108" s="22"/>
      <c r="AF108" s="20"/>
      <c r="AG108" s="21"/>
      <c r="AH108" s="20"/>
      <c r="AI108" s="21"/>
      <c r="AJ108" s="20"/>
      <c r="AK108" s="20"/>
      <c r="AL108" s="20"/>
      <c r="AM108" s="19">
        <v>35000</v>
      </c>
      <c r="AN108" s="19">
        <v>30000</v>
      </c>
      <c r="AO108" s="19"/>
      <c r="AP108" s="19"/>
      <c r="AQ108" s="19"/>
      <c r="AR108" s="19">
        <f t="shared" si="29"/>
        <v>65000</v>
      </c>
      <c r="AS108" s="17">
        <f t="shared" si="30"/>
        <v>-65000</v>
      </c>
      <c r="AT108" s="17">
        <f t="shared" si="31"/>
        <v>-65000</v>
      </c>
      <c r="AU108" s="17">
        <f t="shared" si="32"/>
        <v>0</v>
      </c>
      <c r="AV108" s="17">
        <f t="shared" si="26"/>
        <v>-32500</v>
      </c>
      <c r="AW108" s="17">
        <f t="shared" si="27"/>
        <v>-29250</v>
      </c>
      <c r="AX108" s="18">
        <v>50000</v>
      </c>
      <c r="AY108" s="18"/>
      <c r="AZ108" s="17">
        <f t="shared" si="34"/>
        <v>-79250</v>
      </c>
      <c r="BA108" s="16"/>
      <c r="BB108" s="16"/>
      <c r="BC108" s="16"/>
    </row>
    <row r="109" spans="1:55" ht="16.899999999999999">
      <c r="A109" s="36">
        <v>108</v>
      </c>
      <c r="B109" s="35"/>
      <c r="C109" s="33"/>
      <c r="D109" s="33"/>
      <c r="E109" s="33"/>
      <c r="F109" s="33"/>
      <c r="G109" s="33" t="e">
        <f>"YB"&amp;RIGHT(#REF!,6)</f>
        <v>#REF!</v>
      </c>
      <c r="H109" s="33"/>
      <c r="I109" s="33"/>
      <c r="J109" s="33"/>
      <c r="K109" s="35"/>
      <c r="L109" s="34"/>
      <c r="M109" s="32"/>
      <c r="N109" s="32"/>
      <c r="O109" s="31">
        <f t="shared" si="24"/>
        <v>0</v>
      </c>
      <c r="P109" s="30"/>
      <c r="Q109" s="30"/>
      <c r="R109" s="30"/>
      <c r="S109" s="30"/>
      <c r="T109" s="29"/>
      <c r="U109" s="20"/>
      <c r="V109" s="28"/>
      <c r="W109" s="20"/>
      <c r="X109" s="27"/>
      <c r="Y109" s="26"/>
      <c r="Z109" s="25">
        <f t="shared" si="33"/>
        <v>0</v>
      </c>
      <c r="AA109" s="20">
        <f t="shared" si="28"/>
        <v>0</v>
      </c>
      <c r="AB109" s="24">
        <f t="shared" si="25"/>
        <v>0</v>
      </c>
      <c r="AC109" s="37"/>
      <c r="AD109" s="37"/>
      <c r="AE109" s="22"/>
      <c r="AF109" s="20"/>
      <c r="AG109" s="21"/>
      <c r="AH109" s="20"/>
      <c r="AI109" s="21"/>
      <c r="AJ109" s="20"/>
      <c r="AK109" s="20"/>
      <c r="AL109" s="20"/>
      <c r="AM109" s="19">
        <v>35000</v>
      </c>
      <c r="AN109" s="19">
        <v>30000</v>
      </c>
      <c r="AO109" s="19"/>
      <c r="AP109" s="19"/>
      <c r="AQ109" s="19"/>
      <c r="AR109" s="19">
        <f t="shared" si="29"/>
        <v>65000</v>
      </c>
      <c r="AS109" s="17">
        <f t="shared" si="30"/>
        <v>-65000</v>
      </c>
      <c r="AT109" s="17">
        <f t="shared" si="31"/>
        <v>-65000</v>
      </c>
      <c r="AU109" s="17">
        <f t="shared" si="32"/>
        <v>0</v>
      </c>
      <c r="AV109" s="17">
        <f t="shared" si="26"/>
        <v>-32500</v>
      </c>
      <c r="AW109" s="17">
        <f t="shared" si="27"/>
        <v>-29250</v>
      </c>
      <c r="AX109" s="18">
        <v>50000</v>
      </c>
      <c r="AY109" s="18"/>
      <c r="AZ109" s="17">
        <f t="shared" si="34"/>
        <v>-79250</v>
      </c>
      <c r="BA109" s="16"/>
      <c r="BB109" s="16"/>
      <c r="BC109" s="16"/>
    </row>
    <row r="110" spans="1:55" ht="16.899999999999999">
      <c r="A110" s="36">
        <v>109</v>
      </c>
      <c r="B110" s="35"/>
      <c r="C110" s="33"/>
      <c r="D110" s="33"/>
      <c r="E110" s="33"/>
      <c r="F110" s="33"/>
      <c r="G110" s="33" t="e">
        <f>"YB"&amp;RIGHT(#REF!,6)</f>
        <v>#REF!</v>
      </c>
      <c r="H110" s="33"/>
      <c r="I110" s="33"/>
      <c r="J110" s="33"/>
      <c r="K110" s="35"/>
      <c r="L110" s="34"/>
      <c r="M110" s="32"/>
      <c r="N110" s="32"/>
      <c r="O110" s="31">
        <f t="shared" si="24"/>
        <v>0</v>
      </c>
      <c r="P110" s="30"/>
      <c r="Q110" s="30"/>
      <c r="R110" s="30"/>
      <c r="S110" s="30"/>
      <c r="T110" s="29"/>
      <c r="U110" s="20"/>
      <c r="V110" s="28"/>
      <c r="W110" s="20"/>
      <c r="X110" s="27"/>
      <c r="Y110" s="26"/>
      <c r="Z110" s="25">
        <f t="shared" si="33"/>
        <v>0</v>
      </c>
      <c r="AA110" s="20">
        <f t="shared" si="28"/>
        <v>0</v>
      </c>
      <c r="AB110" s="24">
        <f t="shared" si="25"/>
        <v>0</v>
      </c>
      <c r="AC110" s="37"/>
      <c r="AD110" s="37"/>
      <c r="AE110" s="22"/>
      <c r="AF110" s="20"/>
      <c r="AG110" s="21"/>
      <c r="AH110" s="20"/>
      <c r="AI110" s="21"/>
      <c r="AJ110" s="20"/>
      <c r="AK110" s="20"/>
      <c r="AL110" s="20"/>
      <c r="AM110" s="19">
        <v>35000</v>
      </c>
      <c r="AN110" s="19">
        <v>30000</v>
      </c>
      <c r="AO110" s="19"/>
      <c r="AP110" s="19"/>
      <c r="AQ110" s="19"/>
      <c r="AR110" s="19">
        <f t="shared" si="29"/>
        <v>65000</v>
      </c>
      <c r="AS110" s="17">
        <f t="shared" si="30"/>
        <v>-65000</v>
      </c>
      <c r="AT110" s="17">
        <f t="shared" si="31"/>
        <v>-65000</v>
      </c>
      <c r="AU110" s="17">
        <f t="shared" si="32"/>
        <v>0</v>
      </c>
      <c r="AV110" s="17">
        <f t="shared" si="26"/>
        <v>-32500</v>
      </c>
      <c r="AW110" s="17">
        <f t="shared" si="27"/>
        <v>-29250</v>
      </c>
      <c r="AX110" s="18">
        <v>50000</v>
      </c>
      <c r="AY110" s="18"/>
      <c r="AZ110" s="17">
        <f t="shared" si="34"/>
        <v>-79250</v>
      </c>
      <c r="BA110" s="16"/>
      <c r="BB110" s="16"/>
      <c r="BC110" s="16"/>
    </row>
    <row r="111" spans="1:55" ht="16.899999999999999">
      <c r="A111" s="36">
        <v>110</v>
      </c>
      <c r="B111" s="35"/>
      <c r="C111" s="33"/>
      <c r="D111" s="33"/>
      <c r="E111" s="33"/>
      <c r="F111" s="33"/>
      <c r="G111" s="33" t="e">
        <f>"YB"&amp;RIGHT(#REF!,6)</f>
        <v>#REF!</v>
      </c>
      <c r="H111" s="33"/>
      <c r="I111" s="33"/>
      <c r="J111" s="33"/>
      <c r="K111" s="35"/>
      <c r="L111" s="34"/>
      <c r="M111" s="32"/>
      <c r="N111" s="32"/>
      <c r="O111" s="31">
        <f t="shared" si="24"/>
        <v>0</v>
      </c>
      <c r="P111" s="30"/>
      <c r="Q111" s="30"/>
      <c r="R111" s="30"/>
      <c r="S111" s="30"/>
      <c r="T111" s="29"/>
      <c r="U111" s="20"/>
      <c r="V111" s="28"/>
      <c r="W111" s="20"/>
      <c r="X111" s="27"/>
      <c r="Y111" s="26"/>
      <c r="Z111" s="25">
        <f t="shared" si="33"/>
        <v>0</v>
      </c>
      <c r="AA111" s="20">
        <f t="shared" si="28"/>
        <v>0</v>
      </c>
      <c r="AB111" s="24">
        <f t="shared" si="25"/>
        <v>0</v>
      </c>
      <c r="AC111" s="37"/>
      <c r="AD111" s="37"/>
      <c r="AE111" s="22"/>
      <c r="AF111" s="20"/>
      <c r="AG111" s="21"/>
      <c r="AH111" s="20"/>
      <c r="AI111" s="21"/>
      <c r="AJ111" s="20"/>
      <c r="AK111" s="20"/>
      <c r="AL111" s="20"/>
      <c r="AM111" s="19">
        <v>35000</v>
      </c>
      <c r="AN111" s="19">
        <v>30000</v>
      </c>
      <c r="AO111" s="19"/>
      <c r="AP111" s="19"/>
      <c r="AQ111" s="19"/>
      <c r="AR111" s="19">
        <f t="shared" si="29"/>
        <v>65000</v>
      </c>
      <c r="AS111" s="17">
        <f t="shared" si="30"/>
        <v>-65000</v>
      </c>
      <c r="AT111" s="17">
        <f t="shared" si="31"/>
        <v>-65000</v>
      </c>
      <c r="AU111" s="17">
        <f t="shared" si="32"/>
        <v>0</v>
      </c>
      <c r="AV111" s="17">
        <f t="shared" si="26"/>
        <v>-32500</v>
      </c>
      <c r="AW111" s="17">
        <f t="shared" si="27"/>
        <v>-29250</v>
      </c>
      <c r="AX111" s="18">
        <v>50000</v>
      </c>
      <c r="AY111" s="18"/>
      <c r="AZ111" s="17">
        <f t="shared" si="34"/>
        <v>-79250</v>
      </c>
      <c r="BA111" s="16"/>
      <c r="BB111" s="16"/>
      <c r="BC111" s="16"/>
    </row>
    <row r="112" spans="1:55" ht="16.899999999999999">
      <c r="A112" s="36">
        <v>111</v>
      </c>
      <c r="B112" s="35"/>
      <c r="C112" s="33"/>
      <c r="D112" s="33"/>
      <c r="E112" s="33"/>
      <c r="F112" s="33"/>
      <c r="G112" s="33" t="e">
        <f>"YB"&amp;RIGHT(#REF!,6)</f>
        <v>#REF!</v>
      </c>
      <c r="H112" s="33"/>
      <c r="I112" s="33"/>
      <c r="J112" s="33"/>
      <c r="K112" s="35"/>
      <c r="L112" s="34"/>
      <c r="M112" s="32"/>
      <c r="N112" s="32"/>
      <c r="O112" s="31">
        <f t="shared" si="24"/>
        <v>0</v>
      </c>
      <c r="P112" s="30"/>
      <c r="Q112" s="30"/>
      <c r="R112" s="30"/>
      <c r="S112" s="30"/>
      <c r="T112" s="29"/>
      <c r="U112" s="20"/>
      <c r="V112" s="28"/>
      <c r="W112" s="20"/>
      <c r="X112" s="27"/>
      <c r="Y112" s="26"/>
      <c r="Z112" s="25">
        <f t="shared" si="33"/>
        <v>0</v>
      </c>
      <c r="AA112" s="20">
        <f t="shared" si="28"/>
        <v>0</v>
      </c>
      <c r="AB112" s="24">
        <f t="shared" si="25"/>
        <v>0</v>
      </c>
      <c r="AC112" s="37"/>
      <c r="AD112" s="37"/>
      <c r="AE112" s="22"/>
      <c r="AF112" s="20"/>
      <c r="AG112" s="21"/>
      <c r="AH112" s="20"/>
      <c r="AI112" s="21"/>
      <c r="AJ112" s="20"/>
      <c r="AK112" s="20"/>
      <c r="AL112" s="20"/>
      <c r="AM112" s="19">
        <v>35000</v>
      </c>
      <c r="AN112" s="19">
        <v>30000</v>
      </c>
      <c r="AO112" s="19"/>
      <c r="AP112" s="19"/>
      <c r="AQ112" s="19"/>
      <c r="AR112" s="19">
        <f t="shared" si="29"/>
        <v>65000</v>
      </c>
      <c r="AS112" s="17">
        <f t="shared" si="30"/>
        <v>-65000</v>
      </c>
      <c r="AT112" s="17">
        <f t="shared" si="31"/>
        <v>-65000</v>
      </c>
      <c r="AU112" s="17">
        <f t="shared" si="32"/>
        <v>0</v>
      </c>
      <c r="AV112" s="17">
        <f t="shared" si="26"/>
        <v>-32500</v>
      </c>
      <c r="AW112" s="17">
        <f t="shared" si="27"/>
        <v>-29250</v>
      </c>
      <c r="AX112" s="18">
        <v>50000</v>
      </c>
      <c r="AY112" s="18"/>
      <c r="AZ112" s="17">
        <f t="shared" si="34"/>
        <v>-79250</v>
      </c>
      <c r="BA112" s="16"/>
      <c r="BB112" s="16"/>
      <c r="BC112" s="16"/>
    </row>
    <row r="113" spans="1:55" ht="16.899999999999999">
      <c r="A113" s="36">
        <v>112</v>
      </c>
      <c r="B113" s="35"/>
      <c r="C113" s="33"/>
      <c r="D113" s="33"/>
      <c r="E113" s="33"/>
      <c r="F113" s="33"/>
      <c r="G113" s="33"/>
      <c r="H113" s="33"/>
      <c r="I113" s="33"/>
      <c r="J113" s="33"/>
      <c r="K113" s="35"/>
      <c r="L113" s="34"/>
      <c r="M113" s="32"/>
      <c r="N113" s="32"/>
      <c r="O113" s="31">
        <f t="shared" si="24"/>
        <v>0</v>
      </c>
      <c r="P113" s="30"/>
      <c r="Q113" s="30"/>
      <c r="R113" s="30"/>
      <c r="S113" s="30"/>
      <c r="T113" s="29"/>
      <c r="U113" s="20"/>
      <c r="V113" s="28"/>
      <c r="W113" s="20"/>
      <c r="X113" s="27"/>
      <c r="Y113" s="26"/>
      <c r="Z113" s="25">
        <f t="shared" si="33"/>
        <v>0</v>
      </c>
      <c r="AA113" s="20">
        <f t="shared" si="28"/>
        <v>0</v>
      </c>
      <c r="AB113" s="24">
        <f t="shared" si="25"/>
        <v>0</v>
      </c>
      <c r="AC113" s="37"/>
      <c r="AD113" s="37"/>
      <c r="AE113" s="22"/>
      <c r="AF113" s="20"/>
      <c r="AG113" s="21"/>
      <c r="AH113" s="20"/>
      <c r="AI113" s="21"/>
      <c r="AJ113" s="20"/>
      <c r="AK113" s="20"/>
      <c r="AL113" s="20"/>
      <c r="AM113" s="19">
        <v>35000</v>
      </c>
      <c r="AN113" s="19">
        <v>30000</v>
      </c>
      <c r="AO113" s="19"/>
      <c r="AP113" s="19"/>
      <c r="AQ113" s="19"/>
      <c r="AR113" s="19">
        <f t="shared" si="29"/>
        <v>65000</v>
      </c>
      <c r="AS113" s="17">
        <f t="shared" si="30"/>
        <v>-65000</v>
      </c>
      <c r="AT113" s="17">
        <f t="shared" si="31"/>
        <v>-65000</v>
      </c>
      <c r="AU113" s="17">
        <f t="shared" si="32"/>
        <v>0</v>
      </c>
      <c r="AV113" s="17">
        <f t="shared" si="26"/>
        <v>-32500</v>
      </c>
      <c r="AW113" s="17">
        <f t="shared" si="27"/>
        <v>-29250</v>
      </c>
      <c r="AX113" s="18">
        <v>50000</v>
      </c>
      <c r="AY113" s="18"/>
      <c r="AZ113" s="17">
        <f t="shared" si="34"/>
        <v>-79250</v>
      </c>
      <c r="BA113" s="16"/>
      <c r="BB113" s="16"/>
      <c r="BC113" s="16"/>
    </row>
    <row r="114" spans="1:55" ht="16.899999999999999">
      <c r="A114" s="36">
        <v>113</v>
      </c>
      <c r="B114" s="35"/>
      <c r="C114" s="33"/>
      <c r="D114" s="33"/>
      <c r="E114" s="33"/>
      <c r="F114" s="33"/>
      <c r="G114" s="33"/>
      <c r="H114" s="33"/>
      <c r="I114" s="33"/>
      <c r="J114" s="33"/>
      <c r="K114" s="35"/>
      <c r="L114" s="34"/>
      <c r="M114" s="32"/>
      <c r="N114" s="32"/>
      <c r="O114" s="31">
        <f t="shared" si="24"/>
        <v>0</v>
      </c>
      <c r="P114" s="30"/>
      <c r="Q114" s="30"/>
      <c r="R114" s="30"/>
      <c r="S114" s="30"/>
      <c r="T114" s="29"/>
      <c r="U114" s="20"/>
      <c r="V114" s="28"/>
      <c r="W114" s="20"/>
      <c r="X114" s="27"/>
      <c r="Y114" s="26"/>
      <c r="Z114" s="25">
        <f t="shared" si="33"/>
        <v>0</v>
      </c>
      <c r="AA114" s="20">
        <f t="shared" si="28"/>
        <v>0</v>
      </c>
      <c r="AB114" s="24">
        <f t="shared" si="25"/>
        <v>0</v>
      </c>
      <c r="AC114" s="37"/>
      <c r="AD114" s="37"/>
      <c r="AE114" s="22"/>
      <c r="AF114" s="20"/>
      <c r="AG114" s="21"/>
      <c r="AH114" s="20"/>
      <c r="AI114" s="21"/>
      <c r="AJ114" s="20"/>
      <c r="AK114" s="20"/>
      <c r="AL114" s="20"/>
      <c r="AM114" s="19">
        <v>35000</v>
      </c>
      <c r="AN114" s="19">
        <v>30000</v>
      </c>
      <c r="AO114" s="19"/>
      <c r="AP114" s="19"/>
      <c r="AQ114" s="19"/>
      <c r="AR114" s="19">
        <f t="shared" si="29"/>
        <v>65000</v>
      </c>
      <c r="AS114" s="17">
        <f t="shared" si="30"/>
        <v>-65000</v>
      </c>
      <c r="AT114" s="17">
        <f t="shared" si="31"/>
        <v>-65000</v>
      </c>
      <c r="AU114" s="17">
        <f t="shared" si="32"/>
        <v>0</v>
      </c>
      <c r="AV114" s="17">
        <f t="shared" si="26"/>
        <v>-32500</v>
      </c>
      <c r="AW114" s="17">
        <f t="shared" si="27"/>
        <v>-29250</v>
      </c>
      <c r="AX114" s="18">
        <v>50000</v>
      </c>
      <c r="AY114" s="18"/>
      <c r="AZ114" s="17">
        <f t="shared" si="34"/>
        <v>-79250</v>
      </c>
      <c r="BA114" s="16"/>
      <c r="BB114" s="16"/>
      <c r="BC114" s="16"/>
    </row>
    <row r="115" spans="1:55" ht="16.899999999999999">
      <c r="A115" s="36">
        <v>114</v>
      </c>
      <c r="B115" s="35"/>
      <c r="C115" s="33"/>
      <c r="D115" s="33"/>
      <c r="E115" s="33"/>
      <c r="F115" s="33"/>
      <c r="G115" s="33"/>
      <c r="H115" s="33"/>
      <c r="I115" s="33"/>
      <c r="J115" s="33"/>
      <c r="K115" s="35"/>
      <c r="L115" s="34"/>
      <c r="M115" s="32"/>
      <c r="N115" s="32"/>
      <c r="O115" s="31">
        <f t="shared" si="24"/>
        <v>0</v>
      </c>
      <c r="P115" s="30"/>
      <c r="Q115" s="30"/>
      <c r="R115" s="30"/>
      <c r="S115" s="30"/>
      <c r="T115" s="29"/>
      <c r="U115" s="20"/>
      <c r="V115" s="28"/>
      <c r="W115" s="20"/>
      <c r="X115" s="27"/>
      <c r="Y115" s="26"/>
      <c r="Z115" s="25">
        <f t="shared" si="33"/>
        <v>0</v>
      </c>
      <c r="AA115" s="20">
        <f t="shared" si="28"/>
        <v>0</v>
      </c>
      <c r="AB115" s="24">
        <f t="shared" si="25"/>
        <v>0</v>
      </c>
      <c r="AC115" s="37"/>
      <c r="AD115" s="37"/>
      <c r="AE115" s="22"/>
      <c r="AF115" s="20"/>
      <c r="AG115" s="21"/>
      <c r="AH115" s="20"/>
      <c r="AI115" s="21"/>
      <c r="AJ115" s="20"/>
      <c r="AK115" s="20"/>
      <c r="AL115" s="20"/>
      <c r="AM115" s="19">
        <v>35000</v>
      </c>
      <c r="AN115" s="19">
        <v>30000</v>
      </c>
      <c r="AO115" s="19"/>
      <c r="AP115" s="19"/>
      <c r="AQ115" s="19"/>
      <c r="AR115" s="19">
        <f t="shared" si="29"/>
        <v>65000</v>
      </c>
      <c r="AS115" s="17">
        <f t="shared" si="30"/>
        <v>-65000</v>
      </c>
      <c r="AT115" s="17">
        <f t="shared" si="31"/>
        <v>-65000</v>
      </c>
      <c r="AU115" s="17">
        <f t="shared" si="32"/>
        <v>0</v>
      </c>
      <c r="AV115" s="17">
        <f t="shared" si="26"/>
        <v>-32500</v>
      </c>
      <c r="AW115" s="17">
        <f t="shared" si="27"/>
        <v>-29250</v>
      </c>
      <c r="AX115" s="18">
        <v>50000</v>
      </c>
      <c r="AY115" s="18"/>
      <c r="AZ115" s="17">
        <f t="shared" si="34"/>
        <v>-79250</v>
      </c>
      <c r="BA115" s="16"/>
      <c r="BB115" s="16"/>
      <c r="BC115" s="16"/>
    </row>
    <row r="116" spans="1:55" ht="16.899999999999999">
      <c r="A116" s="36">
        <v>115</v>
      </c>
      <c r="B116" s="35"/>
      <c r="C116" s="33"/>
      <c r="D116" s="33"/>
      <c r="E116" s="33"/>
      <c r="F116" s="33"/>
      <c r="G116" s="33"/>
      <c r="H116" s="33"/>
      <c r="I116" s="33"/>
      <c r="J116" s="33"/>
      <c r="K116" s="35"/>
      <c r="L116" s="34"/>
      <c r="M116" s="32"/>
      <c r="N116" s="32"/>
      <c r="O116" s="31">
        <f t="shared" si="24"/>
        <v>0</v>
      </c>
      <c r="P116" s="30"/>
      <c r="Q116" s="30"/>
      <c r="R116" s="30"/>
      <c r="S116" s="30"/>
      <c r="T116" s="29"/>
      <c r="U116" s="20"/>
      <c r="V116" s="28"/>
      <c r="W116" s="20"/>
      <c r="X116" s="27"/>
      <c r="Y116" s="26"/>
      <c r="Z116" s="25">
        <f t="shared" si="33"/>
        <v>0</v>
      </c>
      <c r="AA116" s="20">
        <f t="shared" si="28"/>
        <v>0</v>
      </c>
      <c r="AB116" s="24">
        <f t="shared" si="25"/>
        <v>0</v>
      </c>
      <c r="AC116" s="37"/>
      <c r="AD116" s="37"/>
      <c r="AE116" s="22"/>
      <c r="AF116" s="20"/>
      <c r="AG116" s="21"/>
      <c r="AH116" s="20"/>
      <c r="AI116" s="21"/>
      <c r="AJ116" s="20"/>
      <c r="AK116" s="20"/>
      <c r="AL116" s="20"/>
      <c r="AM116" s="19">
        <v>35000</v>
      </c>
      <c r="AN116" s="19">
        <v>30000</v>
      </c>
      <c r="AO116" s="19"/>
      <c r="AP116" s="19"/>
      <c r="AQ116" s="19"/>
      <c r="AR116" s="19">
        <f t="shared" si="29"/>
        <v>65000</v>
      </c>
      <c r="AS116" s="17">
        <f t="shared" si="30"/>
        <v>-65000</v>
      </c>
      <c r="AT116" s="17">
        <f t="shared" si="31"/>
        <v>-65000</v>
      </c>
      <c r="AU116" s="17">
        <f t="shared" si="32"/>
        <v>0</v>
      </c>
      <c r="AV116" s="17">
        <f t="shared" si="26"/>
        <v>-32500</v>
      </c>
      <c r="AW116" s="17">
        <f t="shared" si="27"/>
        <v>-29250</v>
      </c>
      <c r="AX116" s="18">
        <v>50000</v>
      </c>
      <c r="AY116" s="18"/>
      <c r="AZ116" s="17">
        <f t="shared" si="34"/>
        <v>-79250</v>
      </c>
      <c r="BA116" s="16"/>
      <c r="BB116" s="16"/>
      <c r="BC116" s="16"/>
    </row>
    <row r="117" spans="1:55" ht="16.899999999999999">
      <c r="A117" s="36">
        <v>116</v>
      </c>
      <c r="B117" s="35"/>
      <c r="C117" s="33"/>
      <c r="D117" s="33"/>
      <c r="E117" s="33"/>
      <c r="F117" s="33"/>
      <c r="G117" s="33"/>
      <c r="H117" s="33"/>
      <c r="I117" s="33"/>
      <c r="J117" s="33"/>
      <c r="K117" s="35"/>
      <c r="L117" s="34"/>
      <c r="M117" s="32"/>
      <c r="N117" s="32"/>
      <c r="O117" s="31">
        <f t="shared" si="24"/>
        <v>0</v>
      </c>
      <c r="P117" s="30"/>
      <c r="Q117" s="30"/>
      <c r="R117" s="30"/>
      <c r="S117" s="30"/>
      <c r="T117" s="29"/>
      <c r="U117" s="20"/>
      <c r="V117" s="28"/>
      <c r="W117" s="20"/>
      <c r="X117" s="27"/>
      <c r="Y117" s="26"/>
      <c r="Z117" s="25">
        <f t="shared" si="33"/>
        <v>0</v>
      </c>
      <c r="AA117" s="20">
        <f t="shared" si="28"/>
        <v>0</v>
      </c>
      <c r="AB117" s="24">
        <f t="shared" si="25"/>
        <v>0</v>
      </c>
      <c r="AC117" s="37"/>
      <c r="AD117" s="37"/>
      <c r="AE117" s="22"/>
      <c r="AF117" s="20"/>
      <c r="AG117" s="21"/>
      <c r="AH117" s="20"/>
      <c r="AI117" s="21"/>
      <c r="AJ117" s="20"/>
      <c r="AK117" s="20"/>
      <c r="AL117" s="20"/>
      <c r="AM117" s="19">
        <v>35000</v>
      </c>
      <c r="AN117" s="19">
        <v>30000</v>
      </c>
      <c r="AO117" s="19"/>
      <c r="AP117" s="19"/>
      <c r="AQ117" s="19"/>
      <c r="AR117" s="19">
        <f t="shared" si="29"/>
        <v>65000</v>
      </c>
      <c r="AS117" s="17">
        <f t="shared" si="30"/>
        <v>-65000</v>
      </c>
      <c r="AT117" s="17">
        <f t="shared" si="31"/>
        <v>-65000</v>
      </c>
      <c r="AU117" s="17">
        <f t="shared" si="32"/>
        <v>0</v>
      </c>
      <c r="AV117" s="17">
        <f t="shared" si="26"/>
        <v>-32500</v>
      </c>
      <c r="AW117" s="17">
        <f t="shared" si="27"/>
        <v>-29250</v>
      </c>
      <c r="AX117" s="18">
        <v>50000</v>
      </c>
      <c r="AY117" s="18"/>
      <c r="AZ117" s="17">
        <f t="shared" si="34"/>
        <v>-79250</v>
      </c>
      <c r="BA117" s="16"/>
      <c r="BB117" s="16"/>
      <c r="BC117" s="16"/>
    </row>
    <row r="118" spans="1:55" ht="16.899999999999999">
      <c r="A118" s="36">
        <v>117</v>
      </c>
      <c r="B118" s="35"/>
      <c r="C118" s="33"/>
      <c r="D118" s="33"/>
      <c r="E118" s="33"/>
      <c r="F118" s="33"/>
      <c r="G118" s="33"/>
      <c r="H118" s="33"/>
      <c r="I118" s="33"/>
      <c r="J118" s="33"/>
      <c r="K118" s="35"/>
      <c r="L118" s="34"/>
      <c r="M118" s="32"/>
      <c r="N118" s="32"/>
      <c r="O118" s="31">
        <f t="shared" si="24"/>
        <v>0</v>
      </c>
      <c r="P118" s="30"/>
      <c r="Q118" s="30"/>
      <c r="R118" s="30"/>
      <c r="S118" s="30"/>
      <c r="T118" s="29"/>
      <c r="U118" s="20"/>
      <c r="V118" s="28"/>
      <c r="W118" s="20"/>
      <c r="X118" s="27"/>
      <c r="Y118" s="26"/>
      <c r="Z118" s="25">
        <f t="shared" si="33"/>
        <v>0</v>
      </c>
      <c r="AA118" s="20">
        <f t="shared" si="28"/>
        <v>0</v>
      </c>
      <c r="AB118" s="24">
        <f t="shared" si="25"/>
        <v>0</v>
      </c>
      <c r="AC118" s="37"/>
      <c r="AD118" s="37"/>
      <c r="AE118" s="22"/>
      <c r="AF118" s="20"/>
      <c r="AG118" s="21"/>
      <c r="AH118" s="20"/>
      <c r="AI118" s="21"/>
      <c r="AJ118" s="20"/>
      <c r="AK118" s="20"/>
      <c r="AL118" s="20"/>
      <c r="AM118" s="19">
        <v>35000</v>
      </c>
      <c r="AN118" s="19">
        <v>30000</v>
      </c>
      <c r="AO118" s="19"/>
      <c r="AP118" s="19"/>
      <c r="AQ118" s="19"/>
      <c r="AR118" s="19">
        <f t="shared" si="29"/>
        <v>65000</v>
      </c>
      <c r="AS118" s="17">
        <f t="shared" si="30"/>
        <v>-65000</v>
      </c>
      <c r="AT118" s="17">
        <f t="shared" si="31"/>
        <v>-65000</v>
      </c>
      <c r="AU118" s="17">
        <f t="shared" si="32"/>
        <v>0</v>
      </c>
      <c r="AV118" s="17">
        <f t="shared" si="26"/>
        <v>-32500</v>
      </c>
      <c r="AW118" s="17">
        <f t="shared" si="27"/>
        <v>-29250</v>
      </c>
      <c r="AX118" s="18">
        <v>50000</v>
      </c>
      <c r="AY118" s="18"/>
      <c r="AZ118" s="17">
        <f t="shared" si="34"/>
        <v>-79250</v>
      </c>
      <c r="BA118" s="16"/>
      <c r="BB118" s="16"/>
      <c r="BC118" s="16"/>
    </row>
    <row r="119" spans="1:55" ht="16.899999999999999">
      <c r="A119" s="36">
        <v>118</v>
      </c>
      <c r="B119" s="35"/>
      <c r="C119" s="33"/>
      <c r="D119" s="33"/>
      <c r="E119" s="33"/>
      <c r="F119" s="33"/>
      <c r="G119" s="33"/>
      <c r="H119" s="33"/>
      <c r="I119" s="33"/>
      <c r="J119" s="33"/>
      <c r="K119" s="35"/>
      <c r="L119" s="34"/>
      <c r="M119" s="32"/>
      <c r="N119" s="32"/>
      <c r="O119" s="31">
        <f t="shared" si="24"/>
        <v>0</v>
      </c>
      <c r="P119" s="30"/>
      <c r="Q119" s="30"/>
      <c r="R119" s="30"/>
      <c r="S119" s="30"/>
      <c r="T119" s="29"/>
      <c r="U119" s="20"/>
      <c r="V119" s="28"/>
      <c r="W119" s="20"/>
      <c r="X119" s="27"/>
      <c r="Y119" s="26"/>
      <c r="Z119" s="25">
        <f t="shared" si="33"/>
        <v>0</v>
      </c>
      <c r="AA119" s="20">
        <f t="shared" si="28"/>
        <v>0</v>
      </c>
      <c r="AB119" s="24">
        <f t="shared" si="25"/>
        <v>0</v>
      </c>
      <c r="AC119" s="37"/>
      <c r="AD119" s="37"/>
      <c r="AE119" s="22"/>
      <c r="AF119" s="20"/>
      <c r="AG119" s="21"/>
      <c r="AH119" s="20"/>
      <c r="AI119" s="21"/>
      <c r="AJ119" s="20"/>
      <c r="AK119" s="20"/>
      <c r="AL119" s="20"/>
      <c r="AM119" s="19">
        <v>35000</v>
      </c>
      <c r="AN119" s="19">
        <v>30000</v>
      </c>
      <c r="AO119" s="19"/>
      <c r="AP119" s="19"/>
      <c r="AQ119" s="19"/>
      <c r="AR119" s="19">
        <f t="shared" si="29"/>
        <v>65000</v>
      </c>
      <c r="AS119" s="17">
        <f t="shared" si="30"/>
        <v>-65000</v>
      </c>
      <c r="AT119" s="17">
        <f t="shared" si="31"/>
        <v>-65000</v>
      </c>
      <c r="AU119" s="17">
        <f t="shared" si="32"/>
        <v>0</v>
      </c>
      <c r="AV119" s="17">
        <f t="shared" si="26"/>
        <v>-32500</v>
      </c>
      <c r="AW119" s="17">
        <f t="shared" si="27"/>
        <v>-29250</v>
      </c>
      <c r="AX119" s="18">
        <v>50000</v>
      </c>
      <c r="AY119" s="18"/>
      <c r="AZ119" s="17">
        <f t="shared" si="34"/>
        <v>-79250</v>
      </c>
      <c r="BA119" s="16"/>
      <c r="BB119" s="16"/>
      <c r="BC119" s="16"/>
    </row>
    <row r="120" spans="1:55" ht="16.899999999999999">
      <c r="A120" s="36">
        <v>119</v>
      </c>
      <c r="B120" s="35"/>
      <c r="C120" s="33"/>
      <c r="D120" s="33"/>
      <c r="E120" s="33"/>
      <c r="F120" s="33"/>
      <c r="G120" s="33"/>
      <c r="H120" s="33"/>
      <c r="I120" s="33"/>
      <c r="J120" s="33"/>
      <c r="K120" s="35"/>
      <c r="L120" s="34"/>
      <c r="M120" s="32"/>
      <c r="N120" s="32"/>
      <c r="O120" s="31">
        <f t="shared" si="24"/>
        <v>0</v>
      </c>
      <c r="P120" s="30"/>
      <c r="Q120" s="30"/>
      <c r="R120" s="30"/>
      <c r="S120" s="30"/>
      <c r="T120" s="29"/>
      <c r="U120" s="20"/>
      <c r="V120" s="28"/>
      <c r="W120" s="20"/>
      <c r="X120" s="27"/>
      <c r="Y120" s="26"/>
      <c r="Z120" s="25">
        <f t="shared" si="33"/>
        <v>0</v>
      </c>
      <c r="AA120" s="20">
        <f t="shared" si="28"/>
        <v>0</v>
      </c>
      <c r="AB120" s="24">
        <f t="shared" si="25"/>
        <v>0</v>
      </c>
      <c r="AC120" s="37"/>
      <c r="AD120" s="37"/>
      <c r="AE120" s="22"/>
      <c r="AF120" s="20"/>
      <c r="AG120" s="21"/>
      <c r="AH120" s="20"/>
      <c r="AI120" s="21"/>
      <c r="AJ120" s="20"/>
      <c r="AK120" s="20"/>
      <c r="AL120" s="20"/>
      <c r="AM120" s="19">
        <v>35000</v>
      </c>
      <c r="AN120" s="19">
        <v>30000</v>
      </c>
      <c r="AO120" s="19"/>
      <c r="AP120" s="19"/>
      <c r="AQ120" s="19"/>
      <c r="AR120" s="19">
        <f t="shared" si="29"/>
        <v>65000</v>
      </c>
      <c r="AS120" s="17">
        <f t="shared" si="30"/>
        <v>-65000</v>
      </c>
      <c r="AT120" s="17">
        <f t="shared" si="31"/>
        <v>-65000</v>
      </c>
      <c r="AU120" s="17">
        <f t="shared" si="32"/>
        <v>0</v>
      </c>
      <c r="AV120" s="17">
        <f t="shared" si="26"/>
        <v>-32500</v>
      </c>
      <c r="AW120" s="17">
        <f t="shared" si="27"/>
        <v>-29250</v>
      </c>
      <c r="AX120" s="18">
        <v>50000</v>
      </c>
      <c r="AY120" s="18"/>
      <c r="AZ120" s="17">
        <f t="shared" si="34"/>
        <v>-79250</v>
      </c>
      <c r="BA120" s="16"/>
      <c r="BB120" s="16"/>
      <c r="BC120" s="16"/>
    </row>
    <row r="121" spans="1:55" ht="16.899999999999999">
      <c r="A121" s="36">
        <v>120</v>
      </c>
      <c r="B121" s="35"/>
      <c r="C121" s="33"/>
      <c r="D121" s="33"/>
      <c r="E121" s="33"/>
      <c r="F121" s="33"/>
      <c r="G121" s="33"/>
      <c r="H121" s="33"/>
      <c r="I121" s="33"/>
      <c r="J121" s="33"/>
      <c r="K121" s="35"/>
      <c r="L121" s="34"/>
      <c r="M121" s="32"/>
      <c r="N121" s="32"/>
      <c r="O121" s="31">
        <f t="shared" si="24"/>
        <v>0</v>
      </c>
      <c r="P121" s="30"/>
      <c r="Q121" s="30"/>
      <c r="R121" s="30"/>
      <c r="S121" s="30"/>
      <c r="T121" s="29"/>
      <c r="U121" s="20"/>
      <c r="V121" s="28"/>
      <c r="W121" s="20"/>
      <c r="X121" s="27"/>
      <c r="Y121" s="26"/>
      <c r="Z121" s="25">
        <f t="shared" si="33"/>
        <v>0</v>
      </c>
      <c r="AA121" s="20">
        <f t="shared" si="28"/>
        <v>0</v>
      </c>
      <c r="AB121" s="24">
        <f t="shared" si="25"/>
        <v>0</v>
      </c>
      <c r="AC121" s="37"/>
      <c r="AD121" s="37"/>
      <c r="AE121" s="22"/>
      <c r="AF121" s="20"/>
      <c r="AG121" s="21"/>
      <c r="AH121" s="20"/>
      <c r="AI121" s="21"/>
      <c r="AJ121" s="20"/>
      <c r="AK121" s="20"/>
      <c r="AL121" s="20"/>
      <c r="AM121" s="19">
        <v>35000</v>
      </c>
      <c r="AN121" s="19">
        <v>30000</v>
      </c>
      <c r="AO121" s="19"/>
      <c r="AP121" s="19"/>
      <c r="AQ121" s="19"/>
      <c r="AR121" s="19">
        <f t="shared" si="29"/>
        <v>65000</v>
      </c>
      <c r="AS121" s="17">
        <f t="shared" si="30"/>
        <v>-65000</v>
      </c>
      <c r="AT121" s="17">
        <f t="shared" si="31"/>
        <v>-65000</v>
      </c>
      <c r="AU121" s="17">
        <f t="shared" si="32"/>
        <v>0</v>
      </c>
      <c r="AV121" s="17">
        <f t="shared" si="26"/>
        <v>-32500</v>
      </c>
      <c r="AW121" s="17">
        <f t="shared" si="27"/>
        <v>-29250</v>
      </c>
      <c r="AX121" s="18">
        <v>50000</v>
      </c>
      <c r="AY121" s="18"/>
      <c r="AZ121" s="17">
        <f t="shared" si="34"/>
        <v>-79250</v>
      </c>
      <c r="BA121" s="16"/>
      <c r="BB121" s="16"/>
      <c r="BC121" s="16"/>
    </row>
    <row r="122" spans="1:55" ht="16.5" customHeight="1">
      <c r="A122" s="36">
        <v>121</v>
      </c>
      <c r="B122" s="35"/>
      <c r="C122" s="33"/>
      <c r="D122" s="33"/>
      <c r="E122" s="33"/>
      <c r="F122" s="33"/>
      <c r="G122" s="33"/>
      <c r="H122" s="33"/>
      <c r="I122" s="33"/>
      <c r="J122" s="33"/>
      <c r="K122" s="35"/>
      <c r="L122" s="34"/>
      <c r="M122" s="32"/>
      <c r="N122" s="32"/>
      <c r="O122" s="31">
        <f t="shared" si="24"/>
        <v>0</v>
      </c>
      <c r="P122" s="30"/>
      <c r="Q122" s="30"/>
      <c r="R122" s="30"/>
      <c r="S122" s="30"/>
      <c r="T122" s="29"/>
      <c r="U122" s="20"/>
      <c r="V122" s="28"/>
      <c r="W122" s="20"/>
      <c r="X122" s="27"/>
      <c r="Y122" s="26"/>
      <c r="Z122" s="25">
        <f t="shared" si="33"/>
        <v>0</v>
      </c>
      <c r="AA122" s="20">
        <f t="shared" si="28"/>
        <v>0</v>
      </c>
      <c r="AB122" s="24">
        <f t="shared" si="25"/>
        <v>0</v>
      </c>
      <c r="AC122" s="37"/>
      <c r="AD122" s="37"/>
      <c r="AE122" s="22"/>
      <c r="AF122" s="20"/>
      <c r="AG122" s="21"/>
      <c r="AH122" s="20"/>
      <c r="AI122" s="21"/>
      <c r="AJ122" s="20"/>
      <c r="AK122" s="20"/>
      <c r="AL122" s="20"/>
      <c r="AM122" s="19">
        <v>35000</v>
      </c>
      <c r="AN122" s="19">
        <v>30000</v>
      </c>
      <c r="AO122" s="19"/>
      <c r="AP122" s="19"/>
      <c r="AQ122" s="19"/>
      <c r="AR122" s="19">
        <f t="shared" si="29"/>
        <v>65000</v>
      </c>
      <c r="AS122" s="17">
        <f t="shared" si="30"/>
        <v>-65000</v>
      </c>
      <c r="AT122" s="17">
        <f t="shared" si="31"/>
        <v>-65000</v>
      </c>
      <c r="AU122" s="17">
        <f t="shared" si="32"/>
        <v>0</v>
      </c>
      <c r="AV122" s="17">
        <f t="shared" si="26"/>
        <v>-32500</v>
      </c>
      <c r="AW122" s="17">
        <f t="shared" si="27"/>
        <v>-29250</v>
      </c>
      <c r="AX122" s="18">
        <v>50000</v>
      </c>
      <c r="AY122" s="18"/>
      <c r="AZ122" s="17">
        <f t="shared" si="34"/>
        <v>-79250</v>
      </c>
      <c r="BA122" s="16"/>
      <c r="BB122" s="16"/>
      <c r="BC122" s="16"/>
    </row>
    <row r="123" spans="1:55" ht="16.899999999999999">
      <c r="A123" s="36">
        <v>122</v>
      </c>
      <c r="B123" s="35"/>
      <c r="C123" s="33"/>
      <c r="D123" s="33"/>
      <c r="E123" s="33"/>
      <c r="F123" s="33"/>
      <c r="G123" s="33"/>
      <c r="H123" s="33"/>
      <c r="I123" s="33"/>
      <c r="J123" s="33"/>
      <c r="K123" s="35"/>
      <c r="L123" s="34"/>
      <c r="M123" s="32"/>
      <c r="N123" s="32"/>
      <c r="O123" s="31">
        <f t="shared" si="24"/>
        <v>0</v>
      </c>
      <c r="P123" s="30"/>
      <c r="Q123" s="30"/>
      <c r="R123" s="30"/>
      <c r="S123" s="30"/>
      <c r="T123" s="29"/>
      <c r="U123" s="20"/>
      <c r="V123" s="28"/>
      <c r="W123" s="20"/>
      <c r="X123" s="27"/>
      <c r="Y123" s="26"/>
      <c r="Z123" s="25">
        <f t="shared" si="33"/>
        <v>0</v>
      </c>
      <c r="AA123" s="20">
        <f t="shared" si="28"/>
        <v>0</v>
      </c>
      <c r="AB123" s="24">
        <f t="shared" si="25"/>
        <v>0</v>
      </c>
      <c r="AC123" s="37"/>
      <c r="AD123" s="37"/>
      <c r="AE123" s="22"/>
      <c r="AF123" s="20"/>
      <c r="AG123" s="21"/>
      <c r="AH123" s="20"/>
      <c r="AI123" s="21"/>
      <c r="AJ123" s="20"/>
      <c r="AK123" s="20"/>
      <c r="AL123" s="20"/>
      <c r="AM123" s="19">
        <v>35000</v>
      </c>
      <c r="AN123" s="19">
        <v>30000</v>
      </c>
      <c r="AO123" s="19"/>
      <c r="AP123" s="19"/>
      <c r="AQ123" s="19"/>
      <c r="AR123" s="19">
        <f t="shared" si="29"/>
        <v>65000</v>
      </c>
      <c r="AS123" s="17">
        <f t="shared" si="30"/>
        <v>-65000</v>
      </c>
      <c r="AT123" s="17">
        <f t="shared" si="31"/>
        <v>-65000</v>
      </c>
      <c r="AU123" s="17">
        <f t="shared" si="32"/>
        <v>0</v>
      </c>
      <c r="AV123" s="17">
        <f t="shared" si="26"/>
        <v>-32500</v>
      </c>
      <c r="AW123" s="17">
        <f t="shared" si="27"/>
        <v>-29250</v>
      </c>
      <c r="AX123" s="18">
        <v>50000</v>
      </c>
      <c r="AY123" s="18"/>
      <c r="AZ123" s="17">
        <f t="shared" si="34"/>
        <v>-79250</v>
      </c>
      <c r="BA123" s="16"/>
      <c r="BB123" s="16"/>
      <c r="BC123" s="16"/>
    </row>
    <row r="124" spans="1:55" ht="16.899999999999999">
      <c r="A124" s="36">
        <v>123</v>
      </c>
      <c r="B124" s="35"/>
      <c r="C124" s="33"/>
      <c r="D124" s="33"/>
      <c r="E124" s="33"/>
      <c r="F124" s="33"/>
      <c r="G124" s="33"/>
      <c r="H124" s="33"/>
      <c r="I124" s="33"/>
      <c r="J124" s="33"/>
      <c r="K124" s="35"/>
      <c r="L124" s="34"/>
      <c r="M124" s="32"/>
      <c r="N124" s="32"/>
      <c r="O124" s="31">
        <f t="shared" ref="O124:O187" si="35">M124+N124</f>
        <v>0</v>
      </c>
      <c r="P124" s="30"/>
      <c r="Q124" s="30"/>
      <c r="R124" s="30"/>
      <c r="S124" s="30"/>
      <c r="T124" s="29"/>
      <c r="U124" s="20"/>
      <c r="V124" s="28"/>
      <c r="W124" s="20"/>
      <c r="X124" s="27"/>
      <c r="Y124" s="26"/>
      <c r="Z124" s="25">
        <f t="shared" si="33"/>
        <v>0</v>
      </c>
      <c r="AA124" s="20">
        <f t="shared" si="28"/>
        <v>0</v>
      </c>
      <c r="AB124" s="24">
        <f t="shared" ref="AB124:AB187" si="36">SUM(AA124-Z124)</f>
        <v>0</v>
      </c>
      <c r="AC124" s="37"/>
      <c r="AD124" s="37"/>
      <c r="AE124" s="22"/>
      <c r="AF124" s="20"/>
      <c r="AG124" s="21"/>
      <c r="AH124" s="20"/>
      <c r="AI124" s="21"/>
      <c r="AJ124" s="20"/>
      <c r="AK124" s="20"/>
      <c r="AL124" s="20"/>
      <c r="AM124" s="19">
        <v>35000</v>
      </c>
      <c r="AN124" s="19">
        <v>30000</v>
      </c>
      <c r="AO124" s="19"/>
      <c r="AP124" s="19"/>
      <c r="AQ124" s="19"/>
      <c r="AR124" s="19">
        <f t="shared" si="29"/>
        <v>65000</v>
      </c>
      <c r="AS124" s="17">
        <f t="shared" si="30"/>
        <v>-65000</v>
      </c>
      <c r="AT124" s="17">
        <f t="shared" si="31"/>
        <v>-65000</v>
      </c>
      <c r="AU124" s="17">
        <f t="shared" si="32"/>
        <v>0</v>
      </c>
      <c r="AV124" s="17">
        <f t="shared" ref="AV124:AV187" si="37">SUM(AT124:AU124)/2</f>
        <v>-32500</v>
      </c>
      <c r="AW124" s="17">
        <f t="shared" ref="AW124:AW187" si="38">AV124-(AV124*10%)</f>
        <v>-29250</v>
      </c>
      <c r="AX124" s="18">
        <v>50000</v>
      </c>
      <c r="AY124" s="18"/>
      <c r="AZ124" s="17">
        <f t="shared" si="34"/>
        <v>-79250</v>
      </c>
      <c r="BA124" s="16"/>
      <c r="BB124" s="16"/>
      <c r="BC124" s="16"/>
    </row>
    <row r="125" spans="1:55" s="6" customFormat="1" ht="16.899999999999999">
      <c r="A125" s="36">
        <v>124</v>
      </c>
      <c r="B125" s="35"/>
      <c r="C125" s="33"/>
      <c r="D125" s="33"/>
      <c r="E125" s="33"/>
      <c r="F125" s="33"/>
      <c r="G125" s="33"/>
      <c r="H125" s="33"/>
      <c r="I125" s="33"/>
      <c r="J125" s="33"/>
      <c r="K125" s="35"/>
      <c r="L125" s="34"/>
      <c r="M125" s="32"/>
      <c r="N125" s="32"/>
      <c r="O125" s="31">
        <f t="shared" si="35"/>
        <v>0</v>
      </c>
      <c r="P125" s="30"/>
      <c r="Q125" s="30"/>
      <c r="R125" s="30"/>
      <c r="S125" s="30"/>
      <c r="T125" s="29"/>
      <c r="U125" s="20"/>
      <c r="V125" s="28"/>
      <c r="W125" s="20"/>
      <c r="X125" s="27"/>
      <c r="Y125" s="26"/>
      <c r="Z125" s="25">
        <f t="shared" si="33"/>
        <v>0</v>
      </c>
      <c r="AA125" s="20">
        <f t="shared" si="28"/>
        <v>0</v>
      </c>
      <c r="AB125" s="24">
        <f t="shared" si="36"/>
        <v>0</v>
      </c>
      <c r="AC125" s="37"/>
      <c r="AD125" s="37"/>
      <c r="AE125" s="22"/>
      <c r="AF125" s="20"/>
      <c r="AG125" s="21"/>
      <c r="AH125" s="20"/>
      <c r="AI125" s="21"/>
      <c r="AJ125" s="20"/>
      <c r="AK125" s="20"/>
      <c r="AL125" s="20"/>
      <c r="AM125" s="19">
        <v>35000</v>
      </c>
      <c r="AN125" s="19">
        <v>30000</v>
      </c>
      <c r="AO125" s="19"/>
      <c r="AP125" s="19"/>
      <c r="AQ125" s="19"/>
      <c r="AR125" s="19">
        <f t="shared" si="29"/>
        <v>65000</v>
      </c>
      <c r="AS125" s="17">
        <f t="shared" si="30"/>
        <v>-65000</v>
      </c>
      <c r="AT125" s="17">
        <f t="shared" si="31"/>
        <v>-65000</v>
      </c>
      <c r="AU125" s="17">
        <f t="shared" si="32"/>
        <v>0</v>
      </c>
      <c r="AV125" s="17">
        <f t="shared" si="37"/>
        <v>-32500</v>
      </c>
      <c r="AW125" s="17">
        <f t="shared" si="38"/>
        <v>-29250</v>
      </c>
      <c r="AX125" s="18">
        <v>50000</v>
      </c>
      <c r="AY125" s="18"/>
      <c r="AZ125" s="17">
        <f t="shared" si="34"/>
        <v>-79250</v>
      </c>
      <c r="BA125" s="16"/>
      <c r="BB125" s="15"/>
      <c r="BC125" s="15"/>
    </row>
    <row r="126" spans="1:55" s="6" customFormat="1" ht="16.899999999999999">
      <c r="A126" s="36">
        <v>125</v>
      </c>
      <c r="B126" s="35"/>
      <c r="C126" s="33"/>
      <c r="D126" s="33"/>
      <c r="E126" s="33"/>
      <c r="F126" s="33"/>
      <c r="G126" s="33"/>
      <c r="H126" s="33"/>
      <c r="I126" s="33"/>
      <c r="J126" s="33"/>
      <c r="K126" s="35"/>
      <c r="L126" s="34"/>
      <c r="M126" s="32"/>
      <c r="N126" s="32"/>
      <c r="O126" s="31">
        <f t="shared" si="35"/>
        <v>0</v>
      </c>
      <c r="P126" s="30"/>
      <c r="Q126" s="30"/>
      <c r="R126" s="30"/>
      <c r="S126" s="30"/>
      <c r="T126" s="29"/>
      <c r="U126" s="20"/>
      <c r="V126" s="28"/>
      <c r="W126" s="20"/>
      <c r="X126" s="27"/>
      <c r="Y126" s="26"/>
      <c r="Z126" s="25">
        <f t="shared" si="33"/>
        <v>0</v>
      </c>
      <c r="AA126" s="20">
        <f t="shared" si="28"/>
        <v>0</v>
      </c>
      <c r="AB126" s="24">
        <f t="shared" si="36"/>
        <v>0</v>
      </c>
      <c r="AC126" s="37"/>
      <c r="AD126" s="37"/>
      <c r="AE126" s="22"/>
      <c r="AF126" s="20"/>
      <c r="AG126" s="21"/>
      <c r="AH126" s="20"/>
      <c r="AI126" s="21"/>
      <c r="AJ126" s="20"/>
      <c r="AK126" s="20"/>
      <c r="AL126" s="20"/>
      <c r="AM126" s="19">
        <v>35000</v>
      </c>
      <c r="AN126" s="19">
        <v>30000</v>
      </c>
      <c r="AO126" s="19"/>
      <c r="AP126" s="19"/>
      <c r="AQ126" s="19"/>
      <c r="AR126" s="19">
        <f t="shared" si="29"/>
        <v>65000</v>
      </c>
      <c r="AS126" s="17">
        <f t="shared" si="30"/>
        <v>-65000</v>
      </c>
      <c r="AT126" s="17">
        <f t="shared" si="31"/>
        <v>-65000</v>
      </c>
      <c r="AU126" s="17">
        <f t="shared" si="32"/>
        <v>0</v>
      </c>
      <c r="AV126" s="17">
        <f t="shared" si="37"/>
        <v>-32500</v>
      </c>
      <c r="AW126" s="17">
        <f t="shared" si="38"/>
        <v>-29250</v>
      </c>
      <c r="AX126" s="18">
        <v>50000</v>
      </c>
      <c r="AY126" s="18"/>
      <c r="AZ126" s="17">
        <f t="shared" si="34"/>
        <v>-79250</v>
      </c>
      <c r="BA126" s="16"/>
      <c r="BB126" s="15"/>
      <c r="BC126" s="15"/>
    </row>
    <row r="127" spans="1:55" s="6" customFormat="1" ht="16.899999999999999">
      <c r="A127" s="36">
        <v>126</v>
      </c>
      <c r="B127" s="35"/>
      <c r="C127" s="33"/>
      <c r="D127" s="33"/>
      <c r="E127" s="33"/>
      <c r="F127" s="33"/>
      <c r="G127" s="33"/>
      <c r="H127" s="33"/>
      <c r="I127" s="33"/>
      <c r="J127" s="33"/>
      <c r="K127" s="35"/>
      <c r="L127" s="34"/>
      <c r="M127" s="32"/>
      <c r="N127" s="32"/>
      <c r="O127" s="31">
        <f t="shared" si="35"/>
        <v>0</v>
      </c>
      <c r="P127" s="30"/>
      <c r="Q127" s="30"/>
      <c r="R127" s="30"/>
      <c r="S127" s="30"/>
      <c r="T127" s="29"/>
      <c r="U127" s="20"/>
      <c r="V127" s="28"/>
      <c r="W127" s="20"/>
      <c r="X127" s="27"/>
      <c r="Y127" s="26"/>
      <c r="Z127" s="25">
        <f t="shared" si="33"/>
        <v>0</v>
      </c>
      <c r="AA127" s="20">
        <f t="shared" si="28"/>
        <v>0</v>
      </c>
      <c r="AB127" s="24">
        <f t="shared" si="36"/>
        <v>0</v>
      </c>
      <c r="AC127" s="37"/>
      <c r="AD127" s="37"/>
      <c r="AE127" s="22"/>
      <c r="AF127" s="20"/>
      <c r="AG127" s="21"/>
      <c r="AH127" s="20"/>
      <c r="AI127" s="21"/>
      <c r="AJ127" s="20"/>
      <c r="AK127" s="20"/>
      <c r="AL127" s="20"/>
      <c r="AM127" s="19">
        <v>35000</v>
      </c>
      <c r="AN127" s="19">
        <v>30000</v>
      </c>
      <c r="AO127" s="19"/>
      <c r="AP127" s="19"/>
      <c r="AQ127" s="19"/>
      <c r="AR127" s="19">
        <f t="shared" si="29"/>
        <v>65000</v>
      </c>
      <c r="AS127" s="17">
        <f t="shared" si="30"/>
        <v>-65000</v>
      </c>
      <c r="AT127" s="17">
        <f t="shared" si="31"/>
        <v>-65000</v>
      </c>
      <c r="AU127" s="17">
        <f t="shared" si="32"/>
        <v>0</v>
      </c>
      <c r="AV127" s="17">
        <f t="shared" si="37"/>
        <v>-32500</v>
      </c>
      <c r="AW127" s="17">
        <f t="shared" si="38"/>
        <v>-29250</v>
      </c>
      <c r="AX127" s="18">
        <v>50000</v>
      </c>
      <c r="AY127" s="18"/>
      <c r="AZ127" s="17">
        <f t="shared" si="34"/>
        <v>-79250</v>
      </c>
      <c r="BA127" s="16"/>
      <c r="BB127" s="15"/>
      <c r="BC127" s="15"/>
    </row>
    <row r="128" spans="1:55" s="6" customFormat="1" ht="16.899999999999999">
      <c r="A128" s="36">
        <v>127</v>
      </c>
      <c r="B128" s="35"/>
      <c r="C128" s="33"/>
      <c r="D128" s="33"/>
      <c r="E128" s="33"/>
      <c r="F128" s="33"/>
      <c r="G128" s="33"/>
      <c r="H128" s="33"/>
      <c r="I128" s="33"/>
      <c r="J128" s="33"/>
      <c r="K128" s="35"/>
      <c r="L128" s="34"/>
      <c r="M128" s="32"/>
      <c r="N128" s="32"/>
      <c r="O128" s="31">
        <f t="shared" si="35"/>
        <v>0</v>
      </c>
      <c r="P128" s="30"/>
      <c r="Q128" s="30"/>
      <c r="R128" s="30"/>
      <c r="S128" s="30"/>
      <c r="T128" s="29"/>
      <c r="U128" s="20"/>
      <c r="V128" s="28"/>
      <c r="W128" s="20"/>
      <c r="X128" s="27"/>
      <c r="Y128" s="26"/>
      <c r="Z128" s="25">
        <f t="shared" si="33"/>
        <v>0</v>
      </c>
      <c r="AA128" s="20">
        <f t="shared" si="28"/>
        <v>0</v>
      </c>
      <c r="AB128" s="24">
        <f t="shared" si="36"/>
        <v>0</v>
      </c>
      <c r="AC128" s="37"/>
      <c r="AD128" s="37"/>
      <c r="AE128" s="22"/>
      <c r="AF128" s="20"/>
      <c r="AG128" s="21"/>
      <c r="AH128" s="20"/>
      <c r="AI128" s="21"/>
      <c r="AJ128" s="20"/>
      <c r="AK128" s="20"/>
      <c r="AL128" s="20"/>
      <c r="AM128" s="19">
        <v>35000</v>
      </c>
      <c r="AN128" s="19">
        <v>30000</v>
      </c>
      <c r="AO128" s="19"/>
      <c r="AP128" s="19"/>
      <c r="AQ128" s="19"/>
      <c r="AR128" s="19">
        <f t="shared" si="29"/>
        <v>65000</v>
      </c>
      <c r="AS128" s="17">
        <f t="shared" si="30"/>
        <v>-65000</v>
      </c>
      <c r="AT128" s="17">
        <f t="shared" si="31"/>
        <v>-65000</v>
      </c>
      <c r="AU128" s="17">
        <f t="shared" si="32"/>
        <v>0</v>
      </c>
      <c r="AV128" s="17">
        <f t="shared" si="37"/>
        <v>-32500</v>
      </c>
      <c r="AW128" s="17">
        <f t="shared" si="38"/>
        <v>-29250</v>
      </c>
      <c r="AX128" s="18">
        <v>50000</v>
      </c>
      <c r="AY128" s="18"/>
      <c r="AZ128" s="17">
        <f t="shared" si="34"/>
        <v>-79250</v>
      </c>
      <c r="BA128" s="16"/>
      <c r="BB128" s="15"/>
      <c r="BC128" s="15"/>
    </row>
    <row r="129" spans="1:55" s="6" customFormat="1" ht="16.899999999999999">
      <c r="A129" s="36">
        <v>128</v>
      </c>
      <c r="B129" s="35"/>
      <c r="C129" s="33"/>
      <c r="D129" s="33"/>
      <c r="E129" s="33"/>
      <c r="F129" s="33"/>
      <c r="G129" s="33"/>
      <c r="H129" s="33"/>
      <c r="I129" s="33"/>
      <c r="J129" s="33"/>
      <c r="K129" s="35"/>
      <c r="L129" s="34"/>
      <c r="M129" s="32"/>
      <c r="N129" s="32"/>
      <c r="O129" s="31">
        <f t="shared" si="35"/>
        <v>0</v>
      </c>
      <c r="P129" s="30"/>
      <c r="Q129" s="30"/>
      <c r="R129" s="30"/>
      <c r="S129" s="30"/>
      <c r="T129" s="29"/>
      <c r="U129" s="20"/>
      <c r="V129" s="28"/>
      <c r="W129" s="20"/>
      <c r="X129" s="27"/>
      <c r="Y129" s="26"/>
      <c r="Z129" s="25">
        <f t="shared" si="33"/>
        <v>0</v>
      </c>
      <c r="AA129" s="20">
        <f t="shared" si="28"/>
        <v>0</v>
      </c>
      <c r="AB129" s="24">
        <f t="shared" si="36"/>
        <v>0</v>
      </c>
      <c r="AC129" s="37"/>
      <c r="AD129" s="37"/>
      <c r="AE129" s="22"/>
      <c r="AF129" s="20"/>
      <c r="AG129" s="21"/>
      <c r="AH129" s="20"/>
      <c r="AI129" s="21"/>
      <c r="AJ129" s="20"/>
      <c r="AK129" s="20"/>
      <c r="AL129" s="20"/>
      <c r="AM129" s="19">
        <v>35000</v>
      </c>
      <c r="AN129" s="19">
        <v>30000</v>
      </c>
      <c r="AO129" s="19"/>
      <c r="AP129" s="19"/>
      <c r="AQ129" s="19"/>
      <c r="AR129" s="19">
        <f t="shared" si="29"/>
        <v>65000</v>
      </c>
      <c r="AS129" s="17">
        <f t="shared" si="30"/>
        <v>-65000</v>
      </c>
      <c r="AT129" s="17">
        <f t="shared" si="31"/>
        <v>-65000</v>
      </c>
      <c r="AU129" s="17">
        <f t="shared" si="32"/>
        <v>0</v>
      </c>
      <c r="AV129" s="17">
        <f t="shared" si="37"/>
        <v>-32500</v>
      </c>
      <c r="AW129" s="17">
        <f t="shared" si="38"/>
        <v>-29250</v>
      </c>
      <c r="AX129" s="18">
        <v>50000</v>
      </c>
      <c r="AY129" s="18"/>
      <c r="AZ129" s="17">
        <f t="shared" si="34"/>
        <v>-79250</v>
      </c>
      <c r="BA129" s="16"/>
      <c r="BB129" s="15"/>
      <c r="BC129" s="15"/>
    </row>
    <row r="130" spans="1:55" s="6" customFormat="1" ht="16.899999999999999">
      <c r="A130" s="36">
        <v>129</v>
      </c>
      <c r="B130" s="35"/>
      <c r="C130" s="33"/>
      <c r="D130" s="33"/>
      <c r="E130" s="33"/>
      <c r="F130" s="33"/>
      <c r="G130" s="33"/>
      <c r="H130" s="33"/>
      <c r="I130" s="33"/>
      <c r="J130" s="33"/>
      <c r="K130" s="35"/>
      <c r="L130" s="34"/>
      <c r="M130" s="32"/>
      <c r="N130" s="32"/>
      <c r="O130" s="31">
        <f t="shared" si="35"/>
        <v>0</v>
      </c>
      <c r="P130" s="30"/>
      <c r="Q130" s="30"/>
      <c r="R130" s="30"/>
      <c r="S130" s="30"/>
      <c r="T130" s="29"/>
      <c r="U130" s="20"/>
      <c r="V130" s="28"/>
      <c r="W130" s="20"/>
      <c r="X130" s="27"/>
      <c r="Y130" s="26"/>
      <c r="Z130" s="25">
        <f t="shared" si="33"/>
        <v>0</v>
      </c>
      <c r="AA130" s="20">
        <f t="shared" ref="AA130:AA193" si="39">SUM(AF130+AH130+AJ130+AK130-AL130)</f>
        <v>0</v>
      </c>
      <c r="AB130" s="24">
        <f t="shared" si="36"/>
        <v>0</v>
      </c>
      <c r="AC130" s="37"/>
      <c r="AD130" s="37"/>
      <c r="AE130" s="22"/>
      <c r="AF130" s="20"/>
      <c r="AG130" s="21"/>
      <c r="AH130" s="20"/>
      <c r="AI130" s="21"/>
      <c r="AJ130" s="20"/>
      <c r="AK130" s="20"/>
      <c r="AL130" s="20"/>
      <c r="AM130" s="19">
        <v>35000</v>
      </c>
      <c r="AN130" s="19">
        <v>30000</v>
      </c>
      <c r="AO130" s="19"/>
      <c r="AP130" s="19"/>
      <c r="AQ130" s="19"/>
      <c r="AR130" s="19">
        <f t="shared" ref="AR130:AR193" si="40">SUM(AM130:AQ130)</f>
        <v>65000</v>
      </c>
      <c r="AS130" s="17">
        <f t="shared" ref="AS130:AS193" si="41">SUM(Z130-V130)*U130-AR130</f>
        <v>-65000</v>
      </c>
      <c r="AT130" s="17">
        <f t="shared" ref="AT130:AT193" si="42">SUM(AS130-O130)</f>
        <v>-65000</v>
      </c>
      <c r="AU130" s="17">
        <f t="shared" ref="AU130:AU193" si="43">SUM(M130*0.09)</f>
        <v>0</v>
      </c>
      <c r="AV130" s="17">
        <f t="shared" si="37"/>
        <v>-32500</v>
      </c>
      <c r="AW130" s="17">
        <f t="shared" si="38"/>
        <v>-29250</v>
      </c>
      <c r="AX130" s="18">
        <v>50000</v>
      </c>
      <c r="AY130" s="18"/>
      <c r="AZ130" s="17">
        <f t="shared" si="34"/>
        <v>-79250</v>
      </c>
      <c r="BA130" s="16"/>
      <c r="BB130" s="15"/>
      <c r="BC130" s="15"/>
    </row>
    <row r="131" spans="1:55" s="6" customFormat="1" ht="16.899999999999999">
      <c r="A131" s="36">
        <v>130</v>
      </c>
      <c r="B131" s="35"/>
      <c r="C131" s="33"/>
      <c r="D131" s="33"/>
      <c r="E131" s="33"/>
      <c r="F131" s="33"/>
      <c r="G131" s="33"/>
      <c r="H131" s="33"/>
      <c r="I131" s="33"/>
      <c r="J131" s="33"/>
      <c r="K131" s="35"/>
      <c r="L131" s="34"/>
      <c r="M131" s="32"/>
      <c r="N131" s="32"/>
      <c r="O131" s="31">
        <f t="shared" si="35"/>
        <v>0</v>
      </c>
      <c r="P131" s="30"/>
      <c r="Q131" s="30"/>
      <c r="R131" s="30"/>
      <c r="S131" s="30"/>
      <c r="T131" s="29"/>
      <c r="U131" s="20"/>
      <c r="V131" s="28"/>
      <c r="W131" s="20"/>
      <c r="X131" s="27"/>
      <c r="Y131" s="26"/>
      <c r="Z131" s="25">
        <f t="shared" si="33"/>
        <v>0</v>
      </c>
      <c r="AA131" s="20">
        <f t="shared" si="39"/>
        <v>0</v>
      </c>
      <c r="AB131" s="24">
        <f t="shared" si="36"/>
        <v>0</v>
      </c>
      <c r="AC131" s="37"/>
      <c r="AD131" s="37"/>
      <c r="AE131" s="22"/>
      <c r="AF131" s="20"/>
      <c r="AG131" s="21"/>
      <c r="AH131" s="20"/>
      <c r="AI131" s="21"/>
      <c r="AJ131" s="20"/>
      <c r="AK131" s="20"/>
      <c r="AL131" s="20"/>
      <c r="AM131" s="19">
        <v>35000</v>
      </c>
      <c r="AN131" s="19">
        <v>30000</v>
      </c>
      <c r="AO131" s="19"/>
      <c r="AP131" s="19"/>
      <c r="AQ131" s="19"/>
      <c r="AR131" s="19">
        <f t="shared" si="40"/>
        <v>65000</v>
      </c>
      <c r="AS131" s="17">
        <f t="shared" si="41"/>
        <v>-65000</v>
      </c>
      <c r="AT131" s="17">
        <f t="shared" si="42"/>
        <v>-65000</v>
      </c>
      <c r="AU131" s="17">
        <f t="shared" si="43"/>
        <v>0</v>
      </c>
      <c r="AV131" s="17">
        <f t="shared" si="37"/>
        <v>-32500</v>
      </c>
      <c r="AW131" s="17">
        <f t="shared" si="38"/>
        <v>-29250</v>
      </c>
      <c r="AX131" s="18">
        <v>50000</v>
      </c>
      <c r="AY131" s="18"/>
      <c r="AZ131" s="17">
        <f t="shared" si="34"/>
        <v>-79250</v>
      </c>
      <c r="BA131" s="16"/>
      <c r="BB131" s="15"/>
      <c r="BC131" s="15"/>
    </row>
    <row r="132" spans="1:55" s="6" customFormat="1" ht="16.899999999999999">
      <c r="A132" s="36">
        <v>131</v>
      </c>
      <c r="B132" s="35"/>
      <c r="C132" s="33"/>
      <c r="D132" s="33"/>
      <c r="E132" s="33"/>
      <c r="F132" s="33"/>
      <c r="G132" s="33"/>
      <c r="H132" s="33"/>
      <c r="I132" s="33"/>
      <c r="J132" s="33"/>
      <c r="K132" s="35"/>
      <c r="L132" s="34"/>
      <c r="M132" s="32"/>
      <c r="N132" s="32"/>
      <c r="O132" s="31">
        <f t="shared" si="35"/>
        <v>0</v>
      </c>
      <c r="P132" s="30"/>
      <c r="Q132" s="30"/>
      <c r="R132" s="30"/>
      <c r="S132" s="30"/>
      <c r="T132" s="29"/>
      <c r="U132" s="20"/>
      <c r="V132" s="28"/>
      <c r="W132" s="20"/>
      <c r="X132" s="27"/>
      <c r="Y132" s="26"/>
      <c r="Z132" s="25">
        <f t="shared" si="33"/>
        <v>0</v>
      </c>
      <c r="AA132" s="20">
        <f t="shared" si="39"/>
        <v>0</v>
      </c>
      <c r="AB132" s="24">
        <f t="shared" si="36"/>
        <v>0</v>
      </c>
      <c r="AC132" s="37"/>
      <c r="AD132" s="37"/>
      <c r="AE132" s="22"/>
      <c r="AF132" s="20"/>
      <c r="AG132" s="21"/>
      <c r="AH132" s="20"/>
      <c r="AI132" s="21"/>
      <c r="AJ132" s="20"/>
      <c r="AK132" s="20"/>
      <c r="AL132" s="20"/>
      <c r="AM132" s="19">
        <v>35000</v>
      </c>
      <c r="AN132" s="19">
        <v>30000</v>
      </c>
      <c r="AO132" s="19"/>
      <c r="AP132" s="19"/>
      <c r="AQ132" s="19"/>
      <c r="AR132" s="19">
        <f t="shared" si="40"/>
        <v>65000</v>
      </c>
      <c r="AS132" s="17">
        <f t="shared" si="41"/>
        <v>-65000</v>
      </c>
      <c r="AT132" s="17">
        <f t="shared" si="42"/>
        <v>-65000</v>
      </c>
      <c r="AU132" s="17">
        <f t="shared" si="43"/>
        <v>0</v>
      </c>
      <c r="AV132" s="17">
        <f t="shared" si="37"/>
        <v>-32500</v>
      </c>
      <c r="AW132" s="17">
        <f t="shared" si="38"/>
        <v>-29250</v>
      </c>
      <c r="AX132" s="18">
        <v>50000</v>
      </c>
      <c r="AY132" s="18"/>
      <c r="AZ132" s="17">
        <f t="shared" si="34"/>
        <v>-79250</v>
      </c>
      <c r="BA132" s="16"/>
      <c r="BB132" s="15"/>
      <c r="BC132" s="15"/>
    </row>
    <row r="133" spans="1:55" s="6" customFormat="1" ht="16.899999999999999">
      <c r="A133" s="36">
        <v>132</v>
      </c>
      <c r="B133" s="35"/>
      <c r="C133" s="33"/>
      <c r="D133" s="33"/>
      <c r="E133" s="33"/>
      <c r="F133" s="33"/>
      <c r="G133" s="33"/>
      <c r="H133" s="33"/>
      <c r="I133" s="33"/>
      <c r="J133" s="33"/>
      <c r="K133" s="35"/>
      <c r="L133" s="34"/>
      <c r="M133" s="32"/>
      <c r="N133" s="32"/>
      <c r="O133" s="31">
        <f t="shared" si="35"/>
        <v>0</v>
      </c>
      <c r="P133" s="30"/>
      <c r="Q133" s="30"/>
      <c r="R133" s="30"/>
      <c r="S133" s="30"/>
      <c r="T133" s="29"/>
      <c r="U133" s="20"/>
      <c r="V133" s="28"/>
      <c r="W133" s="20"/>
      <c r="X133" s="27"/>
      <c r="Y133" s="26"/>
      <c r="Z133" s="25">
        <f t="shared" si="33"/>
        <v>0</v>
      </c>
      <c r="AA133" s="20">
        <f t="shared" si="39"/>
        <v>0</v>
      </c>
      <c r="AB133" s="24">
        <f t="shared" si="36"/>
        <v>0</v>
      </c>
      <c r="AC133" s="37"/>
      <c r="AD133" s="37"/>
      <c r="AE133" s="22"/>
      <c r="AF133" s="20"/>
      <c r="AG133" s="21"/>
      <c r="AH133" s="20"/>
      <c r="AI133" s="21"/>
      <c r="AJ133" s="20"/>
      <c r="AK133" s="20"/>
      <c r="AL133" s="20"/>
      <c r="AM133" s="19">
        <v>35000</v>
      </c>
      <c r="AN133" s="19">
        <v>30000</v>
      </c>
      <c r="AO133" s="19"/>
      <c r="AP133" s="19"/>
      <c r="AQ133" s="19"/>
      <c r="AR133" s="19">
        <f t="shared" si="40"/>
        <v>65000</v>
      </c>
      <c r="AS133" s="17">
        <f t="shared" si="41"/>
        <v>-65000</v>
      </c>
      <c r="AT133" s="17">
        <f t="shared" si="42"/>
        <v>-65000</v>
      </c>
      <c r="AU133" s="17">
        <f t="shared" si="43"/>
        <v>0</v>
      </c>
      <c r="AV133" s="17">
        <f t="shared" si="37"/>
        <v>-32500</v>
      </c>
      <c r="AW133" s="17">
        <f t="shared" si="38"/>
        <v>-29250</v>
      </c>
      <c r="AX133" s="18">
        <v>50000</v>
      </c>
      <c r="AY133" s="18"/>
      <c r="AZ133" s="17">
        <f t="shared" si="34"/>
        <v>-79250</v>
      </c>
      <c r="BA133" s="16"/>
      <c r="BB133" s="15"/>
      <c r="BC133" s="15"/>
    </row>
    <row r="134" spans="1:55" s="6" customFormat="1" ht="16.899999999999999">
      <c r="A134" s="36">
        <v>133</v>
      </c>
      <c r="B134" s="35"/>
      <c r="C134" s="33"/>
      <c r="D134" s="33"/>
      <c r="E134" s="33"/>
      <c r="F134" s="33"/>
      <c r="G134" s="33"/>
      <c r="H134" s="33"/>
      <c r="I134" s="33"/>
      <c r="J134" s="33"/>
      <c r="K134" s="35"/>
      <c r="L134" s="34"/>
      <c r="M134" s="32"/>
      <c r="N134" s="32"/>
      <c r="O134" s="31">
        <f t="shared" si="35"/>
        <v>0</v>
      </c>
      <c r="P134" s="30"/>
      <c r="Q134" s="30"/>
      <c r="R134" s="30"/>
      <c r="S134" s="30"/>
      <c r="T134" s="29"/>
      <c r="U134" s="20"/>
      <c r="V134" s="28"/>
      <c r="W134" s="20"/>
      <c r="X134" s="27"/>
      <c r="Y134" s="26"/>
      <c r="Z134" s="25">
        <f t="shared" si="33"/>
        <v>0</v>
      </c>
      <c r="AA134" s="20">
        <f t="shared" si="39"/>
        <v>0</v>
      </c>
      <c r="AB134" s="24">
        <f t="shared" si="36"/>
        <v>0</v>
      </c>
      <c r="AC134" s="37"/>
      <c r="AD134" s="37"/>
      <c r="AE134" s="22"/>
      <c r="AF134" s="20"/>
      <c r="AG134" s="21"/>
      <c r="AH134" s="20"/>
      <c r="AI134" s="21"/>
      <c r="AJ134" s="20"/>
      <c r="AK134" s="20"/>
      <c r="AL134" s="20"/>
      <c r="AM134" s="19">
        <v>35000</v>
      </c>
      <c r="AN134" s="19">
        <v>30000</v>
      </c>
      <c r="AO134" s="19"/>
      <c r="AP134" s="19"/>
      <c r="AQ134" s="19"/>
      <c r="AR134" s="19">
        <f t="shared" si="40"/>
        <v>65000</v>
      </c>
      <c r="AS134" s="17">
        <f t="shared" si="41"/>
        <v>-65000</v>
      </c>
      <c r="AT134" s="17">
        <f t="shared" si="42"/>
        <v>-65000</v>
      </c>
      <c r="AU134" s="17">
        <f t="shared" si="43"/>
        <v>0</v>
      </c>
      <c r="AV134" s="17">
        <f t="shared" si="37"/>
        <v>-32500</v>
      </c>
      <c r="AW134" s="17">
        <f t="shared" si="38"/>
        <v>-29250</v>
      </c>
      <c r="AX134" s="18">
        <v>50000</v>
      </c>
      <c r="AY134" s="18"/>
      <c r="AZ134" s="17">
        <f t="shared" si="34"/>
        <v>-79250</v>
      </c>
      <c r="BA134" s="16"/>
      <c r="BB134" s="15"/>
      <c r="BC134" s="15"/>
    </row>
    <row r="135" spans="1:55" s="6" customFormat="1" ht="16.899999999999999">
      <c r="A135" s="36">
        <v>134</v>
      </c>
      <c r="B135" s="35"/>
      <c r="C135" s="33"/>
      <c r="D135" s="33"/>
      <c r="E135" s="33"/>
      <c r="F135" s="33"/>
      <c r="G135" s="33"/>
      <c r="H135" s="33"/>
      <c r="I135" s="33"/>
      <c r="J135" s="33"/>
      <c r="K135" s="35"/>
      <c r="L135" s="34"/>
      <c r="M135" s="32"/>
      <c r="N135" s="32"/>
      <c r="O135" s="31">
        <f t="shared" si="35"/>
        <v>0</v>
      </c>
      <c r="P135" s="30"/>
      <c r="Q135" s="30"/>
      <c r="R135" s="30"/>
      <c r="S135" s="30"/>
      <c r="T135" s="29"/>
      <c r="U135" s="20"/>
      <c r="V135" s="28"/>
      <c r="W135" s="20"/>
      <c r="X135" s="27"/>
      <c r="Y135" s="26"/>
      <c r="Z135" s="25">
        <f t="shared" si="33"/>
        <v>0</v>
      </c>
      <c r="AA135" s="20">
        <f t="shared" si="39"/>
        <v>0</v>
      </c>
      <c r="AB135" s="24">
        <f t="shared" si="36"/>
        <v>0</v>
      </c>
      <c r="AC135" s="37"/>
      <c r="AD135" s="37"/>
      <c r="AE135" s="22"/>
      <c r="AF135" s="20"/>
      <c r="AG135" s="21"/>
      <c r="AH135" s="20"/>
      <c r="AI135" s="21"/>
      <c r="AJ135" s="20"/>
      <c r="AK135" s="20"/>
      <c r="AL135" s="20"/>
      <c r="AM135" s="19">
        <v>35000</v>
      </c>
      <c r="AN135" s="19">
        <v>30000</v>
      </c>
      <c r="AO135" s="19"/>
      <c r="AP135" s="19"/>
      <c r="AQ135" s="19"/>
      <c r="AR135" s="19">
        <f t="shared" si="40"/>
        <v>65000</v>
      </c>
      <c r="AS135" s="17">
        <f t="shared" si="41"/>
        <v>-65000</v>
      </c>
      <c r="AT135" s="17">
        <f t="shared" si="42"/>
        <v>-65000</v>
      </c>
      <c r="AU135" s="17">
        <f t="shared" si="43"/>
        <v>0</v>
      </c>
      <c r="AV135" s="17">
        <f t="shared" si="37"/>
        <v>-32500</v>
      </c>
      <c r="AW135" s="17">
        <f t="shared" si="38"/>
        <v>-29250</v>
      </c>
      <c r="AX135" s="18">
        <v>50000</v>
      </c>
      <c r="AY135" s="18"/>
      <c r="AZ135" s="17">
        <f t="shared" si="34"/>
        <v>-79250</v>
      </c>
      <c r="BA135" s="16"/>
      <c r="BB135" s="15"/>
      <c r="BC135" s="15"/>
    </row>
    <row r="136" spans="1:55" s="6" customFormat="1" ht="16.899999999999999">
      <c r="A136" s="36">
        <v>135</v>
      </c>
      <c r="B136" s="35"/>
      <c r="C136" s="33"/>
      <c r="D136" s="33"/>
      <c r="E136" s="33"/>
      <c r="F136" s="33"/>
      <c r="G136" s="33"/>
      <c r="H136" s="33"/>
      <c r="I136" s="33"/>
      <c r="J136" s="33"/>
      <c r="K136" s="35"/>
      <c r="L136" s="34"/>
      <c r="M136" s="32"/>
      <c r="N136" s="32"/>
      <c r="O136" s="31">
        <f t="shared" si="35"/>
        <v>0</v>
      </c>
      <c r="P136" s="30"/>
      <c r="Q136" s="30"/>
      <c r="R136" s="30"/>
      <c r="S136" s="30"/>
      <c r="T136" s="29"/>
      <c r="U136" s="20"/>
      <c r="V136" s="28"/>
      <c r="W136" s="20"/>
      <c r="X136" s="27"/>
      <c r="Y136" s="26"/>
      <c r="Z136" s="25">
        <f t="shared" si="33"/>
        <v>0</v>
      </c>
      <c r="AA136" s="20">
        <f t="shared" si="39"/>
        <v>0</v>
      </c>
      <c r="AB136" s="24">
        <f t="shared" si="36"/>
        <v>0</v>
      </c>
      <c r="AC136" s="37"/>
      <c r="AD136" s="37"/>
      <c r="AE136" s="22"/>
      <c r="AF136" s="20"/>
      <c r="AG136" s="21"/>
      <c r="AH136" s="20"/>
      <c r="AI136" s="21"/>
      <c r="AJ136" s="20"/>
      <c r="AK136" s="20"/>
      <c r="AL136" s="20"/>
      <c r="AM136" s="19">
        <v>35000</v>
      </c>
      <c r="AN136" s="19">
        <v>30000</v>
      </c>
      <c r="AO136" s="19"/>
      <c r="AP136" s="19"/>
      <c r="AQ136" s="19"/>
      <c r="AR136" s="19">
        <f t="shared" si="40"/>
        <v>65000</v>
      </c>
      <c r="AS136" s="17">
        <f t="shared" si="41"/>
        <v>-65000</v>
      </c>
      <c r="AT136" s="17">
        <f t="shared" si="42"/>
        <v>-65000</v>
      </c>
      <c r="AU136" s="17">
        <f t="shared" si="43"/>
        <v>0</v>
      </c>
      <c r="AV136" s="17">
        <f t="shared" si="37"/>
        <v>-32500</v>
      </c>
      <c r="AW136" s="17">
        <f t="shared" si="38"/>
        <v>-29250</v>
      </c>
      <c r="AX136" s="18">
        <v>50000</v>
      </c>
      <c r="AY136" s="18"/>
      <c r="AZ136" s="17">
        <f t="shared" si="34"/>
        <v>-79250</v>
      </c>
      <c r="BA136" s="16"/>
      <c r="BB136" s="15"/>
      <c r="BC136" s="15"/>
    </row>
    <row r="137" spans="1:55" s="6" customFormat="1" ht="16.899999999999999">
      <c r="A137" s="36">
        <v>136</v>
      </c>
      <c r="B137" s="35"/>
      <c r="C137" s="33"/>
      <c r="D137" s="33"/>
      <c r="E137" s="33"/>
      <c r="F137" s="33"/>
      <c r="G137" s="33"/>
      <c r="H137" s="33"/>
      <c r="I137" s="33"/>
      <c r="J137" s="33"/>
      <c r="K137" s="35"/>
      <c r="L137" s="34"/>
      <c r="M137" s="32"/>
      <c r="N137" s="32"/>
      <c r="O137" s="31">
        <f t="shared" si="35"/>
        <v>0</v>
      </c>
      <c r="P137" s="30"/>
      <c r="Q137" s="30"/>
      <c r="R137" s="30"/>
      <c r="S137" s="30"/>
      <c r="T137" s="29"/>
      <c r="U137" s="20"/>
      <c r="V137" s="28"/>
      <c r="W137" s="20"/>
      <c r="X137" s="27"/>
      <c r="Y137" s="26"/>
      <c r="Z137" s="25">
        <f t="shared" si="33"/>
        <v>0</v>
      </c>
      <c r="AA137" s="20">
        <f t="shared" si="39"/>
        <v>0</v>
      </c>
      <c r="AB137" s="24">
        <f t="shared" si="36"/>
        <v>0</v>
      </c>
      <c r="AC137" s="37"/>
      <c r="AD137" s="37"/>
      <c r="AE137" s="22"/>
      <c r="AF137" s="20"/>
      <c r="AG137" s="21"/>
      <c r="AH137" s="20"/>
      <c r="AI137" s="21"/>
      <c r="AJ137" s="20"/>
      <c r="AK137" s="20"/>
      <c r="AL137" s="20"/>
      <c r="AM137" s="19">
        <v>35000</v>
      </c>
      <c r="AN137" s="19">
        <v>30000</v>
      </c>
      <c r="AO137" s="19"/>
      <c r="AP137" s="19"/>
      <c r="AQ137" s="19"/>
      <c r="AR137" s="19">
        <f t="shared" si="40"/>
        <v>65000</v>
      </c>
      <c r="AS137" s="17">
        <f t="shared" si="41"/>
        <v>-65000</v>
      </c>
      <c r="AT137" s="17">
        <f t="shared" si="42"/>
        <v>-65000</v>
      </c>
      <c r="AU137" s="17">
        <f t="shared" si="43"/>
        <v>0</v>
      </c>
      <c r="AV137" s="17">
        <f t="shared" si="37"/>
        <v>-32500</v>
      </c>
      <c r="AW137" s="17">
        <f t="shared" si="38"/>
        <v>-29250</v>
      </c>
      <c r="AX137" s="18">
        <v>50000</v>
      </c>
      <c r="AY137" s="18"/>
      <c r="AZ137" s="17">
        <f t="shared" si="34"/>
        <v>-79250</v>
      </c>
      <c r="BA137" s="16"/>
      <c r="BB137" s="15"/>
      <c r="BC137" s="15"/>
    </row>
    <row r="138" spans="1:55" s="6" customFormat="1" ht="16.899999999999999">
      <c r="A138" s="36">
        <v>137</v>
      </c>
      <c r="B138" s="35"/>
      <c r="C138" s="33"/>
      <c r="D138" s="33"/>
      <c r="E138" s="33"/>
      <c r="F138" s="33"/>
      <c r="G138" s="33"/>
      <c r="H138" s="33"/>
      <c r="I138" s="33"/>
      <c r="J138" s="33"/>
      <c r="K138" s="35"/>
      <c r="L138" s="34"/>
      <c r="M138" s="32"/>
      <c r="N138" s="32"/>
      <c r="O138" s="31">
        <f t="shared" si="35"/>
        <v>0</v>
      </c>
      <c r="P138" s="30"/>
      <c r="Q138" s="30"/>
      <c r="R138" s="30"/>
      <c r="S138" s="30"/>
      <c r="T138" s="29"/>
      <c r="U138" s="20"/>
      <c r="V138" s="28"/>
      <c r="W138" s="20"/>
      <c r="X138" s="27"/>
      <c r="Y138" s="26"/>
      <c r="Z138" s="25">
        <f t="shared" si="33"/>
        <v>0</v>
      </c>
      <c r="AA138" s="20">
        <f t="shared" si="39"/>
        <v>0</v>
      </c>
      <c r="AB138" s="24">
        <f t="shared" si="36"/>
        <v>0</v>
      </c>
      <c r="AC138" s="37"/>
      <c r="AD138" s="37"/>
      <c r="AE138" s="22"/>
      <c r="AF138" s="20"/>
      <c r="AG138" s="21"/>
      <c r="AH138" s="20"/>
      <c r="AI138" s="21"/>
      <c r="AJ138" s="20"/>
      <c r="AK138" s="20"/>
      <c r="AL138" s="20"/>
      <c r="AM138" s="19">
        <v>35000</v>
      </c>
      <c r="AN138" s="19">
        <v>30000</v>
      </c>
      <c r="AO138" s="19"/>
      <c r="AP138" s="19"/>
      <c r="AQ138" s="19"/>
      <c r="AR138" s="19">
        <f t="shared" si="40"/>
        <v>65000</v>
      </c>
      <c r="AS138" s="17">
        <f t="shared" si="41"/>
        <v>-65000</v>
      </c>
      <c r="AT138" s="17">
        <f t="shared" si="42"/>
        <v>-65000</v>
      </c>
      <c r="AU138" s="17">
        <f t="shared" si="43"/>
        <v>0</v>
      </c>
      <c r="AV138" s="17">
        <f t="shared" si="37"/>
        <v>-32500</v>
      </c>
      <c r="AW138" s="17">
        <f t="shared" si="38"/>
        <v>-29250</v>
      </c>
      <c r="AX138" s="18">
        <v>50000</v>
      </c>
      <c r="AY138" s="18"/>
      <c r="AZ138" s="17">
        <f t="shared" si="34"/>
        <v>-79250</v>
      </c>
      <c r="BA138" s="16"/>
      <c r="BB138" s="15"/>
      <c r="BC138" s="15"/>
    </row>
    <row r="139" spans="1:55" s="6" customFormat="1" ht="16.899999999999999">
      <c r="A139" s="36">
        <v>138</v>
      </c>
      <c r="B139" s="35"/>
      <c r="C139" s="33"/>
      <c r="D139" s="33"/>
      <c r="E139" s="33"/>
      <c r="F139" s="33"/>
      <c r="G139" s="33"/>
      <c r="H139" s="33"/>
      <c r="I139" s="33"/>
      <c r="J139" s="33"/>
      <c r="K139" s="35"/>
      <c r="L139" s="34"/>
      <c r="M139" s="32"/>
      <c r="N139" s="32"/>
      <c r="O139" s="31">
        <f t="shared" si="35"/>
        <v>0</v>
      </c>
      <c r="P139" s="30"/>
      <c r="Q139" s="30"/>
      <c r="R139" s="30"/>
      <c r="S139" s="30"/>
      <c r="T139" s="29"/>
      <c r="U139" s="20"/>
      <c r="V139" s="28"/>
      <c r="W139" s="20"/>
      <c r="X139" s="27"/>
      <c r="Y139" s="26"/>
      <c r="Z139" s="25">
        <f t="shared" si="33"/>
        <v>0</v>
      </c>
      <c r="AA139" s="20">
        <f t="shared" si="39"/>
        <v>0</v>
      </c>
      <c r="AB139" s="24">
        <f t="shared" si="36"/>
        <v>0</v>
      </c>
      <c r="AC139" s="37"/>
      <c r="AD139" s="37"/>
      <c r="AE139" s="22"/>
      <c r="AF139" s="20"/>
      <c r="AG139" s="21"/>
      <c r="AH139" s="20"/>
      <c r="AI139" s="21"/>
      <c r="AJ139" s="20"/>
      <c r="AK139" s="20"/>
      <c r="AL139" s="20"/>
      <c r="AM139" s="19">
        <v>35000</v>
      </c>
      <c r="AN139" s="19">
        <v>30000</v>
      </c>
      <c r="AO139" s="19"/>
      <c r="AP139" s="19"/>
      <c r="AQ139" s="19"/>
      <c r="AR139" s="19">
        <f t="shared" si="40"/>
        <v>65000</v>
      </c>
      <c r="AS139" s="17">
        <f t="shared" si="41"/>
        <v>-65000</v>
      </c>
      <c r="AT139" s="17">
        <f t="shared" si="42"/>
        <v>-65000</v>
      </c>
      <c r="AU139" s="17">
        <f t="shared" si="43"/>
        <v>0</v>
      </c>
      <c r="AV139" s="17">
        <f t="shared" si="37"/>
        <v>-32500</v>
      </c>
      <c r="AW139" s="17">
        <f t="shared" si="38"/>
        <v>-29250</v>
      </c>
      <c r="AX139" s="18">
        <v>50000</v>
      </c>
      <c r="AY139" s="18"/>
      <c r="AZ139" s="17">
        <f t="shared" si="34"/>
        <v>-79250</v>
      </c>
      <c r="BA139" s="16"/>
      <c r="BB139" s="15"/>
      <c r="BC139" s="15"/>
    </row>
    <row r="140" spans="1:55" s="6" customFormat="1" ht="16.899999999999999">
      <c r="A140" s="36">
        <v>139</v>
      </c>
      <c r="B140" s="35"/>
      <c r="C140" s="33"/>
      <c r="D140" s="33"/>
      <c r="E140" s="33"/>
      <c r="F140" s="33"/>
      <c r="G140" s="33"/>
      <c r="H140" s="33"/>
      <c r="I140" s="33"/>
      <c r="J140" s="33"/>
      <c r="K140" s="35"/>
      <c r="L140" s="34"/>
      <c r="M140" s="32"/>
      <c r="N140" s="32"/>
      <c r="O140" s="31">
        <f t="shared" si="35"/>
        <v>0</v>
      </c>
      <c r="P140" s="30"/>
      <c r="Q140" s="30"/>
      <c r="R140" s="30"/>
      <c r="S140" s="30"/>
      <c r="T140" s="29"/>
      <c r="U140" s="20"/>
      <c r="V140" s="28"/>
      <c r="W140" s="20"/>
      <c r="X140" s="27"/>
      <c r="Y140" s="26"/>
      <c r="Z140" s="25">
        <f t="shared" ref="Z140:Z203" si="44">SUM(T140,V140:Y140)</f>
        <v>0</v>
      </c>
      <c r="AA140" s="20">
        <f t="shared" si="39"/>
        <v>0</v>
      </c>
      <c r="AB140" s="24">
        <f t="shared" si="36"/>
        <v>0</v>
      </c>
      <c r="AC140" s="37"/>
      <c r="AD140" s="37"/>
      <c r="AE140" s="22"/>
      <c r="AF140" s="20"/>
      <c r="AG140" s="21"/>
      <c r="AH140" s="20"/>
      <c r="AI140" s="21"/>
      <c r="AJ140" s="20"/>
      <c r="AK140" s="20"/>
      <c r="AL140" s="20"/>
      <c r="AM140" s="19">
        <v>35000</v>
      </c>
      <c r="AN140" s="19">
        <v>30000</v>
      </c>
      <c r="AO140" s="19"/>
      <c r="AP140" s="19"/>
      <c r="AQ140" s="19"/>
      <c r="AR140" s="19">
        <f t="shared" si="40"/>
        <v>65000</v>
      </c>
      <c r="AS140" s="17">
        <f t="shared" si="41"/>
        <v>-65000</v>
      </c>
      <c r="AT140" s="17">
        <f t="shared" si="42"/>
        <v>-65000</v>
      </c>
      <c r="AU140" s="17">
        <f t="shared" si="43"/>
        <v>0</v>
      </c>
      <c r="AV140" s="17">
        <f t="shared" si="37"/>
        <v>-32500</v>
      </c>
      <c r="AW140" s="17">
        <f t="shared" si="38"/>
        <v>-29250</v>
      </c>
      <c r="AX140" s="18">
        <v>50000</v>
      </c>
      <c r="AY140" s="18"/>
      <c r="AZ140" s="17">
        <f t="shared" si="34"/>
        <v>-79250</v>
      </c>
      <c r="BA140" s="16"/>
      <c r="BB140" s="15"/>
      <c r="BC140" s="15"/>
    </row>
    <row r="141" spans="1:55" s="6" customFormat="1" ht="16.899999999999999">
      <c r="A141" s="36">
        <v>140</v>
      </c>
      <c r="B141" s="35"/>
      <c r="C141" s="33"/>
      <c r="D141" s="33"/>
      <c r="E141" s="33"/>
      <c r="F141" s="33"/>
      <c r="G141" s="33"/>
      <c r="H141" s="33"/>
      <c r="I141" s="33"/>
      <c r="J141" s="33"/>
      <c r="K141" s="35"/>
      <c r="L141" s="34"/>
      <c r="M141" s="32"/>
      <c r="N141" s="32"/>
      <c r="O141" s="31">
        <f t="shared" si="35"/>
        <v>0</v>
      </c>
      <c r="P141" s="30"/>
      <c r="Q141" s="30"/>
      <c r="R141" s="30"/>
      <c r="S141" s="30"/>
      <c r="T141" s="29"/>
      <c r="U141" s="20"/>
      <c r="V141" s="28"/>
      <c r="W141" s="20"/>
      <c r="X141" s="27"/>
      <c r="Y141" s="26"/>
      <c r="Z141" s="25">
        <f t="shared" si="44"/>
        <v>0</v>
      </c>
      <c r="AA141" s="20">
        <f t="shared" si="39"/>
        <v>0</v>
      </c>
      <c r="AB141" s="24">
        <f t="shared" si="36"/>
        <v>0</v>
      </c>
      <c r="AC141" s="37"/>
      <c r="AD141" s="37"/>
      <c r="AE141" s="22"/>
      <c r="AF141" s="20"/>
      <c r="AG141" s="21"/>
      <c r="AH141" s="20"/>
      <c r="AI141" s="21"/>
      <c r="AJ141" s="20"/>
      <c r="AK141" s="20"/>
      <c r="AL141" s="20"/>
      <c r="AM141" s="19">
        <v>35000</v>
      </c>
      <c r="AN141" s="19">
        <v>30000</v>
      </c>
      <c r="AO141" s="19"/>
      <c r="AP141" s="19"/>
      <c r="AQ141" s="19"/>
      <c r="AR141" s="19">
        <f t="shared" si="40"/>
        <v>65000</v>
      </c>
      <c r="AS141" s="17">
        <f t="shared" si="41"/>
        <v>-65000</v>
      </c>
      <c r="AT141" s="17">
        <f t="shared" si="42"/>
        <v>-65000</v>
      </c>
      <c r="AU141" s="17">
        <f t="shared" si="43"/>
        <v>0</v>
      </c>
      <c r="AV141" s="17">
        <f t="shared" si="37"/>
        <v>-32500</v>
      </c>
      <c r="AW141" s="17">
        <f t="shared" si="38"/>
        <v>-29250</v>
      </c>
      <c r="AX141" s="18">
        <v>50000</v>
      </c>
      <c r="AY141" s="18"/>
      <c r="AZ141" s="17">
        <f t="shared" si="34"/>
        <v>-79250</v>
      </c>
      <c r="BA141" s="16"/>
      <c r="BB141" s="15"/>
      <c r="BC141" s="15"/>
    </row>
    <row r="142" spans="1:55" ht="16.899999999999999">
      <c r="A142" s="36">
        <v>141</v>
      </c>
      <c r="B142" s="35"/>
      <c r="C142" s="33"/>
      <c r="D142" s="33"/>
      <c r="E142" s="33"/>
      <c r="F142" s="33"/>
      <c r="G142" s="33"/>
      <c r="H142" s="33"/>
      <c r="I142" s="33"/>
      <c r="J142" s="33"/>
      <c r="K142" s="35" t="s">
        <v>27</v>
      </c>
      <c r="L142" s="34"/>
      <c r="M142" s="32"/>
      <c r="N142" s="32"/>
      <c r="O142" s="31">
        <f t="shared" si="35"/>
        <v>0</v>
      </c>
      <c r="P142" s="30"/>
      <c r="Q142" s="30"/>
      <c r="R142" s="30"/>
      <c r="S142" s="30"/>
      <c r="T142" s="29"/>
      <c r="U142" s="20"/>
      <c r="V142" s="28"/>
      <c r="W142" s="20"/>
      <c r="X142" s="27"/>
      <c r="Y142" s="26"/>
      <c r="Z142" s="25">
        <f t="shared" si="44"/>
        <v>0</v>
      </c>
      <c r="AA142" s="20">
        <f t="shared" si="39"/>
        <v>0</v>
      </c>
      <c r="AB142" s="24">
        <f t="shared" si="36"/>
        <v>0</v>
      </c>
      <c r="AC142" s="37"/>
      <c r="AD142" s="37"/>
      <c r="AE142" s="22"/>
      <c r="AF142" s="20"/>
      <c r="AG142" s="21"/>
      <c r="AH142" s="20"/>
      <c r="AI142" s="21"/>
      <c r="AJ142" s="20"/>
      <c r="AK142" s="20"/>
      <c r="AL142" s="20"/>
      <c r="AM142" s="19">
        <v>35000</v>
      </c>
      <c r="AN142" s="19">
        <v>30000</v>
      </c>
      <c r="AO142" s="19"/>
      <c r="AP142" s="19"/>
      <c r="AQ142" s="19"/>
      <c r="AR142" s="19">
        <f t="shared" si="40"/>
        <v>65000</v>
      </c>
      <c r="AS142" s="17">
        <f t="shared" si="41"/>
        <v>-65000</v>
      </c>
      <c r="AT142" s="17">
        <f t="shared" si="42"/>
        <v>-65000</v>
      </c>
      <c r="AU142" s="17">
        <f t="shared" si="43"/>
        <v>0</v>
      </c>
      <c r="AV142" s="17">
        <f t="shared" si="37"/>
        <v>-32500</v>
      </c>
      <c r="AW142" s="17">
        <f t="shared" si="38"/>
        <v>-29250</v>
      </c>
      <c r="AX142" s="18">
        <v>50000</v>
      </c>
      <c r="AY142" s="18"/>
      <c r="AZ142" s="17">
        <f t="shared" si="34"/>
        <v>-79250</v>
      </c>
      <c r="BA142" s="16"/>
      <c r="BB142" s="16"/>
      <c r="BC142" s="16"/>
    </row>
    <row r="143" spans="1:55" ht="16.899999999999999">
      <c r="A143" s="36">
        <v>142</v>
      </c>
      <c r="B143" s="35"/>
      <c r="C143" s="33"/>
      <c r="D143" s="33"/>
      <c r="E143" s="33"/>
      <c r="F143" s="33"/>
      <c r="G143" s="33"/>
      <c r="H143" s="33"/>
      <c r="I143" s="33"/>
      <c r="J143" s="33"/>
      <c r="K143" s="35"/>
      <c r="L143" s="34"/>
      <c r="M143" s="32"/>
      <c r="N143" s="32"/>
      <c r="O143" s="31">
        <f t="shared" si="35"/>
        <v>0</v>
      </c>
      <c r="P143" s="30"/>
      <c r="Q143" s="30"/>
      <c r="R143" s="30"/>
      <c r="S143" s="30"/>
      <c r="T143" s="29"/>
      <c r="U143" s="20"/>
      <c r="V143" s="28"/>
      <c r="W143" s="20"/>
      <c r="X143" s="27"/>
      <c r="Y143" s="26"/>
      <c r="Z143" s="25">
        <f t="shared" si="44"/>
        <v>0</v>
      </c>
      <c r="AA143" s="20">
        <f t="shared" si="39"/>
        <v>0</v>
      </c>
      <c r="AB143" s="24">
        <f t="shared" si="36"/>
        <v>0</v>
      </c>
      <c r="AC143" s="37"/>
      <c r="AD143" s="37"/>
      <c r="AE143" s="22"/>
      <c r="AF143" s="20"/>
      <c r="AG143" s="21"/>
      <c r="AH143" s="20"/>
      <c r="AI143" s="21"/>
      <c r="AJ143" s="20"/>
      <c r="AK143" s="20"/>
      <c r="AL143" s="20"/>
      <c r="AM143" s="19">
        <v>35000</v>
      </c>
      <c r="AN143" s="19">
        <v>30000</v>
      </c>
      <c r="AO143" s="19"/>
      <c r="AP143" s="19"/>
      <c r="AQ143" s="19"/>
      <c r="AR143" s="19">
        <f t="shared" si="40"/>
        <v>65000</v>
      </c>
      <c r="AS143" s="17">
        <f t="shared" si="41"/>
        <v>-65000</v>
      </c>
      <c r="AT143" s="17">
        <f t="shared" si="42"/>
        <v>-65000</v>
      </c>
      <c r="AU143" s="17">
        <f t="shared" si="43"/>
        <v>0</v>
      </c>
      <c r="AV143" s="17">
        <f t="shared" si="37"/>
        <v>-32500</v>
      </c>
      <c r="AW143" s="17">
        <f t="shared" si="38"/>
        <v>-29250</v>
      </c>
      <c r="AX143" s="18">
        <v>50000</v>
      </c>
      <c r="AY143" s="18"/>
      <c r="AZ143" s="17">
        <f t="shared" si="34"/>
        <v>-79250</v>
      </c>
      <c r="BA143" s="16"/>
      <c r="BB143" s="16"/>
      <c r="BC143" s="16"/>
    </row>
    <row r="144" spans="1:55" ht="16.899999999999999">
      <c r="A144" s="36">
        <v>143</v>
      </c>
      <c r="B144" s="35"/>
      <c r="C144" s="33"/>
      <c r="D144" s="33"/>
      <c r="E144" s="33"/>
      <c r="F144" s="33"/>
      <c r="G144" s="33"/>
      <c r="H144" s="33"/>
      <c r="I144" s="33"/>
      <c r="J144" s="33"/>
      <c r="K144" s="35"/>
      <c r="L144" s="34"/>
      <c r="M144" s="32"/>
      <c r="N144" s="32"/>
      <c r="O144" s="31">
        <f t="shared" si="35"/>
        <v>0</v>
      </c>
      <c r="P144" s="30"/>
      <c r="Q144" s="30"/>
      <c r="R144" s="30"/>
      <c r="S144" s="30"/>
      <c r="T144" s="29"/>
      <c r="U144" s="20"/>
      <c r="V144" s="28"/>
      <c r="W144" s="20"/>
      <c r="X144" s="27"/>
      <c r="Y144" s="26"/>
      <c r="Z144" s="25">
        <f t="shared" si="44"/>
        <v>0</v>
      </c>
      <c r="AA144" s="20">
        <f t="shared" si="39"/>
        <v>0</v>
      </c>
      <c r="AB144" s="24">
        <f t="shared" si="36"/>
        <v>0</v>
      </c>
      <c r="AC144" s="37"/>
      <c r="AD144" s="37"/>
      <c r="AE144" s="22"/>
      <c r="AF144" s="20"/>
      <c r="AG144" s="21"/>
      <c r="AH144" s="20"/>
      <c r="AI144" s="21"/>
      <c r="AJ144" s="20"/>
      <c r="AK144" s="20"/>
      <c r="AL144" s="20"/>
      <c r="AM144" s="19">
        <v>35000</v>
      </c>
      <c r="AN144" s="19">
        <v>30000</v>
      </c>
      <c r="AO144" s="19"/>
      <c r="AP144" s="19"/>
      <c r="AQ144" s="19"/>
      <c r="AR144" s="19">
        <f t="shared" si="40"/>
        <v>65000</v>
      </c>
      <c r="AS144" s="17">
        <f t="shared" si="41"/>
        <v>-65000</v>
      </c>
      <c r="AT144" s="17">
        <f t="shared" si="42"/>
        <v>-65000</v>
      </c>
      <c r="AU144" s="17">
        <f t="shared" si="43"/>
        <v>0</v>
      </c>
      <c r="AV144" s="17">
        <f t="shared" si="37"/>
        <v>-32500</v>
      </c>
      <c r="AW144" s="17">
        <f t="shared" si="38"/>
        <v>-29250</v>
      </c>
      <c r="AX144" s="18">
        <v>50000</v>
      </c>
      <c r="AY144" s="18"/>
      <c r="AZ144" s="17">
        <f t="shared" si="34"/>
        <v>-79250</v>
      </c>
      <c r="BA144" s="16"/>
      <c r="BB144" s="16"/>
      <c r="BC144" s="16"/>
    </row>
    <row r="145" spans="1:55" ht="16.899999999999999">
      <c r="A145" s="36">
        <v>144</v>
      </c>
      <c r="B145" s="35"/>
      <c r="C145" s="33"/>
      <c r="D145" s="33"/>
      <c r="E145" s="33"/>
      <c r="F145" s="33"/>
      <c r="G145" s="33"/>
      <c r="H145" s="33"/>
      <c r="I145" s="33"/>
      <c r="J145" s="33"/>
      <c r="K145" s="35"/>
      <c r="L145" s="34"/>
      <c r="M145" s="32"/>
      <c r="N145" s="32"/>
      <c r="O145" s="31">
        <f t="shared" si="35"/>
        <v>0</v>
      </c>
      <c r="P145" s="30"/>
      <c r="Q145" s="30"/>
      <c r="R145" s="30"/>
      <c r="S145" s="30"/>
      <c r="T145" s="29"/>
      <c r="U145" s="20"/>
      <c r="V145" s="28"/>
      <c r="W145" s="20"/>
      <c r="X145" s="27"/>
      <c r="Y145" s="26"/>
      <c r="Z145" s="25">
        <f t="shared" si="44"/>
        <v>0</v>
      </c>
      <c r="AA145" s="20">
        <f t="shared" si="39"/>
        <v>0</v>
      </c>
      <c r="AB145" s="24">
        <f t="shared" si="36"/>
        <v>0</v>
      </c>
      <c r="AC145" s="37"/>
      <c r="AD145" s="37"/>
      <c r="AE145" s="22"/>
      <c r="AF145" s="20"/>
      <c r="AG145" s="21"/>
      <c r="AH145" s="20"/>
      <c r="AI145" s="21"/>
      <c r="AJ145" s="20"/>
      <c r="AK145" s="20"/>
      <c r="AL145" s="20"/>
      <c r="AM145" s="19">
        <v>35000</v>
      </c>
      <c r="AN145" s="19">
        <v>30000</v>
      </c>
      <c r="AO145" s="19"/>
      <c r="AP145" s="19"/>
      <c r="AQ145" s="19"/>
      <c r="AR145" s="19">
        <f t="shared" si="40"/>
        <v>65000</v>
      </c>
      <c r="AS145" s="17">
        <f t="shared" si="41"/>
        <v>-65000</v>
      </c>
      <c r="AT145" s="17">
        <f t="shared" si="42"/>
        <v>-65000</v>
      </c>
      <c r="AU145" s="17">
        <f t="shared" si="43"/>
        <v>0</v>
      </c>
      <c r="AV145" s="17">
        <f t="shared" si="37"/>
        <v>-32500</v>
      </c>
      <c r="AW145" s="17">
        <f t="shared" si="38"/>
        <v>-29250</v>
      </c>
      <c r="AX145" s="18">
        <v>50000</v>
      </c>
      <c r="AY145" s="18"/>
      <c r="AZ145" s="17">
        <f t="shared" si="34"/>
        <v>-79250</v>
      </c>
      <c r="BA145" s="16"/>
      <c r="BB145" s="16"/>
      <c r="BC145" s="16"/>
    </row>
    <row r="146" spans="1:55" ht="16.899999999999999">
      <c r="A146" s="36">
        <v>145</v>
      </c>
      <c r="B146" s="35"/>
      <c r="C146" s="33"/>
      <c r="D146" s="33"/>
      <c r="E146" s="33"/>
      <c r="F146" s="33"/>
      <c r="G146" s="33"/>
      <c r="H146" s="33"/>
      <c r="I146" s="33"/>
      <c r="J146" s="33"/>
      <c r="K146" s="35"/>
      <c r="L146" s="34"/>
      <c r="M146" s="32"/>
      <c r="N146" s="32"/>
      <c r="O146" s="31">
        <f t="shared" si="35"/>
        <v>0</v>
      </c>
      <c r="P146" s="30"/>
      <c r="Q146" s="30"/>
      <c r="R146" s="30"/>
      <c r="S146" s="30"/>
      <c r="T146" s="29"/>
      <c r="U146" s="20"/>
      <c r="V146" s="28"/>
      <c r="W146" s="20"/>
      <c r="X146" s="27"/>
      <c r="Y146" s="26"/>
      <c r="Z146" s="25">
        <f t="shared" si="44"/>
        <v>0</v>
      </c>
      <c r="AA146" s="20">
        <f t="shared" si="39"/>
        <v>0</v>
      </c>
      <c r="AB146" s="24">
        <f t="shared" si="36"/>
        <v>0</v>
      </c>
      <c r="AC146" s="37"/>
      <c r="AD146" s="37"/>
      <c r="AE146" s="22"/>
      <c r="AF146" s="20"/>
      <c r="AG146" s="21"/>
      <c r="AH146" s="20"/>
      <c r="AI146" s="21"/>
      <c r="AJ146" s="20"/>
      <c r="AK146" s="20"/>
      <c r="AL146" s="20"/>
      <c r="AM146" s="19">
        <v>35000</v>
      </c>
      <c r="AN146" s="19">
        <v>30000</v>
      </c>
      <c r="AO146" s="19"/>
      <c r="AP146" s="19"/>
      <c r="AQ146" s="19"/>
      <c r="AR146" s="19">
        <f t="shared" si="40"/>
        <v>65000</v>
      </c>
      <c r="AS146" s="17">
        <f t="shared" si="41"/>
        <v>-65000</v>
      </c>
      <c r="AT146" s="17">
        <f t="shared" si="42"/>
        <v>-65000</v>
      </c>
      <c r="AU146" s="17">
        <f t="shared" si="43"/>
        <v>0</v>
      </c>
      <c r="AV146" s="17">
        <f t="shared" si="37"/>
        <v>-32500</v>
      </c>
      <c r="AW146" s="17">
        <f t="shared" si="38"/>
        <v>-29250</v>
      </c>
      <c r="AX146" s="18">
        <v>50000</v>
      </c>
      <c r="AY146" s="18"/>
      <c r="AZ146" s="17">
        <f t="shared" si="34"/>
        <v>-79250</v>
      </c>
      <c r="BA146" s="16"/>
      <c r="BB146" s="16"/>
      <c r="BC146" s="16"/>
    </row>
    <row r="147" spans="1:55" ht="16.899999999999999">
      <c r="A147" s="36">
        <v>146</v>
      </c>
      <c r="B147" s="35"/>
      <c r="C147" s="33"/>
      <c r="D147" s="33"/>
      <c r="E147" s="33"/>
      <c r="F147" s="33"/>
      <c r="G147" s="33"/>
      <c r="H147" s="33"/>
      <c r="I147" s="33"/>
      <c r="J147" s="33"/>
      <c r="K147" s="35"/>
      <c r="L147" s="34"/>
      <c r="M147" s="32"/>
      <c r="N147" s="32"/>
      <c r="O147" s="31">
        <f t="shared" si="35"/>
        <v>0</v>
      </c>
      <c r="P147" s="30"/>
      <c r="Q147" s="30"/>
      <c r="R147" s="30"/>
      <c r="S147" s="30"/>
      <c r="T147" s="29"/>
      <c r="U147" s="20"/>
      <c r="V147" s="28"/>
      <c r="W147" s="20"/>
      <c r="X147" s="27"/>
      <c r="Y147" s="26"/>
      <c r="Z147" s="25">
        <f t="shared" si="44"/>
        <v>0</v>
      </c>
      <c r="AA147" s="20">
        <f t="shared" si="39"/>
        <v>0</v>
      </c>
      <c r="AB147" s="24">
        <f t="shared" si="36"/>
        <v>0</v>
      </c>
      <c r="AC147" s="37"/>
      <c r="AD147" s="37"/>
      <c r="AE147" s="22"/>
      <c r="AF147" s="20"/>
      <c r="AG147" s="21"/>
      <c r="AH147" s="20"/>
      <c r="AI147" s="21"/>
      <c r="AJ147" s="20"/>
      <c r="AK147" s="20"/>
      <c r="AL147" s="20"/>
      <c r="AM147" s="19">
        <v>35000</v>
      </c>
      <c r="AN147" s="19">
        <v>30000</v>
      </c>
      <c r="AO147" s="19"/>
      <c r="AP147" s="19"/>
      <c r="AQ147" s="19"/>
      <c r="AR147" s="19">
        <f t="shared" si="40"/>
        <v>65000</v>
      </c>
      <c r="AS147" s="17">
        <f t="shared" si="41"/>
        <v>-65000</v>
      </c>
      <c r="AT147" s="17">
        <f t="shared" si="42"/>
        <v>-65000</v>
      </c>
      <c r="AU147" s="17">
        <f t="shared" si="43"/>
        <v>0</v>
      </c>
      <c r="AV147" s="17">
        <f t="shared" si="37"/>
        <v>-32500</v>
      </c>
      <c r="AW147" s="17">
        <f t="shared" si="38"/>
        <v>-29250</v>
      </c>
      <c r="AX147" s="18">
        <v>50000</v>
      </c>
      <c r="AY147" s="18"/>
      <c r="AZ147" s="17">
        <f t="shared" si="34"/>
        <v>-79250</v>
      </c>
      <c r="BA147" s="16"/>
      <c r="BB147" s="16"/>
      <c r="BC147" s="16"/>
    </row>
    <row r="148" spans="1:55" ht="16.899999999999999">
      <c r="A148" s="36">
        <v>147</v>
      </c>
      <c r="B148" s="35"/>
      <c r="C148" s="33"/>
      <c r="D148" s="33"/>
      <c r="E148" s="33"/>
      <c r="F148" s="33"/>
      <c r="G148" s="33"/>
      <c r="H148" s="33"/>
      <c r="I148" s="33"/>
      <c r="J148" s="33"/>
      <c r="K148" s="35"/>
      <c r="L148" s="34"/>
      <c r="M148" s="32"/>
      <c r="N148" s="32"/>
      <c r="O148" s="31">
        <f t="shared" si="35"/>
        <v>0</v>
      </c>
      <c r="P148" s="30"/>
      <c r="Q148" s="30"/>
      <c r="R148" s="30"/>
      <c r="S148" s="30"/>
      <c r="T148" s="29"/>
      <c r="U148" s="20"/>
      <c r="V148" s="28"/>
      <c r="W148" s="20"/>
      <c r="X148" s="27"/>
      <c r="Y148" s="26"/>
      <c r="Z148" s="25">
        <f t="shared" si="44"/>
        <v>0</v>
      </c>
      <c r="AA148" s="20">
        <f t="shared" si="39"/>
        <v>0</v>
      </c>
      <c r="AB148" s="24">
        <f t="shared" si="36"/>
        <v>0</v>
      </c>
      <c r="AC148" s="37"/>
      <c r="AD148" s="37"/>
      <c r="AE148" s="22"/>
      <c r="AF148" s="20"/>
      <c r="AG148" s="21"/>
      <c r="AH148" s="20"/>
      <c r="AI148" s="21"/>
      <c r="AJ148" s="20"/>
      <c r="AK148" s="20"/>
      <c r="AL148" s="20"/>
      <c r="AM148" s="19">
        <v>35000</v>
      </c>
      <c r="AN148" s="19">
        <v>30000</v>
      </c>
      <c r="AO148" s="19"/>
      <c r="AP148" s="19"/>
      <c r="AQ148" s="19"/>
      <c r="AR148" s="19">
        <f t="shared" si="40"/>
        <v>65000</v>
      </c>
      <c r="AS148" s="17">
        <f t="shared" si="41"/>
        <v>-65000</v>
      </c>
      <c r="AT148" s="17">
        <f t="shared" si="42"/>
        <v>-65000</v>
      </c>
      <c r="AU148" s="17">
        <f t="shared" si="43"/>
        <v>0</v>
      </c>
      <c r="AV148" s="17">
        <f t="shared" si="37"/>
        <v>-32500</v>
      </c>
      <c r="AW148" s="17">
        <f t="shared" si="38"/>
        <v>-29250</v>
      </c>
      <c r="AX148" s="18">
        <v>50000</v>
      </c>
      <c r="AY148" s="18"/>
      <c r="AZ148" s="17">
        <f t="shared" si="34"/>
        <v>-79250</v>
      </c>
      <c r="BA148" s="16"/>
      <c r="BB148" s="16"/>
      <c r="BC148" s="16"/>
    </row>
    <row r="149" spans="1:55" ht="16.899999999999999">
      <c r="A149" s="36">
        <v>148</v>
      </c>
      <c r="B149" s="35"/>
      <c r="C149" s="33"/>
      <c r="D149" s="33"/>
      <c r="E149" s="33"/>
      <c r="F149" s="33"/>
      <c r="G149" s="33"/>
      <c r="H149" s="33"/>
      <c r="I149" s="33"/>
      <c r="J149" s="33"/>
      <c r="K149" s="35"/>
      <c r="L149" s="34"/>
      <c r="M149" s="32"/>
      <c r="N149" s="32"/>
      <c r="O149" s="31">
        <f t="shared" si="35"/>
        <v>0</v>
      </c>
      <c r="P149" s="30"/>
      <c r="Q149" s="30"/>
      <c r="R149" s="30"/>
      <c r="S149" s="30"/>
      <c r="T149" s="29"/>
      <c r="U149" s="20"/>
      <c r="V149" s="28"/>
      <c r="W149" s="20"/>
      <c r="X149" s="27"/>
      <c r="Y149" s="26"/>
      <c r="Z149" s="25">
        <f t="shared" si="44"/>
        <v>0</v>
      </c>
      <c r="AA149" s="20">
        <f t="shared" si="39"/>
        <v>0</v>
      </c>
      <c r="AB149" s="24">
        <f t="shared" si="36"/>
        <v>0</v>
      </c>
      <c r="AC149" s="37"/>
      <c r="AD149" s="37"/>
      <c r="AE149" s="22"/>
      <c r="AF149" s="20"/>
      <c r="AG149" s="21"/>
      <c r="AH149" s="20"/>
      <c r="AI149" s="21"/>
      <c r="AJ149" s="20"/>
      <c r="AK149" s="20"/>
      <c r="AL149" s="20"/>
      <c r="AM149" s="19">
        <v>35000</v>
      </c>
      <c r="AN149" s="19">
        <v>30000</v>
      </c>
      <c r="AO149" s="19"/>
      <c r="AP149" s="19"/>
      <c r="AQ149" s="19"/>
      <c r="AR149" s="19">
        <f t="shared" si="40"/>
        <v>65000</v>
      </c>
      <c r="AS149" s="17">
        <f t="shared" si="41"/>
        <v>-65000</v>
      </c>
      <c r="AT149" s="17">
        <f t="shared" si="42"/>
        <v>-65000</v>
      </c>
      <c r="AU149" s="17">
        <f t="shared" si="43"/>
        <v>0</v>
      </c>
      <c r="AV149" s="17">
        <f t="shared" si="37"/>
        <v>-32500</v>
      </c>
      <c r="AW149" s="17">
        <f t="shared" si="38"/>
        <v>-29250</v>
      </c>
      <c r="AX149" s="18">
        <v>50000</v>
      </c>
      <c r="AY149" s="18"/>
      <c r="AZ149" s="17">
        <f t="shared" si="34"/>
        <v>-79250</v>
      </c>
      <c r="BA149" s="16"/>
      <c r="BB149" s="16"/>
      <c r="BC149" s="16"/>
    </row>
    <row r="150" spans="1:55" ht="16.899999999999999">
      <c r="A150" s="36">
        <v>149</v>
      </c>
      <c r="B150" s="35"/>
      <c r="C150" s="33"/>
      <c r="D150" s="33"/>
      <c r="E150" s="33"/>
      <c r="F150" s="33"/>
      <c r="G150" s="33"/>
      <c r="H150" s="33"/>
      <c r="I150" s="33"/>
      <c r="J150" s="33"/>
      <c r="K150" s="35"/>
      <c r="L150" s="34"/>
      <c r="M150" s="32"/>
      <c r="N150" s="32"/>
      <c r="O150" s="31">
        <f t="shared" si="35"/>
        <v>0</v>
      </c>
      <c r="P150" s="30"/>
      <c r="Q150" s="30"/>
      <c r="R150" s="30"/>
      <c r="S150" s="30"/>
      <c r="T150" s="29"/>
      <c r="U150" s="20"/>
      <c r="V150" s="28"/>
      <c r="W150" s="20"/>
      <c r="X150" s="27"/>
      <c r="Y150" s="26"/>
      <c r="Z150" s="25">
        <f t="shared" si="44"/>
        <v>0</v>
      </c>
      <c r="AA150" s="20">
        <f t="shared" si="39"/>
        <v>0</v>
      </c>
      <c r="AB150" s="24">
        <f t="shared" si="36"/>
        <v>0</v>
      </c>
      <c r="AC150" s="37"/>
      <c r="AD150" s="37"/>
      <c r="AE150" s="22"/>
      <c r="AF150" s="20"/>
      <c r="AG150" s="21"/>
      <c r="AH150" s="20"/>
      <c r="AI150" s="21"/>
      <c r="AJ150" s="20"/>
      <c r="AK150" s="20"/>
      <c r="AL150" s="20"/>
      <c r="AM150" s="19">
        <v>35000</v>
      </c>
      <c r="AN150" s="19">
        <v>30000</v>
      </c>
      <c r="AO150" s="19"/>
      <c r="AP150" s="19"/>
      <c r="AQ150" s="19"/>
      <c r="AR150" s="19">
        <f t="shared" si="40"/>
        <v>65000</v>
      </c>
      <c r="AS150" s="17">
        <f t="shared" si="41"/>
        <v>-65000</v>
      </c>
      <c r="AT150" s="17">
        <f t="shared" si="42"/>
        <v>-65000</v>
      </c>
      <c r="AU150" s="17">
        <f t="shared" si="43"/>
        <v>0</v>
      </c>
      <c r="AV150" s="17">
        <f t="shared" si="37"/>
        <v>-32500</v>
      </c>
      <c r="AW150" s="17">
        <f t="shared" si="38"/>
        <v>-29250</v>
      </c>
      <c r="AX150" s="18">
        <v>50000</v>
      </c>
      <c r="AY150" s="18"/>
      <c r="AZ150" s="17">
        <f t="shared" si="34"/>
        <v>-79250</v>
      </c>
      <c r="BA150" s="16"/>
      <c r="BB150" s="16"/>
      <c r="BC150" s="16"/>
    </row>
    <row r="151" spans="1:55" ht="16.899999999999999">
      <c r="A151" s="36">
        <v>150</v>
      </c>
      <c r="B151" s="35"/>
      <c r="C151" s="33"/>
      <c r="D151" s="33"/>
      <c r="E151" s="33"/>
      <c r="F151" s="33"/>
      <c r="G151" s="33"/>
      <c r="H151" s="33"/>
      <c r="I151" s="33"/>
      <c r="J151" s="33"/>
      <c r="K151" s="35"/>
      <c r="L151" s="34"/>
      <c r="M151" s="32"/>
      <c r="N151" s="32"/>
      <c r="O151" s="31">
        <f t="shared" si="35"/>
        <v>0</v>
      </c>
      <c r="P151" s="30"/>
      <c r="Q151" s="30"/>
      <c r="R151" s="30"/>
      <c r="S151" s="30"/>
      <c r="T151" s="29"/>
      <c r="U151" s="20"/>
      <c r="V151" s="28"/>
      <c r="W151" s="20"/>
      <c r="X151" s="27"/>
      <c r="Y151" s="26"/>
      <c r="Z151" s="25">
        <f t="shared" si="44"/>
        <v>0</v>
      </c>
      <c r="AA151" s="20">
        <f t="shared" si="39"/>
        <v>0</v>
      </c>
      <c r="AB151" s="24">
        <f t="shared" si="36"/>
        <v>0</v>
      </c>
      <c r="AC151" s="37"/>
      <c r="AD151" s="37"/>
      <c r="AE151" s="22"/>
      <c r="AF151" s="20"/>
      <c r="AG151" s="21"/>
      <c r="AH151" s="20"/>
      <c r="AI151" s="21"/>
      <c r="AJ151" s="20"/>
      <c r="AK151" s="20"/>
      <c r="AL151" s="20"/>
      <c r="AM151" s="19">
        <v>35000</v>
      </c>
      <c r="AN151" s="19">
        <v>30000</v>
      </c>
      <c r="AO151" s="19"/>
      <c r="AP151" s="19"/>
      <c r="AQ151" s="19"/>
      <c r="AR151" s="19">
        <f t="shared" si="40"/>
        <v>65000</v>
      </c>
      <c r="AS151" s="17">
        <f t="shared" si="41"/>
        <v>-65000</v>
      </c>
      <c r="AT151" s="17">
        <f t="shared" si="42"/>
        <v>-65000</v>
      </c>
      <c r="AU151" s="17">
        <f t="shared" si="43"/>
        <v>0</v>
      </c>
      <c r="AV151" s="17">
        <f t="shared" si="37"/>
        <v>-32500</v>
      </c>
      <c r="AW151" s="17">
        <f t="shared" si="38"/>
        <v>-29250</v>
      </c>
      <c r="AX151" s="18">
        <v>50000</v>
      </c>
      <c r="AY151" s="18"/>
      <c r="AZ151" s="17">
        <f t="shared" si="34"/>
        <v>-79250</v>
      </c>
      <c r="BA151" s="16"/>
      <c r="BB151" s="16"/>
      <c r="BC151" s="16"/>
    </row>
    <row r="152" spans="1:55" ht="16.899999999999999">
      <c r="A152" s="36">
        <v>151</v>
      </c>
      <c r="B152" s="35"/>
      <c r="C152" s="33"/>
      <c r="D152" s="33"/>
      <c r="E152" s="33"/>
      <c r="F152" s="33"/>
      <c r="G152" s="33"/>
      <c r="H152" s="33"/>
      <c r="I152" s="33"/>
      <c r="J152" s="33"/>
      <c r="K152" s="35"/>
      <c r="L152" s="34"/>
      <c r="M152" s="32"/>
      <c r="N152" s="32"/>
      <c r="O152" s="31">
        <f t="shared" si="35"/>
        <v>0</v>
      </c>
      <c r="P152" s="30"/>
      <c r="Q152" s="30"/>
      <c r="R152" s="30"/>
      <c r="S152" s="30"/>
      <c r="T152" s="29"/>
      <c r="U152" s="20"/>
      <c r="V152" s="28"/>
      <c r="W152" s="20"/>
      <c r="X152" s="27"/>
      <c r="Y152" s="26"/>
      <c r="Z152" s="25">
        <f t="shared" si="44"/>
        <v>0</v>
      </c>
      <c r="AA152" s="20">
        <f t="shared" si="39"/>
        <v>0</v>
      </c>
      <c r="AB152" s="24">
        <f t="shared" si="36"/>
        <v>0</v>
      </c>
      <c r="AC152" s="37"/>
      <c r="AD152" s="37"/>
      <c r="AE152" s="22"/>
      <c r="AF152" s="20"/>
      <c r="AG152" s="21"/>
      <c r="AH152" s="20"/>
      <c r="AI152" s="21"/>
      <c r="AJ152" s="20"/>
      <c r="AK152" s="20"/>
      <c r="AL152" s="20"/>
      <c r="AM152" s="19">
        <v>35000</v>
      </c>
      <c r="AN152" s="19">
        <v>30000</v>
      </c>
      <c r="AO152" s="19"/>
      <c r="AP152" s="19"/>
      <c r="AQ152" s="19"/>
      <c r="AR152" s="19">
        <f t="shared" si="40"/>
        <v>65000</v>
      </c>
      <c r="AS152" s="17">
        <f t="shared" si="41"/>
        <v>-65000</v>
      </c>
      <c r="AT152" s="17">
        <f t="shared" si="42"/>
        <v>-65000</v>
      </c>
      <c r="AU152" s="17">
        <f t="shared" si="43"/>
        <v>0</v>
      </c>
      <c r="AV152" s="17">
        <f t="shared" si="37"/>
        <v>-32500</v>
      </c>
      <c r="AW152" s="17">
        <f t="shared" si="38"/>
        <v>-29250</v>
      </c>
      <c r="AX152" s="18">
        <v>50000</v>
      </c>
      <c r="AY152" s="18"/>
      <c r="AZ152" s="17">
        <f t="shared" si="34"/>
        <v>-79250</v>
      </c>
      <c r="BA152" s="16"/>
      <c r="BB152" s="16"/>
      <c r="BC152" s="16"/>
    </row>
    <row r="153" spans="1:55" ht="16.899999999999999">
      <c r="A153" s="36">
        <v>152</v>
      </c>
      <c r="B153" s="35"/>
      <c r="C153" s="33"/>
      <c r="D153" s="33"/>
      <c r="E153" s="33"/>
      <c r="F153" s="33"/>
      <c r="G153" s="33"/>
      <c r="H153" s="33"/>
      <c r="I153" s="33"/>
      <c r="J153" s="33"/>
      <c r="K153" s="35"/>
      <c r="L153" s="34"/>
      <c r="M153" s="32"/>
      <c r="N153" s="32"/>
      <c r="O153" s="31">
        <f t="shared" si="35"/>
        <v>0</v>
      </c>
      <c r="P153" s="30"/>
      <c r="Q153" s="30"/>
      <c r="R153" s="30"/>
      <c r="S153" s="30"/>
      <c r="T153" s="29"/>
      <c r="U153" s="20"/>
      <c r="V153" s="28"/>
      <c r="W153" s="20"/>
      <c r="X153" s="27"/>
      <c r="Y153" s="26"/>
      <c r="Z153" s="25">
        <f t="shared" si="44"/>
        <v>0</v>
      </c>
      <c r="AA153" s="20">
        <f t="shared" si="39"/>
        <v>0</v>
      </c>
      <c r="AB153" s="24">
        <f t="shared" si="36"/>
        <v>0</v>
      </c>
      <c r="AC153" s="37"/>
      <c r="AD153" s="37"/>
      <c r="AE153" s="22"/>
      <c r="AF153" s="20"/>
      <c r="AG153" s="21"/>
      <c r="AH153" s="20"/>
      <c r="AI153" s="21"/>
      <c r="AJ153" s="20"/>
      <c r="AK153" s="20"/>
      <c r="AL153" s="20"/>
      <c r="AM153" s="19">
        <v>35000</v>
      </c>
      <c r="AN153" s="19">
        <v>30000</v>
      </c>
      <c r="AO153" s="19"/>
      <c r="AP153" s="19"/>
      <c r="AQ153" s="19"/>
      <c r="AR153" s="19">
        <f t="shared" si="40"/>
        <v>65000</v>
      </c>
      <c r="AS153" s="17">
        <f t="shared" si="41"/>
        <v>-65000</v>
      </c>
      <c r="AT153" s="17">
        <f t="shared" si="42"/>
        <v>-65000</v>
      </c>
      <c r="AU153" s="17">
        <f t="shared" si="43"/>
        <v>0</v>
      </c>
      <c r="AV153" s="17">
        <f t="shared" si="37"/>
        <v>-32500</v>
      </c>
      <c r="AW153" s="17">
        <f t="shared" si="38"/>
        <v>-29250</v>
      </c>
      <c r="AX153" s="18">
        <v>50000</v>
      </c>
      <c r="AY153" s="18"/>
      <c r="AZ153" s="17">
        <f t="shared" si="34"/>
        <v>-79250</v>
      </c>
      <c r="BA153" s="16"/>
      <c r="BB153" s="16"/>
      <c r="BC153" s="16"/>
    </row>
    <row r="154" spans="1:55" ht="16.899999999999999">
      <c r="A154" s="36">
        <v>153</v>
      </c>
      <c r="B154" s="35"/>
      <c r="C154" s="33"/>
      <c r="D154" s="33"/>
      <c r="E154" s="33"/>
      <c r="F154" s="33"/>
      <c r="G154" s="33"/>
      <c r="H154" s="33"/>
      <c r="I154" s="33"/>
      <c r="J154" s="33"/>
      <c r="K154" s="35"/>
      <c r="L154" s="34"/>
      <c r="M154" s="32"/>
      <c r="N154" s="32"/>
      <c r="O154" s="31">
        <f t="shared" si="35"/>
        <v>0</v>
      </c>
      <c r="P154" s="30"/>
      <c r="Q154" s="30"/>
      <c r="R154" s="30"/>
      <c r="S154" s="30"/>
      <c r="T154" s="29"/>
      <c r="U154" s="20"/>
      <c r="V154" s="28"/>
      <c r="W154" s="20"/>
      <c r="X154" s="27"/>
      <c r="Y154" s="26"/>
      <c r="Z154" s="25">
        <f t="shared" si="44"/>
        <v>0</v>
      </c>
      <c r="AA154" s="20">
        <f t="shared" si="39"/>
        <v>0</v>
      </c>
      <c r="AB154" s="24">
        <f t="shared" si="36"/>
        <v>0</v>
      </c>
      <c r="AC154" s="37"/>
      <c r="AD154" s="37"/>
      <c r="AE154" s="22"/>
      <c r="AF154" s="20"/>
      <c r="AG154" s="21"/>
      <c r="AH154" s="20"/>
      <c r="AI154" s="21"/>
      <c r="AJ154" s="20"/>
      <c r="AK154" s="20"/>
      <c r="AL154" s="20"/>
      <c r="AM154" s="19">
        <v>35000</v>
      </c>
      <c r="AN154" s="19">
        <v>30000</v>
      </c>
      <c r="AO154" s="19"/>
      <c r="AP154" s="19"/>
      <c r="AQ154" s="19"/>
      <c r="AR154" s="19">
        <f t="shared" si="40"/>
        <v>65000</v>
      </c>
      <c r="AS154" s="17">
        <f t="shared" si="41"/>
        <v>-65000</v>
      </c>
      <c r="AT154" s="17">
        <f t="shared" si="42"/>
        <v>-65000</v>
      </c>
      <c r="AU154" s="17">
        <f t="shared" si="43"/>
        <v>0</v>
      </c>
      <c r="AV154" s="17">
        <f t="shared" si="37"/>
        <v>-32500</v>
      </c>
      <c r="AW154" s="17">
        <f t="shared" si="38"/>
        <v>-29250</v>
      </c>
      <c r="AX154" s="18">
        <v>50000</v>
      </c>
      <c r="AY154" s="18"/>
      <c r="AZ154" s="17">
        <f t="shared" si="34"/>
        <v>-79250</v>
      </c>
      <c r="BA154" s="16"/>
      <c r="BB154" s="16"/>
      <c r="BC154" s="16"/>
    </row>
    <row r="155" spans="1:55" ht="16.899999999999999">
      <c r="A155" s="36">
        <v>154</v>
      </c>
      <c r="B155" s="35"/>
      <c r="C155" s="33"/>
      <c r="D155" s="33"/>
      <c r="E155" s="33"/>
      <c r="F155" s="33"/>
      <c r="G155" s="33"/>
      <c r="H155" s="33"/>
      <c r="I155" s="33"/>
      <c r="J155" s="33"/>
      <c r="K155" s="35"/>
      <c r="L155" s="34"/>
      <c r="M155" s="32"/>
      <c r="N155" s="32"/>
      <c r="O155" s="31">
        <f t="shared" si="35"/>
        <v>0</v>
      </c>
      <c r="P155" s="30"/>
      <c r="Q155" s="30"/>
      <c r="R155" s="30"/>
      <c r="S155" s="30"/>
      <c r="T155" s="29"/>
      <c r="U155" s="20"/>
      <c r="V155" s="28"/>
      <c r="W155" s="20"/>
      <c r="X155" s="27"/>
      <c r="Y155" s="26"/>
      <c r="Z155" s="25">
        <f t="shared" si="44"/>
        <v>0</v>
      </c>
      <c r="AA155" s="20">
        <f t="shared" si="39"/>
        <v>0</v>
      </c>
      <c r="AB155" s="24">
        <f t="shared" si="36"/>
        <v>0</v>
      </c>
      <c r="AC155" s="37"/>
      <c r="AD155" s="37"/>
      <c r="AE155" s="22"/>
      <c r="AF155" s="20"/>
      <c r="AG155" s="21"/>
      <c r="AH155" s="20"/>
      <c r="AI155" s="21"/>
      <c r="AJ155" s="20"/>
      <c r="AK155" s="20"/>
      <c r="AL155" s="20"/>
      <c r="AM155" s="19">
        <v>35000</v>
      </c>
      <c r="AN155" s="19">
        <v>30000</v>
      </c>
      <c r="AO155" s="19"/>
      <c r="AP155" s="19"/>
      <c r="AQ155" s="19"/>
      <c r="AR155" s="19">
        <f t="shared" si="40"/>
        <v>65000</v>
      </c>
      <c r="AS155" s="17">
        <f t="shared" si="41"/>
        <v>-65000</v>
      </c>
      <c r="AT155" s="17">
        <f t="shared" si="42"/>
        <v>-65000</v>
      </c>
      <c r="AU155" s="17">
        <f t="shared" si="43"/>
        <v>0</v>
      </c>
      <c r="AV155" s="17">
        <f t="shared" si="37"/>
        <v>-32500</v>
      </c>
      <c r="AW155" s="17">
        <f t="shared" si="38"/>
        <v>-29250</v>
      </c>
      <c r="AX155" s="18">
        <v>50000</v>
      </c>
      <c r="AY155" s="18"/>
      <c r="AZ155" s="17">
        <f t="shared" si="34"/>
        <v>-79250</v>
      </c>
      <c r="BA155" s="16"/>
      <c r="BB155" s="16"/>
      <c r="BC155" s="16"/>
    </row>
    <row r="156" spans="1:55" ht="16.899999999999999">
      <c r="A156" s="36">
        <v>155</v>
      </c>
      <c r="B156" s="35"/>
      <c r="C156" s="33"/>
      <c r="D156" s="33"/>
      <c r="E156" s="33"/>
      <c r="F156" s="33"/>
      <c r="G156" s="33"/>
      <c r="H156" s="33"/>
      <c r="I156" s="33"/>
      <c r="J156" s="33"/>
      <c r="K156" s="35"/>
      <c r="L156" s="34"/>
      <c r="M156" s="32"/>
      <c r="N156" s="32"/>
      <c r="O156" s="31">
        <f t="shared" si="35"/>
        <v>0</v>
      </c>
      <c r="P156" s="30"/>
      <c r="Q156" s="30"/>
      <c r="R156" s="30"/>
      <c r="S156" s="30"/>
      <c r="T156" s="29"/>
      <c r="U156" s="20"/>
      <c r="V156" s="28"/>
      <c r="W156" s="20"/>
      <c r="X156" s="27"/>
      <c r="Y156" s="26"/>
      <c r="Z156" s="25">
        <f t="shared" si="44"/>
        <v>0</v>
      </c>
      <c r="AA156" s="20">
        <f t="shared" si="39"/>
        <v>0</v>
      </c>
      <c r="AB156" s="24">
        <f t="shared" si="36"/>
        <v>0</v>
      </c>
      <c r="AC156" s="37"/>
      <c r="AD156" s="37"/>
      <c r="AE156" s="22"/>
      <c r="AF156" s="20"/>
      <c r="AG156" s="21"/>
      <c r="AH156" s="20"/>
      <c r="AI156" s="21"/>
      <c r="AJ156" s="20"/>
      <c r="AK156" s="20"/>
      <c r="AL156" s="20"/>
      <c r="AM156" s="19">
        <v>35000</v>
      </c>
      <c r="AN156" s="19">
        <v>30000</v>
      </c>
      <c r="AO156" s="19"/>
      <c r="AP156" s="19"/>
      <c r="AQ156" s="19"/>
      <c r="AR156" s="19">
        <f t="shared" si="40"/>
        <v>65000</v>
      </c>
      <c r="AS156" s="17">
        <f t="shared" si="41"/>
        <v>-65000</v>
      </c>
      <c r="AT156" s="17">
        <f t="shared" si="42"/>
        <v>-65000</v>
      </c>
      <c r="AU156" s="17">
        <f t="shared" si="43"/>
        <v>0</v>
      </c>
      <c r="AV156" s="17">
        <f t="shared" si="37"/>
        <v>-32500</v>
      </c>
      <c r="AW156" s="17">
        <f t="shared" si="38"/>
        <v>-29250</v>
      </c>
      <c r="AX156" s="18">
        <v>50000</v>
      </c>
      <c r="AY156" s="18"/>
      <c r="AZ156" s="17">
        <f t="shared" si="34"/>
        <v>-79250</v>
      </c>
      <c r="BA156" s="16"/>
      <c r="BB156" s="16"/>
      <c r="BC156" s="16"/>
    </row>
    <row r="157" spans="1:55" ht="16.899999999999999">
      <c r="A157" s="36">
        <v>156</v>
      </c>
      <c r="B157" s="35"/>
      <c r="C157" s="33"/>
      <c r="D157" s="33"/>
      <c r="E157" s="33"/>
      <c r="F157" s="33"/>
      <c r="G157" s="33"/>
      <c r="H157" s="33"/>
      <c r="I157" s="33"/>
      <c r="J157" s="33"/>
      <c r="K157" s="35"/>
      <c r="L157" s="34"/>
      <c r="M157" s="32"/>
      <c r="N157" s="32"/>
      <c r="O157" s="31">
        <f t="shared" si="35"/>
        <v>0</v>
      </c>
      <c r="P157" s="30"/>
      <c r="Q157" s="30"/>
      <c r="R157" s="30"/>
      <c r="S157" s="30"/>
      <c r="T157" s="29"/>
      <c r="U157" s="20"/>
      <c r="V157" s="28"/>
      <c r="W157" s="20"/>
      <c r="X157" s="27"/>
      <c r="Y157" s="26"/>
      <c r="Z157" s="25">
        <f t="shared" si="44"/>
        <v>0</v>
      </c>
      <c r="AA157" s="20">
        <f t="shared" si="39"/>
        <v>0</v>
      </c>
      <c r="AB157" s="24">
        <f t="shared" si="36"/>
        <v>0</v>
      </c>
      <c r="AC157" s="37"/>
      <c r="AD157" s="37"/>
      <c r="AE157" s="22"/>
      <c r="AF157" s="20"/>
      <c r="AG157" s="21"/>
      <c r="AH157" s="20"/>
      <c r="AI157" s="21"/>
      <c r="AJ157" s="20"/>
      <c r="AK157" s="20"/>
      <c r="AL157" s="20"/>
      <c r="AM157" s="19">
        <v>35000</v>
      </c>
      <c r="AN157" s="19">
        <v>30000</v>
      </c>
      <c r="AO157" s="19"/>
      <c r="AP157" s="19"/>
      <c r="AQ157" s="19"/>
      <c r="AR157" s="19">
        <f t="shared" si="40"/>
        <v>65000</v>
      </c>
      <c r="AS157" s="17">
        <f t="shared" si="41"/>
        <v>-65000</v>
      </c>
      <c r="AT157" s="17">
        <f t="shared" si="42"/>
        <v>-65000</v>
      </c>
      <c r="AU157" s="17">
        <f t="shared" si="43"/>
        <v>0</v>
      </c>
      <c r="AV157" s="17">
        <f t="shared" si="37"/>
        <v>-32500</v>
      </c>
      <c r="AW157" s="17">
        <f t="shared" si="38"/>
        <v>-29250</v>
      </c>
      <c r="AX157" s="18">
        <v>50000</v>
      </c>
      <c r="AY157" s="18"/>
      <c r="AZ157" s="17">
        <f t="shared" si="34"/>
        <v>-79250</v>
      </c>
      <c r="BA157" s="16"/>
      <c r="BB157" s="16"/>
      <c r="BC157" s="16"/>
    </row>
    <row r="158" spans="1:55" ht="16.899999999999999">
      <c r="A158" s="36">
        <v>157</v>
      </c>
      <c r="B158" s="35"/>
      <c r="C158" s="33"/>
      <c r="D158" s="33"/>
      <c r="E158" s="33"/>
      <c r="F158" s="33"/>
      <c r="G158" s="33"/>
      <c r="H158" s="33"/>
      <c r="I158" s="33"/>
      <c r="J158" s="33"/>
      <c r="K158" s="35"/>
      <c r="L158" s="34"/>
      <c r="M158" s="32"/>
      <c r="N158" s="32"/>
      <c r="O158" s="31">
        <f t="shared" si="35"/>
        <v>0</v>
      </c>
      <c r="P158" s="30"/>
      <c r="Q158" s="30"/>
      <c r="R158" s="30"/>
      <c r="S158" s="30"/>
      <c r="T158" s="29"/>
      <c r="U158" s="20"/>
      <c r="V158" s="28"/>
      <c r="W158" s="20"/>
      <c r="X158" s="27"/>
      <c r="Y158" s="26"/>
      <c r="Z158" s="25">
        <f t="shared" si="44"/>
        <v>0</v>
      </c>
      <c r="AA158" s="20">
        <f t="shared" si="39"/>
        <v>0</v>
      </c>
      <c r="AB158" s="24">
        <f t="shared" si="36"/>
        <v>0</v>
      </c>
      <c r="AC158" s="37"/>
      <c r="AD158" s="37"/>
      <c r="AE158" s="22"/>
      <c r="AF158" s="20"/>
      <c r="AG158" s="21"/>
      <c r="AH158" s="20"/>
      <c r="AI158" s="21"/>
      <c r="AJ158" s="20"/>
      <c r="AK158" s="20"/>
      <c r="AL158" s="20"/>
      <c r="AM158" s="19">
        <v>35000</v>
      </c>
      <c r="AN158" s="19">
        <v>30000</v>
      </c>
      <c r="AO158" s="19"/>
      <c r="AP158" s="19"/>
      <c r="AQ158" s="19"/>
      <c r="AR158" s="19">
        <f t="shared" si="40"/>
        <v>65000</v>
      </c>
      <c r="AS158" s="17">
        <f t="shared" si="41"/>
        <v>-65000</v>
      </c>
      <c r="AT158" s="17">
        <f t="shared" si="42"/>
        <v>-65000</v>
      </c>
      <c r="AU158" s="17">
        <f t="shared" si="43"/>
        <v>0</v>
      </c>
      <c r="AV158" s="17">
        <f t="shared" si="37"/>
        <v>-32500</v>
      </c>
      <c r="AW158" s="17">
        <f t="shared" si="38"/>
        <v>-29250</v>
      </c>
      <c r="AX158" s="18">
        <v>50000</v>
      </c>
      <c r="AY158" s="18"/>
      <c r="AZ158" s="17">
        <f t="shared" si="34"/>
        <v>-79250</v>
      </c>
      <c r="BA158" s="16"/>
      <c r="BB158" s="16"/>
      <c r="BC158" s="16"/>
    </row>
    <row r="159" spans="1:55" ht="16.899999999999999">
      <c r="A159" s="36">
        <v>158</v>
      </c>
      <c r="B159" s="35"/>
      <c r="C159" s="33"/>
      <c r="D159" s="33"/>
      <c r="E159" s="33"/>
      <c r="F159" s="33"/>
      <c r="G159" s="33"/>
      <c r="H159" s="33"/>
      <c r="I159" s="33"/>
      <c r="J159" s="33"/>
      <c r="K159" s="35"/>
      <c r="L159" s="34"/>
      <c r="M159" s="32"/>
      <c r="N159" s="32"/>
      <c r="O159" s="31">
        <f t="shared" si="35"/>
        <v>0</v>
      </c>
      <c r="P159" s="30"/>
      <c r="Q159" s="30"/>
      <c r="R159" s="30"/>
      <c r="S159" s="30"/>
      <c r="T159" s="29"/>
      <c r="U159" s="20"/>
      <c r="V159" s="28"/>
      <c r="W159" s="20"/>
      <c r="X159" s="27"/>
      <c r="Y159" s="26"/>
      <c r="Z159" s="25">
        <f t="shared" si="44"/>
        <v>0</v>
      </c>
      <c r="AA159" s="20">
        <f t="shared" si="39"/>
        <v>0</v>
      </c>
      <c r="AB159" s="24">
        <f t="shared" si="36"/>
        <v>0</v>
      </c>
      <c r="AC159" s="37"/>
      <c r="AD159" s="37"/>
      <c r="AE159" s="22"/>
      <c r="AF159" s="20"/>
      <c r="AG159" s="21"/>
      <c r="AH159" s="20"/>
      <c r="AI159" s="21"/>
      <c r="AJ159" s="20"/>
      <c r="AK159" s="20"/>
      <c r="AL159" s="20"/>
      <c r="AM159" s="19">
        <v>35000</v>
      </c>
      <c r="AN159" s="19">
        <v>30000</v>
      </c>
      <c r="AO159" s="19"/>
      <c r="AP159" s="19"/>
      <c r="AQ159" s="19"/>
      <c r="AR159" s="19">
        <f t="shared" si="40"/>
        <v>65000</v>
      </c>
      <c r="AS159" s="17">
        <f t="shared" si="41"/>
        <v>-65000</v>
      </c>
      <c r="AT159" s="17">
        <f t="shared" si="42"/>
        <v>-65000</v>
      </c>
      <c r="AU159" s="17">
        <f t="shared" si="43"/>
        <v>0</v>
      </c>
      <c r="AV159" s="17">
        <f t="shared" si="37"/>
        <v>-32500</v>
      </c>
      <c r="AW159" s="17">
        <f t="shared" si="38"/>
        <v>-29250</v>
      </c>
      <c r="AX159" s="18">
        <v>50000</v>
      </c>
      <c r="AY159" s="18"/>
      <c r="AZ159" s="17">
        <f t="shared" si="34"/>
        <v>-79250</v>
      </c>
      <c r="BA159" s="16"/>
      <c r="BB159" s="16"/>
      <c r="BC159" s="16"/>
    </row>
    <row r="160" spans="1:55" ht="16.899999999999999">
      <c r="A160" s="36">
        <v>159</v>
      </c>
      <c r="B160" s="35"/>
      <c r="C160" s="33"/>
      <c r="D160" s="33"/>
      <c r="E160" s="33"/>
      <c r="F160" s="33"/>
      <c r="G160" s="33"/>
      <c r="H160" s="33"/>
      <c r="I160" s="33"/>
      <c r="J160" s="33"/>
      <c r="K160" s="35"/>
      <c r="L160" s="34"/>
      <c r="M160" s="32"/>
      <c r="N160" s="32"/>
      <c r="O160" s="31">
        <f t="shared" si="35"/>
        <v>0</v>
      </c>
      <c r="P160" s="30"/>
      <c r="Q160" s="30"/>
      <c r="R160" s="30"/>
      <c r="S160" s="30"/>
      <c r="T160" s="29"/>
      <c r="U160" s="20"/>
      <c r="V160" s="28"/>
      <c r="W160" s="20"/>
      <c r="X160" s="27"/>
      <c r="Y160" s="26"/>
      <c r="Z160" s="25">
        <f t="shared" si="44"/>
        <v>0</v>
      </c>
      <c r="AA160" s="20">
        <f t="shared" si="39"/>
        <v>0</v>
      </c>
      <c r="AB160" s="24">
        <f t="shared" si="36"/>
        <v>0</v>
      </c>
      <c r="AC160" s="37"/>
      <c r="AD160" s="37"/>
      <c r="AE160" s="22"/>
      <c r="AF160" s="20"/>
      <c r="AG160" s="21"/>
      <c r="AH160" s="20"/>
      <c r="AI160" s="21"/>
      <c r="AJ160" s="20"/>
      <c r="AK160" s="20"/>
      <c r="AL160" s="20"/>
      <c r="AM160" s="19">
        <v>35000</v>
      </c>
      <c r="AN160" s="19">
        <v>30000</v>
      </c>
      <c r="AO160" s="19"/>
      <c r="AP160" s="19"/>
      <c r="AQ160" s="19"/>
      <c r="AR160" s="19">
        <f t="shared" si="40"/>
        <v>65000</v>
      </c>
      <c r="AS160" s="17">
        <f t="shared" si="41"/>
        <v>-65000</v>
      </c>
      <c r="AT160" s="17">
        <f t="shared" si="42"/>
        <v>-65000</v>
      </c>
      <c r="AU160" s="17">
        <f t="shared" si="43"/>
        <v>0</v>
      </c>
      <c r="AV160" s="17">
        <f t="shared" si="37"/>
        <v>-32500</v>
      </c>
      <c r="AW160" s="17">
        <f t="shared" si="38"/>
        <v>-29250</v>
      </c>
      <c r="AX160" s="18">
        <v>50000</v>
      </c>
      <c r="AY160" s="18"/>
      <c r="AZ160" s="17">
        <f t="shared" si="34"/>
        <v>-79250</v>
      </c>
      <c r="BA160" s="16"/>
      <c r="BB160" s="16"/>
      <c r="BC160" s="16"/>
    </row>
    <row r="161" spans="1:55" ht="16.899999999999999">
      <c r="A161" s="36">
        <v>160</v>
      </c>
      <c r="B161" s="35"/>
      <c r="C161" s="33"/>
      <c r="D161" s="33"/>
      <c r="E161" s="33"/>
      <c r="F161" s="33"/>
      <c r="G161" s="33"/>
      <c r="H161" s="33"/>
      <c r="I161" s="33"/>
      <c r="J161" s="33"/>
      <c r="K161" s="35"/>
      <c r="L161" s="34"/>
      <c r="M161" s="32"/>
      <c r="N161" s="32"/>
      <c r="O161" s="31">
        <f t="shared" si="35"/>
        <v>0</v>
      </c>
      <c r="P161" s="30"/>
      <c r="Q161" s="30"/>
      <c r="R161" s="30"/>
      <c r="S161" s="30"/>
      <c r="T161" s="29"/>
      <c r="U161" s="20"/>
      <c r="V161" s="28"/>
      <c r="W161" s="20"/>
      <c r="X161" s="27"/>
      <c r="Y161" s="26"/>
      <c r="Z161" s="25">
        <f t="shared" si="44"/>
        <v>0</v>
      </c>
      <c r="AA161" s="20">
        <f t="shared" si="39"/>
        <v>0</v>
      </c>
      <c r="AB161" s="24">
        <f t="shared" si="36"/>
        <v>0</v>
      </c>
      <c r="AC161" s="37"/>
      <c r="AD161" s="37"/>
      <c r="AE161" s="22"/>
      <c r="AF161" s="20"/>
      <c r="AG161" s="21"/>
      <c r="AH161" s="20"/>
      <c r="AI161" s="21"/>
      <c r="AJ161" s="20"/>
      <c r="AK161" s="20"/>
      <c r="AL161" s="20"/>
      <c r="AM161" s="19">
        <v>35000</v>
      </c>
      <c r="AN161" s="19">
        <v>30000</v>
      </c>
      <c r="AO161" s="19"/>
      <c r="AP161" s="19"/>
      <c r="AQ161" s="19"/>
      <c r="AR161" s="19">
        <f t="shared" si="40"/>
        <v>65000</v>
      </c>
      <c r="AS161" s="17">
        <f t="shared" si="41"/>
        <v>-65000</v>
      </c>
      <c r="AT161" s="17">
        <f t="shared" si="42"/>
        <v>-65000</v>
      </c>
      <c r="AU161" s="17">
        <f t="shared" si="43"/>
        <v>0</v>
      </c>
      <c r="AV161" s="17">
        <f t="shared" si="37"/>
        <v>-32500</v>
      </c>
      <c r="AW161" s="17">
        <f t="shared" si="38"/>
        <v>-29250</v>
      </c>
      <c r="AX161" s="18">
        <v>50000</v>
      </c>
      <c r="AY161" s="18"/>
      <c r="AZ161" s="17">
        <f t="shared" si="34"/>
        <v>-79250</v>
      </c>
      <c r="BA161" s="16"/>
      <c r="BB161" s="16"/>
      <c r="BC161" s="16"/>
    </row>
    <row r="162" spans="1:55" ht="16.899999999999999">
      <c r="A162" s="36">
        <v>161</v>
      </c>
      <c r="B162" s="35"/>
      <c r="C162" s="33"/>
      <c r="D162" s="33"/>
      <c r="E162" s="33"/>
      <c r="F162" s="33"/>
      <c r="G162" s="33"/>
      <c r="H162" s="33"/>
      <c r="I162" s="33"/>
      <c r="J162" s="33"/>
      <c r="K162" s="35"/>
      <c r="L162" s="34"/>
      <c r="M162" s="32"/>
      <c r="N162" s="32"/>
      <c r="O162" s="31">
        <f t="shared" si="35"/>
        <v>0</v>
      </c>
      <c r="P162" s="30"/>
      <c r="Q162" s="30"/>
      <c r="R162" s="30"/>
      <c r="S162" s="30"/>
      <c r="T162" s="29"/>
      <c r="U162" s="20"/>
      <c r="V162" s="28"/>
      <c r="W162" s="20"/>
      <c r="X162" s="27"/>
      <c r="Y162" s="26"/>
      <c r="Z162" s="25">
        <f t="shared" si="44"/>
        <v>0</v>
      </c>
      <c r="AA162" s="20">
        <f t="shared" si="39"/>
        <v>0</v>
      </c>
      <c r="AB162" s="24">
        <f t="shared" si="36"/>
        <v>0</v>
      </c>
      <c r="AC162" s="37"/>
      <c r="AD162" s="37"/>
      <c r="AE162" s="22"/>
      <c r="AF162" s="20"/>
      <c r="AG162" s="21"/>
      <c r="AH162" s="20"/>
      <c r="AI162" s="21"/>
      <c r="AJ162" s="20"/>
      <c r="AK162" s="20"/>
      <c r="AL162" s="20"/>
      <c r="AM162" s="19">
        <v>35000</v>
      </c>
      <c r="AN162" s="19">
        <v>30000</v>
      </c>
      <c r="AO162" s="19"/>
      <c r="AP162" s="19"/>
      <c r="AQ162" s="19"/>
      <c r="AR162" s="19">
        <f t="shared" si="40"/>
        <v>65000</v>
      </c>
      <c r="AS162" s="17">
        <f t="shared" si="41"/>
        <v>-65000</v>
      </c>
      <c r="AT162" s="17">
        <f t="shared" si="42"/>
        <v>-65000</v>
      </c>
      <c r="AU162" s="17">
        <f t="shared" si="43"/>
        <v>0</v>
      </c>
      <c r="AV162" s="17">
        <f t="shared" si="37"/>
        <v>-32500</v>
      </c>
      <c r="AW162" s="17">
        <f t="shared" si="38"/>
        <v>-29250</v>
      </c>
      <c r="AX162" s="18">
        <v>50000</v>
      </c>
      <c r="AY162" s="18"/>
      <c r="AZ162" s="17">
        <f t="shared" si="34"/>
        <v>-79250</v>
      </c>
      <c r="BA162" s="16"/>
      <c r="BB162" s="16"/>
      <c r="BC162" s="16"/>
    </row>
    <row r="163" spans="1:55" ht="16.899999999999999">
      <c r="A163" s="36">
        <v>162</v>
      </c>
      <c r="B163" s="35"/>
      <c r="C163" s="33"/>
      <c r="D163" s="33"/>
      <c r="E163" s="33"/>
      <c r="F163" s="33"/>
      <c r="G163" s="33"/>
      <c r="H163" s="33"/>
      <c r="I163" s="33"/>
      <c r="J163" s="33"/>
      <c r="K163" s="35"/>
      <c r="L163" s="34"/>
      <c r="M163" s="32"/>
      <c r="N163" s="32"/>
      <c r="O163" s="31">
        <f t="shared" si="35"/>
        <v>0</v>
      </c>
      <c r="P163" s="30"/>
      <c r="Q163" s="30"/>
      <c r="R163" s="30"/>
      <c r="S163" s="30"/>
      <c r="T163" s="29"/>
      <c r="U163" s="20"/>
      <c r="V163" s="28"/>
      <c r="W163" s="20"/>
      <c r="X163" s="27"/>
      <c r="Y163" s="26"/>
      <c r="Z163" s="25">
        <f t="shared" si="44"/>
        <v>0</v>
      </c>
      <c r="AA163" s="20">
        <f t="shared" si="39"/>
        <v>0</v>
      </c>
      <c r="AB163" s="24">
        <f t="shared" si="36"/>
        <v>0</v>
      </c>
      <c r="AC163" s="37"/>
      <c r="AD163" s="37"/>
      <c r="AE163" s="22"/>
      <c r="AF163" s="20"/>
      <c r="AG163" s="21"/>
      <c r="AH163" s="20"/>
      <c r="AI163" s="21"/>
      <c r="AJ163" s="20"/>
      <c r="AK163" s="20"/>
      <c r="AL163" s="20"/>
      <c r="AM163" s="19">
        <v>35000</v>
      </c>
      <c r="AN163" s="19">
        <v>30000</v>
      </c>
      <c r="AO163" s="19"/>
      <c r="AP163" s="19"/>
      <c r="AQ163" s="19"/>
      <c r="AR163" s="19">
        <f t="shared" si="40"/>
        <v>65000</v>
      </c>
      <c r="AS163" s="17">
        <f t="shared" si="41"/>
        <v>-65000</v>
      </c>
      <c r="AT163" s="17">
        <f t="shared" si="42"/>
        <v>-65000</v>
      </c>
      <c r="AU163" s="17">
        <f t="shared" si="43"/>
        <v>0</v>
      </c>
      <c r="AV163" s="17">
        <f t="shared" si="37"/>
        <v>-32500</v>
      </c>
      <c r="AW163" s="17">
        <f t="shared" si="38"/>
        <v>-29250</v>
      </c>
      <c r="AX163" s="18">
        <v>50000</v>
      </c>
      <c r="AY163" s="18"/>
      <c r="AZ163" s="17">
        <f t="shared" si="34"/>
        <v>-79250</v>
      </c>
      <c r="BA163" s="16"/>
      <c r="BB163" s="16"/>
      <c r="BC163" s="16"/>
    </row>
    <row r="164" spans="1:55" ht="16.899999999999999">
      <c r="A164" s="36">
        <v>163</v>
      </c>
      <c r="B164" s="35"/>
      <c r="C164" s="33"/>
      <c r="D164" s="33"/>
      <c r="E164" s="33"/>
      <c r="F164" s="33"/>
      <c r="G164" s="33"/>
      <c r="H164" s="33"/>
      <c r="I164" s="33"/>
      <c r="J164" s="33"/>
      <c r="K164" s="35"/>
      <c r="L164" s="34"/>
      <c r="M164" s="32"/>
      <c r="N164" s="32"/>
      <c r="O164" s="31">
        <f t="shared" si="35"/>
        <v>0</v>
      </c>
      <c r="P164" s="30"/>
      <c r="Q164" s="30"/>
      <c r="R164" s="30"/>
      <c r="S164" s="30"/>
      <c r="T164" s="29"/>
      <c r="U164" s="20"/>
      <c r="V164" s="28"/>
      <c r="W164" s="20"/>
      <c r="X164" s="27"/>
      <c r="Y164" s="26"/>
      <c r="Z164" s="25">
        <f t="shared" si="44"/>
        <v>0</v>
      </c>
      <c r="AA164" s="20">
        <f t="shared" si="39"/>
        <v>0</v>
      </c>
      <c r="AB164" s="24">
        <f t="shared" si="36"/>
        <v>0</v>
      </c>
      <c r="AC164" s="37"/>
      <c r="AD164" s="37"/>
      <c r="AE164" s="22"/>
      <c r="AF164" s="20"/>
      <c r="AG164" s="21"/>
      <c r="AH164" s="20"/>
      <c r="AI164" s="21"/>
      <c r="AJ164" s="20"/>
      <c r="AK164" s="20"/>
      <c r="AL164" s="20"/>
      <c r="AM164" s="19">
        <v>35000</v>
      </c>
      <c r="AN164" s="19">
        <v>30000</v>
      </c>
      <c r="AO164" s="19"/>
      <c r="AP164" s="19"/>
      <c r="AQ164" s="19"/>
      <c r="AR164" s="19">
        <f t="shared" si="40"/>
        <v>65000</v>
      </c>
      <c r="AS164" s="17">
        <f t="shared" si="41"/>
        <v>-65000</v>
      </c>
      <c r="AT164" s="17">
        <f t="shared" si="42"/>
        <v>-65000</v>
      </c>
      <c r="AU164" s="17">
        <f t="shared" si="43"/>
        <v>0</v>
      </c>
      <c r="AV164" s="17">
        <f t="shared" si="37"/>
        <v>-32500</v>
      </c>
      <c r="AW164" s="17">
        <f t="shared" si="38"/>
        <v>-29250</v>
      </c>
      <c r="AX164" s="18">
        <v>50000</v>
      </c>
      <c r="AY164" s="18"/>
      <c r="AZ164" s="17">
        <f t="shared" si="34"/>
        <v>-79250</v>
      </c>
      <c r="BA164" s="16"/>
      <c r="BB164" s="16"/>
      <c r="BC164" s="16"/>
    </row>
    <row r="165" spans="1:55" ht="16.899999999999999">
      <c r="A165" s="36">
        <v>164</v>
      </c>
      <c r="B165" s="35"/>
      <c r="C165" s="33"/>
      <c r="D165" s="33"/>
      <c r="E165" s="33"/>
      <c r="F165" s="33"/>
      <c r="G165" s="33"/>
      <c r="H165" s="33"/>
      <c r="I165" s="33"/>
      <c r="J165" s="33"/>
      <c r="K165" s="35"/>
      <c r="L165" s="34"/>
      <c r="M165" s="32"/>
      <c r="N165" s="32"/>
      <c r="O165" s="31">
        <f t="shared" si="35"/>
        <v>0</v>
      </c>
      <c r="P165" s="30"/>
      <c r="Q165" s="30"/>
      <c r="R165" s="30"/>
      <c r="S165" s="30"/>
      <c r="T165" s="29"/>
      <c r="U165" s="20"/>
      <c r="V165" s="28"/>
      <c r="W165" s="20"/>
      <c r="X165" s="27"/>
      <c r="Y165" s="26"/>
      <c r="Z165" s="25">
        <f t="shared" si="44"/>
        <v>0</v>
      </c>
      <c r="AA165" s="20">
        <f t="shared" si="39"/>
        <v>0</v>
      </c>
      <c r="AB165" s="24">
        <f t="shared" si="36"/>
        <v>0</v>
      </c>
      <c r="AC165" s="37"/>
      <c r="AD165" s="37"/>
      <c r="AE165" s="22"/>
      <c r="AF165" s="20"/>
      <c r="AG165" s="21"/>
      <c r="AH165" s="20"/>
      <c r="AI165" s="21"/>
      <c r="AJ165" s="20"/>
      <c r="AK165" s="20"/>
      <c r="AL165" s="20"/>
      <c r="AM165" s="19">
        <v>35000</v>
      </c>
      <c r="AN165" s="19">
        <v>30000</v>
      </c>
      <c r="AO165" s="19"/>
      <c r="AP165" s="19"/>
      <c r="AQ165" s="19"/>
      <c r="AR165" s="19">
        <f t="shared" si="40"/>
        <v>65000</v>
      </c>
      <c r="AS165" s="17">
        <f t="shared" si="41"/>
        <v>-65000</v>
      </c>
      <c r="AT165" s="17">
        <f t="shared" si="42"/>
        <v>-65000</v>
      </c>
      <c r="AU165" s="17">
        <f t="shared" si="43"/>
        <v>0</v>
      </c>
      <c r="AV165" s="17">
        <f t="shared" si="37"/>
        <v>-32500</v>
      </c>
      <c r="AW165" s="17">
        <f t="shared" si="38"/>
        <v>-29250</v>
      </c>
      <c r="AX165" s="18">
        <v>50000</v>
      </c>
      <c r="AY165" s="18"/>
      <c r="AZ165" s="17">
        <f t="shared" ref="AZ165:AZ228" si="45">SUM(AW165-AX165-AY165)</f>
        <v>-79250</v>
      </c>
      <c r="BA165" s="16"/>
      <c r="BB165" s="16"/>
      <c r="BC165" s="16"/>
    </row>
    <row r="166" spans="1:55" ht="16.5" customHeight="1">
      <c r="A166" s="36">
        <v>165</v>
      </c>
      <c r="B166" s="35"/>
      <c r="C166" s="33"/>
      <c r="D166" s="33"/>
      <c r="E166" s="33"/>
      <c r="F166" s="33"/>
      <c r="G166" s="33"/>
      <c r="H166" s="33"/>
      <c r="I166" s="33"/>
      <c r="J166" s="33"/>
      <c r="K166" s="35"/>
      <c r="L166" s="34"/>
      <c r="M166" s="32"/>
      <c r="N166" s="32"/>
      <c r="O166" s="31">
        <f t="shared" si="35"/>
        <v>0</v>
      </c>
      <c r="P166" s="30"/>
      <c r="Q166" s="30"/>
      <c r="R166" s="30"/>
      <c r="S166" s="30"/>
      <c r="T166" s="29"/>
      <c r="U166" s="20"/>
      <c r="V166" s="28"/>
      <c r="W166" s="20"/>
      <c r="X166" s="27"/>
      <c r="Y166" s="26"/>
      <c r="Z166" s="25">
        <f t="shared" si="44"/>
        <v>0</v>
      </c>
      <c r="AA166" s="20">
        <f t="shared" si="39"/>
        <v>0</v>
      </c>
      <c r="AB166" s="24">
        <f t="shared" si="36"/>
        <v>0</v>
      </c>
      <c r="AC166" s="37"/>
      <c r="AD166" s="37"/>
      <c r="AE166" s="22"/>
      <c r="AF166" s="20"/>
      <c r="AG166" s="21"/>
      <c r="AH166" s="20"/>
      <c r="AI166" s="21"/>
      <c r="AJ166" s="20"/>
      <c r="AK166" s="20"/>
      <c r="AL166" s="20"/>
      <c r="AM166" s="19">
        <v>35000</v>
      </c>
      <c r="AN166" s="19">
        <v>30000</v>
      </c>
      <c r="AO166" s="19"/>
      <c r="AP166" s="19"/>
      <c r="AQ166" s="19"/>
      <c r="AR166" s="19">
        <f t="shared" si="40"/>
        <v>65000</v>
      </c>
      <c r="AS166" s="17">
        <f t="shared" si="41"/>
        <v>-65000</v>
      </c>
      <c r="AT166" s="17">
        <f t="shared" si="42"/>
        <v>-65000</v>
      </c>
      <c r="AU166" s="17">
        <f t="shared" si="43"/>
        <v>0</v>
      </c>
      <c r="AV166" s="17">
        <f t="shared" si="37"/>
        <v>-32500</v>
      </c>
      <c r="AW166" s="17">
        <f t="shared" si="38"/>
        <v>-29250</v>
      </c>
      <c r="AX166" s="18">
        <v>50000</v>
      </c>
      <c r="AY166" s="18"/>
      <c r="AZ166" s="17">
        <f t="shared" si="45"/>
        <v>-79250</v>
      </c>
      <c r="BA166" s="16"/>
      <c r="BB166" s="16"/>
      <c r="BC166" s="16"/>
    </row>
    <row r="167" spans="1:55" ht="16.899999999999999">
      <c r="A167" s="36">
        <v>166</v>
      </c>
      <c r="B167" s="35"/>
      <c r="C167" s="33"/>
      <c r="D167" s="33"/>
      <c r="E167" s="33"/>
      <c r="F167" s="33"/>
      <c r="G167" s="33"/>
      <c r="H167" s="33"/>
      <c r="I167" s="33"/>
      <c r="J167" s="33"/>
      <c r="K167" s="35"/>
      <c r="L167" s="34"/>
      <c r="M167" s="32"/>
      <c r="N167" s="32"/>
      <c r="O167" s="31">
        <f t="shared" si="35"/>
        <v>0</v>
      </c>
      <c r="P167" s="30"/>
      <c r="Q167" s="30"/>
      <c r="R167" s="30"/>
      <c r="S167" s="30"/>
      <c r="T167" s="29"/>
      <c r="U167" s="20"/>
      <c r="V167" s="28"/>
      <c r="W167" s="20"/>
      <c r="X167" s="27"/>
      <c r="Y167" s="26"/>
      <c r="Z167" s="25">
        <f t="shared" si="44"/>
        <v>0</v>
      </c>
      <c r="AA167" s="20">
        <f t="shared" si="39"/>
        <v>0</v>
      </c>
      <c r="AB167" s="24">
        <f t="shared" si="36"/>
        <v>0</v>
      </c>
      <c r="AC167" s="37"/>
      <c r="AD167" s="37"/>
      <c r="AE167" s="22"/>
      <c r="AF167" s="20"/>
      <c r="AG167" s="21"/>
      <c r="AH167" s="20"/>
      <c r="AI167" s="21"/>
      <c r="AJ167" s="20"/>
      <c r="AK167" s="20"/>
      <c r="AL167" s="20"/>
      <c r="AM167" s="19">
        <v>35000</v>
      </c>
      <c r="AN167" s="19">
        <v>30000</v>
      </c>
      <c r="AO167" s="19"/>
      <c r="AP167" s="19"/>
      <c r="AQ167" s="19"/>
      <c r="AR167" s="19">
        <f t="shared" si="40"/>
        <v>65000</v>
      </c>
      <c r="AS167" s="17">
        <f t="shared" si="41"/>
        <v>-65000</v>
      </c>
      <c r="AT167" s="17">
        <f t="shared" si="42"/>
        <v>-65000</v>
      </c>
      <c r="AU167" s="17">
        <f t="shared" si="43"/>
        <v>0</v>
      </c>
      <c r="AV167" s="17">
        <f t="shared" si="37"/>
        <v>-32500</v>
      </c>
      <c r="AW167" s="17">
        <f t="shared" si="38"/>
        <v>-29250</v>
      </c>
      <c r="AX167" s="18">
        <v>50000</v>
      </c>
      <c r="AY167" s="18"/>
      <c r="AZ167" s="17">
        <f t="shared" si="45"/>
        <v>-79250</v>
      </c>
      <c r="BA167" s="16"/>
      <c r="BB167" s="16"/>
      <c r="BC167" s="16"/>
    </row>
    <row r="168" spans="1:55" ht="16.899999999999999">
      <c r="A168" s="36">
        <v>167</v>
      </c>
      <c r="B168" s="35"/>
      <c r="C168" s="33"/>
      <c r="D168" s="33"/>
      <c r="E168" s="33"/>
      <c r="F168" s="33"/>
      <c r="G168" s="33"/>
      <c r="H168" s="33"/>
      <c r="I168" s="33"/>
      <c r="J168" s="33"/>
      <c r="K168" s="35"/>
      <c r="L168" s="34"/>
      <c r="M168" s="32"/>
      <c r="N168" s="32"/>
      <c r="O168" s="31">
        <f t="shared" si="35"/>
        <v>0</v>
      </c>
      <c r="P168" s="30"/>
      <c r="Q168" s="30"/>
      <c r="R168" s="30"/>
      <c r="S168" s="30"/>
      <c r="T168" s="29"/>
      <c r="U168" s="20"/>
      <c r="V168" s="28"/>
      <c r="W168" s="20"/>
      <c r="X168" s="27"/>
      <c r="Y168" s="26"/>
      <c r="Z168" s="25">
        <f t="shared" si="44"/>
        <v>0</v>
      </c>
      <c r="AA168" s="20">
        <f t="shared" si="39"/>
        <v>0</v>
      </c>
      <c r="AB168" s="24">
        <f t="shared" si="36"/>
        <v>0</v>
      </c>
      <c r="AC168" s="37"/>
      <c r="AD168" s="37"/>
      <c r="AE168" s="22"/>
      <c r="AF168" s="20"/>
      <c r="AG168" s="21"/>
      <c r="AH168" s="20"/>
      <c r="AI168" s="21"/>
      <c r="AJ168" s="20"/>
      <c r="AK168" s="20"/>
      <c r="AL168" s="20"/>
      <c r="AM168" s="19">
        <v>35000</v>
      </c>
      <c r="AN168" s="19">
        <v>30000</v>
      </c>
      <c r="AO168" s="19"/>
      <c r="AP168" s="19"/>
      <c r="AQ168" s="19"/>
      <c r="AR168" s="19">
        <f t="shared" si="40"/>
        <v>65000</v>
      </c>
      <c r="AS168" s="17">
        <f t="shared" si="41"/>
        <v>-65000</v>
      </c>
      <c r="AT168" s="17">
        <f t="shared" si="42"/>
        <v>-65000</v>
      </c>
      <c r="AU168" s="17">
        <f t="shared" si="43"/>
        <v>0</v>
      </c>
      <c r="AV168" s="17">
        <f t="shared" si="37"/>
        <v>-32500</v>
      </c>
      <c r="AW168" s="17">
        <f t="shared" si="38"/>
        <v>-29250</v>
      </c>
      <c r="AX168" s="18">
        <v>50000</v>
      </c>
      <c r="AY168" s="18"/>
      <c r="AZ168" s="17">
        <f t="shared" si="45"/>
        <v>-79250</v>
      </c>
      <c r="BA168" s="16"/>
      <c r="BB168" s="16"/>
      <c r="BC168" s="16"/>
    </row>
    <row r="169" spans="1:55" s="6" customFormat="1" ht="16.899999999999999">
      <c r="A169" s="36">
        <v>168</v>
      </c>
      <c r="B169" s="35"/>
      <c r="C169" s="33"/>
      <c r="D169" s="33"/>
      <c r="E169" s="33"/>
      <c r="F169" s="33"/>
      <c r="G169" s="33"/>
      <c r="H169" s="33"/>
      <c r="I169" s="33"/>
      <c r="J169" s="33"/>
      <c r="K169" s="35"/>
      <c r="L169" s="34"/>
      <c r="M169" s="32"/>
      <c r="N169" s="32"/>
      <c r="O169" s="31">
        <f t="shared" si="35"/>
        <v>0</v>
      </c>
      <c r="P169" s="30"/>
      <c r="Q169" s="30"/>
      <c r="R169" s="30"/>
      <c r="S169" s="30"/>
      <c r="T169" s="29"/>
      <c r="U169" s="20"/>
      <c r="V169" s="28"/>
      <c r="W169" s="20"/>
      <c r="X169" s="27"/>
      <c r="Y169" s="26"/>
      <c r="Z169" s="25">
        <f t="shared" si="44"/>
        <v>0</v>
      </c>
      <c r="AA169" s="20">
        <f t="shared" si="39"/>
        <v>0</v>
      </c>
      <c r="AB169" s="24">
        <f t="shared" si="36"/>
        <v>0</v>
      </c>
      <c r="AC169" s="37"/>
      <c r="AD169" s="37"/>
      <c r="AE169" s="22"/>
      <c r="AF169" s="20"/>
      <c r="AG169" s="21"/>
      <c r="AH169" s="20"/>
      <c r="AI169" s="21"/>
      <c r="AJ169" s="20"/>
      <c r="AK169" s="20"/>
      <c r="AL169" s="20"/>
      <c r="AM169" s="19">
        <v>35000</v>
      </c>
      <c r="AN169" s="19">
        <v>30000</v>
      </c>
      <c r="AO169" s="19"/>
      <c r="AP169" s="19"/>
      <c r="AQ169" s="19"/>
      <c r="AR169" s="19">
        <f t="shared" si="40"/>
        <v>65000</v>
      </c>
      <c r="AS169" s="17">
        <f t="shared" si="41"/>
        <v>-65000</v>
      </c>
      <c r="AT169" s="17">
        <f t="shared" si="42"/>
        <v>-65000</v>
      </c>
      <c r="AU169" s="17">
        <f t="shared" si="43"/>
        <v>0</v>
      </c>
      <c r="AV169" s="17">
        <f t="shared" si="37"/>
        <v>-32500</v>
      </c>
      <c r="AW169" s="17">
        <f t="shared" si="38"/>
        <v>-29250</v>
      </c>
      <c r="AX169" s="18">
        <v>50000</v>
      </c>
      <c r="AY169" s="18"/>
      <c r="AZ169" s="17">
        <f t="shared" si="45"/>
        <v>-79250</v>
      </c>
      <c r="BA169" s="16"/>
      <c r="BB169" s="15"/>
      <c r="BC169" s="15"/>
    </row>
    <row r="170" spans="1:55" s="6" customFormat="1" ht="16.899999999999999">
      <c r="A170" s="36">
        <v>169</v>
      </c>
      <c r="B170" s="35"/>
      <c r="C170" s="33"/>
      <c r="D170" s="33"/>
      <c r="E170" s="33"/>
      <c r="F170" s="33"/>
      <c r="G170" s="33"/>
      <c r="H170" s="33"/>
      <c r="I170" s="33"/>
      <c r="J170" s="33"/>
      <c r="K170" s="35"/>
      <c r="L170" s="34"/>
      <c r="M170" s="32"/>
      <c r="N170" s="32"/>
      <c r="O170" s="31">
        <f t="shared" si="35"/>
        <v>0</v>
      </c>
      <c r="P170" s="30"/>
      <c r="Q170" s="30"/>
      <c r="R170" s="30"/>
      <c r="S170" s="30"/>
      <c r="T170" s="29"/>
      <c r="U170" s="20"/>
      <c r="V170" s="28"/>
      <c r="W170" s="20"/>
      <c r="X170" s="27"/>
      <c r="Y170" s="26"/>
      <c r="Z170" s="25">
        <f t="shared" si="44"/>
        <v>0</v>
      </c>
      <c r="AA170" s="20">
        <f t="shared" si="39"/>
        <v>0</v>
      </c>
      <c r="AB170" s="24">
        <f t="shared" si="36"/>
        <v>0</v>
      </c>
      <c r="AC170" s="37"/>
      <c r="AD170" s="37"/>
      <c r="AE170" s="22"/>
      <c r="AF170" s="20"/>
      <c r="AG170" s="21"/>
      <c r="AH170" s="20"/>
      <c r="AI170" s="21"/>
      <c r="AJ170" s="20"/>
      <c r="AK170" s="20"/>
      <c r="AL170" s="20"/>
      <c r="AM170" s="19">
        <v>35000</v>
      </c>
      <c r="AN170" s="19">
        <v>30000</v>
      </c>
      <c r="AO170" s="19"/>
      <c r="AP170" s="19"/>
      <c r="AQ170" s="19"/>
      <c r="AR170" s="19">
        <f t="shared" si="40"/>
        <v>65000</v>
      </c>
      <c r="AS170" s="17">
        <f t="shared" si="41"/>
        <v>-65000</v>
      </c>
      <c r="AT170" s="17">
        <f t="shared" si="42"/>
        <v>-65000</v>
      </c>
      <c r="AU170" s="17">
        <f t="shared" si="43"/>
        <v>0</v>
      </c>
      <c r="AV170" s="17">
        <f t="shared" si="37"/>
        <v>-32500</v>
      </c>
      <c r="AW170" s="17">
        <f t="shared" si="38"/>
        <v>-29250</v>
      </c>
      <c r="AX170" s="18">
        <v>50000</v>
      </c>
      <c r="AY170" s="18"/>
      <c r="AZ170" s="17">
        <f t="shared" si="45"/>
        <v>-79250</v>
      </c>
      <c r="BA170" s="16"/>
      <c r="BB170" s="15"/>
      <c r="BC170" s="15"/>
    </row>
    <row r="171" spans="1:55" s="6" customFormat="1" ht="16.899999999999999">
      <c r="A171" s="36">
        <v>170</v>
      </c>
      <c r="B171" s="35"/>
      <c r="C171" s="33"/>
      <c r="D171" s="33"/>
      <c r="E171" s="33"/>
      <c r="F171" s="33"/>
      <c r="G171" s="33"/>
      <c r="H171" s="33"/>
      <c r="I171" s="33"/>
      <c r="J171" s="33"/>
      <c r="K171" s="35"/>
      <c r="L171" s="34"/>
      <c r="M171" s="32"/>
      <c r="N171" s="32"/>
      <c r="O171" s="31">
        <f t="shared" si="35"/>
        <v>0</v>
      </c>
      <c r="P171" s="30"/>
      <c r="Q171" s="30"/>
      <c r="R171" s="30"/>
      <c r="S171" s="30"/>
      <c r="T171" s="29"/>
      <c r="U171" s="20"/>
      <c r="V171" s="28"/>
      <c r="W171" s="20"/>
      <c r="X171" s="27"/>
      <c r="Y171" s="26"/>
      <c r="Z171" s="25">
        <f t="shared" si="44"/>
        <v>0</v>
      </c>
      <c r="AA171" s="20">
        <f t="shared" si="39"/>
        <v>0</v>
      </c>
      <c r="AB171" s="24">
        <f t="shared" si="36"/>
        <v>0</v>
      </c>
      <c r="AC171" s="37"/>
      <c r="AD171" s="37"/>
      <c r="AE171" s="22"/>
      <c r="AF171" s="20"/>
      <c r="AG171" s="21"/>
      <c r="AH171" s="20"/>
      <c r="AI171" s="21"/>
      <c r="AJ171" s="20"/>
      <c r="AK171" s="20"/>
      <c r="AL171" s="20"/>
      <c r="AM171" s="19">
        <v>35000</v>
      </c>
      <c r="AN171" s="19">
        <v>30000</v>
      </c>
      <c r="AO171" s="19"/>
      <c r="AP171" s="19"/>
      <c r="AQ171" s="19"/>
      <c r="AR171" s="19">
        <f t="shared" si="40"/>
        <v>65000</v>
      </c>
      <c r="AS171" s="17">
        <f t="shared" si="41"/>
        <v>-65000</v>
      </c>
      <c r="AT171" s="17">
        <f t="shared" si="42"/>
        <v>-65000</v>
      </c>
      <c r="AU171" s="17">
        <f t="shared" si="43"/>
        <v>0</v>
      </c>
      <c r="AV171" s="17">
        <f t="shared" si="37"/>
        <v>-32500</v>
      </c>
      <c r="AW171" s="17">
        <f t="shared" si="38"/>
        <v>-29250</v>
      </c>
      <c r="AX171" s="18">
        <v>50000</v>
      </c>
      <c r="AY171" s="18"/>
      <c r="AZ171" s="17">
        <f t="shared" si="45"/>
        <v>-79250</v>
      </c>
      <c r="BA171" s="16"/>
      <c r="BB171" s="15"/>
      <c r="BC171" s="15"/>
    </row>
    <row r="172" spans="1:55" s="6" customFormat="1" ht="16.899999999999999">
      <c r="A172" s="36">
        <v>171</v>
      </c>
      <c r="B172" s="35"/>
      <c r="C172" s="33"/>
      <c r="D172" s="33"/>
      <c r="E172" s="33"/>
      <c r="F172" s="33"/>
      <c r="G172" s="33"/>
      <c r="H172" s="33"/>
      <c r="I172" s="33"/>
      <c r="J172" s="33"/>
      <c r="K172" s="35"/>
      <c r="L172" s="34"/>
      <c r="M172" s="32"/>
      <c r="N172" s="32"/>
      <c r="O172" s="31">
        <f t="shared" si="35"/>
        <v>0</v>
      </c>
      <c r="P172" s="30"/>
      <c r="Q172" s="30"/>
      <c r="R172" s="30"/>
      <c r="S172" s="30"/>
      <c r="T172" s="29"/>
      <c r="U172" s="20"/>
      <c r="V172" s="28"/>
      <c r="W172" s="20"/>
      <c r="X172" s="27"/>
      <c r="Y172" s="26"/>
      <c r="Z172" s="25">
        <f t="shared" si="44"/>
        <v>0</v>
      </c>
      <c r="AA172" s="20">
        <f t="shared" si="39"/>
        <v>0</v>
      </c>
      <c r="AB172" s="24">
        <f t="shared" si="36"/>
        <v>0</v>
      </c>
      <c r="AC172" s="37"/>
      <c r="AD172" s="37"/>
      <c r="AE172" s="22"/>
      <c r="AF172" s="20"/>
      <c r="AG172" s="21"/>
      <c r="AH172" s="20"/>
      <c r="AI172" s="21"/>
      <c r="AJ172" s="20"/>
      <c r="AK172" s="20"/>
      <c r="AL172" s="20"/>
      <c r="AM172" s="19">
        <v>35000</v>
      </c>
      <c r="AN172" s="19">
        <v>30000</v>
      </c>
      <c r="AO172" s="19"/>
      <c r="AP172" s="19"/>
      <c r="AQ172" s="19"/>
      <c r="AR172" s="19">
        <f t="shared" si="40"/>
        <v>65000</v>
      </c>
      <c r="AS172" s="17">
        <f t="shared" si="41"/>
        <v>-65000</v>
      </c>
      <c r="AT172" s="17">
        <f t="shared" si="42"/>
        <v>-65000</v>
      </c>
      <c r="AU172" s="17">
        <f t="shared" si="43"/>
        <v>0</v>
      </c>
      <c r="AV172" s="17">
        <f t="shared" si="37"/>
        <v>-32500</v>
      </c>
      <c r="AW172" s="17">
        <f t="shared" si="38"/>
        <v>-29250</v>
      </c>
      <c r="AX172" s="18">
        <v>50000</v>
      </c>
      <c r="AY172" s="18"/>
      <c r="AZ172" s="17">
        <f t="shared" si="45"/>
        <v>-79250</v>
      </c>
      <c r="BA172" s="16"/>
      <c r="BB172" s="15"/>
      <c r="BC172" s="15"/>
    </row>
    <row r="173" spans="1:55" s="6" customFormat="1" ht="16.899999999999999">
      <c r="A173" s="36">
        <v>172</v>
      </c>
      <c r="B173" s="35"/>
      <c r="C173" s="33"/>
      <c r="D173" s="33"/>
      <c r="E173" s="33"/>
      <c r="F173" s="33"/>
      <c r="G173" s="33"/>
      <c r="H173" s="33"/>
      <c r="I173" s="33"/>
      <c r="J173" s="33"/>
      <c r="K173" s="35"/>
      <c r="L173" s="34"/>
      <c r="M173" s="32"/>
      <c r="N173" s="32"/>
      <c r="O173" s="31">
        <f t="shared" si="35"/>
        <v>0</v>
      </c>
      <c r="P173" s="30"/>
      <c r="Q173" s="30"/>
      <c r="R173" s="30"/>
      <c r="S173" s="30"/>
      <c r="T173" s="29"/>
      <c r="U173" s="20"/>
      <c r="V173" s="28"/>
      <c r="W173" s="20"/>
      <c r="X173" s="27"/>
      <c r="Y173" s="26"/>
      <c r="Z173" s="25">
        <f t="shared" si="44"/>
        <v>0</v>
      </c>
      <c r="AA173" s="20">
        <f t="shared" si="39"/>
        <v>0</v>
      </c>
      <c r="AB173" s="24">
        <f t="shared" si="36"/>
        <v>0</v>
      </c>
      <c r="AC173" s="37"/>
      <c r="AD173" s="37"/>
      <c r="AE173" s="22"/>
      <c r="AF173" s="20"/>
      <c r="AG173" s="21"/>
      <c r="AH173" s="20"/>
      <c r="AI173" s="21"/>
      <c r="AJ173" s="20"/>
      <c r="AK173" s="20"/>
      <c r="AL173" s="20"/>
      <c r="AM173" s="19">
        <v>35000</v>
      </c>
      <c r="AN173" s="19">
        <v>30000</v>
      </c>
      <c r="AO173" s="19"/>
      <c r="AP173" s="19"/>
      <c r="AQ173" s="19"/>
      <c r="AR173" s="19">
        <f t="shared" si="40"/>
        <v>65000</v>
      </c>
      <c r="AS173" s="17">
        <f t="shared" si="41"/>
        <v>-65000</v>
      </c>
      <c r="AT173" s="17">
        <f t="shared" si="42"/>
        <v>-65000</v>
      </c>
      <c r="AU173" s="17">
        <f t="shared" si="43"/>
        <v>0</v>
      </c>
      <c r="AV173" s="17">
        <f t="shared" si="37"/>
        <v>-32500</v>
      </c>
      <c r="AW173" s="17">
        <f t="shared" si="38"/>
        <v>-29250</v>
      </c>
      <c r="AX173" s="18">
        <v>50000</v>
      </c>
      <c r="AY173" s="18"/>
      <c r="AZ173" s="17">
        <f t="shared" si="45"/>
        <v>-79250</v>
      </c>
      <c r="BA173" s="16"/>
      <c r="BB173" s="15"/>
      <c r="BC173" s="15"/>
    </row>
    <row r="174" spans="1:55" s="6" customFormat="1" ht="16.899999999999999">
      <c r="A174" s="36">
        <v>173</v>
      </c>
      <c r="B174" s="35"/>
      <c r="C174" s="33"/>
      <c r="D174" s="33"/>
      <c r="E174" s="33"/>
      <c r="F174" s="33"/>
      <c r="G174" s="33"/>
      <c r="H174" s="33"/>
      <c r="I174" s="33"/>
      <c r="J174" s="33"/>
      <c r="K174" s="35"/>
      <c r="L174" s="34"/>
      <c r="M174" s="32"/>
      <c r="N174" s="32"/>
      <c r="O174" s="31">
        <f t="shared" si="35"/>
        <v>0</v>
      </c>
      <c r="P174" s="30"/>
      <c r="Q174" s="30"/>
      <c r="R174" s="30"/>
      <c r="S174" s="30"/>
      <c r="T174" s="29"/>
      <c r="U174" s="20"/>
      <c r="V174" s="28"/>
      <c r="W174" s="20"/>
      <c r="X174" s="27"/>
      <c r="Y174" s="26"/>
      <c r="Z174" s="25">
        <f t="shared" si="44"/>
        <v>0</v>
      </c>
      <c r="AA174" s="20">
        <f t="shared" si="39"/>
        <v>0</v>
      </c>
      <c r="AB174" s="24">
        <f t="shared" si="36"/>
        <v>0</v>
      </c>
      <c r="AC174" s="37"/>
      <c r="AD174" s="37"/>
      <c r="AE174" s="22"/>
      <c r="AF174" s="20"/>
      <c r="AG174" s="21"/>
      <c r="AH174" s="20"/>
      <c r="AI174" s="21"/>
      <c r="AJ174" s="20"/>
      <c r="AK174" s="20"/>
      <c r="AL174" s="20"/>
      <c r="AM174" s="19">
        <v>35000</v>
      </c>
      <c r="AN174" s="19">
        <v>30000</v>
      </c>
      <c r="AO174" s="19"/>
      <c r="AP174" s="19"/>
      <c r="AQ174" s="19"/>
      <c r="AR174" s="19">
        <f t="shared" si="40"/>
        <v>65000</v>
      </c>
      <c r="AS174" s="17">
        <f t="shared" si="41"/>
        <v>-65000</v>
      </c>
      <c r="AT174" s="17">
        <f t="shared" si="42"/>
        <v>-65000</v>
      </c>
      <c r="AU174" s="17">
        <f t="shared" si="43"/>
        <v>0</v>
      </c>
      <c r="AV174" s="17">
        <f t="shared" si="37"/>
        <v>-32500</v>
      </c>
      <c r="AW174" s="17">
        <f t="shared" si="38"/>
        <v>-29250</v>
      </c>
      <c r="AX174" s="18">
        <v>50000</v>
      </c>
      <c r="AY174" s="18"/>
      <c r="AZ174" s="17">
        <f t="shared" si="45"/>
        <v>-79250</v>
      </c>
      <c r="BA174" s="16"/>
      <c r="BB174" s="15"/>
      <c r="BC174" s="15"/>
    </row>
    <row r="175" spans="1:55" s="6" customFormat="1" ht="16.899999999999999">
      <c r="A175" s="36">
        <v>174</v>
      </c>
      <c r="B175" s="35"/>
      <c r="C175" s="33"/>
      <c r="D175" s="33"/>
      <c r="E175" s="33"/>
      <c r="F175" s="33"/>
      <c r="G175" s="33"/>
      <c r="H175" s="33"/>
      <c r="I175" s="33"/>
      <c r="J175" s="33"/>
      <c r="K175" s="35"/>
      <c r="L175" s="34"/>
      <c r="M175" s="32"/>
      <c r="N175" s="32"/>
      <c r="O175" s="31">
        <f t="shared" si="35"/>
        <v>0</v>
      </c>
      <c r="P175" s="30"/>
      <c r="Q175" s="30"/>
      <c r="R175" s="30"/>
      <c r="S175" s="30"/>
      <c r="T175" s="29"/>
      <c r="U175" s="20"/>
      <c r="V175" s="28"/>
      <c r="W175" s="20"/>
      <c r="X175" s="27"/>
      <c r="Y175" s="26"/>
      <c r="Z175" s="25">
        <f t="shared" si="44"/>
        <v>0</v>
      </c>
      <c r="AA175" s="20">
        <f t="shared" si="39"/>
        <v>0</v>
      </c>
      <c r="AB175" s="24">
        <f t="shared" si="36"/>
        <v>0</v>
      </c>
      <c r="AC175" s="37"/>
      <c r="AD175" s="37"/>
      <c r="AE175" s="22"/>
      <c r="AF175" s="20"/>
      <c r="AG175" s="21"/>
      <c r="AH175" s="20"/>
      <c r="AI175" s="21"/>
      <c r="AJ175" s="20"/>
      <c r="AK175" s="20"/>
      <c r="AL175" s="20"/>
      <c r="AM175" s="19">
        <v>35000</v>
      </c>
      <c r="AN175" s="19">
        <v>30000</v>
      </c>
      <c r="AO175" s="19"/>
      <c r="AP175" s="19"/>
      <c r="AQ175" s="19"/>
      <c r="AR175" s="19">
        <f t="shared" si="40"/>
        <v>65000</v>
      </c>
      <c r="AS175" s="17">
        <f t="shared" si="41"/>
        <v>-65000</v>
      </c>
      <c r="AT175" s="17">
        <f t="shared" si="42"/>
        <v>-65000</v>
      </c>
      <c r="AU175" s="17">
        <f t="shared" si="43"/>
        <v>0</v>
      </c>
      <c r="AV175" s="17">
        <f t="shared" si="37"/>
        <v>-32500</v>
      </c>
      <c r="AW175" s="17">
        <f t="shared" si="38"/>
        <v>-29250</v>
      </c>
      <c r="AX175" s="18">
        <v>50000</v>
      </c>
      <c r="AY175" s="18"/>
      <c r="AZ175" s="17">
        <f t="shared" si="45"/>
        <v>-79250</v>
      </c>
      <c r="BA175" s="16"/>
      <c r="BB175" s="15"/>
      <c r="BC175" s="15"/>
    </row>
    <row r="176" spans="1:55" s="6" customFormat="1" ht="16.899999999999999">
      <c r="A176" s="36">
        <v>175</v>
      </c>
      <c r="B176" s="35"/>
      <c r="C176" s="33"/>
      <c r="D176" s="33"/>
      <c r="E176" s="33"/>
      <c r="F176" s="33"/>
      <c r="G176" s="33"/>
      <c r="H176" s="33"/>
      <c r="I176" s="33"/>
      <c r="J176" s="33"/>
      <c r="K176" s="35"/>
      <c r="L176" s="34"/>
      <c r="M176" s="32"/>
      <c r="N176" s="32"/>
      <c r="O176" s="31">
        <f t="shared" si="35"/>
        <v>0</v>
      </c>
      <c r="P176" s="30"/>
      <c r="Q176" s="30"/>
      <c r="R176" s="30"/>
      <c r="S176" s="30"/>
      <c r="T176" s="29"/>
      <c r="U176" s="20"/>
      <c r="V176" s="28"/>
      <c r="W176" s="20"/>
      <c r="X176" s="27"/>
      <c r="Y176" s="26"/>
      <c r="Z176" s="25">
        <f t="shared" si="44"/>
        <v>0</v>
      </c>
      <c r="AA176" s="20">
        <f t="shared" si="39"/>
        <v>0</v>
      </c>
      <c r="AB176" s="24">
        <f t="shared" si="36"/>
        <v>0</v>
      </c>
      <c r="AC176" s="37"/>
      <c r="AD176" s="37"/>
      <c r="AE176" s="22"/>
      <c r="AF176" s="20"/>
      <c r="AG176" s="21"/>
      <c r="AH176" s="20"/>
      <c r="AI176" s="21"/>
      <c r="AJ176" s="20"/>
      <c r="AK176" s="20"/>
      <c r="AL176" s="20"/>
      <c r="AM176" s="19">
        <v>35000</v>
      </c>
      <c r="AN176" s="19">
        <v>30000</v>
      </c>
      <c r="AO176" s="19"/>
      <c r="AP176" s="19"/>
      <c r="AQ176" s="19"/>
      <c r="AR176" s="19">
        <f t="shared" si="40"/>
        <v>65000</v>
      </c>
      <c r="AS176" s="17">
        <f t="shared" si="41"/>
        <v>-65000</v>
      </c>
      <c r="AT176" s="17">
        <f t="shared" si="42"/>
        <v>-65000</v>
      </c>
      <c r="AU176" s="17">
        <f t="shared" si="43"/>
        <v>0</v>
      </c>
      <c r="AV176" s="17">
        <f t="shared" si="37"/>
        <v>-32500</v>
      </c>
      <c r="AW176" s="17">
        <f t="shared" si="38"/>
        <v>-29250</v>
      </c>
      <c r="AX176" s="18">
        <v>50000</v>
      </c>
      <c r="AY176" s="18"/>
      <c r="AZ176" s="17">
        <f t="shared" si="45"/>
        <v>-79250</v>
      </c>
      <c r="BA176" s="16"/>
      <c r="BB176" s="15"/>
      <c r="BC176" s="15"/>
    </row>
    <row r="177" spans="1:55" s="6" customFormat="1" ht="16.899999999999999">
      <c r="A177" s="36">
        <v>176</v>
      </c>
      <c r="B177" s="35"/>
      <c r="C177" s="33"/>
      <c r="D177" s="33"/>
      <c r="E177" s="33"/>
      <c r="F177" s="33"/>
      <c r="G177" s="33"/>
      <c r="H177" s="33"/>
      <c r="I177" s="33"/>
      <c r="J177" s="33"/>
      <c r="K177" s="35"/>
      <c r="L177" s="34"/>
      <c r="M177" s="32"/>
      <c r="N177" s="32"/>
      <c r="O177" s="31">
        <f t="shared" si="35"/>
        <v>0</v>
      </c>
      <c r="P177" s="30"/>
      <c r="Q177" s="30"/>
      <c r="R177" s="30"/>
      <c r="S177" s="30"/>
      <c r="T177" s="29"/>
      <c r="U177" s="20"/>
      <c r="V177" s="28"/>
      <c r="W177" s="20"/>
      <c r="X177" s="27"/>
      <c r="Y177" s="26"/>
      <c r="Z177" s="25">
        <f t="shared" si="44"/>
        <v>0</v>
      </c>
      <c r="AA177" s="20">
        <f t="shared" si="39"/>
        <v>0</v>
      </c>
      <c r="AB177" s="24">
        <f t="shared" si="36"/>
        <v>0</v>
      </c>
      <c r="AC177" s="37"/>
      <c r="AD177" s="37"/>
      <c r="AE177" s="22"/>
      <c r="AF177" s="20"/>
      <c r="AG177" s="21"/>
      <c r="AH177" s="20"/>
      <c r="AI177" s="21"/>
      <c r="AJ177" s="20"/>
      <c r="AK177" s="20"/>
      <c r="AL177" s="20"/>
      <c r="AM177" s="19">
        <v>35000</v>
      </c>
      <c r="AN177" s="19">
        <v>30000</v>
      </c>
      <c r="AO177" s="19"/>
      <c r="AP177" s="19"/>
      <c r="AQ177" s="19"/>
      <c r="AR177" s="19">
        <f t="shared" si="40"/>
        <v>65000</v>
      </c>
      <c r="AS177" s="17">
        <f t="shared" si="41"/>
        <v>-65000</v>
      </c>
      <c r="AT177" s="17">
        <f t="shared" si="42"/>
        <v>-65000</v>
      </c>
      <c r="AU177" s="17">
        <f t="shared" si="43"/>
        <v>0</v>
      </c>
      <c r="AV177" s="17">
        <f t="shared" si="37"/>
        <v>-32500</v>
      </c>
      <c r="AW177" s="17">
        <f t="shared" si="38"/>
        <v>-29250</v>
      </c>
      <c r="AX177" s="18">
        <v>50000</v>
      </c>
      <c r="AY177" s="18"/>
      <c r="AZ177" s="17">
        <f t="shared" si="45"/>
        <v>-79250</v>
      </c>
      <c r="BA177" s="16"/>
      <c r="BB177" s="15"/>
      <c r="BC177" s="15"/>
    </row>
    <row r="178" spans="1:55" s="6" customFormat="1" ht="16.899999999999999">
      <c r="A178" s="36">
        <v>177</v>
      </c>
      <c r="B178" s="35"/>
      <c r="C178" s="33"/>
      <c r="D178" s="33"/>
      <c r="E178" s="33"/>
      <c r="F178" s="33"/>
      <c r="G178" s="33"/>
      <c r="H178" s="33"/>
      <c r="I178" s="33"/>
      <c r="J178" s="33"/>
      <c r="K178" s="35"/>
      <c r="L178" s="34"/>
      <c r="M178" s="32"/>
      <c r="N178" s="32"/>
      <c r="O178" s="31">
        <f t="shared" si="35"/>
        <v>0</v>
      </c>
      <c r="P178" s="30"/>
      <c r="Q178" s="30"/>
      <c r="R178" s="30"/>
      <c r="S178" s="30"/>
      <c r="T178" s="29"/>
      <c r="U178" s="20"/>
      <c r="V178" s="28"/>
      <c r="W178" s="20"/>
      <c r="X178" s="27"/>
      <c r="Y178" s="26"/>
      <c r="Z178" s="25">
        <f t="shared" si="44"/>
        <v>0</v>
      </c>
      <c r="AA178" s="20">
        <f t="shared" si="39"/>
        <v>0</v>
      </c>
      <c r="AB178" s="24">
        <f t="shared" si="36"/>
        <v>0</v>
      </c>
      <c r="AC178" s="37"/>
      <c r="AD178" s="37"/>
      <c r="AE178" s="22"/>
      <c r="AF178" s="20"/>
      <c r="AG178" s="21"/>
      <c r="AH178" s="20"/>
      <c r="AI178" s="21"/>
      <c r="AJ178" s="20"/>
      <c r="AK178" s="20"/>
      <c r="AL178" s="20"/>
      <c r="AM178" s="19">
        <v>35000</v>
      </c>
      <c r="AN178" s="19">
        <v>30000</v>
      </c>
      <c r="AO178" s="19"/>
      <c r="AP178" s="19"/>
      <c r="AQ178" s="19"/>
      <c r="AR178" s="19">
        <f t="shared" si="40"/>
        <v>65000</v>
      </c>
      <c r="AS178" s="17">
        <f t="shared" si="41"/>
        <v>-65000</v>
      </c>
      <c r="AT178" s="17">
        <f t="shared" si="42"/>
        <v>-65000</v>
      </c>
      <c r="AU178" s="17">
        <f t="shared" si="43"/>
        <v>0</v>
      </c>
      <c r="AV178" s="17">
        <f t="shared" si="37"/>
        <v>-32500</v>
      </c>
      <c r="AW178" s="17">
        <f t="shared" si="38"/>
        <v>-29250</v>
      </c>
      <c r="AX178" s="18">
        <v>50000</v>
      </c>
      <c r="AY178" s="18"/>
      <c r="AZ178" s="17">
        <f t="shared" si="45"/>
        <v>-79250</v>
      </c>
      <c r="BA178" s="16"/>
      <c r="BB178" s="15"/>
      <c r="BC178" s="15"/>
    </row>
    <row r="179" spans="1:55" s="6" customFormat="1" ht="16.899999999999999">
      <c r="A179" s="36">
        <v>178</v>
      </c>
      <c r="B179" s="35"/>
      <c r="C179" s="33"/>
      <c r="D179" s="33"/>
      <c r="E179" s="33"/>
      <c r="F179" s="33"/>
      <c r="G179" s="33"/>
      <c r="H179" s="33"/>
      <c r="I179" s="33"/>
      <c r="J179" s="33"/>
      <c r="K179" s="35"/>
      <c r="L179" s="34"/>
      <c r="M179" s="32"/>
      <c r="N179" s="32"/>
      <c r="O179" s="31">
        <f t="shared" si="35"/>
        <v>0</v>
      </c>
      <c r="P179" s="30"/>
      <c r="Q179" s="30"/>
      <c r="R179" s="30"/>
      <c r="S179" s="30"/>
      <c r="T179" s="29"/>
      <c r="U179" s="20"/>
      <c r="V179" s="28"/>
      <c r="W179" s="20"/>
      <c r="X179" s="27"/>
      <c r="Y179" s="26"/>
      <c r="Z179" s="25">
        <f t="shared" si="44"/>
        <v>0</v>
      </c>
      <c r="AA179" s="20">
        <f t="shared" si="39"/>
        <v>0</v>
      </c>
      <c r="AB179" s="24">
        <f t="shared" si="36"/>
        <v>0</v>
      </c>
      <c r="AC179" s="37"/>
      <c r="AD179" s="37"/>
      <c r="AE179" s="22"/>
      <c r="AF179" s="20"/>
      <c r="AG179" s="21"/>
      <c r="AH179" s="20"/>
      <c r="AI179" s="21"/>
      <c r="AJ179" s="20"/>
      <c r="AK179" s="20"/>
      <c r="AL179" s="20"/>
      <c r="AM179" s="19">
        <v>35000</v>
      </c>
      <c r="AN179" s="19">
        <v>30000</v>
      </c>
      <c r="AO179" s="19"/>
      <c r="AP179" s="19"/>
      <c r="AQ179" s="19"/>
      <c r="AR179" s="19">
        <f t="shared" si="40"/>
        <v>65000</v>
      </c>
      <c r="AS179" s="17">
        <f t="shared" si="41"/>
        <v>-65000</v>
      </c>
      <c r="AT179" s="17">
        <f t="shared" si="42"/>
        <v>-65000</v>
      </c>
      <c r="AU179" s="17">
        <f t="shared" si="43"/>
        <v>0</v>
      </c>
      <c r="AV179" s="17">
        <f t="shared" si="37"/>
        <v>-32500</v>
      </c>
      <c r="AW179" s="17">
        <f t="shared" si="38"/>
        <v>-29250</v>
      </c>
      <c r="AX179" s="18">
        <v>50000</v>
      </c>
      <c r="AY179" s="18"/>
      <c r="AZ179" s="17">
        <f t="shared" si="45"/>
        <v>-79250</v>
      </c>
      <c r="BA179" s="16"/>
      <c r="BB179" s="15"/>
      <c r="BC179" s="15"/>
    </row>
    <row r="180" spans="1:55" s="6" customFormat="1" ht="16.899999999999999">
      <c r="A180" s="36">
        <v>179</v>
      </c>
      <c r="B180" s="35"/>
      <c r="C180" s="33"/>
      <c r="D180" s="33"/>
      <c r="E180" s="33"/>
      <c r="F180" s="33"/>
      <c r="G180" s="33"/>
      <c r="H180" s="33"/>
      <c r="I180" s="33"/>
      <c r="J180" s="33"/>
      <c r="K180" s="35"/>
      <c r="L180" s="34"/>
      <c r="M180" s="32"/>
      <c r="N180" s="32"/>
      <c r="O180" s="31">
        <f t="shared" si="35"/>
        <v>0</v>
      </c>
      <c r="P180" s="30"/>
      <c r="Q180" s="30"/>
      <c r="R180" s="30"/>
      <c r="S180" s="30"/>
      <c r="T180" s="29"/>
      <c r="U180" s="20"/>
      <c r="V180" s="28"/>
      <c r="W180" s="20"/>
      <c r="X180" s="27"/>
      <c r="Y180" s="26"/>
      <c r="Z180" s="25">
        <f t="shared" si="44"/>
        <v>0</v>
      </c>
      <c r="AA180" s="20">
        <f t="shared" si="39"/>
        <v>0</v>
      </c>
      <c r="AB180" s="24">
        <f t="shared" si="36"/>
        <v>0</v>
      </c>
      <c r="AC180" s="37"/>
      <c r="AD180" s="37"/>
      <c r="AE180" s="22"/>
      <c r="AF180" s="20"/>
      <c r="AG180" s="21"/>
      <c r="AH180" s="20"/>
      <c r="AI180" s="21"/>
      <c r="AJ180" s="20"/>
      <c r="AK180" s="20"/>
      <c r="AL180" s="20"/>
      <c r="AM180" s="19">
        <v>35000</v>
      </c>
      <c r="AN180" s="19">
        <v>30000</v>
      </c>
      <c r="AO180" s="19"/>
      <c r="AP180" s="19"/>
      <c r="AQ180" s="19"/>
      <c r="AR180" s="19">
        <f t="shared" si="40"/>
        <v>65000</v>
      </c>
      <c r="AS180" s="17">
        <f t="shared" si="41"/>
        <v>-65000</v>
      </c>
      <c r="AT180" s="17">
        <f t="shared" si="42"/>
        <v>-65000</v>
      </c>
      <c r="AU180" s="17">
        <f t="shared" si="43"/>
        <v>0</v>
      </c>
      <c r="AV180" s="17">
        <f t="shared" si="37"/>
        <v>-32500</v>
      </c>
      <c r="AW180" s="17">
        <f t="shared" si="38"/>
        <v>-29250</v>
      </c>
      <c r="AX180" s="18">
        <v>50000</v>
      </c>
      <c r="AY180" s="18"/>
      <c r="AZ180" s="17">
        <f t="shared" si="45"/>
        <v>-79250</v>
      </c>
      <c r="BA180" s="16"/>
      <c r="BB180" s="15"/>
      <c r="BC180" s="15"/>
    </row>
    <row r="181" spans="1:55" s="6" customFormat="1" ht="16.899999999999999">
      <c r="A181" s="36">
        <v>180</v>
      </c>
      <c r="B181" s="35"/>
      <c r="C181" s="33"/>
      <c r="D181" s="33"/>
      <c r="E181" s="33"/>
      <c r="F181" s="33"/>
      <c r="G181" s="33"/>
      <c r="H181" s="33"/>
      <c r="I181" s="33"/>
      <c r="J181" s="33"/>
      <c r="K181" s="35"/>
      <c r="L181" s="34"/>
      <c r="M181" s="32"/>
      <c r="N181" s="32"/>
      <c r="O181" s="31">
        <f t="shared" si="35"/>
        <v>0</v>
      </c>
      <c r="P181" s="30"/>
      <c r="Q181" s="30"/>
      <c r="R181" s="30"/>
      <c r="S181" s="30"/>
      <c r="T181" s="29"/>
      <c r="U181" s="20"/>
      <c r="V181" s="28"/>
      <c r="W181" s="20"/>
      <c r="X181" s="27"/>
      <c r="Y181" s="26"/>
      <c r="Z181" s="25">
        <f t="shared" si="44"/>
        <v>0</v>
      </c>
      <c r="AA181" s="20">
        <f t="shared" si="39"/>
        <v>0</v>
      </c>
      <c r="AB181" s="24">
        <f t="shared" si="36"/>
        <v>0</v>
      </c>
      <c r="AC181" s="37"/>
      <c r="AD181" s="37"/>
      <c r="AE181" s="22"/>
      <c r="AF181" s="20"/>
      <c r="AG181" s="21"/>
      <c r="AH181" s="20"/>
      <c r="AI181" s="21"/>
      <c r="AJ181" s="20"/>
      <c r="AK181" s="20"/>
      <c r="AL181" s="20"/>
      <c r="AM181" s="19">
        <v>35000</v>
      </c>
      <c r="AN181" s="19">
        <v>30000</v>
      </c>
      <c r="AO181" s="19"/>
      <c r="AP181" s="19"/>
      <c r="AQ181" s="19"/>
      <c r="AR181" s="19">
        <f t="shared" si="40"/>
        <v>65000</v>
      </c>
      <c r="AS181" s="17">
        <f t="shared" si="41"/>
        <v>-65000</v>
      </c>
      <c r="AT181" s="17">
        <f t="shared" si="42"/>
        <v>-65000</v>
      </c>
      <c r="AU181" s="17">
        <f t="shared" si="43"/>
        <v>0</v>
      </c>
      <c r="AV181" s="17">
        <f t="shared" si="37"/>
        <v>-32500</v>
      </c>
      <c r="AW181" s="17">
        <f t="shared" si="38"/>
        <v>-29250</v>
      </c>
      <c r="AX181" s="18">
        <v>50000</v>
      </c>
      <c r="AY181" s="18"/>
      <c r="AZ181" s="17">
        <f t="shared" si="45"/>
        <v>-79250</v>
      </c>
      <c r="BA181" s="16"/>
      <c r="BB181" s="15"/>
      <c r="BC181" s="15"/>
    </row>
    <row r="182" spans="1:55" s="6" customFormat="1" ht="16.899999999999999">
      <c r="A182" s="36">
        <v>181</v>
      </c>
      <c r="B182" s="35"/>
      <c r="C182" s="33"/>
      <c r="D182" s="33"/>
      <c r="E182" s="33"/>
      <c r="F182" s="33"/>
      <c r="G182" s="33"/>
      <c r="H182" s="33"/>
      <c r="I182" s="33"/>
      <c r="J182" s="33"/>
      <c r="K182" s="35"/>
      <c r="L182" s="34"/>
      <c r="M182" s="32"/>
      <c r="N182" s="32"/>
      <c r="O182" s="31">
        <f t="shared" si="35"/>
        <v>0</v>
      </c>
      <c r="P182" s="30"/>
      <c r="Q182" s="30"/>
      <c r="R182" s="30"/>
      <c r="S182" s="30"/>
      <c r="T182" s="29"/>
      <c r="U182" s="20"/>
      <c r="V182" s="28"/>
      <c r="W182" s="20"/>
      <c r="X182" s="27"/>
      <c r="Y182" s="26"/>
      <c r="Z182" s="25">
        <f t="shared" si="44"/>
        <v>0</v>
      </c>
      <c r="AA182" s="20">
        <f t="shared" si="39"/>
        <v>0</v>
      </c>
      <c r="AB182" s="24">
        <f t="shared" si="36"/>
        <v>0</v>
      </c>
      <c r="AC182" s="37"/>
      <c r="AD182" s="37"/>
      <c r="AE182" s="22"/>
      <c r="AF182" s="20"/>
      <c r="AG182" s="21"/>
      <c r="AH182" s="20"/>
      <c r="AI182" s="21"/>
      <c r="AJ182" s="20"/>
      <c r="AK182" s="20"/>
      <c r="AL182" s="20"/>
      <c r="AM182" s="19">
        <v>35000</v>
      </c>
      <c r="AN182" s="19">
        <v>30000</v>
      </c>
      <c r="AO182" s="19"/>
      <c r="AP182" s="19"/>
      <c r="AQ182" s="19"/>
      <c r="AR182" s="19">
        <f t="shared" si="40"/>
        <v>65000</v>
      </c>
      <c r="AS182" s="17">
        <f t="shared" si="41"/>
        <v>-65000</v>
      </c>
      <c r="AT182" s="17">
        <f t="shared" si="42"/>
        <v>-65000</v>
      </c>
      <c r="AU182" s="17">
        <f t="shared" si="43"/>
        <v>0</v>
      </c>
      <c r="AV182" s="17">
        <f t="shared" si="37"/>
        <v>-32500</v>
      </c>
      <c r="AW182" s="17">
        <f t="shared" si="38"/>
        <v>-29250</v>
      </c>
      <c r="AX182" s="18">
        <v>50000</v>
      </c>
      <c r="AY182" s="18"/>
      <c r="AZ182" s="17">
        <f t="shared" si="45"/>
        <v>-79250</v>
      </c>
      <c r="BA182" s="16"/>
      <c r="BB182" s="15"/>
      <c r="BC182" s="15"/>
    </row>
    <row r="183" spans="1:55" s="6" customFormat="1" ht="16.899999999999999">
      <c r="A183" s="36">
        <v>182</v>
      </c>
      <c r="B183" s="35"/>
      <c r="C183" s="33"/>
      <c r="D183" s="33"/>
      <c r="E183" s="33"/>
      <c r="F183" s="33"/>
      <c r="G183" s="33"/>
      <c r="H183" s="33"/>
      <c r="I183" s="33"/>
      <c r="J183" s="33"/>
      <c r="K183" s="35"/>
      <c r="L183" s="34"/>
      <c r="M183" s="32"/>
      <c r="N183" s="32"/>
      <c r="O183" s="31">
        <f t="shared" si="35"/>
        <v>0</v>
      </c>
      <c r="P183" s="30"/>
      <c r="Q183" s="30"/>
      <c r="R183" s="30"/>
      <c r="S183" s="30"/>
      <c r="T183" s="29"/>
      <c r="U183" s="20"/>
      <c r="V183" s="28"/>
      <c r="W183" s="20"/>
      <c r="X183" s="27"/>
      <c r="Y183" s="26"/>
      <c r="Z183" s="25">
        <f t="shared" si="44"/>
        <v>0</v>
      </c>
      <c r="AA183" s="20">
        <f t="shared" si="39"/>
        <v>0</v>
      </c>
      <c r="AB183" s="24">
        <f t="shared" si="36"/>
        <v>0</v>
      </c>
      <c r="AC183" s="37"/>
      <c r="AD183" s="37"/>
      <c r="AE183" s="22"/>
      <c r="AF183" s="20"/>
      <c r="AG183" s="21"/>
      <c r="AH183" s="20"/>
      <c r="AI183" s="21"/>
      <c r="AJ183" s="20"/>
      <c r="AK183" s="20"/>
      <c r="AL183" s="20"/>
      <c r="AM183" s="19">
        <v>35000</v>
      </c>
      <c r="AN183" s="19">
        <v>30000</v>
      </c>
      <c r="AO183" s="19"/>
      <c r="AP183" s="19"/>
      <c r="AQ183" s="19"/>
      <c r="AR183" s="19">
        <f t="shared" si="40"/>
        <v>65000</v>
      </c>
      <c r="AS183" s="17">
        <f t="shared" si="41"/>
        <v>-65000</v>
      </c>
      <c r="AT183" s="17">
        <f t="shared" si="42"/>
        <v>-65000</v>
      </c>
      <c r="AU183" s="17">
        <f t="shared" si="43"/>
        <v>0</v>
      </c>
      <c r="AV183" s="17">
        <f t="shared" si="37"/>
        <v>-32500</v>
      </c>
      <c r="AW183" s="17">
        <f t="shared" si="38"/>
        <v>-29250</v>
      </c>
      <c r="AX183" s="18">
        <v>50000</v>
      </c>
      <c r="AY183" s="18"/>
      <c r="AZ183" s="17">
        <f t="shared" si="45"/>
        <v>-79250</v>
      </c>
      <c r="BA183" s="16"/>
      <c r="BB183" s="15"/>
      <c r="BC183" s="15"/>
    </row>
    <row r="184" spans="1:55" s="6" customFormat="1" ht="16.899999999999999">
      <c r="A184" s="36">
        <v>183</v>
      </c>
      <c r="B184" s="35"/>
      <c r="C184" s="33"/>
      <c r="D184" s="33"/>
      <c r="E184" s="33"/>
      <c r="F184" s="33"/>
      <c r="G184" s="33"/>
      <c r="H184" s="33"/>
      <c r="I184" s="33"/>
      <c r="J184" s="33"/>
      <c r="K184" s="35"/>
      <c r="L184" s="34"/>
      <c r="M184" s="32"/>
      <c r="N184" s="32"/>
      <c r="O184" s="31">
        <f t="shared" si="35"/>
        <v>0</v>
      </c>
      <c r="P184" s="30"/>
      <c r="Q184" s="30"/>
      <c r="R184" s="30"/>
      <c r="S184" s="30"/>
      <c r="T184" s="29"/>
      <c r="U184" s="20"/>
      <c r="V184" s="28"/>
      <c r="W184" s="20"/>
      <c r="X184" s="27"/>
      <c r="Y184" s="26"/>
      <c r="Z184" s="25">
        <f t="shared" si="44"/>
        <v>0</v>
      </c>
      <c r="AA184" s="20">
        <f t="shared" si="39"/>
        <v>0</v>
      </c>
      <c r="AB184" s="24">
        <f t="shared" si="36"/>
        <v>0</v>
      </c>
      <c r="AC184" s="37"/>
      <c r="AD184" s="37"/>
      <c r="AE184" s="22"/>
      <c r="AF184" s="20"/>
      <c r="AG184" s="21"/>
      <c r="AH184" s="20"/>
      <c r="AI184" s="21"/>
      <c r="AJ184" s="20"/>
      <c r="AK184" s="20"/>
      <c r="AL184" s="20"/>
      <c r="AM184" s="19">
        <v>35000</v>
      </c>
      <c r="AN184" s="19">
        <v>30000</v>
      </c>
      <c r="AO184" s="19"/>
      <c r="AP184" s="19"/>
      <c r="AQ184" s="19"/>
      <c r="AR184" s="19">
        <f t="shared" si="40"/>
        <v>65000</v>
      </c>
      <c r="AS184" s="17">
        <f t="shared" si="41"/>
        <v>-65000</v>
      </c>
      <c r="AT184" s="17">
        <f t="shared" si="42"/>
        <v>-65000</v>
      </c>
      <c r="AU184" s="17">
        <f t="shared" si="43"/>
        <v>0</v>
      </c>
      <c r="AV184" s="17">
        <f t="shared" si="37"/>
        <v>-32500</v>
      </c>
      <c r="AW184" s="17">
        <f t="shared" si="38"/>
        <v>-29250</v>
      </c>
      <c r="AX184" s="18">
        <v>50000</v>
      </c>
      <c r="AY184" s="18"/>
      <c r="AZ184" s="17">
        <f t="shared" si="45"/>
        <v>-79250</v>
      </c>
      <c r="BA184" s="16"/>
      <c r="BB184" s="15"/>
      <c r="BC184" s="15"/>
    </row>
    <row r="185" spans="1:55" s="6" customFormat="1" ht="16.899999999999999">
      <c r="A185" s="36">
        <v>184</v>
      </c>
      <c r="B185" s="35"/>
      <c r="C185" s="33"/>
      <c r="D185" s="33"/>
      <c r="E185" s="33"/>
      <c r="F185" s="33"/>
      <c r="G185" s="33"/>
      <c r="H185" s="33"/>
      <c r="I185" s="33"/>
      <c r="J185" s="33"/>
      <c r="K185" s="35"/>
      <c r="L185" s="34"/>
      <c r="M185" s="32"/>
      <c r="N185" s="32"/>
      <c r="O185" s="31">
        <f t="shared" si="35"/>
        <v>0</v>
      </c>
      <c r="P185" s="30"/>
      <c r="Q185" s="30"/>
      <c r="R185" s="30"/>
      <c r="S185" s="30"/>
      <c r="T185" s="29"/>
      <c r="U185" s="20"/>
      <c r="V185" s="28"/>
      <c r="W185" s="20"/>
      <c r="X185" s="27"/>
      <c r="Y185" s="26"/>
      <c r="Z185" s="25">
        <f t="shared" si="44"/>
        <v>0</v>
      </c>
      <c r="AA185" s="20">
        <f t="shared" si="39"/>
        <v>0</v>
      </c>
      <c r="AB185" s="24">
        <f t="shared" si="36"/>
        <v>0</v>
      </c>
      <c r="AC185" s="37"/>
      <c r="AD185" s="37"/>
      <c r="AE185" s="22"/>
      <c r="AF185" s="20"/>
      <c r="AG185" s="21"/>
      <c r="AH185" s="20"/>
      <c r="AI185" s="21"/>
      <c r="AJ185" s="20"/>
      <c r="AK185" s="20"/>
      <c r="AL185" s="20"/>
      <c r="AM185" s="19">
        <v>35000</v>
      </c>
      <c r="AN185" s="19">
        <v>30000</v>
      </c>
      <c r="AO185" s="19"/>
      <c r="AP185" s="19"/>
      <c r="AQ185" s="19"/>
      <c r="AR185" s="19">
        <f t="shared" si="40"/>
        <v>65000</v>
      </c>
      <c r="AS185" s="17">
        <f t="shared" si="41"/>
        <v>-65000</v>
      </c>
      <c r="AT185" s="17">
        <f t="shared" si="42"/>
        <v>-65000</v>
      </c>
      <c r="AU185" s="17">
        <f t="shared" si="43"/>
        <v>0</v>
      </c>
      <c r="AV185" s="17">
        <f t="shared" si="37"/>
        <v>-32500</v>
      </c>
      <c r="AW185" s="17">
        <f t="shared" si="38"/>
        <v>-29250</v>
      </c>
      <c r="AX185" s="18">
        <v>50000</v>
      </c>
      <c r="AY185" s="18"/>
      <c r="AZ185" s="17">
        <f t="shared" si="45"/>
        <v>-79250</v>
      </c>
      <c r="BA185" s="16"/>
      <c r="BB185" s="15"/>
      <c r="BC185" s="15"/>
    </row>
    <row r="186" spans="1:55" ht="16.899999999999999">
      <c r="A186" s="36">
        <v>185</v>
      </c>
      <c r="B186" s="35"/>
      <c r="C186" s="33"/>
      <c r="D186" s="33"/>
      <c r="E186" s="33"/>
      <c r="F186" s="33"/>
      <c r="G186" s="33"/>
      <c r="H186" s="33"/>
      <c r="I186" s="33"/>
      <c r="J186" s="33"/>
      <c r="K186" s="35"/>
      <c r="L186" s="34"/>
      <c r="M186" s="32"/>
      <c r="N186" s="32"/>
      <c r="O186" s="31">
        <f t="shared" si="35"/>
        <v>0</v>
      </c>
      <c r="P186" s="30"/>
      <c r="Q186" s="30"/>
      <c r="R186" s="30"/>
      <c r="S186" s="30"/>
      <c r="T186" s="29"/>
      <c r="U186" s="20"/>
      <c r="V186" s="28"/>
      <c r="W186" s="20"/>
      <c r="X186" s="27"/>
      <c r="Y186" s="26"/>
      <c r="Z186" s="25">
        <f t="shared" si="44"/>
        <v>0</v>
      </c>
      <c r="AA186" s="20">
        <f t="shared" si="39"/>
        <v>0</v>
      </c>
      <c r="AB186" s="24">
        <f t="shared" si="36"/>
        <v>0</v>
      </c>
      <c r="AC186" s="37"/>
      <c r="AD186" s="37"/>
      <c r="AE186" s="22"/>
      <c r="AF186" s="20"/>
      <c r="AG186" s="21"/>
      <c r="AH186" s="20"/>
      <c r="AI186" s="21"/>
      <c r="AJ186" s="20"/>
      <c r="AK186" s="20"/>
      <c r="AL186" s="20"/>
      <c r="AM186" s="19">
        <v>35000</v>
      </c>
      <c r="AN186" s="19">
        <v>30000</v>
      </c>
      <c r="AO186" s="19"/>
      <c r="AP186" s="19"/>
      <c r="AQ186" s="19"/>
      <c r="AR186" s="19">
        <f t="shared" si="40"/>
        <v>65000</v>
      </c>
      <c r="AS186" s="17">
        <f t="shared" si="41"/>
        <v>-65000</v>
      </c>
      <c r="AT186" s="17">
        <f t="shared" si="42"/>
        <v>-65000</v>
      </c>
      <c r="AU186" s="17">
        <f t="shared" si="43"/>
        <v>0</v>
      </c>
      <c r="AV186" s="17">
        <f t="shared" si="37"/>
        <v>-32500</v>
      </c>
      <c r="AW186" s="17">
        <f t="shared" si="38"/>
        <v>-29250</v>
      </c>
      <c r="AX186" s="18">
        <v>50000</v>
      </c>
      <c r="AY186" s="18"/>
      <c r="AZ186" s="17">
        <f t="shared" si="45"/>
        <v>-79250</v>
      </c>
      <c r="BA186" s="16"/>
      <c r="BB186" s="16"/>
      <c r="BC186" s="16"/>
    </row>
    <row r="187" spans="1:55" ht="16.899999999999999">
      <c r="A187" s="36">
        <v>186</v>
      </c>
      <c r="B187" s="35"/>
      <c r="C187" s="33"/>
      <c r="D187" s="33"/>
      <c r="E187" s="33"/>
      <c r="F187" s="33"/>
      <c r="G187" s="33"/>
      <c r="H187" s="33"/>
      <c r="I187" s="33"/>
      <c r="J187" s="33"/>
      <c r="K187" s="35"/>
      <c r="L187" s="34"/>
      <c r="M187" s="32"/>
      <c r="N187" s="32"/>
      <c r="O187" s="31">
        <f t="shared" si="35"/>
        <v>0</v>
      </c>
      <c r="P187" s="30"/>
      <c r="Q187" s="30"/>
      <c r="R187" s="30"/>
      <c r="S187" s="30"/>
      <c r="T187" s="29"/>
      <c r="U187" s="20"/>
      <c r="V187" s="28"/>
      <c r="W187" s="20"/>
      <c r="X187" s="27"/>
      <c r="Y187" s="26"/>
      <c r="Z187" s="25">
        <f t="shared" si="44"/>
        <v>0</v>
      </c>
      <c r="AA187" s="20">
        <f t="shared" si="39"/>
        <v>0</v>
      </c>
      <c r="AB187" s="24">
        <f t="shared" si="36"/>
        <v>0</v>
      </c>
      <c r="AC187" s="37"/>
      <c r="AD187" s="37"/>
      <c r="AE187" s="22"/>
      <c r="AF187" s="20"/>
      <c r="AG187" s="21"/>
      <c r="AH187" s="20"/>
      <c r="AI187" s="21"/>
      <c r="AJ187" s="20"/>
      <c r="AK187" s="20"/>
      <c r="AL187" s="20"/>
      <c r="AM187" s="19">
        <v>35000</v>
      </c>
      <c r="AN187" s="19">
        <v>30000</v>
      </c>
      <c r="AO187" s="19"/>
      <c r="AP187" s="19"/>
      <c r="AQ187" s="19"/>
      <c r="AR187" s="19">
        <f t="shared" si="40"/>
        <v>65000</v>
      </c>
      <c r="AS187" s="17">
        <f t="shared" si="41"/>
        <v>-65000</v>
      </c>
      <c r="AT187" s="17">
        <f t="shared" si="42"/>
        <v>-65000</v>
      </c>
      <c r="AU187" s="17">
        <f t="shared" si="43"/>
        <v>0</v>
      </c>
      <c r="AV187" s="17">
        <f t="shared" si="37"/>
        <v>-32500</v>
      </c>
      <c r="AW187" s="17">
        <f t="shared" si="38"/>
        <v>-29250</v>
      </c>
      <c r="AX187" s="18">
        <v>50000</v>
      </c>
      <c r="AY187" s="18"/>
      <c r="AZ187" s="17">
        <f t="shared" si="45"/>
        <v>-79250</v>
      </c>
      <c r="BA187" s="16"/>
      <c r="BB187" s="16"/>
      <c r="BC187" s="16"/>
    </row>
    <row r="188" spans="1:55" ht="16.899999999999999">
      <c r="A188" s="36">
        <v>187</v>
      </c>
      <c r="B188" s="35"/>
      <c r="C188" s="33"/>
      <c r="D188" s="33"/>
      <c r="E188" s="33"/>
      <c r="F188" s="33"/>
      <c r="G188" s="33"/>
      <c r="H188" s="33"/>
      <c r="I188" s="33"/>
      <c r="J188" s="33"/>
      <c r="K188" s="35"/>
      <c r="L188" s="34"/>
      <c r="M188" s="32"/>
      <c r="N188" s="32"/>
      <c r="O188" s="31">
        <f t="shared" ref="O188:O251" si="46">M188+N188</f>
        <v>0</v>
      </c>
      <c r="P188" s="30"/>
      <c r="Q188" s="30"/>
      <c r="R188" s="30"/>
      <c r="S188" s="30"/>
      <c r="T188" s="29"/>
      <c r="U188" s="20"/>
      <c r="V188" s="28"/>
      <c r="W188" s="20"/>
      <c r="X188" s="27"/>
      <c r="Y188" s="26"/>
      <c r="Z188" s="25">
        <f t="shared" si="44"/>
        <v>0</v>
      </c>
      <c r="AA188" s="20">
        <f t="shared" si="39"/>
        <v>0</v>
      </c>
      <c r="AB188" s="24">
        <f t="shared" ref="AB188:AB251" si="47">SUM(AA188-Z188)</f>
        <v>0</v>
      </c>
      <c r="AC188" s="37"/>
      <c r="AD188" s="37"/>
      <c r="AE188" s="22"/>
      <c r="AF188" s="20"/>
      <c r="AG188" s="21"/>
      <c r="AH188" s="20"/>
      <c r="AI188" s="21"/>
      <c r="AJ188" s="20"/>
      <c r="AK188" s="20"/>
      <c r="AL188" s="20"/>
      <c r="AM188" s="19">
        <v>35000</v>
      </c>
      <c r="AN188" s="19">
        <v>30000</v>
      </c>
      <c r="AO188" s="19"/>
      <c r="AP188" s="19"/>
      <c r="AQ188" s="19"/>
      <c r="AR188" s="19">
        <f t="shared" si="40"/>
        <v>65000</v>
      </c>
      <c r="AS188" s="17">
        <f t="shared" si="41"/>
        <v>-65000</v>
      </c>
      <c r="AT188" s="17">
        <f t="shared" si="42"/>
        <v>-65000</v>
      </c>
      <c r="AU188" s="17">
        <f t="shared" si="43"/>
        <v>0</v>
      </c>
      <c r="AV188" s="17">
        <f t="shared" ref="AV188:AV251" si="48">SUM(AT188:AU188)/2</f>
        <v>-32500</v>
      </c>
      <c r="AW188" s="17">
        <f t="shared" ref="AW188:AW251" si="49">AV188-(AV188*10%)</f>
        <v>-29250</v>
      </c>
      <c r="AX188" s="18">
        <v>50000</v>
      </c>
      <c r="AY188" s="18"/>
      <c r="AZ188" s="17">
        <f t="shared" si="45"/>
        <v>-79250</v>
      </c>
      <c r="BA188" s="16"/>
      <c r="BB188" s="16"/>
      <c r="BC188" s="16"/>
    </row>
    <row r="189" spans="1:55" ht="16.899999999999999">
      <c r="A189" s="36">
        <v>188</v>
      </c>
      <c r="B189" s="35"/>
      <c r="C189" s="33"/>
      <c r="D189" s="33"/>
      <c r="E189" s="33"/>
      <c r="F189" s="33"/>
      <c r="G189" s="33"/>
      <c r="H189" s="33"/>
      <c r="I189" s="33"/>
      <c r="J189" s="33"/>
      <c r="K189" s="35"/>
      <c r="L189" s="34"/>
      <c r="M189" s="32"/>
      <c r="N189" s="32"/>
      <c r="O189" s="31">
        <f t="shared" si="46"/>
        <v>0</v>
      </c>
      <c r="P189" s="30"/>
      <c r="Q189" s="30"/>
      <c r="R189" s="30"/>
      <c r="S189" s="30"/>
      <c r="T189" s="29"/>
      <c r="U189" s="20"/>
      <c r="V189" s="28"/>
      <c r="W189" s="20"/>
      <c r="X189" s="27"/>
      <c r="Y189" s="26"/>
      <c r="Z189" s="25">
        <f t="shared" si="44"/>
        <v>0</v>
      </c>
      <c r="AA189" s="20">
        <f t="shared" si="39"/>
        <v>0</v>
      </c>
      <c r="AB189" s="24">
        <f t="shared" si="47"/>
        <v>0</v>
      </c>
      <c r="AC189" s="37"/>
      <c r="AD189" s="37"/>
      <c r="AE189" s="22"/>
      <c r="AF189" s="20"/>
      <c r="AG189" s="21"/>
      <c r="AH189" s="20"/>
      <c r="AI189" s="21"/>
      <c r="AJ189" s="20"/>
      <c r="AK189" s="20"/>
      <c r="AL189" s="20"/>
      <c r="AM189" s="19">
        <v>35000</v>
      </c>
      <c r="AN189" s="19">
        <v>30000</v>
      </c>
      <c r="AO189" s="19"/>
      <c r="AP189" s="19"/>
      <c r="AQ189" s="19"/>
      <c r="AR189" s="19">
        <f t="shared" si="40"/>
        <v>65000</v>
      </c>
      <c r="AS189" s="17">
        <f t="shared" si="41"/>
        <v>-65000</v>
      </c>
      <c r="AT189" s="17">
        <f t="shared" si="42"/>
        <v>-65000</v>
      </c>
      <c r="AU189" s="17">
        <f t="shared" si="43"/>
        <v>0</v>
      </c>
      <c r="AV189" s="17">
        <f t="shared" si="48"/>
        <v>-32500</v>
      </c>
      <c r="AW189" s="17">
        <f t="shared" si="49"/>
        <v>-29250</v>
      </c>
      <c r="AX189" s="18">
        <v>50000</v>
      </c>
      <c r="AY189" s="18"/>
      <c r="AZ189" s="17">
        <f t="shared" si="45"/>
        <v>-79250</v>
      </c>
      <c r="BA189" s="16"/>
      <c r="BB189" s="16"/>
      <c r="BC189" s="16"/>
    </row>
    <row r="190" spans="1:55" ht="16.899999999999999">
      <c r="A190" s="36">
        <v>189</v>
      </c>
      <c r="B190" s="35"/>
      <c r="C190" s="33"/>
      <c r="D190" s="33"/>
      <c r="E190" s="33"/>
      <c r="F190" s="33"/>
      <c r="G190" s="33"/>
      <c r="H190" s="33"/>
      <c r="I190" s="33"/>
      <c r="J190" s="33"/>
      <c r="K190" s="35"/>
      <c r="L190" s="34"/>
      <c r="M190" s="32"/>
      <c r="N190" s="32"/>
      <c r="O190" s="31">
        <f t="shared" si="46"/>
        <v>0</v>
      </c>
      <c r="P190" s="30"/>
      <c r="Q190" s="30"/>
      <c r="R190" s="30"/>
      <c r="S190" s="30"/>
      <c r="T190" s="29"/>
      <c r="U190" s="20"/>
      <c r="V190" s="28"/>
      <c r="W190" s="20"/>
      <c r="X190" s="27"/>
      <c r="Y190" s="26"/>
      <c r="Z190" s="25">
        <f t="shared" si="44"/>
        <v>0</v>
      </c>
      <c r="AA190" s="20">
        <f t="shared" si="39"/>
        <v>0</v>
      </c>
      <c r="AB190" s="24">
        <f t="shared" si="47"/>
        <v>0</v>
      </c>
      <c r="AC190" s="37"/>
      <c r="AD190" s="37"/>
      <c r="AE190" s="22"/>
      <c r="AF190" s="20"/>
      <c r="AG190" s="21"/>
      <c r="AH190" s="20"/>
      <c r="AI190" s="21"/>
      <c r="AJ190" s="20"/>
      <c r="AK190" s="20"/>
      <c r="AL190" s="20"/>
      <c r="AM190" s="19">
        <v>35000</v>
      </c>
      <c r="AN190" s="19">
        <v>30000</v>
      </c>
      <c r="AO190" s="19"/>
      <c r="AP190" s="19"/>
      <c r="AQ190" s="19"/>
      <c r="AR190" s="19">
        <f t="shared" si="40"/>
        <v>65000</v>
      </c>
      <c r="AS190" s="17">
        <f t="shared" si="41"/>
        <v>-65000</v>
      </c>
      <c r="AT190" s="17">
        <f t="shared" si="42"/>
        <v>-65000</v>
      </c>
      <c r="AU190" s="17">
        <f t="shared" si="43"/>
        <v>0</v>
      </c>
      <c r="AV190" s="17">
        <f t="shared" si="48"/>
        <v>-32500</v>
      </c>
      <c r="AW190" s="17">
        <f t="shared" si="49"/>
        <v>-29250</v>
      </c>
      <c r="AX190" s="18">
        <v>50000</v>
      </c>
      <c r="AY190" s="18"/>
      <c r="AZ190" s="17">
        <f t="shared" si="45"/>
        <v>-79250</v>
      </c>
      <c r="BA190" s="16"/>
      <c r="BB190" s="16"/>
      <c r="BC190" s="16"/>
    </row>
    <row r="191" spans="1:55" ht="16.899999999999999">
      <c r="A191" s="36">
        <v>190</v>
      </c>
      <c r="B191" s="35"/>
      <c r="C191" s="33"/>
      <c r="D191" s="33"/>
      <c r="E191" s="33"/>
      <c r="F191" s="33"/>
      <c r="G191" s="33"/>
      <c r="H191" s="33"/>
      <c r="I191" s="33"/>
      <c r="J191" s="33"/>
      <c r="K191" s="35"/>
      <c r="L191" s="34"/>
      <c r="M191" s="32"/>
      <c r="N191" s="32"/>
      <c r="O191" s="31">
        <f t="shared" si="46"/>
        <v>0</v>
      </c>
      <c r="P191" s="30"/>
      <c r="Q191" s="30"/>
      <c r="R191" s="30"/>
      <c r="S191" s="30"/>
      <c r="T191" s="29"/>
      <c r="U191" s="20"/>
      <c r="V191" s="28"/>
      <c r="W191" s="20"/>
      <c r="X191" s="27"/>
      <c r="Y191" s="26"/>
      <c r="Z191" s="25">
        <f t="shared" si="44"/>
        <v>0</v>
      </c>
      <c r="AA191" s="20">
        <f t="shared" si="39"/>
        <v>0</v>
      </c>
      <c r="AB191" s="24">
        <f t="shared" si="47"/>
        <v>0</v>
      </c>
      <c r="AC191" s="37"/>
      <c r="AD191" s="37"/>
      <c r="AE191" s="22"/>
      <c r="AF191" s="20"/>
      <c r="AG191" s="21"/>
      <c r="AH191" s="20"/>
      <c r="AI191" s="21"/>
      <c r="AJ191" s="20"/>
      <c r="AK191" s="20"/>
      <c r="AL191" s="20"/>
      <c r="AM191" s="19">
        <v>35000</v>
      </c>
      <c r="AN191" s="19">
        <v>30000</v>
      </c>
      <c r="AO191" s="19"/>
      <c r="AP191" s="19"/>
      <c r="AQ191" s="19"/>
      <c r="AR191" s="19">
        <f t="shared" si="40"/>
        <v>65000</v>
      </c>
      <c r="AS191" s="17">
        <f t="shared" si="41"/>
        <v>-65000</v>
      </c>
      <c r="AT191" s="17">
        <f t="shared" si="42"/>
        <v>-65000</v>
      </c>
      <c r="AU191" s="17">
        <f t="shared" si="43"/>
        <v>0</v>
      </c>
      <c r="AV191" s="17">
        <f t="shared" si="48"/>
        <v>-32500</v>
      </c>
      <c r="AW191" s="17">
        <f t="shared" si="49"/>
        <v>-29250</v>
      </c>
      <c r="AX191" s="18">
        <v>50000</v>
      </c>
      <c r="AY191" s="18"/>
      <c r="AZ191" s="17">
        <f t="shared" si="45"/>
        <v>-79250</v>
      </c>
      <c r="BA191" s="16"/>
      <c r="BB191" s="16"/>
      <c r="BC191" s="16"/>
    </row>
    <row r="192" spans="1:55" ht="16.899999999999999">
      <c r="A192" s="36">
        <v>191</v>
      </c>
      <c r="B192" s="35"/>
      <c r="C192" s="33"/>
      <c r="D192" s="33"/>
      <c r="E192" s="33"/>
      <c r="F192" s="33"/>
      <c r="G192" s="33"/>
      <c r="H192" s="33"/>
      <c r="I192" s="33"/>
      <c r="J192" s="33"/>
      <c r="K192" s="35"/>
      <c r="L192" s="34"/>
      <c r="M192" s="32"/>
      <c r="N192" s="32"/>
      <c r="O192" s="31">
        <f t="shared" si="46"/>
        <v>0</v>
      </c>
      <c r="P192" s="30"/>
      <c r="Q192" s="30"/>
      <c r="R192" s="30"/>
      <c r="S192" s="30"/>
      <c r="T192" s="29"/>
      <c r="U192" s="20"/>
      <c r="V192" s="28"/>
      <c r="W192" s="20"/>
      <c r="X192" s="27"/>
      <c r="Y192" s="26"/>
      <c r="Z192" s="25">
        <f t="shared" si="44"/>
        <v>0</v>
      </c>
      <c r="AA192" s="20">
        <f t="shared" si="39"/>
        <v>0</v>
      </c>
      <c r="AB192" s="24">
        <f t="shared" si="47"/>
        <v>0</v>
      </c>
      <c r="AC192" s="37"/>
      <c r="AD192" s="37"/>
      <c r="AE192" s="22"/>
      <c r="AF192" s="20"/>
      <c r="AG192" s="21"/>
      <c r="AH192" s="20"/>
      <c r="AI192" s="21"/>
      <c r="AJ192" s="20"/>
      <c r="AK192" s="20"/>
      <c r="AL192" s="20"/>
      <c r="AM192" s="19">
        <v>35000</v>
      </c>
      <c r="AN192" s="19">
        <v>30000</v>
      </c>
      <c r="AO192" s="19"/>
      <c r="AP192" s="19"/>
      <c r="AQ192" s="19"/>
      <c r="AR192" s="19">
        <f t="shared" si="40"/>
        <v>65000</v>
      </c>
      <c r="AS192" s="17">
        <f t="shared" si="41"/>
        <v>-65000</v>
      </c>
      <c r="AT192" s="17">
        <f t="shared" si="42"/>
        <v>-65000</v>
      </c>
      <c r="AU192" s="17">
        <f t="shared" si="43"/>
        <v>0</v>
      </c>
      <c r="AV192" s="17">
        <f t="shared" si="48"/>
        <v>-32500</v>
      </c>
      <c r="AW192" s="17">
        <f t="shared" si="49"/>
        <v>-29250</v>
      </c>
      <c r="AX192" s="18">
        <v>50000</v>
      </c>
      <c r="AY192" s="18"/>
      <c r="AZ192" s="17">
        <f t="shared" si="45"/>
        <v>-79250</v>
      </c>
      <c r="BA192" s="16"/>
      <c r="BB192" s="16"/>
      <c r="BC192" s="16"/>
    </row>
    <row r="193" spans="1:55" ht="16.899999999999999">
      <c r="A193" s="36">
        <v>192</v>
      </c>
      <c r="B193" s="35"/>
      <c r="C193" s="33"/>
      <c r="D193" s="33"/>
      <c r="E193" s="33"/>
      <c r="F193" s="33"/>
      <c r="G193" s="33"/>
      <c r="H193" s="33"/>
      <c r="I193" s="33"/>
      <c r="J193" s="33"/>
      <c r="K193" s="35"/>
      <c r="L193" s="34"/>
      <c r="M193" s="32"/>
      <c r="N193" s="32"/>
      <c r="O193" s="31">
        <f t="shared" si="46"/>
        <v>0</v>
      </c>
      <c r="P193" s="30"/>
      <c r="Q193" s="30"/>
      <c r="R193" s="30"/>
      <c r="S193" s="30"/>
      <c r="T193" s="29"/>
      <c r="U193" s="20"/>
      <c r="V193" s="28"/>
      <c r="W193" s="20"/>
      <c r="X193" s="27"/>
      <c r="Y193" s="26"/>
      <c r="Z193" s="25">
        <f t="shared" si="44"/>
        <v>0</v>
      </c>
      <c r="AA193" s="20">
        <f t="shared" si="39"/>
        <v>0</v>
      </c>
      <c r="AB193" s="24">
        <f t="shared" si="47"/>
        <v>0</v>
      </c>
      <c r="AC193" s="37"/>
      <c r="AD193" s="37"/>
      <c r="AE193" s="22"/>
      <c r="AF193" s="20"/>
      <c r="AG193" s="21"/>
      <c r="AH193" s="20"/>
      <c r="AI193" s="21"/>
      <c r="AJ193" s="20"/>
      <c r="AK193" s="20"/>
      <c r="AL193" s="20"/>
      <c r="AM193" s="19">
        <v>35000</v>
      </c>
      <c r="AN193" s="19">
        <v>30000</v>
      </c>
      <c r="AO193" s="19"/>
      <c r="AP193" s="19"/>
      <c r="AQ193" s="19"/>
      <c r="AR193" s="19">
        <f t="shared" si="40"/>
        <v>65000</v>
      </c>
      <c r="AS193" s="17">
        <f t="shared" si="41"/>
        <v>-65000</v>
      </c>
      <c r="AT193" s="17">
        <f t="shared" si="42"/>
        <v>-65000</v>
      </c>
      <c r="AU193" s="17">
        <f t="shared" si="43"/>
        <v>0</v>
      </c>
      <c r="AV193" s="17">
        <f t="shared" si="48"/>
        <v>-32500</v>
      </c>
      <c r="AW193" s="17">
        <f t="shared" si="49"/>
        <v>-29250</v>
      </c>
      <c r="AX193" s="18">
        <v>50000</v>
      </c>
      <c r="AY193" s="18"/>
      <c r="AZ193" s="17">
        <f t="shared" si="45"/>
        <v>-79250</v>
      </c>
      <c r="BA193" s="16"/>
      <c r="BB193" s="16"/>
      <c r="BC193" s="16"/>
    </row>
    <row r="194" spans="1:55" ht="16.899999999999999">
      <c r="A194" s="36">
        <v>193</v>
      </c>
      <c r="B194" s="35"/>
      <c r="C194" s="33"/>
      <c r="D194" s="33"/>
      <c r="E194" s="33"/>
      <c r="F194" s="33"/>
      <c r="G194" s="33"/>
      <c r="H194" s="33"/>
      <c r="I194" s="33"/>
      <c r="J194" s="33"/>
      <c r="K194" s="35"/>
      <c r="L194" s="34"/>
      <c r="M194" s="32"/>
      <c r="N194" s="32"/>
      <c r="O194" s="31">
        <f t="shared" si="46"/>
        <v>0</v>
      </c>
      <c r="P194" s="30"/>
      <c r="Q194" s="30"/>
      <c r="R194" s="30"/>
      <c r="S194" s="30"/>
      <c r="T194" s="29"/>
      <c r="U194" s="20"/>
      <c r="V194" s="28"/>
      <c r="W194" s="20"/>
      <c r="X194" s="27"/>
      <c r="Y194" s="26"/>
      <c r="Z194" s="25">
        <f t="shared" si="44"/>
        <v>0</v>
      </c>
      <c r="AA194" s="20">
        <f t="shared" ref="AA194:AA257" si="50">SUM(AF194+AH194+AJ194+AK194-AL194)</f>
        <v>0</v>
      </c>
      <c r="AB194" s="24">
        <f t="shared" si="47"/>
        <v>0</v>
      </c>
      <c r="AC194" s="37"/>
      <c r="AD194" s="37"/>
      <c r="AE194" s="22"/>
      <c r="AF194" s="20"/>
      <c r="AG194" s="21"/>
      <c r="AH194" s="20"/>
      <c r="AI194" s="21"/>
      <c r="AJ194" s="20"/>
      <c r="AK194" s="20"/>
      <c r="AL194" s="20"/>
      <c r="AM194" s="19">
        <v>35000</v>
      </c>
      <c r="AN194" s="19">
        <v>30000</v>
      </c>
      <c r="AO194" s="19"/>
      <c r="AP194" s="19"/>
      <c r="AQ194" s="19"/>
      <c r="AR194" s="19">
        <f t="shared" ref="AR194:AR257" si="51">SUM(AM194:AQ194)</f>
        <v>65000</v>
      </c>
      <c r="AS194" s="17">
        <f t="shared" ref="AS194:AS257" si="52">SUM(Z194-V194)*U194-AR194</f>
        <v>-65000</v>
      </c>
      <c r="AT194" s="17">
        <f t="shared" ref="AT194:AT257" si="53">SUM(AS194-O194)</f>
        <v>-65000</v>
      </c>
      <c r="AU194" s="17">
        <f t="shared" ref="AU194:AU257" si="54">SUM(M194*0.09)</f>
        <v>0</v>
      </c>
      <c r="AV194" s="17">
        <f t="shared" si="48"/>
        <v>-32500</v>
      </c>
      <c r="AW194" s="17">
        <f t="shared" si="49"/>
        <v>-29250</v>
      </c>
      <c r="AX194" s="18">
        <v>50000</v>
      </c>
      <c r="AY194" s="18"/>
      <c r="AZ194" s="17">
        <f t="shared" si="45"/>
        <v>-79250</v>
      </c>
      <c r="BA194" s="16"/>
      <c r="BB194" s="16"/>
      <c r="BC194" s="16"/>
    </row>
    <row r="195" spans="1:55" ht="16.899999999999999">
      <c r="A195" s="36">
        <v>194</v>
      </c>
      <c r="B195" s="35"/>
      <c r="C195" s="33"/>
      <c r="D195" s="33"/>
      <c r="E195" s="33"/>
      <c r="F195" s="33"/>
      <c r="G195" s="33"/>
      <c r="H195" s="33"/>
      <c r="I195" s="33"/>
      <c r="J195" s="33"/>
      <c r="K195" s="35"/>
      <c r="L195" s="34"/>
      <c r="M195" s="32"/>
      <c r="N195" s="32"/>
      <c r="O195" s="31">
        <f t="shared" si="46"/>
        <v>0</v>
      </c>
      <c r="P195" s="30"/>
      <c r="Q195" s="30"/>
      <c r="R195" s="30"/>
      <c r="S195" s="30"/>
      <c r="T195" s="29"/>
      <c r="U195" s="20"/>
      <c r="V195" s="28"/>
      <c r="W195" s="20"/>
      <c r="X195" s="27"/>
      <c r="Y195" s="26"/>
      <c r="Z195" s="25">
        <f t="shared" si="44"/>
        <v>0</v>
      </c>
      <c r="AA195" s="20">
        <f t="shared" si="50"/>
        <v>0</v>
      </c>
      <c r="AB195" s="24">
        <f t="shared" si="47"/>
        <v>0</v>
      </c>
      <c r="AC195" s="37"/>
      <c r="AD195" s="37"/>
      <c r="AE195" s="22"/>
      <c r="AF195" s="20"/>
      <c r="AG195" s="21"/>
      <c r="AH195" s="20"/>
      <c r="AI195" s="21"/>
      <c r="AJ195" s="20"/>
      <c r="AK195" s="20"/>
      <c r="AL195" s="20"/>
      <c r="AM195" s="19">
        <v>35000</v>
      </c>
      <c r="AN195" s="19">
        <v>30000</v>
      </c>
      <c r="AO195" s="19"/>
      <c r="AP195" s="19"/>
      <c r="AQ195" s="19"/>
      <c r="AR195" s="19">
        <f t="shared" si="51"/>
        <v>65000</v>
      </c>
      <c r="AS195" s="17">
        <f t="shared" si="52"/>
        <v>-65000</v>
      </c>
      <c r="AT195" s="17">
        <f t="shared" si="53"/>
        <v>-65000</v>
      </c>
      <c r="AU195" s="17">
        <f t="shared" si="54"/>
        <v>0</v>
      </c>
      <c r="AV195" s="17">
        <f t="shared" si="48"/>
        <v>-32500</v>
      </c>
      <c r="AW195" s="17">
        <f t="shared" si="49"/>
        <v>-29250</v>
      </c>
      <c r="AX195" s="18">
        <v>50000</v>
      </c>
      <c r="AY195" s="18"/>
      <c r="AZ195" s="17">
        <f t="shared" si="45"/>
        <v>-79250</v>
      </c>
      <c r="BA195" s="16"/>
      <c r="BB195" s="16"/>
      <c r="BC195" s="16"/>
    </row>
    <row r="196" spans="1:55" ht="16.899999999999999">
      <c r="A196" s="36">
        <v>195</v>
      </c>
      <c r="B196" s="35"/>
      <c r="C196" s="33"/>
      <c r="D196" s="33"/>
      <c r="E196" s="33"/>
      <c r="F196" s="33"/>
      <c r="G196" s="33"/>
      <c r="H196" s="33"/>
      <c r="I196" s="33"/>
      <c r="J196" s="33"/>
      <c r="K196" s="35"/>
      <c r="L196" s="34"/>
      <c r="M196" s="32"/>
      <c r="N196" s="32"/>
      <c r="O196" s="31">
        <f t="shared" si="46"/>
        <v>0</v>
      </c>
      <c r="P196" s="30"/>
      <c r="Q196" s="30"/>
      <c r="R196" s="30"/>
      <c r="S196" s="30"/>
      <c r="T196" s="29"/>
      <c r="U196" s="20"/>
      <c r="V196" s="28"/>
      <c r="W196" s="20"/>
      <c r="X196" s="27"/>
      <c r="Y196" s="26"/>
      <c r="Z196" s="25">
        <f t="shared" si="44"/>
        <v>0</v>
      </c>
      <c r="AA196" s="20">
        <f t="shared" si="50"/>
        <v>0</v>
      </c>
      <c r="AB196" s="24">
        <f t="shared" si="47"/>
        <v>0</v>
      </c>
      <c r="AC196" s="37"/>
      <c r="AD196" s="37"/>
      <c r="AE196" s="22"/>
      <c r="AF196" s="20"/>
      <c r="AG196" s="21"/>
      <c r="AH196" s="20"/>
      <c r="AI196" s="21"/>
      <c r="AJ196" s="20"/>
      <c r="AK196" s="20"/>
      <c r="AL196" s="20"/>
      <c r="AM196" s="19">
        <v>35000</v>
      </c>
      <c r="AN196" s="19">
        <v>30000</v>
      </c>
      <c r="AO196" s="19"/>
      <c r="AP196" s="19"/>
      <c r="AQ196" s="19"/>
      <c r="AR196" s="19">
        <f t="shared" si="51"/>
        <v>65000</v>
      </c>
      <c r="AS196" s="17">
        <f t="shared" si="52"/>
        <v>-65000</v>
      </c>
      <c r="AT196" s="17">
        <f t="shared" si="53"/>
        <v>-65000</v>
      </c>
      <c r="AU196" s="17">
        <f t="shared" si="54"/>
        <v>0</v>
      </c>
      <c r="AV196" s="17">
        <f t="shared" si="48"/>
        <v>-32500</v>
      </c>
      <c r="AW196" s="17">
        <f t="shared" si="49"/>
        <v>-29250</v>
      </c>
      <c r="AX196" s="18">
        <v>50000</v>
      </c>
      <c r="AY196" s="18"/>
      <c r="AZ196" s="17">
        <f t="shared" si="45"/>
        <v>-79250</v>
      </c>
      <c r="BA196" s="16"/>
      <c r="BB196" s="16"/>
      <c r="BC196" s="16"/>
    </row>
    <row r="197" spans="1:55" ht="16.899999999999999">
      <c r="A197" s="36">
        <v>196</v>
      </c>
      <c r="B197" s="35"/>
      <c r="C197" s="33"/>
      <c r="D197" s="33"/>
      <c r="E197" s="33"/>
      <c r="F197" s="33"/>
      <c r="G197" s="33"/>
      <c r="H197" s="33"/>
      <c r="I197" s="33"/>
      <c r="J197" s="33"/>
      <c r="K197" s="35"/>
      <c r="L197" s="34"/>
      <c r="M197" s="32"/>
      <c r="N197" s="32"/>
      <c r="O197" s="31">
        <f t="shared" si="46"/>
        <v>0</v>
      </c>
      <c r="P197" s="30"/>
      <c r="Q197" s="30"/>
      <c r="R197" s="30"/>
      <c r="S197" s="30"/>
      <c r="T197" s="29"/>
      <c r="U197" s="20"/>
      <c r="V197" s="28"/>
      <c r="W197" s="20"/>
      <c r="X197" s="27"/>
      <c r="Y197" s="26"/>
      <c r="Z197" s="25">
        <f t="shared" si="44"/>
        <v>0</v>
      </c>
      <c r="AA197" s="20">
        <f t="shared" si="50"/>
        <v>0</v>
      </c>
      <c r="AB197" s="24">
        <f t="shared" si="47"/>
        <v>0</v>
      </c>
      <c r="AC197" s="37"/>
      <c r="AD197" s="37"/>
      <c r="AE197" s="22"/>
      <c r="AF197" s="20"/>
      <c r="AG197" s="21"/>
      <c r="AH197" s="20"/>
      <c r="AI197" s="21"/>
      <c r="AJ197" s="20"/>
      <c r="AK197" s="20"/>
      <c r="AL197" s="20"/>
      <c r="AM197" s="19">
        <v>35000</v>
      </c>
      <c r="AN197" s="19">
        <v>30000</v>
      </c>
      <c r="AO197" s="19"/>
      <c r="AP197" s="19"/>
      <c r="AQ197" s="19"/>
      <c r="AR197" s="19">
        <f t="shared" si="51"/>
        <v>65000</v>
      </c>
      <c r="AS197" s="17">
        <f t="shared" si="52"/>
        <v>-65000</v>
      </c>
      <c r="AT197" s="17">
        <f t="shared" si="53"/>
        <v>-65000</v>
      </c>
      <c r="AU197" s="17">
        <f t="shared" si="54"/>
        <v>0</v>
      </c>
      <c r="AV197" s="17">
        <f t="shared" si="48"/>
        <v>-32500</v>
      </c>
      <c r="AW197" s="17">
        <f t="shared" si="49"/>
        <v>-29250</v>
      </c>
      <c r="AX197" s="18">
        <v>50000</v>
      </c>
      <c r="AY197" s="18"/>
      <c r="AZ197" s="17">
        <f t="shared" si="45"/>
        <v>-79250</v>
      </c>
      <c r="BA197" s="16"/>
      <c r="BB197" s="16"/>
      <c r="BC197" s="16"/>
    </row>
    <row r="198" spans="1:55" ht="16.899999999999999">
      <c r="A198" s="36">
        <v>197</v>
      </c>
      <c r="B198" s="35"/>
      <c r="C198" s="33"/>
      <c r="D198" s="33"/>
      <c r="E198" s="33"/>
      <c r="F198" s="33"/>
      <c r="G198" s="33"/>
      <c r="H198" s="33"/>
      <c r="I198" s="33"/>
      <c r="J198" s="33"/>
      <c r="K198" s="35"/>
      <c r="L198" s="34"/>
      <c r="M198" s="32"/>
      <c r="N198" s="32"/>
      <c r="O198" s="31">
        <f t="shared" si="46"/>
        <v>0</v>
      </c>
      <c r="P198" s="30"/>
      <c r="Q198" s="30"/>
      <c r="R198" s="30"/>
      <c r="S198" s="30"/>
      <c r="T198" s="29"/>
      <c r="U198" s="20"/>
      <c r="V198" s="28"/>
      <c r="W198" s="20"/>
      <c r="X198" s="27"/>
      <c r="Y198" s="26"/>
      <c r="Z198" s="25">
        <f t="shared" si="44"/>
        <v>0</v>
      </c>
      <c r="AA198" s="20">
        <f t="shared" si="50"/>
        <v>0</v>
      </c>
      <c r="AB198" s="24">
        <f t="shared" si="47"/>
        <v>0</v>
      </c>
      <c r="AC198" s="37"/>
      <c r="AD198" s="37"/>
      <c r="AE198" s="22"/>
      <c r="AF198" s="20"/>
      <c r="AG198" s="21"/>
      <c r="AH198" s="20"/>
      <c r="AI198" s="21"/>
      <c r="AJ198" s="20"/>
      <c r="AK198" s="20"/>
      <c r="AL198" s="20"/>
      <c r="AM198" s="19">
        <v>35000</v>
      </c>
      <c r="AN198" s="19">
        <v>30000</v>
      </c>
      <c r="AO198" s="19"/>
      <c r="AP198" s="19"/>
      <c r="AQ198" s="19"/>
      <c r="AR198" s="19">
        <f t="shared" si="51"/>
        <v>65000</v>
      </c>
      <c r="AS198" s="17">
        <f t="shared" si="52"/>
        <v>-65000</v>
      </c>
      <c r="AT198" s="17">
        <f t="shared" si="53"/>
        <v>-65000</v>
      </c>
      <c r="AU198" s="17">
        <f t="shared" si="54"/>
        <v>0</v>
      </c>
      <c r="AV198" s="17">
        <f t="shared" si="48"/>
        <v>-32500</v>
      </c>
      <c r="AW198" s="17">
        <f t="shared" si="49"/>
        <v>-29250</v>
      </c>
      <c r="AX198" s="18">
        <v>50000</v>
      </c>
      <c r="AY198" s="18"/>
      <c r="AZ198" s="17">
        <f t="shared" si="45"/>
        <v>-79250</v>
      </c>
      <c r="BA198" s="16"/>
      <c r="BB198" s="16"/>
      <c r="BC198" s="16"/>
    </row>
    <row r="199" spans="1:55" ht="16.899999999999999">
      <c r="A199" s="36">
        <v>198</v>
      </c>
      <c r="B199" s="35"/>
      <c r="C199" s="33"/>
      <c r="D199" s="33"/>
      <c r="E199" s="33"/>
      <c r="F199" s="33"/>
      <c r="G199" s="33"/>
      <c r="H199" s="33"/>
      <c r="I199" s="33"/>
      <c r="J199" s="33"/>
      <c r="K199" s="35"/>
      <c r="L199" s="34"/>
      <c r="M199" s="32"/>
      <c r="N199" s="32"/>
      <c r="O199" s="31">
        <f t="shared" si="46"/>
        <v>0</v>
      </c>
      <c r="P199" s="30"/>
      <c r="Q199" s="30"/>
      <c r="R199" s="30"/>
      <c r="S199" s="30"/>
      <c r="T199" s="29"/>
      <c r="U199" s="20"/>
      <c r="V199" s="28"/>
      <c r="W199" s="20"/>
      <c r="X199" s="27"/>
      <c r="Y199" s="26"/>
      <c r="Z199" s="25">
        <f t="shared" si="44"/>
        <v>0</v>
      </c>
      <c r="AA199" s="20">
        <f t="shared" si="50"/>
        <v>0</v>
      </c>
      <c r="AB199" s="24">
        <f t="shared" si="47"/>
        <v>0</v>
      </c>
      <c r="AC199" s="37"/>
      <c r="AD199" s="37"/>
      <c r="AE199" s="22"/>
      <c r="AF199" s="20"/>
      <c r="AG199" s="21"/>
      <c r="AH199" s="20"/>
      <c r="AI199" s="21"/>
      <c r="AJ199" s="20"/>
      <c r="AK199" s="20"/>
      <c r="AL199" s="20"/>
      <c r="AM199" s="19">
        <v>35000</v>
      </c>
      <c r="AN199" s="19">
        <v>30000</v>
      </c>
      <c r="AO199" s="19"/>
      <c r="AP199" s="19"/>
      <c r="AQ199" s="19"/>
      <c r="AR199" s="19">
        <f t="shared" si="51"/>
        <v>65000</v>
      </c>
      <c r="AS199" s="17">
        <f t="shared" si="52"/>
        <v>-65000</v>
      </c>
      <c r="AT199" s="17">
        <f t="shared" si="53"/>
        <v>-65000</v>
      </c>
      <c r="AU199" s="17">
        <f t="shared" si="54"/>
        <v>0</v>
      </c>
      <c r="AV199" s="17">
        <f t="shared" si="48"/>
        <v>-32500</v>
      </c>
      <c r="AW199" s="17">
        <f t="shared" si="49"/>
        <v>-29250</v>
      </c>
      <c r="AX199" s="18">
        <v>50000</v>
      </c>
      <c r="AY199" s="18"/>
      <c r="AZ199" s="17">
        <f t="shared" si="45"/>
        <v>-79250</v>
      </c>
      <c r="BA199" s="16"/>
      <c r="BB199" s="16"/>
      <c r="BC199" s="16"/>
    </row>
    <row r="200" spans="1:55" ht="16.899999999999999">
      <c r="A200" s="36">
        <v>199</v>
      </c>
      <c r="B200" s="35"/>
      <c r="C200" s="33"/>
      <c r="D200" s="33"/>
      <c r="E200" s="33"/>
      <c r="F200" s="33"/>
      <c r="G200" s="33"/>
      <c r="H200" s="33"/>
      <c r="I200" s="33"/>
      <c r="J200" s="33"/>
      <c r="K200" s="35"/>
      <c r="L200" s="34"/>
      <c r="M200" s="32"/>
      <c r="N200" s="32"/>
      <c r="O200" s="31">
        <f t="shared" si="46"/>
        <v>0</v>
      </c>
      <c r="P200" s="30"/>
      <c r="Q200" s="30"/>
      <c r="R200" s="30"/>
      <c r="S200" s="30"/>
      <c r="T200" s="29"/>
      <c r="U200" s="20"/>
      <c r="V200" s="28"/>
      <c r="W200" s="20"/>
      <c r="X200" s="27"/>
      <c r="Y200" s="26"/>
      <c r="Z200" s="25">
        <f t="shared" si="44"/>
        <v>0</v>
      </c>
      <c r="AA200" s="20">
        <f t="shared" si="50"/>
        <v>0</v>
      </c>
      <c r="AB200" s="24">
        <f t="shared" si="47"/>
        <v>0</v>
      </c>
      <c r="AC200" s="37"/>
      <c r="AD200" s="37"/>
      <c r="AE200" s="22"/>
      <c r="AF200" s="20"/>
      <c r="AG200" s="21"/>
      <c r="AH200" s="20"/>
      <c r="AI200" s="21"/>
      <c r="AJ200" s="20"/>
      <c r="AK200" s="20"/>
      <c r="AL200" s="20"/>
      <c r="AM200" s="19">
        <v>35000</v>
      </c>
      <c r="AN200" s="19">
        <v>30000</v>
      </c>
      <c r="AO200" s="19"/>
      <c r="AP200" s="19"/>
      <c r="AQ200" s="19"/>
      <c r="AR200" s="19">
        <f t="shared" si="51"/>
        <v>65000</v>
      </c>
      <c r="AS200" s="17">
        <f t="shared" si="52"/>
        <v>-65000</v>
      </c>
      <c r="AT200" s="17">
        <f t="shared" si="53"/>
        <v>-65000</v>
      </c>
      <c r="AU200" s="17">
        <f t="shared" si="54"/>
        <v>0</v>
      </c>
      <c r="AV200" s="17">
        <f t="shared" si="48"/>
        <v>-32500</v>
      </c>
      <c r="AW200" s="17">
        <f t="shared" si="49"/>
        <v>-29250</v>
      </c>
      <c r="AX200" s="18">
        <v>50000</v>
      </c>
      <c r="AY200" s="18"/>
      <c r="AZ200" s="17">
        <f t="shared" si="45"/>
        <v>-79250</v>
      </c>
      <c r="BA200" s="16"/>
      <c r="BB200" s="16"/>
      <c r="BC200" s="16"/>
    </row>
    <row r="201" spans="1:55" ht="16.899999999999999">
      <c r="A201" s="36">
        <v>200</v>
      </c>
      <c r="B201" s="35"/>
      <c r="C201" s="33"/>
      <c r="D201" s="33"/>
      <c r="E201" s="33"/>
      <c r="F201" s="33"/>
      <c r="G201" s="33"/>
      <c r="H201" s="33"/>
      <c r="I201" s="33"/>
      <c r="J201" s="33"/>
      <c r="K201" s="35"/>
      <c r="L201" s="34"/>
      <c r="M201" s="32"/>
      <c r="N201" s="32"/>
      <c r="O201" s="31">
        <f t="shared" si="46"/>
        <v>0</v>
      </c>
      <c r="P201" s="30"/>
      <c r="Q201" s="30"/>
      <c r="R201" s="30"/>
      <c r="S201" s="30"/>
      <c r="T201" s="29"/>
      <c r="U201" s="20"/>
      <c r="V201" s="28"/>
      <c r="W201" s="20"/>
      <c r="X201" s="27"/>
      <c r="Y201" s="26"/>
      <c r="Z201" s="25">
        <f t="shared" si="44"/>
        <v>0</v>
      </c>
      <c r="AA201" s="20">
        <f t="shared" si="50"/>
        <v>0</v>
      </c>
      <c r="AB201" s="24">
        <f t="shared" si="47"/>
        <v>0</v>
      </c>
      <c r="AC201" s="37"/>
      <c r="AD201" s="37"/>
      <c r="AE201" s="22"/>
      <c r="AF201" s="20"/>
      <c r="AG201" s="21"/>
      <c r="AH201" s="20"/>
      <c r="AI201" s="21"/>
      <c r="AJ201" s="20"/>
      <c r="AK201" s="20"/>
      <c r="AL201" s="20"/>
      <c r="AM201" s="19">
        <v>35000</v>
      </c>
      <c r="AN201" s="19">
        <v>30000</v>
      </c>
      <c r="AO201" s="19"/>
      <c r="AP201" s="19"/>
      <c r="AQ201" s="19"/>
      <c r="AR201" s="19">
        <f t="shared" si="51"/>
        <v>65000</v>
      </c>
      <c r="AS201" s="17">
        <f t="shared" si="52"/>
        <v>-65000</v>
      </c>
      <c r="AT201" s="17">
        <f t="shared" si="53"/>
        <v>-65000</v>
      </c>
      <c r="AU201" s="17">
        <f t="shared" si="54"/>
        <v>0</v>
      </c>
      <c r="AV201" s="17">
        <f t="shared" si="48"/>
        <v>-32500</v>
      </c>
      <c r="AW201" s="17">
        <f t="shared" si="49"/>
        <v>-29250</v>
      </c>
      <c r="AX201" s="18">
        <v>50000</v>
      </c>
      <c r="AY201" s="18"/>
      <c r="AZ201" s="17">
        <f t="shared" si="45"/>
        <v>-79250</v>
      </c>
      <c r="BA201" s="16"/>
      <c r="BB201" s="16"/>
      <c r="BC201" s="16"/>
    </row>
    <row r="202" spans="1:55" ht="16.899999999999999">
      <c r="A202" s="36">
        <v>201</v>
      </c>
      <c r="B202" s="35"/>
      <c r="C202" s="33"/>
      <c r="D202" s="33"/>
      <c r="E202" s="33"/>
      <c r="F202" s="33"/>
      <c r="G202" s="33"/>
      <c r="H202" s="33"/>
      <c r="I202" s="33"/>
      <c r="J202" s="33"/>
      <c r="K202" s="35"/>
      <c r="L202" s="34"/>
      <c r="M202" s="32"/>
      <c r="N202" s="32"/>
      <c r="O202" s="31">
        <f t="shared" si="46"/>
        <v>0</v>
      </c>
      <c r="P202" s="30"/>
      <c r="Q202" s="30"/>
      <c r="R202" s="30"/>
      <c r="S202" s="30"/>
      <c r="T202" s="29"/>
      <c r="U202" s="20"/>
      <c r="V202" s="28"/>
      <c r="W202" s="20"/>
      <c r="X202" s="27"/>
      <c r="Y202" s="26"/>
      <c r="Z202" s="25">
        <f t="shared" si="44"/>
        <v>0</v>
      </c>
      <c r="AA202" s="20">
        <f t="shared" si="50"/>
        <v>0</v>
      </c>
      <c r="AB202" s="24">
        <f t="shared" si="47"/>
        <v>0</v>
      </c>
      <c r="AC202" s="37"/>
      <c r="AD202" s="37"/>
      <c r="AE202" s="22"/>
      <c r="AF202" s="20"/>
      <c r="AG202" s="21"/>
      <c r="AH202" s="20"/>
      <c r="AI202" s="21"/>
      <c r="AJ202" s="20"/>
      <c r="AK202" s="20"/>
      <c r="AL202" s="20"/>
      <c r="AM202" s="19">
        <v>35000</v>
      </c>
      <c r="AN202" s="19">
        <v>30000</v>
      </c>
      <c r="AO202" s="19"/>
      <c r="AP202" s="19"/>
      <c r="AQ202" s="19"/>
      <c r="AR202" s="19">
        <f t="shared" si="51"/>
        <v>65000</v>
      </c>
      <c r="AS202" s="17">
        <f t="shared" si="52"/>
        <v>-65000</v>
      </c>
      <c r="AT202" s="17">
        <f t="shared" si="53"/>
        <v>-65000</v>
      </c>
      <c r="AU202" s="17">
        <f t="shared" si="54"/>
        <v>0</v>
      </c>
      <c r="AV202" s="17">
        <f t="shared" si="48"/>
        <v>-32500</v>
      </c>
      <c r="AW202" s="17">
        <f t="shared" si="49"/>
        <v>-29250</v>
      </c>
      <c r="AX202" s="18">
        <v>50000</v>
      </c>
      <c r="AY202" s="18"/>
      <c r="AZ202" s="17">
        <f t="shared" si="45"/>
        <v>-79250</v>
      </c>
      <c r="BA202" s="16"/>
      <c r="BB202" s="16"/>
      <c r="BC202" s="16"/>
    </row>
    <row r="203" spans="1:55" ht="16.899999999999999">
      <c r="A203" s="36">
        <v>202</v>
      </c>
      <c r="B203" s="35"/>
      <c r="C203" s="33"/>
      <c r="D203" s="33"/>
      <c r="E203" s="33"/>
      <c r="F203" s="33"/>
      <c r="G203" s="33"/>
      <c r="H203" s="33"/>
      <c r="I203" s="33"/>
      <c r="J203" s="33"/>
      <c r="K203" s="35"/>
      <c r="L203" s="34"/>
      <c r="M203" s="32"/>
      <c r="N203" s="32"/>
      <c r="O203" s="31">
        <f t="shared" si="46"/>
        <v>0</v>
      </c>
      <c r="P203" s="30"/>
      <c r="Q203" s="30"/>
      <c r="R203" s="30"/>
      <c r="S203" s="30"/>
      <c r="T203" s="29"/>
      <c r="U203" s="20"/>
      <c r="V203" s="28"/>
      <c r="W203" s="20"/>
      <c r="X203" s="27"/>
      <c r="Y203" s="26"/>
      <c r="Z203" s="25">
        <f t="shared" si="44"/>
        <v>0</v>
      </c>
      <c r="AA203" s="20">
        <f t="shared" si="50"/>
        <v>0</v>
      </c>
      <c r="AB203" s="24">
        <f t="shared" si="47"/>
        <v>0</v>
      </c>
      <c r="AC203" s="37"/>
      <c r="AD203" s="37"/>
      <c r="AE203" s="22"/>
      <c r="AF203" s="20"/>
      <c r="AG203" s="21"/>
      <c r="AH203" s="20"/>
      <c r="AI203" s="21"/>
      <c r="AJ203" s="20"/>
      <c r="AK203" s="20"/>
      <c r="AL203" s="20"/>
      <c r="AM203" s="19">
        <v>35000</v>
      </c>
      <c r="AN203" s="19">
        <v>30000</v>
      </c>
      <c r="AO203" s="19"/>
      <c r="AP203" s="19"/>
      <c r="AQ203" s="19"/>
      <c r="AR203" s="19">
        <f t="shared" si="51"/>
        <v>65000</v>
      </c>
      <c r="AS203" s="17">
        <f t="shared" si="52"/>
        <v>-65000</v>
      </c>
      <c r="AT203" s="17">
        <f t="shared" si="53"/>
        <v>-65000</v>
      </c>
      <c r="AU203" s="17">
        <f t="shared" si="54"/>
        <v>0</v>
      </c>
      <c r="AV203" s="17">
        <f t="shared" si="48"/>
        <v>-32500</v>
      </c>
      <c r="AW203" s="17">
        <f t="shared" si="49"/>
        <v>-29250</v>
      </c>
      <c r="AX203" s="18">
        <v>50000</v>
      </c>
      <c r="AY203" s="18"/>
      <c r="AZ203" s="17">
        <f t="shared" si="45"/>
        <v>-79250</v>
      </c>
      <c r="BA203" s="16"/>
      <c r="BB203" s="16"/>
      <c r="BC203" s="16"/>
    </row>
    <row r="204" spans="1:55" ht="16.5" customHeight="1">
      <c r="A204" s="36">
        <v>203</v>
      </c>
      <c r="B204" s="35"/>
      <c r="C204" s="33"/>
      <c r="D204" s="33"/>
      <c r="E204" s="33"/>
      <c r="F204" s="33"/>
      <c r="G204" s="33"/>
      <c r="H204" s="33"/>
      <c r="I204" s="33"/>
      <c r="J204" s="33"/>
      <c r="K204" s="35"/>
      <c r="L204" s="34"/>
      <c r="M204" s="32"/>
      <c r="N204" s="32"/>
      <c r="O204" s="31">
        <f t="shared" si="46"/>
        <v>0</v>
      </c>
      <c r="P204" s="30"/>
      <c r="Q204" s="30"/>
      <c r="R204" s="30"/>
      <c r="S204" s="30"/>
      <c r="T204" s="29"/>
      <c r="U204" s="20"/>
      <c r="V204" s="28"/>
      <c r="W204" s="20"/>
      <c r="X204" s="27"/>
      <c r="Y204" s="26"/>
      <c r="Z204" s="25">
        <f t="shared" ref="Z204:Z267" si="55">SUM(T204,V204:Y204)</f>
        <v>0</v>
      </c>
      <c r="AA204" s="20">
        <f t="shared" si="50"/>
        <v>0</v>
      </c>
      <c r="AB204" s="24">
        <f t="shared" si="47"/>
        <v>0</v>
      </c>
      <c r="AC204" s="37"/>
      <c r="AD204" s="37"/>
      <c r="AE204" s="22"/>
      <c r="AF204" s="20"/>
      <c r="AG204" s="21"/>
      <c r="AH204" s="20"/>
      <c r="AI204" s="21"/>
      <c r="AJ204" s="20"/>
      <c r="AK204" s="20"/>
      <c r="AL204" s="20"/>
      <c r="AM204" s="19">
        <v>35000</v>
      </c>
      <c r="AN204" s="19">
        <v>30000</v>
      </c>
      <c r="AO204" s="19"/>
      <c r="AP204" s="19"/>
      <c r="AQ204" s="19"/>
      <c r="AR204" s="19">
        <f t="shared" si="51"/>
        <v>65000</v>
      </c>
      <c r="AS204" s="17">
        <f t="shared" si="52"/>
        <v>-65000</v>
      </c>
      <c r="AT204" s="17">
        <f t="shared" si="53"/>
        <v>-65000</v>
      </c>
      <c r="AU204" s="17">
        <f t="shared" si="54"/>
        <v>0</v>
      </c>
      <c r="AV204" s="17">
        <f t="shared" si="48"/>
        <v>-32500</v>
      </c>
      <c r="AW204" s="17">
        <f t="shared" si="49"/>
        <v>-29250</v>
      </c>
      <c r="AX204" s="18">
        <v>50000</v>
      </c>
      <c r="AY204" s="18"/>
      <c r="AZ204" s="17">
        <f t="shared" si="45"/>
        <v>-79250</v>
      </c>
      <c r="BA204" s="16"/>
      <c r="BB204" s="16"/>
      <c r="BC204" s="16"/>
    </row>
    <row r="205" spans="1:55" ht="16.899999999999999">
      <c r="A205" s="36">
        <v>204</v>
      </c>
      <c r="B205" s="35"/>
      <c r="C205" s="33"/>
      <c r="D205" s="33"/>
      <c r="E205" s="33"/>
      <c r="F205" s="33"/>
      <c r="G205" s="33"/>
      <c r="H205" s="33"/>
      <c r="I205" s="33"/>
      <c r="J205" s="33"/>
      <c r="K205" s="35"/>
      <c r="L205" s="34"/>
      <c r="M205" s="32"/>
      <c r="N205" s="32"/>
      <c r="O205" s="31">
        <f t="shared" si="46"/>
        <v>0</v>
      </c>
      <c r="P205" s="30"/>
      <c r="Q205" s="30"/>
      <c r="R205" s="30"/>
      <c r="S205" s="30"/>
      <c r="T205" s="29"/>
      <c r="U205" s="20"/>
      <c r="V205" s="28"/>
      <c r="W205" s="20"/>
      <c r="X205" s="27"/>
      <c r="Y205" s="26"/>
      <c r="Z205" s="25">
        <f t="shared" si="55"/>
        <v>0</v>
      </c>
      <c r="AA205" s="20">
        <f t="shared" si="50"/>
        <v>0</v>
      </c>
      <c r="AB205" s="24">
        <f t="shared" si="47"/>
        <v>0</v>
      </c>
      <c r="AC205" s="37"/>
      <c r="AD205" s="37"/>
      <c r="AE205" s="22"/>
      <c r="AF205" s="20"/>
      <c r="AG205" s="21"/>
      <c r="AH205" s="20"/>
      <c r="AI205" s="21"/>
      <c r="AJ205" s="20"/>
      <c r="AK205" s="20"/>
      <c r="AL205" s="20"/>
      <c r="AM205" s="19">
        <v>35000</v>
      </c>
      <c r="AN205" s="19">
        <v>30000</v>
      </c>
      <c r="AO205" s="19"/>
      <c r="AP205" s="19"/>
      <c r="AQ205" s="19"/>
      <c r="AR205" s="19">
        <f t="shared" si="51"/>
        <v>65000</v>
      </c>
      <c r="AS205" s="17">
        <f t="shared" si="52"/>
        <v>-65000</v>
      </c>
      <c r="AT205" s="17">
        <f t="shared" si="53"/>
        <v>-65000</v>
      </c>
      <c r="AU205" s="17">
        <f t="shared" si="54"/>
        <v>0</v>
      </c>
      <c r="AV205" s="17">
        <f t="shared" si="48"/>
        <v>-32500</v>
      </c>
      <c r="AW205" s="17">
        <f t="shared" si="49"/>
        <v>-29250</v>
      </c>
      <c r="AX205" s="18">
        <v>50000</v>
      </c>
      <c r="AY205" s="18"/>
      <c r="AZ205" s="17">
        <f t="shared" si="45"/>
        <v>-79250</v>
      </c>
      <c r="BA205" s="16"/>
      <c r="BB205" s="16"/>
      <c r="BC205" s="16"/>
    </row>
    <row r="206" spans="1:55" ht="16.899999999999999">
      <c r="A206" s="36">
        <v>205</v>
      </c>
      <c r="B206" s="35"/>
      <c r="C206" s="33"/>
      <c r="D206" s="33"/>
      <c r="E206" s="33"/>
      <c r="F206" s="33"/>
      <c r="G206" s="33"/>
      <c r="H206" s="33"/>
      <c r="I206" s="33"/>
      <c r="J206" s="33"/>
      <c r="K206" s="35"/>
      <c r="L206" s="34"/>
      <c r="M206" s="32"/>
      <c r="N206" s="32"/>
      <c r="O206" s="31">
        <f t="shared" si="46"/>
        <v>0</v>
      </c>
      <c r="P206" s="30"/>
      <c r="Q206" s="30"/>
      <c r="R206" s="30"/>
      <c r="S206" s="30"/>
      <c r="T206" s="29"/>
      <c r="U206" s="20"/>
      <c r="V206" s="28"/>
      <c r="W206" s="20"/>
      <c r="X206" s="27"/>
      <c r="Y206" s="26"/>
      <c r="Z206" s="25">
        <f t="shared" si="55"/>
        <v>0</v>
      </c>
      <c r="AA206" s="20">
        <f t="shared" si="50"/>
        <v>0</v>
      </c>
      <c r="AB206" s="24">
        <f t="shared" si="47"/>
        <v>0</v>
      </c>
      <c r="AC206" s="37"/>
      <c r="AD206" s="37"/>
      <c r="AE206" s="22"/>
      <c r="AF206" s="20"/>
      <c r="AG206" s="21"/>
      <c r="AH206" s="20"/>
      <c r="AI206" s="21"/>
      <c r="AJ206" s="20"/>
      <c r="AK206" s="20"/>
      <c r="AL206" s="20"/>
      <c r="AM206" s="19">
        <v>35000</v>
      </c>
      <c r="AN206" s="19">
        <v>30000</v>
      </c>
      <c r="AO206" s="19"/>
      <c r="AP206" s="19"/>
      <c r="AQ206" s="19"/>
      <c r="AR206" s="19">
        <f t="shared" si="51"/>
        <v>65000</v>
      </c>
      <c r="AS206" s="17">
        <f t="shared" si="52"/>
        <v>-65000</v>
      </c>
      <c r="AT206" s="17">
        <f t="shared" si="53"/>
        <v>-65000</v>
      </c>
      <c r="AU206" s="17">
        <f t="shared" si="54"/>
        <v>0</v>
      </c>
      <c r="AV206" s="17">
        <f t="shared" si="48"/>
        <v>-32500</v>
      </c>
      <c r="AW206" s="17">
        <f t="shared" si="49"/>
        <v>-29250</v>
      </c>
      <c r="AX206" s="18">
        <v>50000</v>
      </c>
      <c r="AY206" s="18"/>
      <c r="AZ206" s="17">
        <f t="shared" si="45"/>
        <v>-79250</v>
      </c>
      <c r="BA206" s="16"/>
      <c r="BB206" s="16"/>
      <c r="BC206" s="16"/>
    </row>
    <row r="207" spans="1:55" s="6" customFormat="1" ht="16.899999999999999">
      <c r="A207" s="36">
        <v>206</v>
      </c>
      <c r="B207" s="35"/>
      <c r="C207" s="33"/>
      <c r="D207" s="33"/>
      <c r="E207" s="33"/>
      <c r="F207" s="33"/>
      <c r="G207" s="33"/>
      <c r="H207" s="33"/>
      <c r="I207" s="33"/>
      <c r="J207" s="33"/>
      <c r="K207" s="35"/>
      <c r="L207" s="34"/>
      <c r="M207" s="32"/>
      <c r="N207" s="32"/>
      <c r="O207" s="31">
        <f t="shared" si="46"/>
        <v>0</v>
      </c>
      <c r="P207" s="30"/>
      <c r="Q207" s="30"/>
      <c r="R207" s="30"/>
      <c r="S207" s="30"/>
      <c r="T207" s="29"/>
      <c r="U207" s="20"/>
      <c r="V207" s="28"/>
      <c r="W207" s="20"/>
      <c r="X207" s="27"/>
      <c r="Y207" s="26"/>
      <c r="Z207" s="25">
        <f t="shared" si="55"/>
        <v>0</v>
      </c>
      <c r="AA207" s="20">
        <f t="shared" si="50"/>
        <v>0</v>
      </c>
      <c r="AB207" s="24">
        <f t="shared" si="47"/>
        <v>0</v>
      </c>
      <c r="AC207" s="37"/>
      <c r="AD207" s="37"/>
      <c r="AE207" s="22"/>
      <c r="AF207" s="20"/>
      <c r="AG207" s="21"/>
      <c r="AH207" s="20"/>
      <c r="AI207" s="21"/>
      <c r="AJ207" s="20"/>
      <c r="AK207" s="20"/>
      <c r="AL207" s="20"/>
      <c r="AM207" s="19">
        <v>35000</v>
      </c>
      <c r="AN207" s="19">
        <v>30000</v>
      </c>
      <c r="AO207" s="19"/>
      <c r="AP207" s="19"/>
      <c r="AQ207" s="19"/>
      <c r="AR207" s="19">
        <f t="shared" si="51"/>
        <v>65000</v>
      </c>
      <c r="AS207" s="17">
        <f t="shared" si="52"/>
        <v>-65000</v>
      </c>
      <c r="AT207" s="17">
        <f t="shared" si="53"/>
        <v>-65000</v>
      </c>
      <c r="AU207" s="17">
        <f t="shared" si="54"/>
        <v>0</v>
      </c>
      <c r="AV207" s="17">
        <f t="shared" si="48"/>
        <v>-32500</v>
      </c>
      <c r="AW207" s="17">
        <f t="shared" si="49"/>
        <v>-29250</v>
      </c>
      <c r="AX207" s="18">
        <v>50000</v>
      </c>
      <c r="AY207" s="18"/>
      <c r="AZ207" s="17">
        <f t="shared" si="45"/>
        <v>-79250</v>
      </c>
      <c r="BA207" s="16"/>
      <c r="BB207" s="15"/>
      <c r="BC207" s="15"/>
    </row>
    <row r="208" spans="1:55" s="6" customFormat="1" ht="16.899999999999999">
      <c r="A208" s="36">
        <v>207</v>
      </c>
      <c r="B208" s="35"/>
      <c r="C208" s="33"/>
      <c r="D208" s="33"/>
      <c r="E208" s="33"/>
      <c r="F208" s="33"/>
      <c r="G208" s="33"/>
      <c r="H208" s="33"/>
      <c r="I208" s="33"/>
      <c r="J208" s="33"/>
      <c r="K208" s="35"/>
      <c r="L208" s="34"/>
      <c r="M208" s="32"/>
      <c r="N208" s="32"/>
      <c r="O208" s="31">
        <f t="shared" si="46"/>
        <v>0</v>
      </c>
      <c r="P208" s="30"/>
      <c r="Q208" s="30"/>
      <c r="R208" s="30"/>
      <c r="S208" s="30"/>
      <c r="T208" s="29"/>
      <c r="U208" s="20"/>
      <c r="V208" s="28"/>
      <c r="W208" s="20"/>
      <c r="X208" s="27"/>
      <c r="Y208" s="26"/>
      <c r="Z208" s="25">
        <f t="shared" si="55"/>
        <v>0</v>
      </c>
      <c r="AA208" s="20">
        <f t="shared" si="50"/>
        <v>0</v>
      </c>
      <c r="AB208" s="24">
        <f t="shared" si="47"/>
        <v>0</v>
      </c>
      <c r="AC208" s="37"/>
      <c r="AD208" s="37"/>
      <c r="AE208" s="22"/>
      <c r="AF208" s="20"/>
      <c r="AG208" s="21"/>
      <c r="AH208" s="20"/>
      <c r="AI208" s="21"/>
      <c r="AJ208" s="20"/>
      <c r="AK208" s="20"/>
      <c r="AL208" s="20"/>
      <c r="AM208" s="19">
        <v>35000</v>
      </c>
      <c r="AN208" s="19">
        <v>30000</v>
      </c>
      <c r="AO208" s="19"/>
      <c r="AP208" s="19"/>
      <c r="AQ208" s="19"/>
      <c r="AR208" s="19">
        <f t="shared" si="51"/>
        <v>65000</v>
      </c>
      <c r="AS208" s="17">
        <f t="shared" si="52"/>
        <v>-65000</v>
      </c>
      <c r="AT208" s="17">
        <f t="shared" si="53"/>
        <v>-65000</v>
      </c>
      <c r="AU208" s="17">
        <f t="shared" si="54"/>
        <v>0</v>
      </c>
      <c r="AV208" s="17">
        <f t="shared" si="48"/>
        <v>-32500</v>
      </c>
      <c r="AW208" s="17">
        <f t="shared" si="49"/>
        <v>-29250</v>
      </c>
      <c r="AX208" s="18">
        <v>50000</v>
      </c>
      <c r="AY208" s="18"/>
      <c r="AZ208" s="17">
        <f t="shared" si="45"/>
        <v>-79250</v>
      </c>
      <c r="BA208" s="16"/>
      <c r="BB208" s="15"/>
      <c r="BC208" s="15"/>
    </row>
    <row r="209" spans="1:55" s="6" customFormat="1" ht="16.899999999999999">
      <c r="A209" s="36">
        <v>208</v>
      </c>
      <c r="B209" s="35"/>
      <c r="C209" s="33"/>
      <c r="D209" s="33"/>
      <c r="E209" s="33"/>
      <c r="F209" s="33"/>
      <c r="G209" s="33"/>
      <c r="H209" s="33"/>
      <c r="I209" s="33"/>
      <c r="J209" s="33"/>
      <c r="K209" s="35"/>
      <c r="L209" s="34"/>
      <c r="M209" s="32"/>
      <c r="N209" s="32"/>
      <c r="O209" s="31">
        <f t="shared" si="46"/>
        <v>0</v>
      </c>
      <c r="P209" s="30"/>
      <c r="Q209" s="30"/>
      <c r="R209" s="30"/>
      <c r="S209" s="30"/>
      <c r="T209" s="29"/>
      <c r="U209" s="20"/>
      <c r="V209" s="28"/>
      <c r="W209" s="20"/>
      <c r="X209" s="27"/>
      <c r="Y209" s="26"/>
      <c r="Z209" s="25">
        <f t="shared" si="55"/>
        <v>0</v>
      </c>
      <c r="AA209" s="20">
        <f t="shared" si="50"/>
        <v>0</v>
      </c>
      <c r="AB209" s="24">
        <f t="shared" si="47"/>
        <v>0</v>
      </c>
      <c r="AC209" s="37"/>
      <c r="AD209" s="37"/>
      <c r="AE209" s="22"/>
      <c r="AF209" s="20"/>
      <c r="AG209" s="21"/>
      <c r="AH209" s="20"/>
      <c r="AI209" s="21"/>
      <c r="AJ209" s="20"/>
      <c r="AK209" s="20"/>
      <c r="AL209" s="20"/>
      <c r="AM209" s="19">
        <v>35000</v>
      </c>
      <c r="AN209" s="19">
        <v>30000</v>
      </c>
      <c r="AO209" s="19"/>
      <c r="AP209" s="19"/>
      <c r="AQ209" s="19"/>
      <c r="AR209" s="19">
        <f t="shared" si="51"/>
        <v>65000</v>
      </c>
      <c r="AS209" s="17">
        <f t="shared" si="52"/>
        <v>-65000</v>
      </c>
      <c r="AT209" s="17">
        <f t="shared" si="53"/>
        <v>-65000</v>
      </c>
      <c r="AU209" s="17">
        <f t="shared" si="54"/>
        <v>0</v>
      </c>
      <c r="AV209" s="17">
        <f t="shared" si="48"/>
        <v>-32500</v>
      </c>
      <c r="AW209" s="17">
        <f t="shared" si="49"/>
        <v>-29250</v>
      </c>
      <c r="AX209" s="18">
        <v>50000</v>
      </c>
      <c r="AY209" s="18"/>
      <c r="AZ209" s="17">
        <f t="shared" si="45"/>
        <v>-79250</v>
      </c>
      <c r="BA209" s="16"/>
      <c r="BB209" s="15"/>
      <c r="BC209" s="15"/>
    </row>
    <row r="210" spans="1:55" s="6" customFormat="1" ht="16.899999999999999">
      <c r="A210" s="36">
        <v>209</v>
      </c>
      <c r="B210" s="35"/>
      <c r="C210" s="33"/>
      <c r="D210" s="33"/>
      <c r="E210" s="33"/>
      <c r="F210" s="33"/>
      <c r="G210" s="33"/>
      <c r="H210" s="33"/>
      <c r="I210" s="33"/>
      <c r="J210" s="33"/>
      <c r="K210" s="35"/>
      <c r="L210" s="34"/>
      <c r="M210" s="32"/>
      <c r="N210" s="32"/>
      <c r="O210" s="31">
        <f t="shared" si="46"/>
        <v>0</v>
      </c>
      <c r="P210" s="30"/>
      <c r="Q210" s="30"/>
      <c r="R210" s="30"/>
      <c r="S210" s="30"/>
      <c r="T210" s="29"/>
      <c r="U210" s="20"/>
      <c r="V210" s="28"/>
      <c r="W210" s="20"/>
      <c r="X210" s="27"/>
      <c r="Y210" s="26"/>
      <c r="Z210" s="25">
        <f t="shared" si="55"/>
        <v>0</v>
      </c>
      <c r="AA210" s="20">
        <f t="shared" si="50"/>
        <v>0</v>
      </c>
      <c r="AB210" s="24">
        <f t="shared" si="47"/>
        <v>0</v>
      </c>
      <c r="AC210" s="37"/>
      <c r="AD210" s="37"/>
      <c r="AE210" s="22"/>
      <c r="AF210" s="20"/>
      <c r="AG210" s="21"/>
      <c r="AH210" s="20"/>
      <c r="AI210" s="21"/>
      <c r="AJ210" s="20"/>
      <c r="AK210" s="20"/>
      <c r="AL210" s="20"/>
      <c r="AM210" s="19">
        <v>35000</v>
      </c>
      <c r="AN210" s="19">
        <v>30000</v>
      </c>
      <c r="AO210" s="19"/>
      <c r="AP210" s="19"/>
      <c r="AQ210" s="19"/>
      <c r="AR210" s="19">
        <f t="shared" si="51"/>
        <v>65000</v>
      </c>
      <c r="AS210" s="17">
        <f t="shared" si="52"/>
        <v>-65000</v>
      </c>
      <c r="AT210" s="17">
        <f t="shared" si="53"/>
        <v>-65000</v>
      </c>
      <c r="AU210" s="17">
        <f t="shared" si="54"/>
        <v>0</v>
      </c>
      <c r="AV210" s="17">
        <f t="shared" si="48"/>
        <v>-32500</v>
      </c>
      <c r="AW210" s="17">
        <f t="shared" si="49"/>
        <v>-29250</v>
      </c>
      <c r="AX210" s="18">
        <v>50000</v>
      </c>
      <c r="AY210" s="18"/>
      <c r="AZ210" s="17">
        <f t="shared" si="45"/>
        <v>-79250</v>
      </c>
      <c r="BA210" s="16"/>
      <c r="BB210" s="15"/>
      <c r="BC210" s="15"/>
    </row>
    <row r="211" spans="1:55" s="6" customFormat="1" ht="16.899999999999999">
      <c r="A211" s="36">
        <v>210</v>
      </c>
      <c r="B211" s="35"/>
      <c r="C211" s="33"/>
      <c r="D211" s="33"/>
      <c r="E211" s="33"/>
      <c r="F211" s="33"/>
      <c r="G211" s="33"/>
      <c r="H211" s="33"/>
      <c r="I211" s="33"/>
      <c r="J211" s="33"/>
      <c r="K211" s="35"/>
      <c r="L211" s="34"/>
      <c r="M211" s="32"/>
      <c r="N211" s="32"/>
      <c r="O211" s="31">
        <f t="shared" si="46"/>
        <v>0</v>
      </c>
      <c r="P211" s="30"/>
      <c r="Q211" s="30"/>
      <c r="R211" s="30"/>
      <c r="S211" s="30"/>
      <c r="T211" s="29"/>
      <c r="U211" s="20"/>
      <c r="V211" s="28"/>
      <c r="W211" s="20"/>
      <c r="X211" s="27"/>
      <c r="Y211" s="26"/>
      <c r="Z211" s="25">
        <f t="shared" si="55"/>
        <v>0</v>
      </c>
      <c r="AA211" s="20">
        <f t="shared" si="50"/>
        <v>0</v>
      </c>
      <c r="AB211" s="24">
        <f t="shared" si="47"/>
        <v>0</v>
      </c>
      <c r="AC211" s="37"/>
      <c r="AD211" s="37"/>
      <c r="AE211" s="22"/>
      <c r="AF211" s="20"/>
      <c r="AG211" s="21"/>
      <c r="AH211" s="20"/>
      <c r="AI211" s="21"/>
      <c r="AJ211" s="20"/>
      <c r="AK211" s="20"/>
      <c r="AL211" s="20"/>
      <c r="AM211" s="19">
        <v>35000</v>
      </c>
      <c r="AN211" s="19">
        <v>30000</v>
      </c>
      <c r="AO211" s="19"/>
      <c r="AP211" s="19"/>
      <c r="AQ211" s="19"/>
      <c r="AR211" s="19">
        <f t="shared" si="51"/>
        <v>65000</v>
      </c>
      <c r="AS211" s="17">
        <f t="shared" si="52"/>
        <v>-65000</v>
      </c>
      <c r="AT211" s="17">
        <f t="shared" si="53"/>
        <v>-65000</v>
      </c>
      <c r="AU211" s="17">
        <f t="shared" si="54"/>
        <v>0</v>
      </c>
      <c r="AV211" s="17">
        <f t="shared" si="48"/>
        <v>-32500</v>
      </c>
      <c r="AW211" s="17">
        <f t="shared" si="49"/>
        <v>-29250</v>
      </c>
      <c r="AX211" s="18">
        <v>50000</v>
      </c>
      <c r="AY211" s="18"/>
      <c r="AZ211" s="17">
        <f t="shared" si="45"/>
        <v>-79250</v>
      </c>
      <c r="BA211" s="16"/>
      <c r="BB211" s="15"/>
      <c r="BC211" s="15"/>
    </row>
    <row r="212" spans="1:55" s="6" customFormat="1" ht="16.899999999999999">
      <c r="A212" s="36">
        <v>211</v>
      </c>
      <c r="B212" s="35"/>
      <c r="C212" s="33"/>
      <c r="D212" s="33"/>
      <c r="E212" s="33"/>
      <c r="F212" s="33"/>
      <c r="G212" s="33"/>
      <c r="H212" s="33"/>
      <c r="I212" s="33"/>
      <c r="J212" s="33"/>
      <c r="K212" s="35"/>
      <c r="L212" s="34"/>
      <c r="M212" s="32"/>
      <c r="N212" s="32"/>
      <c r="O212" s="31">
        <f t="shared" si="46"/>
        <v>0</v>
      </c>
      <c r="P212" s="30"/>
      <c r="Q212" s="30"/>
      <c r="R212" s="30"/>
      <c r="S212" s="30"/>
      <c r="T212" s="29"/>
      <c r="U212" s="20"/>
      <c r="V212" s="28"/>
      <c r="W212" s="20"/>
      <c r="X212" s="27"/>
      <c r="Y212" s="26"/>
      <c r="Z212" s="25">
        <f t="shared" si="55"/>
        <v>0</v>
      </c>
      <c r="AA212" s="20">
        <f t="shared" si="50"/>
        <v>0</v>
      </c>
      <c r="AB212" s="24">
        <f t="shared" si="47"/>
        <v>0</v>
      </c>
      <c r="AC212" s="37"/>
      <c r="AD212" s="37"/>
      <c r="AE212" s="22"/>
      <c r="AF212" s="20"/>
      <c r="AG212" s="21"/>
      <c r="AH212" s="20"/>
      <c r="AI212" s="21"/>
      <c r="AJ212" s="20"/>
      <c r="AK212" s="20"/>
      <c r="AL212" s="20"/>
      <c r="AM212" s="19">
        <v>35000</v>
      </c>
      <c r="AN212" s="19">
        <v>30000</v>
      </c>
      <c r="AO212" s="19"/>
      <c r="AP212" s="19"/>
      <c r="AQ212" s="19"/>
      <c r="AR212" s="19">
        <f t="shared" si="51"/>
        <v>65000</v>
      </c>
      <c r="AS212" s="17">
        <f t="shared" si="52"/>
        <v>-65000</v>
      </c>
      <c r="AT212" s="17">
        <f t="shared" si="53"/>
        <v>-65000</v>
      </c>
      <c r="AU212" s="17">
        <f t="shared" si="54"/>
        <v>0</v>
      </c>
      <c r="AV212" s="17">
        <f t="shared" si="48"/>
        <v>-32500</v>
      </c>
      <c r="AW212" s="17">
        <f t="shared" si="49"/>
        <v>-29250</v>
      </c>
      <c r="AX212" s="18">
        <v>50000</v>
      </c>
      <c r="AY212" s="18"/>
      <c r="AZ212" s="17">
        <f t="shared" si="45"/>
        <v>-79250</v>
      </c>
      <c r="BA212" s="16"/>
      <c r="BB212" s="15"/>
      <c r="BC212" s="15"/>
    </row>
    <row r="213" spans="1:55" s="6" customFormat="1" ht="16.899999999999999">
      <c r="A213" s="36">
        <v>212</v>
      </c>
      <c r="B213" s="35"/>
      <c r="C213" s="33"/>
      <c r="D213" s="33"/>
      <c r="E213" s="33"/>
      <c r="F213" s="33"/>
      <c r="G213" s="33"/>
      <c r="H213" s="33"/>
      <c r="I213" s="33"/>
      <c r="J213" s="33"/>
      <c r="K213" s="35"/>
      <c r="L213" s="34"/>
      <c r="M213" s="32"/>
      <c r="N213" s="32"/>
      <c r="O213" s="31">
        <f t="shared" si="46"/>
        <v>0</v>
      </c>
      <c r="P213" s="30"/>
      <c r="Q213" s="30"/>
      <c r="R213" s="30"/>
      <c r="S213" s="30"/>
      <c r="T213" s="29"/>
      <c r="U213" s="20"/>
      <c r="V213" s="28"/>
      <c r="W213" s="20"/>
      <c r="X213" s="27"/>
      <c r="Y213" s="26"/>
      <c r="Z213" s="25">
        <f t="shared" si="55"/>
        <v>0</v>
      </c>
      <c r="AA213" s="20">
        <f t="shared" si="50"/>
        <v>0</v>
      </c>
      <c r="AB213" s="24">
        <f t="shared" si="47"/>
        <v>0</v>
      </c>
      <c r="AC213" s="37"/>
      <c r="AD213" s="37"/>
      <c r="AE213" s="22"/>
      <c r="AF213" s="20"/>
      <c r="AG213" s="21"/>
      <c r="AH213" s="20"/>
      <c r="AI213" s="21"/>
      <c r="AJ213" s="20"/>
      <c r="AK213" s="20"/>
      <c r="AL213" s="20"/>
      <c r="AM213" s="19">
        <v>35000</v>
      </c>
      <c r="AN213" s="19">
        <v>30000</v>
      </c>
      <c r="AO213" s="19"/>
      <c r="AP213" s="19"/>
      <c r="AQ213" s="19"/>
      <c r="AR213" s="19">
        <f t="shared" si="51"/>
        <v>65000</v>
      </c>
      <c r="AS213" s="17">
        <f t="shared" si="52"/>
        <v>-65000</v>
      </c>
      <c r="AT213" s="17">
        <f t="shared" si="53"/>
        <v>-65000</v>
      </c>
      <c r="AU213" s="17">
        <f t="shared" si="54"/>
        <v>0</v>
      </c>
      <c r="AV213" s="17">
        <f t="shared" si="48"/>
        <v>-32500</v>
      </c>
      <c r="AW213" s="17">
        <f t="shared" si="49"/>
        <v>-29250</v>
      </c>
      <c r="AX213" s="18">
        <v>50000</v>
      </c>
      <c r="AY213" s="18"/>
      <c r="AZ213" s="17">
        <f t="shared" si="45"/>
        <v>-79250</v>
      </c>
      <c r="BA213" s="16"/>
      <c r="BB213" s="15"/>
      <c r="BC213" s="15"/>
    </row>
    <row r="214" spans="1:55" s="6" customFormat="1" ht="16.899999999999999">
      <c r="A214" s="36">
        <v>213</v>
      </c>
      <c r="B214" s="35"/>
      <c r="C214" s="33"/>
      <c r="D214" s="33"/>
      <c r="E214" s="33"/>
      <c r="F214" s="33"/>
      <c r="G214" s="33"/>
      <c r="H214" s="33"/>
      <c r="I214" s="33"/>
      <c r="J214" s="33"/>
      <c r="K214" s="35"/>
      <c r="L214" s="34"/>
      <c r="M214" s="32"/>
      <c r="N214" s="32"/>
      <c r="O214" s="31">
        <f t="shared" si="46"/>
        <v>0</v>
      </c>
      <c r="P214" s="30"/>
      <c r="Q214" s="30"/>
      <c r="R214" s="30"/>
      <c r="S214" s="30"/>
      <c r="T214" s="29"/>
      <c r="U214" s="20"/>
      <c r="V214" s="28"/>
      <c r="W214" s="20"/>
      <c r="X214" s="27"/>
      <c r="Y214" s="26"/>
      <c r="Z214" s="25">
        <f t="shared" si="55"/>
        <v>0</v>
      </c>
      <c r="AA214" s="20">
        <f t="shared" si="50"/>
        <v>0</v>
      </c>
      <c r="AB214" s="24">
        <f t="shared" si="47"/>
        <v>0</v>
      </c>
      <c r="AC214" s="37"/>
      <c r="AD214" s="37"/>
      <c r="AE214" s="22"/>
      <c r="AF214" s="20"/>
      <c r="AG214" s="21"/>
      <c r="AH214" s="20"/>
      <c r="AI214" s="21"/>
      <c r="AJ214" s="20"/>
      <c r="AK214" s="20"/>
      <c r="AL214" s="20"/>
      <c r="AM214" s="19">
        <v>35000</v>
      </c>
      <c r="AN214" s="19">
        <v>30000</v>
      </c>
      <c r="AO214" s="19"/>
      <c r="AP214" s="19"/>
      <c r="AQ214" s="19"/>
      <c r="AR214" s="19">
        <f t="shared" si="51"/>
        <v>65000</v>
      </c>
      <c r="AS214" s="17">
        <f t="shared" si="52"/>
        <v>-65000</v>
      </c>
      <c r="AT214" s="17">
        <f t="shared" si="53"/>
        <v>-65000</v>
      </c>
      <c r="AU214" s="17">
        <f t="shared" si="54"/>
        <v>0</v>
      </c>
      <c r="AV214" s="17">
        <f t="shared" si="48"/>
        <v>-32500</v>
      </c>
      <c r="AW214" s="17">
        <f t="shared" si="49"/>
        <v>-29250</v>
      </c>
      <c r="AX214" s="18">
        <v>50000</v>
      </c>
      <c r="AY214" s="18"/>
      <c r="AZ214" s="17">
        <f t="shared" si="45"/>
        <v>-79250</v>
      </c>
      <c r="BA214" s="16"/>
      <c r="BB214" s="15"/>
      <c r="BC214" s="15"/>
    </row>
    <row r="215" spans="1:55" s="6" customFormat="1" ht="16.899999999999999">
      <c r="A215" s="36">
        <v>214</v>
      </c>
      <c r="B215" s="35"/>
      <c r="C215" s="33"/>
      <c r="D215" s="33"/>
      <c r="E215" s="33"/>
      <c r="F215" s="33"/>
      <c r="G215" s="33"/>
      <c r="H215" s="33"/>
      <c r="I215" s="33"/>
      <c r="J215" s="33"/>
      <c r="K215" s="35"/>
      <c r="L215" s="34"/>
      <c r="M215" s="32"/>
      <c r="N215" s="32"/>
      <c r="O215" s="31">
        <f t="shared" si="46"/>
        <v>0</v>
      </c>
      <c r="P215" s="30"/>
      <c r="Q215" s="30"/>
      <c r="R215" s="30"/>
      <c r="S215" s="30"/>
      <c r="T215" s="29"/>
      <c r="U215" s="20"/>
      <c r="V215" s="28"/>
      <c r="W215" s="20"/>
      <c r="X215" s="27"/>
      <c r="Y215" s="26"/>
      <c r="Z215" s="25">
        <f t="shared" si="55"/>
        <v>0</v>
      </c>
      <c r="AA215" s="20">
        <f t="shared" si="50"/>
        <v>0</v>
      </c>
      <c r="AB215" s="24">
        <f t="shared" si="47"/>
        <v>0</v>
      </c>
      <c r="AC215" s="37"/>
      <c r="AD215" s="37"/>
      <c r="AE215" s="22"/>
      <c r="AF215" s="20"/>
      <c r="AG215" s="21"/>
      <c r="AH215" s="20"/>
      <c r="AI215" s="21"/>
      <c r="AJ215" s="20"/>
      <c r="AK215" s="20"/>
      <c r="AL215" s="20"/>
      <c r="AM215" s="19">
        <v>35000</v>
      </c>
      <c r="AN215" s="19">
        <v>30000</v>
      </c>
      <c r="AO215" s="19"/>
      <c r="AP215" s="19"/>
      <c r="AQ215" s="19"/>
      <c r="AR215" s="19">
        <f t="shared" si="51"/>
        <v>65000</v>
      </c>
      <c r="AS215" s="17">
        <f t="shared" si="52"/>
        <v>-65000</v>
      </c>
      <c r="AT215" s="17">
        <f t="shared" si="53"/>
        <v>-65000</v>
      </c>
      <c r="AU215" s="17">
        <f t="shared" si="54"/>
        <v>0</v>
      </c>
      <c r="AV215" s="17">
        <f t="shared" si="48"/>
        <v>-32500</v>
      </c>
      <c r="AW215" s="17">
        <f t="shared" si="49"/>
        <v>-29250</v>
      </c>
      <c r="AX215" s="18">
        <v>50000</v>
      </c>
      <c r="AY215" s="18"/>
      <c r="AZ215" s="17">
        <f t="shared" si="45"/>
        <v>-79250</v>
      </c>
      <c r="BA215" s="16"/>
      <c r="BB215" s="15"/>
      <c r="BC215" s="15"/>
    </row>
    <row r="216" spans="1:55" s="6" customFormat="1" ht="16.899999999999999">
      <c r="A216" s="36">
        <v>215</v>
      </c>
      <c r="B216" s="35"/>
      <c r="C216" s="33"/>
      <c r="D216" s="33"/>
      <c r="E216" s="33"/>
      <c r="F216" s="33"/>
      <c r="G216" s="33"/>
      <c r="H216" s="33"/>
      <c r="I216" s="33"/>
      <c r="J216" s="33"/>
      <c r="K216" s="35"/>
      <c r="L216" s="34"/>
      <c r="M216" s="32"/>
      <c r="N216" s="32"/>
      <c r="O216" s="31">
        <f t="shared" si="46"/>
        <v>0</v>
      </c>
      <c r="P216" s="30"/>
      <c r="Q216" s="30"/>
      <c r="R216" s="30"/>
      <c r="S216" s="30"/>
      <c r="T216" s="29"/>
      <c r="U216" s="20"/>
      <c r="V216" s="28"/>
      <c r="W216" s="20"/>
      <c r="X216" s="27"/>
      <c r="Y216" s="26"/>
      <c r="Z216" s="25">
        <f t="shared" si="55"/>
        <v>0</v>
      </c>
      <c r="AA216" s="20">
        <f t="shared" si="50"/>
        <v>0</v>
      </c>
      <c r="AB216" s="24">
        <f t="shared" si="47"/>
        <v>0</v>
      </c>
      <c r="AC216" s="37"/>
      <c r="AD216" s="37"/>
      <c r="AE216" s="22"/>
      <c r="AF216" s="20"/>
      <c r="AG216" s="21"/>
      <c r="AH216" s="20"/>
      <c r="AI216" s="21"/>
      <c r="AJ216" s="20"/>
      <c r="AK216" s="20"/>
      <c r="AL216" s="20"/>
      <c r="AM216" s="19">
        <v>35000</v>
      </c>
      <c r="AN216" s="19">
        <v>30000</v>
      </c>
      <c r="AO216" s="19"/>
      <c r="AP216" s="19"/>
      <c r="AQ216" s="19"/>
      <c r="AR216" s="19">
        <f t="shared" si="51"/>
        <v>65000</v>
      </c>
      <c r="AS216" s="17">
        <f t="shared" si="52"/>
        <v>-65000</v>
      </c>
      <c r="AT216" s="17">
        <f t="shared" si="53"/>
        <v>-65000</v>
      </c>
      <c r="AU216" s="17">
        <f t="shared" si="54"/>
        <v>0</v>
      </c>
      <c r="AV216" s="17">
        <f t="shared" si="48"/>
        <v>-32500</v>
      </c>
      <c r="AW216" s="17">
        <f t="shared" si="49"/>
        <v>-29250</v>
      </c>
      <c r="AX216" s="18">
        <v>50000</v>
      </c>
      <c r="AY216" s="18"/>
      <c r="AZ216" s="17">
        <f t="shared" si="45"/>
        <v>-79250</v>
      </c>
      <c r="BA216" s="16"/>
      <c r="BB216" s="15"/>
      <c r="BC216" s="15"/>
    </row>
    <row r="217" spans="1:55" s="6" customFormat="1" ht="16.899999999999999">
      <c r="A217" s="36">
        <v>216</v>
      </c>
      <c r="B217" s="35"/>
      <c r="C217" s="33"/>
      <c r="D217" s="33"/>
      <c r="E217" s="33"/>
      <c r="F217" s="33"/>
      <c r="G217" s="33"/>
      <c r="H217" s="33"/>
      <c r="I217" s="33"/>
      <c r="J217" s="33"/>
      <c r="K217" s="35"/>
      <c r="L217" s="34"/>
      <c r="M217" s="32"/>
      <c r="N217" s="32"/>
      <c r="O217" s="31">
        <f t="shared" si="46"/>
        <v>0</v>
      </c>
      <c r="P217" s="30"/>
      <c r="Q217" s="30"/>
      <c r="R217" s="30"/>
      <c r="S217" s="30"/>
      <c r="T217" s="29"/>
      <c r="U217" s="20"/>
      <c r="V217" s="28"/>
      <c r="W217" s="20"/>
      <c r="X217" s="27"/>
      <c r="Y217" s="26"/>
      <c r="Z217" s="25">
        <f t="shared" si="55"/>
        <v>0</v>
      </c>
      <c r="AA217" s="20">
        <f t="shared" si="50"/>
        <v>0</v>
      </c>
      <c r="AB217" s="24">
        <f t="shared" si="47"/>
        <v>0</v>
      </c>
      <c r="AC217" s="37"/>
      <c r="AD217" s="37"/>
      <c r="AE217" s="22"/>
      <c r="AF217" s="20"/>
      <c r="AG217" s="21"/>
      <c r="AH217" s="20"/>
      <c r="AI217" s="21"/>
      <c r="AJ217" s="20"/>
      <c r="AK217" s="20"/>
      <c r="AL217" s="20"/>
      <c r="AM217" s="19">
        <v>35000</v>
      </c>
      <c r="AN217" s="19">
        <v>30000</v>
      </c>
      <c r="AO217" s="19"/>
      <c r="AP217" s="19"/>
      <c r="AQ217" s="19"/>
      <c r="AR217" s="19">
        <f t="shared" si="51"/>
        <v>65000</v>
      </c>
      <c r="AS217" s="17">
        <f t="shared" si="52"/>
        <v>-65000</v>
      </c>
      <c r="AT217" s="17">
        <f t="shared" si="53"/>
        <v>-65000</v>
      </c>
      <c r="AU217" s="17">
        <f t="shared" si="54"/>
        <v>0</v>
      </c>
      <c r="AV217" s="17">
        <f t="shared" si="48"/>
        <v>-32500</v>
      </c>
      <c r="AW217" s="17">
        <f t="shared" si="49"/>
        <v>-29250</v>
      </c>
      <c r="AX217" s="18">
        <v>50000</v>
      </c>
      <c r="AY217" s="18"/>
      <c r="AZ217" s="17">
        <f t="shared" si="45"/>
        <v>-79250</v>
      </c>
      <c r="BA217" s="16"/>
      <c r="BB217" s="15"/>
      <c r="BC217" s="15"/>
    </row>
    <row r="218" spans="1:55" s="6" customFormat="1" ht="16.899999999999999">
      <c r="A218" s="36">
        <v>217</v>
      </c>
      <c r="B218" s="35"/>
      <c r="C218" s="33"/>
      <c r="D218" s="33"/>
      <c r="E218" s="33"/>
      <c r="F218" s="33"/>
      <c r="G218" s="33"/>
      <c r="H218" s="33"/>
      <c r="I218" s="33"/>
      <c r="J218" s="33"/>
      <c r="K218" s="35"/>
      <c r="L218" s="34"/>
      <c r="M218" s="32"/>
      <c r="N218" s="32"/>
      <c r="O218" s="31">
        <f t="shared" si="46"/>
        <v>0</v>
      </c>
      <c r="P218" s="30"/>
      <c r="Q218" s="30"/>
      <c r="R218" s="30"/>
      <c r="S218" s="30"/>
      <c r="T218" s="29"/>
      <c r="U218" s="20"/>
      <c r="V218" s="28"/>
      <c r="W218" s="20"/>
      <c r="X218" s="27"/>
      <c r="Y218" s="26"/>
      <c r="Z218" s="25">
        <f t="shared" si="55"/>
        <v>0</v>
      </c>
      <c r="AA218" s="20">
        <f t="shared" si="50"/>
        <v>0</v>
      </c>
      <c r="AB218" s="24">
        <f t="shared" si="47"/>
        <v>0</v>
      </c>
      <c r="AC218" s="37"/>
      <c r="AD218" s="37"/>
      <c r="AE218" s="22"/>
      <c r="AF218" s="20"/>
      <c r="AG218" s="21"/>
      <c r="AH218" s="20"/>
      <c r="AI218" s="21"/>
      <c r="AJ218" s="20"/>
      <c r="AK218" s="20"/>
      <c r="AL218" s="20"/>
      <c r="AM218" s="19">
        <v>35000</v>
      </c>
      <c r="AN218" s="19">
        <v>30000</v>
      </c>
      <c r="AO218" s="19"/>
      <c r="AP218" s="19"/>
      <c r="AQ218" s="19"/>
      <c r="AR218" s="19">
        <f t="shared" si="51"/>
        <v>65000</v>
      </c>
      <c r="AS218" s="17">
        <f t="shared" si="52"/>
        <v>-65000</v>
      </c>
      <c r="AT218" s="17">
        <f t="shared" si="53"/>
        <v>-65000</v>
      </c>
      <c r="AU218" s="17">
        <f t="shared" si="54"/>
        <v>0</v>
      </c>
      <c r="AV218" s="17">
        <f t="shared" si="48"/>
        <v>-32500</v>
      </c>
      <c r="AW218" s="17">
        <f t="shared" si="49"/>
        <v>-29250</v>
      </c>
      <c r="AX218" s="18">
        <v>50000</v>
      </c>
      <c r="AY218" s="18"/>
      <c r="AZ218" s="17">
        <f t="shared" si="45"/>
        <v>-79250</v>
      </c>
      <c r="BA218" s="16"/>
      <c r="BB218" s="15"/>
      <c r="BC218" s="15"/>
    </row>
    <row r="219" spans="1:55" s="6" customFormat="1" ht="16.899999999999999">
      <c r="A219" s="36">
        <v>218</v>
      </c>
      <c r="B219" s="35"/>
      <c r="C219" s="33"/>
      <c r="D219" s="33"/>
      <c r="E219" s="33"/>
      <c r="F219" s="33"/>
      <c r="G219" s="33"/>
      <c r="H219" s="33"/>
      <c r="I219" s="33"/>
      <c r="J219" s="33"/>
      <c r="K219" s="35"/>
      <c r="L219" s="34"/>
      <c r="M219" s="32"/>
      <c r="N219" s="32"/>
      <c r="O219" s="31">
        <f t="shared" si="46"/>
        <v>0</v>
      </c>
      <c r="P219" s="30"/>
      <c r="Q219" s="30"/>
      <c r="R219" s="30"/>
      <c r="S219" s="30"/>
      <c r="T219" s="29"/>
      <c r="U219" s="20"/>
      <c r="V219" s="28"/>
      <c r="W219" s="20"/>
      <c r="X219" s="27"/>
      <c r="Y219" s="26"/>
      <c r="Z219" s="25">
        <f t="shared" si="55"/>
        <v>0</v>
      </c>
      <c r="AA219" s="20">
        <f t="shared" si="50"/>
        <v>0</v>
      </c>
      <c r="AB219" s="24">
        <f t="shared" si="47"/>
        <v>0</v>
      </c>
      <c r="AC219" s="37"/>
      <c r="AD219" s="37"/>
      <c r="AE219" s="22"/>
      <c r="AF219" s="20"/>
      <c r="AG219" s="21"/>
      <c r="AH219" s="20"/>
      <c r="AI219" s="21"/>
      <c r="AJ219" s="20"/>
      <c r="AK219" s="20"/>
      <c r="AL219" s="20"/>
      <c r="AM219" s="19">
        <v>35000</v>
      </c>
      <c r="AN219" s="19">
        <v>30000</v>
      </c>
      <c r="AO219" s="19"/>
      <c r="AP219" s="19"/>
      <c r="AQ219" s="19"/>
      <c r="AR219" s="19">
        <f t="shared" si="51"/>
        <v>65000</v>
      </c>
      <c r="AS219" s="17">
        <f t="shared" si="52"/>
        <v>-65000</v>
      </c>
      <c r="AT219" s="17">
        <f t="shared" si="53"/>
        <v>-65000</v>
      </c>
      <c r="AU219" s="17">
        <f t="shared" si="54"/>
        <v>0</v>
      </c>
      <c r="AV219" s="17">
        <f t="shared" si="48"/>
        <v>-32500</v>
      </c>
      <c r="AW219" s="17">
        <f t="shared" si="49"/>
        <v>-29250</v>
      </c>
      <c r="AX219" s="18">
        <v>50000</v>
      </c>
      <c r="AY219" s="18"/>
      <c r="AZ219" s="17">
        <f t="shared" si="45"/>
        <v>-79250</v>
      </c>
      <c r="BA219" s="16"/>
      <c r="BB219" s="15"/>
      <c r="BC219" s="15"/>
    </row>
    <row r="220" spans="1:55" s="6" customFormat="1" ht="16.899999999999999">
      <c r="A220" s="36">
        <v>219</v>
      </c>
      <c r="B220" s="35"/>
      <c r="C220" s="33"/>
      <c r="D220" s="33"/>
      <c r="E220" s="33"/>
      <c r="F220" s="33"/>
      <c r="G220" s="33"/>
      <c r="H220" s="33"/>
      <c r="I220" s="33"/>
      <c r="J220" s="33"/>
      <c r="K220" s="35"/>
      <c r="L220" s="34"/>
      <c r="M220" s="32"/>
      <c r="N220" s="32"/>
      <c r="O220" s="31">
        <f t="shared" si="46"/>
        <v>0</v>
      </c>
      <c r="P220" s="30"/>
      <c r="Q220" s="30"/>
      <c r="R220" s="30"/>
      <c r="S220" s="30"/>
      <c r="T220" s="29"/>
      <c r="U220" s="20"/>
      <c r="V220" s="28"/>
      <c r="W220" s="20"/>
      <c r="X220" s="27"/>
      <c r="Y220" s="26"/>
      <c r="Z220" s="25">
        <f t="shared" si="55"/>
        <v>0</v>
      </c>
      <c r="AA220" s="20">
        <f t="shared" si="50"/>
        <v>0</v>
      </c>
      <c r="AB220" s="24">
        <f t="shared" si="47"/>
        <v>0</v>
      </c>
      <c r="AC220" s="37"/>
      <c r="AD220" s="37"/>
      <c r="AE220" s="22"/>
      <c r="AF220" s="20"/>
      <c r="AG220" s="21"/>
      <c r="AH220" s="20"/>
      <c r="AI220" s="21"/>
      <c r="AJ220" s="20"/>
      <c r="AK220" s="20"/>
      <c r="AL220" s="20"/>
      <c r="AM220" s="19">
        <v>35000</v>
      </c>
      <c r="AN220" s="19">
        <v>30000</v>
      </c>
      <c r="AO220" s="19"/>
      <c r="AP220" s="19"/>
      <c r="AQ220" s="19"/>
      <c r="AR220" s="19">
        <f t="shared" si="51"/>
        <v>65000</v>
      </c>
      <c r="AS220" s="17">
        <f t="shared" si="52"/>
        <v>-65000</v>
      </c>
      <c r="AT220" s="17">
        <f t="shared" si="53"/>
        <v>-65000</v>
      </c>
      <c r="AU220" s="17">
        <f t="shared" si="54"/>
        <v>0</v>
      </c>
      <c r="AV220" s="17">
        <f t="shared" si="48"/>
        <v>-32500</v>
      </c>
      <c r="AW220" s="17">
        <f t="shared" si="49"/>
        <v>-29250</v>
      </c>
      <c r="AX220" s="18">
        <v>50000</v>
      </c>
      <c r="AY220" s="18"/>
      <c r="AZ220" s="17">
        <f t="shared" si="45"/>
        <v>-79250</v>
      </c>
      <c r="BA220" s="16"/>
      <c r="BB220" s="15"/>
      <c r="BC220" s="15"/>
    </row>
    <row r="221" spans="1:55" s="6" customFormat="1" ht="16.899999999999999">
      <c r="A221" s="36">
        <v>220</v>
      </c>
      <c r="B221" s="35"/>
      <c r="C221" s="33"/>
      <c r="D221" s="33"/>
      <c r="E221" s="33"/>
      <c r="F221" s="33"/>
      <c r="G221" s="33"/>
      <c r="H221" s="33"/>
      <c r="I221" s="33"/>
      <c r="J221" s="33"/>
      <c r="K221" s="35"/>
      <c r="L221" s="34"/>
      <c r="M221" s="32"/>
      <c r="N221" s="32"/>
      <c r="O221" s="31">
        <f t="shared" si="46"/>
        <v>0</v>
      </c>
      <c r="P221" s="30"/>
      <c r="Q221" s="30"/>
      <c r="R221" s="30"/>
      <c r="S221" s="30"/>
      <c r="T221" s="29"/>
      <c r="U221" s="20"/>
      <c r="V221" s="28"/>
      <c r="W221" s="20"/>
      <c r="X221" s="27"/>
      <c r="Y221" s="26"/>
      <c r="Z221" s="25">
        <f t="shared" si="55"/>
        <v>0</v>
      </c>
      <c r="AA221" s="20">
        <f t="shared" si="50"/>
        <v>0</v>
      </c>
      <c r="AB221" s="24">
        <f t="shared" si="47"/>
        <v>0</v>
      </c>
      <c r="AC221" s="37"/>
      <c r="AD221" s="37"/>
      <c r="AE221" s="22"/>
      <c r="AF221" s="20"/>
      <c r="AG221" s="21"/>
      <c r="AH221" s="20"/>
      <c r="AI221" s="21"/>
      <c r="AJ221" s="20"/>
      <c r="AK221" s="20"/>
      <c r="AL221" s="20"/>
      <c r="AM221" s="19">
        <v>35000</v>
      </c>
      <c r="AN221" s="19">
        <v>30000</v>
      </c>
      <c r="AO221" s="19"/>
      <c r="AP221" s="19"/>
      <c r="AQ221" s="19"/>
      <c r="AR221" s="19">
        <f t="shared" si="51"/>
        <v>65000</v>
      </c>
      <c r="AS221" s="17">
        <f t="shared" si="52"/>
        <v>-65000</v>
      </c>
      <c r="AT221" s="17">
        <f t="shared" si="53"/>
        <v>-65000</v>
      </c>
      <c r="AU221" s="17">
        <f t="shared" si="54"/>
        <v>0</v>
      </c>
      <c r="AV221" s="17">
        <f t="shared" si="48"/>
        <v>-32500</v>
      </c>
      <c r="AW221" s="17">
        <f t="shared" si="49"/>
        <v>-29250</v>
      </c>
      <c r="AX221" s="18">
        <v>50000</v>
      </c>
      <c r="AY221" s="18"/>
      <c r="AZ221" s="17">
        <f t="shared" si="45"/>
        <v>-79250</v>
      </c>
      <c r="BA221" s="16"/>
      <c r="BB221" s="15"/>
      <c r="BC221" s="15"/>
    </row>
    <row r="222" spans="1:55" s="6" customFormat="1" ht="16.899999999999999">
      <c r="A222" s="36">
        <v>221</v>
      </c>
      <c r="B222" s="35"/>
      <c r="C222" s="33"/>
      <c r="D222" s="33"/>
      <c r="E222" s="33"/>
      <c r="F222" s="33"/>
      <c r="G222" s="33"/>
      <c r="H222" s="33"/>
      <c r="I222" s="33"/>
      <c r="J222" s="33"/>
      <c r="K222" s="35"/>
      <c r="L222" s="34"/>
      <c r="M222" s="32"/>
      <c r="N222" s="32"/>
      <c r="O222" s="31">
        <f t="shared" si="46"/>
        <v>0</v>
      </c>
      <c r="P222" s="30"/>
      <c r="Q222" s="30"/>
      <c r="R222" s="30"/>
      <c r="S222" s="30"/>
      <c r="T222" s="29"/>
      <c r="U222" s="20"/>
      <c r="V222" s="28"/>
      <c r="W222" s="20"/>
      <c r="X222" s="27"/>
      <c r="Y222" s="26"/>
      <c r="Z222" s="25">
        <f t="shared" si="55"/>
        <v>0</v>
      </c>
      <c r="AA222" s="20">
        <f t="shared" si="50"/>
        <v>0</v>
      </c>
      <c r="AB222" s="24">
        <f t="shared" si="47"/>
        <v>0</v>
      </c>
      <c r="AC222" s="37"/>
      <c r="AD222" s="37"/>
      <c r="AE222" s="22"/>
      <c r="AF222" s="20"/>
      <c r="AG222" s="21"/>
      <c r="AH222" s="20"/>
      <c r="AI222" s="21"/>
      <c r="AJ222" s="20"/>
      <c r="AK222" s="20"/>
      <c r="AL222" s="20"/>
      <c r="AM222" s="19">
        <v>35000</v>
      </c>
      <c r="AN222" s="19">
        <v>30000</v>
      </c>
      <c r="AO222" s="19"/>
      <c r="AP222" s="19"/>
      <c r="AQ222" s="19"/>
      <c r="AR222" s="19">
        <f t="shared" si="51"/>
        <v>65000</v>
      </c>
      <c r="AS222" s="17">
        <f t="shared" si="52"/>
        <v>-65000</v>
      </c>
      <c r="AT222" s="17">
        <f t="shared" si="53"/>
        <v>-65000</v>
      </c>
      <c r="AU222" s="17">
        <f t="shared" si="54"/>
        <v>0</v>
      </c>
      <c r="AV222" s="17">
        <f t="shared" si="48"/>
        <v>-32500</v>
      </c>
      <c r="AW222" s="17">
        <f t="shared" si="49"/>
        <v>-29250</v>
      </c>
      <c r="AX222" s="18">
        <v>50000</v>
      </c>
      <c r="AY222" s="18"/>
      <c r="AZ222" s="17">
        <f t="shared" si="45"/>
        <v>-79250</v>
      </c>
      <c r="BA222" s="16"/>
      <c r="BB222" s="15"/>
      <c r="BC222" s="15"/>
    </row>
    <row r="223" spans="1:55" s="6" customFormat="1" ht="16.899999999999999">
      <c r="A223" s="36">
        <v>222</v>
      </c>
      <c r="B223" s="35"/>
      <c r="C223" s="33"/>
      <c r="D223" s="33"/>
      <c r="E223" s="33"/>
      <c r="F223" s="33"/>
      <c r="G223" s="33"/>
      <c r="H223" s="33"/>
      <c r="I223" s="33"/>
      <c r="J223" s="33"/>
      <c r="K223" s="35"/>
      <c r="L223" s="34"/>
      <c r="M223" s="32"/>
      <c r="N223" s="32"/>
      <c r="O223" s="31">
        <f t="shared" si="46"/>
        <v>0</v>
      </c>
      <c r="P223" s="30"/>
      <c r="Q223" s="30"/>
      <c r="R223" s="30"/>
      <c r="S223" s="30"/>
      <c r="T223" s="29"/>
      <c r="U223" s="20"/>
      <c r="V223" s="28"/>
      <c r="W223" s="20"/>
      <c r="X223" s="27"/>
      <c r="Y223" s="26"/>
      <c r="Z223" s="25">
        <f t="shared" si="55"/>
        <v>0</v>
      </c>
      <c r="AA223" s="20">
        <f t="shared" si="50"/>
        <v>0</v>
      </c>
      <c r="AB223" s="24">
        <f t="shared" si="47"/>
        <v>0</v>
      </c>
      <c r="AC223" s="37"/>
      <c r="AD223" s="37"/>
      <c r="AE223" s="22"/>
      <c r="AF223" s="20"/>
      <c r="AG223" s="21"/>
      <c r="AH223" s="20"/>
      <c r="AI223" s="21"/>
      <c r="AJ223" s="20"/>
      <c r="AK223" s="20"/>
      <c r="AL223" s="20"/>
      <c r="AM223" s="19">
        <v>35000</v>
      </c>
      <c r="AN223" s="19">
        <v>30000</v>
      </c>
      <c r="AO223" s="19"/>
      <c r="AP223" s="19"/>
      <c r="AQ223" s="19"/>
      <c r="AR223" s="19">
        <f t="shared" si="51"/>
        <v>65000</v>
      </c>
      <c r="AS223" s="17">
        <f t="shared" si="52"/>
        <v>-65000</v>
      </c>
      <c r="AT223" s="17">
        <f t="shared" si="53"/>
        <v>-65000</v>
      </c>
      <c r="AU223" s="17">
        <f t="shared" si="54"/>
        <v>0</v>
      </c>
      <c r="AV223" s="17">
        <f t="shared" si="48"/>
        <v>-32500</v>
      </c>
      <c r="AW223" s="17">
        <f t="shared" si="49"/>
        <v>-29250</v>
      </c>
      <c r="AX223" s="18">
        <v>50000</v>
      </c>
      <c r="AY223" s="18"/>
      <c r="AZ223" s="17">
        <f t="shared" si="45"/>
        <v>-79250</v>
      </c>
      <c r="BA223" s="16"/>
      <c r="BB223" s="15"/>
      <c r="BC223" s="15"/>
    </row>
    <row r="224" spans="1:55" s="6" customFormat="1" ht="16.899999999999999">
      <c r="A224" s="36">
        <v>223</v>
      </c>
      <c r="B224" s="35"/>
      <c r="C224" s="33"/>
      <c r="D224" s="33"/>
      <c r="E224" s="33"/>
      <c r="F224" s="33"/>
      <c r="G224" s="33"/>
      <c r="H224" s="33"/>
      <c r="I224" s="33"/>
      <c r="J224" s="33"/>
      <c r="K224" s="35"/>
      <c r="L224" s="34"/>
      <c r="M224" s="32"/>
      <c r="N224" s="32"/>
      <c r="O224" s="31">
        <f t="shared" si="46"/>
        <v>0</v>
      </c>
      <c r="P224" s="30"/>
      <c r="Q224" s="30"/>
      <c r="R224" s="30"/>
      <c r="S224" s="30"/>
      <c r="T224" s="29"/>
      <c r="U224" s="20"/>
      <c r="V224" s="28"/>
      <c r="W224" s="20"/>
      <c r="X224" s="27"/>
      <c r="Y224" s="26"/>
      <c r="Z224" s="25">
        <f t="shared" si="55"/>
        <v>0</v>
      </c>
      <c r="AA224" s="20">
        <f t="shared" si="50"/>
        <v>0</v>
      </c>
      <c r="AB224" s="24">
        <f t="shared" si="47"/>
        <v>0</v>
      </c>
      <c r="AC224" s="37"/>
      <c r="AD224" s="37"/>
      <c r="AE224" s="22"/>
      <c r="AF224" s="20"/>
      <c r="AG224" s="21"/>
      <c r="AH224" s="20"/>
      <c r="AI224" s="21"/>
      <c r="AJ224" s="20"/>
      <c r="AK224" s="20"/>
      <c r="AL224" s="20"/>
      <c r="AM224" s="19">
        <v>35000</v>
      </c>
      <c r="AN224" s="19">
        <v>30000</v>
      </c>
      <c r="AO224" s="19"/>
      <c r="AP224" s="19"/>
      <c r="AQ224" s="19"/>
      <c r="AR224" s="19">
        <f t="shared" si="51"/>
        <v>65000</v>
      </c>
      <c r="AS224" s="17">
        <f t="shared" si="52"/>
        <v>-65000</v>
      </c>
      <c r="AT224" s="17">
        <f t="shared" si="53"/>
        <v>-65000</v>
      </c>
      <c r="AU224" s="17">
        <f t="shared" si="54"/>
        <v>0</v>
      </c>
      <c r="AV224" s="17">
        <f t="shared" si="48"/>
        <v>-32500</v>
      </c>
      <c r="AW224" s="17">
        <f t="shared" si="49"/>
        <v>-29250</v>
      </c>
      <c r="AX224" s="18">
        <v>50000</v>
      </c>
      <c r="AY224" s="18"/>
      <c r="AZ224" s="17">
        <f t="shared" si="45"/>
        <v>-79250</v>
      </c>
      <c r="BA224" s="16"/>
      <c r="BB224" s="15"/>
      <c r="BC224" s="15"/>
    </row>
    <row r="225" spans="1:55" s="6" customFormat="1" ht="16.899999999999999">
      <c r="A225" s="36">
        <v>224</v>
      </c>
      <c r="B225" s="35"/>
      <c r="C225" s="33"/>
      <c r="D225" s="33"/>
      <c r="E225" s="33"/>
      <c r="F225" s="33"/>
      <c r="G225" s="33"/>
      <c r="H225" s="33"/>
      <c r="I225" s="33"/>
      <c r="J225" s="33"/>
      <c r="K225" s="35"/>
      <c r="L225" s="34"/>
      <c r="M225" s="32"/>
      <c r="N225" s="32"/>
      <c r="O225" s="31">
        <f t="shared" si="46"/>
        <v>0</v>
      </c>
      <c r="P225" s="30"/>
      <c r="Q225" s="30"/>
      <c r="R225" s="30"/>
      <c r="S225" s="30"/>
      <c r="T225" s="29"/>
      <c r="U225" s="20"/>
      <c r="V225" s="28"/>
      <c r="W225" s="20"/>
      <c r="X225" s="27"/>
      <c r="Y225" s="26"/>
      <c r="Z225" s="25">
        <f t="shared" si="55"/>
        <v>0</v>
      </c>
      <c r="AA225" s="20">
        <f t="shared" si="50"/>
        <v>0</v>
      </c>
      <c r="AB225" s="24">
        <f t="shared" si="47"/>
        <v>0</v>
      </c>
      <c r="AC225" s="37"/>
      <c r="AD225" s="37"/>
      <c r="AE225" s="22"/>
      <c r="AF225" s="20"/>
      <c r="AG225" s="21"/>
      <c r="AH225" s="20"/>
      <c r="AI225" s="21"/>
      <c r="AJ225" s="20"/>
      <c r="AK225" s="20"/>
      <c r="AL225" s="20"/>
      <c r="AM225" s="19">
        <v>35000</v>
      </c>
      <c r="AN225" s="19">
        <v>30000</v>
      </c>
      <c r="AO225" s="19"/>
      <c r="AP225" s="19"/>
      <c r="AQ225" s="19"/>
      <c r="AR225" s="19">
        <f t="shared" si="51"/>
        <v>65000</v>
      </c>
      <c r="AS225" s="17">
        <f t="shared" si="52"/>
        <v>-65000</v>
      </c>
      <c r="AT225" s="17">
        <f t="shared" si="53"/>
        <v>-65000</v>
      </c>
      <c r="AU225" s="17">
        <f t="shared" si="54"/>
        <v>0</v>
      </c>
      <c r="AV225" s="17">
        <f t="shared" si="48"/>
        <v>-32500</v>
      </c>
      <c r="AW225" s="17">
        <f t="shared" si="49"/>
        <v>-29250</v>
      </c>
      <c r="AX225" s="18">
        <v>50000</v>
      </c>
      <c r="AY225" s="18"/>
      <c r="AZ225" s="17">
        <f t="shared" si="45"/>
        <v>-79250</v>
      </c>
      <c r="BA225" s="16"/>
      <c r="BB225" s="15"/>
      <c r="BC225" s="15"/>
    </row>
    <row r="226" spans="1:55" s="6" customFormat="1" ht="16.899999999999999">
      <c r="A226" s="36">
        <v>225</v>
      </c>
      <c r="B226" s="35"/>
      <c r="C226" s="33"/>
      <c r="D226" s="33"/>
      <c r="E226" s="33"/>
      <c r="F226" s="33"/>
      <c r="G226" s="33"/>
      <c r="H226" s="33"/>
      <c r="I226" s="33"/>
      <c r="J226" s="33"/>
      <c r="K226" s="35"/>
      <c r="L226" s="34"/>
      <c r="M226" s="32"/>
      <c r="N226" s="32"/>
      <c r="O226" s="31">
        <f t="shared" si="46"/>
        <v>0</v>
      </c>
      <c r="P226" s="30"/>
      <c r="Q226" s="30"/>
      <c r="R226" s="30"/>
      <c r="S226" s="30"/>
      <c r="T226" s="29"/>
      <c r="U226" s="20"/>
      <c r="V226" s="28"/>
      <c r="W226" s="20"/>
      <c r="X226" s="27"/>
      <c r="Y226" s="26"/>
      <c r="Z226" s="25">
        <f t="shared" si="55"/>
        <v>0</v>
      </c>
      <c r="AA226" s="20">
        <f t="shared" si="50"/>
        <v>0</v>
      </c>
      <c r="AB226" s="24">
        <f t="shared" si="47"/>
        <v>0</v>
      </c>
      <c r="AC226" s="37"/>
      <c r="AD226" s="37"/>
      <c r="AE226" s="22"/>
      <c r="AF226" s="20"/>
      <c r="AG226" s="21"/>
      <c r="AH226" s="20"/>
      <c r="AI226" s="21"/>
      <c r="AJ226" s="20"/>
      <c r="AK226" s="20"/>
      <c r="AL226" s="20"/>
      <c r="AM226" s="19">
        <v>35000</v>
      </c>
      <c r="AN226" s="19">
        <v>30000</v>
      </c>
      <c r="AO226" s="19"/>
      <c r="AP226" s="19"/>
      <c r="AQ226" s="19"/>
      <c r="AR226" s="19">
        <f t="shared" si="51"/>
        <v>65000</v>
      </c>
      <c r="AS226" s="17">
        <f t="shared" si="52"/>
        <v>-65000</v>
      </c>
      <c r="AT226" s="17">
        <f t="shared" si="53"/>
        <v>-65000</v>
      </c>
      <c r="AU226" s="17">
        <f t="shared" si="54"/>
        <v>0</v>
      </c>
      <c r="AV226" s="17">
        <f t="shared" si="48"/>
        <v>-32500</v>
      </c>
      <c r="AW226" s="17">
        <f t="shared" si="49"/>
        <v>-29250</v>
      </c>
      <c r="AX226" s="18">
        <v>50000</v>
      </c>
      <c r="AY226" s="18"/>
      <c r="AZ226" s="17">
        <f t="shared" si="45"/>
        <v>-79250</v>
      </c>
      <c r="BA226" s="16"/>
      <c r="BB226" s="15"/>
      <c r="BC226" s="15"/>
    </row>
    <row r="227" spans="1:55" s="6" customFormat="1" ht="16.899999999999999">
      <c r="A227" s="36">
        <v>226</v>
      </c>
      <c r="B227" s="35"/>
      <c r="C227" s="33"/>
      <c r="D227" s="33"/>
      <c r="E227" s="33"/>
      <c r="F227" s="33"/>
      <c r="G227" s="33"/>
      <c r="H227" s="33"/>
      <c r="I227" s="33"/>
      <c r="J227" s="33"/>
      <c r="K227" s="35"/>
      <c r="L227" s="34"/>
      <c r="M227" s="32"/>
      <c r="N227" s="32"/>
      <c r="O227" s="31">
        <f t="shared" si="46"/>
        <v>0</v>
      </c>
      <c r="P227" s="30"/>
      <c r="Q227" s="30"/>
      <c r="R227" s="30"/>
      <c r="S227" s="30"/>
      <c r="T227" s="29"/>
      <c r="U227" s="20"/>
      <c r="V227" s="28"/>
      <c r="W227" s="20"/>
      <c r="X227" s="27"/>
      <c r="Y227" s="26"/>
      <c r="Z227" s="25">
        <f t="shared" si="55"/>
        <v>0</v>
      </c>
      <c r="AA227" s="20">
        <f t="shared" si="50"/>
        <v>0</v>
      </c>
      <c r="AB227" s="24">
        <f t="shared" si="47"/>
        <v>0</v>
      </c>
      <c r="AC227" s="37"/>
      <c r="AD227" s="37"/>
      <c r="AE227" s="22"/>
      <c r="AF227" s="20"/>
      <c r="AG227" s="21"/>
      <c r="AH227" s="20"/>
      <c r="AI227" s="21"/>
      <c r="AJ227" s="20"/>
      <c r="AK227" s="20"/>
      <c r="AL227" s="20"/>
      <c r="AM227" s="19">
        <v>35000</v>
      </c>
      <c r="AN227" s="19">
        <v>30000</v>
      </c>
      <c r="AO227" s="19"/>
      <c r="AP227" s="19"/>
      <c r="AQ227" s="19"/>
      <c r="AR227" s="19">
        <f t="shared" si="51"/>
        <v>65000</v>
      </c>
      <c r="AS227" s="17">
        <f t="shared" si="52"/>
        <v>-65000</v>
      </c>
      <c r="AT227" s="17">
        <f t="shared" si="53"/>
        <v>-65000</v>
      </c>
      <c r="AU227" s="17">
        <f t="shared" si="54"/>
        <v>0</v>
      </c>
      <c r="AV227" s="17">
        <f t="shared" si="48"/>
        <v>-32500</v>
      </c>
      <c r="AW227" s="17">
        <f t="shared" si="49"/>
        <v>-29250</v>
      </c>
      <c r="AX227" s="18">
        <v>50000</v>
      </c>
      <c r="AY227" s="18"/>
      <c r="AZ227" s="17">
        <f t="shared" si="45"/>
        <v>-79250</v>
      </c>
      <c r="BA227" s="16"/>
      <c r="BB227" s="15"/>
      <c r="BC227" s="15"/>
    </row>
    <row r="228" spans="1:55" s="6" customFormat="1" ht="16.899999999999999">
      <c r="A228" s="36">
        <v>227</v>
      </c>
      <c r="B228" s="35"/>
      <c r="C228" s="33"/>
      <c r="D228" s="33"/>
      <c r="E228" s="33"/>
      <c r="F228" s="33"/>
      <c r="G228" s="33"/>
      <c r="H228" s="33"/>
      <c r="I228" s="33"/>
      <c r="J228" s="33"/>
      <c r="K228" s="35"/>
      <c r="L228" s="34"/>
      <c r="M228" s="32"/>
      <c r="N228" s="32"/>
      <c r="O228" s="31">
        <f t="shared" si="46"/>
        <v>0</v>
      </c>
      <c r="P228" s="30"/>
      <c r="Q228" s="30"/>
      <c r="R228" s="30"/>
      <c r="S228" s="30"/>
      <c r="T228" s="29"/>
      <c r="U228" s="20"/>
      <c r="V228" s="28"/>
      <c r="W228" s="20"/>
      <c r="X228" s="27"/>
      <c r="Y228" s="26"/>
      <c r="Z228" s="25">
        <f t="shared" si="55"/>
        <v>0</v>
      </c>
      <c r="AA228" s="20">
        <f t="shared" si="50"/>
        <v>0</v>
      </c>
      <c r="AB228" s="24">
        <f t="shared" si="47"/>
        <v>0</v>
      </c>
      <c r="AC228" s="37"/>
      <c r="AD228" s="37"/>
      <c r="AE228" s="22"/>
      <c r="AF228" s="20"/>
      <c r="AG228" s="21"/>
      <c r="AH228" s="20"/>
      <c r="AI228" s="21"/>
      <c r="AJ228" s="20"/>
      <c r="AK228" s="20"/>
      <c r="AL228" s="20"/>
      <c r="AM228" s="19">
        <v>35000</v>
      </c>
      <c r="AN228" s="19">
        <v>30000</v>
      </c>
      <c r="AO228" s="19"/>
      <c r="AP228" s="19"/>
      <c r="AQ228" s="19"/>
      <c r="AR228" s="19">
        <f t="shared" si="51"/>
        <v>65000</v>
      </c>
      <c r="AS228" s="17">
        <f t="shared" si="52"/>
        <v>-65000</v>
      </c>
      <c r="AT228" s="17">
        <f t="shared" si="53"/>
        <v>-65000</v>
      </c>
      <c r="AU228" s="17">
        <f t="shared" si="54"/>
        <v>0</v>
      </c>
      <c r="AV228" s="17">
        <f t="shared" si="48"/>
        <v>-32500</v>
      </c>
      <c r="AW228" s="17">
        <f t="shared" si="49"/>
        <v>-29250</v>
      </c>
      <c r="AX228" s="18">
        <v>50000</v>
      </c>
      <c r="AY228" s="18"/>
      <c r="AZ228" s="17">
        <f t="shared" si="45"/>
        <v>-79250</v>
      </c>
      <c r="BA228" s="16"/>
      <c r="BB228" s="15"/>
      <c r="BC228" s="15"/>
    </row>
    <row r="229" spans="1:55" s="6" customFormat="1" ht="16.899999999999999">
      <c r="A229" s="36">
        <v>228</v>
      </c>
      <c r="B229" s="35"/>
      <c r="C229" s="33"/>
      <c r="D229" s="33"/>
      <c r="E229" s="33"/>
      <c r="F229" s="33"/>
      <c r="G229" s="33"/>
      <c r="H229" s="33"/>
      <c r="I229" s="33"/>
      <c r="J229" s="33"/>
      <c r="K229" s="35"/>
      <c r="L229" s="34"/>
      <c r="M229" s="32"/>
      <c r="N229" s="32"/>
      <c r="O229" s="31">
        <f t="shared" si="46"/>
        <v>0</v>
      </c>
      <c r="P229" s="30"/>
      <c r="Q229" s="30"/>
      <c r="R229" s="30"/>
      <c r="S229" s="30"/>
      <c r="T229" s="29"/>
      <c r="U229" s="20"/>
      <c r="V229" s="28"/>
      <c r="W229" s="20"/>
      <c r="X229" s="27"/>
      <c r="Y229" s="26"/>
      <c r="Z229" s="25">
        <f t="shared" si="55"/>
        <v>0</v>
      </c>
      <c r="AA229" s="20">
        <f t="shared" si="50"/>
        <v>0</v>
      </c>
      <c r="AB229" s="24">
        <f t="shared" si="47"/>
        <v>0</v>
      </c>
      <c r="AC229" s="37"/>
      <c r="AD229" s="37"/>
      <c r="AE229" s="22"/>
      <c r="AF229" s="20"/>
      <c r="AG229" s="21"/>
      <c r="AH229" s="20"/>
      <c r="AI229" s="21"/>
      <c r="AJ229" s="20"/>
      <c r="AK229" s="20"/>
      <c r="AL229" s="20"/>
      <c r="AM229" s="19">
        <v>35000</v>
      </c>
      <c r="AN229" s="19">
        <v>30000</v>
      </c>
      <c r="AO229" s="19"/>
      <c r="AP229" s="19"/>
      <c r="AQ229" s="19"/>
      <c r="AR229" s="19">
        <f t="shared" si="51"/>
        <v>65000</v>
      </c>
      <c r="AS229" s="17">
        <f t="shared" si="52"/>
        <v>-65000</v>
      </c>
      <c r="AT229" s="17">
        <f t="shared" si="53"/>
        <v>-65000</v>
      </c>
      <c r="AU229" s="17">
        <f t="shared" si="54"/>
        <v>0</v>
      </c>
      <c r="AV229" s="17">
        <f t="shared" si="48"/>
        <v>-32500</v>
      </c>
      <c r="AW229" s="17">
        <f t="shared" si="49"/>
        <v>-29250</v>
      </c>
      <c r="AX229" s="18">
        <v>50000</v>
      </c>
      <c r="AY229" s="18"/>
      <c r="AZ229" s="17">
        <f t="shared" ref="AZ229:AZ292" si="56">SUM(AW229-AX229-AY229)</f>
        <v>-79250</v>
      </c>
      <c r="BA229" s="16"/>
      <c r="BB229" s="15"/>
      <c r="BC229" s="15"/>
    </row>
    <row r="230" spans="1:55" s="6" customFormat="1" ht="16.899999999999999">
      <c r="A230" s="36">
        <v>229</v>
      </c>
      <c r="B230" s="35"/>
      <c r="C230" s="33"/>
      <c r="D230" s="33"/>
      <c r="E230" s="33"/>
      <c r="F230" s="33"/>
      <c r="G230" s="33"/>
      <c r="H230" s="33"/>
      <c r="I230" s="33"/>
      <c r="J230" s="33"/>
      <c r="K230" s="35"/>
      <c r="L230" s="34"/>
      <c r="M230" s="32"/>
      <c r="N230" s="32"/>
      <c r="O230" s="31">
        <f t="shared" si="46"/>
        <v>0</v>
      </c>
      <c r="P230" s="30"/>
      <c r="Q230" s="30"/>
      <c r="R230" s="30"/>
      <c r="S230" s="30"/>
      <c r="T230" s="29"/>
      <c r="U230" s="20"/>
      <c r="V230" s="28"/>
      <c r="W230" s="20"/>
      <c r="X230" s="27"/>
      <c r="Y230" s="26"/>
      <c r="Z230" s="25">
        <f t="shared" si="55"/>
        <v>0</v>
      </c>
      <c r="AA230" s="20">
        <f t="shared" si="50"/>
        <v>0</v>
      </c>
      <c r="AB230" s="24">
        <f t="shared" si="47"/>
        <v>0</v>
      </c>
      <c r="AC230" s="37"/>
      <c r="AD230" s="37"/>
      <c r="AE230" s="22"/>
      <c r="AF230" s="20"/>
      <c r="AG230" s="21"/>
      <c r="AH230" s="20"/>
      <c r="AI230" s="21"/>
      <c r="AJ230" s="20"/>
      <c r="AK230" s="20"/>
      <c r="AL230" s="20"/>
      <c r="AM230" s="19">
        <v>35000</v>
      </c>
      <c r="AN230" s="19">
        <v>30000</v>
      </c>
      <c r="AO230" s="19"/>
      <c r="AP230" s="19"/>
      <c r="AQ230" s="19"/>
      <c r="AR230" s="19">
        <f t="shared" si="51"/>
        <v>65000</v>
      </c>
      <c r="AS230" s="17">
        <f t="shared" si="52"/>
        <v>-65000</v>
      </c>
      <c r="AT230" s="17">
        <f t="shared" si="53"/>
        <v>-65000</v>
      </c>
      <c r="AU230" s="17">
        <f t="shared" si="54"/>
        <v>0</v>
      </c>
      <c r="AV230" s="17">
        <f t="shared" si="48"/>
        <v>-32500</v>
      </c>
      <c r="AW230" s="17">
        <f t="shared" si="49"/>
        <v>-29250</v>
      </c>
      <c r="AX230" s="18">
        <v>50000</v>
      </c>
      <c r="AY230" s="18"/>
      <c r="AZ230" s="17">
        <f t="shared" si="56"/>
        <v>-79250</v>
      </c>
      <c r="BA230" s="16"/>
      <c r="BB230" s="15"/>
      <c r="BC230" s="15"/>
    </row>
    <row r="231" spans="1:55" s="6" customFormat="1" ht="16.899999999999999">
      <c r="A231" s="36">
        <v>230</v>
      </c>
      <c r="B231" s="35"/>
      <c r="C231" s="33"/>
      <c r="D231" s="33"/>
      <c r="E231" s="33"/>
      <c r="F231" s="33"/>
      <c r="G231" s="33"/>
      <c r="H231" s="33"/>
      <c r="I231" s="33"/>
      <c r="J231" s="33"/>
      <c r="K231" s="35"/>
      <c r="L231" s="34"/>
      <c r="M231" s="32"/>
      <c r="N231" s="32"/>
      <c r="O231" s="31">
        <f t="shared" si="46"/>
        <v>0</v>
      </c>
      <c r="P231" s="30"/>
      <c r="Q231" s="30"/>
      <c r="R231" s="30"/>
      <c r="S231" s="30"/>
      <c r="T231" s="29"/>
      <c r="U231" s="20"/>
      <c r="V231" s="28"/>
      <c r="W231" s="20"/>
      <c r="X231" s="27"/>
      <c r="Y231" s="26"/>
      <c r="Z231" s="25">
        <f t="shared" si="55"/>
        <v>0</v>
      </c>
      <c r="AA231" s="20">
        <f t="shared" si="50"/>
        <v>0</v>
      </c>
      <c r="AB231" s="24">
        <f t="shared" si="47"/>
        <v>0</v>
      </c>
      <c r="AC231" s="37"/>
      <c r="AD231" s="37"/>
      <c r="AE231" s="22"/>
      <c r="AF231" s="20"/>
      <c r="AG231" s="21"/>
      <c r="AH231" s="20"/>
      <c r="AI231" s="21"/>
      <c r="AJ231" s="20"/>
      <c r="AK231" s="20"/>
      <c r="AL231" s="20"/>
      <c r="AM231" s="19">
        <v>35000</v>
      </c>
      <c r="AN231" s="19">
        <v>30000</v>
      </c>
      <c r="AO231" s="19"/>
      <c r="AP231" s="19"/>
      <c r="AQ231" s="19"/>
      <c r="AR231" s="19">
        <f t="shared" si="51"/>
        <v>65000</v>
      </c>
      <c r="AS231" s="17">
        <f t="shared" si="52"/>
        <v>-65000</v>
      </c>
      <c r="AT231" s="17">
        <f t="shared" si="53"/>
        <v>-65000</v>
      </c>
      <c r="AU231" s="17">
        <f t="shared" si="54"/>
        <v>0</v>
      </c>
      <c r="AV231" s="17">
        <f t="shared" si="48"/>
        <v>-32500</v>
      </c>
      <c r="AW231" s="17">
        <f t="shared" si="49"/>
        <v>-29250</v>
      </c>
      <c r="AX231" s="18">
        <v>50000</v>
      </c>
      <c r="AY231" s="18"/>
      <c r="AZ231" s="17">
        <f t="shared" si="56"/>
        <v>-79250</v>
      </c>
      <c r="BA231" s="16"/>
      <c r="BB231" s="15"/>
      <c r="BC231" s="15"/>
    </row>
    <row r="232" spans="1:55" ht="16.899999999999999">
      <c r="A232" s="36">
        <v>231</v>
      </c>
      <c r="B232" s="35"/>
      <c r="C232" s="33"/>
      <c r="D232" s="33"/>
      <c r="E232" s="33"/>
      <c r="F232" s="33"/>
      <c r="G232" s="33"/>
      <c r="H232" s="33"/>
      <c r="I232" s="33"/>
      <c r="J232" s="33"/>
      <c r="K232" s="35" t="s">
        <v>27</v>
      </c>
      <c r="L232" s="34"/>
      <c r="M232" s="32"/>
      <c r="N232" s="32"/>
      <c r="O232" s="31">
        <f t="shared" si="46"/>
        <v>0</v>
      </c>
      <c r="P232" s="30"/>
      <c r="Q232" s="30"/>
      <c r="R232" s="30"/>
      <c r="S232" s="30"/>
      <c r="T232" s="29"/>
      <c r="U232" s="20"/>
      <c r="V232" s="28"/>
      <c r="W232" s="20"/>
      <c r="X232" s="27"/>
      <c r="Y232" s="26"/>
      <c r="Z232" s="25">
        <f t="shared" si="55"/>
        <v>0</v>
      </c>
      <c r="AA232" s="20">
        <f t="shared" si="50"/>
        <v>0</v>
      </c>
      <c r="AB232" s="24">
        <f t="shared" si="47"/>
        <v>0</v>
      </c>
      <c r="AC232" s="37"/>
      <c r="AD232" s="37"/>
      <c r="AE232" s="22"/>
      <c r="AF232" s="20"/>
      <c r="AG232" s="21"/>
      <c r="AH232" s="20"/>
      <c r="AI232" s="21"/>
      <c r="AJ232" s="20"/>
      <c r="AK232" s="20"/>
      <c r="AL232" s="20"/>
      <c r="AM232" s="19">
        <v>35000</v>
      </c>
      <c r="AN232" s="19">
        <v>30000</v>
      </c>
      <c r="AO232" s="19"/>
      <c r="AP232" s="19"/>
      <c r="AQ232" s="19"/>
      <c r="AR232" s="19">
        <f t="shared" si="51"/>
        <v>65000</v>
      </c>
      <c r="AS232" s="17">
        <f t="shared" si="52"/>
        <v>-65000</v>
      </c>
      <c r="AT232" s="17">
        <f t="shared" si="53"/>
        <v>-65000</v>
      </c>
      <c r="AU232" s="17">
        <f t="shared" si="54"/>
        <v>0</v>
      </c>
      <c r="AV232" s="17">
        <f t="shared" si="48"/>
        <v>-32500</v>
      </c>
      <c r="AW232" s="17">
        <f t="shared" si="49"/>
        <v>-29250</v>
      </c>
      <c r="AX232" s="18">
        <v>50000</v>
      </c>
      <c r="AY232" s="18"/>
      <c r="AZ232" s="17">
        <f t="shared" si="56"/>
        <v>-79250</v>
      </c>
      <c r="BA232" s="16"/>
      <c r="BB232" s="16"/>
      <c r="BC232" s="16"/>
    </row>
    <row r="233" spans="1:55" ht="16.899999999999999">
      <c r="A233" s="36">
        <v>232</v>
      </c>
      <c r="B233" s="35"/>
      <c r="C233" s="33"/>
      <c r="D233" s="33"/>
      <c r="E233" s="33"/>
      <c r="F233" s="33"/>
      <c r="G233" s="33"/>
      <c r="H233" s="33"/>
      <c r="I233" s="33"/>
      <c r="J233" s="33"/>
      <c r="K233" s="35"/>
      <c r="L233" s="34"/>
      <c r="M233" s="32"/>
      <c r="N233" s="32"/>
      <c r="O233" s="31">
        <f t="shared" si="46"/>
        <v>0</v>
      </c>
      <c r="P233" s="30"/>
      <c r="Q233" s="30"/>
      <c r="R233" s="30"/>
      <c r="S233" s="30"/>
      <c r="T233" s="29"/>
      <c r="U233" s="20"/>
      <c r="V233" s="28"/>
      <c r="W233" s="20"/>
      <c r="X233" s="27"/>
      <c r="Y233" s="26"/>
      <c r="Z233" s="25">
        <f t="shared" si="55"/>
        <v>0</v>
      </c>
      <c r="AA233" s="20">
        <f t="shared" si="50"/>
        <v>0</v>
      </c>
      <c r="AB233" s="24">
        <f t="shared" si="47"/>
        <v>0</v>
      </c>
      <c r="AC233" s="37"/>
      <c r="AD233" s="37"/>
      <c r="AE233" s="22"/>
      <c r="AF233" s="20"/>
      <c r="AG233" s="21"/>
      <c r="AH233" s="20"/>
      <c r="AI233" s="21"/>
      <c r="AJ233" s="20"/>
      <c r="AK233" s="20"/>
      <c r="AL233" s="20"/>
      <c r="AM233" s="19">
        <v>35000</v>
      </c>
      <c r="AN233" s="19">
        <v>30000</v>
      </c>
      <c r="AO233" s="19"/>
      <c r="AP233" s="19"/>
      <c r="AQ233" s="19"/>
      <c r="AR233" s="19">
        <f t="shared" si="51"/>
        <v>65000</v>
      </c>
      <c r="AS233" s="17">
        <f t="shared" si="52"/>
        <v>-65000</v>
      </c>
      <c r="AT233" s="17">
        <f t="shared" si="53"/>
        <v>-65000</v>
      </c>
      <c r="AU233" s="17">
        <f t="shared" si="54"/>
        <v>0</v>
      </c>
      <c r="AV233" s="17">
        <f t="shared" si="48"/>
        <v>-32500</v>
      </c>
      <c r="AW233" s="17">
        <f t="shared" si="49"/>
        <v>-29250</v>
      </c>
      <c r="AX233" s="18">
        <v>50000</v>
      </c>
      <c r="AY233" s="18"/>
      <c r="AZ233" s="17">
        <f t="shared" si="56"/>
        <v>-79250</v>
      </c>
      <c r="BA233" s="16"/>
      <c r="BB233" s="16"/>
      <c r="BC233" s="16"/>
    </row>
    <row r="234" spans="1:55" ht="16.899999999999999">
      <c r="A234" s="36">
        <v>233</v>
      </c>
      <c r="B234" s="35"/>
      <c r="C234" s="33"/>
      <c r="D234" s="33"/>
      <c r="E234" s="33"/>
      <c r="F234" s="33"/>
      <c r="G234" s="33"/>
      <c r="H234" s="33"/>
      <c r="I234" s="33"/>
      <c r="J234" s="33"/>
      <c r="K234" s="35"/>
      <c r="L234" s="34"/>
      <c r="M234" s="32"/>
      <c r="N234" s="32"/>
      <c r="O234" s="31">
        <f t="shared" si="46"/>
        <v>0</v>
      </c>
      <c r="P234" s="30"/>
      <c r="Q234" s="30"/>
      <c r="R234" s="30"/>
      <c r="S234" s="30"/>
      <c r="T234" s="29"/>
      <c r="U234" s="20"/>
      <c r="V234" s="28"/>
      <c r="W234" s="20"/>
      <c r="X234" s="27"/>
      <c r="Y234" s="26"/>
      <c r="Z234" s="25">
        <f t="shared" si="55"/>
        <v>0</v>
      </c>
      <c r="AA234" s="20">
        <f t="shared" si="50"/>
        <v>0</v>
      </c>
      <c r="AB234" s="24">
        <f t="shared" si="47"/>
        <v>0</v>
      </c>
      <c r="AC234" s="37"/>
      <c r="AD234" s="37"/>
      <c r="AE234" s="22"/>
      <c r="AF234" s="20"/>
      <c r="AG234" s="21"/>
      <c r="AH234" s="20"/>
      <c r="AI234" s="21"/>
      <c r="AJ234" s="20"/>
      <c r="AK234" s="20"/>
      <c r="AL234" s="20"/>
      <c r="AM234" s="19">
        <v>35000</v>
      </c>
      <c r="AN234" s="19">
        <v>30000</v>
      </c>
      <c r="AO234" s="19"/>
      <c r="AP234" s="19"/>
      <c r="AQ234" s="19"/>
      <c r="AR234" s="19">
        <f t="shared" si="51"/>
        <v>65000</v>
      </c>
      <c r="AS234" s="17">
        <f t="shared" si="52"/>
        <v>-65000</v>
      </c>
      <c r="AT234" s="17">
        <f t="shared" si="53"/>
        <v>-65000</v>
      </c>
      <c r="AU234" s="17">
        <f t="shared" si="54"/>
        <v>0</v>
      </c>
      <c r="AV234" s="17">
        <f t="shared" si="48"/>
        <v>-32500</v>
      </c>
      <c r="AW234" s="17">
        <f t="shared" si="49"/>
        <v>-29250</v>
      </c>
      <c r="AX234" s="18">
        <v>50000</v>
      </c>
      <c r="AY234" s="18"/>
      <c r="AZ234" s="17">
        <f t="shared" si="56"/>
        <v>-79250</v>
      </c>
      <c r="BA234" s="16"/>
      <c r="BB234" s="16"/>
      <c r="BC234" s="16"/>
    </row>
    <row r="235" spans="1:55" ht="16.899999999999999">
      <c r="A235" s="36">
        <v>234</v>
      </c>
      <c r="B235" s="35"/>
      <c r="C235" s="33"/>
      <c r="D235" s="33"/>
      <c r="E235" s="33"/>
      <c r="F235" s="33"/>
      <c r="G235" s="33"/>
      <c r="H235" s="33"/>
      <c r="I235" s="33"/>
      <c r="J235" s="33"/>
      <c r="K235" s="35"/>
      <c r="L235" s="34"/>
      <c r="M235" s="32"/>
      <c r="N235" s="32"/>
      <c r="O235" s="31">
        <f t="shared" si="46"/>
        <v>0</v>
      </c>
      <c r="P235" s="30"/>
      <c r="Q235" s="30"/>
      <c r="R235" s="30"/>
      <c r="S235" s="30"/>
      <c r="T235" s="29"/>
      <c r="U235" s="20"/>
      <c r="V235" s="28"/>
      <c r="W235" s="20"/>
      <c r="X235" s="27"/>
      <c r="Y235" s="26"/>
      <c r="Z235" s="25">
        <f t="shared" si="55"/>
        <v>0</v>
      </c>
      <c r="AA235" s="20">
        <f t="shared" si="50"/>
        <v>0</v>
      </c>
      <c r="AB235" s="24">
        <f t="shared" si="47"/>
        <v>0</v>
      </c>
      <c r="AC235" s="37"/>
      <c r="AD235" s="37"/>
      <c r="AE235" s="22"/>
      <c r="AF235" s="20"/>
      <c r="AG235" s="21"/>
      <c r="AH235" s="20"/>
      <c r="AI235" s="21"/>
      <c r="AJ235" s="20"/>
      <c r="AK235" s="20"/>
      <c r="AL235" s="20"/>
      <c r="AM235" s="19">
        <v>35000</v>
      </c>
      <c r="AN235" s="19">
        <v>30000</v>
      </c>
      <c r="AO235" s="19"/>
      <c r="AP235" s="19"/>
      <c r="AQ235" s="19"/>
      <c r="AR235" s="19">
        <f t="shared" si="51"/>
        <v>65000</v>
      </c>
      <c r="AS235" s="17">
        <f t="shared" si="52"/>
        <v>-65000</v>
      </c>
      <c r="AT235" s="17">
        <f t="shared" si="53"/>
        <v>-65000</v>
      </c>
      <c r="AU235" s="17">
        <f t="shared" si="54"/>
        <v>0</v>
      </c>
      <c r="AV235" s="17">
        <f t="shared" si="48"/>
        <v>-32500</v>
      </c>
      <c r="AW235" s="17">
        <f t="shared" si="49"/>
        <v>-29250</v>
      </c>
      <c r="AX235" s="18">
        <v>50000</v>
      </c>
      <c r="AY235" s="18"/>
      <c r="AZ235" s="17">
        <f t="shared" si="56"/>
        <v>-79250</v>
      </c>
      <c r="BA235" s="16"/>
      <c r="BB235" s="16"/>
      <c r="BC235" s="16"/>
    </row>
    <row r="236" spans="1:55" ht="16.899999999999999">
      <c r="A236" s="36">
        <v>235</v>
      </c>
      <c r="B236" s="35"/>
      <c r="C236" s="33"/>
      <c r="D236" s="33"/>
      <c r="E236" s="33"/>
      <c r="F236" s="33"/>
      <c r="G236" s="33"/>
      <c r="H236" s="33"/>
      <c r="I236" s="33"/>
      <c r="J236" s="33"/>
      <c r="K236" s="35"/>
      <c r="L236" s="34"/>
      <c r="M236" s="32"/>
      <c r="N236" s="32"/>
      <c r="O236" s="31">
        <f t="shared" si="46"/>
        <v>0</v>
      </c>
      <c r="P236" s="30"/>
      <c r="Q236" s="30"/>
      <c r="R236" s="30"/>
      <c r="S236" s="30"/>
      <c r="T236" s="29"/>
      <c r="U236" s="20"/>
      <c r="V236" s="28"/>
      <c r="W236" s="20"/>
      <c r="X236" s="27"/>
      <c r="Y236" s="26"/>
      <c r="Z236" s="25">
        <f t="shared" si="55"/>
        <v>0</v>
      </c>
      <c r="AA236" s="20">
        <f t="shared" si="50"/>
        <v>0</v>
      </c>
      <c r="AB236" s="24">
        <f t="shared" si="47"/>
        <v>0</v>
      </c>
      <c r="AC236" s="37"/>
      <c r="AD236" s="37"/>
      <c r="AE236" s="22"/>
      <c r="AF236" s="20"/>
      <c r="AG236" s="21"/>
      <c r="AH236" s="20"/>
      <c r="AI236" s="21"/>
      <c r="AJ236" s="20"/>
      <c r="AK236" s="20"/>
      <c r="AL236" s="20"/>
      <c r="AM236" s="19">
        <v>35000</v>
      </c>
      <c r="AN236" s="19">
        <v>30000</v>
      </c>
      <c r="AO236" s="19"/>
      <c r="AP236" s="19"/>
      <c r="AQ236" s="19"/>
      <c r="AR236" s="19">
        <f t="shared" si="51"/>
        <v>65000</v>
      </c>
      <c r="AS236" s="17">
        <f t="shared" si="52"/>
        <v>-65000</v>
      </c>
      <c r="AT236" s="17">
        <f t="shared" si="53"/>
        <v>-65000</v>
      </c>
      <c r="AU236" s="17">
        <f t="shared" si="54"/>
        <v>0</v>
      </c>
      <c r="AV236" s="17">
        <f t="shared" si="48"/>
        <v>-32500</v>
      </c>
      <c r="AW236" s="17">
        <f t="shared" si="49"/>
        <v>-29250</v>
      </c>
      <c r="AX236" s="18">
        <v>50000</v>
      </c>
      <c r="AY236" s="18"/>
      <c r="AZ236" s="17">
        <f t="shared" si="56"/>
        <v>-79250</v>
      </c>
      <c r="BA236" s="16"/>
      <c r="BB236" s="16"/>
      <c r="BC236" s="16"/>
    </row>
    <row r="237" spans="1:55" ht="16.899999999999999">
      <c r="A237" s="36">
        <v>236</v>
      </c>
      <c r="B237" s="35"/>
      <c r="C237" s="33"/>
      <c r="D237" s="33"/>
      <c r="E237" s="33"/>
      <c r="F237" s="33"/>
      <c r="G237" s="33"/>
      <c r="H237" s="33"/>
      <c r="I237" s="33"/>
      <c r="J237" s="33"/>
      <c r="K237" s="35"/>
      <c r="L237" s="34"/>
      <c r="M237" s="32"/>
      <c r="N237" s="32"/>
      <c r="O237" s="31">
        <f t="shared" si="46"/>
        <v>0</v>
      </c>
      <c r="P237" s="30"/>
      <c r="Q237" s="30"/>
      <c r="R237" s="30"/>
      <c r="S237" s="30"/>
      <c r="T237" s="29"/>
      <c r="U237" s="20"/>
      <c r="V237" s="28"/>
      <c r="W237" s="20"/>
      <c r="X237" s="27"/>
      <c r="Y237" s="26"/>
      <c r="Z237" s="25">
        <f t="shared" si="55"/>
        <v>0</v>
      </c>
      <c r="AA237" s="20">
        <f t="shared" si="50"/>
        <v>0</v>
      </c>
      <c r="AB237" s="24">
        <f t="shared" si="47"/>
        <v>0</v>
      </c>
      <c r="AC237" s="37"/>
      <c r="AD237" s="37"/>
      <c r="AE237" s="22"/>
      <c r="AF237" s="20"/>
      <c r="AG237" s="21"/>
      <c r="AH237" s="20"/>
      <c r="AI237" s="21"/>
      <c r="AJ237" s="20"/>
      <c r="AK237" s="20"/>
      <c r="AL237" s="20"/>
      <c r="AM237" s="19">
        <v>35000</v>
      </c>
      <c r="AN237" s="19">
        <v>30000</v>
      </c>
      <c r="AO237" s="19"/>
      <c r="AP237" s="19"/>
      <c r="AQ237" s="19"/>
      <c r="AR237" s="19">
        <f t="shared" si="51"/>
        <v>65000</v>
      </c>
      <c r="AS237" s="17">
        <f t="shared" si="52"/>
        <v>-65000</v>
      </c>
      <c r="AT237" s="17">
        <f t="shared" si="53"/>
        <v>-65000</v>
      </c>
      <c r="AU237" s="17">
        <f t="shared" si="54"/>
        <v>0</v>
      </c>
      <c r="AV237" s="17">
        <f t="shared" si="48"/>
        <v>-32500</v>
      </c>
      <c r="AW237" s="17">
        <f t="shared" si="49"/>
        <v>-29250</v>
      </c>
      <c r="AX237" s="18">
        <v>50000</v>
      </c>
      <c r="AY237" s="18"/>
      <c r="AZ237" s="17">
        <f t="shared" si="56"/>
        <v>-79250</v>
      </c>
      <c r="BA237" s="16"/>
      <c r="BB237" s="16"/>
      <c r="BC237" s="16"/>
    </row>
    <row r="238" spans="1:55" ht="16.899999999999999">
      <c r="A238" s="36">
        <v>237</v>
      </c>
      <c r="B238" s="35"/>
      <c r="C238" s="33"/>
      <c r="D238" s="33"/>
      <c r="E238" s="33"/>
      <c r="F238" s="33"/>
      <c r="G238" s="33"/>
      <c r="H238" s="33"/>
      <c r="I238" s="33"/>
      <c r="J238" s="33"/>
      <c r="K238" s="35"/>
      <c r="L238" s="34"/>
      <c r="M238" s="32"/>
      <c r="N238" s="32"/>
      <c r="O238" s="31">
        <f t="shared" si="46"/>
        <v>0</v>
      </c>
      <c r="P238" s="30"/>
      <c r="Q238" s="30"/>
      <c r="R238" s="30"/>
      <c r="S238" s="30"/>
      <c r="T238" s="29"/>
      <c r="U238" s="20"/>
      <c r="V238" s="28"/>
      <c r="W238" s="20"/>
      <c r="X238" s="27"/>
      <c r="Y238" s="26"/>
      <c r="Z238" s="25">
        <f t="shared" si="55"/>
        <v>0</v>
      </c>
      <c r="AA238" s="20">
        <f t="shared" si="50"/>
        <v>0</v>
      </c>
      <c r="AB238" s="24">
        <f t="shared" si="47"/>
        <v>0</v>
      </c>
      <c r="AC238" s="37"/>
      <c r="AD238" s="37"/>
      <c r="AE238" s="22"/>
      <c r="AF238" s="20"/>
      <c r="AG238" s="21"/>
      <c r="AH238" s="20"/>
      <c r="AI238" s="21"/>
      <c r="AJ238" s="20"/>
      <c r="AK238" s="20"/>
      <c r="AL238" s="20"/>
      <c r="AM238" s="19">
        <v>35000</v>
      </c>
      <c r="AN238" s="19">
        <v>30000</v>
      </c>
      <c r="AO238" s="19"/>
      <c r="AP238" s="19"/>
      <c r="AQ238" s="19"/>
      <c r="AR238" s="19">
        <f t="shared" si="51"/>
        <v>65000</v>
      </c>
      <c r="AS238" s="17">
        <f t="shared" si="52"/>
        <v>-65000</v>
      </c>
      <c r="AT238" s="17">
        <f t="shared" si="53"/>
        <v>-65000</v>
      </c>
      <c r="AU238" s="17">
        <f t="shared" si="54"/>
        <v>0</v>
      </c>
      <c r="AV238" s="17">
        <f t="shared" si="48"/>
        <v>-32500</v>
      </c>
      <c r="AW238" s="17">
        <f t="shared" si="49"/>
        <v>-29250</v>
      </c>
      <c r="AX238" s="18">
        <v>50000</v>
      </c>
      <c r="AY238" s="18"/>
      <c r="AZ238" s="17">
        <f t="shared" si="56"/>
        <v>-79250</v>
      </c>
      <c r="BA238" s="16"/>
      <c r="BB238" s="16"/>
      <c r="BC238" s="16"/>
    </row>
    <row r="239" spans="1:55" ht="16.899999999999999">
      <c r="A239" s="36">
        <v>238</v>
      </c>
      <c r="B239" s="35"/>
      <c r="C239" s="33"/>
      <c r="D239" s="33"/>
      <c r="E239" s="33"/>
      <c r="F239" s="33"/>
      <c r="G239" s="33"/>
      <c r="H239" s="33"/>
      <c r="I239" s="33"/>
      <c r="J239" s="33"/>
      <c r="K239" s="35"/>
      <c r="L239" s="34"/>
      <c r="M239" s="32"/>
      <c r="N239" s="32"/>
      <c r="O239" s="31">
        <f t="shared" si="46"/>
        <v>0</v>
      </c>
      <c r="P239" s="30"/>
      <c r="Q239" s="30"/>
      <c r="R239" s="30"/>
      <c r="S239" s="30"/>
      <c r="T239" s="29"/>
      <c r="U239" s="20"/>
      <c r="V239" s="28"/>
      <c r="W239" s="20"/>
      <c r="X239" s="27"/>
      <c r="Y239" s="26"/>
      <c r="Z239" s="25">
        <f t="shared" si="55"/>
        <v>0</v>
      </c>
      <c r="AA239" s="20">
        <f t="shared" si="50"/>
        <v>0</v>
      </c>
      <c r="AB239" s="24">
        <f t="shared" si="47"/>
        <v>0</v>
      </c>
      <c r="AC239" s="37"/>
      <c r="AD239" s="37"/>
      <c r="AE239" s="22"/>
      <c r="AF239" s="20"/>
      <c r="AG239" s="21"/>
      <c r="AH239" s="20"/>
      <c r="AI239" s="21"/>
      <c r="AJ239" s="20"/>
      <c r="AK239" s="20"/>
      <c r="AL239" s="20"/>
      <c r="AM239" s="19">
        <v>35000</v>
      </c>
      <c r="AN239" s="19">
        <v>30000</v>
      </c>
      <c r="AO239" s="19"/>
      <c r="AP239" s="19"/>
      <c r="AQ239" s="19"/>
      <c r="AR239" s="19">
        <f t="shared" si="51"/>
        <v>65000</v>
      </c>
      <c r="AS239" s="17">
        <f t="shared" si="52"/>
        <v>-65000</v>
      </c>
      <c r="AT239" s="17">
        <f t="shared" si="53"/>
        <v>-65000</v>
      </c>
      <c r="AU239" s="17">
        <f t="shared" si="54"/>
        <v>0</v>
      </c>
      <c r="AV239" s="17">
        <f t="shared" si="48"/>
        <v>-32500</v>
      </c>
      <c r="AW239" s="17">
        <f t="shared" si="49"/>
        <v>-29250</v>
      </c>
      <c r="AX239" s="18">
        <v>50000</v>
      </c>
      <c r="AY239" s="18"/>
      <c r="AZ239" s="17">
        <f t="shared" si="56"/>
        <v>-79250</v>
      </c>
      <c r="BA239" s="16"/>
      <c r="BB239" s="16"/>
      <c r="BC239" s="16"/>
    </row>
    <row r="240" spans="1:55" ht="16.899999999999999">
      <c r="A240" s="36">
        <v>239</v>
      </c>
      <c r="B240" s="35"/>
      <c r="C240" s="33"/>
      <c r="D240" s="33"/>
      <c r="E240" s="33"/>
      <c r="F240" s="33"/>
      <c r="G240" s="33"/>
      <c r="H240" s="33"/>
      <c r="I240" s="33"/>
      <c r="J240" s="33"/>
      <c r="K240" s="35"/>
      <c r="L240" s="34"/>
      <c r="M240" s="32"/>
      <c r="N240" s="32"/>
      <c r="O240" s="31">
        <f t="shared" si="46"/>
        <v>0</v>
      </c>
      <c r="P240" s="30"/>
      <c r="Q240" s="30"/>
      <c r="R240" s="30"/>
      <c r="S240" s="30"/>
      <c r="T240" s="29"/>
      <c r="U240" s="20"/>
      <c r="V240" s="28"/>
      <c r="W240" s="20"/>
      <c r="X240" s="27"/>
      <c r="Y240" s="26"/>
      <c r="Z240" s="25">
        <f t="shared" si="55"/>
        <v>0</v>
      </c>
      <c r="AA240" s="20">
        <f t="shared" si="50"/>
        <v>0</v>
      </c>
      <c r="AB240" s="24">
        <f t="shared" si="47"/>
        <v>0</v>
      </c>
      <c r="AC240" s="37"/>
      <c r="AD240" s="37"/>
      <c r="AE240" s="22"/>
      <c r="AF240" s="20"/>
      <c r="AG240" s="21"/>
      <c r="AH240" s="20"/>
      <c r="AI240" s="21"/>
      <c r="AJ240" s="20"/>
      <c r="AK240" s="20"/>
      <c r="AL240" s="20"/>
      <c r="AM240" s="19">
        <v>35000</v>
      </c>
      <c r="AN240" s="19">
        <v>30000</v>
      </c>
      <c r="AO240" s="19"/>
      <c r="AP240" s="19"/>
      <c r="AQ240" s="19"/>
      <c r="AR240" s="19">
        <f t="shared" si="51"/>
        <v>65000</v>
      </c>
      <c r="AS240" s="17">
        <f t="shared" si="52"/>
        <v>-65000</v>
      </c>
      <c r="AT240" s="17">
        <f t="shared" si="53"/>
        <v>-65000</v>
      </c>
      <c r="AU240" s="17">
        <f t="shared" si="54"/>
        <v>0</v>
      </c>
      <c r="AV240" s="17">
        <f t="shared" si="48"/>
        <v>-32500</v>
      </c>
      <c r="AW240" s="17">
        <f t="shared" si="49"/>
        <v>-29250</v>
      </c>
      <c r="AX240" s="18">
        <v>50000</v>
      </c>
      <c r="AY240" s="18"/>
      <c r="AZ240" s="17">
        <f t="shared" si="56"/>
        <v>-79250</v>
      </c>
      <c r="BA240" s="16"/>
      <c r="BB240" s="16"/>
      <c r="BC240" s="16"/>
    </row>
    <row r="241" spans="1:55" ht="16.899999999999999">
      <c r="A241" s="36">
        <v>240</v>
      </c>
      <c r="B241" s="35"/>
      <c r="C241" s="33"/>
      <c r="D241" s="33"/>
      <c r="E241" s="33"/>
      <c r="F241" s="33"/>
      <c r="G241" s="33"/>
      <c r="H241" s="33"/>
      <c r="I241" s="33"/>
      <c r="J241" s="33"/>
      <c r="K241" s="35"/>
      <c r="L241" s="34"/>
      <c r="M241" s="32"/>
      <c r="N241" s="32"/>
      <c r="O241" s="31">
        <f t="shared" si="46"/>
        <v>0</v>
      </c>
      <c r="P241" s="30"/>
      <c r="Q241" s="30"/>
      <c r="R241" s="30"/>
      <c r="S241" s="30"/>
      <c r="T241" s="29"/>
      <c r="U241" s="20"/>
      <c r="V241" s="28"/>
      <c r="W241" s="20"/>
      <c r="X241" s="27"/>
      <c r="Y241" s="26"/>
      <c r="Z241" s="25">
        <f t="shared" si="55"/>
        <v>0</v>
      </c>
      <c r="AA241" s="20">
        <f t="shared" si="50"/>
        <v>0</v>
      </c>
      <c r="AB241" s="24">
        <f t="shared" si="47"/>
        <v>0</v>
      </c>
      <c r="AC241" s="37"/>
      <c r="AD241" s="37"/>
      <c r="AE241" s="22"/>
      <c r="AF241" s="20"/>
      <c r="AG241" s="21"/>
      <c r="AH241" s="20"/>
      <c r="AI241" s="21"/>
      <c r="AJ241" s="20"/>
      <c r="AK241" s="20"/>
      <c r="AL241" s="20"/>
      <c r="AM241" s="19">
        <v>35000</v>
      </c>
      <c r="AN241" s="19">
        <v>30000</v>
      </c>
      <c r="AO241" s="19"/>
      <c r="AP241" s="19"/>
      <c r="AQ241" s="19"/>
      <c r="AR241" s="19">
        <f t="shared" si="51"/>
        <v>65000</v>
      </c>
      <c r="AS241" s="17">
        <f t="shared" si="52"/>
        <v>-65000</v>
      </c>
      <c r="AT241" s="17">
        <f t="shared" si="53"/>
        <v>-65000</v>
      </c>
      <c r="AU241" s="17">
        <f t="shared" si="54"/>
        <v>0</v>
      </c>
      <c r="AV241" s="17">
        <f t="shared" si="48"/>
        <v>-32500</v>
      </c>
      <c r="AW241" s="17">
        <f t="shared" si="49"/>
        <v>-29250</v>
      </c>
      <c r="AX241" s="18">
        <v>50000</v>
      </c>
      <c r="AY241" s="18"/>
      <c r="AZ241" s="17">
        <f t="shared" si="56"/>
        <v>-79250</v>
      </c>
      <c r="BA241" s="16"/>
      <c r="BB241" s="16"/>
      <c r="BC241" s="16"/>
    </row>
    <row r="242" spans="1:55" ht="16.899999999999999">
      <c r="A242" s="36">
        <v>241</v>
      </c>
      <c r="B242" s="35"/>
      <c r="C242" s="33"/>
      <c r="D242" s="33"/>
      <c r="E242" s="33"/>
      <c r="F242" s="33"/>
      <c r="G242" s="33"/>
      <c r="H242" s="33"/>
      <c r="I242" s="33"/>
      <c r="J242" s="33"/>
      <c r="K242" s="35"/>
      <c r="L242" s="34"/>
      <c r="M242" s="32"/>
      <c r="N242" s="32"/>
      <c r="O242" s="31">
        <f t="shared" si="46"/>
        <v>0</v>
      </c>
      <c r="P242" s="30"/>
      <c r="Q242" s="30"/>
      <c r="R242" s="30"/>
      <c r="S242" s="30"/>
      <c r="T242" s="29"/>
      <c r="U242" s="20"/>
      <c r="V242" s="28"/>
      <c r="W242" s="20"/>
      <c r="X242" s="27"/>
      <c r="Y242" s="26"/>
      <c r="Z242" s="25">
        <f t="shared" si="55"/>
        <v>0</v>
      </c>
      <c r="AA242" s="20">
        <f t="shared" si="50"/>
        <v>0</v>
      </c>
      <c r="AB242" s="24">
        <f t="shared" si="47"/>
        <v>0</v>
      </c>
      <c r="AC242" s="37"/>
      <c r="AD242" s="37"/>
      <c r="AE242" s="22"/>
      <c r="AF242" s="20"/>
      <c r="AG242" s="21"/>
      <c r="AH242" s="20"/>
      <c r="AI242" s="21"/>
      <c r="AJ242" s="20"/>
      <c r="AK242" s="20"/>
      <c r="AL242" s="20"/>
      <c r="AM242" s="19">
        <v>35000</v>
      </c>
      <c r="AN242" s="19">
        <v>30000</v>
      </c>
      <c r="AO242" s="19"/>
      <c r="AP242" s="19"/>
      <c r="AQ242" s="19"/>
      <c r="AR242" s="19">
        <f t="shared" si="51"/>
        <v>65000</v>
      </c>
      <c r="AS242" s="17">
        <f t="shared" si="52"/>
        <v>-65000</v>
      </c>
      <c r="AT242" s="17">
        <f t="shared" si="53"/>
        <v>-65000</v>
      </c>
      <c r="AU242" s="17">
        <f t="shared" si="54"/>
        <v>0</v>
      </c>
      <c r="AV242" s="17">
        <f t="shared" si="48"/>
        <v>-32500</v>
      </c>
      <c r="AW242" s="17">
        <f t="shared" si="49"/>
        <v>-29250</v>
      </c>
      <c r="AX242" s="18">
        <v>50000</v>
      </c>
      <c r="AY242" s="18"/>
      <c r="AZ242" s="17">
        <f t="shared" si="56"/>
        <v>-79250</v>
      </c>
      <c r="BA242" s="16"/>
      <c r="BB242" s="16"/>
      <c r="BC242" s="16"/>
    </row>
    <row r="243" spans="1:55" ht="16.899999999999999">
      <c r="A243" s="36">
        <v>242</v>
      </c>
      <c r="B243" s="35"/>
      <c r="C243" s="33"/>
      <c r="D243" s="33"/>
      <c r="E243" s="33"/>
      <c r="F243" s="33"/>
      <c r="G243" s="33"/>
      <c r="H243" s="33"/>
      <c r="I243" s="33"/>
      <c r="J243" s="33"/>
      <c r="K243" s="35"/>
      <c r="L243" s="34"/>
      <c r="M243" s="32"/>
      <c r="N243" s="32"/>
      <c r="O243" s="31">
        <f t="shared" si="46"/>
        <v>0</v>
      </c>
      <c r="P243" s="30"/>
      <c r="Q243" s="30"/>
      <c r="R243" s="30"/>
      <c r="S243" s="30"/>
      <c r="T243" s="29"/>
      <c r="U243" s="20"/>
      <c r="V243" s="28"/>
      <c r="W243" s="20"/>
      <c r="X243" s="27"/>
      <c r="Y243" s="26"/>
      <c r="Z243" s="25">
        <f t="shared" si="55"/>
        <v>0</v>
      </c>
      <c r="AA243" s="20">
        <f t="shared" si="50"/>
        <v>0</v>
      </c>
      <c r="AB243" s="24">
        <f t="shared" si="47"/>
        <v>0</v>
      </c>
      <c r="AC243" s="37"/>
      <c r="AD243" s="37"/>
      <c r="AE243" s="22"/>
      <c r="AF243" s="20"/>
      <c r="AG243" s="21"/>
      <c r="AH243" s="20"/>
      <c r="AI243" s="21"/>
      <c r="AJ243" s="20"/>
      <c r="AK243" s="20"/>
      <c r="AL243" s="20"/>
      <c r="AM243" s="19">
        <v>35000</v>
      </c>
      <c r="AN243" s="19">
        <v>30000</v>
      </c>
      <c r="AO243" s="19"/>
      <c r="AP243" s="19"/>
      <c r="AQ243" s="19"/>
      <c r="AR243" s="19">
        <f t="shared" si="51"/>
        <v>65000</v>
      </c>
      <c r="AS243" s="17">
        <f t="shared" si="52"/>
        <v>-65000</v>
      </c>
      <c r="AT243" s="17">
        <f t="shared" si="53"/>
        <v>-65000</v>
      </c>
      <c r="AU243" s="17">
        <f t="shared" si="54"/>
        <v>0</v>
      </c>
      <c r="AV243" s="17">
        <f t="shared" si="48"/>
        <v>-32500</v>
      </c>
      <c r="AW243" s="17">
        <f t="shared" si="49"/>
        <v>-29250</v>
      </c>
      <c r="AX243" s="18">
        <v>50000</v>
      </c>
      <c r="AY243" s="18"/>
      <c r="AZ243" s="17">
        <f t="shared" si="56"/>
        <v>-79250</v>
      </c>
      <c r="BA243" s="16"/>
      <c r="BB243" s="16"/>
      <c r="BC243" s="16"/>
    </row>
    <row r="244" spans="1:55" ht="16.899999999999999">
      <c r="A244" s="36">
        <v>243</v>
      </c>
      <c r="B244" s="35"/>
      <c r="C244" s="33"/>
      <c r="D244" s="33"/>
      <c r="E244" s="33"/>
      <c r="F244" s="33"/>
      <c r="G244" s="33"/>
      <c r="H244" s="33"/>
      <c r="I244" s="33"/>
      <c r="J244" s="33"/>
      <c r="K244" s="35"/>
      <c r="L244" s="34"/>
      <c r="M244" s="32"/>
      <c r="N244" s="32"/>
      <c r="O244" s="31">
        <f t="shared" si="46"/>
        <v>0</v>
      </c>
      <c r="P244" s="30"/>
      <c r="Q244" s="30"/>
      <c r="R244" s="30"/>
      <c r="S244" s="30"/>
      <c r="T244" s="29"/>
      <c r="U244" s="20"/>
      <c r="V244" s="28"/>
      <c r="W244" s="20"/>
      <c r="X244" s="27"/>
      <c r="Y244" s="26"/>
      <c r="Z244" s="25">
        <f t="shared" si="55"/>
        <v>0</v>
      </c>
      <c r="AA244" s="20">
        <f t="shared" si="50"/>
        <v>0</v>
      </c>
      <c r="AB244" s="24">
        <f t="shared" si="47"/>
        <v>0</v>
      </c>
      <c r="AC244" s="37"/>
      <c r="AD244" s="37"/>
      <c r="AE244" s="22"/>
      <c r="AF244" s="20"/>
      <c r="AG244" s="21"/>
      <c r="AH244" s="20"/>
      <c r="AI244" s="21"/>
      <c r="AJ244" s="20"/>
      <c r="AK244" s="20"/>
      <c r="AL244" s="20"/>
      <c r="AM244" s="19">
        <v>35000</v>
      </c>
      <c r="AN244" s="19">
        <v>30000</v>
      </c>
      <c r="AO244" s="19"/>
      <c r="AP244" s="19"/>
      <c r="AQ244" s="19"/>
      <c r="AR244" s="19">
        <f t="shared" si="51"/>
        <v>65000</v>
      </c>
      <c r="AS244" s="17">
        <f t="shared" si="52"/>
        <v>-65000</v>
      </c>
      <c r="AT244" s="17">
        <f t="shared" si="53"/>
        <v>-65000</v>
      </c>
      <c r="AU244" s="17">
        <f t="shared" si="54"/>
        <v>0</v>
      </c>
      <c r="AV244" s="17">
        <f t="shared" si="48"/>
        <v>-32500</v>
      </c>
      <c r="AW244" s="17">
        <f t="shared" si="49"/>
        <v>-29250</v>
      </c>
      <c r="AX244" s="18">
        <v>50000</v>
      </c>
      <c r="AY244" s="18"/>
      <c r="AZ244" s="17">
        <f t="shared" si="56"/>
        <v>-79250</v>
      </c>
      <c r="BA244" s="16"/>
      <c r="BB244" s="16"/>
      <c r="BC244" s="16"/>
    </row>
    <row r="245" spans="1:55" ht="16.899999999999999">
      <c r="A245" s="36">
        <v>244</v>
      </c>
      <c r="B245" s="35"/>
      <c r="C245" s="33"/>
      <c r="D245" s="33"/>
      <c r="E245" s="33"/>
      <c r="F245" s="33"/>
      <c r="G245" s="33"/>
      <c r="H245" s="33"/>
      <c r="I245" s="33"/>
      <c r="J245" s="33"/>
      <c r="K245" s="35"/>
      <c r="L245" s="34"/>
      <c r="M245" s="32"/>
      <c r="N245" s="32"/>
      <c r="O245" s="31">
        <f t="shared" si="46"/>
        <v>0</v>
      </c>
      <c r="P245" s="30"/>
      <c r="Q245" s="30"/>
      <c r="R245" s="30"/>
      <c r="S245" s="30"/>
      <c r="T245" s="29"/>
      <c r="U245" s="20"/>
      <c r="V245" s="28"/>
      <c r="W245" s="20"/>
      <c r="X245" s="27"/>
      <c r="Y245" s="26"/>
      <c r="Z245" s="25">
        <f t="shared" si="55"/>
        <v>0</v>
      </c>
      <c r="AA245" s="20">
        <f t="shared" si="50"/>
        <v>0</v>
      </c>
      <c r="AB245" s="24">
        <f t="shared" si="47"/>
        <v>0</v>
      </c>
      <c r="AC245" s="37"/>
      <c r="AD245" s="37"/>
      <c r="AE245" s="22"/>
      <c r="AF245" s="20"/>
      <c r="AG245" s="21"/>
      <c r="AH245" s="20"/>
      <c r="AI245" s="21"/>
      <c r="AJ245" s="20"/>
      <c r="AK245" s="20"/>
      <c r="AL245" s="20"/>
      <c r="AM245" s="19">
        <v>35000</v>
      </c>
      <c r="AN245" s="19">
        <v>30000</v>
      </c>
      <c r="AO245" s="19"/>
      <c r="AP245" s="19"/>
      <c r="AQ245" s="19"/>
      <c r="AR245" s="19">
        <f t="shared" si="51"/>
        <v>65000</v>
      </c>
      <c r="AS245" s="17">
        <f t="shared" si="52"/>
        <v>-65000</v>
      </c>
      <c r="AT245" s="17">
        <f t="shared" si="53"/>
        <v>-65000</v>
      </c>
      <c r="AU245" s="17">
        <f t="shared" si="54"/>
        <v>0</v>
      </c>
      <c r="AV245" s="17">
        <f t="shared" si="48"/>
        <v>-32500</v>
      </c>
      <c r="AW245" s="17">
        <f t="shared" si="49"/>
        <v>-29250</v>
      </c>
      <c r="AX245" s="18">
        <v>50000</v>
      </c>
      <c r="AY245" s="18"/>
      <c r="AZ245" s="17">
        <f t="shared" si="56"/>
        <v>-79250</v>
      </c>
      <c r="BA245" s="16"/>
      <c r="BB245" s="16"/>
      <c r="BC245" s="16"/>
    </row>
    <row r="246" spans="1:55" ht="16.899999999999999">
      <c r="A246" s="36">
        <v>245</v>
      </c>
      <c r="B246" s="35"/>
      <c r="C246" s="33"/>
      <c r="D246" s="33"/>
      <c r="E246" s="33"/>
      <c r="F246" s="33"/>
      <c r="G246" s="33"/>
      <c r="H246" s="33"/>
      <c r="I246" s="33"/>
      <c r="J246" s="33"/>
      <c r="K246" s="35"/>
      <c r="L246" s="34"/>
      <c r="M246" s="32"/>
      <c r="N246" s="32"/>
      <c r="O246" s="31">
        <f t="shared" si="46"/>
        <v>0</v>
      </c>
      <c r="P246" s="30"/>
      <c r="Q246" s="30"/>
      <c r="R246" s="30"/>
      <c r="S246" s="30"/>
      <c r="T246" s="29"/>
      <c r="U246" s="20"/>
      <c r="V246" s="28"/>
      <c r="W246" s="20"/>
      <c r="X246" s="27"/>
      <c r="Y246" s="26"/>
      <c r="Z246" s="25">
        <f t="shared" si="55"/>
        <v>0</v>
      </c>
      <c r="AA246" s="20">
        <f t="shared" si="50"/>
        <v>0</v>
      </c>
      <c r="AB246" s="24">
        <f t="shared" si="47"/>
        <v>0</v>
      </c>
      <c r="AC246" s="37"/>
      <c r="AD246" s="37"/>
      <c r="AE246" s="22"/>
      <c r="AF246" s="20"/>
      <c r="AG246" s="21"/>
      <c r="AH246" s="20"/>
      <c r="AI246" s="21"/>
      <c r="AJ246" s="20"/>
      <c r="AK246" s="20"/>
      <c r="AL246" s="20"/>
      <c r="AM246" s="19">
        <v>35000</v>
      </c>
      <c r="AN246" s="19">
        <v>30000</v>
      </c>
      <c r="AO246" s="19"/>
      <c r="AP246" s="19"/>
      <c r="AQ246" s="19"/>
      <c r="AR246" s="19">
        <f t="shared" si="51"/>
        <v>65000</v>
      </c>
      <c r="AS246" s="17">
        <f t="shared" si="52"/>
        <v>-65000</v>
      </c>
      <c r="AT246" s="17">
        <f t="shared" si="53"/>
        <v>-65000</v>
      </c>
      <c r="AU246" s="17">
        <f t="shared" si="54"/>
        <v>0</v>
      </c>
      <c r="AV246" s="17">
        <f t="shared" si="48"/>
        <v>-32500</v>
      </c>
      <c r="AW246" s="17">
        <f t="shared" si="49"/>
        <v>-29250</v>
      </c>
      <c r="AX246" s="18">
        <v>50000</v>
      </c>
      <c r="AY246" s="18"/>
      <c r="AZ246" s="17">
        <f t="shared" si="56"/>
        <v>-79250</v>
      </c>
      <c r="BA246" s="16"/>
      <c r="BB246" s="16"/>
      <c r="BC246" s="16"/>
    </row>
    <row r="247" spans="1:55" ht="16.899999999999999">
      <c r="A247" s="36">
        <v>246</v>
      </c>
      <c r="B247" s="35"/>
      <c r="C247" s="33"/>
      <c r="D247" s="33"/>
      <c r="E247" s="33"/>
      <c r="F247" s="33"/>
      <c r="G247" s="33"/>
      <c r="H247" s="33"/>
      <c r="I247" s="33"/>
      <c r="J247" s="33"/>
      <c r="K247" s="35"/>
      <c r="L247" s="34"/>
      <c r="M247" s="32"/>
      <c r="N247" s="32"/>
      <c r="O247" s="31">
        <f t="shared" si="46"/>
        <v>0</v>
      </c>
      <c r="P247" s="30"/>
      <c r="Q247" s="30"/>
      <c r="R247" s="30"/>
      <c r="S247" s="30"/>
      <c r="T247" s="29"/>
      <c r="U247" s="20"/>
      <c r="V247" s="28"/>
      <c r="W247" s="20"/>
      <c r="X247" s="27"/>
      <c r="Y247" s="26"/>
      <c r="Z247" s="25">
        <f t="shared" si="55"/>
        <v>0</v>
      </c>
      <c r="AA247" s="20">
        <f t="shared" si="50"/>
        <v>0</v>
      </c>
      <c r="AB247" s="24">
        <f t="shared" si="47"/>
        <v>0</v>
      </c>
      <c r="AC247" s="37"/>
      <c r="AD247" s="37"/>
      <c r="AE247" s="22"/>
      <c r="AF247" s="20"/>
      <c r="AG247" s="21"/>
      <c r="AH247" s="20"/>
      <c r="AI247" s="21"/>
      <c r="AJ247" s="20"/>
      <c r="AK247" s="20"/>
      <c r="AL247" s="20"/>
      <c r="AM247" s="19">
        <v>35000</v>
      </c>
      <c r="AN247" s="19">
        <v>30000</v>
      </c>
      <c r="AO247" s="19"/>
      <c r="AP247" s="19"/>
      <c r="AQ247" s="19"/>
      <c r="AR247" s="19">
        <f t="shared" si="51"/>
        <v>65000</v>
      </c>
      <c r="AS247" s="17">
        <f t="shared" si="52"/>
        <v>-65000</v>
      </c>
      <c r="AT247" s="17">
        <f t="shared" si="53"/>
        <v>-65000</v>
      </c>
      <c r="AU247" s="17">
        <f t="shared" si="54"/>
        <v>0</v>
      </c>
      <c r="AV247" s="17">
        <f t="shared" si="48"/>
        <v>-32500</v>
      </c>
      <c r="AW247" s="17">
        <f t="shared" si="49"/>
        <v>-29250</v>
      </c>
      <c r="AX247" s="18">
        <v>50000</v>
      </c>
      <c r="AY247" s="18"/>
      <c r="AZ247" s="17">
        <f t="shared" si="56"/>
        <v>-79250</v>
      </c>
      <c r="BA247" s="16"/>
      <c r="BB247" s="16"/>
      <c r="BC247" s="16"/>
    </row>
    <row r="248" spans="1:55" ht="16.899999999999999">
      <c r="A248" s="36">
        <v>247</v>
      </c>
      <c r="B248" s="35"/>
      <c r="C248" s="33"/>
      <c r="D248" s="33"/>
      <c r="E248" s="33"/>
      <c r="F248" s="33"/>
      <c r="G248" s="33"/>
      <c r="H248" s="33"/>
      <c r="I248" s="33"/>
      <c r="J248" s="33"/>
      <c r="K248" s="35"/>
      <c r="L248" s="34"/>
      <c r="M248" s="32"/>
      <c r="N248" s="32"/>
      <c r="O248" s="31">
        <f t="shared" si="46"/>
        <v>0</v>
      </c>
      <c r="P248" s="30"/>
      <c r="Q248" s="30"/>
      <c r="R248" s="30"/>
      <c r="S248" s="30"/>
      <c r="T248" s="29"/>
      <c r="U248" s="20"/>
      <c r="V248" s="28"/>
      <c r="W248" s="20"/>
      <c r="X248" s="27"/>
      <c r="Y248" s="26"/>
      <c r="Z248" s="25">
        <f t="shared" si="55"/>
        <v>0</v>
      </c>
      <c r="AA248" s="20">
        <f t="shared" si="50"/>
        <v>0</v>
      </c>
      <c r="AB248" s="24">
        <f t="shared" si="47"/>
        <v>0</v>
      </c>
      <c r="AC248" s="37"/>
      <c r="AD248" s="37"/>
      <c r="AE248" s="22"/>
      <c r="AF248" s="20"/>
      <c r="AG248" s="21"/>
      <c r="AH248" s="20"/>
      <c r="AI248" s="21"/>
      <c r="AJ248" s="20"/>
      <c r="AK248" s="20"/>
      <c r="AL248" s="20"/>
      <c r="AM248" s="19">
        <v>35000</v>
      </c>
      <c r="AN248" s="19">
        <v>30000</v>
      </c>
      <c r="AO248" s="19"/>
      <c r="AP248" s="19"/>
      <c r="AQ248" s="19"/>
      <c r="AR248" s="19">
        <f t="shared" si="51"/>
        <v>65000</v>
      </c>
      <c r="AS248" s="17">
        <f t="shared" si="52"/>
        <v>-65000</v>
      </c>
      <c r="AT248" s="17">
        <f t="shared" si="53"/>
        <v>-65000</v>
      </c>
      <c r="AU248" s="17">
        <f t="shared" si="54"/>
        <v>0</v>
      </c>
      <c r="AV248" s="17">
        <f t="shared" si="48"/>
        <v>-32500</v>
      </c>
      <c r="AW248" s="17">
        <f t="shared" si="49"/>
        <v>-29250</v>
      </c>
      <c r="AX248" s="18">
        <v>50000</v>
      </c>
      <c r="AY248" s="18"/>
      <c r="AZ248" s="17">
        <f t="shared" si="56"/>
        <v>-79250</v>
      </c>
      <c r="BA248" s="16"/>
      <c r="BB248" s="16"/>
      <c r="BC248" s="16"/>
    </row>
    <row r="249" spans="1:55" ht="16.899999999999999">
      <c r="A249" s="36">
        <v>248</v>
      </c>
      <c r="B249" s="35"/>
      <c r="C249" s="33"/>
      <c r="D249" s="33"/>
      <c r="E249" s="33"/>
      <c r="F249" s="33"/>
      <c r="G249" s="33"/>
      <c r="H249" s="33"/>
      <c r="I249" s="33"/>
      <c r="J249" s="33"/>
      <c r="K249" s="35"/>
      <c r="L249" s="34"/>
      <c r="M249" s="32"/>
      <c r="N249" s="32"/>
      <c r="O249" s="31">
        <f t="shared" si="46"/>
        <v>0</v>
      </c>
      <c r="P249" s="30"/>
      <c r="Q249" s="30"/>
      <c r="R249" s="30"/>
      <c r="S249" s="30"/>
      <c r="T249" s="29"/>
      <c r="U249" s="20"/>
      <c r="V249" s="28"/>
      <c r="W249" s="20"/>
      <c r="X249" s="27"/>
      <c r="Y249" s="26"/>
      <c r="Z249" s="25">
        <f t="shared" si="55"/>
        <v>0</v>
      </c>
      <c r="AA249" s="20">
        <f t="shared" si="50"/>
        <v>0</v>
      </c>
      <c r="AB249" s="24">
        <f t="shared" si="47"/>
        <v>0</v>
      </c>
      <c r="AC249" s="37"/>
      <c r="AD249" s="37"/>
      <c r="AE249" s="22"/>
      <c r="AF249" s="20"/>
      <c r="AG249" s="21"/>
      <c r="AH249" s="20"/>
      <c r="AI249" s="21"/>
      <c r="AJ249" s="20"/>
      <c r="AK249" s="20"/>
      <c r="AL249" s="20"/>
      <c r="AM249" s="19">
        <v>35000</v>
      </c>
      <c r="AN249" s="19">
        <v>30000</v>
      </c>
      <c r="AO249" s="19"/>
      <c r="AP249" s="19"/>
      <c r="AQ249" s="19"/>
      <c r="AR249" s="19">
        <f t="shared" si="51"/>
        <v>65000</v>
      </c>
      <c r="AS249" s="17">
        <f t="shared" si="52"/>
        <v>-65000</v>
      </c>
      <c r="AT249" s="17">
        <f t="shared" si="53"/>
        <v>-65000</v>
      </c>
      <c r="AU249" s="17">
        <f t="shared" si="54"/>
        <v>0</v>
      </c>
      <c r="AV249" s="17">
        <f t="shared" si="48"/>
        <v>-32500</v>
      </c>
      <c r="AW249" s="17">
        <f t="shared" si="49"/>
        <v>-29250</v>
      </c>
      <c r="AX249" s="18">
        <v>50000</v>
      </c>
      <c r="AY249" s="18"/>
      <c r="AZ249" s="17">
        <f t="shared" si="56"/>
        <v>-79250</v>
      </c>
      <c r="BA249" s="16"/>
      <c r="BB249" s="16"/>
      <c r="BC249" s="16"/>
    </row>
    <row r="250" spans="1:55" ht="16.899999999999999">
      <c r="A250" s="36">
        <v>249</v>
      </c>
      <c r="B250" s="35"/>
      <c r="C250" s="33"/>
      <c r="D250" s="33"/>
      <c r="E250" s="33"/>
      <c r="F250" s="33"/>
      <c r="G250" s="33"/>
      <c r="H250" s="33"/>
      <c r="I250" s="33"/>
      <c r="J250" s="33"/>
      <c r="K250" s="35"/>
      <c r="L250" s="34"/>
      <c r="M250" s="32"/>
      <c r="N250" s="32"/>
      <c r="O250" s="31">
        <f t="shared" si="46"/>
        <v>0</v>
      </c>
      <c r="P250" s="30"/>
      <c r="Q250" s="30"/>
      <c r="R250" s="30"/>
      <c r="S250" s="30"/>
      <c r="T250" s="29"/>
      <c r="U250" s="20"/>
      <c r="V250" s="28"/>
      <c r="W250" s="20"/>
      <c r="X250" s="27"/>
      <c r="Y250" s="26"/>
      <c r="Z250" s="25">
        <f t="shared" si="55"/>
        <v>0</v>
      </c>
      <c r="AA250" s="20">
        <f t="shared" si="50"/>
        <v>0</v>
      </c>
      <c r="AB250" s="24">
        <f t="shared" si="47"/>
        <v>0</v>
      </c>
      <c r="AC250" s="37"/>
      <c r="AD250" s="37"/>
      <c r="AE250" s="22"/>
      <c r="AF250" s="20"/>
      <c r="AG250" s="21"/>
      <c r="AH250" s="20"/>
      <c r="AI250" s="21"/>
      <c r="AJ250" s="20"/>
      <c r="AK250" s="20"/>
      <c r="AL250" s="20"/>
      <c r="AM250" s="19">
        <v>35000</v>
      </c>
      <c r="AN250" s="19">
        <v>30000</v>
      </c>
      <c r="AO250" s="19"/>
      <c r="AP250" s="19"/>
      <c r="AQ250" s="19"/>
      <c r="AR250" s="19">
        <f t="shared" si="51"/>
        <v>65000</v>
      </c>
      <c r="AS250" s="17">
        <f t="shared" si="52"/>
        <v>-65000</v>
      </c>
      <c r="AT250" s="17">
        <f t="shared" si="53"/>
        <v>-65000</v>
      </c>
      <c r="AU250" s="17">
        <f t="shared" si="54"/>
        <v>0</v>
      </c>
      <c r="AV250" s="17">
        <f t="shared" si="48"/>
        <v>-32500</v>
      </c>
      <c r="AW250" s="17">
        <f t="shared" si="49"/>
        <v>-29250</v>
      </c>
      <c r="AX250" s="18">
        <v>50000</v>
      </c>
      <c r="AY250" s="18"/>
      <c r="AZ250" s="17">
        <f t="shared" si="56"/>
        <v>-79250</v>
      </c>
      <c r="BA250" s="16"/>
      <c r="BB250" s="16"/>
      <c r="BC250" s="16"/>
    </row>
    <row r="251" spans="1:55" ht="16.899999999999999">
      <c r="A251" s="36">
        <v>250</v>
      </c>
      <c r="B251" s="35"/>
      <c r="C251" s="33"/>
      <c r="D251" s="33"/>
      <c r="E251" s="33"/>
      <c r="F251" s="33"/>
      <c r="G251" s="33"/>
      <c r="H251" s="33"/>
      <c r="I251" s="33"/>
      <c r="J251" s="33"/>
      <c r="K251" s="35"/>
      <c r="L251" s="34"/>
      <c r="M251" s="32"/>
      <c r="N251" s="32"/>
      <c r="O251" s="31">
        <f t="shared" si="46"/>
        <v>0</v>
      </c>
      <c r="P251" s="30"/>
      <c r="Q251" s="30"/>
      <c r="R251" s="30"/>
      <c r="S251" s="30"/>
      <c r="T251" s="29"/>
      <c r="U251" s="20"/>
      <c r="V251" s="28"/>
      <c r="W251" s="20"/>
      <c r="X251" s="27"/>
      <c r="Y251" s="26"/>
      <c r="Z251" s="25">
        <f t="shared" si="55"/>
        <v>0</v>
      </c>
      <c r="AA251" s="20">
        <f t="shared" si="50"/>
        <v>0</v>
      </c>
      <c r="AB251" s="24">
        <f t="shared" si="47"/>
        <v>0</v>
      </c>
      <c r="AC251" s="37"/>
      <c r="AD251" s="37"/>
      <c r="AE251" s="22"/>
      <c r="AF251" s="20"/>
      <c r="AG251" s="21"/>
      <c r="AH251" s="20"/>
      <c r="AI251" s="21"/>
      <c r="AJ251" s="20"/>
      <c r="AK251" s="20"/>
      <c r="AL251" s="20"/>
      <c r="AM251" s="19">
        <v>35000</v>
      </c>
      <c r="AN251" s="19">
        <v>30000</v>
      </c>
      <c r="AO251" s="19"/>
      <c r="AP251" s="19"/>
      <c r="AQ251" s="19"/>
      <c r="AR251" s="19">
        <f t="shared" si="51"/>
        <v>65000</v>
      </c>
      <c r="AS251" s="17">
        <f t="shared" si="52"/>
        <v>-65000</v>
      </c>
      <c r="AT251" s="17">
        <f t="shared" si="53"/>
        <v>-65000</v>
      </c>
      <c r="AU251" s="17">
        <f t="shared" si="54"/>
        <v>0</v>
      </c>
      <c r="AV251" s="17">
        <f t="shared" si="48"/>
        <v>-32500</v>
      </c>
      <c r="AW251" s="17">
        <f t="shared" si="49"/>
        <v>-29250</v>
      </c>
      <c r="AX251" s="18">
        <v>50000</v>
      </c>
      <c r="AY251" s="18"/>
      <c r="AZ251" s="17">
        <f t="shared" si="56"/>
        <v>-79250</v>
      </c>
      <c r="BA251" s="16"/>
      <c r="BB251" s="16"/>
      <c r="BC251" s="16"/>
    </row>
    <row r="252" spans="1:55" ht="16.899999999999999">
      <c r="A252" s="36">
        <v>251</v>
      </c>
      <c r="B252" s="35"/>
      <c r="C252" s="33"/>
      <c r="D252" s="33"/>
      <c r="E252" s="33"/>
      <c r="F252" s="33"/>
      <c r="G252" s="33"/>
      <c r="H252" s="33"/>
      <c r="I252" s="33"/>
      <c r="J252" s="33"/>
      <c r="K252" s="35"/>
      <c r="L252" s="34"/>
      <c r="M252" s="32"/>
      <c r="N252" s="32"/>
      <c r="O252" s="31">
        <f t="shared" ref="O252:O315" si="57">M252+N252</f>
        <v>0</v>
      </c>
      <c r="P252" s="30"/>
      <c r="Q252" s="30"/>
      <c r="R252" s="30"/>
      <c r="S252" s="30"/>
      <c r="T252" s="29"/>
      <c r="U252" s="20"/>
      <c r="V252" s="28"/>
      <c r="W252" s="20"/>
      <c r="X252" s="27"/>
      <c r="Y252" s="26"/>
      <c r="Z252" s="25">
        <f t="shared" si="55"/>
        <v>0</v>
      </c>
      <c r="AA252" s="20">
        <f t="shared" si="50"/>
        <v>0</v>
      </c>
      <c r="AB252" s="24">
        <f t="shared" ref="AB252:AB315" si="58">SUM(AA252-Z252)</f>
        <v>0</v>
      </c>
      <c r="AC252" s="37"/>
      <c r="AD252" s="37"/>
      <c r="AE252" s="22"/>
      <c r="AF252" s="20"/>
      <c r="AG252" s="21"/>
      <c r="AH252" s="20"/>
      <c r="AI252" s="21"/>
      <c r="AJ252" s="20"/>
      <c r="AK252" s="20"/>
      <c r="AL252" s="20"/>
      <c r="AM252" s="19">
        <v>35000</v>
      </c>
      <c r="AN252" s="19">
        <v>30000</v>
      </c>
      <c r="AO252" s="19"/>
      <c r="AP252" s="19"/>
      <c r="AQ252" s="19"/>
      <c r="AR252" s="19">
        <f t="shared" si="51"/>
        <v>65000</v>
      </c>
      <c r="AS252" s="17">
        <f t="shared" si="52"/>
        <v>-65000</v>
      </c>
      <c r="AT252" s="17">
        <f t="shared" si="53"/>
        <v>-65000</v>
      </c>
      <c r="AU252" s="17">
        <f t="shared" si="54"/>
        <v>0</v>
      </c>
      <c r="AV252" s="17">
        <f t="shared" ref="AV252:AV315" si="59">SUM(AT252:AU252)/2</f>
        <v>-32500</v>
      </c>
      <c r="AW252" s="17">
        <f t="shared" ref="AW252:AW315" si="60">AV252-(AV252*10%)</f>
        <v>-29250</v>
      </c>
      <c r="AX252" s="18">
        <v>50000</v>
      </c>
      <c r="AY252" s="18"/>
      <c r="AZ252" s="17">
        <f t="shared" si="56"/>
        <v>-79250</v>
      </c>
      <c r="BA252" s="16"/>
      <c r="BB252" s="16"/>
      <c r="BC252" s="16"/>
    </row>
    <row r="253" spans="1:55" ht="16.899999999999999">
      <c r="A253" s="36">
        <v>252</v>
      </c>
      <c r="B253" s="35"/>
      <c r="C253" s="33"/>
      <c r="D253" s="33"/>
      <c r="E253" s="33"/>
      <c r="F253" s="33"/>
      <c r="G253" s="33"/>
      <c r="H253" s="33"/>
      <c r="I253" s="33"/>
      <c r="J253" s="33"/>
      <c r="K253" s="35"/>
      <c r="L253" s="34"/>
      <c r="M253" s="32"/>
      <c r="N253" s="32"/>
      <c r="O253" s="31">
        <f t="shared" si="57"/>
        <v>0</v>
      </c>
      <c r="P253" s="30"/>
      <c r="Q253" s="30"/>
      <c r="R253" s="30"/>
      <c r="S253" s="30"/>
      <c r="T253" s="29"/>
      <c r="U253" s="20"/>
      <c r="V253" s="28"/>
      <c r="W253" s="20"/>
      <c r="X253" s="27"/>
      <c r="Y253" s="26"/>
      <c r="Z253" s="25">
        <f t="shared" si="55"/>
        <v>0</v>
      </c>
      <c r="AA253" s="20">
        <f t="shared" si="50"/>
        <v>0</v>
      </c>
      <c r="AB253" s="24">
        <f t="shared" si="58"/>
        <v>0</v>
      </c>
      <c r="AC253" s="37"/>
      <c r="AD253" s="37"/>
      <c r="AE253" s="22"/>
      <c r="AF253" s="20"/>
      <c r="AG253" s="21"/>
      <c r="AH253" s="20"/>
      <c r="AI253" s="21"/>
      <c r="AJ253" s="20"/>
      <c r="AK253" s="20"/>
      <c r="AL253" s="20"/>
      <c r="AM253" s="19">
        <v>35000</v>
      </c>
      <c r="AN253" s="19">
        <v>30000</v>
      </c>
      <c r="AO253" s="19"/>
      <c r="AP253" s="19"/>
      <c r="AQ253" s="19"/>
      <c r="AR253" s="19">
        <f t="shared" si="51"/>
        <v>65000</v>
      </c>
      <c r="AS253" s="17">
        <f t="shared" si="52"/>
        <v>-65000</v>
      </c>
      <c r="AT253" s="17">
        <f t="shared" si="53"/>
        <v>-65000</v>
      </c>
      <c r="AU253" s="17">
        <f t="shared" si="54"/>
        <v>0</v>
      </c>
      <c r="AV253" s="17">
        <f t="shared" si="59"/>
        <v>-32500</v>
      </c>
      <c r="AW253" s="17">
        <f t="shared" si="60"/>
        <v>-29250</v>
      </c>
      <c r="AX253" s="18">
        <v>50000</v>
      </c>
      <c r="AY253" s="18"/>
      <c r="AZ253" s="17">
        <f t="shared" si="56"/>
        <v>-79250</v>
      </c>
      <c r="BA253" s="16"/>
      <c r="BB253" s="16"/>
      <c r="BC253" s="16"/>
    </row>
    <row r="254" spans="1:55" ht="16.899999999999999">
      <c r="A254" s="36">
        <v>253</v>
      </c>
      <c r="B254" s="35"/>
      <c r="C254" s="33"/>
      <c r="D254" s="33"/>
      <c r="E254" s="33"/>
      <c r="F254" s="33"/>
      <c r="G254" s="33"/>
      <c r="H254" s="33"/>
      <c r="I254" s="33"/>
      <c r="J254" s="33"/>
      <c r="K254" s="35"/>
      <c r="L254" s="34"/>
      <c r="M254" s="32"/>
      <c r="N254" s="32"/>
      <c r="O254" s="31">
        <f t="shared" si="57"/>
        <v>0</v>
      </c>
      <c r="P254" s="30"/>
      <c r="Q254" s="30"/>
      <c r="R254" s="30"/>
      <c r="S254" s="30"/>
      <c r="T254" s="29"/>
      <c r="U254" s="20"/>
      <c r="V254" s="28"/>
      <c r="W254" s="20"/>
      <c r="X254" s="27"/>
      <c r="Y254" s="26"/>
      <c r="Z254" s="25">
        <f t="shared" si="55"/>
        <v>0</v>
      </c>
      <c r="AA254" s="20">
        <f t="shared" si="50"/>
        <v>0</v>
      </c>
      <c r="AB254" s="24">
        <f t="shared" si="58"/>
        <v>0</v>
      </c>
      <c r="AC254" s="37"/>
      <c r="AD254" s="37"/>
      <c r="AE254" s="22"/>
      <c r="AF254" s="20"/>
      <c r="AG254" s="21"/>
      <c r="AH254" s="20"/>
      <c r="AI254" s="21"/>
      <c r="AJ254" s="20"/>
      <c r="AK254" s="20"/>
      <c r="AL254" s="20"/>
      <c r="AM254" s="19">
        <v>35000</v>
      </c>
      <c r="AN254" s="19">
        <v>30000</v>
      </c>
      <c r="AO254" s="19"/>
      <c r="AP254" s="19"/>
      <c r="AQ254" s="19"/>
      <c r="AR254" s="19">
        <f t="shared" si="51"/>
        <v>65000</v>
      </c>
      <c r="AS254" s="17">
        <f t="shared" si="52"/>
        <v>-65000</v>
      </c>
      <c r="AT254" s="17">
        <f t="shared" si="53"/>
        <v>-65000</v>
      </c>
      <c r="AU254" s="17">
        <f t="shared" si="54"/>
        <v>0</v>
      </c>
      <c r="AV254" s="17">
        <f t="shared" si="59"/>
        <v>-32500</v>
      </c>
      <c r="AW254" s="17">
        <f t="shared" si="60"/>
        <v>-29250</v>
      </c>
      <c r="AX254" s="18">
        <v>50000</v>
      </c>
      <c r="AY254" s="18"/>
      <c r="AZ254" s="17">
        <f t="shared" si="56"/>
        <v>-79250</v>
      </c>
      <c r="BA254" s="16"/>
      <c r="BB254" s="16"/>
      <c r="BC254" s="16"/>
    </row>
    <row r="255" spans="1:55" ht="16.899999999999999">
      <c r="A255" s="36">
        <v>254</v>
      </c>
      <c r="B255" s="35"/>
      <c r="C255" s="33"/>
      <c r="D255" s="33"/>
      <c r="E255" s="33"/>
      <c r="F255" s="33"/>
      <c r="G255" s="33"/>
      <c r="H255" s="33"/>
      <c r="I255" s="33"/>
      <c r="J255" s="33"/>
      <c r="K255" s="35"/>
      <c r="L255" s="34"/>
      <c r="M255" s="32"/>
      <c r="N255" s="32"/>
      <c r="O255" s="31">
        <f t="shared" si="57"/>
        <v>0</v>
      </c>
      <c r="P255" s="30"/>
      <c r="Q255" s="30"/>
      <c r="R255" s="30"/>
      <c r="S255" s="30"/>
      <c r="T255" s="29"/>
      <c r="U255" s="20"/>
      <c r="V255" s="28"/>
      <c r="W255" s="20"/>
      <c r="X255" s="27"/>
      <c r="Y255" s="26"/>
      <c r="Z255" s="25">
        <f t="shared" si="55"/>
        <v>0</v>
      </c>
      <c r="AA255" s="20">
        <f t="shared" si="50"/>
        <v>0</v>
      </c>
      <c r="AB255" s="24">
        <f t="shared" si="58"/>
        <v>0</v>
      </c>
      <c r="AC255" s="37"/>
      <c r="AD255" s="37"/>
      <c r="AE255" s="22"/>
      <c r="AF255" s="20"/>
      <c r="AG255" s="21"/>
      <c r="AH255" s="20"/>
      <c r="AI255" s="21"/>
      <c r="AJ255" s="20"/>
      <c r="AK255" s="20"/>
      <c r="AL255" s="20"/>
      <c r="AM255" s="19">
        <v>35000</v>
      </c>
      <c r="AN255" s="19">
        <v>30000</v>
      </c>
      <c r="AO255" s="19"/>
      <c r="AP255" s="19"/>
      <c r="AQ255" s="19"/>
      <c r="AR255" s="19">
        <f t="shared" si="51"/>
        <v>65000</v>
      </c>
      <c r="AS255" s="17">
        <f t="shared" si="52"/>
        <v>-65000</v>
      </c>
      <c r="AT255" s="17">
        <f t="shared" si="53"/>
        <v>-65000</v>
      </c>
      <c r="AU255" s="17">
        <f t="shared" si="54"/>
        <v>0</v>
      </c>
      <c r="AV255" s="17">
        <f t="shared" si="59"/>
        <v>-32500</v>
      </c>
      <c r="AW255" s="17">
        <f t="shared" si="60"/>
        <v>-29250</v>
      </c>
      <c r="AX255" s="18">
        <v>50000</v>
      </c>
      <c r="AY255" s="18"/>
      <c r="AZ255" s="17">
        <f t="shared" si="56"/>
        <v>-79250</v>
      </c>
      <c r="BA255" s="16"/>
      <c r="BB255" s="16"/>
      <c r="BC255" s="16"/>
    </row>
    <row r="256" spans="1:55" ht="16.5" customHeight="1">
      <c r="A256" s="36">
        <v>255</v>
      </c>
      <c r="B256" s="35"/>
      <c r="C256" s="33"/>
      <c r="D256" s="33"/>
      <c r="E256" s="33"/>
      <c r="F256" s="33"/>
      <c r="G256" s="33"/>
      <c r="H256" s="33"/>
      <c r="I256" s="33"/>
      <c r="J256" s="33"/>
      <c r="K256" s="35"/>
      <c r="L256" s="34"/>
      <c r="M256" s="32"/>
      <c r="N256" s="32"/>
      <c r="O256" s="31">
        <f t="shared" si="57"/>
        <v>0</v>
      </c>
      <c r="P256" s="30"/>
      <c r="Q256" s="30"/>
      <c r="R256" s="30"/>
      <c r="S256" s="30"/>
      <c r="T256" s="29"/>
      <c r="U256" s="20"/>
      <c r="V256" s="28"/>
      <c r="W256" s="20"/>
      <c r="X256" s="27"/>
      <c r="Y256" s="26"/>
      <c r="Z256" s="25">
        <f t="shared" si="55"/>
        <v>0</v>
      </c>
      <c r="AA256" s="20">
        <f t="shared" si="50"/>
        <v>0</v>
      </c>
      <c r="AB256" s="24">
        <f t="shared" si="58"/>
        <v>0</v>
      </c>
      <c r="AC256" s="37"/>
      <c r="AD256" s="37"/>
      <c r="AE256" s="22"/>
      <c r="AF256" s="20"/>
      <c r="AG256" s="21"/>
      <c r="AH256" s="20"/>
      <c r="AI256" s="21"/>
      <c r="AJ256" s="20"/>
      <c r="AK256" s="20"/>
      <c r="AL256" s="20"/>
      <c r="AM256" s="19">
        <v>35000</v>
      </c>
      <c r="AN256" s="19">
        <v>30000</v>
      </c>
      <c r="AO256" s="19"/>
      <c r="AP256" s="19"/>
      <c r="AQ256" s="19"/>
      <c r="AR256" s="19">
        <f t="shared" si="51"/>
        <v>65000</v>
      </c>
      <c r="AS256" s="17">
        <f t="shared" si="52"/>
        <v>-65000</v>
      </c>
      <c r="AT256" s="17">
        <f t="shared" si="53"/>
        <v>-65000</v>
      </c>
      <c r="AU256" s="17">
        <f t="shared" si="54"/>
        <v>0</v>
      </c>
      <c r="AV256" s="17">
        <f t="shared" si="59"/>
        <v>-32500</v>
      </c>
      <c r="AW256" s="17">
        <f t="shared" si="60"/>
        <v>-29250</v>
      </c>
      <c r="AX256" s="18">
        <v>50000</v>
      </c>
      <c r="AY256" s="18"/>
      <c r="AZ256" s="17">
        <f t="shared" si="56"/>
        <v>-79250</v>
      </c>
      <c r="BA256" s="16"/>
      <c r="BB256" s="16"/>
      <c r="BC256" s="16"/>
    </row>
    <row r="257" spans="1:55" ht="16.899999999999999">
      <c r="A257" s="36">
        <v>256</v>
      </c>
      <c r="B257" s="35"/>
      <c r="C257" s="33"/>
      <c r="D257" s="33"/>
      <c r="E257" s="33"/>
      <c r="F257" s="33"/>
      <c r="G257" s="33"/>
      <c r="H257" s="33"/>
      <c r="I257" s="33"/>
      <c r="J257" s="33"/>
      <c r="K257" s="35"/>
      <c r="L257" s="34"/>
      <c r="M257" s="32"/>
      <c r="N257" s="32"/>
      <c r="O257" s="31">
        <f t="shared" si="57"/>
        <v>0</v>
      </c>
      <c r="P257" s="30"/>
      <c r="Q257" s="30"/>
      <c r="R257" s="30"/>
      <c r="S257" s="30"/>
      <c r="T257" s="29"/>
      <c r="U257" s="20"/>
      <c r="V257" s="28"/>
      <c r="W257" s="20"/>
      <c r="X257" s="27"/>
      <c r="Y257" s="26"/>
      <c r="Z257" s="25">
        <f t="shared" si="55"/>
        <v>0</v>
      </c>
      <c r="AA257" s="20">
        <f t="shared" si="50"/>
        <v>0</v>
      </c>
      <c r="AB257" s="24">
        <f t="shared" si="58"/>
        <v>0</v>
      </c>
      <c r="AC257" s="37"/>
      <c r="AD257" s="37"/>
      <c r="AE257" s="22"/>
      <c r="AF257" s="20"/>
      <c r="AG257" s="21"/>
      <c r="AH257" s="20"/>
      <c r="AI257" s="21"/>
      <c r="AJ257" s="20"/>
      <c r="AK257" s="20"/>
      <c r="AL257" s="20"/>
      <c r="AM257" s="19">
        <v>35000</v>
      </c>
      <c r="AN257" s="19">
        <v>30000</v>
      </c>
      <c r="AO257" s="19"/>
      <c r="AP257" s="19"/>
      <c r="AQ257" s="19"/>
      <c r="AR257" s="19">
        <f t="shared" si="51"/>
        <v>65000</v>
      </c>
      <c r="AS257" s="17">
        <f t="shared" si="52"/>
        <v>-65000</v>
      </c>
      <c r="AT257" s="17">
        <f t="shared" si="53"/>
        <v>-65000</v>
      </c>
      <c r="AU257" s="17">
        <f t="shared" si="54"/>
        <v>0</v>
      </c>
      <c r="AV257" s="17">
        <f t="shared" si="59"/>
        <v>-32500</v>
      </c>
      <c r="AW257" s="17">
        <f t="shared" si="60"/>
        <v>-29250</v>
      </c>
      <c r="AX257" s="18">
        <v>50000</v>
      </c>
      <c r="AY257" s="18"/>
      <c r="AZ257" s="17">
        <f t="shared" si="56"/>
        <v>-79250</v>
      </c>
      <c r="BA257" s="16"/>
      <c r="BB257" s="16"/>
      <c r="BC257" s="16"/>
    </row>
    <row r="258" spans="1:55" ht="16.899999999999999">
      <c r="A258" s="36">
        <v>257</v>
      </c>
      <c r="B258" s="35"/>
      <c r="C258" s="33"/>
      <c r="D258" s="33"/>
      <c r="E258" s="33"/>
      <c r="F258" s="33"/>
      <c r="G258" s="33"/>
      <c r="H258" s="33"/>
      <c r="I258" s="33"/>
      <c r="J258" s="33"/>
      <c r="K258" s="35"/>
      <c r="L258" s="34"/>
      <c r="M258" s="32"/>
      <c r="N258" s="32"/>
      <c r="O258" s="31">
        <f t="shared" si="57"/>
        <v>0</v>
      </c>
      <c r="P258" s="30"/>
      <c r="Q258" s="30"/>
      <c r="R258" s="30"/>
      <c r="S258" s="30"/>
      <c r="T258" s="29"/>
      <c r="U258" s="20"/>
      <c r="V258" s="28"/>
      <c r="W258" s="20"/>
      <c r="X258" s="27"/>
      <c r="Y258" s="26"/>
      <c r="Z258" s="25">
        <f t="shared" si="55"/>
        <v>0</v>
      </c>
      <c r="AA258" s="20">
        <f t="shared" ref="AA258:AA321" si="61">SUM(AF258+AH258+AJ258+AK258-AL258)</f>
        <v>0</v>
      </c>
      <c r="AB258" s="24">
        <f t="shared" si="58"/>
        <v>0</v>
      </c>
      <c r="AC258" s="37"/>
      <c r="AD258" s="37"/>
      <c r="AE258" s="22"/>
      <c r="AF258" s="20"/>
      <c r="AG258" s="21"/>
      <c r="AH258" s="20"/>
      <c r="AI258" s="21"/>
      <c r="AJ258" s="20"/>
      <c r="AK258" s="20"/>
      <c r="AL258" s="20"/>
      <c r="AM258" s="19">
        <v>35000</v>
      </c>
      <c r="AN258" s="19">
        <v>30000</v>
      </c>
      <c r="AO258" s="19"/>
      <c r="AP258" s="19"/>
      <c r="AQ258" s="19"/>
      <c r="AR258" s="19">
        <f t="shared" ref="AR258:AR321" si="62">SUM(AM258:AQ258)</f>
        <v>65000</v>
      </c>
      <c r="AS258" s="17">
        <f t="shared" ref="AS258:AS321" si="63">SUM(Z258-V258)*U258-AR258</f>
        <v>-65000</v>
      </c>
      <c r="AT258" s="17">
        <f t="shared" ref="AT258:AT321" si="64">SUM(AS258-O258)</f>
        <v>-65000</v>
      </c>
      <c r="AU258" s="17">
        <f t="shared" ref="AU258:AU321" si="65">SUM(M258*0.09)</f>
        <v>0</v>
      </c>
      <c r="AV258" s="17">
        <f t="shared" si="59"/>
        <v>-32500</v>
      </c>
      <c r="AW258" s="17">
        <f t="shared" si="60"/>
        <v>-29250</v>
      </c>
      <c r="AX258" s="18">
        <v>50000</v>
      </c>
      <c r="AY258" s="18"/>
      <c r="AZ258" s="17">
        <f t="shared" si="56"/>
        <v>-79250</v>
      </c>
      <c r="BA258" s="16"/>
      <c r="BB258" s="16"/>
      <c r="BC258" s="16"/>
    </row>
    <row r="259" spans="1:55" s="6" customFormat="1" ht="16.899999999999999">
      <c r="A259" s="36">
        <v>258</v>
      </c>
      <c r="B259" s="35"/>
      <c r="C259" s="33"/>
      <c r="D259" s="33"/>
      <c r="E259" s="33"/>
      <c r="F259" s="33"/>
      <c r="G259" s="33"/>
      <c r="H259" s="33"/>
      <c r="I259" s="33"/>
      <c r="J259" s="33"/>
      <c r="K259" s="35"/>
      <c r="L259" s="34"/>
      <c r="M259" s="32"/>
      <c r="N259" s="32"/>
      <c r="O259" s="31">
        <f t="shared" si="57"/>
        <v>0</v>
      </c>
      <c r="P259" s="30"/>
      <c r="Q259" s="30"/>
      <c r="R259" s="30"/>
      <c r="S259" s="30"/>
      <c r="T259" s="29"/>
      <c r="U259" s="20"/>
      <c r="V259" s="28"/>
      <c r="W259" s="20"/>
      <c r="X259" s="27"/>
      <c r="Y259" s="26"/>
      <c r="Z259" s="25">
        <f t="shared" si="55"/>
        <v>0</v>
      </c>
      <c r="AA259" s="20">
        <f t="shared" si="61"/>
        <v>0</v>
      </c>
      <c r="AB259" s="24">
        <f t="shared" si="58"/>
        <v>0</v>
      </c>
      <c r="AC259" s="37"/>
      <c r="AD259" s="37"/>
      <c r="AE259" s="22"/>
      <c r="AF259" s="20"/>
      <c r="AG259" s="21"/>
      <c r="AH259" s="20"/>
      <c r="AI259" s="21"/>
      <c r="AJ259" s="20"/>
      <c r="AK259" s="20"/>
      <c r="AL259" s="20"/>
      <c r="AM259" s="19">
        <v>35000</v>
      </c>
      <c r="AN259" s="19">
        <v>30000</v>
      </c>
      <c r="AO259" s="19"/>
      <c r="AP259" s="19"/>
      <c r="AQ259" s="19"/>
      <c r="AR259" s="19">
        <f t="shared" si="62"/>
        <v>65000</v>
      </c>
      <c r="AS259" s="17">
        <f t="shared" si="63"/>
        <v>-65000</v>
      </c>
      <c r="AT259" s="17">
        <f t="shared" si="64"/>
        <v>-65000</v>
      </c>
      <c r="AU259" s="17">
        <f t="shared" si="65"/>
        <v>0</v>
      </c>
      <c r="AV259" s="17">
        <f t="shared" si="59"/>
        <v>-32500</v>
      </c>
      <c r="AW259" s="17">
        <f t="shared" si="60"/>
        <v>-29250</v>
      </c>
      <c r="AX259" s="18">
        <v>50000</v>
      </c>
      <c r="AY259" s="18"/>
      <c r="AZ259" s="17">
        <f t="shared" si="56"/>
        <v>-79250</v>
      </c>
      <c r="BA259" s="16"/>
      <c r="BB259" s="15"/>
      <c r="BC259" s="15"/>
    </row>
    <row r="260" spans="1:55" s="6" customFormat="1" ht="16.899999999999999">
      <c r="A260" s="36">
        <v>259</v>
      </c>
      <c r="B260" s="35"/>
      <c r="C260" s="33"/>
      <c r="D260" s="33"/>
      <c r="E260" s="33"/>
      <c r="F260" s="33"/>
      <c r="G260" s="33"/>
      <c r="H260" s="33"/>
      <c r="I260" s="33"/>
      <c r="J260" s="33"/>
      <c r="K260" s="35"/>
      <c r="L260" s="34"/>
      <c r="M260" s="32"/>
      <c r="N260" s="32"/>
      <c r="O260" s="31">
        <f t="shared" si="57"/>
        <v>0</v>
      </c>
      <c r="P260" s="30"/>
      <c r="Q260" s="30"/>
      <c r="R260" s="30"/>
      <c r="S260" s="30"/>
      <c r="T260" s="29"/>
      <c r="U260" s="20"/>
      <c r="V260" s="28"/>
      <c r="W260" s="20"/>
      <c r="X260" s="27"/>
      <c r="Y260" s="26"/>
      <c r="Z260" s="25">
        <f t="shared" si="55"/>
        <v>0</v>
      </c>
      <c r="AA260" s="20">
        <f t="shared" si="61"/>
        <v>0</v>
      </c>
      <c r="AB260" s="24">
        <f t="shared" si="58"/>
        <v>0</v>
      </c>
      <c r="AC260" s="37"/>
      <c r="AD260" s="37"/>
      <c r="AE260" s="22"/>
      <c r="AF260" s="20"/>
      <c r="AG260" s="21"/>
      <c r="AH260" s="20"/>
      <c r="AI260" s="21"/>
      <c r="AJ260" s="20"/>
      <c r="AK260" s="20"/>
      <c r="AL260" s="20"/>
      <c r="AM260" s="19">
        <v>35000</v>
      </c>
      <c r="AN260" s="19">
        <v>30000</v>
      </c>
      <c r="AO260" s="19"/>
      <c r="AP260" s="19"/>
      <c r="AQ260" s="19"/>
      <c r="AR260" s="19">
        <f t="shared" si="62"/>
        <v>65000</v>
      </c>
      <c r="AS260" s="17">
        <f t="shared" si="63"/>
        <v>-65000</v>
      </c>
      <c r="AT260" s="17">
        <f t="shared" si="64"/>
        <v>-65000</v>
      </c>
      <c r="AU260" s="17">
        <f t="shared" si="65"/>
        <v>0</v>
      </c>
      <c r="AV260" s="17">
        <f t="shared" si="59"/>
        <v>-32500</v>
      </c>
      <c r="AW260" s="17">
        <f t="shared" si="60"/>
        <v>-29250</v>
      </c>
      <c r="AX260" s="18">
        <v>50000</v>
      </c>
      <c r="AY260" s="18"/>
      <c r="AZ260" s="17">
        <f t="shared" si="56"/>
        <v>-79250</v>
      </c>
      <c r="BA260" s="16"/>
      <c r="BB260" s="15"/>
      <c r="BC260" s="15"/>
    </row>
    <row r="261" spans="1:55" s="6" customFormat="1" ht="16.899999999999999">
      <c r="A261" s="36">
        <v>260</v>
      </c>
      <c r="B261" s="35"/>
      <c r="C261" s="33"/>
      <c r="D261" s="33"/>
      <c r="E261" s="33"/>
      <c r="F261" s="33"/>
      <c r="G261" s="33"/>
      <c r="H261" s="33"/>
      <c r="I261" s="33"/>
      <c r="J261" s="33"/>
      <c r="K261" s="35"/>
      <c r="L261" s="34"/>
      <c r="M261" s="32"/>
      <c r="N261" s="32"/>
      <c r="O261" s="31">
        <f t="shared" si="57"/>
        <v>0</v>
      </c>
      <c r="P261" s="30"/>
      <c r="Q261" s="30"/>
      <c r="R261" s="30"/>
      <c r="S261" s="30"/>
      <c r="T261" s="29"/>
      <c r="U261" s="20"/>
      <c r="V261" s="28"/>
      <c r="W261" s="20"/>
      <c r="X261" s="27"/>
      <c r="Y261" s="26"/>
      <c r="Z261" s="25">
        <f t="shared" si="55"/>
        <v>0</v>
      </c>
      <c r="AA261" s="20">
        <f t="shared" si="61"/>
        <v>0</v>
      </c>
      <c r="AB261" s="24">
        <f t="shared" si="58"/>
        <v>0</v>
      </c>
      <c r="AC261" s="37"/>
      <c r="AD261" s="37"/>
      <c r="AE261" s="22"/>
      <c r="AF261" s="20"/>
      <c r="AG261" s="21"/>
      <c r="AH261" s="20"/>
      <c r="AI261" s="21"/>
      <c r="AJ261" s="20"/>
      <c r="AK261" s="20"/>
      <c r="AL261" s="20"/>
      <c r="AM261" s="19">
        <v>35000</v>
      </c>
      <c r="AN261" s="19">
        <v>30000</v>
      </c>
      <c r="AO261" s="19"/>
      <c r="AP261" s="19"/>
      <c r="AQ261" s="19"/>
      <c r="AR261" s="19">
        <f t="shared" si="62"/>
        <v>65000</v>
      </c>
      <c r="AS261" s="17">
        <f t="shared" si="63"/>
        <v>-65000</v>
      </c>
      <c r="AT261" s="17">
        <f t="shared" si="64"/>
        <v>-65000</v>
      </c>
      <c r="AU261" s="17">
        <f t="shared" si="65"/>
        <v>0</v>
      </c>
      <c r="AV261" s="17">
        <f t="shared" si="59"/>
        <v>-32500</v>
      </c>
      <c r="AW261" s="17">
        <f t="shared" si="60"/>
        <v>-29250</v>
      </c>
      <c r="AX261" s="18">
        <v>50000</v>
      </c>
      <c r="AY261" s="18"/>
      <c r="AZ261" s="17">
        <f t="shared" si="56"/>
        <v>-79250</v>
      </c>
      <c r="BA261" s="16"/>
      <c r="BB261" s="15"/>
      <c r="BC261" s="15"/>
    </row>
    <row r="262" spans="1:55" s="6" customFormat="1" ht="16.899999999999999">
      <c r="A262" s="36">
        <v>261</v>
      </c>
      <c r="B262" s="35"/>
      <c r="C262" s="33"/>
      <c r="D262" s="33"/>
      <c r="E262" s="33"/>
      <c r="F262" s="33"/>
      <c r="G262" s="33"/>
      <c r="H262" s="33"/>
      <c r="I262" s="33"/>
      <c r="J262" s="33"/>
      <c r="K262" s="35"/>
      <c r="L262" s="34"/>
      <c r="M262" s="32"/>
      <c r="N262" s="32"/>
      <c r="O262" s="31">
        <f t="shared" si="57"/>
        <v>0</v>
      </c>
      <c r="P262" s="30"/>
      <c r="Q262" s="30"/>
      <c r="R262" s="30"/>
      <c r="S262" s="30"/>
      <c r="T262" s="29"/>
      <c r="U262" s="20"/>
      <c r="V262" s="28"/>
      <c r="W262" s="20"/>
      <c r="X262" s="27"/>
      <c r="Y262" s="26"/>
      <c r="Z262" s="25">
        <f t="shared" si="55"/>
        <v>0</v>
      </c>
      <c r="AA262" s="20">
        <f t="shared" si="61"/>
        <v>0</v>
      </c>
      <c r="AB262" s="24">
        <f t="shared" si="58"/>
        <v>0</v>
      </c>
      <c r="AC262" s="37"/>
      <c r="AD262" s="37"/>
      <c r="AE262" s="22"/>
      <c r="AF262" s="20"/>
      <c r="AG262" s="21"/>
      <c r="AH262" s="20"/>
      <c r="AI262" s="21"/>
      <c r="AJ262" s="20"/>
      <c r="AK262" s="20"/>
      <c r="AL262" s="20"/>
      <c r="AM262" s="19">
        <v>35000</v>
      </c>
      <c r="AN262" s="19">
        <v>30000</v>
      </c>
      <c r="AO262" s="19"/>
      <c r="AP262" s="19"/>
      <c r="AQ262" s="19"/>
      <c r="AR262" s="19">
        <f t="shared" si="62"/>
        <v>65000</v>
      </c>
      <c r="AS262" s="17">
        <f t="shared" si="63"/>
        <v>-65000</v>
      </c>
      <c r="AT262" s="17">
        <f t="shared" si="64"/>
        <v>-65000</v>
      </c>
      <c r="AU262" s="17">
        <f t="shared" si="65"/>
        <v>0</v>
      </c>
      <c r="AV262" s="17">
        <f t="shared" si="59"/>
        <v>-32500</v>
      </c>
      <c r="AW262" s="17">
        <f t="shared" si="60"/>
        <v>-29250</v>
      </c>
      <c r="AX262" s="18">
        <v>50000</v>
      </c>
      <c r="AY262" s="18"/>
      <c r="AZ262" s="17">
        <f t="shared" si="56"/>
        <v>-79250</v>
      </c>
      <c r="BA262" s="16"/>
      <c r="BB262" s="15"/>
      <c r="BC262" s="15"/>
    </row>
    <row r="263" spans="1:55" s="6" customFormat="1" ht="16.899999999999999">
      <c r="A263" s="36">
        <v>262</v>
      </c>
      <c r="B263" s="35"/>
      <c r="C263" s="33"/>
      <c r="D263" s="33"/>
      <c r="E263" s="33"/>
      <c r="F263" s="33"/>
      <c r="G263" s="33"/>
      <c r="H263" s="33"/>
      <c r="I263" s="33"/>
      <c r="J263" s="33"/>
      <c r="K263" s="35"/>
      <c r="L263" s="34"/>
      <c r="M263" s="32"/>
      <c r="N263" s="32"/>
      <c r="O263" s="31">
        <f t="shared" si="57"/>
        <v>0</v>
      </c>
      <c r="P263" s="30"/>
      <c r="Q263" s="30"/>
      <c r="R263" s="30"/>
      <c r="S263" s="30"/>
      <c r="T263" s="29"/>
      <c r="U263" s="20"/>
      <c r="V263" s="28"/>
      <c r="W263" s="20"/>
      <c r="X263" s="27"/>
      <c r="Y263" s="26"/>
      <c r="Z263" s="25">
        <f t="shared" si="55"/>
        <v>0</v>
      </c>
      <c r="AA263" s="20">
        <f t="shared" si="61"/>
        <v>0</v>
      </c>
      <c r="AB263" s="24">
        <f t="shared" si="58"/>
        <v>0</v>
      </c>
      <c r="AC263" s="37"/>
      <c r="AD263" s="37"/>
      <c r="AE263" s="22"/>
      <c r="AF263" s="20"/>
      <c r="AG263" s="21"/>
      <c r="AH263" s="20"/>
      <c r="AI263" s="21"/>
      <c r="AJ263" s="20"/>
      <c r="AK263" s="20"/>
      <c r="AL263" s="20"/>
      <c r="AM263" s="19">
        <v>35000</v>
      </c>
      <c r="AN263" s="19">
        <v>30000</v>
      </c>
      <c r="AO263" s="19"/>
      <c r="AP263" s="19"/>
      <c r="AQ263" s="19"/>
      <c r="AR263" s="19">
        <f t="shared" si="62"/>
        <v>65000</v>
      </c>
      <c r="AS263" s="17">
        <f t="shared" si="63"/>
        <v>-65000</v>
      </c>
      <c r="AT263" s="17">
        <f t="shared" si="64"/>
        <v>-65000</v>
      </c>
      <c r="AU263" s="17">
        <f t="shared" si="65"/>
        <v>0</v>
      </c>
      <c r="AV263" s="17">
        <f t="shared" si="59"/>
        <v>-32500</v>
      </c>
      <c r="AW263" s="17">
        <f t="shared" si="60"/>
        <v>-29250</v>
      </c>
      <c r="AX263" s="18">
        <v>50000</v>
      </c>
      <c r="AY263" s="18"/>
      <c r="AZ263" s="17">
        <f t="shared" si="56"/>
        <v>-79250</v>
      </c>
      <c r="BA263" s="16"/>
      <c r="BB263" s="15"/>
      <c r="BC263" s="15"/>
    </row>
    <row r="264" spans="1:55" s="6" customFormat="1" ht="16.899999999999999">
      <c r="A264" s="36">
        <v>263</v>
      </c>
      <c r="B264" s="35"/>
      <c r="C264" s="33"/>
      <c r="D264" s="33"/>
      <c r="E264" s="33"/>
      <c r="F264" s="33"/>
      <c r="G264" s="33"/>
      <c r="H264" s="33"/>
      <c r="I264" s="33"/>
      <c r="J264" s="33"/>
      <c r="K264" s="35"/>
      <c r="L264" s="34"/>
      <c r="M264" s="32"/>
      <c r="N264" s="32"/>
      <c r="O264" s="31">
        <f t="shared" si="57"/>
        <v>0</v>
      </c>
      <c r="P264" s="30"/>
      <c r="Q264" s="30"/>
      <c r="R264" s="30"/>
      <c r="S264" s="30"/>
      <c r="T264" s="29"/>
      <c r="U264" s="20"/>
      <c r="V264" s="28"/>
      <c r="W264" s="20"/>
      <c r="X264" s="27"/>
      <c r="Y264" s="26"/>
      <c r="Z264" s="25">
        <f t="shared" si="55"/>
        <v>0</v>
      </c>
      <c r="AA264" s="20">
        <f t="shared" si="61"/>
        <v>0</v>
      </c>
      <c r="AB264" s="24">
        <f t="shared" si="58"/>
        <v>0</v>
      </c>
      <c r="AC264" s="37"/>
      <c r="AD264" s="37"/>
      <c r="AE264" s="22"/>
      <c r="AF264" s="20"/>
      <c r="AG264" s="21"/>
      <c r="AH264" s="20"/>
      <c r="AI264" s="21"/>
      <c r="AJ264" s="20"/>
      <c r="AK264" s="20"/>
      <c r="AL264" s="20"/>
      <c r="AM264" s="19">
        <v>35000</v>
      </c>
      <c r="AN264" s="19">
        <v>30000</v>
      </c>
      <c r="AO264" s="19"/>
      <c r="AP264" s="19"/>
      <c r="AQ264" s="19"/>
      <c r="AR264" s="19">
        <f t="shared" si="62"/>
        <v>65000</v>
      </c>
      <c r="AS264" s="17">
        <f t="shared" si="63"/>
        <v>-65000</v>
      </c>
      <c r="AT264" s="17">
        <f t="shared" si="64"/>
        <v>-65000</v>
      </c>
      <c r="AU264" s="17">
        <f t="shared" si="65"/>
        <v>0</v>
      </c>
      <c r="AV264" s="17">
        <f t="shared" si="59"/>
        <v>-32500</v>
      </c>
      <c r="AW264" s="17">
        <f t="shared" si="60"/>
        <v>-29250</v>
      </c>
      <c r="AX264" s="18">
        <v>50000</v>
      </c>
      <c r="AY264" s="18"/>
      <c r="AZ264" s="17">
        <f t="shared" si="56"/>
        <v>-79250</v>
      </c>
      <c r="BA264" s="16"/>
      <c r="BB264" s="15"/>
      <c r="BC264" s="15"/>
    </row>
    <row r="265" spans="1:55" s="6" customFormat="1" ht="16.899999999999999">
      <c r="A265" s="36">
        <v>264</v>
      </c>
      <c r="B265" s="35"/>
      <c r="C265" s="33"/>
      <c r="D265" s="33"/>
      <c r="E265" s="33"/>
      <c r="F265" s="33"/>
      <c r="G265" s="33"/>
      <c r="H265" s="33"/>
      <c r="I265" s="33"/>
      <c r="J265" s="33"/>
      <c r="K265" s="35"/>
      <c r="L265" s="34"/>
      <c r="M265" s="32"/>
      <c r="N265" s="32"/>
      <c r="O265" s="31">
        <f t="shared" si="57"/>
        <v>0</v>
      </c>
      <c r="P265" s="30"/>
      <c r="Q265" s="30"/>
      <c r="R265" s="30"/>
      <c r="S265" s="30"/>
      <c r="T265" s="29"/>
      <c r="U265" s="20"/>
      <c r="V265" s="28"/>
      <c r="W265" s="20"/>
      <c r="X265" s="27"/>
      <c r="Y265" s="26"/>
      <c r="Z265" s="25">
        <f t="shared" si="55"/>
        <v>0</v>
      </c>
      <c r="AA265" s="20">
        <f t="shared" si="61"/>
        <v>0</v>
      </c>
      <c r="AB265" s="24">
        <f t="shared" si="58"/>
        <v>0</v>
      </c>
      <c r="AC265" s="37"/>
      <c r="AD265" s="37"/>
      <c r="AE265" s="22"/>
      <c r="AF265" s="20"/>
      <c r="AG265" s="21"/>
      <c r="AH265" s="20"/>
      <c r="AI265" s="21"/>
      <c r="AJ265" s="20"/>
      <c r="AK265" s="20"/>
      <c r="AL265" s="20"/>
      <c r="AM265" s="19">
        <v>35000</v>
      </c>
      <c r="AN265" s="19">
        <v>30000</v>
      </c>
      <c r="AO265" s="19"/>
      <c r="AP265" s="19"/>
      <c r="AQ265" s="19"/>
      <c r="AR265" s="19">
        <f t="shared" si="62"/>
        <v>65000</v>
      </c>
      <c r="AS265" s="17">
        <f t="shared" si="63"/>
        <v>-65000</v>
      </c>
      <c r="AT265" s="17">
        <f t="shared" si="64"/>
        <v>-65000</v>
      </c>
      <c r="AU265" s="17">
        <f t="shared" si="65"/>
        <v>0</v>
      </c>
      <c r="AV265" s="17">
        <f t="shared" si="59"/>
        <v>-32500</v>
      </c>
      <c r="AW265" s="17">
        <f t="shared" si="60"/>
        <v>-29250</v>
      </c>
      <c r="AX265" s="18">
        <v>50000</v>
      </c>
      <c r="AY265" s="18"/>
      <c r="AZ265" s="17">
        <f t="shared" si="56"/>
        <v>-79250</v>
      </c>
      <c r="BA265" s="16"/>
      <c r="BB265" s="15"/>
      <c r="BC265" s="15"/>
    </row>
    <row r="266" spans="1:55" s="6" customFormat="1" ht="16.899999999999999">
      <c r="A266" s="36">
        <v>265</v>
      </c>
      <c r="B266" s="35"/>
      <c r="C266" s="33"/>
      <c r="D266" s="33"/>
      <c r="E266" s="33"/>
      <c r="F266" s="33"/>
      <c r="G266" s="33"/>
      <c r="H266" s="33"/>
      <c r="I266" s="33"/>
      <c r="J266" s="33"/>
      <c r="K266" s="35"/>
      <c r="L266" s="34"/>
      <c r="M266" s="32"/>
      <c r="N266" s="32"/>
      <c r="O266" s="31">
        <f t="shared" si="57"/>
        <v>0</v>
      </c>
      <c r="P266" s="30"/>
      <c r="Q266" s="30"/>
      <c r="R266" s="30"/>
      <c r="S266" s="30"/>
      <c r="T266" s="29"/>
      <c r="U266" s="20"/>
      <c r="V266" s="28"/>
      <c r="W266" s="20"/>
      <c r="X266" s="27"/>
      <c r="Y266" s="26"/>
      <c r="Z266" s="25">
        <f t="shared" si="55"/>
        <v>0</v>
      </c>
      <c r="AA266" s="20">
        <f t="shared" si="61"/>
        <v>0</v>
      </c>
      <c r="AB266" s="24">
        <f t="shared" si="58"/>
        <v>0</v>
      </c>
      <c r="AC266" s="37"/>
      <c r="AD266" s="37"/>
      <c r="AE266" s="22"/>
      <c r="AF266" s="20"/>
      <c r="AG266" s="21"/>
      <c r="AH266" s="20"/>
      <c r="AI266" s="21"/>
      <c r="AJ266" s="20"/>
      <c r="AK266" s="20"/>
      <c r="AL266" s="20"/>
      <c r="AM266" s="19">
        <v>35000</v>
      </c>
      <c r="AN266" s="19">
        <v>30000</v>
      </c>
      <c r="AO266" s="19"/>
      <c r="AP266" s="19"/>
      <c r="AQ266" s="19"/>
      <c r="AR266" s="19">
        <f t="shared" si="62"/>
        <v>65000</v>
      </c>
      <c r="AS266" s="17">
        <f t="shared" si="63"/>
        <v>-65000</v>
      </c>
      <c r="AT266" s="17">
        <f t="shared" si="64"/>
        <v>-65000</v>
      </c>
      <c r="AU266" s="17">
        <f t="shared" si="65"/>
        <v>0</v>
      </c>
      <c r="AV266" s="17">
        <f t="shared" si="59"/>
        <v>-32500</v>
      </c>
      <c r="AW266" s="17">
        <f t="shared" si="60"/>
        <v>-29250</v>
      </c>
      <c r="AX266" s="18">
        <v>50000</v>
      </c>
      <c r="AY266" s="18"/>
      <c r="AZ266" s="17">
        <f t="shared" si="56"/>
        <v>-79250</v>
      </c>
      <c r="BA266" s="16"/>
      <c r="BB266" s="15"/>
      <c r="BC266" s="15"/>
    </row>
    <row r="267" spans="1:55" s="6" customFormat="1" ht="16.899999999999999">
      <c r="A267" s="36">
        <v>266</v>
      </c>
      <c r="B267" s="35"/>
      <c r="C267" s="33"/>
      <c r="D267" s="33"/>
      <c r="E267" s="33"/>
      <c r="F267" s="33"/>
      <c r="G267" s="33"/>
      <c r="H267" s="33"/>
      <c r="I267" s="33"/>
      <c r="J267" s="33"/>
      <c r="K267" s="35"/>
      <c r="L267" s="34"/>
      <c r="M267" s="32"/>
      <c r="N267" s="32"/>
      <c r="O267" s="31">
        <f t="shared" si="57"/>
        <v>0</v>
      </c>
      <c r="P267" s="30"/>
      <c r="Q267" s="30"/>
      <c r="R267" s="30"/>
      <c r="S267" s="30"/>
      <c r="T267" s="29"/>
      <c r="U267" s="20"/>
      <c r="V267" s="28"/>
      <c r="W267" s="20"/>
      <c r="X267" s="27"/>
      <c r="Y267" s="26"/>
      <c r="Z267" s="25">
        <f t="shared" si="55"/>
        <v>0</v>
      </c>
      <c r="AA267" s="20">
        <f t="shared" si="61"/>
        <v>0</v>
      </c>
      <c r="AB267" s="24">
        <f t="shared" si="58"/>
        <v>0</v>
      </c>
      <c r="AC267" s="37"/>
      <c r="AD267" s="37"/>
      <c r="AE267" s="22"/>
      <c r="AF267" s="20"/>
      <c r="AG267" s="21"/>
      <c r="AH267" s="20"/>
      <c r="AI267" s="21"/>
      <c r="AJ267" s="20"/>
      <c r="AK267" s="20"/>
      <c r="AL267" s="20"/>
      <c r="AM267" s="19">
        <v>35000</v>
      </c>
      <c r="AN267" s="19">
        <v>30000</v>
      </c>
      <c r="AO267" s="19"/>
      <c r="AP267" s="19"/>
      <c r="AQ267" s="19"/>
      <c r="AR267" s="19">
        <f t="shared" si="62"/>
        <v>65000</v>
      </c>
      <c r="AS267" s="17">
        <f t="shared" si="63"/>
        <v>-65000</v>
      </c>
      <c r="AT267" s="17">
        <f t="shared" si="64"/>
        <v>-65000</v>
      </c>
      <c r="AU267" s="17">
        <f t="shared" si="65"/>
        <v>0</v>
      </c>
      <c r="AV267" s="17">
        <f t="shared" si="59"/>
        <v>-32500</v>
      </c>
      <c r="AW267" s="17">
        <f t="shared" si="60"/>
        <v>-29250</v>
      </c>
      <c r="AX267" s="18">
        <v>50000</v>
      </c>
      <c r="AY267" s="18"/>
      <c r="AZ267" s="17">
        <f t="shared" si="56"/>
        <v>-79250</v>
      </c>
      <c r="BA267" s="16"/>
      <c r="BB267" s="15"/>
      <c r="BC267" s="15"/>
    </row>
    <row r="268" spans="1:55" s="6" customFormat="1" ht="16.899999999999999">
      <c r="A268" s="36">
        <v>267</v>
      </c>
      <c r="B268" s="35"/>
      <c r="C268" s="33"/>
      <c r="D268" s="33"/>
      <c r="E268" s="33"/>
      <c r="F268" s="33"/>
      <c r="G268" s="33"/>
      <c r="H268" s="33"/>
      <c r="I268" s="33"/>
      <c r="J268" s="33"/>
      <c r="K268" s="35"/>
      <c r="L268" s="34"/>
      <c r="M268" s="32"/>
      <c r="N268" s="32"/>
      <c r="O268" s="31">
        <f t="shared" si="57"/>
        <v>0</v>
      </c>
      <c r="P268" s="30"/>
      <c r="Q268" s="30"/>
      <c r="R268" s="30"/>
      <c r="S268" s="30"/>
      <c r="T268" s="29"/>
      <c r="U268" s="20"/>
      <c r="V268" s="28"/>
      <c r="W268" s="20"/>
      <c r="X268" s="27"/>
      <c r="Y268" s="26"/>
      <c r="Z268" s="25">
        <f t="shared" ref="Z268:Z331" si="66">SUM(T268,V268:Y268)</f>
        <v>0</v>
      </c>
      <c r="AA268" s="20">
        <f t="shared" si="61"/>
        <v>0</v>
      </c>
      <c r="AB268" s="24">
        <f t="shared" si="58"/>
        <v>0</v>
      </c>
      <c r="AC268" s="37"/>
      <c r="AD268" s="37"/>
      <c r="AE268" s="22"/>
      <c r="AF268" s="20"/>
      <c r="AG268" s="21"/>
      <c r="AH268" s="20"/>
      <c r="AI268" s="21"/>
      <c r="AJ268" s="20"/>
      <c r="AK268" s="20"/>
      <c r="AL268" s="20"/>
      <c r="AM268" s="19">
        <v>35000</v>
      </c>
      <c r="AN268" s="19">
        <v>30000</v>
      </c>
      <c r="AO268" s="19"/>
      <c r="AP268" s="19"/>
      <c r="AQ268" s="19"/>
      <c r="AR268" s="19">
        <f t="shared" si="62"/>
        <v>65000</v>
      </c>
      <c r="AS268" s="17">
        <f t="shared" si="63"/>
        <v>-65000</v>
      </c>
      <c r="AT268" s="17">
        <f t="shared" si="64"/>
        <v>-65000</v>
      </c>
      <c r="AU268" s="17">
        <f t="shared" si="65"/>
        <v>0</v>
      </c>
      <c r="AV268" s="17">
        <f t="shared" si="59"/>
        <v>-32500</v>
      </c>
      <c r="AW268" s="17">
        <f t="shared" si="60"/>
        <v>-29250</v>
      </c>
      <c r="AX268" s="18">
        <v>50000</v>
      </c>
      <c r="AY268" s="18"/>
      <c r="AZ268" s="17">
        <f t="shared" si="56"/>
        <v>-79250</v>
      </c>
      <c r="BA268" s="16"/>
      <c r="BB268" s="15"/>
      <c r="BC268" s="15"/>
    </row>
    <row r="269" spans="1:55" s="6" customFormat="1" ht="16.899999999999999">
      <c r="A269" s="36">
        <v>268</v>
      </c>
      <c r="B269" s="35"/>
      <c r="C269" s="33"/>
      <c r="D269" s="33"/>
      <c r="E269" s="33"/>
      <c r="F269" s="33"/>
      <c r="G269" s="33"/>
      <c r="H269" s="33"/>
      <c r="I269" s="33"/>
      <c r="J269" s="33"/>
      <c r="K269" s="35"/>
      <c r="L269" s="34"/>
      <c r="M269" s="32"/>
      <c r="N269" s="32"/>
      <c r="O269" s="31">
        <f t="shared" si="57"/>
        <v>0</v>
      </c>
      <c r="P269" s="30"/>
      <c r="Q269" s="30"/>
      <c r="R269" s="30"/>
      <c r="S269" s="30"/>
      <c r="T269" s="29"/>
      <c r="U269" s="20"/>
      <c r="V269" s="28"/>
      <c r="W269" s="20"/>
      <c r="X269" s="27"/>
      <c r="Y269" s="26"/>
      <c r="Z269" s="25">
        <f t="shared" si="66"/>
        <v>0</v>
      </c>
      <c r="AA269" s="20">
        <f t="shared" si="61"/>
        <v>0</v>
      </c>
      <c r="AB269" s="24">
        <f t="shared" si="58"/>
        <v>0</v>
      </c>
      <c r="AC269" s="37"/>
      <c r="AD269" s="37"/>
      <c r="AE269" s="22"/>
      <c r="AF269" s="20"/>
      <c r="AG269" s="21"/>
      <c r="AH269" s="20"/>
      <c r="AI269" s="21"/>
      <c r="AJ269" s="20"/>
      <c r="AK269" s="20"/>
      <c r="AL269" s="20"/>
      <c r="AM269" s="19">
        <v>35000</v>
      </c>
      <c r="AN269" s="19">
        <v>30000</v>
      </c>
      <c r="AO269" s="19"/>
      <c r="AP269" s="19"/>
      <c r="AQ269" s="19"/>
      <c r="AR269" s="19">
        <f t="shared" si="62"/>
        <v>65000</v>
      </c>
      <c r="AS269" s="17">
        <f t="shared" si="63"/>
        <v>-65000</v>
      </c>
      <c r="AT269" s="17">
        <f t="shared" si="64"/>
        <v>-65000</v>
      </c>
      <c r="AU269" s="17">
        <f t="shared" si="65"/>
        <v>0</v>
      </c>
      <c r="AV269" s="17">
        <f t="shared" si="59"/>
        <v>-32500</v>
      </c>
      <c r="AW269" s="17">
        <f t="shared" si="60"/>
        <v>-29250</v>
      </c>
      <c r="AX269" s="18">
        <v>50000</v>
      </c>
      <c r="AY269" s="18"/>
      <c r="AZ269" s="17">
        <f t="shared" si="56"/>
        <v>-79250</v>
      </c>
      <c r="BA269" s="16"/>
      <c r="BB269" s="15"/>
      <c r="BC269" s="15"/>
    </row>
    <row r="270" spans="1:55" s="6" customFormat="1" ht="16.899999999999999">
      <c r="A270" s="36">
        <v>269</v>
      </c>
      <c r="B270" s="35"/>
      <c r="C270" s="33"/>
      <c r="D270" s="33"/>
      <c r="E270" s="33"/>
      <c r="F270" s="33"/>
      <c r="G270" s="33"/>
      <c r="H270" s="33"/>
      <c r="I270" s="33"/>
      <c r="J270" s="33"/>
      <c r="K270" s="35"/>
      <c r="L270" s="34"/>
      <c r="M270" s="32"/>
      <c r="N270" s="32"/>
      <c r="O270" s="31">
        <f t="shared" si="57"/>
        <v>0</v>
      </c>
      <c r="P270" s="30"/>
      <c r="Q270" s="30"/>
      <c r="R270" s="30"/>
      <c r="S270" s="30"/>
      <c r="T270" s="29"/>
      <c r="U270" s="20"/>
      <c r="V270" s="28"/>
      <c r="W270" s="20"/>
      <c r="X270" s="27"/>
      <c r="Y270" s="26"/>
      <c r="Z270" s="25">
        <f t="shared" si="66"/>
        <v>0</v>
      </c>
      <c r="AA270" s="20">
        <f t="shared" si="61"/>
        <v>0</v>
      </c>
      <c r="AB270" s="24">
        <f t="shared" si="58"/>
        <v>0</v>
      </c>
      <c r="AC270" s="37"/>
      <c r="AD270" s="37"/>
      <c r="AE270" s="22"/>
      <c r="AF270" s="20"/>
      <c r="AG270" s="21"/>
      <c r="AH270" s="20"/>
      <c r="AI270" s="21"/>
      <c r="AJ270" s="20"/>
      <c r="AK270" s="20"/>
      <c r="AL270" s="20"/>
      <c r="AM270" s="19">
        <v>35000</v>
      </c>
      <c r="AN270" s="19">
        <v>30000</v>
      </c>
      <c r="AO270" s="19"/>
      <c r="AP270" s="19"/>
      <c r="AQ270" s="19"/>
      <c r="AR270" s="19">
        <f t="shared" si="62"/>
        <v>65000</v>
      </c>
      <c r="AS270" s="17">
        <f t="shared" si="63"/>
        <v>-65000</v>
      </c>
      <c r="AT270" s="17">
        <f t="shared" si="64"/>
        <v>-65000</v>
      </c>
      <c r="AU270" s="17">
        <f t="shared" si="65"/>
        <v>0</v>
      </c>
      <c r="AV270" s="17">
        <f t="shared" si="59"/>
        <v>-32500</v>
      </c>
      <c r="AW270" s="17">
        <f t="shared" si="60"/>
        <v>-29250</v>
      </c>
      <c r="AX270" s="18">
        <v>50000</v>
      </c>
      <c r="AY270" s="18"/>
      <c r="AZ270" s="17">
        <f t="shared" si="56"/>
        <v>-79250</v>
      </c>
      <c r="BA270" s="16"/>
      <c r="BB270" s="15"/>
      <c r="BC270" s="15"/>
    </row>
    <row r="271" spans="1:55" s="6" customFormat="1" ht="16.899999999999999">
      <c r="A271" s="36">
        <v>270</v>
      </c>
      <c r="B271" s="35"/>
      <c r="C271" s="33"/>
      <c r="D271" s="33"/>
      <c r="E271" s="33"/>
      <c r="F271" s="33"/>
      <c r="G271" s="33"/>
      <c r="H271" s="33"/>
      <c r="I271" s="33"/>
      <c r="J271" s="33"/>
      <c r="K271" s="35"/>
      <c r="L271" s="34"/>
      <c r="M271" s="32"/>
      <c r="N271" s="32"/>
      <c r="O271" s="31">
        <f t="shared" si="57"/>
        <v>0</v>
      </c>
      <c r="P271" s="30"/>
      <c r="Q271" s="30"/>
      <c r="R271" s="30"/>
      <c r="S271" s="30"/>
      <c r="T271" s="29"/>
      <c r="U271" s="20"/>
      <c r="V271" s="28"/>
      <c r="W271" s="20"/>
      <c r="X271" s="27"/>
      <c r="Y271" s="26"/>
      <c r="Z271" s="25">
        <f t="shared" si="66"/>
        <v>0</v>
      </c>
      <c r="AA271" s="20">
        <f t="shared" si="61"/>
        <v>0</v>
      </c>
      <c r="AB271" s="24">
        <f t="shared" si="58"/>
        <v>0</v>
      </c>
      <c r="AC271" s="37"/>
      <c r="AD271" s="37"/>
      <c r="AE271" s="22"/>
      <c r="AF271" s="20"/>
      <c r="AG271" s="21"/>
      <c r="AH271" s="20"/>
      <c r="AI271" s="21"/>
      <c r="AJ271" s="20"/>
      <c r="AK271" s="20"/>
      <c r="AL271" s="20"/>
      <c r="AM271" s="19">
        <v>35000</v>
      </c>
      <c r="AN271" s="19">
        <v>30000</v>
      </c>
      <c r="AO271" s="19"/>
      <c r="AP271" s="19"/>
      <c r="AQ271" s="19"/>
      <c r="AR271" s="19">
        <f t="shared" si="62"/>
        <v>65000</v>
      </c>
      <c r="AS271" s="17">
        <f t="shared" si="63"/>
        <v>-65000</v>
      </c>
      <c r="AT271" s="17">
        <f t="shared" si="64"/>
        <v>-65000</v>
      </c>
      <c r="AU271" s="17">
        <f t="shared" si="65"/>
        <v>0</v>
      </c>
      <c r="AV271" s="17">
        <f t="shared" si="59"/>
        <v>-32500</v>
      </c>
      <c r="AW271" s="17">
        <f t="shared" si="60"/>
        <v>-29250</v>
      </c>
      <c r="AX271" s="18">
        <v>50000</v>
      </c>
      <c r="AY271" s="18"/>
      <c r="AZ271" s="17">
        <f t="shared" si="56"/>
        <v>-79250</v>
      </c>
      <c r="BA271" s="16"/>
      <c r="BB271" s="15"/>
      <c r="BC271" s="15"/>
    </row>
    <row r="272" spans="1:55" s="6" customFormat="1" ht="16.899999999999999">
      <c r="A272" s="36">
        <v>271</v>
      </c>
      <c r="B272" s="35"/>
      <c r="C272" s="33"/>
      <c r="D272" s="33"/>
      <c r="E272" s="33"/>
      <c r="F272" s="33"/>
      <c r="G272" s="33"/>
      <c r="H272" s="33"/>
      <c r="I272" s="33"/>
      <c r="J272" s="33"/>
      <c r="K272" s="35"/>
      <c r="L272" s="34"/>
      <c r="M272" s="32"/>
      <c r="N272" s="32"/>
      <c r="O272" s="31">
        <f t="shared" si="57"/>
        <v>0</v>
      </c>
      <c r="P272" s="30"/>
      <c r="Q272" s="30"/>
      <c r="R272" s="30"/>
      <c r="S272" s="30"/>
      <c r="T272" s="29"/>
      <c r="U272" s="20"/>
      <c r="V272" s="28"/>
      <c r="W272" s="20"/>
      <c r="X272" s="27"/>
      <c r="Y272" s="26"/>
      <c r="Z272" s="25">
        <f t="shared" si="66"/>
        <v>0</v>
      </c>
      <c r="AA272" s="20">
        <f t="shared" si="61"/>
        <v>0</v>
      </c>
      <c r="AB272" s="24">
        <f t="shared" si="58"/>
        <v>0</v>
      </c>
      <c r="AC272" s="37"/>
      <c r="AD272" s="37"/>
      <c r="AE272" s="22"/>
      <c r="AF272" s="20"/>
      <c r="AG272" s="21"/>
      <c r="AH272" s="20"/>
      <c r="AI272" s="21"/>
      <c r="AJ272" s="20"/>
      <c r="AK272" s="20"/>
      <c r="AL272" s="20"/>
      <c r="AM272" s="19">
        <v>35000</v>
      </c>
      <c r="AN272" s="19">
        <v>30000</v>
      </c>
      <c r="AO272" s="19"/>
      <c r="AP272" s="19"/>
      <c r="AQ272" s="19"/>
      <c r="AR272" s="19">
        <f t="shared" si="62"/>
        <v>65000</v>
      </c>
      <c r="AS272" s="17">
        <f t="shared" si="63"/>
        <v>-65000</v>
      </c>
      <c r="AT272" s="17">
        <f t="shared" si="64"/>
        <v>-65000</v>
      </c>
      <c r="AU272" s="17">
        <f t="shared" si="65"/>
        <v>0</v>
      </c>
      <c r="AV272" s="17">
        <f t="shared" si="59"/>
        <v>-32500</v>
      </c>
      <c r="AW272" s="17">
        <f t="shared" si="60"/>
        <v>-29250</v>
      </c>
      <c r="AX272" s="18">
        <v>50000</v>
      </c>
      <c r="AY272" s="18"/>
      <c r="AZ272" s="17">
        <f t="shared" si="56"/>
        <v>-79250</v>
      </c>
      <c r="BA272" s="16"/>
      <c r="BB272" s="15"/>
      <c r="BC272" s="15"/>
    </row>
    <row r="273" spans="1:55" s="6" customFormat="1" ht="16.899999999999999">
      <c r="A273" s="36">
        <v>272</v>
      </c>
      <c r="B273" s="35"/>
      <c r="C273" s="33"/>
      <c r="D273" s="33"/>
      <c r="E273" s="33"/>
      <c r="F273" s="33"/>
      <c r="G273" s="33"/>
      <c r="H273" s="33"/>
      <c r="I273" s="33"/>
      <c r="J273" s="33"/>
      <c r="K273" s="35"/>
      <c r="L273" s="34"/>
      <c r="M273" s="32"/>
      <c r="N273" s="32"/>
      <c r="O273" s="31">
        <f t="shared" si="57"/>
        <v>0</v>
      </c>
      <c r="P273" s="30"/>
      <c r="Q273" s="30"/>
      <c r="R273" s="30"/>
      <c r="S273" s="30"/>
      <c r="T273" s="29"/>
      <c r="U273" s="20"/>
      <c r="V273" s="28"/>
      <c r="W273" s="20"/>
      <c r="X273" s="27"/>
      <c r="Y273" s="26"/>
      <c r="Z273" s="25">
        <f t="shared" si="66"/>
        <v>0</v>
      </c>
      <c r="AA273" s="20">
        <f t="shared" si="61"/>
        <v>0</v>
      </c>
      <c r="AB273" s="24">
        <f t="shared" si="58"/>
        <v>0</v>
      </c>
      <c r="AC273" s="37"/>
      <c r="AD273" s="37"/>
      <c r="AE273" s="22"/>
      <c r="AF273" s="20"/>
      <c r="AG273" s="21"/>
      <c r="AH273" s="20"/>
      <c r="AI273" s="21"/>
      <c r="AJ273" s="20"/>
      <c r="AK273" s="20"/>
      <c r="AL273" s="20"/>
      <c r="AM273" s="19">
        <v>35000</v>
      </c>
      <c r="AN273" s="19">
        <v>30000</v>
      </c>
      <c r="AO273" s="19"/>
      <c r="AP273" s="19"/>
      <c r="AQ273" s="19"/>
      <c r="AR273" s="19">
        <f t="shared" si="62"/>
        <v>65000</v>
      </c>
      <c r="AS273" s="17">
        <f t="shared" si="63"/>
        <v>-65000</v>
      </c>
      <c r="AT273" s="17">
        <f t="shared" si="64"/>
        <v>-65000</v>
      </c>
      <c r="AU273" s="17">
        <f t="shared" si="65"/>
        <v>0</v>
      </c>
      <c r="AV273" s="17">
        <f t="shared" si="59"/>
        <v>-32500</v>
      </c>
      <c r="AW273" s="17">
        <f t="shared" si="60"/>
        <v>-29250</v>
      </c>
      <c r="AX273" s="18">
        <v>50000</v>
      </c>
      <c r="AY273" s="18"/>
      <c r="AZ273" s="17">
        <f t="shared" si="56"/>
        <v>-79250</v>
      </c>
      <c r="BA273" s="16"/>
      <c r="BB273" s="15"/>
      <c r="BC273" s="15"/>
    </row>
    <row r="274" spans="1:55" s="6" customFormat="1" ht="16.899999999999999">
      <c r="A274" s="36">
        <v>273</v>
      </c>
      <c r="B274" s="35"/>
      <c r="C274" s="33"/>
      <c r="D274" s="33"/>
      <c r="E274" s="33"/>
      <c r="F274" s="33"/>
      <c r="G274" s="33"/>
      <c r="H274" s="33"/>
      <c r="I274" s="33"/>
      <c r="J274" s="33"/>
      <c r="K274" s="35"/>
      <c r="L274" s="34"/>
      <c r="M274" s="32"/>
      <c r="N274" s="32"/>
      <c r="O274" s="31">
        <f t="shared" si="57"/>
        <v>0</v>
      </c>
      <c r="P274" s="30"/>
      <c r="Q274" s="30"/>
      <c r="R274" s="30"/>
      <c r="S274" s="30"/>
      <c r="T274" s="29"/>
      <c r="U274" s="20"/>
      <c r="V274" s="28"/>
      <c r="W274" s="20"/>
      <c r="X274" s="27"/>
      <c r="Y274" s="26"/>
      <c r="Z274" s="25">
        <f t="shared" si="66"/>
        <v>0</v>
      </c>
      <c r="AA274" s="20">
        <f t="shared" si="61"/>
        <v>0</v>
      </c>
      <c r="AB274" s="24">
        <f t="shared" si="58"/>
        <v>0</v>
      </c>
      <c r="AC274" s="37"/>
      <c r="AD274" s="37"/>
      <c r="AE274" s="22"/>
      <c r="AF274" s="20"/>
      <c r="AG274" s="21"/>
      <c r="AH274" s="20"/>
      <c r="AI274" s="21"/>
      <c r="AJ274" s="20"/>
      <c r="AK274" s="20"/>
      <c r="AL274" s="20"/>
      <c r="AM274" s="19">
        <v>35000</v>
      </c>
      <c r="AN274" s="19">
        <v>30000</v>
      </c>
      <c r="AO274" s="19"/>
      <c r="AP274" s="19"/>
      <c r="AQ274" s="19"/>
      <c r="AR274" s="19">
        <f t="shared" si="62"/>
        <v>65000</v>
      </c>
      <c r="AS274" s="17">
        <f t="shared" si="63"/>
        <v>-65000</v>
      </c>
      <c r="AT274" s="17">
        <f t="shared" si="64"/>
        <v>-65000</v>
      </c>
      <c r="AU274" s="17">
        <f t="shared" si="65"/>
        <v>0</v>
      </c>
      <c r="AV274" s="17">
        <f t="shared" si="59"/>
        <v>-32500</v>
      </c>
      <c r="AW274" s="17">
        <f t="shared" si="60"/>
        <v>-29250</v>
      </c>
      <c r="AX274" s="18">
        <v>50000</v>
      </c>
      <c r="AY274" s="18"/>
      <c r="AZ274" s="17">
        <f t="shared" si="56"/>
        <v>-79250</v>
      </c>
      <c r="BA274" s="16"/>
      <c r="BB274" s="15"/>
      <c r="BC274" s="15"/>
    </row>
    <row r="275" spans="1:55" s="6" customFormat="1" ht="16.899999999999999">
      <c r="A275" s="36">
        <v>274</v>
      </c>
      <c r="B275" s="35"/>
      <c r="C275" s="33"/>
      <c r="D275" s="33"/>
      <c r="E275" s="33"/>
      <c r="F275" s="33"/>
      <c r="G275" s="33"/>
      <c r="H275" s="33"/>
      <c r="I275" s="33"/>
      <c r="J275" s="33"/>
      <c r="K275" s="35"/>
      <c r="L275" s="34"/>
      <c r="M275" s="32"/>
      <c r="N275" s="32"/>
      <c r="O275" s="31">
        <f t="shared" si="57"/>
        <v>0</v>
      </c>
      <c r="P275" s="30"/>
      <c r="Q275" s="30"/>
      <c r="R275" s="30"/>
      <c r="S275" s="30"/>
      <c r="T275" s="29"/>
      <c r="U275" s="20"/>
      <c r="V275" s="28"/>
      <c r="W275" s="20"/>
      <c r="X275" s="27"/>
      <c r="Y275" s="26"/>
      <c r="Z275" s="25">
        <f t="shared" si="66"/>
        <v>0</v>
      </c>
      <c r="AA275" s="20">
        <f t="shared" si="61"/>
        <v>0</v>
      </c>
      <c r="AB275" s="24">
        <f t="shared" si="58"/>
        <v>0</v>
      </c>
      <c r="AC275" s="37"/>
      <c r="AD275" s="37"/>
      <c r="AE275" s="22"/>
      <c r="AF275" s="20"/>
      <c r="AG275" s="21"/>
      <c r="AH275" s="20"/>
      <c r="AI275" s="21"/>
      <c r="AJ275" s="20"/>
      <c r="AK275" s="20"/>
      <c r="AL275" s="20"/>
      <c r="AM275" s="19">
        <v>35000</v>
      </c>
      <c r="AN275" s="19">
        <v>30000</v>
      </c>
      <c r="AO275" s="19"/>
      <c r="AP275" s="19"/>
      <c r="AQ275" s="19"/>
      <c r="AR275" s="19">
        <f t="shared" si="62"/>
        <v>65000</v>
      </c>
      <c r="AS275" s="17">
        <f t="shared" si="63"/>
        <v>-65000</v>
      </c>
      <c r="AT275" s="17">
        <f t="shared" si="64"/>
        <v>-65000</v>
      </c>
      <c r="AU275" s="17">
        <f t="shared" si="65"/>
        <v>0</v>
      </c>
      <c r="AV275" s="17">
        <f t="shared" si="59"/>
        <v>-32500</v>
      </c>
      <c r="AW275" s="17">
        <f t="shared" si="60"/>
        <v>-29250</v>
      </c>
      <c r="AX275" s="18">
        <v>50000</v>
      </c>
      <c r="AY275" s="18"/>
      <c r="AZ275" s="17">
        <f t="shared" si="56"/>
        <v>-79250</v>
      </c>
      <c r="BA275" s="16"/>
      <c r="BB275" s="15"/>
      <c r="BC275" s="15"/>
    </row>
    <row r="276" spans="1:55" s="6" customFormat="1" ht="16.899999999999999">
      <c r="A276" s="36">
        <v>275</v>
      </c>
      <c r="B276" s="35"/>
      <c r="C276" s="33"/>
      <c r="D276" s="33"/>
      <c r="E276" s="33"/>
      <c r="F276" s="33"/>
      <c r="G276" s="33"/>
      <c r="H276" s="33"/>
      <c r="I276" s="33"/>
      <c r="J276" s="33"/>
      <c r="K276" s="35"/>
      <c r="L276" s="34"/>
      <c r="M276" s="32"/>
      <c r="N276" s="32"/>
      <c r="O276" s="31">
        <f t="shared" si="57"/>
        <v>0</v>
      </c>
      <c r="P276" s="30"/>
      <c r="Q276" s="30"/>
      <c r="R276" s="30"/>
      <c r="S276" s="30"/>
      <c r="T276" s="29"/>
      <c r="U276" s="20"/>
      <c r="V276" s="28"/>
      <c r="W276" s="20"/>
      <c r="X276" s="27"/>
      <c r="Y276" s="26"/>
      <c r="Z276" s="25">
        <f t="shared" si="66"/>
        <v>0</v>
      </c>
      <c r="AA276" s="20">
        <f t="shared" si="61"/>
        <v>0</v>
      </c>
      <c r="AB276" s="24">
        <f t="shared" si="58"/>
        <v>0</v>
      </c>
      <c r="AC276" s="37"/>
      <c r="AD276" s="37"/>
      <c r="AE276" s="22"/>
      <c r="AF276" s="20"/>
      <c r="AG276" s="21"/>
      <c r="AH276" s="20"/>
      <c r="AI276" s="21"/>
      <c r="AJ276" s="20"/>
      <c r="AK276" s="20"/>
      <c r="AL276" s="20"/>
      <c r="AM276" s="19">
        <v>35000</v>
      </c>
      <c r="AN276" s="19">
        <v>30000</v>
      </c>
      <c r="AO276" s="19"/>
      <c r="AP276" s="19"/>
      <c r="AQ276" s="19"/>
      <c r="AR276" s="19">
        <f t="shared" si="62"/>
        <v>65000</v>
      </c>
      <c r="AS276" s="17">
        <f t="shared" si="63"/>
        <v>-65000</v>
      </c>
      <c r="AT276" s="17">
        <f t="shared" si="64"/>
        <v>-65000</v>
      </c>
      <c r="AU276" s="17">
        <f t="shared" si="65"/>
        <v>0</v>
      </c>
      <c r="AV276" s="17">
        <f t="shared" si="59"/>
        <v>-32500</v>
      </c>
      <c r="AW276" s="17">
        <f t="shared" si="60"/>
        <v>-29250</v>
      </c>
      <c r="AX276" s="18">
        <v>50000</v>
      </c>
      <c r="AY276" s="18"/>
      <c r="AZ276" s="17">
        <f t="shared" si="56"/>
        <v>-79250</v>
      </c>
      <c r="BA276" s="16"/>
      <c r="BB276" s="15"/>
      <c r="BC276" s="15"/>
    </row>
    <row r="277" spans="1:55" ht="16.899999999999999">
      <c r="A277" s="36">
        <v>276</v>
      </c>
      <c r="B277" s="35"/>
      <c r="C277" s="33"/>
      <c r="D277" s="33"/>
      <c r="E277" s="33"/>
      <c r="F277" s="33"/>
      <c r="G277" s="33"/>
      <c r="H277" s="33"/>
      <c r="I277" s="33"/>
      <c r="J277" s="33"/>
      <c r="K277" s="35" t="s">
        <v>27</v>
      </c>
      <c r="L277" s="34"/>
      <c r="M277" s="32"/>
      <c r="N277" s="32"/>
      <c r="O277" s="31">
        <f t="shared" si="57"/>
        <v>0</v>
      </c>
      <c r="P277" s="30"/>
      <c r="Q277" s="30"/>
      <c r="R277" s="30"/>
      <c r="S277" s="30"/>
      <c r="T277" s="29"/>
      <c r="U277" s="20"/>
      <c r="V277" s="28"/>
      <c r="W277" s="20"/>
      <c r="X277" s="27"/>
      <c r="Y277" s="26"/>
      <c r="Z277" s="25">
        <f t="shared" si="66"/>
        <v>0</v>
      </c>
      <c r="AA277" s="20">
        <f t="shared" si="61"/>
        <v>0</v>
      </c>
      <c r="AB277" s="24">
        <f t="shared" si="58"/>
        <v>0</v>
      </c>
      <c r="AC277" s="37"/>
      <c r="AD277" s="37"/>
      <c r="AE277" s="22"/>
      <c r="AF277" s="20"/>
      <c r="AG277" s="21"/>
      <c r="AH277" s="20"/>
      <c r="AI277" s="21"/>
      <c r="AJ277" s="20"/>
      <c r="AK277" s="20"/>
      <c r="AL277" s="20"/>
      <c r="AM277" s="19">
        <v>35000</v>
      </c>
      <c r="AN277" s="19">
        <v>30000</v>
      </c>
      <c r="AO277" s="19"/>
      <c r="AP277" s="19"/>
      <c r="AQ277" s="19"/>
      <c r="AR277" s="19">
        <f t="shared" si="62"/>
        <v>65000</v>
      </c>
      <c r="AS277" s="17">
        <f t="shared" si="63"/>
        <v>-65000</v>
      </c>
      <c r="AT277" s="17">
        <f t="shared" si="64"/>
        <v>-65000</v>
      </c>
      <c r="AU277" s="17">
        <f t="shared" si="65"/>
        <v>0</v>
      </c>
      <c r="AV277" s="17">
        <f t="shared" si="59"/>
        <v>-32500</v>
      </c>
      <c r="AW277" s="17">
        <f t="shared" si="60"/>
        <v>-29250</v>
      </c>
      <c r="AX277" s="18">
        <v>50000</v>
      </c>
      <c r="AY277" s="18"/>
      <c r="AZ277" s="17">
        <f t="shared" si="56"/>
        <v>-79250</v>
      </c>
      <c r="BA277" s="16"/>
      <c r="BB277" s="16"/>
      <c r="BC277" s="16"/>
    </row>
    <row r="278" spans="1:55" ht="16.899999999999999">
      <c r="A278" s="36">
        <v>277</v>
      </c>
      <c r="B278" s="35"/>
      <c r="C278" s="33"/>
      <c r="D278" s="33"/>
      <c r="E278" s="33"/>
      <c r="F278" s="33"/>
      <c r="G278" s="33"/>
      <c r="H278" s="33"/>
      <c r="I278" s="33"/>
      <c r="J278" s="33"/>
      <c r="K278" s="35"/>
      <c r="L278" s="34"/>
      <c r="M278" s="32"/>
      <c r="N278" s="32"/>
      <c r="O278" s="31">
        <f t="shared" si="57"/>
        <v>0</v>
      </c>
      <c r="P278" s="30"/>
      <c r="Q278" s="30"/>
      <c r="R278" s="30"/>
      <c r="S278" s="30"/>
      <c r="T278" s="29"/>
      <c r="U278" s="20"/>
      <c r="V278" s="28"/>
      <c r="W278" s="20"/>
      <c r="X278" s="27"/>
      <c r="Y278" s="26"/>
      <c r="Z278" s="25">
        <f t="shared" si="66"/>
        <v>0</v>
      </c>
      <c r="AA278" s="20">
        <f t="shared" si="61"/>
        <v>0</v>
      </c>
      <c r="AB278" s="24">
        <f t="shared" si="58"/>
        <v>0</v>
      </c>
      <c r="AC278" s="37"/>
      <c r="AD278" s="37"/>
      <c r="AE278" s="22"/>
      <c r="AF278" s="20"/>
      <c r="AG278" s="21"/>
      <c r="AH278" s="20"/>
      <c r="AI278" s="21"/>
      <c r="AJ278" s="20"/>
      <c r="AK278" s="20"/>
      <c r="AL278" s="20"/>
      <c r="AM278" s="19">
        <v>35000</v>
      </c>
      <c r="AN278" s="19">
        <v>30000</v>
      </c>
      <c r="AO278" s="19"/>
      <c r="AP278" s="19"/>
      <c r="AQ278" s="19"/>
      <c r="AR278" s="19">
        <f t="shared" si="62"/>
        <v>65000</v>
      </c>
      <c r="AS278" s="17">
        <f t="shared" si="63"/>
        <v>-65000</v>
      </c>
      <c r="AT278" s="17">
        <f t="shared" si="64"/>
        <v>-65000</v>
      </c>
      <c r="AU278" s="17">
        <f t="shared" si="65"/>
        <v>0</v>
      </c>
      <c r="AV278" s="17">
        <f t="shared" si="59"/>
        <v>-32500</v>
      </c>
      <c r="AW278" s="17">
        <f t="shared" si="60"/>
        <v>-29250</v>
      </c>
      <c r="AX278" s="18">
        <v>50000</v>
      </c>
      <c r="AY278" s="18"/>
      <c r="AZ278" s="17">
        <f t="shared" si="56"/>
        <v>-79250</v>
      </c>
      <c r="BA278" s="16"/>
      <c r="BB278" s="16"/>
      <c r="BC278" s="16"/>
    </row>
    <row r="279" spans="1:55" ht="16.899999999999999">
      <c r="A279" s="36">
        <v>278</v>
      </c>
      <c r="B279" s="35"/>
      <c r="C279" s="33"/>
      <c r="D279" s="33"/>
      <c r="E279" s="33"/>
      <c r="F279" s="33"/>
      <c r="G279" s="33"/>
      <c r="H279" s="33"/>
      <c r="I279" s="33"/>
      <c r="J279" s="33"/>
      <c r="K279" s="35"/>
      <c r="L279" s="34"/>
      <c r="M279" s="32"/>
      <c r="N279" s="32"/>
      <c r="O279" s="31">
        <f t="shared" si="57"/>
        <v>0</v>
      </c>
      <c r="P279" s="30"/>
      <c r="Q279" s="30"/>
      <c r="R279" s="30"/>
      <c r="S279" s="30"/>
      <c r="T279" s="29"/>
      <c r="U279" s="20"/>
      <c r="V279" s="28"/>
      <c r="W279" s="20"/>
      <c r="X279" s="27"/>
      <c r="Y279" s="26"/>
      <c r="Z279" s="25">
        <f t="shared" si="66"/>
        <v>0</v>
      </c>
      <c r="AA279" s="20">
        <f t="shared" si="61"/>
        <v>0</v>
      </c>
      <c r="AB279" s="24">
        <f t="shared" si="58"/>
        <v>0</v>
      </c>
      <c r="AC279" s="37"/>
      <c r="AD279" s="37"/>
      <c r="AE279" s="22"/>
      <c r="AF279" s="20"/>
      <c r="AG279" s="21"/>
      <c r="AH279" s="20"/>
      <c r="AI279" s="21"/>
      <c r="AJ279" s="20"/>
      <c r="AK279" s="20"/>
      <c r="AL279" s="20"/>
      <c r="AM279" s="19">
        <v>35000</v>
      </c>
      <c r="AN279" s="19">
        <v>30000</v>
      </c>
      <c r="AO279" s="19"/>
      <c r="AP279" s="19"/>
      <c r="AQ279" s="19"/>
      <c r="AR279" s="19">
        <f t="shared" si="62"/>
        <v>65000</v>
      </c>
      <c r="AS279" s="17">
        <f t="shared" si="63"/>
        <v>-65000</v>
      </c>
      <c r="AT279" s="17">
        <f t="shared" si="64"/>
        <v>-65000</v>
      </c>
      <c r="AU279" s="17">
        <f t="shared" si="65"/>
        <v>0</v>
      </c>
      <c r="AV279" s="17">
        <f t="shared" si="59"/>
        <v>-32500</v>
      </c>
      <c r="AW279" s="17">
        <f t="shared" si="60"/>
        <v>-29250</v>
      </c>
      <c r="AX279" s="18">
        <v>50000</v>
      </c>
      <c r="AY279" s="18"/>
      <c r="AZ279" s="17">
        <f t="shared" si="56"/>
        <v>-79250</v>
      </c>
      <c r="BA279" s="16"/>
      <c r="BB279" s="16"/>
      <c r="BC279" s="16"/>
    </row>
    <row r="280" spans="1:55" ht="16.899999999999999">
      <c r="A280" s="36">
        <v>279</v>
      </c>
      <c r="B280" s="35"/>
      <c r="C280" s="33"/>
      <c r="D280" s="33"/>
      <c r="E280" s="33"/>
      <c r="F280" s="33"/>
      <c r="G280" s="33"/>
      <c r="H280" s="33"/>
      <c r="I280" s="33"/>
      <c r="J280" s="33"/>
      <c r="K280" s="35"/>
      <c r="L280" s="34"/>
      <c r="M280" s="32"/>
      <c r="N280" s="32"/>
      <c r="O280" s="31">
        <f t="shared" si="57"/>
        <v>0</v>
      </c>
      <c r="P280" s="30"/>
      <c r="Q280" s="30"/>
      <c r="R280" s="30"/>
      <c r="S280" s="30"/>
      <c r="T280" s="29"/>
      <c r="U280" s="20"/>
      <c r="V280" s="28"/>
      <c r="W280" s="20"/>
      <c r="X280" s="27"/>
      <c r="Y280" s="26"/>
      <c r="Z280" s="25">
        <f t="shared" si="66"/>
        <v>0</v>
      </c>
      <c r="AA280" s="20">
        <f t="shared" si="61"/>
        <v>0</v>
      </c>
      <c r="AB280" s="24">
        <f t="shared" si="58"/>
        <v>0</v>
      </c>
      <c r="AC280" s="37"/>
      <c r="AD280" s="37"/>
      <c r="AE280" s="22"/>
      <c r="AF280" s="20"/>
      <c r="AG280" s="21"/>
      <c r="AH280" s="20"/>
      <c r="AI280" s="21"/>
      <c r="AJ280" s="20"/>
      <c r="AK280" s="20"/>
      <c r="AL280" s="20"/>
      <c r="AM280" s="19">
        <v>35000</v>
      </c>
      <c r="AN280" s="19">
        <v>30000</v>
      </c>
      <c r="AO280" s="19"/>
      <c r="AP280" s="19"/>
      <c r="AQ280" s="19"/>
      <c r="AR280" s="19">
        <f t="shared" si="62"/>
        <v>65000</v>
      </c>
      <c r="AS280" s="17">
        <f t="shared" si="63"/>
        <v>-65000</v>
      </c>
      <c r="AT280" s="17">
        <f t="shared" si="64"/>
        <v>-65000</v>
      </c>
      <c r="AU280" s="17">
        <f t="shared" si="65"/>
        <v>0</v>
      </c>
      <c r="AV280" s="17">
        <f t="shared" si="59"/>
        <v>-32500</v>
      </c>
      <c r="AW280" s="17">
        <f t="shared" si="60"/>
        <v>-29250</v>
      </c>
      <c r="AX280" s="18">
        <v>50000</v>
      </c>
      <c r="AY280" s="18"/>
      <c r="AZ280" s="17">
        <f t="shared" si="56"/>
        <v>-79250</v>
      </c>
      <c r="BA280" s="16"/>
      <c r="BB280" s="16"/>
      <c r="BC280" s="16"/>
    </row>
    <row r="281" spans="1:55" ht="16.899999999999999">
      <c r="A281" s="36">
        <v>280</v>
      </c>
      <c r="B281" s="35"/>
      <c r="C281" s="33"/>
      <c r="D281" s="33"/>
      <c r="E281" s="33"/>
      <c r="F281" s="33"/>
      <c r="G281" s="33"/>
      <c r="H281" s="33"/>
      <c r="I281" s="33"/>
      <c r="J281" s="33"/>
      <c r="K281" s="35"/>
      <c r="L281" s="34"/>
      <c r="M281" s="32"/>
      <c r="N281" s="32"/>
      <c r="O281" s="31">
        <f t="shared" si="57"/>
        <v>0</v>
      </c>
      <c r="P281" s="30"/>
      <c r="Q281" s="30"/>
      <c r="R281" s="30"/>
      <c r="S281" s="30"/>
      <c r="T281" s="29"/>
      <c r="U281" s="20"/>
      <c r="V281" s="28"/>
      <c r="W281" s="20"/>
      <c r="X281" s="27"/>
      <c r="Y281" s="26"/>
      <c r="Z281" s="25">
        <f t="shared" si="66"/>
        <v>0</v>
      </c>
      <c r="AA281" s="20">
        <f t="shared" si="61"/>
        <v>0</v>
      </c>
      <c r="AB281" s="24">
        <f t="shared" si="58"/>
        <v>0</v>
      </c>
      <c r="AC281" s="37"/>
      <c r="AD281" s="37"/>
      <c r="AE281" s="22"/>
      <c r="AF281" s="20"/>
      <c r="AG281" s="21"/>
      <c r="AH281" s="20"/>
      <c r="AI281" s="21"/>
      <c r="AJ281" s="20"/>
      <c r="AK281" s="20"/>
      <c r="AL281" s="20"/>
      <c r="AM281" s="19">
        <v>35000</v>
      </c>
      <c r="AN281" s="19">
        <v>30000</v>
      </c>
      <c r="AO281" s="19"/>
      <c r="AP281" s="19"/>
      <c r="AQ281" s="19"/>
      <c r="AR281" s="19">
        <f t="shared" si="62"/>
        <v>65000</v>
      </c>
      <c r="AS281" s="17">
        <f t="shared" si="63"/>
        <v>-65000</v>
      </c>
      <c r="AT281" s="17">
        <f t="shared" si="64"/>
        <v>-65000</v>
      </c>
      <c r="AU281" s="17">
        <f t="shared" si="65"/>
        <v>0</v>
      </c>
      <c r="AV281" s="17">
        <f t="shared" si="59"/>
        <v>-32500</v>
      </c>
      <c r="AW281" s="17">
        <f t="shared" si="60"/>
        <v>-29250</v>
      </c>
      <c r="AX281" s="18">
        <v>50000</v>
      </c>
      <c r="AY281" s="18"/>
      <c r="AZ281" s="17">
        <f t="shared" si="56"/>
        <v>-79250</v>
      </c>
      <c r="BA281" s="16"/>
      <c r="BB281" s="16"/>
      <c r="BC281" s="16"/>
    </row>
    <row r="282" spans="1:55" ht="16.899999999999999">
      <c r="A282" s="36">
        <v>281</v>
      </c>
      <c r="B282" s="35"/>
      <c r="C282" s="33"/>
      <c r="D282" s="33"/>
      <c r="E282" s="33"/>
      <c r="F282" s="33"/>
      <c r="G282" s="33"/>
      <c r="H282" s="33"/>
      <c r="I282" s="33"/>
      <c r="J282" s="33"/>
      <c r="K282" s="35"/>
      <c r="L282" s="34"/>
      <c r="M282" s="32"/>
      <c r="N282" s="32"/>
      <c r="O282" s="31">
        <f t="shared" si="57"/>
        <v>0</v>
      </c>
      <c r="P282" s="30"/>
      <c r="Q282" s="30"/>
      <c r="R282" s="30"/>
      <c r="S282" s="30"/>
      <c r="T282" s="29"/>
      <c r="U282" s="20"/>
      <c r="V282" s="28"/>
      <c r="W282" s="20"/>
      <c r="X282" s="27"/>
      <c r="Y282" s="26"/>
      <c r="Z282" s="25">
        <f t="shared" si="66"/>
        <v>0</v>
      </c>
      <c r="AA282" s="20">
        <f t="shared" si="61"/>
        <v>0</v>
      </c>
      <c r="AB282" s="24">
        <f t="shared" si="58"/>
        <v>0</v>
      </c>
      <c r="AC282" s="37"/>
      <c r="AD282" s="37"/>
      <c r="AE282" s="22"/>
      <c r="AF282" s="20"/>
      <c r="AG282" s="21"/>
      <c r="AH282" s="20"/>
      <c r="AI282" s="21"/>
      <c r="AJ282" s="20"/>
      <c r="AK282" s="20"/>
      <c r="AL282" s="20"/>
      <c r="AM282" s="19">
        <v>35000</v>
      </c>
      <c r="AN282" s="19">
        <v>30000</v>
      </c>
      <c r="AO282" s="19"/>
      <c r="AP282" s="19"/>
      <c r="AQ282" s="19"/>
      <c r="AR282" s="19">
        <f t="shared" si="62"/>
        <v>65000</v>
      </c>
      <c r="AS282" s="17">
        <f t="shared" si="63"/>
        <v>-65000</v>
      </c>
      <c r="AT282" s="17">
        <f t="shared" si="64"/>
        <v>-65000</v>
      </c>
      <c r="AU282" s="17">
        <f t="shared" si="65"/>
        <v>0</v>
      </c>
      <c r="AV282" s="17">
        <f t="shared" si="59"/>
        <v>-32500</v>
      </c>
      <c r="AW282" s="17">
        <f t="shared" si="60"/>
        <v>-29250</v>
      </c>
      <c r="AX282" s="18">
        <v>50000</v>
      </c>
      <c r="AY282" s="18"/>
      <c r="AZ282" s="17">
        <f t="shared" si="56"/>
        <v>-79250</v>
      </c>
      <c r="BA282" s="16"/>
      <c r="BB282" s="16"/>
      <c r="BC282" s="16"/>
    </row>
    <row r="283" spans="1:55" ht="16.899999999999999">
      <c r="A283" s="36">
        <v>282</v>
      </c>
      <c r="B283" s="35"/>
      <c r="C283" s="33"/>
      <c r="D283" s="33"/>
      <c r="E283" s="33"/>
      <c r="F283" s="33"/>
      <c r="G283" s="33"/>
      <c r="H283" s="33"/>
      <c r="I283" s="33"/>
      <c r="J283" s="33"/>
      <c r="K283" s="35"/>
      <c r="L283" s="34"/>
      <c r="M283" s="32"/>
      <c r="N283" s="32"/>
      <c r="O283" s="31">
        <f t="shared" si="57"/>
        <v>0</v>
      </c>
      <c r="P283" s="30"/>
      <c r="Q283" s="30"/>
      <c r="R283" s="30"/>
      <c r="S283" s="30"/>
      <c r="T283" s="29"/>
      <c r="U283" s="20"/>
      <c r="V283" s="28"/>
      <c r="W283" s="20"/>
      <c r="X283" s="27"/>
      <c r="Y283" s="26"/>
      <c r="Z283" s="25">
        <f t="shared" si="66"/>
        <v>0</v>
      </c>
      <c r="AA283" s="20">
        <f t="shared" si="61"/>
        <v>0</v>
      </c>
      <c r="AB283" s="24">
        <f t="shared" si="58"/>
        <v>0</v>
      </c>
      <c r="AC283" s="37"/>
      <c r="AD283" s="37"/>
      <c r="AE283" s="22"/>
      <c r="AF283" s="20"/>
      <c r="AG283" s="21"/>
      <c r="AH283" s="20"/>
      <c r="AI283" s="21"/>
      <c r="AJ283" s="20"/>
      <c r="AK283" s="20"/>
      <c r="AL283" s="20"/>
      <c r="AM283" s="19">
        <v>35000</v>
      </c>
      <c r="AN283" s="19">
        <v>30000</v>
      </c>
      <c r="AO283" s="19"/>
      <c r="AP283" s="19"/>
      <c r="AQ283" s="19"/>
      <c r="AR283" s="19">
        <f t="shared" si="62"/>
        <v>65000</v>
      </c>
      <c r="AS283" s="17">
        <f t="shared" si="63"/>
        <v>-65000</v>
      </c>
      <c r="AT283" s="17">
        <f t="shared" si="64"/>
        <v>-65000</v>
      </c>
      <c r="AU283" s="17">
        <f t="shared" si="65"/>
        <v>0</v>
      </c>
      <c r="AV283" s="17">
        <f t="shared" si="59"/>
        <v>-32500</v>
      </c>
      <c r="AW283" s="17">
        <f t="shared" si="60"/>
        <v>-29250</v>
      </c>
      <c r="AX283" s="18">
        <v>50000</v>
      </c>
      <c r="AY283" s="18"/>
      <c r="AZ283" s="17">
        <f t="shared" si="56"/>
        <v>-79250</v>
      </c>
      <c r="BA283" s="16"/>
      <c r="BB283" s="16"/>
      <c r="BC283" s="16"/>
    </row>
    <row r="284" spans="1:55" ht="16.899999999999999">
      <c r="A284" s="36">
        <v>283</v>
      </c>
      <c r="B284" s="35"/>
      <c r="C284" s="33"/>
      <c r="D284" s="33"/>
      <c r="E284" s="33"/>
      <c r="F284" s="33"/>
      <c r="G284" s="33"/>
      <c r="H284" s="33"/>
      <c r="I284" s="33"/>
      <c r="J284" s="33"/>
      <c r="K284" s="35"/>
      <c r="L284" s="34"/>
      <c r="M284" s="32"/>
      <c r="N284" s="32"/>
      <c r="O284" s="31">
        <f t="shared" si="57"/>
        <v>0</v>
      </c>
      <c r="P284" s="30"/>
      <c r="Q284" s="30"/>
      <c r="R284" s="30"/>
      <c r="S284" s="30"/>
      <c r="T284" s="29"/>
      <c r="U284" s="20"/>
      <c r="V284" s="28"/>
      <c r="W284" s="20"/>
      <c r="X284" s="27"/>
      <c r="Y284" s="26"/>
      <c r="Z284" s="25">
        <f t="shared" si="66"/>
        <v>0</v>
      </c>
      <c r="AA284" s="20">
        <f t="shared" si="61"/>
        <v>0</v>
      </c>
      <c r="AB284" s="24">
        <f t="shared" si="58"/>
        <v>0</v>
      </c>
      <c r="AC284" s="37"/>
      <c r="AD284" s="37"/>
      <c r="AE284" s="22"/>
      <c r="AF284" s="20"/>
      <c r="AG284" s="21"/>
      <c r="AH284" s="20"/>
      <c r="AI284" s="21"/>
      <c r="AJ284" s="20"/>
      <c r="AK284" s="20"/>
      <c r="AL284" s="20"/>
      <c r="AM284" s="19">
        <v>35000</v>
      </c>
      <c r="AN284" s="19">
        <v>30000</v>
      </c>
      <c r="AO284" s="19"/>
      <c r="AP284" s="19"/>
      <c r="AQ284" s="19"/>
      <c r="AR284" s="19">
        <f t="shared" si="62"/>
        <v>65000</v>
      </c>
      <c r="AS284" s="17">
        <f t="shared" si="63"/>
        <v>-65000</v>
      </c>
      <c r="AT284" s="17">
        <f t="shared" si="64"/>
        <v>-65000</v>
      </c>
      <c r="AU284" s="17">
        <f t="shared" si="65"/>
        <v>0</v>
      </c>
      <c r="AV284" s="17">
        <f t="shared" si="59"/>
        <v>-32500</v>
      </c>
      <c r="AW284" s="17">
        <f t="shared" si="60"/>
        <v>-29250</v>
      </c>
      <c r="AX284" s="18">
        <v>50000</v>
      </c>
      <c r="AY284" s="18"/>
      <c r="AZ284" s="17">
        <f t="shared" si="56"/>
        <v>-79250</v>
      </c>
      <c r="BA284" s="16"/>
      <c r="BB284" s="16"/>
      <c r="BC284" s="16"/>
    </row>
    <row r="285" spans="1:55" ht="16.899999999999999">
      <c r="A285" s="36">
        <v>284</v>
      </c>
      <c r="B285" s="35"/>
      <c r="C285" s="33"/>
      <c r="D285" s="33"/>
      <c r="E285" s="33"/>
      <c r="F285" s="33"/>
      <c r="G285" s="33"/>
      <c r="H285" s="33"/>
      <c r="I285" s="33"/>
      <c r="J285" s="33"/>
      <c r="K285" s="35"/>
      <c r="L285" s="34"/>
      <c r="M285" s="32"/>
      <c r="N285" s="32"/>
      <c r="O285" s="31">
        <f t="shared" si="57"/>
        <v>0</v>
      </c>
      <c r="P285" s="30"/>
      <c r="Q285" s="30"/>
      <c r="R285" s="30"/>
      <c r="S285" s="30"/>
      <c r="T285" s="29"/>
      <c r="U285" s="20"/>
      <c r="V285" s="28"/>
      <c r="W285" s="20"/>
      <c r="X285" s="27"/>
      <c r="Y285" s="26"/>
      <c r="Z285" s="25">
        <f t="shared" si="66"/>
        <v>0</v>
      </c>
      <c r="AA285" s="20">
        <f t="shared" si="61"/>
        <v>0</v>
      </c>
      <c r="AB285" s="24">
        <f t="shared" si="58"/>
        <v>0</v>
      </c>
      <c r="AC285" s="37"/>
      <c r="AD285" s="37"/>
      <c r="AE285" s="22"/>
      <c r="AF285" s="20"/>
      <c r="AG285" s="21"/>
      <c r="AH285" s="20"/>
      <c r="AI285" s="21"/>
      <c r="AJ285" s="20"/>
      <c r="AK285" s="20"/>
      <c r="AL285" s="20"/>
      <c r="AM285" s="19">
        <v>35000</v>
      </c>
      <c r="AN285" s="19">
        <v>30000</v>
      </c>
      <c r="AO285" s="19"/>
      <c r="AP285" s="19"/>
      <c r="AQ285" s="19"/>
      <c r="AR285" s="19">
        <f t="shared" si="62"/>
        <v>65000</v>
      </c>
      <c r="AS285" s="17">
        <f t="shared" si="63"/>
        <v>-65000</v>
      </c>
      <c r="AT285" s="17">
        <f t="shared" si="64"/>
        <v>-65000</v>
      </c>
      <c r="AU285" s="17">
        <f t="shared" si="65"/>
        <v>0</v>
      </c>
      <c r="AV285" s="17">
        <f t="shared" si="59"/>
        <v>-32500</v>
      </c>
      <c r="AW285" s="17">
        <f t="shared" si="60"/>
        <v>-29250</v>
      </c>
      <c r="AX285" s="18">
        <v>50000</v>
      </c>
      <c r="AY285" s="18"/>
      <c r="AZ285" s="17">
        <f t="shared" si="56"/>
        <v>-79250</v>
      </c>
      <c r="BA285" s="16"/>
      <c r="BB285" s="16"/>
      <c r="BC285" s="16"/>
    </row>
    <row r="286" spans="1:55" ht="16.899999999999999">
      <c r="A286" s="36">
        <v>285</v>
      </c>
      <c r="B286" s="35"/>
      <c r="C286" s="33"/>
      <c r="D286" s="33"/>
      <c r="E286" s="33"/>
      <c r="F286" s="33"/>
      <c r="G286" s="33"/>
      <c r="H286" s="33"/>
      <c r="I286" s="33"/>
      <c r="J286" s="33"/>
      <c r="K286" s="35"/>
      <c r="L286" s="34"/>
      <c r="M286" s="32"/>
      <c r="N286" s="32"/>
      <c r="O286" s="31">
        <f t="shared" si="57"/>
        <v>0</v>
      </c>
      <c r="P286" s="30"/>
      <c r="Q286" s="30"/>
      <c r="R286" s="30"/>
      <c r="S286" s="30"/>
      <c r="T286" s="29"/>
      <c r="U286" s="20"/>
      <c r="V286" s="28"/>
      <c r="W286" s="20"/>
      <c r="X286" s="27"/>
      <c r="Y286" s="26"/>
      <c r="Z286" s="25">
        <f t="shared" si="66"/>
        <v>0</v>
      </c>
      <c r="AA286" s="20">
        <f t="shared" si="61"/>
        <v>0</v>
      </c>
      <c r="AB286" s="24">
        <f t="shared" si="58"/>
        <v>0</v>
      </c>
      <c r="AC286" s="37"/>
      <c r="AD286" s="37"/>
      <c r="AE286" s="22"/>
      <c r="AF286" s="20"/>
      <c r="AG286" s="21"/>
      <c r="AH286" s="20"/>
      <c r="AI286" s="21"/>
      <c r="AJ286" s="20"/>
      <c r="AK286" s="20"/>
      <c r="AL286" s="20"/>
      <c r="AM286" s="19">
        <v>35000</v>
      </c>
      <c r="AN286" s="19">
        <v>30000</v>
      </c>
      <c r="AO286" s="19"/>
      <c r="AP286" s="19"/>
      <c r="AQ286" s="19"/>
      <c r="AR286" s="19">
        <f t="shared" si="62"/>
        <v>65000</v>
      </c>
      <c r="AS286" s="17">
        <f t="shared" si="63"/>
        <v>-65000</v>
      </c>
      <c r="AT286" s="17">
        <f t="shared" si="64"/>
        <v>-65000</v>
      </c>
      <c r="AU286" s="17">
        <f t="shared" si="65"/>
        <v>0</v>
      </c>
      <c r="AV286" s="17">
        <f t="shared" si="59"/>
        <v>-32500</v>
      </c>
      <c r="AW286" s="17">
        <f t="shared" si="60"/>
        <v>-29250</v>
      </c>
      <c r="AX286" s="18">
        <v>50000</v>
      </c>
      <c r="AY286" s="18"/>
      <c r="AZ286" s="17">
        <f t="shared" si="56"/>
        <v>-79250</v>
      </c>
      <c r="BA286" s="16"/>
      <c r="BB286" s="16"/>
      <c r="BC286" s="16"/>
    </row>
    <row r="287" spans="1:55" ht="16.899999999999999">
      <c r="A287" s="36">
        <v>286</v>
      </c>
      <c r="B287" s="35"/>
      <c r="C287" s="33"/>
      <c r="D287" s="33"/>
      <c r="E287" s="33"/>
      <c r="F287" s="33"/>
      <c r="G287" s="33"/>
      <c r="H287" s="33"/>
      <c r="I287" s="33"/>
      <c r="J287" s="33"/>
      <c r="K287" s="35"/>
      <c r="L287" s="34"/>
      <c r="M287" s="32"/>
      <c r="N287" s="32"/>
      <c r="O287" s="31">
        <f t="shared" si="57"/>
        <v>0</v>
      </c>
      <c r="P287" s="30"/>
      <c r="Q287" s="30"/>
      <c r="R287" s="30"/>
      <c r="S287" s="30"/>
      <c r="T287" s="29"/>
      <c r="U287" s="20"/>
      <c r="V287" s="28"/>
      <c r="W287" s="20"/>
      <c r="X287" s="27"/>
      <c r="Y287" s="26"/>
      <c r="Z287" s="25">
        <f t="shared" si="66"/>
        <v>0</v>
      </c>
      <c r="AA287" s="20">
        <f t="shared" si="61"/>
        <v>0</v>
      </c>
      <c r="AB287" s="24">
        <f t="shared" si="58"/>
        <v>0</v>
      </c>
      <c r="AC287" s="37"/>
      <c r="AD287" s="37"/>
      <c r="AE287" s="22"/>
      <c r="AF287" s="20"/>
      <c r="AG287" s="21"/>
      <c r="AH287" s="20"/>
      <c r="AI287" s="21"/>
      <c r="AJ287" s="20"/>
      <c r="AK287" s="20"/>
      <c r="AL287" s="20"/>
      <c r="AM287" s="19">
        <v>35000</v>
      </c>
      <c r="AN287" s="19">
        <v>30000</v>
      </c>
      <c r="AO287" s="19"/>
      <c r="AP287" s="19"/>
      <c r="AQ287" s="19"/>
      <c r="AR287" s="19">
        <f t="shared" si="62"/>
        <v>65000</v>
      </c>
      <c r="AS287" s="17">
        <f t="shared" si="63"/>
        <v>-65000</v>
      </c>
      <c r="AT287" s="17">
        <f t="shared" si="64"/>
        <v>-65000</v>
      </c>
      <c r="AU287" s="17">
        <f t="shared" si="65"/>
        <v>0</v>
      </c>
      <c r="AV287" s="17">
        <f t="shared" si="59"/>
        <v>-32500</v>
      </c>
      <c r="AW287" s="17">
        <f t="shared" si="60"/>
        <v>-29250</v>
      </c>
      <c r="AX287" s="18">
        <v>50000</v>
      </c>
      <c r="AY287" s="18"/>
      <c r="AZ287" s="17">
        <f t="shared" si="56"/>
        <v>-79250</v>
      </c>
      <c r="BA287" s="16"/>
      <c r="BB287" s="16"/>
      <c r="BC287" s="16"/>
    </row>
    <row r="288" spans="1:55" ht="16.899999999999999">
      <c r="A288" s="36">
        <v>287</v>
      </c>
      <c r="B288" s="35"/>
      <c r="C288" s="33"/>
      <c r="D288" s="33"/>
      <c r="E288" s="33"/>
      <c r="F288" s="33"/>
      <c r="G288" s="33"/>
      <c r="H288" s="33"/>
      <c r="I288" s="33"/>
      <c r="J288" s="33"/>
      <c r="K288" s="35"/>
      <c r="L288" s="34"/>
      <c r="M288" s="32"/>
      <c r="N288" s="32"/>
      <c r="O288" s="31">
        <f t="shared" si="57"/>
        <v>0</v>
      </c>
      <c r="P288" s="30"/>
      <c r="Q288" s="30"/>
      <c r="R288" s="30"/>
      <c r="S288" s="30"/>
      <c r="T288" s="29"/>
      <c r="U288" s="20"/>
      <c r="V288" s="28"/>
      <c r="W288" s="20"/>
      <c r="X288" s="27"/>
      <c r="Y288" s="26"/>
      <c r="Z288" s="25">
        <f t="shared" si="66"/>
        <v>0</v>
      </c>
      <c r="AA288" s="20">
        <f t="shared" si="61"/>
        <v>0</v>
      </c>
      <c r="AB288" s="24">
        <f t="shared" si="58"/>
        <v>0</v>
      </c>
      <c r="AC288" s="37"/>
      <c r="AD288" s="37"/>
      <c r="AE288" s="22"/>
      <c r="AF288" s="20"/>
      <c r="AG288" s="21"/>
      <c r="AH288" s="20"/>
      <c r="AI288" s="21"/>
      <c r="AJ288" s="20"/>
      <c r="AK288" s="20"/>
      <c r="AL288" s="20"/>
      <c r="AM288" s="19">
        <v>35000</v>
      </c>
      <c r="AN288" s="19">
        <v>30000</v>
      </c>
      <c r="AO288" s="19"/>
      <c r="AP288" s="19"/>
      <c r="AQ288" s="19"/>
      <c r="AR288" s="19">
        <f t="shared" si="62"/>
        <v>65000</v>
      </c>
      <c r="AS288" s="17">
        <f t="shared" si="63"/>
        <v>-65000</v>
      </c>
      <c r="AT288" s="17">
        <f t="shared" si="64"/>
        <v>-65000</v>
      </c>
      <c r="AU288" s="17">
        <f t="shared" si="65"/>
        <v>0</v>
      </c>
      <c r="AV288" s="17">
        <f t="shared" si="59"/>
        <v>-32500</v>
      </c>
      <c r="AW288" s="17">
        <f t="shared" si="60"/>
        <v>-29250</v>
      </c>
      <c r="AX288" s="18">
        <v>50000</v>
      </c>
      <c r="AY288" s="18"/>
      <c r="AZ288" s="17">
        <f t="shared" si="56"/>
        <v>-79250</v>
      </c>
      <c r="BA288" s="16"/>
      <c r="BB288" s="16"/>
      <c r="BC288" s="16"/>
    </row>
    <row r="289" spans="1:55" ht="16.899999999999999">
      <c r="A289" s="36">
        <v>288</v>
      </c>
      <c r="B289" s="35"/>
      <c r="C289" s="33"/>
      <c r="D289" s="33"/>
      <c r="E289" s="33"/>
      <c r="F289" s="33"/>
      <c r="G289" s="33"/>
      <c r="H289" s="33"/>
      <c r="I289" s="33"/>
      <c r="J289" s="33"/>
      <c r="K289" s="35"/>
      <c r="L289" s="34"/>
      <c r="M289" s="32"/>
      <c r="N289" s="32"/>
      <c r="O289" s="31">
        <f t="shared" si="57"/>
        <v>0</v>
      </c>
      <c r="P289" s="30"/>
      <c r="Q289" s="30"/>
      <c r="R289" s="30"/>
      <c r="S289" s="30"/>
      <c r="T289" s="29"/>
      <c r="U289" s="20"/>
      <c r="V289" s="28"/>
      <c r="W289" s="20"/>
      <c r="X289" s="27"/>
      <c r="Y289" s="26"/>
      <c r="Z289" s="25">
        <f t="shared" si="66"/>
        <v>0</v>
      </c>
      <c r="AA289" s="20">
        <f t="shared" si="61"/>
        <v>0</v>
      </c>
      <c r="AB289" s="24">
        <f t="shared" si="58"/>
        <v>0</v>
      </c>
      <c r="AC289" s="37"/>
      <c r="AD289" s="37"/>
      <c r="AE289" s="22"/>
      <c r="AF289" s="20"/>
      <c r="AG289" s="21"/>
      <c r="AH289" s="20"/>
      <c r="AI289" s="21"/>
      <c r="AJ289" s="20"/>
      <c r="AK289" s="20"/>
      <c r="AL289" s="20"/>
      <c r="AM289" s="19">
        <v>35000</v>
      </c>
      <c r="AN289" s="19">
        <v>30000</v>
      </c>
      <c r="AO289" s="19"/>
      <c r="AP289" s="19"/>
      <c r="AQ289" s="19"/>
      <c r="AR289" s="19">
        <f t="shared" si="62"/>
        <v>65000</v>
      </c>
      <c r="AS289" s="17">
        <f t="shared" si="63"/>
        <v>-65000</v>
      </c>
      <c r="AT289" s="17">
        <f t="shared" si="64"/>
        <v>-65000</v>
      </c>
      <c r="AU289" s="17">
        <f t="shared" si="65"/>
        <v>0</v>
      </c>
      <c r="AV289" s="17">
        <f t="shared" si="59"/>
        <v>-32500</v>
      </c>
      <c r="AW289" s="17">
        <f t="shared" si="60"/>
        <v>-29250</v>
      </c>
      <c r="AX289" s="18">
        <v>50000</v>
      </c>
      <c r="AY289" s="18"/>
      <c r="AZ289" s="17">
        <f t="shared" si="56"/>
        <v>-79250</v>
      </c>
      <c r="BA289" s="16"/>
      <c r="BB289" s="16"/>
      <c r="BC289" s="16"/>
    </row>
    <row r="290" spans="1:55" ht="16.899999999999999">
      <c r="A290" s="36">
        <v>289</v>
      </c>
      <c r="B290" s="35"/>
      <c r="C290" s="33"/>
      <c r="D290" s="33"/>
      <c r="E290" s="33"/>
      <c r="F290" s="33"/>
      <c r="G290" s="33"/>
      <c r="H290" s="33"/>
      <c r="I290" s="33"/>
      <c r="J290" s="33"/>
      <c r="K290" s="35"/>
      <c r="L290" s="34"/>
      <c r="M290" s="32"/>
      <c r="N290" s="32"/>
      <c r="O290" s="31">
        <f t="shared" si="57"/>
        <v>0</v>
      </c>
      <c r="P290" s="30"/>
      <c r="Q290" s="30"/>
      <c r="R290" s="30"/>
      <c r="S290" s="30"/>
      <c r="T290" s="29"/>
      <c r="U290" s="20"/>
      <c r="V290" s="28"/>
      <c r="W290" s="20"/>
      <c r="X290" s="27"/>
      <c r="Y290" s="26"/>
      <c r="Z290" s="25">
        <f t="shared" si="66"/>
        <v>0</v>
      </c>
      <c r="AA290" s="20">
        <f t="shared" si="61"/>
        <v>0</v>
      </c>
      <c r="AB290" s="24">
        <f t="shared" si="58"/>
        <v>0</v>
      </c>
      <c r="AC290" s="37"/>
      <c r="AD290" s="37"/>
      <c r="AE290" s="22"/>
      <c r="AF290" s="20"/>
      <c r="AG290" s="21"/>
      <c r="AH290" s="20"/>
      <c r="AI290" s="21"/>
      <c r="AJ290" s="20"/>
      <c r="AK290" s="20"/>
      <c r="AL290" s="20"/>
      <c r="AM290" s="19">
        <v>35000</v>
      </c>
      <c r="AN290" s="19">
        <v>30000</v>
      </c>
      <c r="AO290" s="19"/>
      <c r="AP290" s="19"/>
      <c r="AQ290" s="19"/>
      <c r="AR290" s="19">
        <f t="shared" si="62"/>
        <v>65000</v>
      </c>
      <c r="AS290" s="17">
        <f t="shared" si="63"/>
        <v>-65000</v>
      </c>
      <c r="AT290" s="17">
        <f t="shared" si="64"/>
        <v>-65000</v>
      </c>
      <c r="AU290" s="17">
        <f t="shared" si="65"/>
        <v>0</v>
      </c>
      <c r="AV290" s="17">
        <f t="shared" si="59"/>
        <v>-32500</v>
      </c>
      <c r="AW290" s="17">
        <f t="shared" si="60"/>
        <v>-29250</v>
      </c>
      <c r="AX290" s="18">
        <v>50000</v>
      </c>
      <c r="AY290" s="18"/>
      <c r="AZ290" s="17">
        <f t="shared" si="56"/>
        <v>-79250</v>
      </c>
      <c r="BA290" s="16"/>
      <c r="BB290" s="16"/>
      <c r="BC290" s="16"/>
    </row>
    <row r="291" spans="1:55" ht="16.899999999999999">
      <c r="A291" s="36">
        <v>290</v>
      </c>
      <c r="B291" s="35"/>
      <c r="C291" s="33"/>
      <c r="D291" s="33"/>
      <c r="E291" s="33"/>
      <c r="F291" s="33"/>
      <c r="G291" s="33"/>
      <c r="H291" s="33"/>
      <c r="I291" s="33"/>
      <c r="J291" s="33"/>
      <c r="K291" s="35"/>
      <c r="L291" s="34"/>
      <c r="M291" s="32"/>
      <c r="N291" s="32"/>
      <c r="O291" s="31">
        <f t="shared" si="57"/>
        <v>0</v>
      </c>
      <c r="P291" s="30"/>
      <c r="Q291" s="30"/>
      <c r="R291" s="30"/>
      <c r="S291" s="30"/>
      <c r="T291" s="29"/>
      <c r="U291" s="20"/>
      <c r="V291" s="28"/>
      <c r="W291" s="20"/>
      <c r="X291" s="27"/>
      <c r="Y291" s="26"/>
      <c r="Z291" s="25">
        <f t="shared" si="66"/>
        <v>0</v>
      </c>
      <c r="AA291" s="20">
        <f t="shared" si="61"/>
        <v>0</v>
      </c>
      <c r="AB291" s="24">
        <f t="shared" si="58"/>
        <v>0</v>
      </c>
      <c r="AC291" s="37"/>
      <c r="AD291" s="37"/>
      <c r="AE291" s="22"/>
      <c r="AF291" s="20"/>
      <c r="AG291" s="21"/>
      <c r="AH291" s="20"/>
      <c r="AI291" s="21"/>
      <c r="AJ291" s="20"/>
      <c r="AK291" s="20"/>
      <c r="AL291" s="20"/>
      <c r="AM291" s="19">
        <v>35000</v>
      </c>
      <c r="AN291" s="19">
        <v>30000</v>
      </c>
      <c r="AO291" s="19"/>
      <c r="AP291" s="19"/>
      <c r="AQ291" s="19"/>
      <c r="AR291" s="19">
        <f t="shared" si="62"/>
        <v>65000</v>
      </c>
      <c r="AS291" s="17">
        <f t="shared" si="63"/>
        <v>-65000</v>
      </c>
      <c r="AT291" s="17">
        <f t="shared" si="64"/>
        <v>-65000</v>
      </c>
      <c r="AU291" s="17">
        <f t="shared" si="65"/>
        <v>0</v>
      </c>
      <c r="AV291" s="17">
        <f t="shared" si="59"/>
        <v>-32500</v>
      </c>
      <c r="AW291" s="17">
        <f t="shared" si="60"/>
        <v>-29250</v>
      </c>
      <c r="AX291" s="18">
        <v>50000</v>
      </c>
      <c r="AY291" s="18"/>
      <c r="AZ291" s="17">
        <f t="shared" si="56"/>
        <v>-79250</v>
      </c>
      <c r="BA291" s="16"/>
      <c r="BB291" s="16"/>
      <c r="BC291" s="16"/>
    </row>
    <row r="292" spans="1:55" ht="16.899999999999999">
      <c r="A292" s="36">
        <v>291</v>
      </c>
      <c r="B292" s="35"/>
      <c r="C292" s="33"/>
      <c r="D292" s="33"/>
      <c r="E292" s="33"/>
      <c r="F292" s="33"/>
      <c r="G292" s="33"/>
      <c r="H292" s="33"/>
      <c r="I292" s="33"/>
      <c r="J292" s="33"/>
      <c r="K292" s="35"/>
      <c r="L292" s="34"/>
      <c r="M292" s="32"/>
      <c r="N292" s="32"/>
      <c r="O292" s="31">
        <f t="shared" si="57"/>
        <v>0</v>
      </c>
      <c r="P292" s="30"/>
      <c r="Q292" s="30"/>
      <c r="R292" s="30"/>
      <c r="S292" s="30"/>
      <c r="T292" s="29"/>
      <c r="U292" s="20"/>
      <c r="V292" s="28"/>
      <c r="W292" s="20"/>
      <c r="X292" s="27"/>
      <c r="Y292" s="26"/>
      <c r="Z292" s="25">
        <f t="shared" si="66"/>
        <v>0</v>
      </c>
      <c r="AA292" s="20">
        <f t="shared" si="61"/>
        <v>0</v>
      </c>
      <c r="AB292" s="24">
        <f t="shared" si="58"/>
        <v>0</v>
      </c>
      <c r="AC292" s="37"/>
      <c r="AD292" s="37"/>
      <c r="AE292" s="22"/>
      <c r="AF292" s="20"/>
      <c r="AG292" s="21"/>
      <c r="AH292" s="20"/>
      <c r="AI292" s="21"/>
      <c r="AJ292" s="20"/>
      <c r="AK292" s="20"/>
      <c r="AL292" s="20"/>
      <c r="AM292" s="19">
        <v>35000</v>
      </c>
      <c r="AN292" s="19">
        <v>30000</v>
      </c>
      <c r="AO292" s="19"/>
      <c r="AP292" s="19"/>
      <c r="AQ292" s="19"/>
      <c r="AR292" s="19">
        <f t="shared" si="62"/>
        <v>65000</v>
      </c>
      <c r="AS292" s="17">
        <f t="shared" si="63"/>
        <v>-65000</v>
      </c>
      <c r="AT292" s="17">
        <f t="shared" si="64"/>
        <v>-65000</v>
      </c>
      <c r="AU292" s="17">
        <f t="shared" si="65"/>
        <v>0</v>
      </c>
      <c r="AV292" s="17">
        <f t="shared" si="59"/>
        <v>-32500</v>
      </c>
      <c r="AW292" s="17">
        <f t="shared" si="60"/>
        <v>-29250</v>
      </c>
      <c r="AX292" s="18">
        <v>50000</v>
      </c>
      <c r="AY292" s="18"/>
      <c r="AZ292" s="17">
        <f t="shared" si="56"/>
        <v>-79250</v>
      </c>
      <c r="BA292" s="16"/>
      <c r="BB292" s="16"/>
      <c r="BC292" s="16"/>
    </row>
    <row r="293" spans="1:55" ht="16.899999999999999">
      <c r="A293" s="36">
        <v>292</v>
      </c>
      <c r="B293" s="35"/>
      <c r="C293" s="33"/>
      <c r="D293" s="33"/>
      <c r="E293" s="33"/>
      <c r="F293" s="33"/>
      <c r="G293" s="33"/>
      <c r="H293" s="33"/>
      <c r="I293" s="33"/>
      <c r="J293" s="33"/>
      <c r="K293" s="35"/>
      <c r="L293" s="34"/>
      <c r="M293" s="32"/>
      <c r="N293" s="32"/>
      <c r="O293" s="31">
        <f t="shared" si="57"/>
        <v>0</v>
      </c>
      <c r="P293" s="30"/>
      <c r="Q293" s="30"/>
      <c r="R293" s="30"/>
      <c r="S293" s="30"/>
      <c r="T293" s="29"/>
      <c r="U293" s="20"/>
      <c r="V293" s="28"/>
      <c r="W293" s="20"/>
      <c r="X293" s="27"/>
      <c r="Y293" s="26"/>
      <c r="Z293" s="25">
        <f t="shared" si="66"/>
        <v>0</v>
      </c>
      <c r="AA293" s="20">
        <f t="shared" si="61"/>
        <v>0</v>
      </c>
      <c r="AB293" s="24">
        <f t="shared" si="58"/>
        <v>0</v>
      </c>
      <c r="AC293" s="37"/>
      <c r="AD293" s="37"/>
      <c r="AE293" s="22"/>
      <c r="AF293" s="20"/>
      <c r="AG293" s="21"/>
      <c r="AH293" s="20"/>
      <c r="AI293" s="21"/>
      <c r="AJ293" s="20"/>
      <c r="AK293" s="20"/>
      <c r="AL293" s="20"/>
      <c r="AM293" s="19">
        <v>35000</v>
      </c>
      <c r="AN293" s="19">
        <v>30000</v>
      </c>
      <c r="AO293" s="19"/>
      <c r="AP293" s="19"/>
      <c r="AQ293" s="19"/>
      <c r="AR293" s="19">
        <f t="shared" si="62"/>
        <v>65000</v>
      </c>
      <c r="AS293" s="17">
        <f t="shared" si="63"/>
        <v>-65000</v>
      </c>
      <c r="AT293" s="17">
        <f t="shared" si="64"/>
        <v>-65000</v>
      </c>
      <c r="AU293" s="17">
        <f t="shared" si="65"/>
        <v>0</v>
      </c>
      <c r="AV293" s="17">
        <f t="shared" si="59"/>
        <v>-32500</v>
      </c>
      <c r="AW293" s="17">
        <f t="shared" si="60"/>
        <v>-29250</v>
      </c>
      <c r="AX293" s="18">
        <v>50000</v>
      </c>
      <c r="AY293" s="18"/>
      <c r="AZ293" s="17">
        <f t="shared" ref="AZ293:AZ356" si="67">SUM(AW293-AX293-AY293)</f>
        <v>-79250</v>
      </c>
      <c r="BA293" s="16"/>
      <c r="BB293" s="16"/>
      <c r="BC293" s="16"/>
    </row>
    <row r="294" spans="1:55" ht="16.899999999999999">
      <c r="A294" s="36">
        <v>293</v>
      </c>
      <c r="B294" s="35"/>
      <c r="C294" s="33"/>
      <c r="D294" s="33"/>
      <c r="E294" s="33"/>
      <c r="F294" s="33"/>
      <c r="G294" s="33"/>
      <c r="H294" s="33"/>
      <c r="I294" s="33"/>
      <c r="J294" s="33"/>
      <c r="K294" s="35"/>
      <c r="L294" s="34"/>
      <c r="M294" s="32"/>
      <c r="N294" s="32"/>
      <c r="O294" s="31">
        <f t="shared" si="57"/>
        <v>0</v>
      </c>
      <c r="P294" s="30"/>
      <c r="Q294" s="30"/>
      <c r="R294" s="30"/>
      <c r="S294" s="30"/>
      <c r="T294" s="29"/>
      <c r="U294" s="20"/>
      <c r="V294" s="28"/>
      <c r="W294" s="20"/>
      <c r="X294" s="27"/>
      <c r="Y294" s="26"/>
      <c r="Z294" s="25">
        <f t="shared" si="66"/>
        <v>0</v>
      </c>
      <c r="AA294" s="20">
        <f t="shared" si="61"/>
        <v>0</v>
      </c>
      <c r="AB294" s="24">
        <f t="shared" si="58"/>
        <v>0</v>
      </c>
      <c r="AC294" s="37"/>
      <c r="AD294" s="37"/>
      <c r="AE294" s="22"/>
      <c r="AF294" s="20"/>
      <c r="AG294" s="21"/>
      <c r="AH294" s="20"/>
      <c r="AI294" s="21"/>
      <c r="AJ294" s="20"/>
      <c r="AK294" s="20"/>
      <c r="AL294" s="20"/>
      <c r="AM294" s="19">
        <v>35000</v>
      </c>
      <c r="AN294" s="19">
        <v>30000</v>
      </c>
      <c r="AO294" s="19"/>
      <c r="AP294" s="19"/>
      <c r="AQ294" s="19"/>
      <c r="AR294" s="19">
        <f t="shared" si="62"/>
        <v>65000</v>
      </c>
      <c r="AS294" s="17">
        <f t="shared" si="63"/>
        <v>-65000</v>
      </c>
      <c r="AT294" s="17">
        <f t="shared" si="64"/>
        <v>-65000</v>
      </c>
      <c r="AU294" s="17">
        <f t="shared" si="65"/>
        <v>0</v>
      </c>
      <c r="AV294" s="17">
        <f t="shared" si="59"/>
        <v>-32500</v>
      </c>
      <c r="AW294" s="17">
        <f t="shared" si="60"/>
        <v>-29250</v>
      </c>
      <c r="AX294" s="18">
        <v>50000</v>
      </c>
      <c r="AY294" s="18"/>
      <c r="AZ294" s="17">
        <f t="shared" si="67"/>
        <v>-79250</v>
      </c>
      <c r="BA294" s="16"/>
      <c r="BB294" s="16"/>
      <c r="BC294" s="16"/>
    </row>
    <row r="295" spans="1:55" ht="16.899999999999999">
      <c r="A295" s="36">
        <v>294</v>
      </c>
      <c r="B295" s="35"/>
      <c r="C295" s="33"/>
      <c r="D295" s="33"/>
      <c r="E295" s="33"/>
      <c r="F295" s="33"/>
      <c r="G295" s="33"/>
      <c r="H295" s="33"/>
      <c r="I295" s="33"/>
      <c r="J295" s="33"/>
      <c r="K295" s="35"/>
      <c r="L295" s="34"/>
      <c r="M295" s="32"/>
      <c r="N295" s="32"/>
      <c r="O295" s="31">
        <f t="shared" si="57"/>
        <v>0</v>
      </c>
      <c r="P295" s="30"/>
      <c r="Q295" s="30"/>
      <c r="R295" s="30"/>
      <c r="S295" s="30"/>
      <c r="T295" s="29"/>
      <c r="U295" s="20"/>
      <c r="V295" s="28"/>
      <c r="W295" s="20"/>
      <c r="X295" s="27"/>
      <c r="Y295" s="26"/>
      <c r="Z295" s="25">
        <f t="shared" si="66"/>
        <v>0</v>
      </c>
      <c r="AA295" s="20">
        <f t="shared" si="61"/>
        <v>0</v>
      </c>
      <c r="AB295" s="24">
        <f t="shared" si="58"/>
        <v>0</v>
      </c>
      <c r="AC295" s="37"/>
      <c r="AD295" s="37"/>
      <c r="AE295" s="22"/>
      <c r="AF295" s="20"/>
      <c r="AG295" s="21"/>
      <c r="AH295" s="20"/>
      <c r="AI295" s="21"/>
      <c r="AJ295" s="20"/>
      <c r="AK295" s="20"/>
      <c r="AL295" s="20"/>
      <c r="AM295" s="19">
        <v>35000</v>
      </c>
      <c r="AN295" s="19">
        <v>30000</v>
      </c>
      <c r="AO295" s="19"/>
      <c r="AP295" s="19"/>
      <c r="AQ295" s="19"/>
      <c r="AR295" s="19">
        <f t="shared" si="62"/>
        <v>65000</v>
      </c>
      <c r="AS295" s="17">
        <f t="shared" si="63"/>
        <v>-65000</v>
      </c>
      <c r="AT295" s="17">
        <f t="shared" si="64"/>
        <v>-65000</v>
      </c>
      <c r="AU295" s="17">
        <f t="shared" si="65"/>
        <v>0</v>
      </c>
      <c r="AV295" s="17">
        <f t="shared" si="59"/>
        <v>-32500</v>
      </c>
      <c r="AW295" s="17">
        <f t="shared" si="60"/>
        <v>-29250</v>
      </c>
      <c r="AX295" s="18">
        <v>50000</v>
      </c>
      <c r="AY295" s="18"/>
      <c r="AZ295" s="17">
        <f t="shared" si="67"/>
        <v>-79250</v>
      </c>
      <c r="BA295" s="16"/>
      <c r="BB295" s="16"/>
      <c r="BC295" s="16"/>
    </row>
    <row r="296" spans="1:55" ht="16.899999999999999">
      <c r="A296" s="36">
        <v>295</v>
      </c>
      <c r="B296" s="35"/>
      <c r="C296" s="33"/>
      <c r="D296" s="33"/>
      <c r="E296" s="33"/>
      <c r="F296" s="33"/>
      <c r="G296" s="33"/>
      <c r="H296" s="33"/>
      <c r="I296" s="33"/>
      <c r="J296" s="33"/>
      <c r="K296" s="35"/>
      <c r="L296" s="34"/>
      <c r="M296" s="32"/>
      <c r="N296" s="32"/>
      <c r="O296" s="31">
        <f t="shared" si="57"/>
        <v>0</v>
      </c>
      <c r="P296" s="30"/>
      <c r="Q296" s="30"/>
      <c r="R296" s="30"/>
      <c r="S296" s="30"/>
      <c r="T296" s="29"/>
      <c r="U296" s="20"/>
      <c r="V296" s="28"/>
      <c r="W296" s="20"/>
      <c r="X296" s="27"/>
      <c r="Y296" s="26"/>
      <c r="Z296" s="25">
        <f t="shared" si="66"/>
        <v>0</v>
      </c>
      <c r="AA296" s="20">
        <f t="shared" si="61"/>
        <v>0</v>
      </c>
      <c r="AB296" s="24">
        <f t="shared" si="58"/>
        <v>0</v>
      </c>
      <c r="AC296" s="37"/>
      <c r="AD296" s="37"/>
      <c r="AE296" s="22"/>
      <c r="AF296" s="20"/>
      <c r="AG296" s="21"/>
      <c r="AH296" s="20"/>
      <c r="AI296" s="21"/>
      <c r="AJ296" s="20"/>
      <c r="AK296" s="20"/>
      <c r="AL296" s="20"/>
      <c r="AM296" s="19">
        <v>35000</v>
      </c>
      <c r="AN296" s="19">
        <v>30000</v>
      </c>
      <c r="AO296" s="19"/>
      <c r="AP296" s="19"/>
      <c r="AQ296" s="19"/>
      <c r="AR296" s="19">
        <f t="shared" si="62"/>
        <v>65000</v>
      </c>
      <c r="AS296" s="17">
        <f t="shared" si="63"/>
        <v>-65000</v>
      </c>
      <c r="AT296" s="17">
        <f t="shared" si="64"/>
        <v>-65000</v>
      </c>
      <c r="AU296" s="17">
        <f t="shared" si="65"/>
        <v>0</v>
      </c>
      <c r="AV296" s="17">
        <f t="shared" si="59"/>
        <v>-32500</v>
      </c>
      <c r="AW296" s="17">
        <f t="shared" si="60"/>
        <v>-29250</v>
      </c>
      <c r="AX296" s="18">
        <v>50000</v>
      </c>
      <c r="AY296" s="18"/>
      <c r="AZ296" s="17">
        <f t="shared" si="67"/>
        <v>-79250</v>
      </c>
      <c r="BA296" s="16"/>
      <c r="BB296" s="16"/>
      <c r="BC296" s="16"/>
    </row>
    <row r="297" spans="1:55" ht="16.899999999999999">
      <c r="A297" s="36">
        <v>296</v>
      </c>
      <c r="B297" s="35"/>
      <c r="C297" s="33"/>
      <c r="D297" s="33"/>
      <c r="E297" s="33"/>
      <c r="F297" s="33"/>
      <c r="G297" s="33"/>
      <c r="H297" s="33"/>
      <c r="I297" s="33"/>
      <c r="J297" s="33"/>
      <c r="K297" s="35"/>
      <c r="L297" s="34"/>
      <c r="M297" s="32"/>
      <c r="N297" s="32"/>
      <c r="O297" s="31">
        <f t="shared" si="57"/>
        <v>0</v>
      </c>
      <c r="P297" s="30"/>
      <c r="Q297" s="30"/>
      <c r="R297" s="30"/>
      <c r="S297" s="30"/>
      <c r="T297" s="29"/>
      <c r="U297" s="20"/>
      <c r="V297" s="28"/>
      <c r="W297" s="20"/>
      <c r="X297" s="27"/>
      <c r="Y297" s="26"/>
      <c r="Z297" s="25">
        <f t="shared" si="66"/>
        <v>0</v>
      </c>
      <c r="AA297" s="20">
        <f t="shared" si="61"/>
        <v>0</v>
      </c>
      <c r="AB297" s="24">
        <f t="shared" si="58"/>
        <v>0</v>
      </c>
      <c r="AC297" s="37"/>
      <c r="AD297" s="37"/>
      <c r="AE297" s="22"/>
      <c r="AF297" s="20"/>
      <c r="AG297" s="21"/>
      <c r="AH297" s="20"/>
      <c r="AI297" s="21"/>
      <c r="AJ297" s="20"/>
      <c r="AK297" s="20"/>
      <c r="AL297" s="20"/>
      <c r="AM297" s="19">
        <v>35000</v>
      </c>
      <c r="AN297" s="19">
        <v>30000</v>
      </c>
      <c r="AO297" s="19"/>
      <c r="AP297" s="19"/>
      <c r="AQ297" s="19"/>
      <c r="AR297" s="19">
        <f t="shared" si="62"/>
        <v>65000</v>
      </c>
      <c r="AS297" s="17">
        <f t="shared" si="63"/>
        <v>-65000</v>
      </c>
      <c r="AT297" s="17">
        <f t="shared" si="64"/>
        <v>-65000</v>
      </c>
      <c r="AU297" s="17">
        <f t="shared" si="65"/>
        <v>0</v>
      </c>
      <c r="AV297" s="17">
        <f t="shared" si="59"/>
        <v>-32500</v>
      </c>
      <c r="AW297" s="17">
        <f t="shared" si="60"/>
        <v>-29250</v>
      </c>
      <c r="AX297" s="18">
        <v>50000</v>
      </c>
      <c r="AY297" s="18"/>
      <c r="AZ297" s="17">
        <f t="shared" si="67"/>
        <v>-79250</v>
      </c>
      <c r="BA297" s="16"/>
      <c r="BB297" s="16"/>
      <c r="BC297" s="16"/>
    </row>
    <row r="298" spans="1:55" ht="16.899999999999999">
      <c r="A298" s="36">
        <v>297</v>
      </c>
      <c r="B298" s="35"/>
      <c r="C298" s="33"/>
      <c r="D298" s="33"/>
      <c r="E298" s="33"/>
      <c r="F298" s="33"/>
      <c r="G298" s="33"/>
      <c r="H298" s="33"/>
      <c r="I298" s="33"/>
      <c r="J298" s="33"/>
      <c r="K298" s="35"/>
      <c r="L298" s="34"/>
      <c r="M298" s="32"/>
      <c r="N298" s="32"/>
      <c r="O298" s="31">
        <f t="shared" si="57"/>
        <v>0</v>
      </c>
      <c r="P298" s="30"/>
      <c r="Q298" s="30"/>
      <c r="R298" s="30"/>
      <c r="S298" s="30"/>
      <c r="T298" s="29"/>
      <c r="U298" s="20"/>
      <c r="V298" s="28"/>
      <c r="W298" s="20"/>
      <c r="X298" s="27"/>
      <c r="Y298" s="26"/>
      <c r="Z298" s="25">
        <f t="shared" si="66"/>
        <v>0</v>
      </c>
      <c r="AA298" s="20">
        <f t="shared" si="61"/>
        <v>0</v>
      </c>
      <c r="AB298" s="24">
        <f t="shared" si="58"/>
        <v>0</v>
      </c>
      <c r="AC298" s="37"/>
      <c r="AD298" s="37"/>
      <c r="AE298" s="22"/>
      <c r="AF298" s="20"/>
      <c r="AG298" s="21"/>
      <c r="AH298" s="20"/>
      <c r="AI298" s="21"/>
      <c r="AJ298" s="20"/>
      <c r="AK298" s="20"/>
      <c r="AL298" s="20"/>
      <c r="AM298" s="19">
        <v>35000</v>
      </c>
      <c r="AN298" s="19">
        <v>30000</v>
      </c>
      <c r="AO298" s="19"/>
      <c r="AP298" s="19"/>
      <c r="AQ298" s="19"/>
      <c r="AR298" s="19">
        <f t="shared" si="62"/>
        <v>65000</v>
      </c>
      <c r="AS298" s="17">
        <f t="shared" si="63"/>
        <v>-65000</v>
      </c>
      <c r="AT298" s="17">
        <f t="shared" si="64"/>
        <v>-65000</v>
      </c>
      <c r="AU298" s="17">
        <f t="shared" si="65"/>
        <v>0</v>
      </c>
      <c r="AV298" s="17">
        <f t="shared" si="59"/>
        <v>-32500</v>
      </c>
      <c r="AW298" s="17">
        <f t="shared" si="60"/>
        <v>-29250</v>
      </c>
      <c r="AX298" s="18">
        <v>50000</v>
      </c>
      <c r="AY298" s="18"/>
      <c r="AZ298" s="17">
        <f t="shared" si="67"/>
        <v>-79250</v>
      </c>
      <c r="BA298" s="16"/>
      <c r="BB298" s="16"/>
      <c r="BC298" s="16"/>
    </row>
    <row r="299" spans="1:55" ht="16.899999999999999">
      <c r="A299" s="36">
        <v>298</v>
      </c>
      <c r="B299" s="35"/>
      <c r="C299" s="33"/>
      <c r="D299" s="33"/>
      <c r="E299" s="33"/>
      <c r="F299" s="33"/>
      <c r="G299" s="33"/>
      <c r="H299" s="33"/>
      <c r="I299" s="33"/>
      <c r="J299" s="33"/>
      <c r="K299" s="35"/>
      <c r="L299" s="34"/>
      <c r="M299" s="32"/>
      <c r="N299" s="32"/>
      <c r="O299" s="31">
        <f t="shared" si="57"/>
        <v>0</v>
      </c>
      <c r="P299" s="30"/>
      <c r="Q299" s="30"/>
      <c r="R299" s="30"/>
      <c r="S299" s="30"/>
      <c r="T299" s="29"/>
      <c r="U299" s="20"/>
      <c r="V299" s="28"/>
      <c r="W299" s="20"/>
      <c r="X299" s="27"/>
      <c r="Y299" s="26"/>
      <c r="Z299" s="25">
        <f t="shared" si="66"/>
        <v>0</v>
      </c>
      <c r="AA299" s="20">
        <f t="shared" si="61"/>
        <v>0</v>
      </c>
      <c r="AB299" s="24">
        <f t="shared" si="58"/>
        <v>0</v>
      </c>
      <c r="AC299" s="37"/>
      <c r="AD299" s="37"/>
      <c r="AE299" s="22"/>
      <c r="AF299" s="20"/>
      <c r="AG299" s="21"/>
      <c r="AH299" s="20"/>
      <c r="AI299" s="21"/>
      <c r="AJ299" s="20"/>
      <c r="AK299" s="20"/>
      <c r="AL299" s="20"/>
      <c r="AM299" s="19">
        <v>35000</v>
      </c>
      <c r="AN299" s="19">
        <v>30000</v>
      </c>
      <c r="AO299" s="19"/>
      <c r="AP299" s="19"/>
      <c r="AQ299" s="19"/>
      <c r="AR299" s="19">
        <f t="shared" si="62"/>
        <v>65000</v>
      </c>
      <c r="AS299" s="17">
        <f t="shared" si="63"/>
        <v>-65000</v>
      </c>
      <c r="AT299" s="17">
        <f t="shared" si="64"/>
        <v>-65000</v>
      </c>
      <c r="AU299" s="17">
        <f t="shared" si="65"/>
        <v>0</v>
      </c>
      <c r="AV299" s="17">
        <f t="shared" si="59"/>
        <v>-32500</v>
      </c>
      <c r="AW299" s="17">
        <f t="shared" si="60"/>
        <v>-29250</v>
      </c>
      <c r="AX299" s="18">
        <v>50000</v>
      </c>
      <c r="AY299" s="18"/>
      <c r="AZ299" s="17">
        <f t="shared" si="67"/>
        <v>-79250</v>
      </c>
      <c r="BA299" s="16"/>
      <c r="BB299" s="16"/>
      <c r="BC299" s="16"/>
    </row>
    <row r="300" spans="1:55" ht="16.899999999999999">
      <c r="A300" s="36">
        <v>299</v>
      </c>
      <c r="B300" s="35"/>
      <c r="C300" s="33"/>
      <c r="D300" s="33"/>
      <c r="E300" s="33"/>
      <c r="F300" s="33"/>
      <c r="G300" s="33"/>
      <c r="H300" s="33"/>
      <c r="I300" s="33"/>
      <c r="J300" s="33"/>
      <c r="K300" s="35"/>
      <c r="L300" s="34"/>
      <c r="M300" s="32"/>
      <c r="N300" s="32"/>
      <c r="O300" s="31">
        <f t="shared" si="57"/>
        <v>0</v>
      </c>
      <c r="P300" s="30"/>
      <c r="Q300" s="30"/>
      <c r="R300" s="30"/>
      <c r="S300" s="30"/>
      <c r="T300" s="29"/>
      <c r="U300" s="20"/>
      <c r="V300" s="28"/>
      <c r="W300" s="20"/>
      <c r="X300" s="27"/>
      <c r="Y300" s="26"/>
      <c r="Z300" s="25">
        <f t="shared" si="66"/>
        <v>0</v>
      </c>
      <c r="AA300" s="20">
        <f t="shared" si="61"/>
        <v>0</v>
      </c>
      <c r="AB300" s="24">
        <f t="shared" si="58"/>
        <v>0</v>
      </c>
      <c r="AC300" s="37"/>
      <c r="AD300" s="37"/>
      <c r="AE300" s="22"/>
      <c r="AF300" s="20"/>
      <c r="AG300" s="21"/>
      <c r="AH300" s="20"/>
      <c r="AI300" s="21"/>
      <c r="AJ300" s="20"/>
      <c r="AK300" s="20"/>
      <c r="AL300" s="20"/>
      <c r="AM300" s="19">
        <v>35000</v>
      </c>
      <c r="AN300" s="19">
        <v>30000</v>
      </c>
      <c r="AO300" s="19"/>
      <c r="AP300" s="19"/>
      <c r="AQ300" s="19"/>
      <c r="AR300" s="19">
        <f t="shared" si="62"/>
        <v>65000</v>
      </c>
      <c r="AS300" s="17">
        <f t="shared" si="63"/>
        <v>-65000</v>
      </c>
      <c r="AT300" s="17">
        <f t="shared" si="64"/>
        <v>-65000</v>
      </c>
      <c r="AU300" s="17">
        <f t="shared" si="65"/>
        <v>0</v>
      </c>
      <c r="AV300" s="17">
        <f t="shared" si="59"/>
        <v>-32500</v>
      </c>
      <c r="AW300" s="17">
        <f t="shared" si="60"/>
        <v>-29250</v>
      </c>
      <c r="AX300" s="18">
        <v>50000</v>
      </c>
      <c r="AY300" s="18"/>
      <c r="AZ300" s="17">
        <f t="shared" si="67"/>
        <v>-79250</v>
      </c>
      <c r="BA300" s="16"/>
      <c r="BB300" s="16"/>
      <c r="BC300" s="16"/>
    </row>
    <row r="301" spans="1:55" ht="16.5" customHeight="1">
      <c r="A301" s="36">
        <v>300</v>
      </c>
      <c r="B301" s="35"/>
      <c r="C301" s="33"/>
      <c r="D301" s="33"/>
      <c r="E301" s="33"/>
      <c r="F301" s="33"/>
      <c r="G301" s="33"/>
      <c r="H301" s="33"/>
      <c r="I301" s="33"/>
      <c r="J301" s="33"/>
      <c r="K301" s="35"/>
      <c r="L301" s="34"/>
      <c r="M301" s="32"/>
      <c r="N301" s="32"/>
      <c r="O301" s="31">
        <f t="shared" si="57"/>
        <v>0</v>
      </c>
      <c r="P301" s="30"/>
      <c r="Q301" s="30"/>
      <c r="R301" s="30"/>
      <c r="S301" s="30"/>
      <c r="T301" s="29"/>
      <c r="U301" s="20"/>
      <c r="V301" s="28"/>
      <c r="W301" s="20"/>
      <c r="X301" s="27"/>
      <c r="Y301" s="26"/>
      <c r="Z301" s="25">
        <f t="shared" si="66"/>
        <v>0</v>
      </c>
      <c r="AA301" s="20">
        <f t="shared" si="61"/>
        <v>0</v>
      </c>
      <c r="AB301" s="24">
        <f t="shared" si="58"/>
        <v>0</v>
      </c>
      <c r="AC301" s="37"/>
      <c r="AD301" s="37"/>
      <c r="AE301" s="22"/>
      <c r="AF301" s="20"/>
      <c r="AG301" s="21"/>
      <c r="AH301" s="20"/>
      <c r="AI301" s="21"/>
      <c r="AJ301" s="20"/>
      <c r="AK301" s="20"/>
      <c r="AL301" s="20"/>
      <c r="AM301" s="19">
        <v>35000</v>
      </c>
      <c r="AN301" s="19">
        <v>30000</v>
      </c>
      <c r="AO301" s="19"/>
      <c r="AP301" s="19"/>
      <c r="AQ301" s="19"/>
      <c r="AR301" s="19">
        <f t="shared" si="62"/>
        <v>65000</v>
      </c>
      <c r="AS301" s="17">
        <f t="shared" si="63"/>
        <v>-65000</v>
      </c>
      <c r="AT301" s="17">
        <f t="shared" si="64"/>
        <v>-65000</v>
      </c>
      <c r="AU301" s="17">
        <f t="shared" si="65"/>
        <v>0</v>
      </c>
      <c r="AV301" s="17">
        <f t="shared" si="59"/>
        <v>-32500</v>
      </c>
      <c r="AW301" s="17">
        <f t="shared" si="60"/>
        <v>-29250</v>
      </c>
      <c r="AX301" s="18">
        <v>50000</v>
      </c>
      <c r="AY301" s="18"/>
      <c r="AZ301" s="17">
        <f t="shared" si="67"/>
        <v>-79250</v>
      </c>
      <c r="BA301" s="16"/>
      <c r="BB301" s="16"/>
      <c r="BC301" s="16"/>
    </row>
    <row r="302" spans="1:55" ht="16.899999999999999">
      <c r="A302" s="36">
        <v>301</v>
      </c>
      <c r="B302" s="35"/>
      <c r="C302" s="33"/>
      <c r="D302" s="33"/>
      <c r="E302" s="33"/>
      <c r="F302" s="33"/>
      <c r="G302" s="33"/>
      <c r="H302" s="33"/>
      <c r="I302" s="33"/>
      <c r="J302" s="33"/>
      <c r="K302" s="35"/>
      <c r="L302" s="34"/>
      <c r="M302" s="32"/>
      <c r="N302" s="32"/>
      <c r="O302" s="31">
        <f t="shared" si="57"/>
        <v>0</v>
      </c>
      <c r="P302" s="30"/>
      <c r="Q302" s="30"/>
      <c r="R302" s="30"/>
      <c r="S302" s="30"/>
      <c r="T302" s="29"/>
      <c r="U302" s="20"/>
      <c r="V302" s="28"/>
      <c r="W302" s="20"/>
      <c r="X302" s="27"/>
      <c r="Y302" s="26"/>
      <c r="Z302" s="25">
        <f t="shared" si="66"/>
        <v>0</v>
      </c>
      <c r="AA302" s="20">
        <f t="shared" si="61"/>
        <v>0</v>
      </c>
      <c r="AB302" s="24">
        <f t="shared" si="58"/>
        <v>0</v>
      </c>
      <c r="AC302" s="37"/>
      <c r="AD302" s="37"/>
      <c r="AE302" s="22"/>
      <c r="AF302" s="20"/>
      <c r="AG302" s="21"/>
      <c r="AH302" s="20"/>
      <c r="AI302" s="21"/>
      <c r="AJ302" s="20"/>
      <c r="AK302" s="20"/>
      <c r="AL302" s="20"/>
      <c r="AM302" s="19">
        <v>35000</v>
      </c>
      <c r="AN302" s="19">
        <v>30000</v>
      </c>
      <c r="AO302" s="19"/>
      <c r="AP302" s="19"/>
      <c r="AQ302" s="19"/>
      <c r="AR302" s="19">
        <f t="shared" si="62"/>
        <v>65000</v>
      </c>
      <c r="AS302" s="17">
        <f t="shared" si="63"/>
        <v>-65000</v>
      </c>
      <c r="AT302" s="17">
        <f t="shared" si="64"/>
        <v>-65000</v>
      </c>
      <c r="AU302" s="17">
        <f t="shared" si="65"/>
        <v>0</v>
      </c>
      <c r="AV302" s="17">
        <f t="shared" si="59"/>
        <v>-32500</v>
      </c>
      <c r="AW302" s="17">
        <f t="shared" si="60"/>
        <v>-29250</v>
      </c>
      <c r="AX302" s="18">
        <v>50000</v>
      </c>
      <c r="AY302" s="18"/>
      <c r="AZ302" s="17">
        <f t="shared" si="67"/>
        <v>-79250</v>
      </c>
      <c r="BA302" s="16"/>
      <c r="BB302" s="16"/>
      <c r="BC302" s="16"/>
    </row>
    <row r="303" spans="1:55" ht="16.899999999999999">
      <c r="A303" s="36">
        <v>302</v>
      </c>
      <c r="B303" s="35"/>
      <c r="C303" s="33"/>
      <c r="D303" s="33"/>
      <c r="E303" s="33"/>
      <c r="F303" s="33"/>
      <c r="G303" s="33"/>
      <c r="H303" s="33"/>
      <c r="I303" s="33"/>
      <c r="J303" s="33"/>
      <c r="K303" s="35"/>
      <c r="L303" s="34"/>
      <c r="M303" s="32"/>
      <c r="N303" s="32"/>
      <c r="O303" s="31">
        <f t="shared" si="57"/>
        <v>0</v>
      </c>
      <c r="P303" s="30"/>
      <c r="Q303" s="30"/>
      <c r="R303" s="30"/>
      <c r="S303" s="30"/>
      <c r="T303" s="29"/>
      <c r="U303" s="20"/>
      <c r="V303" s="28"/>
      <c r="W303" s="20"/>
      <c r="X303" s="27"/>
      <c r="Y303" s="26"/>
      <c r="Z303" s="25">
        <f t="shared" si="66"/>
        <v>0</v>
      </c>
      <c r="AA303" s="20">
        <f t="shared" si="61"/>
        <v>0</v>
      </c>
      <c r="AB303" s="24">
        <f t="shared" si="58"/>
        <v>0</v>
      </c>
      <c r="AC303" s="37"/>
      <c r="AD303" s="37"/>
      <c r="AE303" s="22"/>
      <c r="AF303" s="20"/>
      <c r="AG303" s="21"/>
      <c r="AH303" s="20"/>
      <c r="AI303" s="21"/>
      <c r="AJ303" s="20"/>
      <c r="AK303" s="20"/>
      <c r="AL303" s="20"/>
      <c r="AM303" s="19">
        <v>35000</v>
      </c>
      <c r="AN303" s="19">
        <v>30000</v>
      </c>
      <c r="AO303" s="19"/>
      <c r="AP303" s="19"/>
      <c r="AQ303" s="19"/>
      <c r="AR303" s="19">
        <f t="shared" si="62"/>
        <v>65000</v>
      </c>
      <c r="AS303" s="17">
        <f t="shared" si="63"/>
        <v>-65000</v>
      </c>
      <c r="AT303" s="17">
        <f t="shared" si="64"/>
        <v>-65000</v>
      </c>
      <c r="AU303" s="17">
        <f t="shared" si="65"/>
        <v>0</v>
      </c>
      <c r="AV303" s="17">
        <f t="shared" si="59"/>
        <v>-32500</v>
      </c>
      <c r="AW303" s="17">
        <f t="shared" si="60"/>
        <v>-29250</v>
      </c>
      <c r="AX303" s="18">
        <v>50000</v>
      </c>
      <c r="AY303" s="18"/>
      <c r="AZ303" s="17">
        <f t="shared" si="67"/>
        <v>-79250</v>
      </c>
      <c r="BA303" s="16"/>
      <c r="BB303" s="16"/>
      <c r="BC303" s="16"/>
    </row>
    <row r="304" spans="1:55" s="6" customFormat="1" ht="16.899999999999999">
      <c r="A304" s="36">
        <v>303</v>
      </c>
      <c r="B304" s="35"/>
      <c r="C304" s="33"/>
      <c r="D304" s="33"/>
      <c r="E304" s="33"/>
      <c r="F304" s="33"/>
      <c r="G304" s="33"/>
      <c r="H304" s="33"/>
      <c r="I304" s="33"/>
      <c r="J304" s="33"/>
      <c r="K304" s="35"/>
      <c r="L304" s="34"/>
      <c r="M304" s="32"/>
      <c r="N304" s="32"/>
      <c r="O304" s="31">
        <f t="shared" si="57"/>
        <v>0</v>
      </c>
      <c r="P304" s="30"/>
      <c r="Q304" s="30"/>
      <c r="R304" s="30"/>
      <c r="S304" s="30"/>
      <c r="T304" s="29"/>
      <c r="U304" s="20"/>
      <c r="V304" s="28"/>
      <c r="W304" s="20"/>
      <c r="X304" s="27"/>
      <c r="Y304" s="26"/>
      <c r="Z304" s="25">
        <f t="shared" si="66"/>
        <v>0</v>
      </c>
      <c r="AA304" s="20">
        <f t="shared" si="61"/>
        <v>0</v>
      </c>
      <c r="AB304" s="24">
        <f t="shared" si="58"/>
        <v>0</v>
      </c>
      <c r="AC304" s="37"/>
      <c r="AD304" s="37"/>
      <c r="AE304" s="22"/>
      <c r="AF304" s="20"/>
      <c r="AG304" s="21"/>
      <c r="AH304" s="20"/>
      <c r="AI304" s="21"/>
      <c r="AJ304" s="20"/>
      <c r="AK304" s="20"/>
      <c r="AL304" s="20"/>
      <c r="AM304" s="19">
        <v>35000</v>
      </c>
      <c r="AN304" s="19">
        <v>30000</v>
      </c>
      <c r="AO304" s="19"/>
      <c r="AP304" s="19"/>
      <c r="AQ304" s="19"/>
      <c r="AR304" s="19">
        <f t="shared" si="62"/>
        <v>65000</v>
      </c>
      <c r="AS304" s="17">
        <f t="shared" si="63"/>
        <v>-65000</v>
      </c>
      <c r="AT304" s="17">
        <f t="shared" si="64"/>
        <v>-65000</v>
      </c>
      <c r="AU304" s="17">
        <f t="shared" si="65"/>
        <v>0</v>
      </c>
      <c r="AV304" s="17">
        <f t="shared" si="59"/>
        <v>-32500</v>
      </c>
      <c r="AW304" s="17">
        <f t="shared" si="60"/>
        <v>-29250</v>
      </c>
      <c r="AX304" s="18">
        <v>50000</v>
      </c>
      <c r="AY304" s="18"/>
      <c r="AZ304" s="17">
        <f t="shared" si="67"/>
        <v>-79250</v>
      </c>
      <c r="BA304" s="16"/>
      <c r="BB304" s="15"/>
      <c r="BC304" s="15"/>
    </row>
    <row r="305" spans="1:55" s="6" customFormat="1" ht="16.899999999999999">
      <c r="A305" s="36">
        <v>304</v>
      </c>
      <c r="B305" s="35"/>
      <c r="C305" s="33"/>
      <c r="D305" s="33"/>
      <c r="E305" s="33"/>
      <c r="F305" s="33"/>
      <c r="G305" s="33"/>
      <c r="H305" s="33"/>
      <c r="I305" s="33"/>
      <c r="J305" s="33"/>
      <c r="K305" s="35"/>
      <c r="L305" s="34"/>
      <c r="M305" s="32"/>
      <c r="N305" s="32"/>
      <c r="O305" s="31">
        <f t="shared" si="57"/>
        <v>0</v>
      </c>
      <c r="P305" s="30"/>
      <c r="Q305" s="30"/>
      <c r="R305" s="30"/>
      <c r="S305" s="30"/>
      <c r="T305" s="29"/>
      <c r="U305" s="20"/>
      <c r="V305" s="28"/>
      <c r="W305" s="20"/>
      <c r="X305" s="27"/>
      <c r="Y305" s="26"/>
      <c r="Z305" s="25">
        <f t="shared" si="66"/>
        <v>0</v>
      </c>
      <c r="AA305" s="20">
        <f t="shared" si="61"/>
        <v>0</v>
      </c>
      <c r="AB305" s="24">
        <f t="shared" si="58"/>
        <v>0</v>
      </c>
      <c r="AC305" s="37"/>
      <c r="AD305" s="37"/>
      <c r="AE305" s="22"/>
      <c r="AF305" s="20"/>
      <c r="AG305" s="21"/>
      <c r="AH305" s="20"/>
      <c r="AI305" s="21"/>
      <c r="AJ305" s="20"/>
      <c r="AK305" s="20"/>
      <c r="AL305" s="20"/>
      <c r="AM305" s="19">
        <v>35000</v>
      </c>
      <c r="AN305" s="19">
        <v>30000</v>
      </c>
      <c r="AO305" s="19"/>
      <c r="AP305" s="19"/>
      <c r="AQ305" s="19"/>
      <c r="AR305" s="19">
        <f t="shared" si="62"/>
        <v>65000</v>
      </c>
      <c r="AS305" s="17">
        <f t="shared" si="63"/>
        <v>-65000</v>
      </c>
      <c r="AT305" s="17">
        <f t="shared" si="64"/>
        <v>-65000</v>
      </c>
      <c r="AU305" s="17">
        <f t="shared" si="65"/>
        <v>0</v>
      </c>
      <c r="AV305" s="17">
        <f t="shared" si="59"/>
        <v>-32500</v>
      </c>
      <c r="AW305" s="17">
        <f t="shared" si="60"/>
        <v>-29250</v>
      </c>
      <c r="AX305" s="18">
        <v>50000</v>
      </c>
      <c r="AY305" s="18"/>
      <c r="AZ305" s="17">
        <f t="shared" si="67"/>
        <v>-79250</v>
      </c>
      <c r="BA305" s="16"/>
      <c r="BB305" s="15"/>
      <c r="BC305" s="15"/>
    </row>
    <row r="306" spans="1:55" s="6" customFormat="1" ht="16.899999999999999">
      <c r="A306" s="36">
        <v>305</v>
      </c>
      <c r="B306" s="35"/>
      <c r="C306" s="33"/>
      <c r="D306" s="33"/>
      <c r="E306" s="33"/>
      <c r="F306" s="33"/>
      <c r="G306" s="33"/>
      <c r="H306" s="33"/>
      <c r="I306" s="33"/>
      <c r="J306" s="33"/>
      <c r="K306" s="35"/>
      <c r="L306" s="34"/>
      <c r="M306" s="32"/>
      <c r="N306" s="32"/>
      <c r="O306" s="31">
        <f t="shared" si="57"/>
        <v>0</v>
      </c>
      <c r="P306" s="30"/>
      <c r="Q306" s="30"/>
      <c r="R306" s="30"/>
      <c r="S306" s="30"/>
      <c r="T306" s="29"/>
      <c r="U306" s="20"/>
      <c r="V306" s="28"/>
      <c r="W306" s="20"/>
      <c r="X306" s="27"/>
      <c r="Y306" s="26"/>
      <c r="Z306" s="25">
        <f t="shared" si="66"/>
        <v>0</v>
      </c>
      <c r="AA306" s="20">
        <f t="shared" si="61"/>
        <v>0</v>
      </c>
      <c r="AB306" s="24">
        <f t="shared" si="58"/>
        <v>0</v>
      </c>
      <c r="AC306" s="37"/>
      <c r="AD306" s="37"/>
      <c r="AE306" s="22"/>
      <c r="AF306" s="20"/>
      <c r="AG306" s="21"/>
      <c r="AH306" s="20"/>
      <c r="AI306" s="21"/>
      <c r="AJ306" s="20"/>
      <c r="AK306" s="20"/>
      <c r="AL306" s="20"/>
      <c r="AM306" s="19">
        <v>35000</v>
      </c>
      <c r="AN306" s="19">
        <v>30000</v>
      </c>
      <c r="AO306" s="19"/>
      <c r="AP306" s="19"/>
      <c r="AQ306" s="19"/>
      <c r="AR306" s="19">
        <f t="shared" si="62"/>
        <v>65000</v>
      </c>
      <c r="AS306" s="17">
        <f t="shared" si="63"/>
        <v>-65000</v>
      </c>
      <c r="AT306" s="17">
        <f t="shared" si="64"/>
        <v>-65000</v>
      </c>
      <c r="AU306" s="17">
        <f t="shared" si="65"/>
        <v>0</v>
      </c>
      <c r="AV306" s="17">
        <f t="shared" si="59"/>
        <v>-32500</v>
      </c>
      <c r="AW306" s="17">
        <f t="shared" si="60"/>
        <v>-29250</v>
      </c>
      <c r="AX306" s="18">
        <v>50000</v>
      </c>
      <c r="AY306" s="18"/>
      <c r="AZ306" s="17">
        <f t="shared" si="67"/>
        <v>-79250</v>
      </c>
      <c r="BA306" s="16"/>
      <c r="BB306" s="15"/>
      <c r="BC306" s="15"/>
    </row>
    <row r="307" spans="1:55" s="6" customFormat="1" ht="16.899999999999999">
      <c r="A307" s="36">
        <v>306</v>
      </c>
      <c r="B307" s="35"/>
      <c r="C307" s="33"/>
      <c r="D307" s="33"/>
      <c r="E307" s="33"/>
      <c r="F307" s="33"/>
      <c r="G307" s="33"/>
      <c r="H307" s="33"/>
      <c r="I307" s="33"/>
      <c r="J307" s="33"/>
      <c r="K307" s="35"/>
      <c r="L307" s="34"/>
      <c r="M307" s="32"/>
      <c r="N307" s="32"/>
      <c r="O307" s="31">
        <f t="shared" si="57"/>
        <v>0</v>
      </c>
      <c r="P307" s="30"/>
      <c r="Q307" s="30"/>
      <c r="R307" s="30"/>
      <c r="S307" s="30"/>
      <c r="T307" s="29"/>
      <c r="U307" s="20"/>
      <c r="V307" s="28"/>
      <c r="W307" s="20"/>
      <c r="X307" s="27"/>
      <c r="Y307" s="26"/>
      <c r="Z307" s="25">
        <f t="shared" si="66"/>
        <v>0</v>
      </c>
      <c r="AA307" s="20">
        <f t="shared" si="61"/>
        <v>0</v>
      </c>
      <c r="AB307" s="24">
        <f t="shared" si="58"/>
        <v>0</v>
      </c>
      <c r="AC307" s="37"/>
      <c r="AD307" s="37"/>
      <c r="AE307" s="22"/>
      <c r="AF307" s="20"/>
      <c r="AG307" s="21"/>
      <c r="AH307" s="20"/>
      <c r="AI307" s="21"/>
      <c r="AJ307" s="20"/>
      <c r="AK307" s="20"/>
      <c r="AL307" s="20"/>
      <c r="AM307" s="19">
        <v>35000</v>
      </c>
      <c r="AN307" s="19">
        <v>30000</v>
      </c>
      <c r="AO307" s="19"/>
      <c r="AP307" s="19"/>
      <c r="AQ307" s="19"/>
      <c r="AR307" s="19">
        <f t="shared" si="62"/>
        <v>65000</v>
      </c>
      <c r="AS307" s="17">
        <f t="shared" si="63"/>
        <v>-65000</v>
      </c>
      <c r="AT307" s="17">
        <f t="shared" si="64"/>
        <v>-65000</v>
      </c>
      <c r="AU307" s="17">
        <f t="shared" si="65"/>
        <v>0</v>
      </c>
      <c r="AV307" s="17">
        <f t="shared" si="59"/>
        <v>-32500</v>
      </c>
      <c r="AW307" s="17">
        <f t="shared" si="60"/>
        <v>-29250</v>
      </c>
      <c r="AX307" s="18">
        <v>50000</v>
      </c>
      <c r="AY307" s="18"/>
      <c r="AZ307" s="17">
        <f t="shared" si="67"/>
        <v>-79250</v>
      </c>
      <c r="BA307" s="16"/>
      <c r="BB307" s="15"/>
      <c r="BC307" s="15"/>
    </row>
    <row r="308" spans="1:55" s="6" customFormat="1" ht="16.899999999999999">
      <c r="A308" s="36">
        <v>307</v>
      </c>
      <c r="B308" s="35"/>
      <c r="C308" s="33"/>
      <c r="D308" s="33"/>
      <c r="E308" s="33"/>
      <c r="F308" s="33"/>
      <c r="G308" s="33"/>
      <c r="H308" s="33"/>
      <c r="I308" s="33"/>
      <c r="J308" s="33"/>
      <c r="K308" s="35"/>
      <c r="L308" s="34"/>
      <c r="M308" s="32"/>
      <c r="N308" s="32"/>
      <c r="O308" s="31">
        <f t="shared" si="57"/>
        <v>0</v>
      </c>
      <c r="P308" s="30"/>
      <c r="Q308" s="30"/>
      <c r="R308" s="30"/>
      <c r="S308" s="30"/>
      <c r="T308" s="29"/>
      <c r="U308" s="20"/>
      <c r="V308" s="28"/>
      <c r="W308" s="20"/>
      <c r="X308" s="27"/>
      <c r="Y308" s="26"/>
      <c r="Z308" s="25">
        <f t="shared" si="66"/>
        <v>0</v>
      </c>
      <c r="AA308" s="20">
        <f t="shared" si="61"/>
        <v>0</v>
      </c>
      <c r="AB308" s="24">
        <f t="shared" si="58"/>
        <v>0</v>
      </c>
      <c r="AC308" s="37"/>
      <c r="AD308" s="37"/>
      <c r="AE308" s="22"/>
      <c r="AF308" s="20"/>
      <c r="AG308" s="21"/>
      <c r="AH308" s="20"/>
      <c r="AI308" s="21"/>
      <c r="AJ308" s="20"/>
      <c r="AK308" s="20"/>
      <c r="AL308" s="20"/>
      <c r="AM308" s="19">
        <v>35000</v>
      </c>
      <c r="AN308" s="19">
        <v>30000</v>
      </c>
      <c r="AO308" s="19"/>
      <c r="AP308" s="19"/>
      <c r="AQ308" s="19"/>
      <c r="AR308" s="19">
        <f t="shared" si="62"/>
        <v>65000</v>
      </c>
      <c r="AS308" s="17">
        <f t="shared" si="63"/>
        <v>-65000</v>
      </c>
      <c r="AT308" s="17">
        <f t="shared" si="64"/>
        <v>-65000</v>
      </c>
      <c r="AU308" s="17">
        <f t="shared" si="65"/>
        <v>0</v>
      </c>
      <c r="AV308" s="17">
        <f t="shared" si="59"/>
        <v>-32500</v>
      </c>
      <c r="AW308" s="17">
        <f t="shared" si="60"/>
        <v>-29250</v>
      </c>
      <c r="AX308" s="18">
        <v>50000</v>
      </c>
      <c r="AY308" s="18"/>
      <c r="AZ308" s="17">
        <f t="shared" si="67"/>
        <v>-79250</v>
      </c>
      <c r="BA308" s="16"/>
      <c r="BB308" s="15"/>
      <c r="BC308" s="15"/>
    </row>
    <row r="309" spans="1:55" s="6" customFormat="1" ht="16.899999999999999">
      <c r="A309" s="36">
        <v>308</v>
      </c>
      <c r="B309" s="35"/>
      <c r="C309" s="33"/>
      <c r="D309" s="33"/>
      <c r="E309" s="33"/>
      <c r="F309" s="33"/>
      <c r="G309" s="33"/>
      <c r="H309" s="33"/>
      <c r="I309" s="33"/>
      <c r="J309" s="33"/>
      <c r="K309" s="35"/>
      <c r="L309" s="34"/>
      <c r="M309" s="32"/>
      <c r="N309" s="32"/>
      <c r="O309" s="31">
        <f t="shared" si="57"/>
        <v>0</v>
      </c>
      <c r="P309" s="30"/>
      <c r="Q309" s="30"/>
      <c r="R309" s="30"/>
      <c r="S309" s="30"/>
      <c r="T309" s="29"/>
      <c r="U309" s="20"/>
      <c r="V309" s="28"/>
      <c r="W309" s="20"/>
      <c r="X309" s="27"/>
      <c r="Y309" s="26"/>
      <c r="Z309" s="25">
        <f t="shared" si="66"/>
        <v>0</v>
      </c>
      <c r="AA309" s="20">
        <f t="shared" si="61"/>
        <v>0</v>
      </c>
      <c r="AB309" s="24">
        <f t="shared" si="58"/>
        <v>0</v>
      </c>
      <c r="AC309" s="37"/>
      <c r="AD309" s="37"/>
      <c r="AE309" s="22"/>
      <c r="AF309" s="20"/>
      <c r="AG309" s="21"/>
      <c r="AH309" s="20"/>
      <c r="AI309" s="21"/>
      <c r="AJ309" s="20"/>
      <c r="AK309" s="20"/>
      <c r="AL309" s="20"/>
      <c r="AM309" s="19">
        <v>35000</v>
      </c>
      <c r="AN309" s="19">
        <v>30000</v>
      </c>
      <c r="AO309" s="19"/>
      <c r="AP309" s="19"/>
      <c r="AQ309" s="19"/>
      <c r="AR309" s="19">
        <f t="shared" si="62"/>
        <v>65000</v>
      </c>
      <c r="AS309" s="17">
        <f t="shared" si="63"/>
        <v>-65000</v>
      </c>
      <c r="AT309" s="17">
        <f t="shared" si="64"/>
        <v>-65000</v>
      </c>
      <c r="AU309" s="17">
        <f t="shared" si="65"/>
        <v>0</v>
      </c>
      <c r="AV309" s="17">
        <f t="shared" si="59"/>
        <v>-32500</v>
      </c>
      <c r="AW309" s="17">
        <f t="shared" si="60"/>
        <v>-29250</v>
      </c>
      <c r="AX309" s="18">
        <v>50000</v>
      </c>
      <c r="AY309" s="18"/>
      <c r="AZ309" s="17">
        <f t="shared" si="67"/>
        <v>-79250</v>
      </c>
      <c r="BA309" s="16"/>
      <c r="BB309" s="15"/>
      <c r="BC309" s="15"/>
    </row>
    <row r="310" spans="1:55" s="6" customFormat="1" ht="16.899999999999999">
      <c r="A310" s="36">
        <v>309</v>
      </c>
      <c r="B310" s="35"/>
      <c r="C310" s="33"/>
      <c r="D310" s="33"/>
      <c r="E310" s="33"/>
      <c r="F310" s="33"/>
      <c r="G310" s="33"/>
      <c r="H310" s="33"/>
      <c r="I310" s="33"/>
      <c r="J310" s="33"/>
      <c r="K310" s="35"/>
      <c r="L310" s="34"/>
      <c r="M310" s="32"/>
      <c r="N310" s="32"/>
      <c r="O310" s="31">
        <f t="shared" si="57"/>
        <v>0</v>
      </c>
      <c r="P310" s="30"/>
      <c r="Q310" s="30"/>
      <c r="R310" s="30"/>
      <c r="S310" s="30"/>
      <c r="T310" s="29"/>
      <c r="U310" s="20"/>
      <c r="V310" s="28"/>
      <c r="W310" s="20"/>
      <c r="X310" s="27"/>
      <c r="Y310" s="26"/>
      <c r="Z310" s="25">
        <f t="shared" si="66"/>
        <v>0</v>
      </c>
      <c r="AA310" s="20">
        <f t="shared" si="61"/>
        <v>0</v>
      </c>
      <c r="AB310" s="24">
        <f t="shared" si="58"/>
        <v>0</v>
      </c>
      <c r="AC310" s="37"/>
      <c r="AD310" s="37"/>
      <c r="AE310" s="22"/>
      <c r="AF310" s="20"/>
      <c r="AG310" s="21"/>
      <c r="AH310" s="20"/>
      <c r="AI310" s="21"/>
      <c r="AJ310" s="20"/>
      <c r="AK310" s="20"/>
      <c r="AL310" s="20"/>
      <c r="AM310" s="19">
        <v>35000</v>
      </c>
      <c r="AN310" s="19">
        <v>30000</v>
      </c>
      <c r="AO310" s="19"/>
      <c r="AP310" s="19"/>
      <c r="AQ310" s="19"/>
      <c r="AR310" s="19">
        <f t="shared" si="62"/>
        <v>65000</v>
      </c>
      <c r="AS310" s="17">
        <f t="shared" si="63"/>
        <v>-65000</v>
      </c>
      <c r="AT310" s="17">
        <f t="shared" si="64"/>
        <v>-65000</v>
      </c>
      <c r="AU310" s="17">
        <f t="shared" si="65"/>
        <v>0</v>
      </c>
      <c r="AV310" s="17">
        <f t="shared" si="59"/>
        <v>-32500</v>
      </c>
      <c r="AW310" s="17">
        <f t="shared" si="60"/>
        <v>-29250</v>
      </c>
      <c r="AX310" s="18">
        <v>50000</v>
      </c>
      <c r="AY310" s="18"/>
      <c r="AZ310" s="17">
        <f t="shared" si="67"/>
        <v>-79250</v>
      </c>
      <c r="BA310" s="16"/>
      <c r="BB310" s="15"/>
      <c r="BC310" s="15"/>
    </row>
    <row r="311" spans="1:55" s="6" customFormat="1" ht="16.899999999999999">
      <c r="A311" s="36">
        <v>310</v>
      </c>
      <c r="B311" s="35"/>
      <c r="C311" s="33"/>
      <c r="D311" s="33"/>
      <c r="E311" s="33"/>
      <c r="F311" s="33"/>
      <c r="G311" s="33"/>
      <c r="H311" s="33"/>
      <c r="I311" s="33"/>
      <c r="J311" s="33"/>
      <c r="K311" s="35"/>
      <c r="L311" s="34"/>
      <c r="M311" s="32"/>
      <c r="N311" s="32"/>
      <c r="O311" s="31">
        <f t="shared" si="57"/>
        <v>0</v>
      </c>
      <c r="P311" s="30"/>
      <c r="Q311" s="30"/>
      <c r="R311" s="30"/>
      <c r="S311" s="30"/>
      <c r="T311" s="29"/>
      <c r="U311" s="20"/>
      <c r="V311" s="28"/>
      <c r="W311" s="20"/>
      <c r="X311" s="27"/>
      <c r="Y311" s="26"/>
      <c r="Z311" s="25">
        <f t="shared" si="66"/>
        <v>0</v>
      </c>
      <c r="AA311" s="20">
        <f t="shared" si="61"/>
        <v>0</v>
      </c>
      <c r="AB311" s="24">
        <f t="shared" si="58"/>
        <v>0</v>
      </c>
      <c r="AC311" s="37"/>
      <c r="AD311" s="37"/>
      <c r="AE311" s="22"/>
      <c r="AF311" s="20"/>
      <c r="AG311" s="21"/>
      <c r="AH311" s="20"/>
      <c r="AI311" s="21"/>
      <c r="AJ311" s="20"/>
      <c r="AK311" s="20"/>
      <c r="AL311" s="20"/>
      <c r="AM311" s="19">
        <v>35000</v>
      </c>
      <c r="AN311" s="19">
        <v>30000</v>
      </c>
      <c r="AO311" s="19"/>
      <c r="AP311" s="19"/>
      <c r="AQ311" s="19"/>
      <c r="AR311" s="19">
        <f t="shared" si="62"/>
        <v>65000</v>
      </c>
      <c r="AS311" s="17">
        <f t="shared" si="63"/>
        <v>-65000</v>
      </c>
      <c r="AT311" s="17">
        <f t="shared" si="64"/>
        <v>-65000</v>
      </c>
      <c r="AU311" s="17">
        <f t="shared" si="65"/>
        <v>0</v>
      </c>
      <c r="AV311" s="17">
        <f t="shared" si="59"/>
        <v>-32500</v>
      </c>
      <c r="AW311" s="17">
        <f t="shared" si="60"/>
        <v>-29250</v>
      </c>
      <c r="AX311" s="18">
        <v>50000</v>
      </c>
      <c r="AY311" s="18"/>
      <c r="AZ311" s="17">
        <f t="shared" si="67"/>
        <v>-79250</v>
      </c>
      <c r="BA311" s="16"/>
      <c r="BB311" s="15"/>
      <c r="BC311" s="15"/>
    </row>
    <row r="312" spans="1:55" s="6" customFormat="1" ht="16.899999999999999">
      <c r="A312" s="36">
        <v>311</v>
      </c>
      <c r="B312" s="35"/>
      <c r="C312" s="33"/>
      <c r="D312" s="33"/>
      <c r="E312" s="33"/>
      <c r="F312" s="33"/>
      <c r="G312" s="33"/>
      <c r="H312" s="33"/>
      <c r="I312" s="33"/>
      <c r="J312" s="33"/>
      <c r="K312" s="35"/>
      <c r="L312" s="34"/>
      <c r="M312" s="32"/>
      <c r="N312" s="32"/>
      <c r="O312" s="31">
        <f t="shared" si="57"/>
        <v>0</v>
      </c>
      <c r="P312" s="30"/>
      <c r="Q312" s="30"/>
      <c r="R312" s="30"/>
      <c r="S312" s="30"/>
      <c r="T312" s="29"/>
      <c r="U312" s="20"/>
      <c r="V312" s="28"/>
      <c r="W312" s="20"/>
      <c r="X312" s="27"/>
      <c r="Y312" s="26"/>
      <c r="Z312" s="25">
        <f t="shared" si="66"/>
        <v>0</v>
      </c>
      <c r="AA312" s="20">
        <f t="shared" si="61"/>
        <v>0</v>
      </c>
      <c r="AB312" s="24">
        <f t="shared" si="58"/>
        <v>0</v>
      </c>
      <c r="AC312" s="37"/>
      <c r="AD312" s="37"/>
      <c r="AE312" s="22"/>
      <c r="AF312" s="20"/>
      <c r="AG312" s="21"/>
      <c r="AH312" s="20"/>
      <c r="AI312" s="21"/>
      <c r="AJ312" s="20"/>
      <c r="AK312" s="20"/>
      <c r="AL312" s="20"/>
      <c r="AM312" s="19">
        <v>35000</v>
      </c>
      <c r="AN312" s="19">
        <v>30000</v>
      </c>
      <c r="AO312" s="19"/>
      <c r="AP312" s="19"/>
      <c r="AQ312" s="19"/>
      <c r="AR312" s="19">
        <f t="shared" si="62"/>
        <v>65000</v>
      </c>
      <c r="AS312" s="17">
        <f t="shared" si="63"/>
        <v>-65000</v>
      </c>
      <c r="AT312" s="17">
        <f t="shared" si="64"/>
        <v>-65000</v>
      </c>
      <c r="AU312" s="17">
        <f t="shared" si="65"/>
        <v>0</v>
      </c>
      <c r="AV312" s="17">
        <f t="shared" si="59"/>
        <v>-32500</v>
      </c>
      <c r="AW312" s="17">
        <f t="shared" si="60"/>
        <v>-29250</v>
      </c>
      <c r="AX312" s="18">
        <v>50000</v>
      </c>
      <c r="AY312" s="18"/>
      <c r="AZ312" s="17">
        <f t="shared" si="67"/>
        <v>-79250</v>
      </c>
      <c r="BA312" s="16"/>
      <c r="BB312" s="15"/>
      <c r="BC312" s="15"/>
    </row>
    <row r="313" spans="1:55" s="6" customFormat="1" ht="16.899999999999999">
      <c r="A313" s="36">
        <v>312</v>
      </c>
      <c r="B313" s="35"/>
      <c r="C313" s="33"/>
      <c r="D313" s="33"/>
      <c r="E313" s="33"/>
      <c r="F313" s="33"/>
      <c r="G313" s="33"/>
      <c r="H313" s="33"/>
      <c r="I313" s="33"/>
      <c r="J313" s="33"/>
      <c r="K313" s="35"/>
      <c r="L313" s="34"/>
      <c r="M313" s="32"/>
      <c r="N313" s="32"/>
      <c r="O313" s="31">
        <f t="shared" si="57"/>
        <v>0</v>
      </c>
      <c r="P313" s="30"/>
      <c r="Q313" s="30"/>
      <c r="R313" s="30"/>
      <c r="S313" s="30"/>
      <c r="T313" s="29"/>
      <c r="U313" s="20"/>
      <c r="V313" s="28"/>
      <c r="W313" s="20"/>
      <c r="X313" s="27"/>
      <c r="Y313" s="26"/>
      <c r="Z313" s="25">
        <f t="shared" si="66"/>
        <v>0</v>
      </c>
      <c r="AA313" s="20">
        <f t="shared" si="61"/>
        <v>0</v>
      </c>
      <c r="AB313" s="24">
        <f t="shared" si="58"/>
        <v>0</v>
      </c>
      <c r="AC313" s="37"/>
      <c r="AD313" s="37"/>
      <c r="AE313" s="22"/>
      <c r="AF313" s="20"/>
      <c r="AG313" s="21"/>
      <c r="AH313" s="20"/>
      <c r="AI313" s="21"/>
      <c r="AJ313" s="20"/>
      <c r="AK313" s="20"/>
      <c r="AL313" s="20"/>
      <c r="AM313" s="19">
        <v>35000</v>
      </c>
      <c r="AN313" s="19">
        <v>30000</v>
      </c>
      <c r="AO313" s="19"/>
      <c r="AP313" s="19"/>
      <c r="AQ313" s="19"/>
      <c r="AR313" s="19">
        <f t="shared" si="62"/>
        <v>65000</v>
      </c>
      <c r="AS313" s="17">
        <f t="shared" si="63"/>
        <v>-65000</v>
      </c>
      <c r="AT313" s="17">
        <f t="shared" si="64"/>
        <v>-65000</v>
      </c>
      <c r="AU313" s="17">
        <f t="shared" si="65"/>
        <v>0</v>
      </c>
      <c r="AV313" s="17">
        <f t="shared" si="59"/>
        <v>-32500</v>
      </c>
      <c r="AW313" s="17">
        <f t="shared" si="60"/>
        <v>-29250</v>
      </c>
      <c r="AX313" s="18">
        <v>50000</v>
      </c>
      <c r="AY313" s="18"/>
      <c r="AZ313" s="17">
        <f t="shared" si="67"/>
        <v>-79250</v>
      </c>
      <c r="BA313" s="16"/>
      <c r="BB313" s="15"/>
      <c r="BC313" s="15"/>
    </row>
    <row r="314" spans="1:55" s="6" customFormat="1" ht="16.899999999999999">
      <c r="A314" s="36">
        <v>313</v>
      </c>
      <c r="B314" s="35"/>
      <c r="C314" s="33"/>
      <c r="D314" s="33"/>
      <c r="E314" s="33"/>
      <c r="F314" s="33"/>
      <c r="G314" s="33"/>
      <c r="H314" s="33"/>
      <c r="I314" s="33"/>
      <c r="J314" s="33"/>
      <c r="K314" s="35"/>
      <c r="L314" s="34"/>
      <c r="M314" s="32"/>
      <c r="N314" s="32"/>
      <c r="O314" s="31">
        <f t="shared" si="57"/>
        <v>0</v>
      </c>
      <c r="P314" s="30"/>
      <c r="Q314" s="30"/>
      <c r="R314" s="30"/>
      <c r="S314" s="30"/>
      <c r="T314" s="29"/>
      <c r="U314" s="20"/>
      <c r="V314" s="28"/>
      <c r="W314" s="20"/>
      <c r="X314" s="27"/>
      <c r="Y314" s="26"/>
      <c r="Z314" s="25">
        <f t="shared" si="66"/>
        <v>0</v>
      </c>
      <c r="AA314" s="20">
        <f t="shared" si="61"/>
        <v>0</v>
      </c>
      <c r="AB314" s="24">
        <f t="shared" si="58"/>
        <v>0</v>
      </c>
      <c r="AC314" s="37"/>
      <c r="AD314" s="37"/>
      <c r="AE314" s="22"/>
      <c r="AF314" s="20"/>
      <c r="AG314" s="21"/>
      <c r="AH314" s="20"/>
      <c r="AI314" s="21"/>
      <c r="AJ314" s="20"/>
      <c r="AK314" s="20"/>
      <c r="AL314" s="20"/>
      <c r="AM314" s="19">
        <v>35000</v>
      </c>
      <c r="AN314" s="19">
        <v>30000</v>
      </c>
      <c r="AO314" s="19"/>
      <c r="AP314" s="19"/>
      <c r="AQ314" s="19"/>
      <c r="AR314" s="19">
        <f t="shared" si="62"/>
        <v>65000</v>
      </c>
      <c r="AS314" s="17">
        <f t="shared" si="63"/>
        <v>-65000</v>
      </c>
      <c r="AT314" s="17">
        <f t="shared" si="64"/>
        <v>-65000</v>
      </c>
      <c r="AU314" s="17">
        <f t="shared" si="65"/>
        <v>0</v>
      </c>
      <c r="AV314" s="17">
        <f t="shared" si="59"/>
        <v>-32500</v>
      </c>
      <c r="AW314" s="17">
        <f t="shared" si="60"/>
        <v>-29250</v>
      </c>
      <c r="AX314" s="18">
        <v>50000</v>
      </c>
      <c r="AY314" s="18"/>
      <c r="AZ314" s="17">
        <f t="shared" si="67"/>
        <v>-79250</v>
      </c>
      <c r="BA314" s="16"/>
      <c r="BB314" s="15"/>
      <c r="BC314" s="15"/>
    </row>
    <row r="315" spans="1:55" s="6" customFormat="1" ht="16.899999999999999">
      <c r="A315" s="36">
        <v>314</v>
      </c>
      <c r="B315" s="35"/>
      <c r="C315" s="33"/>
      <c r="D315" s="33"/>
      <c r="E315" s="33"/>
      <c r="F315" s="33"/>
      <c r="G315" s="33"/>
      <c r="H315" s="33"/>
      <c r="I315" s="33"/>
      <c r="J315" s="33"/>
      <c r="K315" s="35"/>
      <c r="L315" s="34"/>
      <c r="M315" s="32"/>
      <c r="N315" s="32"/>
      <c r="O315" s="31">
        <f t="shared" si="57"/>
        <v>0</v>
      </c>
      <c r="P315" s="30"/>
      <c r="Q315" s="30"/>
      <c r="R315" s="30"/>
      <c r="S315" s="30"/>
      <c r="T315" s="29"/>
      <c r="U315" s="20"/>
      <c r="V315" s="28"/>
      <c r="W315" s="20"/>
      <c r="X315" s="27"/>
      <c r="Y315" s="26"/>
      <c r="Z315" s="25">
        <f t="shared" si="66"/>
        <v>0</v>
      </c>
      <c r="AA315" s="20">
        <f t="shared" si="61"/>
        <v>0</v>
      </c>
      <c r="AB315" s="24">
        <f t="shared" si="58"/>
        <v>0</v>
      </c>
      <c r="AC315" s="37"/>
      <c r="AD315" s="37"/>
      <c r="AE315" s="22"/>
      <c r="AF315" s="20"/>
      <c r="AG315" s="21"/>
      <c r="AH315" s="20"/>
      <c r="AI315" s="21"/>
      <c r="AJ315" s="20"/>
      <c r="AK315" s="20"/>
      <c r="AL315" s="20"/>
      <c r="AM315" s="19">
        <v>35000</v>
      </c>
      <c r="AN315" s="19">
        <v>30000</v>
      </c>
      <c r="AO315" s="19"/>
      <c r="AP315" s="19"/>
      <c r="AQ315" s="19"/>
      <c r="AR315" s="19">
        <f t="shared" si="62"/>
        <v>65000</v>
      </c>
      <c r="AS315" s="17">
        <f t="shared" si="63"/>
        <v>-65000</v>
      </c>
      <c r="AT315" s="17">
        <f t="shared" si="64"/>
        <v>-65000</v>
      </c>
      <c r="AU315" s="17">
        <f t="shared" si="65"/>
        <v>0</v>
      </c>
      <c r="AV315" s="17">
        <f t="shared" si="59"/>
        <v>-32500</v>
      </c>
      <c r="AW315" s="17">
        <f t="shared" si="60"/>
        <v>-29250</v>
      </c>
      <c r="AX315" s="18">
        <v>50000</v>
      </c>
      <c r="AY315" s="18"/>
      <c r="AZ315" s="17">
        <f t="shared" si="67"/>
        <v>-79250</v>
      </c>
      <c r="BA315" s="16"/>
      <c r="BB315" s="15"/>
      <c r="BC315" s="15"/>
    </row>
    <row r="316" spans="1:55" s="6" customFormat="1" ht="16.899999999999999">
      <c r="A316" s="36">
        <v>315</v>
      </c>
      <c r="B316" s="35"/>
      <c r="C316" s="33"/>
      <c r="D316" s="33"/>
      <c r="E316" s="33"/>
      <c r="F316" s="33"/>
      <c r="G316" s="33"/>
      <c r="H316" s="33"/>
      <c r="I316" s="33"/>
      <c r="J316" s="33"/>
      <c r="K316" s="35"/>
      <c r="L316" s="34"/>
      <c r="M316" s="32"/>
      <c r="N316" s="32"/>
      <c r="O316" s="31">
        <f t="shared" ref="O316:O379" si="68">M316+N316</f>
        <v>0</v>
      </c>
      <c r="P316" s="30"/>
      <c r="Q316" s="30"/>
      <c r="R316" s="30"/>
      <c r="S316" s="30"/>
      <c r="T316" s="29"/>
      <c r="U316" s="20"/>
      <c r="V316" s="28"/>
      <c r="W316" s="20"/>
      <c r="X316" s="27"/>
      <c r="Y316" s="26"/>
      <c r="Z316" s="25">
        <f t="shared" si="66"/>
        <v>0</v>
      </c>
      <c r="AA316" s="20">
        <f t="shared" si="61"/>
        <v>0</v>
      </c>
      <c r="AB316" s="24">
        <f t="shared" ref="AB316:AB379" si="69">SUM(AA316-Z316)</f>
        <v>0</v>
      </c>
      <c r="AC316" s="37"/>
      <c r="AD316" s="37"/>
      <c r="AE316" s="22"/>
      <c r="AF316" s="20"/>
      <c r="AG316" s="21"/>
      <c r="AH316" s="20"/>
      <c r="AI316" s="21"/>
      <c r="AJ316" s="20"/>
      <c r="AK316" s="20"/>
      <c r="AL316" s="20"/>
      <c r="AM316" s="19">
        <v>35000</v>
      </c>
      <c r="AN316" s="19">
        <v>30000</v>
      </c>
      <c r="AO316" s="19"/>
      <c r="AP316" s="19"/>
      <c r="AQ316" s="19"/>
      <c r="AR316" s="19">
        <f t="shared" si="62"/>
        <v>65000</v>
      </c>
      <c r="AS316" s="17">
        <f t="shared" si="63"/>
        <v>-65000</v>
      </c>
      <c r="AT316" s="17">
        <f t="shared" si="64"/>
        <v>-65000</v>
      </c>
      <c r="AU316" s="17">
        <f t="shared" si="65"/>
        <v>0</v>
      </c>
      <c r="AV316" s="17">
        <f t="shared" ref="AV316:AV379" si="70">SUM(AT316:AU316)/2</f>
        <v>-32500</v>
      </c>
      <c r="AW316" s="17">
        <f t="shared" ref="AW316:AW379" si="71">AV316-(AV316*10%)</f>
        <v>-29250</v>
      </c>
      <c r="AX316" s="18">
        <v>50000</v>
      </c>
      <c r="AY316" s="18"/>
      <c r="AZ316" s="17">
        <f t="shared" si="67"/>
        <v>-79250</v>
      </c>
      <c r="BA316" s="16"/>
      <c r="BB316" s="15"/>
      <c r="BC316" s="15"/>
    </row>
    <row r="317" spans="1:55" s="6" customFormat="1" ht="16.899999999999999">
      <c r="A317" s="36">
        <v>316</v>
      </c>
      <c r="B317" s="35"/>
      <c r="C317" s="33"/>
      <c r="D317" s="33"/>
      <c r="E317" s="33"/>
      <c r="F317" s="33"/>
      <c r="G317" s="33"/>
      <c r="H317" s="33"/>
      <c r="I317" s="33"/>
      <c r="J317" s="33"/>
      <c r="K317" s="35"/>
      <c r="L317" s="34"/>
      <c r="M317" s="32"/>
      <c r="N317" s="32"/>
      <c r="O317" s="31">
        <f t="shared" si="68"/>
        <v>0</v>
      </c>
      <c r="P317" s="30"/>
      <c r="Q317" s="30"/>
      <c r="R317" s="30"/>
      <c r="S317" s="30"/>
      <c r="T317" s="29"/>
      <c r="U317" s="20"/>
      <c r="V317" s="28"/>
      <c r="W317" s="20"/>
      <c r="X317" s="27"/>
      <c r="Y317" s="26"/>
      <c r="Z317" s="25">
        <f t="shared" si="66"/>
        <v>0</v>
      </c>
      <c r="AA317" s="20">
        <f t="shared" si="61"/>
        <v>0</v>
      </c>
      <c r="AB317" s="24">
        <f t="shared" si="69"/>
        <v>0</v>
      </c>
      <c r="AC317" s="37"/>
      <c r="AD317" s="37"/>
      <c r="AE317" s="22"/>
      <c r="AF317" s="20"/>
      <c r="AG317" s="21"/>
      <c r="AH317" s="20"/>
      <c r="AI317" s="21"/>
      <c r="AJ317" s="20"/>
      <c r="AK317" s="20"/>
      <c r="AL317" s="20"/>
      <c r="AM317" s="19">
        <v>35000</v>
      </c>
      <c r="AN317" s="19">
        <v>30000</v>
      </c>
      <c r="AO317" s="19"/>
      <c r="AP317" s="19"/>
      <c r="AQ317" s="19"/>
      <c r="AR317" s="19">
        <f t="shared" si="62"/>
        <v>65000</v>
      </c>
      <c r="AS317" s="17">
        <f t="shared" si="63"/>
        <v>-65000</v>
      </c>
      <c r="AT317" s="17">
        <f t="shared" si="64"/>
        <v>-65000</v>
      </c>
      <c r="AU317" s="17">
        <f t="shared" si="65"/>
        <v>0</v>
      </c>
      <c r="AV317" s="17">
        <f t="shared" si="70"/>
        <v>-32500</v>
      </c>
      <c r="AW317" s="17">
        <f t="shared" si="71"/>
        <v>-29250</v>
      </c>
      <c r="AX317" s="18">
        <v>50000</v>
      </c>
      <c r="AY317" s="18"/>
      <c r="AZ317" s="17">
        <f t="shared" si="67"/>
        <v>-79250</v>
      </c>
      <c r="BA317" s="16"/>
      <c r="BB317" s="15"/>
      <c r="BC317" s="15"/>
    </row>
    <row r="318" spans="1:55" s="6" customFormat="1" ht="16.899999999999999">
      <c r="A318" s="36">
        <v>317</v>
      </c>
      <c r="B318" s="35"/>
      <c r="C318" s="33"/>
      <c r="D318" s="33"/>
      <c r="E318" s="33"/>
      <c r="F318" s="33"/>
      <c r="G318" s="33"/>
      <c r="H318" s="33"/>
      <c r="I318" s="33"/>
      <c r="J318" s="33"/>
      <c r="K318" s="35"/>
      <c r="L318" s="34"/>
      <c r="M318" s="32"/>
      <c r="N318" s="32"/>
      <c r="O318" s="31">
        <f t="shared" si="68"/>
        <v>0</v>
      </c>
      <c r="P318" s="30"/>
      <c r="Q318" s="30"/>
      <c r="R318" s="30"/>
      <c r="S318" s="30"/>
      <c r="T318" s="29"/>
      <c r="U318" s="20"/>
      <c r="V318" s="28"/>
      <c r="W318" s="20"/>
      <c r="X318" s="27"/>
      <c r="Y318" s="26"/>
      <c r="Z318" s="25">
        <f t="shared" si="66"/>
        <v>0</v>
      </c>
      <c r="AA318" s="20">
        <f t="shared" si="61"/>
        <v>0</v>
      </c>
      <c r="AB318" s="24">
        <f t="shared" si="69"/>
        <v>0</v>
      </c>
      <c r="AC318" s="37"/>
      <c r="AD318" s="37"/>
      <c r="AE318" s="22"/>
      <c r="AF318" s="20"/>
      <c r="AG318" s="21"/>
      <c r="AH318" s="20"/>
      <c r="AI318" s="21"/>
      <c r="AJ318" s="20"/>
      <c r="AK318" s="20"/>
      <c r="AL318" s="20"/>
      <c r="AM318" s="19">
        <v>35000</v>
      </c>
      <c r="AN318" s="19">
        <v>30000</v>
      </c>
      <c r="AO318" s="19"/>
      <c r="AP318" s="19"/>
      <c r="AQ318" s="19"/>
      <c r="AR318" s="19">
        <f t="shared" si="62"/>
        <v>65000</v>
      </c>
      <c r="AS318" s="17">
        <f t="shared" si="63"/>
        <v>-65000</v>
      </c>
      <c r="AT318" s="17">
        <f t="shared" si="64"/>
        <v>-65000</v>
      </c>
      <c r="AU318" s="17">
        <f t="shared" si="65"/>
        <v>0</v>
      </c>
      <c r="AV318" s="17">
        <f t="shared" si="70"/>
        <v>-32500</v>
      </c>
      <c r="AW318" s="17">
        <f t="shared" si="71"/>
        <v>-29250</v>
      </c>
      <c r="AX318" s="18">
        <v>50000</v>
      </c>
      <c r="AY318" s="18"/>
      <c r="AZ318" s="17">
        <f t="shared" si="67"/>
        <v>-79250</v>
      </c>
      <c r="BA318" s="16"/>
      <c r="BB318" s="15"/>
      <c r="BC318" s="15"/>
    </row>
    <row r="319" spans="1:55" s="6" customFormat="1" ht="16.899999999999999">
      <c r="A319" s="36">
        <v>318</v>
      </c>
      <c r="B319" s="35"/>
      <c r="C319" s="33"/>
      <c r="D319" s="33"/>
      <c r="E319" s="33"/>
      <c r="F319" s="33"/>
      <c r="G319" s="33"/>
      <c r="H319" s="33"/>
      <c r="I319" s="33"/>
      <c r="J319" s="33"/>
      <c r="K319" s="35"/>
      <c r="L319" s="34"/>
      <c r="M319" s="32"/>
      <c r="N319" s="32"/>
      <c r="O319" s="31">
        <f t="shared" si="68"/>
        <v>0</v>
      </c>
      <c r="P319" s="30"/>
      <c r="Q319" s="30"/>
      <c r="R319" s="30"/>
      <c r="S319" s="30"/>
      <c r="T319" s="29"/>
      <c r="U319" s="20"/>
      <c r="V319" s="28"/>
      <c r="W319" s="20"/>
      <c r="X319" s="27"/>
      <c r="Y319" s="26"/>
      <c r="Z319" s="25">
        <f t="shared" si="66"/>
        <v>0</v>
      </c>
      <c r="AA319" s="20">
        <f t="shared" si="61"/>
        <v>0</v>
      </c>
      <c r="AB319" s="24">
        <f t="shared" si="69"/>
        <v>0</v>
      </c>
      <c r="AC319" s="37"/>
      <c r="AD319" s="37"/>
      <c r="AE319" s="22"/>
      <c r="AF319" s="20"/>
      <c r="AG319" s="21"/>
      <c r="AH319" s="20"/>
      <c r="AI319" s="21"/>
      <c r="AJ319" s="20"/>
      <c r="AK319" s="20"/>
      <c r="AL319" s="20"/>
      <c r="AM319" s="19">
        <v>35000</v>
      </c>
      <c r="AN319" s="19">
        <v>30000</v>
      </c>
      <c r="AO319" s="19"/>
      <c r="AP319" s="19"/>
      <c r="AQ319" s="19"/>
      <c r="AR319" s="19">
        <f t="shared" si="62"/>
        <v>65000</v>
      </c>
      <c r="AS319" s="17">
        <f t="shared" si="63"/>
        <v>-65000</v>
      </c>
      <c r="AT319" s="17">
        <f t="shared" si="64"/>
        <v>-65000</v>
      </c>
      <c r="AU319" s="17">
        <f t="shared" si="65"/>
        <v>0</v>
      </c>
      <c r="AV319" s="17">
        <f t="shared" si="70"/>
        <v>-32500</v>
      </c>
      <c r="AW319" s="17">
        <f t="shared" si="71"/>
        <v>-29250</v>
      </c>
      <c r="AX319" s="18">
        <v>50000</v>
      </c>
      <c r="AY319" s="18"/>
      <c r="AZ319" s="17">
        <f t="shared" si="67"/>
        <v>-79250</v>
      </c>
      <c r="BA319" s="16"/>
      <c r="BB319" s="15"/>
      <c r="BC319" s="15"/>
    </row>
    <row r="320" spans="1:55" s="6" customFormat="1" ht="16.899999999999999">
      <c r="A320" s="36">
        <v>319</v>
      </c>
      <c r="B320" s="35"/>
      <c r="C320" s="33"/>
      <c r="D320" s="33"/>
      <c r="E320" s="33"/>
      <c r="F320" s="33"/>
      <c r="G320" s="33"/>
      <c r="H320" s="33"/>
      <c r="I320" s="33"/>
      <c r="J320" s="33"/>
      <c r="K320" s="35"/>
      <c r="L320" s="34"/>
      <c r="M320" s="32"/>
      <c r="N320" s="32"/>
      <c r="O320" s="31">
        <f t="shared" si="68"/>
        <v>0</v>
      </c>
      <c r="P320" s="30"/>
      <c r="Q320" s="30"/>
      <c r="R320" s="30"/>
      <c r="S320" s="30"/>
      <c r="T320" s="29"/>
      <c r="U320" s="20"/>
      <c r="V320" s="28"/>
      <c r="W320" s="20"/>
      <c r="X320" s="27"/>
      <c r="Y320" s="26"/>
      <c r="Z320" s="25">
        <f t="shared" si="66"/>
        <v>0</v>
      </c>
      <c r="AA320" s="20">
        <f t="shared" si="61"/>
        <v>0</v>
      </c>
      <c r="AB320" s="24">
        <f t="shared" si="69"/>
        <v>0</v>
      </c>
      <c r="AC320" s="37"/>
      <c r="AD320" s="37"/>
      <c r="AE320" s="22"/>
      <c r="AF320" s="20"/>
      <c r="AG320" s="21"/>
      <c r="AH320" s="20"/>
      <c r="AI320" s="21"/>
      <c r="AJ320" s="20"/>
      <c r="AK320" s="20"/>
      <c r="AL320" s="20"/>
      <c r="AM320" s="19">
        <v>35000</v>
      </c>
      <c r="AN320" s="19">
        <v>30000</v>
      </c>
      <c r="AO320" s="19"/>
      <c r="AP320" s="19"/>
      <c r="AQ320" s="19"/>
      <c r="AR320" s="19">
        <f t="shared" si="62"/>
        <v>65000</v>
      </c>
      <c r="AS320" s="17">
        <f t="shared" si="63"/>
        <v>-65000</v>
      </c>
      <c r="AT320" s="17">
        <f t="shared" si="64"/>
        <v>-65000</v>
      </c>
      <c r="AU320" s="17">
        <f t="shared" si="65"/>
        <v>0</v>
      </c>
      <c r="AV320" s="17">
        <f t="shared" si="70"/>
        <v>-32500</v>
      </c>
      <c r="AW320" s="17">
        <f t="shared" si="71"/>
        <v>-29250</v>
      </c>
      <c r="AX320" s="18">
        <v>50000</v>
      </c>
      <c r="AY320" s="18"/>
      <c r="AZ320" s="17">
        <f t="shared" si="67"/>
        <v>-79250</v>
      </c>
      <c r="BA320" s="16"/>
      <c r="BB320" s="15"/>
      <c r="BC320" s="15"/>
    </row>
    <row r="321" spans="1:55" ht="16.899999999999999">
      <c r="A321" s="36">
        <v>320</v>
      </c>
      <c r="B321" s="35"/>
      <c r="C321" s="33"/>
      <c r="D321" s="33"/>
      <c r="E321" s="33"/>
      <c r="F321" s="33"/>
      <c r="G321" s="33"/>
      <c r="H321" s="33"/>
      <c r="I321" s="33"/>
      <c r="J321" s="33"/>
      <c r="K321" s="35" t="s">
        <v>27</v>
      </c>
      <c r="L321" s="34"/>
      <c r="M321" s="32"/>
      <c r="N321" s="32"/>
      <c r="O321" s="31">
        <f t="shared" si="68"/>
        <v>0</v>
      </c>
      <c r="P321" s="30"/>
      <c r="Q321" s="30"/>
      <c r="R321" s="30"/>
      <c r="S321" s="30"/>
      <c r="T321" s="29"/>
      <c r="U321" s="20"/>
      <c r="V321" s="28"/>
      <c r="W321" s="20"/>
      <c r="X321" s="27"/>
      <c r="Y321" s="26"/>
      <c r="Z321" s="25">
        <f t="shared" si="66"/>
        <v>0</v>
      </c>
      <c r="AA321" s="20">
        <f t="shared" si="61"/>
        <v>0</v>
      </c>
      <c r="AB321" s="24">
        <f t="shared" si="69"/>
        <v>0</v>
      </c>
      <c r="AC321" s="37"/>
      <c r="AD321" s="37"/>
      <c r="AE321" s="22"/>
      <c r="AF321" s="20"/>
      <c r="AG321" s="21"/>
      <c r="AH321" s="20"/>
      <c r="AI321" s="21"/>
      <c r="AJ321" s="20"/>
      <c r="AK321" s="20"/>
      <c r="AL321" s="20"/>
      <c r="AM321" s="19">
        <v>35000</v>
      </c>
      <c r="AN321" s="19">
        <v>30000</v>
      </c>
      <c r="AO321" s="19"/>
      <c r="AP321" s="19"/>
      <c r="AQ321" s="19"/>
      <c r="AR321" s="19">
        <f t="shared" si="62"/>
        <v>65000</v>
      </c>
      <c r="AS321" s="17">
        <f t="shared" si="63"/>
        <v>-65000</v>
      </c>
      <c r="AT321" s="17">
        <f t="shared" si="64"/>
        <v>-65000</v>
      </c>
      <c r="AU321" s="17">
        <f t="shared" si="65"/>
        <v>0</v>
      </c>
      <c r="AV321" s="17">
        <f t="shared" si="70"/>
        <v>-32500</v>
      </c>
      <c r="AW321" s="17">
        <f t="shared" si="71"/>
        <v>-29250</v>
      </c>
      <c r="AX321" s="18">
        <v>50000</v>
      </c>
      <c r="AY321" s="18"/>
      <c r="AZ321" s="17">
        <f t="shared" si="67"/>
        <v>-79250</v>
      </c>
      <c r="BA321" s="16"/>
      <c r="BB321" s="16"/>
      <c r="BC321" s="16"/>
    </row>
    <row r="322" spans="1:55" ht="16.899999999999999">
      <c r="A322" s="36">
        <v>321</v>
      </c>
      <c r="B322" s="35"/>
      <c r="C322" s="33"/>
      <c r="D322" s="33"/>
      <c r="E322" s="33"/>
      <c r="F322" s="33"/>
      <c r="G322" s="33"/>
      <c r="H322" s="33"/>
      <c r="I322" s="33"/>
      <c r="J322" s="33"/>
      <c r="K322" s="35"/>
      <c r="L322" s="34"/>
      <c r="M322" s="32"/>
      <c r="N322" s="32"/>
      <c r="O322" s="31">
        <f t="shared" si="68"/>
        <v>0</v>
      </c>
      <c r="P322" s="30"/>
      <c r="Q322" s="30"/>
      <c r="R322" s="30"/>
      <c r="S322" s="30"/>
      <c r="T322" s="29"/>
      <c r="U322" s="20"/>
      <c r="V322" s="28"/>
      <c r="W322" s="20"/>
      <c r="X322" s="27"/>
      <c r="Y322" s="26"/>
      <c r="Z322" s="25">
        <f t="shared" si="66"/>
        <v>0</v>
      </c>
      <c r="AA322" s="20">
        <f t="shared" ref="AA322:AA385" si="72">SUM(AF322+AH322+AJ322+AK322-AL322)</f>
        <v>0</v>
      </c>
      <c r="AB322" s="24">
        <f t="shared" si="69"/>
        <v>0</v>
      </c>
      <c r="AC322" s="37"/>
      <c r="AD322" s="37"/>
      <c r="AE322" s="22"/>
      <c r="AF322" s="20"/>
      <c r="AG322" s="21"/>
      <c r="AH322" s="20"/>
      <c r="AI322" s="21"/>
      <c r="AJ322" s="20"/>
      <c r="AK322" s="20"/>
      <c r="AL322" s="20"/>
      <c r="AM322" s="19">
        <v>35000</v>
      </c>
      <c r="AN322" s="19">
        <v>30000</v>
      </c>
      <c r="AO322" s="19"/>
      <c r="AP322" s="19"/>
      <c r="AQ322" s="19"/>
      <c r="AR322" s="19">
        <f t="shared" ref="AR322:AR385" si="73">SUM(AM322:AQ322)</f>
        <v>65000</v>
      </c>
      <c r="AS322" s="17">
        <f t="shared" ref="AS322:AS385" si="74">SUM(Z322-V322)*U322-AR322</f>
        <v>-65000</v>
      </c>
      <c r="AT322" s="17">
        <f t="shared" ref="AT322:AT385" si="75">SUM(AS322-O322)</f>
        <v>-65000</v>
      </c>
      <c r="AU322" s="17">
        <f t="shared" ref="AU322:AU385" si="76">SUM(M322*0.09)</f>
        <v>0</v>
      </c>
      <c r="AV322" s="17">
        <f t="shared" si="70"/>
        <v>-32500</v>
      </c>
      <c r="AW322" s="17">
        <f t="shared" si="71"/>
        <v>-29250</v>
      </c>
      <c r="AX322" s="18">
        <v>50000</v>
      </c>
      <c r="AY322" s="18"/>
      <c r="AZ322" s="17">
        <f t="shared" si="67"/>
        <v>-79250</v>
      </c>
      <c r="BA322" s="16"/>
      <c r="BB322" s="16"/>
      <c r="BC322" s="16"/>
    </row>
    <row r="323" spans="1:55" ht="16.899999999999999">
      <c r="A323" s="36">
        <v>322</v>
      </c>
      <c r="B323" s="35"/>
      <c r="C323" s="33"/>
      <c r="D323" s="33"/>
      <c r="E323" s="33"/>
      <c r="F323" s="33"/>
      <c r="G323" s="33"/>
      <c r="H323" s="33"/>
      <c r="I323" s="33"/>
      <c r="J323" s="33"/>
      <c r="K323" s="35"/>
      <c r="L323" s="34"/>
      <c r="M323" s="32"/>
      <c r="N323" s="32"/>
      <c r="O323" s="31">
        <f t="shared" si="68"/>
        <v>0</v>
      </c>
      <c r="P323" s="30"/>
      <c r="Q323" s="30"/>
      <c r="R323" s="30"/>
      <c r="S323" s="30"/>
      <c r="T323" s="29"/>
      <c r="U323" s="20"/>
      <c r="V323" s="28"/>
      <c r="W323" s="20"/>
      <c r="X323" s="27"/>
      <c r="Y323" s="26"/>
      <c r="Z323" s="25">
        <f t="shared" si="66"/>
        <v>0</v>
      </c>
      <c r="AA323" s="20">
        <f t="shared" si="72"/>
        <v>0</v>
      </c>
      <c r="AB323" s="24">
        <f t="shared" si="69"/>
        <v>0</v>
      </c>
      <c r="AC323" s="37"/>
      <c r="AD323" s="37"/>
      <c r="AE323" s="22"/>
      <c r="AF323" s="20"/>
      <c r="AG323" s="21"/>
      <c r="AH323" s="20"/>
      <c r="AI323" s="21"/>
      <c r="AJ323" s="20"/>
      <c r="AK323" s="20"/>
      <c r="AL323" s="20"/>
      <c r="AM323" s="19">
        <v>35000</v>
      </c>
      <c r="AN323" s="19">
        <v>30000</v>
      </c>
      <c r="AO323" s="19"/>
      <c r="AP323" s="19"/>
      <c r="AQ323" s="19"/>
      <c r="AR323" s="19">
        <f t="shared" si="73"/>
        <v>65000</v>
      </c>
      <c r="AS323" s="17">
        <f t="shared" si="74"/>
        <v>-65000</v>
      </c>
      <c r="AT323" s="17">
        <f t="shared" si="75"/>
        <v>-65000</v>
      </c>
      <c r="AU323" s="17">
        <f t="shared" si="76"/>
        <v>0</v>
      </c>
      <c r="AV323" s="17">
        <f t="shared" si="70"/>
        <v>-32500</v>
      </c>
      <c r="AW323" s="17">
        <f t="shared" si="71"/>
        <v>-29250</v>
      </c>
      <c r="AX323" s="18">
        <v>50000</v>
      </c>
      <c r="AY323" s="18"/>
      <c r="AZ323" s="17">
        <f t="shared" si="67"/>
        <v>-79250</v>
      </c>
      <c r="BA323" s="16"/>
      <c r="BB323" s="16"/>
      <c r="BC323" s="16"/>
    </row>
    <row r="324" spans="1:55" ht="16.899999999999999">
      <c r="A324" s="36">
        <v>323</v>
      </c>
      <c r="B324" s="35"/>
      <c r="C324" s="33"/>
      <c r="D324" s="33"/>
      <c r="E324" s="33"/>
      <c r="F324" s="33"/>
      <c r="G324" s="33"/>
      <c r="H324" s="33"/>
      <c r="I324" s="33"/>
      <c r="J324" s="33"/>
      <c r="K324" s="35"/>
      <c r="L324" s="34"/>
      <c r="M324" s="32"/>
      <c r="N324" s="32"/>
      <c r="O324" s="31">
        <f t="shared" si="68"/>
        <v>0</v>
      </c>
      <c r="P324" s="30"/>
      <c r="Q324" s="30"/>
      <c r="R324" s="30"/>
      <c r="S324" s="30"/>
      <c r="T324" s="29"/>
      <c r="U324" s="20"/>
      <c r="V324" s="28"/>
      <c r="W324" s="20"/>
      <c r="X324" s="27"/>
      <c r="Y324" s="26"/>
      <c r="Z324" s="25">
        <f t="shared" si="66"/>
        <v>0</v>
      </c>
      <c r="AA324" s="20">
        <f t="shared" si="72"/>
        <v>0</v>
      </c>
      <c r="AB324" s="24">
        <f t="shared" si="69"/>
        <v>0</v>
      </c>
      <c r="AC324" s="37"/>
      <c r="AD324" s="37"/>
      <c r="AE324" s="22"/>
      <c r="AF324" s="20"/>
      <c r="AG324" s="21"/>
      <c r="AH324" s="20"/>
      <c r="AI324" s="21"/>
      <c r="AJ324" s="20"/>
      <c r="AK324" s="20"/>
      <c r="AL324" s="20"/>
      <c r="AM324" s="19">
        <v>35000</v>
      </c>
      <c r="AN324" s="19">
        <v>30000</v>
      </c>
      <c r="AO324" s="19"/>
      <c r="AP324" s="19"/>
      <c r="AQ324" s="19"/>
      <c r="AR324" s="19">
        <f t="shared" si="73"/>
        <v>65000</v>
      </c>
      <c r="AS324" s="17">
        <f t="shared" si="74"/>
        <v>-65000</v>
      </c>
      <c r="AT324" s="17">
        <f t="shared" si="75"/>
        <v>-65000</v>
      </c>
      <c r="AU324" s="17">
        <f t="shared" si="76"/>
        <v>0</v>
      </c>
      <c r="AV324" s="17">
        <f t="shared" si="70"/>
        <v>-32500</v>
      </c>
      <c r="AW324" s="17">
        <f t="shared" si="71"/>
        <v>-29250</v>
      </c>
      <c r="AX324" s="18">
        <v>50000</v>
      </c>
      <c r="AY324" s="18"/>
      <c r="AZ324" s="17">
        <f t="shared" si="67"/>
        <v>-79250</v>
      </c>
      <c r="BA324" s="16"/>
      <c r="BB324" s="16"/>
      <c r="BC324" s="16"/>
    </row>
    <row r="325" spans="1:55" ht="16.899999999999999">
      <c r="A325" s="36">
        <v>324</v>
      </c>
      <c r="B325" s="35"/>
      <c r="C325" s="33"/>
      <c r="D325" s="33"/>
      <c r="E325" s="33"/>
      <c r="F325" s="33"/>
      <c r="G325" s="33"/>
      <c r="H325" s="33"/>
      <c r="I325" s="33"/>
      <c r="J325" s="33"/>
      <c r="K325" s="35"/>
      <c r="L325" s="34"/>
      <c r="M325" s="32"/>
      <c r="N325" s="32"/>
      <c r="O325" s="31">
        <f t="shared" si="68"/>
        <v>0</v>
      </c>
      <c r="P325" s="30"/>
      <c r="Q325" s="30"/>
      <c r="R325" s="30"/>
      <c r="S325" s="30"/>
      <c r="T325" s="29"/>
      <c r="U325" s="20"/>
      <c r="V325" s="28"/>
      <c r="W325" s="20"/>
      <c r="X325" s="27"/>
      <c r="Y325" s="26"/>
      <c r="Z325" s="25">
        <f t="shared" si="66"/>
        <v>0</v>
      </c>
      <c r="AA325" s="20">
        <f t="shared" si="72"/>
        <v>0</v>
      </c>
      <c r="AB325" s="24">
        <f t="shared" si="69"/>
        <v>0</v>
      </c>
      <c r="AC325" s="37"/>
      <c r="AD325" s="37"/>
      <c r="AE325" s="22"/>
      <c r="AF325" s="20"/>
      <c r="AG325" s="21"/>
      <c r="AH325" s="20"/>
      <c r="AI325" s="21"/>
      <c r="AJ325" s="20"/>
      <c r="AK325" s="20"/>
      <c r="AL325" s="20"/>
      <c r="AM325" s="19">
        <v>35000</v>
      </c>
      <c r="AN325" s="19">
        <v>30000</v>
      </c>
      <c r="AO325" s="19"/>
      <c r="AP325" s="19"/>
      <c r="AQ325" s="19"/>
      <c r="AR325" s="19">
        <f t="shared" si="73"/>
        <v>65000</v>
      </c>
      <c r="AS325" s="17">
        <f t="shared" si="74"/>
        <v>-65000</v>
      </c>
      <c r="AT325" s="17">
        <f t="shared" si="75"/>
        <v>-65000</v>
      </c>
      <c r="AU325" s="17">
        <f t="shared" si="76"/>
        <v>0</v>
      </c>
      <c r="AV325" s="17">
        <f t="shared" si="70"/>
        <v>-32500</v>
      </c>
      <c r="AW325" s="17">
        <f t="shared" si="71"/>
        <v>-29250</v>
      </c>
      <c r="AX325" s="18">
        <v>50000</v>
      </c>
      <c r="AY325" s="18"/>
      <c r="AZ325" s="17">
        <f t="shared" si="67"/>
        <v>-79250</v>
      </c>
      <c r="BA325" s="16"/>
      <c r="BB325" s="16"/>
      <c r="BC325" s="16"/>
    </row>
    <row r="326" spans="1:55" ht="16.899999999999999">
      <c r="A326" s="36">
        <v>325</v>
      </c>
      <c r="B326" s="35"/>
      <c r="C326" s="33"/>
      <c r="D326" s="33"/>
      <c r="E326" s="33"/>
      <c r="F326" s="33"/>
      <c r="G326" s="33"/>
      <c r="H326" s="33"/>
      <c r="I326" s="33"/>
      <c r="J326" s="33"/>
      <c r="K326" s="35"/>
      <c r="L326" s="34"/>
      <c r="M326" s="32"/>
      <c r="N326" s="32"/>
      <c r="O326" s="31">
        <f t="shared" si="68"/>
        <v>0</v>
      </c>
      <c r="P326" s="30"/>
      <c r="Q326" s="30"/>
      <c r="R326" s="30"/>
      <c r="S326" s="30"/>
      <c r="T326" s="29"/>
      <c r="U326" s="20"/>
      <c r="V326" s="28"/>
      <c r="W326" s="20"/>
      <c r="X326" s="27"/>
      <c r="Y326" s="26"/>
      <c r="Z326" s="25">
        <f t="shared" si="66"/>
        <v>0</v>
      </c>
      <c r="AA326" s="20">
        <f t="shared" si="72"/>
        <v>0</v>
      </c>
      <c r="AB326" s="24">
        <f t="shared" si="69"/>
        <v>0</v>
      </c>
      <c r="AC326" s="37"/>
      <c r="AD326" s="37"/>
      <c r="AE326" s="22"/>
      <c r="AF326" s="20"/>
      <c r="AG326" s="21"/>
      <c r="AH326" s="20"/>
      <c r="AI326" s="21"/>
      <c r="AJ326" s="20"/>
      <c r="AK326" s="20"/>
      <c r="AL326" s="20"/>
      <c r="AM326" s="19">
        <v>35000</v>
      </c>
      <c r="AN326" s="19">
        <v>30000</v>
      </c>
      <c r="AO326" s="19"/>
      <c r="AP326" s="19"/>
      <c r="AQ326" s="19"/>
      <c r="AR326" s="19">
        <f t="shared" si="73"/>
        <v>65000</v>
      </c>
      <c r="AS326" s="17">
        <f t="shared" si="74"/>
        <v>-65000</v>
      </c>
      <c r="AT326" s="17">
        <f t="shared" si="75"/>
        <v>-65000</v>
      </c>
      <c r="AU326" s="17">
        <f t="shared" si="76"/>
        <v>0</v>
      </c>
      <c r="AV326" s="17">
        <f t="shared" si="70"/>
        <v>-32500</v>
      </c>
      <c r="AW326" s="17">
        <f t="shared" si="71"/>
        <v>-29250</v>
      </c>
      <c r="AX326" s="18">
        <v>50000</v>
      </c>
      <c r="AY326" s="18"/>
      <c r="AZ326" s="17">
        <f t="shared" si="67"/>
        <v>-79250</v>
      </c>
      <c r="BA326" s="16"/>
      <c r="BB326" s="16"/>
      <c r="BC326" s="16"/>
    </row>
    <row r="327" spans="1:55" ht="16.899999999999999">
      <c r="A327" s="36">
        <v>326</v>
      </c>
      <c r="B327" s="35"/>
      <c r="C327" s="33"/>
      <c r="D327" s="33"/>
      <c r="E327" s="33"/>
      <c r="F327" s="33"/>
      <c r="G327" s="33"/>
      <c r="H327" s="33"/>
      <c r="I327" s="33"/>
      <c r="J327" s="33"/>
      <c r="K327" s="35"/>
      <c r="L327" s="34"/>
      <c r="M327" s="32"/>
      <c r="N327" s="32"/>
      <c r="O327" s="31">
        <f t="shared" si="68"/>
        <v>0</v>
      </c>
      <c r="P327" s="30"/>
      <c r="Q327" s="30"/>
      <c r="R327" s="30"/>
      <c r="S327" s="30"/>
      <c r="T327" s="29"/>
      <c r="U327" s="20"/>
      <c r="V327" s="28"/>
      <c r="W327" s="20"/>
      <c r="X327" s="27"/>
      <c r="Y327" s="26"/>
      <c r="Z327" s="25">
        <f t="shared" si="66"/>
        <v>0</v>
      </c>
      <c r="AA327" s="20">
        <f t="shared" si="72"/>
        <v>0</v>
      </c>
      <c r="AB327" s="24">
        <f t="shared" si="69"/>
        <v>0</v>
      </c>
      <c r="AC327" s="37"/>
      <c r="AD327" s="37"/>
      <c r="AE327" s="22"/>
      <c r="AF327" s="20"/>
      <c r="AG327" s="21"/>
      <c r="AH327" s="20"/>
      <c r="AI327" s="21"/>
      <c r="AJ327" s="20"/>
      <c r="AK327" s="20"/>
      <c r="AL327" s="20"/>
      <c r="AM327" s="19">
        <v>35000</v>
      </c>
      <c r="AN327" s="19">
        <v>30000</v>
      </c>
      <c r="AO327" s="19"/>
      <c r="AP327" s="19"/>
      <c r="AQ327" s="19"/>
      <c r="AR327" s="19">
        <f t="shared" si="73"/>
        <v>65000</v>
      </c>
      <c r="AS327" s="17">
        <f t="shared" si="74"/>
        <v>-65000</v>
      </c>
      <c r="AT327" s="17">
        <f t="shared" si="75"/>
        <v>-65000</v>
      </c>
      <c r="AU327" s="17">
        <f t="shared" si="76"/>
        <v>0</v>
      </c>
      <c r="AV327" s="17">
        <f t="shared" si="70"/>
        <v>-32500</v>
      </c>
      <c r="AW327" s="17">
        <f t="shared" si="71"/>
        <v>-29250</v>
      </c>
      <c r="AX327" s="18">
        <v>50000</v>
      </c>
      <c r="AY327" s="18"/>
      <c r="AZ327" s="17">
        <f t="shared" si="67"/>
        <v>-79250</v>
      </c>
      <c r="BA327" s="16"/>
      <c r="BB327" s="16"/>
      <c r="BC327" s="16"/>
    </row>
    <row r="328" spans="1:55" ht="16.899999999999999">
      <c r="A328" s="36">
        <v>327</v>
      </c>
      <c r="B328" s="35"/>
      <c r="C328" s="33"/>
      <c r="D328" s="33"/>
      <c r="E328" s="33"/>
      <c r="F328" s="33"/>
      <c r="G328" s="33"/>
      <c r="H328" s="33"/>
      <c r="I328" s="33"/>
      <c r="J328" s="33"/>
      <c r="K328" s="35"/>
      <c r="L328" s="34"/>
      <c r="M328" s="32"/>
      <c r="N328" s="32"/>
      <c r="O328" s="31">
        <f t="shared" si="68"/>
        <v>0</v>
      </c>
      <c r="P328" s="30"/>
      <c r="Q328" s="30"/>
      <c r="R328" s="30"/>
      <c r="S328" s="30"/>
      <c r="T328" s="29"/>
      <c r="U328" s="20"/>
      <c r="V328" s="28"/>
      <c r="W328" s="20"/>
      <c r="X328" s="27"/>
      <c r="Y328" s="26"/>
      <c r="Z328" s="25">
        <f t="shared" si="66"/>
        <v>0</v>
      </c>
      <c r="AA328" s="20">
        <f t="shared" si="72"/>
        <v>0</v>
      </c>
      <c r="AB328" s="24">
        <f t="shared" si="69"/>
        <v>0</v>
      </c>
      <c r="AC328" s="37"/>
      <c r="AD328" s="37"/>
      <c r="AE328" s="22"/>
      <c r="AF328" s="20"/>
      <c r="AG328" s="21"/>
      <c r="AH328" s="20"/>
      <c r="AI328" s="21"/>
      <c r="AJ328" s="20"/>
      <c r="AK328" s="20"/>
      <c r="AL328" s="20"/>
      <c r="AM328" s="19">
        <v>35000</v>
      </c>
      <c r="AN328" s="19">
        <v>30000</v>
      </c>
      <c r="AO328" s="19"/>
      <c r="AP328" s="19"/>
      <c r="AQ328" s="19"/>
      <c r="AR328" s="19">
        <f t="shared" si="73"/>
        <v>65000</v>
      </c>
      <c r="AS328" s="17">
        <f t="shared" si="74"/>
        <v>-65000</v>
      </c>
      <c r="AT328" s="17">
        <f t="shared" si="75"/>
        <v>-65000</v>
      </c>
      <c r="AU328" s="17">
        <f t="shared" si="76"/>
        <v>0</v>
      </c>
      <c r="AV328" s="17">
        <f t="shared" si="70"/>
        <v>-32500</v>
      </c>
      <c r="AW328" s="17">
        <f t="shared" si="71"/>
        <v>-29250</v>
      </c>
      <c r="AX328" s="18">
        <v>50000</v>
      </c>
      <c r="AY328" s="18"/>
      <c r="AZ328" s="17">
        <f t="shared" si="67"/>
        <v>-79250</v>
      </c>
      <c r="BA328" s="16"/>
      <c r="BB328" s="16"/>
      <c r="BC328" s="16"/>
    </row>
    <row r="329" spans="1:55" ht="16.899999999999999">
      <c r="A329" s="36">
        <v>328</v>
      </c>
      <c r="B329" s="35"/>
      <c r="C329" s="33"/>
      <c r="D329" s="33"/>
      <c r="E329" s="33"/>
      <c r="F329" s="33"/>
      <c r="G329" s="33"/>
      <c r="H329" s="33"/>
      <c r="I329" s="33"/>
      <c r="J329" s="33"/>
      <c r="K329" s="35"/>
      <c r="L329" s="34"/>
      <c r="M329" s="32"/>
      <c r="N329" s="32"/>
      <c r="O329" s="31">
        <f t="shared" si="68"/>
        <v>0</v>
      </c>
      <c r="P329" s="30"/>
      <c r="Q329" s="30"/>
      <c r="R329" s="30"/>
      <c r="S329" s="30"/>
      <c r="T329" s="29"/>
      <c r="U329" s="20"/>
      <c r="V329" s="28"/>
      <c r="W329" s="20"/>
      <c r="X329" s="27"/>
      <c r="Y329" s="26"/>
      <c r="Z329" s="25">
        <f t="shared" si="66"/>
        <v>0</v>
      </c>
      <c r="AA329" s="20">
        <f t="shared" si="72"/>
        <v>0</v>
      </c>
      <c r="AB329" s="24">
        <f t="shared" si="69"/>
        <v>0</v>
      </c>
      <c r="AC329" s="37"/>
      <c r="AD329" s="37"/>
      <c r="AE329" s="22"/>
      <c r="AF329" s="20"/>
      <c r="AG329" s="21"/>
      <c r="AH329" s="20"/>
      <c r="AI329" s="21"/>
      <c r="AJ329" s="20"/>
      <c r="AK329" s="20"/>
      <c r="AL329" s="20"/>
      <c r="AM329" s="19">
        <v>35000</v>
      </c>
      <c r="AN329" s="19">
        <v>30000</v>
      </c>
      <c r="AO329" s="19"/>
      <c r="AP329" s="19"/>
      <c r="AQ329" s="19"/>
      <c r="AR329" s="19">
        <f t="shared" si="73"/>
        <v>65000</v>
      </c>
      <c r="AS329" s="17">
        <f t="shared" si="74"/>
        <v>-65000</v>
      </c>
      <c r="AT329" s="17">
        <f t="shared" si="75"/>
        <v>-65000</v>
      </c>
      <c r="AU329" s="17">
        <f t="shared" si="76"/>
        <v>0</v>
      </c>
      <c r="AV329" s="17">
        <f t="shared" si="70"/>
        <v>-32500</v>
      </c>
      <c r="AW329" s="17">
        <f t="shared" si="71"/>
        <v>-29250</v>
      </c>
      <c r="AX329" s="18">
        <v>50000</v>
      </c>
      <c r="AY329" s="18"/>
      <c r="AZ329" s="17">
        <f t="shared" si="67"/>
        <v>-79250</v>
      </c>
      <c r="BA329" s="16"/>
      <c r="BB329" s="16"/>
      <c r="BC329" s="16"/>
    </row>
    <row r="330" spans="1:55" ht="16.899999999999999">
      <c r="A330" s="36">
        <v>329</v>
      </c>
      <c r="B330" s="35"/>
      <c r="C330" s="33"/>
      <c r="D330" s="33"/>
      <c r="E330" s="33"/>
      <c r="F330" s="33"/>
      <c r="G330" s="33"/>
      <c r="H330" s="33"/>
      <c r="I330" s="33"/>
      <c r="J330" s="33"/>
      <c r="K330" s="35"/>
      <c r="L330" s="34"/>
      <c r="M330" s="32"/>
      <c r="N330" s="32"/>
      <c r="O330" s="31">
        <f t="shared" si="68"/>
        <v>0</v>
      </c>
      <c r="P330" s="30"/>
      <c r="Q330" s="30"/>
      <c r="R330" s="30"/>
      <c r="S330" s="30"/>
      <c r="T330" s="29"/>
      <c r="U330" s="20"/>
      <c r="V330" s="28"/>
      <c r="W330" s="20"/>
      <c r="X330" s="27"/>
      <c r="Y330" s="26"/>
      <c r="Z330" s="25">
        <f t="shared" si="66"/>
        <v>0</v>
      </c>
      <c r="AA330" s="20">
        <f t="shared" si="72"/>
        <v>0</v>
      </c>
      <c r="AB330" s="24">
        <f t="shared" si="69"/>
        <v>0</v>
      </c>
      <c r="AC330" s="37"/>
      <c r="AD330" s="37"/>
      <c r="AE330" s="22"/>
      <c r="AF330" s="20"/>
      <c r="AG330" s="21"/>
      <c r="AH330" s="20"/>
      <c r="AI330" s="21"/>
      <c r="AJ330" s="20"/>
      <c r="AK330" s="20"/>
      <c r="AL330" s="20"/>
      <c r="AM330" s="19">
        <v>35000</v>
      </c>
      <c r="AN330" s="19">
        <v>30000</v>
      </c>
      <c r="AO330" s="19"/>
      <c r="AP330" s="19"/>
      <c r="AQ330" s="19"/>
      <c r="AR330" s="19">
        <f t="shared" si="73"/>
        <v>65000</v>
      </c>
      <c r="AS330" s="17">
        <f t="shared" si="74"/>
        <v>-65000</v>
      </c>
      <c r="AT330" s="17">
        <f t="shared" si="75"/>
        <v>-65000</v>
      </c>
      <c r="AU330" s="17">
        <f t="shared" si="76"/>
        <v>0</v>
      </c>
      <c r="AV330" s="17">
        <f t="shared" si="70"/>
        <v>-32500</v>
      </c>
      <c r="AW330" s="17">
        <f t="shared" si="71"/>
        <v>-29250</v>
      </c>
      <c r="AX330" s="18">
        <v>50000</v>
      </c>
      <c r="AY330" s="18"/>
      <c r="AZ330" s="17">
        <f t="shared" si="67"/>
        <v>-79250</v>
      </c>
      <c r="BA330" s="16"/>
      <c r="BB330" s="16"/>
      <c r="BC330" s="16"/>
    </row>
    <row r="331" spans="1:55" ht="16.899999999999999">
      <c r="A331" s="36">
        <v>330</v>
      </c>
      <c r="B331" s="35"/>
      <c r="C331" s="33"/>
      <c r="D331" s="33"/>
      <c r="E331" s="33"/>
      <c r="F331" s="33"/>
      <c r="G331" s="33"/>
      <c r="H331" s="33"/>
      <c r="I331" s="33"/>
      <c r="J331" s="33"/>
      <c r="K331" s="35"/>
      <c r="L331" s="34"/>
      <c r="M331" s="32"/>
      <c r="N331" s="32"/>
      <c r="O331" s="31">
        <f t="shared" si="68"/>
        <v>0</v>
      </c>
      <c r="P331" s="30"/>
      <c r="Q331" s="30"/>
      <c r="R331" s="30"/>
      <c r="S331" s="30"/>
      <c r="T331" s="29"/>
      <c r="U331" s="20"/>
      <c r="V331" s="28"/>
      <c r="W331" s="20"/>
      <c r="X331" s="27"/>
      <c r="Y331" s="26"/>
      <c r="Z331" s="25">
        <f t="shared" si="66"/>
        <v>0</v>
      </c>
      <c r="AA331" s="20">
        <f t="shared" si="72"/>
        <v>0</v>
      </c>
      <c r="AB331" s="24">
        <f t="shared" si="69"/>
        <v>0</v>
      </c>
      <c r="AC331" s="37"/>
      <c r="AD331" s="37"/>
      <c r="AE331" s="22"/>
      <c r="AF331" s="20"/>
      <c r="AG331" s="21"/>
      <c r="AH331" s="20"/>
      <c r="AI331" s="21"/>
      <c r="AJ331" s="20"/>
      <c r="AK331" s="20"/>
      <c r="AL331" s="20"/>
      <c r="AM331" s="19">
        <v>35000</v>
      </c>
      <c r="AN331" s="19">
        <v>30000</v>
      </c>
      <c r="AO331" s="19"/>
      <c r="AP331" s="19"/>
      <c r="AQ331" s="19"/>
      <c r="AR331" s="19">
        <f t="shared" si="73"/>
        <v>65000</v>
      </c>
      <c r="AS331" s="17">
        <f t="shared" si="74"/>
        <v>-65000</v>
      </c>
      <c r="AT331" s="17">
        <f t="shared" si="75"/>
        <v>-65000</v>
      </c>
      <c r="AU331" s="17">
        <f t="shared" si="76"/>
        <v>0</v>
      </c>
      <c r="AV331" s="17">
        <f t="shared" si="70"/>
        <v>-32500</v>
      </c>
      <c r="AW331" s="17">
        <f t="shared" si="71"/>
        <v>-29250</v>
      </c>
      <c r="AX331" s="18">
        <v>50000</v>
      </c>
      <c r="AY331" s="18"/>
      <c r="AZ331" s="17">
        <f t="shared" si="67"/>
        <v>-79250</v>
      </c>
      <c r="BA331" s="16"/>
      <c r="BB331" s="16"/>
      <c r="BC331" s="16"/>
    </row>
    <row r="332" spans="1:55" ht="16.899999999999999">
      <c r="A332" s="36">
        <v>331</v>
      </c>
      <c r="B332" s="35"/>
      <c r="C332" s="33"/>
      <c r="D332" s="33"/>
      <c r="E332" s="33"/>
      <c r="F332" s="33"/>
      <c r="G332" s="33"/>
      <c r="H332" s="33"/>
      <c r="I332" s="33"/>
      <c r="J332" s="33"/>
      <c r="K332" s="35"/>
      <c r="L332" s="34"/>
      <c r="M332" s="32"/>
      <c r="N332" s="32"/>
      <c r="O332" s="31">
        <f t="shared" si="68"/>
        <v>0</v>
      </c>
      <c r="P332" s="30"/>
      <c r="Q332" s="30"/>
      <c r="R332" s="30"/>
      <c r="S332" s="30"/>
      <c r="T332" s="29"/>
      <c r="U332" s="20"/>
      <c r="V332" s="28"/>
      <c r="W332" s="20"/>
      <c r="X332" s="27"/>
      <c r="Y332" s="26"/>
      <c r="Z332" s="25">
        <f t="shared" ref="Z332:Z395" si="77">SUM(T332,V332:Y332)</f>
        <v>0</v>
      </c>
      <c r="AA332" s="20">
        <f t="shared" si="72"/>
        <v>0</v>
      </c>
      <c r="AB332" s="24">
        <f t="shared" si="69"/>
        <v>0</v>
      </c>
      <c r="AC332" s="37"/>
      <c r="AD332" s="37"/>
      <c r="AE332" s="22"/>
      <c r="AF332" s="20"/>
      <c r="AG332" s="21"/>
      <c r="AH332" s="20"/>
      <c r="AI332" s="21"/>
      <c r="AJ332" s="20"/>
      <c r="AK332" s="20"/>
      <c r="AL332" s="20"/>
      <c r="AM332" s="19">
        <v>35000</v>
      </c>
      <c r="AN332" s="19">
        <v>30000</v>
      </c>
      <c r="AO332" s="19"/>
      <c r="AP332" s="19"/>
      <c r="AQ332" s="19"/>
      <c r="AR332" s="19">
        <f t="shared" si="73"/>
        <v>65000</v>
      </c>
      <c r="AS332" s="17">
        <f t="shared" si="74"/>
        <v>-65000</v>
      </c>
      <c r="AT332" s="17">
        <f t="shared" si="75"/>
        <v>-65000</v>
      </c>
      <c r="AU332" s="17">
        <f t="shared" si="76"/>
        <v>0</v>
      </c>
      <c r="AV332" s="17">
        <f t="shared" si="70"/>
        <v>-32500</v>
      </c>
      <c r="AW332" s="17">
        <f t="shared" si="71"/>
        <v>-29250</v>
      </c>
      <c r="AX332" s="18">
        <v>50000</v>
      </c>
      <c r="AY332" s="18"/>
      <c r="AZ332" s="17">
        <f t="shared" si="67"/>
        <v>-79250</v>
      </c>
      <c r="BA332" s="16"/>
      <c r="BB332" s="16"/>
      <c r="BC332" s="16"/>
    </row>
    <row r="333" spans="1:55" ht="16.899999999999999">
      <c r="A333" s="36">
        <v>332</v>
      </c>
      <c r="B333" s="35"/>
      <c r="C333" s="33"/>
      <c r="D333" s="33"/>
      <c r="E333" s="33"/>
      <c r="F333" s="33"/>
      <c r="G333" s="33"/>
      <c r="H333" s="33"/>
      <c r="I333" s="33"/>
      <c r="J333" s="33"/>
      <c r="K333" s="35"/>
      <c r="L333" s="34"/>
      <c r="M333" s="32"/>
      <c r="N333" s="32"/>
      <c r="O333" s="31">
        <f t="shared" si="68"/>
        <v>0</v>
      </c>
      <c r="P333" s="30"/>
      <c r="Q333" s="30"/>
      <c r="R333" s="30"/>
      <c r="S333" s="30"/>
      <c r="T333" s="29"/>
      <c r="U333" s="20"/>
      <c r="V333" s="28"/>
      <c r="W333" s="20"/>
      <c r="X333" s="27"/>
      <c r="Y333" s="26"/>
      <c r="Z333" s="25">
        <f t="shared" si="77"/>
        <v>0</v>
      </c>
      <c r="AA333" s="20">
        <f t="shared" si="72"/>
        <v>0</v>
      </c>
      <c r="AB333" s="24">
        <f t="shared" si="69"/>
        <v>0</v>
      </c>
      <c r="AC333" s="37"/>
      <c r="AD333" s="37"/>
      <c r="AE333" s="22"/>
      <c r="AF333" s="20"/>
      <c r="AG333" s="21"/>
      <c r="AH333" s="20"/>
      <c r="AI333" s="21"/>
      <c r="AJ333" s="20"/>
      <c r="AK333" s="20"/>
      <c r="AL333" s="20"/>
      <c r="AM333" s="19">
        <v>35000</v>
      </c>
      <c r="AN333" s="19">
        <v>30000</v>
      </c>
      <c r="AO333" s="19"/>
      <c r="AP333" s="19"/>
      <c r="AQ333" s="19"/>
      <c r="AR333" s="19">
        <f t="shared" si="73"/>
        <v>65000</v>
      </c>
      <c r="AS333" s="17">
        <f t="shared" si="74"/>
        <v>-65000</v>
      </c>
      <c r="AT333" s="17">
        <f t="shared" si="75"/>
        <v>-65000</v>
      </c>
      <c r="AU333" s="17">
        <f t="shared" si="76"/>
        <v>0</v>
      </c>
      <c r="AV333" s="17">
        <f t="shared" si="70"/>
        <v>-32500</v>
      </c>
      <c r="AW333" s="17">
        <f t="shared" si="71"/>
        <v>-29250</v>
      </c>
      <c r="AX333" s="18">
        <v>50000</v>
      </c>
      <c r="AY333" s="18"/>
      <c r="AZ333" s="17">
        <f t="shared" si="67"/>
        <v>-79250</v>
      </c>
      <c r="BA333" s="16"/>
      <c r="BB333" s="16"/>
      <c r="BC333" s="16"/>
    </row>
    <row r="334" spans="1:55" ht="16.899999999999999">
      <c r="A334" s="36">
        <v>333</v>
      </c>
      <c r="B334" s="35"/>
      <c r="C334" s="33"/>
      <c r="D334" s="33"/>
      <c r="E334" s="33"/>
      <c r="F334" s="33"/>
      <c r="G334" s="33"/>
      <c r="H334" s="33"/>
      <c r="I334" s="33"/>
      <c r="J334" s="33"/>
      <c r="K334" s="35"/>
      <c r="L334" s="34"/>
      <c r="M334" s="32"/>
      <c r="N334" s="32"/>
      <c r="O334" s="31">
        <f t="shared" si="68"/>
        <v>0</v>
      </c>
      <c r="P334" s="30"/>
      <c r="Q334" s="30"/>
      <c r="R334" s="30"/>
      <c r="S334" s="30"/>
      <c r="T334" s="29"/>
      <c r="U334" s="20"/>
      <c r="V334" s="28"/>
      <c r="W334" s="20"/>
      <c r="X334" s="27"/>
      <c r="Y334" s="26"/>
      <c r="Z334" s="25">
        <f t="shared" si="77"/>
        <v>0</v>
      </c>
      <c r="AA334" s="20">
        <f t="shared" si="72"/>
        <v>0</v>
      </c>
      <c r="AB334" s="24">
        <f t="shared" si="69"/>
        <v>0</v>
      </c>
      <c r="AC334" s="37"/>
      <c r="AD334" s="37"/>
      <c r="AE334" s="22"/>
      <c r="AF334" s="20"/>
      <c r="AG334" s="21"/>
      <c r="AH334" s="20"/>
      <c r="AI334" s="21"/>
      <c r="AJ334" s="20"/>
      <c r="AK334" s="20"/>
      <c r="AL334" s="20"/>
      <c r="AM334" s="19">
        <v>35000</v>
      </c>
      <c r="AN334" s="19">
        <v>30000</v>
      </c>
      <c r="AO334" s="19"/>
      <c r="AP334" s="19"/>
      <c r="AQ334" s="19"/>
      <c r="AR334" s="19">
        <f t="shared" si="73"/>
        <v>65000</v>
      </c>
      <c r="AS334" s="17">
        <f t="shared" si="74"/>
        <v>-65000</v>
      </c>
      <c r="AT334" s="17">
        <f t="shared" si="75"/>
        <v>-65000</v>
      </c>
      <c r="AU334" s="17">
        <f t="shared" si="76"/>
        <v>0</v>
      </c>
      <c r="AV334" s="17">
        <f t="shared" si="70"/>
        <v>-32500</v>
      </c>
      <c r="AW334" s="17">
        <f t="shared" si="71"/>
        <v>-29250</v>
      </c>
      <c r="AX334" s="18">
        <v>50000</v>
      </c>
      <c r="AY334" s="18"/>
      <c r="AZ334" s="17">
        <f t="shared" si="67"/>
        <v>-79250</v>
      </c>
      <c r="BA334" s="16"/>
      <c r="BB334" s="16"/>
      <c r="BC334" s="16"/>
    </row>
    <row r="335" spans="1:55" ht="16.899999999999999">
      <c r="A335" s="36">
        <v>334</v>
      </c>
      <c r="B335" s="35"/>
      <c r="C335" s="33"/>
      <c r="D335" s="33"/>
      <c r="E335" s="33"/>
      <c r="F335" s="33"/>
      <c r="G335" s="33"/>
      <c r="H335" s="33"/>
      <c r="I335" s="33"/>
      <c r="J335" s="33"/>
      <c r="K335" s="35"/>
      <c r="L335" s="34"/>
      <c r="M335" s="32"/>
      <c r="N335" s="32"/>
      <c r="O335" s="31">
        <f t="shared" si="68"/>
        <v>0</v>
      </c>
      <c r="P335" s="30"/>
      <c r="Q335" s="30"/>
      <c r="R335" s="30"/>
      <c r="S335" s="30"/>
      <c r="T335" s="29"/>
      <c r="U335" s="20"/>
      <c r="V335" s="28"/>
      <c r="W335" s="20"/>
      <c r="X335" s="27"/>
      <c r="Y335" s="26"/>
      <c r="Z335" s="25">
        <f t="shared" si="77"/>
        <v>0</v>
      </c>
      <c r="AA335" s="20">
        <f t="shared" si="72"/>
        <v>0</v>
      </c>
      <c r="AB335" s="24">
        <f t="shared" si="69"/>
        <v>0</v>
      </c>
      <c r="AC335" s="37"/>
      <c r="AD335" s="37"/>
      <c r="AE335" s="22"/>
      <c r="AF335" s="20"/>
      <c r="AG335" s="21"/>
      <c r="AH335" s="20"/>
      <c r="AI335" s="21"/>
      <c r="AJ335" s="20"/>
      <c r="AK335" s="20"/>
      <c r="AL335" s="20"/>
      <c r="AM335" s="19">
        <v>35000</v>
      </c>
      <c r="AN335" s="19">
        <v>30000</v>
      </c>
      <c r="AO335" s="19"/>
      <c r="AP335" s="19"/>
      <c r="AQ335" s="19"/>
      <c r="AR335" s="19">
        <f t="shared" si="73"/>
        <v>65000</v>
      </c>
      <c r="AS335" s="17">
        <f t="shared" si="74"/>
        <v>-65000</v>
      </c>
      <c r="AT335" s="17">
        <f t="shared" si="75"/>
        <v>-65000</v>
      </c>
      <c r="AU335" s="17">
        <f t="shared" si="76"/>
        <v>0</v>
      </c>
      <c r="AV335" s="17">
        <f t="shared" si="70"/>
        <v>-32500</v>
      </c>
      <c r="AW335" s="17">
        <f t="shared" si="71"/>
        <v>-29250</v>
      </c>
      <c r="AX335" s="18">
        <v>50000</v>
      </c>
      <c r="AY335" s="18"/>
      <c r="AZ335" s="17">
        <f t="shared" si="67"/>
        <v>-79250</v>
      </c>
      <c r="BA335" s="16"/>
      <c r="BB335" s="16"/>
      <c r="BC335" s="16"/>
    </row>
    <row r="336" spans="1:55" ht="16.899999999999999">
      <c r="A336" s="36">
        <v>335</v>
      </c>
      <c r="B336" s="35"/>
      <c r="C336" s="33"/>
      <c r="D336" s="33"/>
      <c r="E336" s="33"/>
      <c r="F336" s="33"/>
      <c r="G336" s="33"/>
      <c r="H336" s="33"/>
      <c r="I336" s="33"/>
      <c r="J336" s="33"/>
      <c r="K336" s="35"/>
      <c r="L336" s="34"/>
      <c r="M336" s="32"/>
      <c r="N336" s="32"/>
      <c r="O336" s="31">
        <f t="shared" si="68"/>
        <v>0</v>
      </c>
      <c r="P336" s="30"/>
      <c r="Q336" s="30"/>
      <c r="R336" s="30"/>
      <c r="S336" s="30"/>
      <c r="T336" s="29"/>
      <c r="U336" s="20"/>
      <c r="V336" s="28"/>
      <c r="W336" s="20"/>
      <c r="X336" s="27"/>
      <c r="Y336" s="26"/>
      <c r="Z336" s="25">
        <f t="shared" si="77"/>
        <v>0</v>
      </c>
      <c r="AA336" s="20">
        <f t="shared" si="72"/>
        <v>0</v>
      </c>
      <c r="AB336" s="24">
        <f t="shared" si="69"/>
        <v>0</v>
      </c>
      <c r="AC336" s="37"/>
      <c r="AD336" s="37"/>
      <c r="AE336" s="22"/>
      <c r="AF336" s="20"/>
      <c r="AG336" s="21"/>
      <c r="AH336" s="20"/>
      <c r="AI336" s="21"/>
      <c r="AJ336" s="20"/>
      <c r="AK336" s="20"/>
      <c r="AL336" s="20"/>
      <c r="AM336" s="19">
        <v>35000</v>
      </c>
      <c r="AN336" s="19">
        <v>30000</v>
      </c>
      <c r="AO336" s="19"/>
      <c r="AP336" s="19"/>
      <c r="AQ336" s="19"/>
      <c r="AR336" s="19">
        <f t="shared" si="73"/>
        <v>65000</v>
      </c>
      <c r="AS336" s="17">
        <f t="shared" si="74"/>
        <v>-65000</v>
      </c>
      <c r="AT336" s="17">
        <f t="shared" si="75"/>
        <v>-65000</v>
      </c>
      <c r="AU336" s="17">
        <f t="shared" si="76"/>
        <v>0</v>
      </c>
      <c r="AV336" s="17">
        <f t="shared" si="70"/>
        <v>-32500</v>
      </c>
      <c r="AW336" s="17">
        <f t="shared" si="71"/>
        <v>-29250</v>
      </c>
      <c r="AX336" s="18">
        <v>50000</v>
      </c>
      <c r="AY336" s="18"/>
      <c r="AZ336" s="17">
        <f t="shared" si="67"/>
        <v>-79250</v>
      </c>
      <c r="BA336" s="16"/>
      <c r="BB336" s="16"/>
      <c r="BC336" s="16"/>
    </row>
    <row r="337" spans="1:55" ht="16.899999999999999">
      <c r="A337" s="36">
        <v>336</v>
      </c>
      <c r="B337" s="35"/>
      <c r="C337" s="33"/>
      <c r="D337" s="33"/>
      <c r="E337" s="33"/>
      <c r="F337" s="33"/>
      <c r="G337" s="33"/>
      <c r="H337" s="33"/>
      <c r="I337" s="33"/>
      <c r="J337" s="33"/>
      <c r="K337" s="35"/>
      <c r="L337" s="34"/>
      <c r="M337" s="32"/>
      <c r="N337" s="32"/>
      <c r="O337" s="31">
        <f t="shared" si="68"/>
        <v>0</v>
      </c>
      <c r="P337" s="30"/>
      <c r="Q337" s="30"/>
      <c r="R337" s="30"/>
      <c r="S337" s="30"/>
      <c r="T337" s="29"/>
      <c r="U337" s="20"/>
      <c r="V337" s="28"/>
      <c r="W337" s="20"/>
      <c r="X337" s="27"/>
      <c r="Y337" s="26"/>
      <c r="Z337" s="25">
        <f t="shared" si="77"/>
        <v>0</v>
      </c>
      <c r="AA337" s="20">
        <f t="shared" si="72"/>
        <v>0</v>
      </c>
      <c r="AB337" s="24">
        <f t="shared" si="69"/>
        <v>0</v>
      </c>
      <c r="AC337" s="37"/>
      <c r="AD337" s="37"/>
      <c r="AE337" s="22"/>
      <c r="AF337" s="20"/>
      <c r="AG337" s="21"/>
      <c r="AH337" s="20"/>
      <c r="AI337" s="21"/>
      <c r="AJ337" s="20"/>
      <c r="AK337" s="20"/>
      <c r="AL337" s="20"/>
      <c r="AM337" s="19">
        <v>35000</v>
      </c>
      <c r="AN337" s="19">
        <v>30000</v>
      </c>
      <c r="AO337" s="19"/>
      <c r="AP337" s="19"/>
      <c r="AQ337" s="19"/>
      <c r="AR337" s="19">
        <f t="shared" si="73"/>
        <v>65000</v>
      </c>
      <c r="AS337" s="17">
        <f t="shared" si="74"/>
        <v>-65000</v>
      </c>
      <c r="AT337" s="17">
        <f t="shared" si="75"/>
        <v>-65000</v>
      </c>
      <c r="AU337" s="17">
        <f t="shared" si="76"/>
        <v>0</v>
      </c>
      <c r="AV337" s="17">
        <f t="shared" si="70"/>
        <v>-32500</v>
      </c>
      <c r="AW337" s="17">
        <f t="shared" si="71"/>
        <v>-29250</v>
      </c>
      <c r="AX337" s="18">
        <v>50000</v>
      </c>
      <c r="AY337" s="18"/>
      <c r="AZ337" s="17">
        <f t="shared" si="67"/>
        <v>-79250</v>
      </c>
      <c r="BA337" s="16"/>
      <c r="BB337" s="16"/>
      <c r="BC337" s="16"/>
    </row>
    <row r="338" spans="1:55" ht="16.899999999999999">
      <c r="A338" s="36">
        <v>337</v>
      </c>
      <c r="B338" s="35"/>
      <c r="C338" s="33"/>
      <c r="D338" s="33"/>
      <c r="E338" s="33"/>
      <c r="F338" s="33"/>
      <c r="G338" s="33"/>
      <c r="H338" s="33"/>
      <c r="I338" s="33"/>
      <c r="J338" s="33"/>
      <c r="K338" s="35"/>
      <c r="L338" s="34"/>
      <c r="M338" s="32"/>
      <c r="N338" s="32"/>
      <c r="O338" s="31">
        <f t="shared" si="68"/>
        <v>0</v>
      </c>
      <c r="P338" s="30"/>
      <c r="Q338" s="30"/>
      <c r="R338" s="30"/>
      <c r="S338" s="30"/>
      <c r="T338" s="29"/>
      <c r="U338" s="20"/>
      <c r="V338" s="28"/>
      <c r="W338" s="20"/>
      <c r="X338" s="27"/>
      <c r="Y338" s="26"/>
      <c r="Z338" s="25">
        <f t="shared" si="77"/>
        <v>0</v>
      </c>
      <c r="AA338" s="20">
        <f t="shared" si="72"/>
        <v>0</v>
      </c>
      <c r="AB338" s="24">
        <f t="shared" si="69"/>
        <v>0</v>
      </c>
      <c r="AC338" s="37"/>
      <c r="AD338" s="37"/>
      <c r="AE338" s="22"/>
      <c r="AF338" s="20"/>
      <c r="AG338" s="21"/>
      <c r="AH338" s="20"/>
      <c r="AI338" s="21"/>
      <c r="AJ338" s="20"/>
      <c r="AK338" s="20"/>
      <c r="AL338" s="20"/>
      <c r="AM338" s="19">
        <v>35000</v>
      </c>
      <c r="AN338" s="19">
        <v>30000</v>
      </c>
      <c r="AO338" s="19"/>
      <c r="AP338" s="19"/>
      <c r="AQ338" s="19"/>
      <c r="AR338" s="19">
        <f t="shared" si="73"/>
        <v>65000</v>
      </c>
      <c r="AS338" s="17">
        <f t="shared" si="74"/>
        <v>-65000</v>
      </c>
      <c r="AT338" s="17">
        <f t="shared" si="75"/>
        <v>-65000</v>
      </c>
      <c r="AU338" s="17">
        <f t="shared" si="76"/>
        <v>0</v>
      </c>
      <c r="AV338" s="17">
        <f t="shared" si="70"/>
        <v>-32500</v>
      </c>
      <c r="AW338" s="17">
        <f t="shared" si="71"/>
        <v>-29250</v>
      </c>
      <c r="AX338" s="18">
        <v>50000</v>
      </c>
      <c r="AY338" s="18"/>
      <c r="AZ338" s="17">
        <f t="shared" si="67"/>
        <v>-79250</v>
      </c>
      <c r="BA338" s="16"/>
      <c r="BB338" s="16"/>
      <c r="BC338" s="16"/>
    </row>
    <row r="339" spans="1:55" ht="16.899999999999999">
      <c r="A339" s="36">
        <v>338</v>
      </c>
      <c r="B339" s="35"/>
      <c r="C339" s="33"/>
      <c r="D339" s="33"/>
      <c r="E339" s="33"/>
      <c r="F339" s="33"/>
      <c r="G339" s="33"/>
      <c r="H339" s="33"/>
      <c r="I339" s="33"/>
      <c r="J339" s="33"/>
      <c r="K339" s="35"/>
      <c r="L339" s="34"/>
      <c r="M339" s="32"/>
      <c r="N339" s="32"/>
      <c r="O339" s="31">
        <f t="shared" si="68"/>
        <v>0</v>
      </c>
      <c r="P339" s="30"/>
      <c r="Q339" s="30"/>
      <c r="R339" s="30"/>
      <c r="S339" s="30"/>
      <c r="T339" s="29"/>
      <c r="U339" s="20"/>
      <c r="V339" s="28"/>
      <c r="W339" s="20"/>
      <c r="X339" s="27"/>
      <c r="Y339" s="26"/>
      <c r="Z339" s="25">
        <f t="shared" si="77"/>
        <v>0</v>
      </c>
      <c r="AA339" s="20">
        <f t="shared" si="72"/>
        <v>0</v>
      </c>
      <c r="AB339" s="24">
        <f t="shared" si="69"/>
        <v>0</v>
      </c>
      <c r="AC339" s="37"/>
      <c r="AD339" s="37"/>
      <c r="AE339" s="22"/>
      <c r="AF339" s="20"/>
      <c r="AG339" s="21"/>
      <c r="AH339" s="20"/>
      <c r="AI339" s="21"/>
      <c r="AJ339" s="20"/>
      <c r="AK339" s="20"/>
      <c r="AL339" s="20"/>
      <c r="AM339" s="19">
        <v>35000</v>
      </c>
      <c r="AN339" s="19">
        <v>30000</v>
      </c>
      <c r="AO339" s="19"/>
      <c r="AP339" s="19"/>
      <c r="AQ339" s="19"/>
      <c r="AR339" s="19">
        <f t="shared" si="73"/>
        <v>65000</v>
      </c>
      <c r="AS339" s="17">
        <f t="shared" si="74"/>
        <v>-65000</v>
      </c>
      <c r="AT339" s="17">
        <f t="shared" si="75"/>
        <v>-65000</v>
      </c>
      <c r="AU339" s="17">
        <f t="shared" si="76"/>
        <v>0</v>
      </c>
      <c r="AV339" s="17">
        <f t="shared" si="70"/>
        <v>-32500</v>
      </c>
      <c r="AW339" s="17">
        <f t="shared" si="71"/>
        <v>-29250</v>
      </c>
      <c r="AX339" s="18">
        <v>50000</v>
      </c>
      <c r="AY339" s="18"/>
      <c r="AZ339" s="17">
        <f t="shared" si="67"/>
        <v>-79250</v>
      </c>
      <c r="BA339" s="16"/>
      <c r="BB339" s="16"/>
      <c r="BC339" s="16"/>
    </row>
    <row r="340" spans="1:55" ht="16.899999999999999">
      <c r="A340" s="36">
        <v>339</v>
      </c>
      <c r="B340" s="35"/>
      <c r="C340" s="33"/>
      <c r="D340" s="33"/>
      <c r="E340" s="33"/>
      <c r="F340" s="33"/>
      <c r="G340" s="33"/>
      <c r="H340" s="33"/>
      <c r="I340" s="33"/>
      <c r="J340" s="33"/>
      <c r="K340" s="35"/>
      <c r="L340" s="34"/>
      <c r="M340" s="32"/>
      <c r="N340" s="32"/>
      <c r="O340" s="31">
        <f t="shared" si="68"/>
        <v>0</v>
      </c>
      <c r="P340" s="30"/>
      <c r="Q340" s="30"/>
      <c r="R340" s="30"/>
      <c r="S340" s="30"/>
      <c r="T340" s="29"/>
      <c r="U340" s="20"/>
      <c r="V340" s="28"/>
      <c r="W340" s="20"/>
      <c r="X340" s="27"/>
      <c r="Y340" s="26"/>
      <c r="Z340" s="25">
        <f t="shared" si="77"/>
        <v>0</v>
      </c>
      <c r="AA340" s="20">
        <f t="shared" si="72"/>
        <v>0</v>
      </c>
      <c r="AB340" s="24">
        <f t="shared" si="69"/>
        <v>0</v>
      </c>
      <c r="AC340" s="37"/>
      <c r="AD340" s="37"/>
      <c r="AE340" s="22"/>
      <c r="AF340" s="20"/>
      <c r="AG340" s="21"/>
      <c r="AH340" s="20"/>
      <c r="AI340" s="21"/>
      <c r="AJ340" s="20"/>
      <c r="AK340" s="20"/>
      <c r="AL340" s="20"/>
      <c r="AM340" s="19">
        <v>35000</v>
      </c>
      <c r="AN340" s="19">
        <v>30000</v>
      </c>
      <c r="AO340" s="19"/>
      <c r="AP340" s="19"/>
      <c r="AQ340" s="19"/>
      <c r="AR340" s="19">
        <f t="shared" si="73"/>
        <v>65000</v>
      </c>
      <c r="AS340" s="17">
        <f t="shared" si="74"/>
        <v>-65000</v>
      </c>
      <c r="AT340" s="17">
        <f t="shared" si="75"/>
        <v>-65000</v>
      </c>
      <c r="AU340" s="17">
        <f t="shared" si="76"/>
        <v>0</v>
      </c>
      <c r="AV340" s="17">
        <f t="shared" si="70"/>
        <v>-32500</v>
      </c>
      <c r="AW340" s="17">
        <f t="shared" si="71"/>
        <v>-29250</v>
      </c>
      <c r="AX340" s="18">
        <v>50000</v>
      </c>
      <c r="AY340" s="18"/>
      <c r="AZ340" s="17">
        <f t="shared" si="67"/>
        <v>-79250</v>
      </c>
      <c r="BA340" s="16"/>
      <c r="BB340" s="16"/>
      <c r="BC340" s="16"/>
    </row>
    <row r="341" spans="1:55" ht="16.899999999999999">
      <c r="A341" s="36">
        <v>340</v>
      </c>
      <c r="B341" s="35"/>
      <c r="C341" s="33"/>
      <c r="D341" s="33"/>
      <c r="E341" s="33"/>
      <c r="F341" s="33"/>
      <c r="G341" s="33"/>
      <c r="H341" s="33"/>
      <c r="I341" s="33"/>
      <c r="J341" s="33"/>
      <c r="K341" s="35"/>
      <c r="L341" s="34"/>
      <c r="M341" s="32"/>
      <c r="N341" s="32"/>
      <c r="O341" s="31">
        <f t="shared" si="68"/>
        <v>0</v>
      </c>
      <c r="P341" s="30"/>
      <c r="Q341" s="30"/>
      <c r="R341" s="30"/>
      <c r="S341" s="30"/>
      <c r="T341" s="29"/>
      <c r="U341" s="20"/>
      <c r="V341" s="28"/>
      <c r="W341" s="20"/>
      <c r="X341" s="27"/>
      <c r="Y341" s="26"/>
      <c r="Z341" s="25">
        <f t="shared" si="77"/>
        <v>0</v>
      </c>
      <c r="AA341" s="20">
        <f t="shared" si="72"/>
        <v>0</v>
      </c>
      <c r="AB341" s="24">
        <f t="shared" si="69"/>
        <v>0</v>
      </c>
      <c r="AC341" s="37"/>
      <c r="AD341" s="37"/>
      <c r="AE341" s="22"/>
      <c r="AF341" s="20"/>
      <c r="AG341" s="21"/>
      <c r="AH341" s="20"/>
      <c r="AI341" s="21"/>
      <c r="AJ341" s="20"/>
      <c r="AK341" s="20"/>
      <c r="AL341" s="20"/>
      <c r="AM341" s="19">
        <v>35000</v>
      </c>
      <c r="AN341" s="19">
        <v>30000</v>
      </c>
      <c r="AO341" s="19"/>
      <c r="AP341" s="19"/>
      <c r="AQ341" s="19"/>
      <c r="AR341" s="19">
        <f t="shared" si="73"/>
        <v>65000</v>
      </c>
      <c r="AS341" s="17">
        <f t="shared" si="74"/>
        <v>-65000</v>
      </c>
      <c r="AT341" s="17">
        <f t="shared" si="75"/>
        <v>-65000</v>
      </c>
      <c r="AU341" s="17">
        <f t="shared" si="76"/>
        <v>0</v>
      </c>
      <c r="AV341" s="17">
        <f t="shared" si="70"/>
        <v>-32500</v>
      </c>
      <c r="AW341" s="17">
        <f t="shared" si="71"/>
        <v>-29250</v>
      </c>
      <c r="AX341" s="18">
        <v>50000</v>
      </c>
      <c r="AY341" s="18"/>
      <c r="AZ341" s="17">
        <f t="shared" si="67"/>
        <v>-79250</v>
      </c>
      <c r="BA341" s="16"/>
      <c r="BB341" s="16"/>
      <c r="BC341" s="16"/>
    </row>
    <row r="342" spans="1:55" ht="16.899999999999999">
      <c r="A342" s="36">
        <v>341</v>
      </c>
      <c r="B342" s="35"/>
      <c r="C342" s="33"/>
      <c r="D342" s="33"/>
      <c r="E342" s="33"/>
      <c r="F342" s="33"/>
      <c r="G342" s="33"/>
      <c r="H342" s="33"/>
      <c r="I342" s="33"/>
      <c r="J342" s="33"/>
      <c r="K342" s="35"/>
      <c r="L342" s="34"/>
      <c r="M342" s="32"/>
      <c r="N342" s="32"/>
      <c r="O342" s="31">
        <f t="shared" si="68"/>
        <v>0</v>
      </c>
      <c r="P342" s="30"/>
      <c r="Q342" s="30"/>
      <c r="R342" s="30"/>
      <c r="S342" s="30"/>
      <c r="T342" s="29"/>
      <c r="U342" s="20"/>
      <c r="V342" s="28"/>
      <c r="W342" s="20"/>
      <c r="X342" s="27"/>
      <c r="Y342" s="26"/>
      <c r="Z342" s="25">
        <f t="shared" si="77"/>
        <v>0</v>
      </c>
      <c r="AA342" s="20">
        <f t="shared" si="72"/>
        <v>0</v>
      </c>
      <c r="AB342" s="24">
        <f t="shared" si="69"/>
        <v>0</v>
      </c>
      <c r="AC342" s="37"/>
      <c r="AD342" s="37"/>
      <c r="AE342" s="22"/>
      <c r="AF342" s="20"/>
      <c r="AG342" s="21"/>
      <c r="AH342" s="20"/>
      <c r="AI342" s="21"/>
      <c r="AJ342" s="20"/>
      <c r="AK342" s="20"/>
      <c r="AL342" s="20"/>
      <c r="AM342" s="19">
        <v>35000</v>
      </c>
      <c r="AN342" s="19">
        <v>30000</v>
      </c>
      <c r="AO342" s="19"/>
      <c r="AP342" s="19"/>
      <c r="AQ342" s="19"/>
      <c r="AR342" s="19">
        <f t="shared" si="73"/>
        <v>65000</v>
      </c>
      <c r="AS342" s="17">
        <f t="shared" si="74"/>
        <v>-65000</v>
      </c>
      <c r="AT342" s="17">
        <f t="shared" si="75"/>
        <v>-65000</v>
      </c>
      <c r="AU342" s="17">
        <f t="shared" si="76"/>
        <v>0</v>
      </c>
      <c r="AV342" s="17">
        <f t="shared" si="70"/>
        <v>-32500</v>
      </c>
      <c r="AW342" s="17">
        <f t="shared" si="71"/>
        <v>-29250</v>
      </c>
      <c r="AX342" s="18">
        <v>50000</v>
      </c>
      <c r="AY342" s="18"/>
      <c r="AZ342" s="17">
        <f t="shared" si="67"/>
        <v>-79250</v>
      </c>
      <c r="BA342" s="16"/>
      <c r="BB342" s="16"/>
      <c r="BC342" s="16"/>
    </row>
    <row r="343" spans="1:55" ht="16.899999999999999">
      <c r="A343" s="36">
        <v>342</v>
      </c>
      <c r="B343" s="35"/>
      <c r="C343" s="33"/>
      <c r="D343" s="33"/>
      <c r="E343" s="33"/>
      <c r="F343" s="33"/>
      <c r="G343" s="33"/>
      <c r="H343" s="33"/>
      <c r="I343" s="33"/>
      <c r="J343" s="33"/>
      <c r="K343" s="35"/>
      <c r="L343" s="34"/>
      <c r="M343" s="32"/>
      <c r="N343" s="32"/>
      <c r="O343" s="31">
        <f t="shared" si="68"/>
        <v>0</v>
      </c>
      <c r="P343" s="30"/>
      <c r="Q343" s="30"/>
      <c r="R343" s="30"/>
      <c r="S343" s="30"/>
      <c r="T343" s="29"/>
      <c r="U343" s="20"/>
      <c r="V343" s="28"/>
      <c r="W343" s="20"/>
      <c r="X343" s="27"/>
      <c r="Y343" s="26"/>
      <c r="Z343" s="25">
        <f t="shared" si="77"/>
        <v>0</v>
      </c>
      <c r="AA343" s="20">
        <f t="shared" si="72"/>
        <v>0</v>
      </c>
      <c r="AB343" s="24">
        <f t="shared" si="69"/>
        <v>0</v>
      </c>
      <c r="AC343" s="37"/>
      <c r="AD343" s="37"/>
      <c r="AE343" s="22"/>
      <c r="AF343" s="20"/>
      <c r="AG343" s="21"/>
      <c r="AH343" s="20"/>
      <c r="AI343" s="21"/>
      <c r="AJ343" s="20"/>
      <c r="AK343" s="20"/>
      <c r="AL343" s="20"/>
      <c r="AM343" s="19">
        <v>35000</v>
      </c>
      <c r="AN343" s="19">
        <v>30000</v>
      </c>
      <c r="AO343" s="19"/>
      <c r="AP343" s="19"/>
      <c r="AQ343" s="19"/>
      <c r="AR343" s="19">
        <f t="shared" si="73"/>
        <v>65000</v>
      </c>
      <c r="AS343" s="17">
        <f t="shared" si="74"/>
        <v>-65000</v>
      </c>
      <c r="AT343" s="17">
        <f t="shared" si="75"/>
        <v>-65000</v>
      </c>
      <c r="AU343" s="17">
        <f t="shared" si="76"/>
        <v>0</v>
      </c>
      <c r="AV343" s="17">
        <f t="shared" si="70"/>
        <v>-32500</v>
      </c>
      <c r="AW343" s="17">
        <f t="shared" si="71"/>
        <v>-29250</v>
      </c>
      <c r="AX343" s="18">
        <v>50000</v>
      </c>
      <c r="AY343" s="18"/>
      <c r="AZ343" s="17">
        <f t="shared" si="67"/>
        <v>-79250</v>
      </c>
      <c r="BA343" s="16"/>
      <c r="BB343" s="16"/>
      <c r="BC343" s="16"/>
    </row>
    <row r="344" spans="1:55" ht="16.899999999999999">
      <c r="A344" s="36">
        <v>343</v>
      </c>
      <c r="B344" s="35"/>
      <c r="C344" s="33"/>
      <c r="D344" s="33"/>
      <c r="E344" s="33"/>
      <c r="F344" s="33"/>
      <c r="G344" s="33"/>
      <c r="H344" s="33"/>
      <c r="I344" s="33"/>
      <c r="J344" s="33"/>
      <c r="K344" s="35"/>
      <c r="L344" s="34"/>
      <c r="M344" s="32"/>
      <c r="N344" s="32"/>
      <c r="O344" s="31">
        <f t="shared" si="68"/>
        <v>0</v>
      </c>
      <c r="P344" s="30"/>
      <c r="Q344" s="30"/>
      <c r="R344" s="30"/>
      <c r="S344" s="30"/>
      <c r="T344" s="29"/>
      <c r="U344" s="20"/>
      <c r="V344" s="28"/>
      <c r="W344" s="20"/>
      <c r="X344" s="27"/>
      <c r="Y344" s="26"/>
      <c r="Z344" s="25">
        <f t="shared" si="77"/>
        <v>0</v>
      </c>
      <c r="AA344" s="20">
        <f t="shared" si="72"/>
        <v>0</v>
      </c>
      <c r="AB344" s="24">
        <f t="shared" si="69"/>
        <v>0</v>
      </c>
      <c r="AC344" s="37"/>
      <c r="AD344" s="37"/>
      <c r="AE344" s="22"/>
      <c r="AF344" s="20"/>
      <c r="AG344" s="21"/>
      <c r="AH344" s="20"/>
      <c r="AI344" s="21"/>
      <c r="AJ344" s="20"/>
      <c r="AK344" s="20"/>
      <c r="AL344" s="20"/>
      <c r="AM344" s="19">
        <v>35000</v>
      </c>
      <c r="AN344" s="19">
        <v>30000</v>
      </c>
      <c r="AO344" s="19"/>
      <c r="AP344" s="19"/>
      <c r="AQ344" s="19"/>
      <c r="AR344" s="19">
        <f t="shared" si="73"/>
        <v>65000</v>
      </c>
      <c r="AS344" s="17">
        <f t="shared" si="74"/>
        <v>-65000</v>
      </c>
      <c r="AT344" s="17">
        <f t="shared" si="75"/>
        <v>-65000</v>
      </c>
      <c r="AU344" s="17">
        <f t="shared" si="76"/>
        <v>0</v>
      </c>
      <c r="AV344" s="17">
        <f t="shared" si="70"/>
        <v>-32500</v>
      </c>
      <c r="AW344" s="17">
        <f t="shared" si="71"/>
        <v>-29250</v>
      </c>
      <c r="AX344" s="18">
        <v>50000</v>
      </c>
      <c r="AY344" s="18"/>
      <c r="AZ344" s="17">
        <f t="shared" si="67"/>
        <v>-79250</v>
      </c>
      <c r="BA344" s="16"/>
      <c r="BB344" s="16"/>
      <c r="BC344" s="16"/>
    </row>
    <row r="345" spans="1:55" ht="16.5" customHeight="1">
      <c r="A345" s="36">
        <v>344</v>
      </c>
      <c r="B345" s="35"/>
      <c r="C345" s="33"/>
      <c r="D345" s="33"/>
      <c r="E345" s="33"/>
      <c r="F345" s="33"/>
      <c r="G345" s="33"/>
      <c r="H345" s="33"/>
      <c r="I345" s="33"/>
      <c r="J345" s="33"/>
      <c r="K345" s="35"/>
      <c r="L345" s="34"/>
      <c r="M345" s="32"/>
      <c r="N345" s="32"/>
      <c r="O345" s="31">
        <f t="shared" si="68"/>
        <v>0</v>
      </c>
      <c r="P345" s="30"/>
      <c r="Q345" s="30"/>
      <c r="R345" s="30"/>
      <c r="S345" s="30"/>
      <c r="T345" s="29"/>
      <c r="U345" s="20"/>
      <c r="V345" s="28"/>
      <c r="W345" s="20"/>
      <c r="X345" s="27"/>
      <c r="Y345" s="26"/>
      <c r="Z345" s="25">
        <f t="shared" si="77"/>
        <v>0</v>
      </c>
      <c r="AA345" s="20">
        <f t="shared" si="72"/>
        <v>0</v>
      </c>
      <c r="AB345" s="24">
        <f t="shared" si="69"/>
        <v>0</v>
      </c>
      <c r="AC345" s="37"/>
      <c r="AD345" s="37"/>
      <c r="AE345" s="22"/>
      <c r="AF345" s="20"/>
      <c r="AG345" s="21"/>
      <c r="AH345" s="20"/>
      <c r="AI345" s="21"/>
      <c r="AJ345" s="20"/>
      <c r="AK345" s="20"/>
      <c r="AL345" s="20"/>
      <c r="AM345" s="19">
        <v>35000</v>
      </c>
      <c r="AN345" s="19">
        <v>30000</v>
      </c>
      <c r="AO345" s="19"/>
      <c r="AP345" s="19"/>
      <c r="AQ345" s="19"/>
      <c r="AR345" s="19">
        <f t="shared" si="73"/>
        <v>65000</v>
      </c>
      <c r="AS345" s="17">
        <f t="shared" si="74"/>
        <v>-65000</v>
      </c>
      <c r="AT345" s="17">
        <f t="shared" si="75"/>
        <v>-65000</v>
      </c>
      <c r="AU345" s="17">
        <f t="shared" si="76"/>
        <v>0</v>
      </c>
      <c r="AV345" s="17">
        <f t="shared" si="70"/>
        <v>-32500</v>
      </c>
      <c r="AW345" s="17">
        <f t="shared" si="71"/>
        <v>-29250</v>
      </c>
      <c r="AX345" s="18">
        <v>50000</v>
      </c>
      <c r="AY345" s="18"/>
      <c r="AZ345" s="17">
        <f t="shared" si="67"/>
        <v>-79250</v>
      </c>
      <c r="BA345" s="16"/>
      <c r="BB345" s="16"/>
      <c r="BC345" s="16"/>
    </row>
    <row r="346" spans="1:55" ht="16.899999999999999">
      <c r="A346" s="36">
        <v>345</v>
      </c>
      <c r="B346" s="35"/>
      <c r="C346" s="33"/>
      <c r="D346" s="33"/>
      <c r="E346" s="33"/>
      <c r="F346" s="33"/>
      <c r="G346" s="33"/>
      <c r="H346" s="33"/>
      <c r="I346" s="33"/>
      <c r="J346" s="33"/>
      <c r="K346" s="35"/>
      <c r="L346" s="34"/>
      <c r="M346" s="32"/>
      <c r="N346" s="32"/>
      <c r="O346" s="31">
        <f t="shared" si="68"/>
        <v>0</v>
      </c>
      <c r="P346" s="30"/>
      <c r="Q346" s="30"/>
      <c r="R346" s="30"/>
      <c r="S346" s="30"/>
      <c r="T346" s="29"/>
      <c r="U346" s="20"/>
      <c r="V346" s="28"/>
      <c r="W346" s="20"/>
      <c r="X346" s="27"/>
      <c r="Y346" s="26"/>
      <c r="Z346" s="25">
        <f t="shared" si="77"/>
        <v>0</v>
      </c>
      <c r="AA346" s="20">
        <f t="shared" si="72"/>
        <v>0</v>
      </c>
      <c r="AB346" s="24">
        <f t="shared" si="69"/>
        <v>0</v>
      </c>
      <c r="AC346" s="37"/>
      <c r="AD346" s="37"/>
      <c r="AE346" s="22"/>
      <c r="AF346" s="20"/>
      <c r="AG346" s="21"/>
      <c r="AH346" s="20"/>
      <c r="AI346" s="21"/>
      <c r="AJ346" s="20"/>
      <c r="AK346" s="20"/>
      <c r="AL346" s="20"/>
      <c r="AM346" s="19">
        <v>35000</v>
      </c>
      <c r="AN346" s="19">
        <v>30000</v>
      </c>
      <c r="AO346" s="19"/>
      <c r="AP346" s="19"/>
      <c r="AQ346" s="19"/>
      <c r="AR346" s="19">
        <f t="shared" si="73"/>
        <v>65000</v>
      </c>
      <c r="AS346" s="17">
        <f t="shared" si="74"/>
        <v>-65000</v>
      </c>
      <c r="AT346" s="17">
        <f t="shared" si="75"/>
        <v>-65000</v>
      </c>
      <c r="AU346" s="17">
        <f t="shared" si="76"/>
        <v>0</v>
      </c>
      <c r="AV346" s="17">
        <f t="shared" si="70"/>
        <v>-32500</v>
      </c>
      <c r="AW346" s="17">
        <f t="shared" si="71"/>
        <v>-29250</v>
      </c>
      <c r="AX346" s="18">
        <v>50000</v>
      </c>
      <c r="AY346" s="18"/>
      <c r="AZ346" s="17">
        <f t="shared" si="67"/>
        <v>-79250</v>
      </c>
      <c r="BA346" s="16"/>
      <c r="BB346" s="16"/>
      <c r="BC346" s="16"/>
    </row>
    <row r="347" spans="1:55" ht="16.899999999999999">
      <c r="A347" s="36">
        <v>346</v>
      </c>
      <c r="B347" s="35"/>
      <c r="C347" s="33"/>
      <c r="D347" s="33"/>
      <c r="E347" s="33"/>
      <c r="F347" s="33"/>
      <c r="G347" s="33"/>
      <c r="H347" s="33"/>
      <c r="I347" s="33"/>
      <c r="J347" s="33"/>
      <c r="K347" s="35"/>
      <c r="L347" s="34"/>
      <c r="M347" s="32"/>
      <c r="N347" s="32"/>
      <c r="O347" s="31">
        <f t="shared" si="68"/>
        <v>0</v>
      </c>
      <c r="P347" s="30"/>
      <c r="Q347" s="30"/>
      <c r="R347" s="30"/>
      <c r="S347" s="30"/>
      <c r="T347" s="29"/>
      <c r="U347" s="20"/>
      <c r="V347" s="28"/>
      <c r="W347" s="20"/>
      <c r="X347" s="27"/>
      <c r="Y347" s="26"/>
      <c r="Z347" s="25">
        <f t="shared" si="77"/>
        <v>0</v>
      </c>
      <c r="AA347" s="20">
        <f t="shared" si="72"/>
        <v>0</v>
      </c>
      <c r="AB347" s="24">
        <f t="shared" si="69"/>
        <v>0</v>
      </c>
      <c r="AC347" s="37"/>
      <c r="AD347" s="37"/>
      <c r="AE347" s="22"/>
      <c r="AF347" s="20"/>
      <c r="AG347" s="21"/>
      <c r="AH347" s="20"/>
      <c r="AI347" s="21"/>
      <c r="AJ347" s="20"/>
      <c r="AK347" s="20"/>
      <c r="AL347" s="20"/>
      <c r="AM347" s="19">
        <v>35000</v>
      </c>
      <c r="AN347" s="19">
        <v>30000</v>
      </c>
      <c r="AO347" s="19"/>
      <c r="AP347" s="19"/>
      <c r="AQ347" s="19"/>
      <c r="AR347" s="19">
        <f t="shared" si="73"/>
        <v>65000</v>
      </c>
      <c r="AS347" s="17">
        <f t="shared" si="74"/>
        <v>-65000</v>
      </c>
      <c r="AT347" s="17">
        <f t="shared" si="75"/>
        <v>-65000</v>
      </c>
      <c r="AU347" s="17">
        <f t="shared" si="76"/>
        <v>0</v>
      </c>
      <c r="AV347" s="17">
        <f t="shared" si="70"/>
        <v>-32500</v>
      </c>
      <c r="AW347" s="17">
        <f t="shared" si="71"/>
        <v>-29250</v>
      </c>
      <c r="AX347" s="18">
        <v>50000</v>
      </c>
      <c r="AY347" s="18"/>
      <c r="AZ347" s="17">
        <f t="shared" si="67"/>
        <v>-79250</v>
      </c>
      <c r="BA347" s="16"/>
      <c r="BB347" s="16"/>
      <c r="BC347" s="16"/>
    </row>
    <row r="348" spans="1:55" s="6" customFormat="1" ht="16.899999999999999">
      <c r="A348" s="36">
        <v>347</v>
      </c>
      <c r="B348" s="35"/>
      <c r="C348" s="33"/>
      <c r="D348" s="33"/>
      <c r="E348" s="33"/>
      <c r="F348" s="33"/>
      <c r="G348" s="33"/>
      <c r="H348" s="33"/>
      <c r="I348" s="33"/>
      <c r="J348" s="33"/>
      <c r="K348" s="35"/>
      <c r="L348" s="34"/>
      <c r="M348" s="32"/>
      <c r="N348" s="32"/>
      <c r="O348" s="31">
        <f t="shared" si="68"/>
        <v>0</v>
      </c>
      <c r="P348" s="30"/>
      <c r="Q348" s="30"/>
      <c r="R348" s="30"/>
      <c r="S348" s="30"/>
      <c r="T348" s="29"/>
      <c r="U348" s="20"/>
      <c r="V348" s="28"/>
      <c r="W348" s="20"/>
      <c r="X348" s="27"/>
      <c r="Y348" s="26"/>
      <c r="Z348" s="25">
        <f t="shared" si="77"/>
        <v>0</v>
      </c>
      <c r="AA348" s="20">
        <f t="shared" si="72"/>
        <v>0</v>
      </c>
      <c r="AB348" s="24">
        <f t="shared" si="69"/>
        <v>0</v>
      </c>
      <c r="AC348" s="37"/>
      <c r="AD348" s="37"/>
      <c r="AE348" s="22"/>
      <c r="AF348" s="20"/>
      <c r="AG348" s="21"/>
      <c r="AH348" s="20"/>
      <c r="AI348" s="21"/>
      <c r="AJ348" s="20"/>
      <c r="AK348" s="20"/>
      <c r="AL348" s="20"/>
      <c r="AM348" s="19">
        <v>35000</v>
      </c>
      <c r="AN348" s="19">
        <v>30000</v>
      </c>
      <c r="AO348" s="19"/>
      <c r="AP348" s="19"/>
      <c r="AQ348" s="19"/>
      <c r="AR348" s="19">
        <f t="shared" si="73"/>
        <v>65000</v>
      </c>
      <c r="AS348" s="17">
        <f t="shared" si="74"/>
        <v>-65000</v>
      </c>
      <c r="AT348" s="17">
        <f t="shared" si="75"/>
        <v>-65000</v>
      </c>
      <c r="AU348" s="17">
        <f t="shared" si="76"/>
        <v>0</v>
      </c>
      <c r="AV348" s="17">
        <f t="shared" si="70"/>
        <v>-32500</v>
      </c>
      <c r="AW348" s="17">
        <f t="shared" si="71"/>
        <v>-29250</v>
      </c>
      <c r="AX348" s="18">
        <v>50000</v>
      </c>
      <c r="AY348" s="18"/>
      <c r="AZ348" s="17">
        <f t="shared" si="67"/>
        <v>-79250</v>
      </c>
      <c r="BA348" s="16"/>
      <c r="BB348" s="15"/>
      <c r="BC348" s="15"/>
    </row>
    <row r="349" spans="1:55" s="6" customFormat="1" ht="16.899999999999999">
      <c r="A349" s="36">
        <v>348</v>
      </c>
      <c r="B349" s="35"/>
      <c r="C349" s="33"/>
      <c r="D349" s="33"/>
      <c r="E349" s="33"/>
      <c r="F349" s="33"/>
      <c r="G349" s="33"/>
      <c r="H349" s="33"/>
      <c r="I349" s="33"/>
      <c r="J349" s="33"/>
      <c r="K349" s="35"/>
      <c r="L349" s="34"/>
      <c r="M349" s="32"/>
      <c r="N349" s="32"/>
      <c r="O349" s="31">
        <f t="shared" si="68"/>
        <v>0</v>
      </c>
      <c r="P349" s="30"/>
      <c r="Q349" s="30"/>
      <c r="R349" s="30"/>
      <c r="S349" s="30"/>
      <c r="T349" s="29"/>
      <c r="U349" s="20"/>
      <c r="V349" s="28"/>
      <c r="W349" s="20"/>
      <c r="X349" s="27"/>
      <c r="Y349" s="26"/>
      <c r="Z349" s="25">
        <f t="shared" si="77"/>
        <v>0</v>
      </c>
      <c r="AA349" s="20">
        <f t="shared" si="72"/>
        <v>0</v>
      </c>
      <c r="AB349" s="24">
        <f t="shared" si="69"/>
        <v>0</v>
      </c>
      <c r="AC349" s="37"/>
      <c r="AD349" s="37"/>
      <c r="AE349" s="22"/>
      <c r="AF349" s="20"/>
      <c r="AG349" s="21"/>
      <c r="AH349" s="20"/>
      <c r="AI349" s="21"/>
      <c r="AJ349" s="20"/>
      <c r="AK349" s="20"/>
      <c r="AL349" s="20"/>
      <c r="AM349" s="19">
        <v>35000</v>
      </c>
      <c r="AN349" s="19">
        <v>30000</v>
      </c>
      <c r="AO349" s="19"/>
      <c r="AP349" s="19"/>
      <c r="AQ349" s="19"/>
      <c r="AR349" s="19">
        <f t="shared" si="73"/>
        <v>65000</v>
      </c>
      <c r="AS349" s="17">
        <f t="shared" si="74"/>
        <v>-65000</v>
      </c>
      <c r="AT349" s="17">
        <f t="shared" si="75"/>
        <v>-65000</v>
      </c>
      <c r="AU349" s="17">
        <f t="shared" si="76"/>
        <v>0</v>
      </c>
      <c r="AV349" s="17">
        <f t="shared" si="70"/>
        <v>-32500</v>
      </c>
      <c r="AW349" s="17">
        <f t="shared" si="71"/>
        <v>-29250</v>
      </c>
      <c r="AX349" s="18">
        <v>50000</v>
      </c>
      <c r="AY349" s="18"/>
      <c r="AZ349" s="17">
        <f t="shared" si="67"/>
        <v>-79250</v>
      </c>
      <c r="BA349" s="16"/>
      <c r="BB349" s="15"/>
      <c r="BC349" s="15"/>
    </row>
    <row r="350" spans="1:55" s="6" customFormat="1" ht="16.899999999999999">
      <c r="A350" s="36">
        <v>349</v>
      </c>
      <c r="B350" s="35"/>
      <c r="C350" s="33"/>
      <c r="D350" s="33"/>
      <c r="E350" s="33"/>
      <c r="F350" s="33"/>
      <c r="G350" s="33"/>
      <c r="H350" s="33"/>
      <c r="I350" s="33"/>
      <c r="J350" s="33"/>
      <c r="K350" s="35"/>
      <c r="L350" s="34"/>
      <c r="M350" s="32"/>
      <c r="N350" s="32"/>
      <c r="O350" s="31">
        <f t="shared" si="68"/>
        <v>0</v>
      </c>
      <c r="P350" s="30"/>
      <c r="Q350" s="30"/>
      <c r="R350" s="30"/>
      <c r="S350" s="30"/>
      <c r="T350" s="29"/>
      <c r="U350" s="20"/>
      <c r="V350" s="28"/>
      <c r="W350" s="20"/>
      <c r="X350" s="27"/>
      <c r="Y350" s="26"/>
      <c r="Z350" s="25">
        <f t="shared" si="77"/>
        <v>0</v>
      </c>
      <c r="AA350" s="20">
        <f t="shared" si="72"/>
        <v>0</v>
      </c>
      <c r="AB350" s="24">
        <f t="shared" si="69"/>
        <v>0</v>
      </c>
      <c r="AC350" s="37"/>
      <c r="AD350" s="37"/>
      <c r="AE350" s="22"/>
      <c r="AF350" s="20"/>
      <c r="AG350" s="21"/>
      <c r="AH350" s="20"/>
      <c r="AI350" s="21"/>
      <c r="AJ350" s="20"/>
      <c r="AK350" s="20"/>
      <c r="AL350" s="20"/>
      <c r="AM350" s="19">
        <v>35000</v>
      </c>
      <c r="AN350" s="19">
        <v>30000</v>
      </c>
      <c r="AO350" s="19"/>
      <c r="AP350" s="19"/>
      <c r="AQ350" s="19"/>
      <c r="AR350" s="19">
        <f t="shared" si="73"/>
        <v>65000</v>
      </c>
      <c r="AS350" s="17">
        <f t="shared" si="74"/>
        <v>-65000</v>
      </c>
      <c r="AT350" s="17">
        <f t="shared" si="75"/>
        <v>-65000</v>
      </c>
      <c r="AU350" s="17">
        <f t="shared" si="76"/>
        <v>0</v>
      </c>
      <c r="AV350" s="17">
        <f t="shared" si="70"/>
        <v>-32500</v>
      </c>
      <c r="AW350" s="17">
        <f t="shared" si="71"/>
        <v>-29250</v>
      </c>
      <c r="AX350" s="18">
        <v>50000</v>
      </c>
      <c r="AY350" s="18"/>
      <c r="AZ350" s="17">
        <f t="shared" si="67"/>
        <v>-79250</v>
      </c>
      <c r="BA350" s="16"/>
      <c r="BB350" s="15"/>
      <c r="BC350" s="15"/>
    </row>
    <row r="351" spans="1:55" s="6" customFormat="1" ht="16.899999999999999">
      <c r="A351" s="36">
        <v>350</v>
      </c>
      <c r="B351" s="35"/>
      <c r="C351" s="33"/>
      <c r="D351" s="33"/>
      <c r="E351" s="33"/>
      <c r="F351" s="33"/>
      <c r="G351" s="33"/>
      <c r="H351" s="33"/>
      <c r="I351" s="33"/>
      <c r="J351" s="33"/>
      <c r="K351" s="35"/>
      <c r="L351" s="34"/>
      <c r="M351" s="32"/>
      <c r="N351" s="32"/>
      <c r="O351" s="31">
        <f t="shared" si="68"/>
        <v>0</v>
      </c>
      <c r="P351" s="30"/>
      <c r="Q351" s="30"/>
      <c r="R351" s="30"/>
      <c r="S351" s="30"/>
      <c r="T351" s="29"/>
      <c r="U351" s="20"/>
      <c r="V351" s="28"/>
      <c r="W351" s="20"/>
      <c r="X351" s="27"/>
      <c r="Y351" s="26"/>
      <c r="Z351" s="25">
        <f t="shared" si="77"/>
        <v>0</v>
      </c>
      <c r="AA351" s="20">
        <f t="shared" si="72"/>
        <v>0</v>
      </c>
      <c r="AB351" s="24">
        <f t="shared" si="69"/>
        <v>0</v>
      </c>
      <c r="AC351" s="37"/>
      <c r="AD351" s="37"/>
      <c r="AE351" s="22"/>
      <c r="AF351" s="20"/>
      <c r="AG351" s="21"/>
      <c r="AH351" s="20"/>
      <c r="AI351" s="21"/>
      <c r="AJ351" s="20"/>
      <c r="AK351" s="20"/>
      <c r="AL351" s="20"/>
      <c r="AM351" s="19">
        <v>35000</v>
      </c>
      <c r="AN351" s="19">
        <v>30000</v>
      </c>
      <c r="AO351" s="19"/>
      <c r="AP351" s="19"/>
      <c r="AQ351" s="19"/>
      <c r="AR351" s="19">
        <f t="shared" si="73"/>
        <v>65000</v>
      </c>
      <c r="AS351" s="17">
        <f t="shared" si="74"/>
        <v>-65000</v>
      </c>
      <c r="AT351" s="17">
        <f t="shared" si="75"/>
        <v>-65000</v>
      </c>
      <c r="AU351" s="17">
        <f t="shared" si="76"/>
        <v>0</v>
      </c>
      <c r="AV351" s="17">
        <f t="shared" si="70"/>
        <v>-32500</v>
      </c>
      <c r="AW351" s="17">
        <f t="shared" si="71"/>
        <v>-29250</v>
      </c>
      <c r="AX351" s="18">
        <v>50000</v>
      </c>
      <c r="AY351" s="18"/>
      <c r="AZ351" s="17">
        <f t="shared" si="67"/>
        <v>-79250</v>
      </c>
      <c r="BA351" s="16"/>
      <c r="BB351" s="15"/>
      <c r="BC351" s="15"/>
    </row>
    <row r="352" spans="1:55" s="6" customFormat="1" ht="16.899999999999999">
      <c r="A352" s="36">
        <v>351</v>
      </c>
      <c r="B352" s="35"/>
      <c r="C352" s="33"/>
      <c r="D352" s="33"/>
      <c r="E352" s="33"/>
      <c r="F352" s="33"/>
      <c r="G352" s="33"/>
      <c r="H352" s="33"/>
      <c r="I352" s="33"/>
      <c r="J352" s="33"/>
      <c r="K352" s="35"/>
      <c r="L352" s="34"/>
      <c r="M352" s="32"/>
      <c r="N352" s="32"/>
      <c r="O352" s="31">
        <f t="shared" si="68"/>
        <v>0</v>
      </c>
      <c r="P352" s="30"/>
      <c r="Q352" s="30"/>
      <c r="R352" s="30"/>
      <c r="S352" s="30"/>
      <c r="T352" s="29"/>
      <c r="U352" s="20"/>
      <c r="V352" s="28"/>
      <c r="W352" s="20"/>
      <c r="X352" s="27"/>
      <c r="Y352" s="26"/>
      <c r="Z352" s="25">
        <f t="shared" si="77"/>
        <v>0</v>
      </c>
      <c r="AA352" s="20">
        <f t="shared" si="72"/>
        <v>0</v>
      </c>
      <c r="AB352" s="24">
        <f t="shared" si="69"/>
        <v>0</v>
      </c>
      <c r="AC352" s="37"/>
      <c r="AD352" s="37"/>
      <c r="AE352" s="22"/>
      <c r="AF352" s="20"/>
      <c r="AG352" s="21"/>
      <c r="AH352" s="20"/>
      <c r="AI352" s="21"/>
      <c r="AJ352" s="20"/>
      <c r="AK352" s="20"/>
      <c r="AL352" s="20"/>
      <c r="AM352" s="19">
        <v>35000</v>
      </c>
      <c r="AN352" s="19">
        <v>30000</v>
      </c>
      <c r="AO352" s="19"/>
      <c r="AP352" s="19"/>
      <c r="AQ352" s="19"/>
      <c r="AR352" s="19">
        <f t="shared" si="73"/>
        <v>65000</v>
      </c>
      <c r="AS352" s="17">
        <f t="shared" si="74"/>
        <v>-65000</v>
      </c>
      <c r="AT352" s="17">
        <f t="shared" si="75"/>
        <v>-65000</v>
      </c>
      <c r="AU352" s="17">
        <f t="shared" si="76"/>
        <v>0</v>
      </c>
      <c r="AV352" s="17">
        <f t="shared" si="70"/>
        <v>-32500</v>
      </c>
      <c r="AW352" s="17">
        <f t="shared" si="71"/>
        <v>-29250</v>
      </c>
      <c r="AX352" s="18">
        <v>50000</v>
      </c>
      <c r="AY352" s="18"/>
      <c r="AZ352" s="17">
        <f t="shared" si="67"/>
        <v>-79250</v>
      </c>
      <c r="BA352" s="16"/>
      <c r="BB352" s="15"/>
      <c r="BC352" s="15"/>
    </row>
    <row r="353" spans="1:55" s="6" customFormat="1" ht="16.899999999999999">
      <c r="A353" s="36">
        <v>352</v>
      </c>
      <c r="B353" s="35"/>
      <c r="C353" s="33"/>
      <c r="D353" s="33"/>
      <c r="E353" s="33"/>
      <c r="F353" s="33"/>
      <c r="G353" s="33"/>
      <c r="H353" s="33"/>
      <c r="I353" s="33"/>
      <c r="J353" s="33"/>
      <c r="K353" s="35"/>
      <c r="L353" s="34"/>
      <c r="M353" s="32"/>
      <c r="N353" s="32"/>
      <c r="O353" s="31">
        <f t="shared" si="68"/>
        <v>0</v>
      </c>
      <c r="P353" s="30"/>
      <c r="Q353" s="30"/>
      <c r="R353" s="30"/>
      <c r="S353" s="30"/>
      <c r="T353" s="29"/>
      <c r="U353" s="20"/>
      <c r="V353" s="28"/>
      <c r="W353" s="20"/>
      <c r="X353" s="27"/>
      <c r="Y353" s="26"/>
      <c r="Z353" s="25">
        <f t="shared" si="77"/>
        <v>0</v>
      </c>
      <c r="AA353" s="20">
        <f t="shared" si="72"/>
        <v>0</v>
      </c>
      <c r="AB353" s="24">
        <f t="shared" si="69"/>
        <v>0</v>
      </c>
      <c r="AC353" s="37"/>
      <c r="AD353" s="37"/>
      <c r="AE353" s="22"/>
      <c r="AF353" s="20"/>
      <c r="AG353" s="21"/>
      <c r="AH353" s="20"/>
      <c r="AI353" s="21"/>
      <c r="AJ353" s="20"/>
      <c r="AK353" s="20"/>
      <c r="AL353" s="20"/>
      <c r="AM353" s="19">
        <v>35000</v>
      </c>
      <c r="AN353" s="19">
        <v>30000</v>
      </c>
      <c r="AO353" s="19"/>
      <c r="AP353" s="19"/>
      <c r="AQ353" s="19"/>
      <c r="AR353" s="19">
        <f t="shared" si="73"/>
        <v>65000</v>
      </c>
      <c r="AS353" s="17">
        <f t="shared" si="74"/>
        <v>-65000</v>
      </c>
      <c r="AT353" s="17">
        <f t="shared" si="75"/>
        <v>-65000</v>
      </c>
      <c r="AU353" s="17">
        <f t="shared" si="76"/>
        <v>0</v>
      </c>
      <c r="AV353" s="17">
        <f t="shared" si="70"/>
        <v>-32500</v>
      </c>
      <c r="AW353" s="17">
        <f t="shared" si="71"/>
        <v>-29250</v>
      </c>
      <c r="AX353" s="18">
        <v>50000</v>
      </c>
      <c r="AY353" s="18"/>
      <c r="AZ353" s="17">
        <f t="shared" si="67"/>
        <v>-79250</v>
      </c>
      <c r="BA353" s="16"/>
      <c r="BB353" s="15"/>
      <c r="BC353" s="15"/>
    </row>
    <row r="354" spans="1:55" s="6" customFormat="1" ht="16.899999999999999">
      <c r="A354" s="36">
        <v>353</v>
      </c>
      <c r="B354" s="35"/>
      <c r="C354" s="33"/>
      <c r="D354" s="33"/>
      <c r="E354" s="33"/>
      <c r="F354" s="33"/>
      <c r="G354" s="33"/>
      <c r="H354" s="33"/>
      <c r="I354" s="33"/>
      <c r="J354" s="33"/>
      <c r="K354" s="35"/>
      <c r="L354" s="34"/>
      <c r="M354" s="32"/>
      <c r="N354" s="32"/>
      <c r="O354" s="31">
        <f t="shared" si="68"/>
        <v>0</v>
      </c>
      <c r="P354" s="30"/>
      <c r="Q354" s="30"/>
      <c r="R354" s="30"/>
      <c r="S354" s="30"/>
      <c r="T354" s="29"/>
      <c r="U354" s="20"/>
      <c r="V354" s="28"/>
      <c r="W354" s="20"/>
      <c r="X354" s="27"/>
      <c r="Y354" s="26"/>
      <c r="Z354" s="25">
        <f t="shared" si="77"/>
        <v>0</v>
      </c>
      <c r="AA354" s="20">
        <f t="shared" si="72"/>
        <v>0</v>
      </c>
      <c r="AB354" s="24">
        <f t="shared" si="69"/>
        <v>0</v>
      </c>
      <c r="AC354" s="37"/>
      <c r="AD354" s="37"/>
      <c r="AE354" s="22"/>
      <c r="AF354" s="20"/>
      <c r="AG354" s="21"/>
      <c r="AH354" s="20"/>
      <c r="AI354" s="21"/>
      <c r="AJ354" s="20"/>
      <c r="AK354" s="20"/>
      <c r="AL354" s="20"/>
      <c r="AM354" s="19">
        <v>35000</v>
      </c>
      <c r="AN354" s="19">
        <v>30000</v>
      </c>
      <c r="AO354" s="19"/>
      <c r="AP354" s="19"/>
      <c r="AQ354" s="19"/>
      <c r="AR354" s="19">
        <f t="shared" si="73"/>
        <v>65000</v>
      </c>
      <c r="AS354" s="17">
        <f t="shared" si="74"/>
        <v>-65000</v>
      </c>
      <c r="AT354" s="17">
        <f t="shared" si="75"/>
        <v>-65000</v>
      </c>
      <c r="AU354" s="17">
        <f t="shared" si="76"/>
        <v>0</v>
      </c>
      <c r="AV354" s="17">
        <f t="shared" si="70"/>
        <v>-32500</v>
      </c>
      <c r="AW354" s="17">
        <f t="shared" si="71"/>
        <v>-29250</v>
      </c>
      <c r="AX354" s="18">
        <v>50000</v>
      </c>
      <c r="AY354" s="18"/>
      <c r="AZ354" s="17">
        <f t="shared" si="67"/>
        <v>-79250</v>
      </c>
      <c r="BA354" s="16"/>
      <c r="BB354" s="15"/>
      <c r="BC354" s="15"/>
    </row>
    <row r="355" spans="1:55" s="6" customFormat="1" ht="16.899999999999999">
      <c r="A355" s="36">
        <v>354</v>
      </c>
      <c r="B355" s="35"/>
      <c r="C355" s="33"/>
      <c r="D355" s="33"/>
      <c r="E355" s="33"/>
      <c r="F355" s="33"/>
      <c r="G355" s="33"/>
      <c r="H355" s="33"/>
      <c r="I355" s="33"/>
      <c r="J355" s="33"/>
      <c r="K355" s="35"/>
      <c r="L355" s="34"/>
      <c r="M355" s="32"/>
      <c r="N355" s="32"/>
      <c r="O355" s="31">
        <f t="shared" si="68"/>
        <v>0</v>
      </c>
      <c r="P355" s="30"/>
      <c r="Q355" s="30"/>
      <c r="R355" s="30"/>
      <c r="S355" s="30"/>
      <c r="T355" s="29"/>
      <c r="U355" s="20"/>
      <c r="V355" s="28"/>
      <c r="W355" s="20"/>
      <c r="X355" s="27"/>
      <c r="Y355" s="26"/>
      <c r="Z355" s="25">
        <f t="shared" si="77"/>
        <v>0</v>
      </c>
      <c r="AA355" s="20">
        <f t="shared" si="72"/>
        <v>0</v>
      </c>
      <c r="AB355" s="24">
        <f t="shared" si="69"/>
        <v>0</v>
      </c>
      <c r="AC355" s="37"/>
      <c r="AD355" s="37"/>
      <c r="AE355" s="22"/>
      <c r="AF355" s="20"/>
      <c r="AG355" s="21"/>
      <c r="AH355" s="20"/>
      <c r="AI355" s="21"/>
      <c r="AJ355" s="20"/>
      <c r="AK355" s="20"/>
      <c r="AL355" s="20"/>
      <c r="AM355" s="19">
        <v>35000</v>
      </c>
      <c r="AN355" s="19">
        <v>30000</v>
      </c>
      <c r="AO355" s="19"/>
      <c r="AP355" s="19"/>
      <c r="AQ355" s="19"/>
      <c r="AR355" s="19">
        <f t="shared" si="73"/>
        <v>65000</v>
      </c>
      <c r="AS355" s="17">
        <f t="shared" si="74"/>
        <v>-65000</v>
      </c>
      <c r="AT355" s="17">
        <f t="shared" si="75"/>
        <v>-65000</v>
      </c>
      <c r="AU355" s="17">
        <f t="shared" si="76"/>
        <v>0</v>
      </c>
      <c r="AV355" s="17">
        <f t="shared" si="70"/>
        <v>-32500</v>
      </c>
      <c r="AW355" s="17">
        <f t="shared" si="71"/>
        <v>-29250</v>
      </c>
      <c r="AX355" s="18">
        <v>50000</v>
      </c>
      <c r="AY355" s="18"/>
      <c r="AZ355" s="17">
        <f t="shared" si="67"/>
        <v>-79250</v>
      </c>
      <c r="BA355" s="16"/>
      <c r="BB355" s="15"/>
      <c r="BC355" s="15"/>
    </row>
    <row r="356" spans="1:55" s="6" customFormat="1" ht="16.899999999999999">
      <c r="A356" s="36">
        <v>355</v>
      </c>
      <c r="B356" s="35"/>
      <c r="C356" s="33"/>
      <c r="D356" s="33"/>
      <c r="E356" s="33"/>
      <c r="F356" s="33"/>
      <c r="G356" s="33"/>
      <c r="H356" s="33"/>
      <c r="I356" s="33"/>
      <c r="J356" s="33"/>
      <c r="K356" s="35"/>
      <c r="L356" s="34"/>
      <c r="M356" s="32"/>
      <c r="N356" s="32"/>
      <c r="O356" s="31">
        <f t="shared" si="68"/>
        <v>0</v>
      </c>
      <c r="P356" s="30"/>
      <c r="Q356" s="30"/>
      <c r="R356" s="30"/>
      <c r="S356" s="30"/>
      <c r="T356" s="29"/>
      <c r="U356" s="20"/>
      <c r="V356" s="28"/>
      <c r="W356" s="20"/>
      <c r="X356" s="27"/>
      <c r="Y356" s="26"/>
      <c r="Z356" s="25">
        <f t="shared" si="77"/>
        <v>0</v>
      </c>
      <c r="AA356" s="20">
        <f t="shared" si="72"/>
        <v>0</v>
      </c>
      <c r="AB356" s="24">
        <f t="shared" si="69"/>
        <v>0</v>
      </c>
      <c r="AC356" s="37"/>
      <c r="AD356" s="37"/>
      <c r="AE356" s="22"/>
      <c r="AF356" s="20"/>
      <c r="AG356" s="21"/>
      <c r="AH356" s="20"/>
      <c r="AI356" s="21"/>
      <c r="AJ356" s="20"/>
      <c r="AK356" s="20"/>
      <c r="AL356" s="20"/>
      <c r="AM356" s="19">
        <v>35000</v>
      </c>
      <c r="AN356" s="19">
        <v>30000</v>
      </c>
      <c r="AO356" s="19"/>
      <c r="AP356" s="19"/>
      <c r="AQ356" s="19"/>
      <c r="AR356" s="19">
        <f t="shared" si="73"/>
        <v>65000</v>
      </c>
      <c r="AS356" s="17">
        <f t="shared" si="74"/>
        <v>-65000</v>
      </c>
      <c r="AT356" s="17">
        <f t="shared" si="75"/>
        <v>-65000</v>
      </c>
      <c r="AU356" s="17">
        <f t="shared" si="76"/>
        <v>0</v>
      </c>
      <c r="AV356" s="17">
        <f t="shared" si="70"/>
        <v>-32500</v>
      </c>
      <c r="AW356" s="17">
        <f t="shared" si="71"/>
        <v>-29250</v>
      </c>
      <c r="AX356" s="18">
        <v>50000</v>
      </c>
      <c r="AY356" s="18"/>
      <c r="AZ356" s="17">
        <f t="shared" si="67"/>
        <v>-79250</v>
      </c>
      <c r="BA356" s="16"/>
      <c r="BB356" s="15"/>
      <c r="BC356" s="15"/>
    </row>
    <row r="357" spans="1:55" s="6" customFormat="1" ht="16.899999999999999">
      <c r="A357" s="36">
        <v>356</v>
      </c>
      <c r="B357" s="35"/>
      <c r="C357" s="33"/>
      <c r="D357" s="33"/>
      <c r="E357" s="33"/>
      <c r="F357" s="33"/>
      <c r="G357" s="33"/>
      <c r="H357" s="33"/>
      <c r="I357" s="33"/>
      <c r="J357" s="33"/>
      <c r="K357" s="35"/>
      <c r="L357" s="34"/>
      <c r="M357" s="32"/>
      <c r="N357" s="32"/>
      <c r="O357" s="31">
        <f t="shared" si="68"/>
        <v>0</v>
      </c>
      <c r="P357" s="30"/>
      <c r="Q357" s="30"/>
      <c r="R357" s="30"/>
      <c r="S357" s="30"/>
      <c r="T357" s="29"/>
      <c r="U357" s="20"/>
      <c r="V357" s="28"/>
      <c r="W357" s="20"/>
      <c r="X357" s="27"/>
      <c r="Y357" s="26"/>
      <c r="Z357" s="25">
        <f t="shared" si="77"/>
        <v>0</v>
      </c>
      <c r="AA357" s="20">
        <f t="shared" si="72"/>
        <v>0</v>
      </c>
      <c r="AB357" s="24">
        <f t="shared" si="69"/>
        <v>0</v>
      </c>
      <c r="AC357" s="37"/>
      <c r="AD357" s="37"/>
      <c r="AE357" s="22"/>
      <c r="AF357" s="20"/>
      <c r="AG357" s="21"/>
      <c r="AH357" s="20"/>
      <c r="AI357" s="21"/>
      <c r="AJ357" s="20"/>
      <c r="AK357" s="20"/>
      <c r="AL357" s="20"/>
      <c r="AM357" s="19">
        <v>35000</v>
      </c>
      <c r="AN357" s="19">
        <v>30000</v>
      </c>
      <c r="AO357" s="19"/>
      <c r="AP357" s="19"/>
      <c r="AQ357" s="19"/>
      <c r="AR357" s="19">
        <f t="shared" si="73"/>
        <v>65000</v>
      </c>
      <c r="AS357" s="17">
        <f t="shared" si="74"/>
        <v>-65000</v>
      </c>
      <c r="AT357" s="17">
        <f t="shared" si="75"/>
        <v>-65000</v>
      </c>
      <c r="AU357" s="17">
        <f t="shared" si="76"/>
        <v>0</v>
      </c>
      <c r="AV357" s="17">
        <f t="shared" si="70"/>
        <v>-32500</v>
      </c>
      <c r="AW357" s="17">
        <f t="shared" si="71"/>
        <v>-29250</v>
      </c>
      <c r="AX357" s="18">
        <v>50000</v>
      </c>
      <c r="AY357" s="18"/>
      <c r="AZ357" s="17">
        <f t="shared" ref="AZ357:AZ420" si="78">SUM(AW357-AX357-AY357)</f>
        <v>-79250</v>
      </c>
      <c r="BA357" s="16"/>
      <c r="BB357" s="15"/>
      <c r="BC357" s="15"/>
    </row>
    <row r="358" spans="1:55" s="6" customFormat="1" ht="16.899999999999999">
      <c r="A358" s="36">
        <v>357</v>
      </c>
      <c r="B358" s="35"/>
      <c r="C358" s="33"/>
      <c r="D358" s="33"/>
      <c r="E358" s="33"/>
      <c r="F358" s="33"/>
      <c r="G358" s="33"/>
      <c r="H358" s="33"/>
      <c r="I358" s="33"/>
      <c r="J358" s="33"/>
      <c r="K358" s="35"/>
      <c r="L358" s="34"/>
      <c r="M358" s="32"/>
      <c r="N358" s="32"/>
      <c r="O358" s="31">
        <f t="shared" si="68"/>
        <v>0</v>
      </c>
      <c r="P358" s="30"/>
      <c r="Q358" s="30"/>
      <c r="R358" s="30"/>
      <c r="S358" s="30"/>
      <c r="T358" s="29"/>
      <c r="U358" s="20"/>
      <c r="V358" s="28"/>
      <c r="W358" s="20"/>
      <c r="X358" s="27"/>
      <c r="Y358" s="26"/>
      <c r="Z358" s="25">
        <f t="shared" si="77"/>
        <v>0</v>
      </c>
      <c r="AA358" s="20">
        <f t="shared" si="72"/>
        <v>0</v>
      </c>
      <c r="AB358" s="24">
        <f t="shared" si="69"/>
        <v>0</v>
      </c>
      <c r="AC358" s="37"/>
      <c r="AD358" s="37"/>
      <c r="AE358" s="22"/>
      <c r="AF358" s="20"/>
      <c r="AG358" s="21"/>
      <c r="AH358" s="20"/>
      <c r="AI358" s="21"/>
      <c r="AJ358" s="20"/>
      <c r="AK358" s="20"/>
      <c r="AL358" s="20"/>
      <c r="AM358" s="19">
        <v>35000</v>
      </c>
      <c r="AN358" s="19">
        <v>30000</v>
      </c>
      <c r="AO358" s="19"/>
      <c r="AP358" s="19"/>
      <c r="AQ358" s="19"/>
      <c r="AR358" s="19">
        <f t="shared" si="73"/>
        <v>65000</v>
      </c>
      <c r="AS358" s="17">
        <f t="shared" si="74"/>
        <v>-65000</v>
      </c>
      <c r="AT358" s="17">
        <f t="shared" si="75"/>
        <v>-65000</v>
      </c>
      <c r="AU358" s="17">
        <f t="shared" si="76"/>
        <v>0</v>
      </c>
      <c r="AV358" s="17">
        <f t="shared" si="70"/>
        <v>-32500</v>
      </c>
      <c r="AW358" s="17">
        <f t="shared" si="71"/>
        <v>-29250</v>
      </c>
      <c r="AX358" s="18">
        <v>50000</v>
      </c>
      <c r="AY358" s="18"/>
      <c r="AZ358" s="17">
        <f t="shared" si="78"/>
        <v>-79250</v>
      </c>
      <c r="BA358" s="16"/>
      <c r="BB358" s="15"/>
      <c r="BC358" s="15"/>
    </row>
    <row r="359" spans="1:55" s="6" customFormat="1" ht="16.899999999999999">
      <c r="A359" s="36">
        <v>358</v>
      </c>
      <c r="B359" s="35"/>
      <c r="C359" s="33"/>
      <c r="D359" s="33"/>
      <c r="E359" s="33"/>
      <c r="F359" s="33"/>
      <c r="G359" s="33"/>
      <c r="H359" s="33"/>
      <c r="I359" s="33"/>
      <c r="J359" s="33"/>
      <c r="K359" s="35"/>
      <c r="L359" s="34"/>
      <c r="M359" s="32"/>
      <c r="N359" s="32"/>
      <c r="O359" s="31">
        <f t="shared" si="68"/>
        <v>0</v>
      </c>
      <c r="P359" s="30"/>
      <c r="Q359" s="30"/>
      <c r="R359" s="30"/>
      <c r="S359" s="30"/>
      <c r="T359" s="29"/>
      <c r="U359" s="20"/>
      <c r="V359" s="28"/>
      <c r="W359" s="20"/>
      <c r="X359" s="27"/>
      <c r="Y359" s="26"/>
      <c r="Z359" s="25">
        <f t="shared" si="77"/>
        <v>0</v>
      </c>
      <c r="AA359" s="20">
        <f t="shared" si="72"/>
        <v>0</v>
      </c>
      <c r="AB359" s="24">
        <f t="shared" si="69"/>
        <v>0</v>
      </c>
      <c r="AC359" s="37"/>
      <c r="AD359" s="37"/>
      <c r="AE359" s="22"/>
      <c r="AF359" s="20"/>
      <c r="AG359" s="21"/>
      <c r="AH359" s="20"/>
      <c r="AI359" s="21"/>
      <c r="AJ359" s="20"/>
      <c r="AK359" s="20"/>
      <c r="AL359" s="20"/>
      <c r="AM359" s="19">
        <v>35000</v>
      </c>
      <c r="AN359" s="19">
        <v>30000</v>
      </c>
      <c r="AO359" s="19"/>
      <c r="AP359" s="19"/>
      <c r="AQ359" s="19"/>
      <c r="AR359" s="19">
        <f t="shared" si="73"/>
        <v>65000</v>
      </c>
      <c r="AS359" s="17">
        <f t="shared" si="74"/>
        <v>-65000</v>
      </c>
      <c r="AT359" s="17">
        <f t="shared" si="75"/>
        <v>-65000</v>
      </c>
      <c r="AU359" s="17">
        <f t="shared" si="76"/>
        <v>0</v>
      </c>
      <c r="AV359" s="17">
        <f t="shared" si="70"/>
        <v>-32500</v>
      </c>
      <c r="AW359" s="17">
        <f t="shared" si="71"/>
        <v>-29250</v>
      </c>
      <c r="AX359" s="18">
        <v>50000</v>
      </c>
      <c r="AY359" s="18"/>
      <c r="AZ359" s="17">
        <f t="shared" si="78"/>
        <v>-79250</v>
      </c>
      <c r="BA359" s="16"/>
      <c r="BB359" s="15"/>
      <c r="BC359" s="15"/>
    </row>
    <row r="360" spans="1:55" s="6" customFormat="1" ht="16.899999999999999">
      <c r="A360" s="36">
        <v>359</v>
      </c>
      <c r="B360" s="35"/>
      <c r="C360" s="33"/>
      <c r="D360" s="33"/>
      <c r="E360" s="33"/>
      <c r="F360" s="33"/>
      <c r="G360" s="33"/>
      <c r="H360" s="33"/>
      <c r="I360" s="33"/>
      <c r="J360" s="33"/>
      <c r="K360" s="35"/>
      <c r="L360" s="34"/>
      <c r="M360" s="32"/>
      <c r="N360" s="32"/>
      <c r="O360" s="31">
        <f t="shared" si="68"/>
        <v>0</v>
      </c>
      <c r="P360" s="30"/>
      <c r="Q360" s="30"/>
      <c r="R360" s="30"/>
      <c r="S360" s="30"/>
      <c r="T360" s="29"/>
      <c r="U360" s="20"/>
      <c r="V360" s="28"/>
      <c r="W360" s="20"/>
      <c r="X360" s="27"/>
      <c r="Y360" s="26"/>
      <c r="Z360" s="25">
        <f t="shared" si="77"/>
        <v>0</v>
      </c>
      <c r="AA360" s="20">
        <f t="shared" si="72"/>
        <v>0</v>
      </c>
      <c r="AB360" s="24">
        <f t="shared" si="69"/>
        <v>0</v>
      </c>
      <c r="AC360" s="37"/>
      <c r="AD360" s="37"/>
      <c r="AE360" s="22"/>
      <c r="AF360" s="20"/>
      <c r="AG360" s="21"/>
      <c r="AH360" s="20"/>
      <c r="AI360" s="21"/>
      <c r="AJ360" s="20"/>
      <c r="AK360" s="20"/>
      <c r="AL360" s="20"/>
      <c r="AM360" s="19">
        <v>35000</v>
      </c>
      <c r="AN360" s="19">
        <v>30000</v>
      </c>
      <c r="AO360" s="19"/>
      <c r="AP360" s="19"/>
      <c r="AQ360" s="19"/>
      <c r="AR360" s="19">
        <f t="shared" si="73"/>
        <v>65000</v>
      </c>
      <c r="AS360" s="17">
        <f t="shared" si="74"/>
        <v>-65000</v>
      </c>
      <c r="AT360" s="17">
        <f t="shared" si="75"/>
        <v>-65000</v>
      </c>
      <c r="AU360" s="17">
        <f t="shared" si="76"/>
        <v>0</v>
      </c>
      <c r="AV360" s="17">
        <f t="shared" si="70"/>
        <v>-32500</v>
      </c>
      <c r="AW360" s="17">
        <f t="shared" si="71"/>
        <v>-29250</v>
      </c>
      <c r="AX360" s="18">
        <v>50000</v>
      </c>
      <c r="AY360" s="18"/>
      <c r="AZ360" s="17">
        <f t="shared" si="78"/>
        <v>-79250</v>
      </c>
      <c r="BA360" s="16"/>
      <c r="BB360" s="15"/>
      <c r="BC360" s="15"/>
    </row>
    <row r="361" spans="1:55" s="6" customFormat="1" ht="16.899999999999999">
      <c r="A361" s="36">
        <v>360</v>
      </c>
      <c r="B361" s="35"/>
      <c r="C361" s="33"/>
      <c r="D361" s="33"/>
      <c r="E361" s="33"/>
      <c r="F361" s="33"/>
      <c r="G361" s="33"/>
      <c r="H361" s="33"/>
      <c r="I361" s="33"/>
      <c r="J361" s="33"/>
      <c r="K361" s="35"/>
      <c r="L361" s="34"/>
      <c r="M361" s="32"/>
      <c r="N361" s="32"/>
      <c r="O361" s="31">
        <f t="shared" si="68"/>
        <v>0</v>
      </c>
      <c r="P361" s="30"/>
      <c r="Q361" s="30"/>
      <c r="R361" s="30"/>
      <c r="S361" s="30"/>
      <c r="T361" s="29"/>
      <c r="U361" s="20"/>
      <c r="V361" s="28"/>
      <c r="W361" s="20"/>
      <c r="X361" s="27"/>
      <c r="Y361" s="26"/>
      <c r="Z361" s="25">
        <f t="shared" si="77"/>
        <v>0</v>
      </c>
      <c r="AA361" s="20">
        <f t="shared" si="72"/>
        <v>0</v>
      </c>
      <c r="AB361" s="24">
        <f t="shared" si="69"/>
        <v>0</v>
      </c>
      <c r="AC361" s="37"/>
      <c r="AD361" s="37"/>
      <c r="AE361" s="22"/>
      <c r="AF361" s="20"/>
      <c r="AG361" s="21"/>
      <c r="AH361" s="20"/>
      <c r="AI361" s="21"/>
      <c r="AJ361" s="20"/>
      <c r="AK361" s="20"/>
      <c r="AL361" s="20"/>
      <c r="AM361" s="19">
        <v>35000</v>
      </c>
      <c r="AN361" s="19">
        <v>30000</v>
      </c>
      <c r="AO361" s="19"/>
      <c r="AP361" s="19"/>
      <c r="AQ361" s="19"/>
      <c r="AR361" s="19">
        <f t="shared" si="73"/>
        <v>65000</v>
      </c>
      <c r="AS361" s="17">
        <f t="shared" si="74"/>
        <v>-65000</v>
      </c>
      <c r="AT361" s="17">
        <f t="shared" si="75"/>
        <v>-65000</v>
      </c>
      <c r="AU361" s="17">
        <f t="shared" si="76"/>
        <v>0</v>
      </c>
      <c r="AV361" s="17">
        <f t="shared" si="70"/>
        <v>-32500</v>
      </c>
      <c r="AW361" s="17">
        <f t="shared" si="71"/>
        <v>-29250</v>
      </c>
      <c r="AX361" s="18">
        <v>50000</v>
      </c>
      <c r="AY361" s="18"/>
      <c r="AZ361" s="17">
        <f t="shared" si="78"/>
        <v>-79250</v>
      </c>
      <c r="BA361" s="16"/>
      <c r="BB361" s="15"/>
      <c r="BC361" s="15"/>
    </row>
    <row r="362" spans="1:55" s="6" customFormat="1" ht="16.899999999999999">
      <c r="A362" s="36">
        <v>361</v>
      </c>
      <c r="B362" s="35"/>
      <c r="C362" s="33"/>
      <c r="D362" s="33"/>
      <c r="E362" s="33"/>
      <c r="F362" s="33"/>
      <c r="G362" s="33"/>
      <c r="H362" s="33"/>
      <c r="I362" s="33"/>
      <c r="J362" s="33"/>
      <c r="K362" s="35"/>
      <c r="L362" s="34"/>
      <c r="M362" s="32"/>
      <c r="N362" s="32"/>
      <c r="O362" s="31">
        <f t="shared" si="68"/>
        <v>0</v>
      </c>
      <c r="P362" s="30"/>
      <c r="Q362" s="30"/>
      <c r="R362" s="30"/>
      <c r="S362" s="30"/>
      <c r="T362" s="29"/>
      <c r="U362" s="20"/>
      <c r="V362" s="28"/>
      <c r="W362" s="20"/>
      <c r="X362" s="27"/>
      <c r="Y362" s="26"/>
      <c r="Z362" s="25">
        <f t="shared" si="77"/>
        <v>0</v>
      </c>
      <c r="AA362" s="20">
        <f t="shared" si="72"/>
        <v>0</v>
      </c>
      <c r="AB362" s="24">
        <f t="shared" si="69"/>
        <v>0</v>
      </c>
      <c r="AC362" s="37"/>
      <c r="AD362" s="37"/>
      <c r="AE362" s="22"/>
      <c r="AF362" s="20"/>
      <c r="AG362" s="21"/>
      <c r="AH362" s="20"/>
      <c r="AI362" s="21"/>
      <c r="AJ362" s="20"/>
      <c r="AK362" s="20"/>
      <c r="AL362" s="20"/>
      <c r="AM362" s="19">
        <v>35000</v>
      </c>
      <c r="AN362" s="19">
        <v>30000</v>
      </c>
      <c r="AO362" s="19"/>
      <c r="AP362" s="19"/>
      <c r="AQ362" s="19"/>
      <c r="AR362" s="19">
        <f t="shared" si="73"/>
        <v>65000</v>
      </c>
      <c r="AS362" s="17">
        <f t="shared" si="74"/>
        <v>-65000</v>
      </c>
      <c r="AT362" s="17">
        <f t="shared" si="75"/>
        <v>-65000</v>
      </c>
      <c r="AU362" s="17">
        <f t="shared" si="76"/>
        <v>0</v>
      </c>
      <c r="AV362" s="17">
        <f t="shared" si="70"/>
        <v>-32500</v>
      </c>
      <c r="AW362" s="17">
        <f t="shared" si="71"/>
        <v>-29250</v>
      </c>
      <c r="AX362" s="18">
        <v>50000</v>
      </c>
      <c r="AY362" s="18"/>
      <c r="AZ362" s="17">
        <f t="shared" si="78"/>
        <v>-79250</v>
      </c>
      <c r="BA362" s="16"/>
      <c r="BB362" s="15"/>
      <c r="BC362" s="15"/>
    </row>
    <row r="363" spans="1:55" s="6" customFormat="1" ht="16.899999999999999">
      <c r="A363" s="36">
        <v>362</v>
      </c>
      <c r="B363" s="35"/>
      <c r="C363" s="33"/>
      <c r="D363" s="33"/>
      <c r="E363" s="33"/>
      <c r="F363" s="33"/>
      <c r="G363" s="33"/>
      <c r="H363" s="33"/>
      <c r="I363" s="33"/>
      <c r="J363" s="33"/>
      <c r="K363" s="35"/>
      <c r="L363" s="34"/>
      <c r="M363" s="32"/>
      <c r="N363" s="32"/>
      <c r="O363" s="31">
        <f t="shared" si="68"/>
        <v>0</v>
      </c>
      <c r="P363" s="30"/>
      <c r="Q363" s="30"/>
      <c r="R363" s="30"/>
      <c r="S363" s="30"/>
      <c r="T363" s="29"/>
      <c r="U363" s="20"/>
      <c r="V363" s="28"/>
      <c r="W363" s="20"/>
      <c r="X363" s="27"/>
      <c r="Y363" s="26"/>
      <c r="Z363" s="25">
        <f t="shared" si="77"/>
        <v>0</v>
      </c>
      <c r="AA363" s="20">
        <f t="shared" si="72"/>
        <v>0</v>
      </c>
      <c r="AB363" s="24">
        <f t="shared" si="69"/>
        <v>0</v>
      </c>
      <c r="AC363" s="37"/>
      <c r="AD363" s="37"/>
      <c r="AE363" s="22"/>
      <c r="AF363" s="20"/>
      <c r="AG363" s="21"/>
      <c r="AH363" s="20"/>
      <c r="AI363" s="21"/>
      <c r="AJ363" s="20"/>
      <c r="AK363" s="20"/>
      <c r="AL363" s="20"/>
      <c r="AM363" s="19">
        <v>35000</v>
      </c>
      <c r="AN363" s="19">
        <v>30000</v>
      </c>
      <c r="AO363" s="19"/>
      <c r="AP363" s="19"/>
      <c r="AQ363" s="19"/>
      <c r="AR363" s="19">
        <f t="shared" si="73"/>
        <v>65000</v>
      </c>
      <c r="AS363" s="17">
        <f t="shared" si="74"/>
        <v>-65000</v>
      </c>
      <c r="AT363" s="17">
        <f t="shared" si="75"/>
        <v>-65000</v>
      </c>
      <c r="AU363" s="17">
        <f t="shared" si="76"/>
        <v>0</v>
      </c>
      <c r="AV363" s="17">
        <f t="shared" si="70"/>
        <v>-32500</v>
      </c>
      <c r="AW363" s="17">
        <f t="shared" si="71"/>
        <v>-29250</v>
      </c>
      <c r="AX363" s="18">
        <v>50000</v>
      </c>
      <c r="AY363" s="18"/>
      <c r="AZ363" s="17">
        <f t="shared" si="78"/>
        <v>-79250</v>
      </c>
      <c r="BA363" s="16"/>
      <c r="BB363" s="15"/>
      <c r="BC363" s="15"/>
    </row>
    <row r="364" spans="1:55" s="6" customFormat="1" ht="16.899999999999999">
      <c r="A364" s="36">
        <v>363</v>
      </c>
      <c r="B364" s="35"/>
      <c r="C364" s="33"/>
      <c r="D364" s="33"/>
      <c r="E364" s="33"/>
      <c r="F364" s="33"/>
      <c r="G364" s="33"/>
      <c r="H364" s="33"/>
      <c r="I364" s="33"/>
      <c r="J364" s="33"/>
      <c r="K364" s="35"/>
      <c r="L364" s="34"/>
      <c r="M364" s="32"/>
      <c r="N364" s="32"/>
      <c r="O364" s="31">
        <f t="shared" si="68"/>
        <v>0</v>
      </c>
      <c r="P364" s="30"/>
      <c r="Q364" s="30"/>
      <c r="R364" s="30"/>
      <c r="S364" s="30"/>
      <c r="T364" s="29"/>
      <c r="U364" s="20"/>
      <c r="V364" s="28"/>
      <c r="W364" s="20"/>
      <c r="X364" s="27"/>
      <c r="Y364" s="26"/>
      <c r="Z364" s="25">
        <f t="shared" si="77"/>
        <v>0</v>
      </c>
      <c r="AA364" s="20">
        <f t="shared" si="72"/>
        <v>0</v>
      </c>
      <c r="AB364" s="24">
        <f t="shared" si="69"/>
        <v>0</v>
      </c>
      <c r="AC364" s="37"/>
      <c r="AD364" s="37"/>
      <c r="AE364" s="22"/>
      <c r="AF364" s="20"/>
      <c r="AG364" s="21"/>
      <c r="AH364" s="20"/>
      <c r="AI364" s="21"/>
      <c r="AJ364" s="20"/>
      <c r="AK364" s="20"/>
      <c r="AL364" s="20"/>
      <c r="AM364" s="19">
        <v>35000</v>
      </c>
      <c r="AN364" s="19">
        <v>30000</v>
      </c>
      <c r="AO364" s="19"/>
      <c r="AP364" s="19"/>
      <c r="AQ364" s="19"/>
      <c r="AR364" s="19">
        <f t="shared" si="73"/>
        <v>65000</v>
      </c>
      <c r="AS364" s="17">
        <f t="shared" si="74"/>
        <v>-65000</v>
      </c>
      <c r="AT364" s="17">
        <f t="shared" si="75"/>
        <v>-65000</v>
      </c>
      <c r="AU364" s="17">
        <f t="shared" si="76"/>
        <v>0</v>
      </c>
      <c r="AV364" s="17">
        <f t="shared" si="70"/>
        <v>-32500</v>
      </c>
      <c r="AW364" s="17">
        <f t="shared" si="71"/>
        <v>-29250</v>
      </c>
      <c r="AX364" s="18">
        <v>50000</v>
      </c>
      <c r="AY364" s="18"/>
      <c r="AZ364" s="17">
        <f t="shared" si="78"/>
        <v>-79250</v>
      </c>
      <c r="BA364" s="16"/>
      <c r="BB364" s="15"/>
      <c r="BC364" s="15"/>
    </row>
    <row r="365" spans="1:55" ht="16.899999999999999">
      <c r="A365" s="36">
        <v>364</v>
      </c>
      <c r="B365" s="35"/>
      <c r="C365" s="33"/>
      <c r="D365" s="33"/>
      <c r="E365" s="33"/>
      <c r="F365" s="33"/>
      <c r="G365" s="33"/>
      <c r="H365" s="33"/>
      <c r="I365" s="33"/>
      <c r="J365" s="33"/>
      <c r="K365" s="35"/>
      <c r="L365" s="34"/>
      <c r="M365" s="32"/>
      <c r="N365" s="32"/>
      <c r="O365" s="31">
        <f t="shared" si="68"/>
        <v>0</v>
      </c>
      <c r="P365" s="30"/>
      <c r="Q365" s="30"/>
      <c r="R365" s="30"/>
      <c r="S365" s="30"/>
      <c r="T365" s="29"/>
      <c r="U365" s="20"/>
      <c r="V365" s="28"/>
      <c r="W365" s="20"/>
      <c r="X365" s="27"/>
      <c r="Y365" s="26"/>
      <c r="Z365" s="25">
        <f t="shared" si="77"/>
        <v>0</v>
      </c>
      <c r="AA365" s="20">
        <f t="shared" si="72"/>
        <v>0</v>
      </c>
      <c r="AB365" s="24">
        <f t="shared" si="69"/>
        <v>0</v>
      </c>
      <c r="AC365" s="37"/>
      <c r="AD365" s="37"/>
      <c r="AE365" s="22"/>
      <c r="AF365" s="20"/>
      <c r="AG365" s="21"/>
      <c r="AH365" s="20"/>
      <c r="AI365" s="21"/>
      <c r="AJ365" s="20"/>
      <c r="AK365" s="20"/>
      <c r="AL365" s="20"/>
      <c r="AM365" s="19">
        <v>35000</v>
      </c>
      <c r="AN365" s="19">
        <v>30000</v>
      </c>
      <c r="AO365" s="19"/>
      <c r="AP365" s="19"/>
      <c r="AQ365" s="19"/>
      <c r="AR365" s="19">
        <f t="shared" si="73"/>
        <v>65000</v>
      </c>
      <c r="AS365" s="17">
        <f t="shared" si="74"/>
        <v>-65000</v>
      </c>
      <c r="AT365" s="17">
        <f t="shared" si="75"/>
        <v>-65000</v>
      </c>
      <c r="AU365" s="17">
        <f t="shared" si="76"/>
        <v>0</v>
      </c>
      <c r="AV365" s="17">
        <f t="shared" si="70"/>
        <v>-32500</v>
      </c>
      <c r="AW365" s="17">
        <f t="shared" si="71"/>
        <v>-29250</v>
      </c>
      <c r="AX365" s="18">
        <v>50000</v>
      </c>
      <c r="AY365" s="18"/>
      <c r="AZ365" s="17">
        <f t="shared" si="78"/>
        <v>-79250</v>
      </c>
      <c r="BA365" s="16"/>
      <c r="BB365" s="16"/>
      <c r="BC365" s="16"/>
    </row>
    <row r="366" spans="1:55" ht="16.899999999999999">
      <c r="A366" s="36">
        <v>365</v>
      </c>
      <c r="B366" s="35"/>
      <c r="C366" s="33"/>
      <c r="D366" s="33"/>
      <c r="E366" s="33"/>
      <c r="F366" s="33"/>
      <c r="G366" s="33"/>
      <c r="H366" s="33"/>
      <c r="I366" s="33"/>
      <c r="J366" s="33"/>
      <c r="K366" s="35"/>
      <c r="L366" s="34"/>
      <c r="M366" s="32"/>
      <c r="N366" s="32"/>
      <c r="O366" s="31">
        <f t="shared" si="68"/>
        <v>0</v>
      </c>
      <c r="P366" s="30"/>
      <c r="Q366" s="30"/>
      <c r="R366" s="30"/>
      <c r="S366" s="30"/>
      <c r="T366" s="29"/>
      <c r="U366" s="20"/>
      <c r="V366" s="28"/>
      <c r="W366" s="20"/>
      <c r="X366" s="27"/>
      <c r="Y366" s="26"/>
      <c r="Z366" s="25">
        <f t="shared" si="77"/>
        <v>0</v>
      </c>
      <c r="AA366" s="20">
        <f t="shared" si="72"/>
        <v>0</v>
      </c>
      <c r="AB366" s="24">
        <f t="shared" si="69"/>
        <v>0</v>
      </c>
      <c r="AC366" s="37"/>
      <c r="AD366" s="37"/>
      <c r="AE366" s="22"/>
      <c r="AF366" s="20"/>
      <c r="AG366" s="21"/>
      <c r="AH366" s="20"/>
      <c r="AI366" s="21"/>
      <c r="AJ366" s="20"/>
      <c r="AK366" s="20"/>
      <c r="AL366" s="20"/>
      <c r="AM366" s="19">
        <v>35000</v>
      </c>
      <c r="AN366" s="19">
        <v>30000</v>
      </c>
      <c r="AO366" s="19"/>
      <c r="AP366" s="19"/>
      <c r="AQ366" s="19"/>
      <c r="AR366" s="19">
        <f t="shared" si="73"/>
        <v>65000</v>
      </c>
      <c r="AS366" s="17">
        <f t="shared" si="74"/>
        <v>-65000</v>
      </c>
      <c r="AT366" s="17">
        <f t="shared" si="75"/>
        <v>-65000</v>
      </c>
      <c r="AU366" s="17">
        <f t="shared" si="76"/>
        <v>0</v>
      </c>
      <c r="AV366" s="17">
        <f t="shared" si="70"/>
        <v>-32500</v>
      </c>
      <c r="AW366" s="17">
        <f t="shared" si="71"/>
        <v>-29250</v>
      </c>
      <c r="AX366" s="18">
        <v>50000</v>
      </c>
      <c r="AY366" s="18"/>
      <c r="AZ366" s="17">
        <f t="shared" si="78"/>
        <v>-79250</v>
      </c>
      <c r="BA366" s="16"/>
      <c r="BB366" s="16"/>
      <c r="BC366" s="16"/>
    </row>
    <row r="367" spans="1:55" ht="16.899999999999999">
      <c r="A367" s="36">
        <v>366</v>
      </c>
      <c r="B367" s="35"/>
      <c r="C367" s="33"/>
      <c r="D367" s="33"/>
      <c r="E367" s="33"/>
      <c r="F367" s="33"/>
      <c r="G367" s="33"/>
      <c r="H367" s="33"/>
      <c r="I367" s="33"/>
      <c r="J367" s="33"/>
      <c r="K367" s="35"/>
      <c r="L367" s="34"/>
      <c r="M367" s="32"/>
      <c r="N367" s="32"/>
      <c r="O367" s="31">
        <f t="shared" si="68"/>
        <v>0</v>
      </c>
      <c r="P367" s="30"/>
      <c r="Q367" s="30"/>
      <c r="R367" s="30"/>
      <c r="S367" s="30"/>
      <c r="T367" s="29"/>
      <c r="U367" s="20"/>
      <c r="V367" s="28"/>
      <c r="W367" s="20"/>
      <c r="X367" s="27"/>
      <c r="Y367" s="26"/>
      <c r="Z367" s="25">
        <f t="shared" si="77"/>
        <v>0</v>
      </c>
      <c r="AA367" s="20">
        <f t="shared" si="72"/>
        <v>0</v>
      </c>
      <c r="AB367" s="24">
        <f t="shared" si="69"/>
        <v>0</v>
      </c>
      <c r="AC367" s="37"/>
      <c r="AD367" s="37"/>
      <c r="AE367" s="22"/>
      <c r="AF367" s="20"/>
      <c r="AG367" s="21"/>
      <c r="AH367" s="20"/>
      <c r="AI367" s="21"/>
      <c r="AJ367" s="20"/>
      <c r="AK367" s="20"/>
      <c r="AL367" s="20"/>
      <c r="AM367" s="19">
        <v>35000</v>
      </c>
      <c r="AN367" s="19">
        <v>30000</v>
      </c>
      <c r="AO367" s="19"/>
      <c r="AP367" s="19"/>
      <c r="AQ367" s="19"/>
      <c r="AR367" s="19">
        <f t="shared" si="73"/>
        <v>65000</v>
      </c>
      <c r="AS367" s="17">
        <f t="shared" si="74"/>
        <v>-65000</v>
      </c>
      <c r="AT367" s="17">
        <f t="shared" si="75"/>
        <v>-65000</v>
      </c>
      <c r="AU367" s="17">
        <f t="shared" si="76"/>
        <v>0</v>
      </c>
      <c r="AV367" s="17">
        <f t="shared" si="70"/>
        <v>-32500</v>
      </c>
      <c r="AW367" s="17">
        <f t="shared" si="71"/>
        <v>-29250</v>
      </c>
      <c r="AX367" s="18">
        <v>50000</v>
      </c>
      <c r="AY367" s="18"/>
      <c r="AZ367" s="17">
        <f t="shared" si="78"/>
        <v>-79250</v>
      </c>
      <c r="BA367" s="16"/>
      <c r="BB367" s="16"/>
      <c r="BC367" s="16"/>
    </row>
    <row r="368" spans="1:55" ht="16.899999999999999">
      <c r="A368" s="36">
        <v>367</v>
      </c>
      <c r="B368" s="35"/>
      <c r="C368" s="33"/>
      <c r="D368" s="33"/>
      <c r="E368" s="33"/>
      <c r="F368" s="33"/>
      <c r="G368" s="33"/>
      <c r="H368" s="33"/>
      <c r="I368" s="33"/>
      <c r="J368" s="33"/>
      <c r="K368" s="35"/>
      <c r="L368" s="34"/>
      <c r="M368" s="32"/>
      <c r="N368" s="32"/>
      <c r="O368" s="31">
        <f t="shared" si="68"/>
        <v>0</v>
      </c>
      <c r="P368" s="30"/>
      <c r="Q368" s="30"/>
      <c r="R368" s="30"/>
      <c r="S368" s="30"/>
      <c r="T368" s="29"/>
      <c r="U368" s="20"/>
      <c r="V368" s="28"/>
      <c r="W368" s="20"/>
      <c r="X368" s="27"/>
      <c r="Y368" s="26"/>
      <c r="Z368" s="25">
        <f t="shared" si="77"/>
        <v>0</v>
      </c>
      <c r="AA368" s="20">
        <f t="shared" si="72"/>
        <v>0</v>
      </c>
      <c r="AB368" s="24">
        <f t="shared" si="69"/>
        <v>0</v>
      </c>
      <c r="AC368" s="37"/>
      <c r="AD368" s="37"/>
      <c r="AE368" s="22"/>
      <c r="AF368" s="20"/>
      <c r="AG368" s="21"/>
      <c r="AH368" s="20"/>
      <c r="AI368" s="21"/>
      <c r="AJ368" s="20"/>
      <c r="AK368" s="20"/>
      <c r="AL368" s="20"/>
      <c r="AM368" s="19">
        <v>35000</v>
      </c>
      <c r="AN368" s="19">
        <v>30000</v>
      </c>
      <c r="AO368" s="19"/>
      <c r="AP368" s="19"/>
      <c r="AQ368" s="19"/>
      <c r="AR368" s="19">
        <f t="shared" si="73"/>
        <v>65000</v>
      </c>
      <c r="AS368" s="17">
        <f t="shared" si="74"/>
        <v>-65000</v>
      </c>
      <c r="AT368" s="17">
        <f t="shared" si="75"/>
        <v>-65000</v>
      </c>
      <c r="AU368" s="17">
        <f t="shared" si="76"/>
        <v>0</v>
      </c>
      <c r="AV368" s="17">
        <f t="shared" si="70"/>
        <v>-32500</v>
      </c>
      <c r="AW368" s="17">
        <f t="shared" si="71"/>
        <v>-29250</v>
      </c>
      <c r="AX368" s="18">
        <v>50000</v>
      </c>
      <c r="AY368" s="18"/>
      <c r="AZ368" s="17">
        <f t="shared" si="78"/>
        <v>-79250</v>
      </c>
      <c r="BA368" s="16"/>
      <c r="BB368" s="16"/>
      <c r="BC368" s="16"/>
    </row>
    <row r="369" spans="1:55" ht="16.899999999999999">
      <c r="A369" s="36">
        <v>368</v>
      </c>
      <c r="B369" s="35"/>
      <c r="C369" s="33"/>
      <c r="D369" s="33"/>
      <c r="E369" s="33"/>
      <c r="F369" s="33"/>
      <c r="G369" s="33"/>
      <c r="H369" s="33"/>
      <c r="I369" s="33"/>
      <c r="J369" s="33"/>
      <c r="K369" s="35"/>
      <c r="L369" s="34"/>
      <c r="M369" s="32"/>
      <c r="N369" s="32"/>
      <c r="O369" s="31">
        <f t="shared" si="68"/>
        <v>0</v>
      </c>
      <c r="P369" s="30"/>
      <c r="Q369" s="30"/>
      <c r="R369" s="30"/>
      <c r="S369" s="30"/>
      <c r="T369" s="29"/>
      <c r="U369" s="20"/>
      <c r="V369" s="28"/>
      <c r="W369" s="20"/>
      <c r="X369" s="27"/>
      <c r="Y369" s="26"/>
      <c r="Z369" s="25">
        <f t="shared" si="77"/>
        <v>0</v>
      </c>
      <c r="AA369" s="20">
        <f t="shared" si="72"/>
        <v>0</v>
      </c>
      <c r="AB369" s="24">
        <f t="shared" si="69"/>
        <v>0</v>
      </c>
      <c r="AC369" s="37"/>
      <c r="AD369" s="37"/>
      <c r="AE369" s="22"/>
      <c r="AF369" s="20"/>
      <c r="AG369" s="21"/>
      <c r="AH369" s="20"/>
      <c r="AI369" s="21"/>
      <c r="AJ369" s="20"/>
      <c r="AK369" s="20"/>
      <c r="AL369" s="20"/>
      <c r="AM369" s="19">
        <v>35000</v>
      </c>
      <c r="AN369" s="19">
        <v>30000</v>
      </c>
      <c r="AO369" s="19"/>
      <c r="AP369" s="19"/>
      <c r="AQ369" s="19"/>
      <c r="AR369" s="19">
        <f t="shared" si="73"/>
        <v>65000</v>
      </c>
      <c r="AS369" s="17">
        <f t="shared" si="74"/>
        <v>-65000</v>
      </c>
      <c r="AT369" s="17">
        <f t="shared" si="75"/>
        <v>-65000</v>
      </c>
      <c r="AU369" s="17">
        <f t="shared" si="76"/>
        <v>0</v>
      </c>
      <c r="AV369" s="17">
        <f t="shared" si="70"/>
        <v>-32500</v>
      </c>
      <c r="AW369" s="17">
        <f t="shared" si="71"/>
        <v>-29250</v>
      </c>
      <c r="AX369" s="18">
        <v>50000</v>
      </c>
      <c r="AY369" s="18"/>
      <c r="AZ369" s="17">
        <f t="shared" si="78"/>
        <v>-79250</v>
      </c>
      <c r="BA369" s="16"/>
      <c r="BB369" s="16"/>
      <c r="BC369" s="16"/>
    </row>
    <row r="370" spans="1:55" ht="16.899999999999999">
      <c r="A370" s="36">
        <v>369</v>
      </c>
      <c r="B370" s="35"/>
      <c r="C370" s="33"/>
      <c r="D370" s="33"/>
      <c r="E370" s="33"/>
      <c r="F370" s="33"/>
      <c r="G370" s="33"/>
      <c r="H370" s="33"/>
      <c r="I370" s="33"/>
      <c r="J370" s="33"/>
      <c r="K370" s="35"/>
      <c r="L370" s="34"/>
      <c r="M370" s="32"/>
      <c r="N370" s="32"/>
      <c r="O370" s="31">
        <f t="shared" si="68"/>
        <v>0</v>
      </c>
      <c r="P370" s="30"/>
      <c r="Q370" s="30"/>
      <c r="R370" s="30"/>
      <c r="S370" s="30"/>
      <c r="T370" s="29"/>
      <c r="U370" s="20"/>
      <c r="V370" s="28"/>
      <c r="W370" s="20"/>
      <c r="X370" s="27"/>
      <c r="Y370" s="26"/>
      <c r="Z370" s="25">
        <f t="shared" si="77"/>
        <v>0</v>
      </c>
      <c r="AA370" s="20">
        <f t="shared" si="72"/>
        <v>0</v>
      </c>
      <c r="AB370" s="24">
        <f t="shared" si="69"/>
        <v>0</v>
      </c>
      <c r="AC370" s="37"/>
      <c r="AD370" s="37"/>
      <c r="AE370" s="22"/>
      <c r="AF370" s="20"/>
      <c r="AG370" s="21"/>
      <c r="AH370" s="20"/>
      <c r="AI370" s="21"/>
      <c r="AJ370" s="20"/>
      <c r="AK370" s="20"/>
      <c r="AL370" s="20"/>
      <c r="AM370" s="19">
        <v>35000</v>
      </c>
      <c r="AN370" s="19">
        <v>30000</v>
      </c>
      <c r="AO370" s="19"/>
      <c r="AP370" s="19"/>
      <c r="AQ370" s="19"/>
      <c r="AR370" s="19">
        <f t="shared" si="73"/>
        <v>65000</v>
      </c>
      <c r="AS370" s="17">
        <f t="shared" si="74"/>
        <v>-65000</v>
      </c>
      <c r="AT370" s="17">
        <f t="shared" si="75"/>
        <v>-65000</v>
      </c>
      <c r="AU370" s="17">
        <f t="shared" si="76"/>
        <v>0</v>
      </c>
      <c r="AV370" s="17">
        <f t="shared" si="70"/>
        <v>-32500</v>
      </c>
      <c r="AW370" s="17">
        <f t="shared" si="71"/>
        <v>-29250</v>
      </c>
      <c r="AX370" s="18">
        <v>50000</v>
      </c>
      <c r="AY370" s="18"/>
      <c r="AZ370" s="17">
        <f t="shared" si="78"/>
        <v>-79250</v>
      </c>
      <c r="BA370" s="16"/>
      <c r="BB370" s="16"/>
      <c r="BC370" s="16"/>
    </row>
    <row r="371" spans="1:55" ht="16.899999999999999">
      <c r="A371" s="36">
        <v>370</v>
      </c>
      <c r="B371" s="35"/>
      <c r="C371" s="33"/>
      <c r="D371" s="33"/>
      <c r="E371" s="33"/>
      <c r="F371" s="33"/>
      <c r="G371" s="33"/>
      <c r="H371" s="33"/>
      <c r="I371" s="33"/>
      <c r="J371" s="33"/>
      <c r="K371" s="35"/>
      <c r="L371" s="34"/>
      <c r="M371" s="32"/>
      <c r="N371" s="32"/>
      <c r="O371" s="31">
        <f t="shared" si="68"/>
        <v>0</v>
      </c>
      <c r="P371" s="30"/>
      <c r="Q371" s="30"/>
      <c r="R371" s="30"/>
      <c r="S371" s="30"/>
      <c r="T371" s="29"/>
      <c r="U371" s="20"/>
      <c r="V371" s="28"/>
      <c r="W371" s="20"/>
      <c r="X371" s="27"/>
      <c r="Y371" s="26"/>
      <c r="Z371" s="25">
        <f t="shared" si="77"/>
        <v>0</v>
      </c>
      <c r="AA371" s="20">
        <f t="shared" si="72"/>
        <v>0</v>
      </c>
      <c r="AB371" s="24">
        <f t="shared" si="69"/>
        <v>0</v>
      </c>
      <c r="AC371" s="37"/>
      <c r="AD371" s="37"/>
      <c r="AE371" s="22"/>
      <c r="AF371" s="20"/>
      <c r="AG371" s="21"/>
      <c r="AH371" s="20"/>
      <c r="AI371" s="21"/>
      <c r="AJ371" s="20"/>
      <c r="AK371" s="20"/>
      <c r="AL371" s="20"/>
      <c r="AM371" s="19">
        <v>35000</v>
      </c>
      <c r="AN371" s="19">
        <v>30000</v>
      </c>
      <c r="AO371" s="19"/>
      <c r="AP371" s="19"/>
      <c r="AQ371" s="19"/>
      <c r="AR371" s="19">
        <f t="shared" si="73"/>
        <v>65000</v>
      </c>
      <c r="AS371" s="17">
        <f t="shared" si="74"/>
        <v>-65000</v>
      </c>
      <c r="AT371" s="17">
        <f t="shared" si="75"/>
        <v>-65000</v>
      </c>
      <c r="AU371" s="17">
        <f t="shared" si="76"/>
        <v>0</v>
      </c>
      <c r="AV371" s="17">
        <f t="shared" si="70"/>
        <v>-32500</v>
      </c>
      <c r="AW371" s="17">
        <f t="shared" si="71"/>
        <v>-29250</v>
      </c>
      <c r="AX371" s="18">
        <v>50000</v>
      </c>
      <c r="AY371" s="18"/>
      <c r="AZ371" s="17">
        <f t="shared" si="78"/>
        <v>-79250</v>
      </c>
      <c r="BA371" s="16"/>
      <c r="BB371" s="16"/>
      <c r="BC371" s="16"/>
    </row>
    <row r="372" spans="1:55" ht="16.899999999999999">
      <c r="A372" s="36">
        <v>371</v>
      </c>
      <c r="B372" s="35"/>
      <c r="C372" s="33"/>
      <c r="D372" s="33"/>
      <c r="E372" s="33"/>
      <c r="F372" s="33"/>
      <c r="G372" s="33"/>
      <c r="H372" s="33"/>
      <c r="I372" s="33"/>
      <c r="J372" s="33"/>
      <c r="K372" s="35"/>
      <c r="L372" s="34"/>
      <c r="M372" s="32"/>
      <c r="N372" s="32"/>
      <c r="O372" s="31">
        <f t="shared" si="68"/>
        <v>0</v>
      </c>
      <c r="P372" s="30"/>
      <c r="Q372" s="30"/>
      <c r="R372" s="30"/>
      <c r="S372" s="30"/>
      <c r="T372" s="29"/>
      <c r="U372" s="20"/>
      <c r="V372" s="28"/>
      <c r="W372" s="20"/>
      <c r="X372" s="27"/>
      <c r="Y372" s="26"/>
      <c r="Z372" s="25">
        <f t="shared" si="77"/>
        <v>0</v>
      </c>
      <c r="AA372" s="20">
        <f t="shared" si="72"/>
        <v>0</v>
      </c>
      <c r="AB372" s="24">
        <f t="shared" si="69"/>
        <v>0</v>
      </c>
      <c r="AC372" s="37"/>
      <c r="AD372" s="37"/>
      <c r="AE372" s="22"/>
      <c r="AF372" s="20"/>
      <c r="AG372" s="21"/>
      <c r="AH372" s="20"/>
      <c r="AI372" s="21"/>
      <c r="AJ372" s="20"/>
      <c r="AK372" s="20"/>
      <c r="AL372" s="20"/>
      <c r="AM372" s="19">
        <v>35000</v>
      </c>
      <c r="AN372" s="19">
        <v>30000</v>
      </c>
      <c r="AO372" s="19"/>
      <c r="AP372" s="19"/>
      <c r="AQ372" s="19"/>
      <c r="AR372" s="19">
        <f t="shared" si="73"/>
        <v>65000</v>
      </c>
      <c r="AS372" s="17">
        <f t="shared" si="74"/>
        <v>-65000</v>
      </c>
      <c r="AT372" s="17">
        <f t="shared" si="75"/>
        <v>-65000</v>
      </c>
      <c r="AU372" s="17">
        <f t="shared" si="76"/>
        <v>0</v>
      </c>
      <c r="AV372" s="17">
        <f t="shared" si="70"/>
        <v>-32500</v>
      </c>
      <c r="AW372" s="17">
        <f t="shared" si="71"/>
        <v>-29250</v>
      </c>
      <c r="AX372" s="18">
        <v>50000</v>
      </c>
      <c r="AY372" s="18"/>
      <c r="AZ372" s="17">
        <f t="shared" si="78"/>
        <v>-79250</v>
      </c>
      <c r="BA372" s="16"/>
      <c r="BB372" s="16"/>
      <c r="BC372" s="16"/>
    </row>
    <row r="373" spans="1:55" ht="16.899999999999999">
      <c r="A373" s="36">
        <v>372</v>
      </c>
      <c r="B373" s="35"/>
      <c r="C373" s="33"/>
      <c r="D373" s="33"/>
      <c r="E373" s="33"/>
      <c r="F373" s="33"/>
      <c r="G373" s="33"/>
      <c r="H373" s="33"/>
      <c r="I373" s="33"/>
      <c r="J373" s="33"/>
      <c r="K373" s="35"/>
      <c r="L373" s="34"/>
      <c r="M373" s="32"/>
      <c r="N373" s="32"/>
      <c r="O373" s="31">
        <f t="shared" si="68"/>
        <v>0</v>
      </c>
      <c r="P373" s="30"/>
      <c r="Q373" s="30"/>
      <c r="R373" s="30"/>
      <c r="S373" s="30"/>
      <c r="T373" s="29"/>
      <c r="U373" s="20"/>
      <c r="V373" s="28"/>
      <c r="W373" s="20"/>
      <c r="X373" s="27"/>
      <c r="Y373" s="26"/>
      <c r="Z373" s="25">
        <f t="shared" si="77"/>
        <v>0</v>
      </c>
      <c r="AA373" s="20">
        <f t="shared" si="72"/>
        <v>0</v>
      </c>
      <c r="AB373" s="24">
        <f t="shared" si="69"/>
        <v>0</v>
      </c>
      <c r="AC373" s="37"/>
      <c r="AD373" s="37"/>
      <c r="AE373" s="22"/>
      <c r="AF373" s="20"/>
      <c r="AG373" s="21"/>
      <c r="AH373" s="20"/>
      <c r="AI373" s="21"/>
      <c r="AJ373" s="20"/>
      <c r="AK373" s="20"/>
      <c r="AL373" s="20"/>
      <c r="AM373" s="19">
        <v>35000</v>
      </c>
      <c r="AN373" s="19">
        <v>30000</v>
      </c>
      <c r="AO373" s="19"/>
      <c r="AP373" s="19"/>
      <c r="AQ373" s="19"/>
      <c r="AR373" s="19">
        <f t="shared" si="73"/>
        <v>65000</v>
      </c>
      <c r="AS373" s="17">
        <f t="shared" si="74"/>
        <v>-65000</v>
      </c>
      <c r="AT373" s="17">
        <f t="shared" si="75"/>
        <v>-65000</v>
      </c>
      <c r="AU373" s="17">
        <f t="shared" si="76"/>
        <v>0</v>
      </c>
      <c r="AV373" s="17">
        <f t="shared" si="70"/>
        <v>-32500</v>
      </c>
      <c r="AW373" s="17">
        <f t="shared" si="71"/>
        <v>-29250</v>
      </c>
      <c r="AX373" s="18">
        <v>50000</v>
      </c>
      <c r="AY373" s="18"/>
      <c r="AZ373" s="17">
        <f t="shared" si="78"/>
        <v>-79250</v>
      </c>
      <c r="BA373" s="16"/>
      <c r="BB373" s="16"/>
      <c r="BC373" s="16"/>
    </row>
    <row r="374" spans="1:55" ht="16.899999999999999">
      <c r="A374" s="36">
        <v>373</v>
      </c>
      <c r="B374" s="35"/>
      <c r="C374" s="33"/>
      <c r="D374" s="33"/>
      <c r="E374" s="33"/>
      <c r="F374" s="33"/>
      <c r="G374" s="33"/>
      <c r="H374" s="33"/>
      <c r="I374" s="33"/>
      <c r="J374" s="33"/>
      <c r="K374" s="35"/>
      <c r="L374" s="34"/>
      <c r="M374" s="32"/>
      <c r="N374" s="32"/>
      <c r="O374" s="31">
        <f t="shared" si="68"/>
        <v>0</v>
      </c>
      <c r="P374" s="30"/>
      <c r="Q374" s="30"/>
      <c r="R374" s="30"/>
      <c r="S374" s="30"/>
      <c r="T374" s="29"/>
      <c r="U374" s="20"/>
      <c r="V374" s="28"/>
      <c r="W374" s="20"/>
      <c r="X374" s="27"/>
      <c r="Y374" s="26"/>
      <c r="Z374" s="25">
        <f t="shared" si="77"/>
        <v>0</v>
      </c>
      <c r="AA374" s="20">
        <f t="shared" si="72"/>
        <v>0</v>
      </c>
      <c r="AB374" s="24">
        <f t="shared" si="69"/>
        <v>0</v>
      </c>
      <c r="AC374" s="37"/>
      <c r="AD374" s="37"/>
      <c r="AE374" s="22"/>
      <c r="AF374" s="20"/>
      <c r="AG374" s="21"/>
      <c r="AH374" s="20"/>
      <c r="AI374" s="21"/>
      <c r="AJ374" s="20"/>
      <c r="AK374" s="20"/>
      <c r="AL374" s="20"/>
      <c r="AM374" s="19">
        <v>35000</v>
      </c>
      <c r="AN374" s="19">
        <v>30000</v>
      </c>
      <c r="AO374" s="19"/>
      <c r="AP374" s="19"/>
      <c r="AQ374" s="19"/>
      <c r="AR374" s="19">
        <f t="shared" si="73"/>
        <v>65000</v>
      </c>
      <c r="AS374" s="17">
        <f t="shared" si="74"/>
        <v>-65000</v>
      </c>
      <c r="AT374" s="17">
        <f t="shared" si="75"/>
        <v>-65000</v>
      </c>
      <c r="AU374" s="17">
        <f t="shared" si="76"/>
        <v>0</v>
      </c>
      <c r="AV374" s="17">
        <f t="shared" si="70"/>
        <v>-32500</v>
      </c>
      <c r="AW374" s="17">
        <f t="shared" si="71"/>
        <v>-29250</v>
      </c>
      <c r="AX374" s="18">
        <v>50000</v>
      </c>
      <c r="AY374" s="18"/>
      <c r="AZ374" s="17">
        <f t="shared" si="78"/>
        <v>-79250</v>
      </c>
      <c r="BA374" s="16"/>
      <c r="BB374" s="16"/>
      <c r="BC374" s="16"/>
    </row>
    <row r="375" spans="1:55" ht="16.899999999999999">
      <c r="A375" s="36">
        <v>374</v>
      </c>
      <c r="B375" s="35"/>
      <c r="C375" s="33"/>
      <c r="D375" s="33"/>
      <c r="E375" s="33"/>
      <c r="F375" s="33"/>
      <c r="G375" s="33"/>
      <c r="H375" s="33"/>
      <c r="I375" s="33"/>
      <c r="J375" s="33"/>
      <c r="K375" s="35"/>
      <c r="L375" s="34"/>
      <c r="M375" s="32"/>
      <c r="N375" s="32"/>
      <c r="O375" s="31">
        <f t="shared" si="68"/>
        <v>0</v>
      </c>
      <c r="P375" s="30"/>
      <c r="Q375" s="30"/>
      <c r="R375" s="30"/>
      <c r="S375" s="30"/>
      <c r="T375" s="29"/>
      <c r="U375" s="20"/>
      <c r="V375" s="28"/>
      <c r="W375" s="20"/>
      <c r="X375" s="27"/>
      <c r="Y375" s="26"/>
      <c r="Z375" s="25">
        <f t="shared" si="77"/>
        <v>0</v>
      </c>
      <c r="AA375" s="20">
        <f t="shared" si="72"/>
        <v>0</v>
      </c>
      <c r="AB375" s="24">
        <f t="shared" si="69"/>
        <v>0</v>
      </c>
      <c r="AC375" s="37"/>
      <c r="AD375" s="37"/>
      <c r="AE375" s="22"/>
      <c r="AF375" s="20"/>
      <c r="AG375" s="21"/>
      <c r="AH375" s="20"/>
      <c r="AI375" s="21"/>
      <c r="AJ375" s="20"/>
      <c r="AK375" s="20"/>
      <c r="AL375" s="20"/>
      <c r="AM375" s="19">
        <v>35000</v>
      </c>
      <c r="AN375" s="19">
        <v>30000</v>
      </c>
      <c r="AO375" s="19"/>
      <c r="AP375" s="19"/>
      <c r="AQ375" s="19"/>
      <c r="AR375" s="19">
        <f t="shared" si="73"/>
        <v>65000</v>
      </c>
      <c r="AS375" s="17">
        <f t="shared" si="74"/>
        <v>-65000</v>
      </c>
      <c r="AT375" s="17">
        <f t="shared" si="75"/>
        <v>-65000</v>
      </c>
      <c r="AU375" s="17">
        <f t="shared" si="76"/>
        <v>0</v>
      </c>
      <c r="AV375" s="17">
        <f t="shared" si="70"/>
        <v>-32500</v>
      </c>
      <c r="AW375" s="17">
        <f t="shared" si="71"/>
        <v>-29250</v>
      </c>
      <c r="AX375" s="18">
        <v>50000</v>
      </c>
      <c r="AY375" s="18"/>
      <c r="AZ375" s="17">
        <f t="shared" si="78"/>
        <v>-79250</v>
      </c>
      <c r="BA375" s="16"/>
      <c r="BB375" s="16"/>
      <c r="BC375" s="16"/>
    </row>
    <row r="376" spans="1:55" ht="16.899999999999999">
      <c r="A376" s="36">
        <v>375</v>
      </c>
      <c r="B376" s="35"/>
      <c r="C376" s="33"/>
      <c r="D376" s="33"/>
      <c r="E376" s="33"/>
      <c r="F376" s="33"/>
      <c r="G376" s="33"/>
      <c r="H376" s="33"/>
      <c r="I376" s="33"/>
      <c r="J376" s="33"/>
      <c r="K376" s="35"/>
      <c r="L376" s="34"/>
      <c r="M376" s="32"/>
      <c r="N376" s="32"/>
      <c r="O376" s="31">
        <f t="shared" si="68"/>
        <v>0</v>
      </c>
      <c r="P376" s="30"/>
      <c r="Q376" s="30"/>
      <c r="R376" s="30"/>
      <c r="S376" s="30"/>
      <c r="T376" s="29"/>
      <c r="U376" s="20"/>
      <c r="V376" s="28"/>
      <c r="W376" s="20"/>
      <c r="X376" s="27"/>
      <c r="Y376" s="26"/>
      <c r="Z376" s="25">
        <f t="shared" si="77"/>
        <v>0</v>
      </c>
      <c r="AA376" s="20">
        <f t="shared" si="72"/>
        <v>0</v>
      </c>
      <c r="AB376" s="24">
        <f t="shared" si="69"/>
        <v>0</v>
      </c>
      <c r="AC376" s="37"/>
      <c r="AD376" s="37"/>
      <c r="AE376" s="22"/>
      <c r="AF376" s="20"/>
      <c r="AG376" s="21"/>
      <c r="AH376" s="20"/>
      <c r="AI376" s="21"/>
      <c r="AJ376" s="20"/>
      <c r="AK376" s="20"/>
      <c r="AL376" s="20"/>
      <c r="AM376" s="19">
        <v>35000</v>
      </c>
      <c r="AN376" s="19">
        <v>30000</v>
      </c>
      <c r="AO376" s="19"/>
      <c r="AP376" s="19"/>
      <c r="AQ376" s="19"/>
      <c r="AR376" s="19">
        <f t="shared" si="73"/>
        <v>65000</v>
      </c>
      <c r="AS376" s="17">
        <f t="shared" si="74"/>
        <v>-65000</v>
      </c>
      <c r="AT376" s="17">
        <f t="shared" si="75"/>
        <v>-65000</v>
      </c>
      <c r="AU376" s="17">
        <f t="shared" si="76"/>
        <v>0</v>
      </c>
      <c r="AV376" s="17">
        <f t="shared" si="70"/>
        <v>-32500</v>
      </c>
      <c r="AW376" s="17">
        <f t="shared" si="71"/>
        <v>-29250</v>
      </c>
      <c r="AX376" s="18">
        <v>50000</v>
      </c>
      <c r="AY376" s="18"/>
      <c r="AZ376" s="17">
        <f t="shared" si="78"/>
        <v>-79250</v>
      </c>
      <c r="BA376" s="16"/>
      <c r="BB376" s="16"/>
      <c r="BC376" s="16"/>
    </row>
    <row r="377" spans="1:55" ht="16.899999999999999">
      <c r="A377" s="36">
        <v>376</v>
      </c>
      <c r="B377" s="35"/>
      <c r="C377" s="33"/>
      <c r="D377" s="33"/>
      <c r="E377" s="33"/>
      <c r="F377" s="33"/>
      <c r="G377" s="33"/>
      <c r="H377" s="33"/>
      <c r="I377" s="33"/>
      <c r="J377" s="33"/>
      <c r="K377" s="35"/>
      <c r="L377" s="34"/>
      <c r="M377" s="32"/>
      <c r="N377" s="32"/>
      <c r="O377" s="31">
        <f t="shared" si="68"/>
        <v>0</v>
      </c>
      <c r="P377" s="30"/>
      <c r="Q377" s="30"/>
      <c r="R377" s="30"/>
      <c r="S377" s="30"/>
      <c r="T377" s="29"/>
      <c r="U377" s="20"/>
      <c r="V377" s="28"/>
      <c r="W377" s="20"/>
      <c r="X377" s="27"/>
      <c r="Y377" s="26"/>
      <c r="Z377" s="25">
        <f t="shared" si="77"/>
        <v>0</v>
      </c>
      <c r="AA377" s="20">
        <f t="shared" si="72"/>
        <v>0</v>
      </c>
      <c r="AB377" s="24">
        <f t="shared" si="69"/>
        <v>0</v>
      </c>
      <c r="AC377" s="37"/>
      <c r="AD377" s="37"/>
      <c r="AE377" s="22"/>
      <c r="AF377" s="20"/>
      <c r="AG377" s="21"/>
      <c r="AH377" s="20"/>
      <c r="AI377" s="21"/>
      <c r="AJ377" s="20"/>
      <c r="AK377" s="20"/>
      <c r="AL377" s="20"/>
      <c r="AM377" s="19">
        <v>35000</v>
      </c>
      <c r="AN377" s="19">
        <v>30000</v>
      </c>
      <c r="AO377" s="19"/>
      <c r="AP377" s="19"/>
      <c r="AQ377" s="19"/>
      <c r="AR377" s="19">
        <f t="shared" si="73"/>
        <v>65000</v>
      </c>
      <c r="AS377" s="17">
        <f t="shared" si="74"/>
        <v>-65000</v>
      </c>
      <c r="AT377" s="17">
        <f t="shared" si="75"/>
        <v>-65000</v>
      </c>
      <c r="AU377" s="17">
        <f t="shared" si="76"/>
        <v>0</v>
      </c>
      <c r="AV377" s="17">
        <f t="shared" si="70"/>
        <v>-32500</v>
      </c>
      <c r="AW377" s="17">
        <f t="shared" si="71"/>
        <v>-29250</v>
      </c>
      <c r="AX377" s="18">
        <v>50000</v>
      </c>
      <c r="AY377" s="18"/>
      <c r="AZ377" s="17">
        <f t="shared" si="78"/>
        <v>-79250</v>
      </c>
      <c r="BA377" s="16"/>
      <c r="BB377" s="16"/>
      <c r="BC377" s="16"/>
    </row>
    <row r="378" spans="1:55" ht="16.899999999999999">
      <c r="A378" s="36">
        <v>377</v>
      </c>
      <c r="B378" s="35"/>
      <c r="C378" s="33"/>
      <c r="D378" s="33"/>
      <c r="E378" s="33"/>
      <c r="F378" s="33"/>
      <c r="G378" s="33"/>
      <c r="H378" s="33"/>
      <c r="I378" s="33"/>
      <c r="J378" s="33"/>
      <c r="K378" s="35"/>
      <c r="L378" s="34"/>
      <c r="M378" s="32"/>
      <c r="N378" s="32"/>
      <c r="O378" s="31">
        <f t="shared" si="68"/>
        <v>0</v>
      </c>
      <c r="P378" s="30"/>
      <c r="Q378" s="30"/>
      <c r="R378" s="30"/>
      <c r="S378" s="30"/>
      <c r="T378" s="29"/>
      <c r="U378" s="20"/>
      <c r="V378" s="28"/>
      <c r="W378" s="20"/>
      <c r="X378" s="27"/>
      <c r="Y378" s="26"/>
      <c r="Z378" s="25">
        <f t="shared" si="77"/>
        <v>0</v>
      </c>
      <c r="AA378" s="20">
        <f t="shared" si="72"/>
        <v>0</v>
      </c>
      <c r="AB378" s="24">
        <f t="shared" si="69"/>
        <v>0</v>
      </c>
      <c r="AC378" s="37"/>
      <c r="AD378" s="37"/>
      <c r="AE378" s="22"/>
      <c r="AF378" s="20"/>
      <c r="AG378" s="21"/>
      <c r="AH378" s="20"/>
      <c r="AI378" s="21"/>
      <c r="AJ378" s="20"/>
      <c r="AK378" s="20"/>
      <c r="AL378" s="20"/>
      <c r="AM378" s="19">
        <v>35000</v>
      </c>
      <c r="AN378" s="19">
        <v>30000</v>
      </c>
      <c r="AO378" s="19"/>
      <c r="AP378" s="19"/>
      <c r="AQ378" s="19"/>
      <c r="AR378" s="19">
        <f t="shared" si="73"/>
        <v>65000</v>
      </c>
      <c r="AS378" s="17">
        <f t="shared" si="74"/>
        <v>-65000</v>
      </c>
      <c r="AT378" s="17">
        <f t="shared" si="75"/>
        <v>-65000</v>
      </c>
      <c r="AU378" s="17">
        <f t="shared" si="76"/>
        <v>0</v>
      </c>
      <c r="AV378" s="17">
        <f t="shared" si="70"/>
        <v>-32500</v>
      </c>
      <c r="AW378" s="17">
        <f t="shared" si="71"/>
        <v>-29250</v>
      </c>
      <c r="AX378" s="18">
        <v>50000</v>
      </c>
      <c r="AY378" s="18"/>
      <c r="AZ378" s="17">
        <f t="shared" si="78"/>
        <v>-79250</v>
      </c>
      <c r="BA378" s="16"/>
      <c r="BB378" s="16"/>
      <c r="BC378" s="16"/>
    </row>
    <row r="379" spans="1:55" ht="16.899999999999999">
      <c r="A379" s="36">
        <v>378</v>
      </c>
      <c r="B379" s="35"/>
      <c r="C379" s="33"/>
      <c r="D379" s="33"/>
      <c r="E379" s="33"/>
      <c r="F379" s="33"/>
      <c r="G379" s="33"/>
      <c r="H379" s="33"/>
      <c r="I379" s="33"/>
      <c r="J379" s="33"/>
      <c r="K379" s="35"/>
      <c r="L379" s="34"/>
      <c r="M379" s="32"/>
      <c r="N379" s="32"/>
      <c r="O379" s="31">
        <f t="shared" si="68"/>
        <v>0</v>
      </c>
      <c r="P379" s="30"/>
      <c r="Q379" s="30"/>
      <c r="R379" s="30"/>
      <c r="S379" s="30"/>
      <c r="T379" s="29"/>
      <c r="U379" s="20"/>
      <c r="V379" s="28"/>
      <c r="W379" s="20"/>
      <c r="X379" s="27"/>
      <c r="Y379" s="26"/>
      <c r="Z379" s="25">
        <f t="shared" si="77"/>
        <v>0</v>
      </c>
      <c r="AA379" s="20">
        <f t="shared" si="72"/>
        <v>0</v>
      </c>
      <c r="AB379" s="24">
        <f t="shared" si="69"/>
        <v>0</v>
      </c>
      <c r="AC379" s="37"/>
      <c r="AD379" s="37"/>
      <c r="AE379" s="22"/>
      <c r="AF379" s="20"/>
      <c r="AG379" s="21"/>
      <c r="AH379" s="20"/>
      <c r="AI379" s="21"/>
      <c r="AJ379" s="20"/>
      <c r="AK379" s="20"/>
      <c r="AL379" s="20"/>
      <c r="AM379" s="19">
        <v>35000</v>
      </c>
      <c r="AN379" s="19">
        <v>30000</v>
      </c>
      <c r="AO379" s="19"/>
      <c r="AP379" s="19"/>
      <c r="AQ379" s="19"/>
      <c r="AR379" s="19">
        <f t="shared" si="73"/>
        <v>65000</v>
      </c>
      <c r="AS379" s="17">
        <f t="shared" si="74"/>
        <v>-65000</v>
      </c>
      <c r="AT379" s="17">
        <f t="shared" si="75"/>
        <v>-65000</v>
      </c>
      <c r="AU379" s="17">
        <f t="shared" si="76"/>
        <v>0</v>
      </c>
      <c r="AV379" s="17">
        <f t="shared" si="70"/>
        <v>-32500</v>
      </c>
      <c r="AW379" s="17">
        <f t="shared" si="71"/>
        <v>-29250</v>
      </c>
      <c r="AX379" s="18">
        <v>50000</v>
      </c>
      <c r="AY379" s="18"/>
      <c r="AZ379" s="17">
        <f t="shared" si="78"/>
        <v>-79250</v>
      </c>
      <c r="BA379" s="16"/>
      <c r="BB379" s="16"/>
      <c r="BC379" s="16"/>
    </row>
    <row r="380" spans="1:55" ht="16.899999999999999">
      <c r="A380" s="36">
        <v>379</v>
      </c>
      <c r="B380" s="35"/>
      <c r="C380" s="33"/>
      <c r="D380" s="33"/>
      <c r="E380" s="33"/>
      <c r="F380" s="33"/>
      <c r="G380" s="33"/>
      <c r="H380" s="33"/>
      <c r="I380" s="33"/>
      <c r="J380" s="33"/>
      <c r="K380" s="35"/>
      <c r="L380" s="34"/>
      <c r="M380" s="32"/>
      <c r="N380" s="32"/>
      <c r="O380" s="31">
        <f t="shared" ref="O380:O440" si="79">M380+N380</f>
        <v>0</v>
      </c>
      <c r="P380" s="30"/>
      <c r="Q380" s="30"/>
      <c r="R380" s="30"/>
      <c r="S380" s="30"/>
      <c r="T380" s="29"/>
      <c r="U380" s="20"/>
      <c r="V380" s="28"/>
      <c r="W380" s="20"/>
      <c r="X380" s="27"/>
      <c r="Y380" s="26"/>
      <c r="Z380" s="25">
        <f t="shared" si="77"/>
        <v>0</v>
      </c>
      <c r="AA380" s="20">
        <f t="shared" si="72"/>
        <v>0</v>
      </c>
      <c r="AB380" s="24">
        <f t="shared" ref="AB380:AB440" si="80">SUM(AA380-Z380)</f>
        <v>0</v>
      </c>
      <c r="AC380" s="37"/>
      <c r="AD380" s="37"/>
      <c r="AE380" s="22"/>
      <c r="AF380" s="20"/>
      <c r="AG380" s="21"/>
      <c r="AH380" s="20"/>
      <c r="AI380" s="21"/>
      <c r="AJ380" s="20"/>
      <c r="AK380" s="20"/>
      <c r="AL380" s="20"/>
      <c r="AM380" s="19">
        <v>35000</v>
      </c>
      <c r="AN380" s="19">
        <v>30000</v>
      </c>
      <c r="AO380" s="19"/>
      <c r="AP380" s="19"/>
      <c r="AQ380" s="19"/>
      <c r="AR380" s="19">
        <f t="shared" si="73"/>
        <v>65000</v>
      </c>
      <c r="AS380" s="17">
        <f t="shared" si="74"/>
        <v>-65000</v>
      </c>
      <c r="AT380" s="17">
        <f t="shared" si="75"/>
        <v>-65000</v>
      </c>
      <c r="AU380" s="17">
        <f t="shared" si="76"/>
        <v>0</v>
      </c>
      <c r="AV380" s="17">
        <f t="shared" ref="AV380:AV440" si="81">SUM(AT380:AU380)/2</f>
        <v>-32500</v>
      </c>
      <c r="AW380" s="17">
        <f t="shared" ref="AW380:AW440" si="82">AV380-(AV380*10%)</f>
        <v>-29250</v>
      </c>
      <c r="AX380" s="18">
        <v>50000</v>
      </c>
      <c r="AY380" s="18"/>
      <c r="AZ380" s="17">
        <f t="shared" si="78"/>
        <v>-79250</v>
      </c>
      <c r="BA380" s="16"/>
      <c r="BB380" s="16"/>
      <c r="BC380" s="16"/>
    </row>
    <row r="381" spans="1:55" ht="16.899999999999999">
      <c r="A381" s="36">
        <v>380</v>
      </c>
      <c r="B381" s="35"/>
      <c r="C381" s="33"/>
      <c r="D381" s="33"/>
      <c r="E381" s="33"/>
      <c r="F381" s="33"/>
      <c r="G381" s="33"/>
      <c r="H381" s="33"/>
      <c r="I381" s="33"/>
      <c r="J381" s="33"/>
      <c r="K381" s="35"/>
      <c r="L381" s="34"/>
      <c r="M381" s="32"/>
      <c r="N381" s="32"/>
      <c r="O381" s="31">
        <f t="shared" si="79"/>
        <v>0</v>
      </c>
      <c r="P381" s="30"/>
      <c r="Q381" s="30"/>
      <c r="R381" s="30"/>
      <c r="S381" s="30"/>
      <c r="T381" s="29"/>
      <c r="U381" s="20"/>
      <c r="V381" s="28"/>
      <c r="W381" s="20"/>
      <c r="X381" s="27"/>
      <c r="Y381" s="26"/>
      <c r="Z381" s="25">
        <f t="shared" si="77"/>
        <v>0</v>
      </c>
      <c r="AA381" s="20">
        <f t="shared" si="72"/>
        <v>0</v>
      </c>
      <c r="AB381" s="24">
        <f t="shared" si="80"/>
        <v>0</v>
      </c>
      <c r="AC381" s="37"/>
      <c r="AD381" s="37"/>
      <c r="AE381" s="22"/>
      <c r="AF381" s="20"/>
      <c r="AG381" s="21"/>
      <c r="AH381" s="20"/>
      <c r="AI381" s="21"/>
      <c r="AJ381" s="20"/>
      <c r="AK381" s="20"/>
      <c r="AL381" s="20"/>
      <c r="AM381" s="19">
        <v>35000</v>
      </c>
      <c r="AN381" s="19">
        <v>30000</v>
      </c>
      <c r="AO381" s="19"/>
      <c r="AP381" s="19"/>
      <c r="AQ381" s="19"/>
      <c r="AR381" s="19">
        <f t="shared" si="73"/>
        <v>65000</v>
      </c>
      <c r="AS381" s="17">
        <f t="shared" si="74"/>
        <v>-65000</v>
      </c>
      <c r="AT381" s="17">
        <f t="shared" si="75"/>
        <v>-65000</v>
      </c>
      <c r="AU381" s="17">
        <f t="shared" si="76"/>
        <v>0</v>
      </c>
      <c r="AV381" s="17">
        <f t="shared" si="81"/>
        <v>-32500</v>
      </c>
      <c r="AW381" s="17">
        <f t="shared" si="82"/>
        <v>-29250</v>
      </c>
      <c r="AX381" s="18">
        <v>50000</v>
      </c>
      <c r="AY381" s="18"/>
      <c r="AZ381" s="17">
        <f t="shared" si="78"/>
        <v>-79250</v>
      </c>
      <c r="BA381" s="16"/>
      <c r="BB381" s="16"/>
      <c r="BC381" s="16"/>
    </row>
    <row r="382" spans="1:55" ht="16.899999999999999">
      <c r="A382" s="36">
        <v>381</v>
      </c>
      <c r="B382" s="35"/>
      <c r="C382" s="33"/>
      <c r="D382" s="33"/>
      <c r="E382" s="33"/>
      <c r="F382" s="33"/>
      <c r="G382" s="33"/>
      <c r="H382" s="33"/>
      <c r="I382" s="33"/>
      <c r="J382" s="33"/>
      <c r="K382" s="35"/>
      <c r="L382" s="34"/>
      <c r="M382" s="32"/>
      <c r="N382" s="32"/>
      <c r="O382" s="31">
        <f t="shared" si="79"/>
        <v>0</v>
      </c>
      <c r="P382" s="30"/>
      <c r="Q382" s="30"/>
      <c r="R382" s="30"/>
      <c r="S382" s="30"/>
      <c r="T382" s="29"/>
      <c r="U382" s="20"/>
      <c r="V382" s="28"/>
      <c r="W382" s="20"/>
      <c r="X382" s="27"/>
      <c r="Y382" s="26"/>
      <c r="Z382" s="25">
        <f t="shared" si="77"/>
        <v>0</v>
      </c>
      <c r="AA382" s="20">
        <f t="shared" si="72"/>
        <v>0</v>
      </c>
      <c r="AB382" s="24">
        <f t="shared" si="80"/>
        <v>0</v>
      </c>
      <c r="AC382" s="37"/>
      <c r="AD382" s="37"/>
      <c r="AE382" s="22"/>
      <c r="AF382" s="20"/>
      <c r="AG382" s="21"/>
      <c r="AH382" s="20"/>
      <c r="AI382" s="21"/>
      <c r="AJ382" s="20"/>
      <c r="AK382" s="20"/>
      <c r="AL382" s="20"/>
      <c r="AM382" s="19">
        <v>35000</v>
      </c>
      <c r="AN382" s="19">
        <v>30000</v>
      </c>
      <c r="AO382" s="19"/>
      <c r="AP382" s="19"/>
      <c r="AQ382" s="19"/>
      <c r="AR382" s="19">
        <f t="shared" si="73"/>
        <v>65000</v>
      </c>
      <c r="AS382" s="17">
        <f t="shared" si="74"/>
        <v>-65000</v>
      </c>
      <c r="AT382" s="17">
        <f t="shared" si="75"/>
        <v>-65000</v>
      </c>
      <c r="AU382" s="17">
        <f t="shared" si="76"/>
        <v>0</v>
      </c>
      <c r="AV382" s="17">
        <f t="shared" si="81"/>
        <v>-32500</v>
      </c>
      <c r="AW382" s="17">
        <f t="shared" si="82"/>
        <v>-29250</v>
      </c>
      <c r="AX382" s="18">
        <v>50000</v>
      </c>
      <c r="AY382" s="18"/>
      <c r="AZ382" s="17">
        <f t="shared" si="78"/>
        <v>-79250</v>
      </c>
      <c r="BA382" s="16"/>
      <c r="BB382" s="16"/>
      <c r="BC382" s="16"/>
    </row>
    <row r="383" spans="1:55" ht="16.5" customHeight="1">
      <c r="A383" s="36">
        <v>382</v>
      </c>
      <c r="B383" s="35"/>
      <c r="C383" s="33"/>
      <c r="D383" s="33"/>
      <c r="E383" s="33"/>
      <c r="F383" s="33"/>
      <c r="G383" s="33"/>
      <c r="H383" s="33"/>
      <c r="I383" s="33"/>
      <c r="J383" s="33"/>
      <c r="K383" s="35"/>
      <c r="L383" s="34"/>
      <c r="M383" s="32"/>
      <c r="N383" s="32"/>
      <c r="O383" s="31">
        <f t="shared" si="79"/>
        <v>0</v>
      </c>
      <c r="P383" s="30"/>
      <c r="Q383" s="30"/>
      <c r="R383" s="30"/>
      <c r="S383" s="30"/>
      <c r="T383" s="29"/>
      <c r="U383" s="20"/>
      <c r="V383" s="28"/>
      <c r="W383" s="20"/>
      <c r="X383" s="27"/>
      <c r="Y383" s="26"/>
      <c r="Z383" s="25">
        <f t="shared" si="77"/>
        <v>0</v>
      </c>
      <c r="AA383" s="20">
        <f t="shared" si="72"/>
        <v>0</v>
      </c>
      <c r="AB383" s="24">
        <f t="shared" si="80"/>
        <v>0</v>
      </c>
      <c r="AC383" s="37"/>
      <c r="AD383" s="37"/>
      <c r="AE383" s="22"/>
      <c r="AF383" s="20"/>
      <c r="AG383" s="21"/>
      <c r="AH383" s="20"/>
      <c r="AI383" s="21"/>
      <c r="AJ383" s="20"/>
      <c r="AK383" s="20"/>
      <c r="AL383" s="20"/>
      <c r="AM383" s="19">
        <v>35000</v>
      </c>
      <c r="AN383" s="19">
        <v>30000</v>
      </c>
      <c r="AO383" s="19"/>
      <c r="AP383" s="19"/>
      <c r="AQ383" s="19"/>
      <c r="AR383" s="19">
        <f t="shared" si="73"/>
        <v>65000</v>
      </c>
      <c r="AS383" s="17">
        <f t="shared" si="74"/>
        <v>-65000</v>
      </c>
      <c r="AT383" s="17">
        <f t="shared" si="75"/>
        <v>-65000</v>
      </c>
      <c r="AU383" s="17">
        <f t="shared" si="76"/>
        <v>0</v>
      </c>
      <c r="AV383" s="17">
        <f t="shared" si="81"/>
        <v>-32500</v>
      </c>
      <c r="AW383" s="17">
        <f t="shared" si="82"/>
        <v>-29250</v>
      </c>
      <c r="AX383" s="18">
        <v>50000</v>
      </c>
      <c r="AY383" s="18"/>
      <c r="AZ383" s="17">
        <f t="shared" si="78"/>
        <v>-79250</v>
      </c>
      <c r="BA383" s="16"/>
      <c r="BB383" s="16"/>
      <c r="BC383" s="16"/>
    </row>
    <row r="384" spans="1:55" ht="16.899999999999999">
      <c r="A384" s="36">
        <v>383</v>
      </c>
      <c r="B384" s="35"/>
      <c r="C384" s="33"/>
      <c r="D384" s="33"/>
      <c r="E384" s="33"/>
      <c r="F384" s="33"/>
      <c r="G384" s="33"/>
      <c r="H384" s="33"/>
      <c r="I384" s="33"/>
      <c r="J384" s="33"/>
      <c r="K384" s="35"/>
      <c r="L384" s="34"/>
      <c r="M384" s="32"/>
      <c r="N384" s="32"/>
      <c r="O384" s="31">
        <f t="shared" si="79"/>
        <v>0</v>
      </c>
      <c r="P384" s="30"/>
      <c r="Q384" s="30"/>
      <c r="R384" s="30"/>
      <c r="S384" s="30"/>
      <c r="T384" s="29"/>
      <c r="U384" s="20"/>
      <c r="V384" s="28"/>
      <c r="W384" s="20"/>
      <c r="X384" s="27"/>
      <c r="Y384" s="26"/>
      <c r="Z384" s="25">
        <f t="shared" si="77"/>
        <v>0</v>
      </c>
      <c r="AA384" s="20">
        <f t="shared" si="72"/>
        <v>0</v>
      </c>
      <c r="AB384" s="24">
        <f t="shared" si="80"/>
        <v>0</v>
      </c>
      <c r="AC384" s="37"/>
      <c r="AD384" s="37"/>
      <c r="AE384" s="22"/>
      <c r="AF384" s="20"/>
      <c r="AG384" s="21"/>
      <c r="AH384" s="20"/>
      <c r="AI384" s="21"/>
      <c r="AJ384" s="20"/>
      <c r="AK384" s="20"/>
      <c r="AL384" s="20"/>
      <c r="AM384" s="19">
        <v>35000</v>
      </c>
      <c r="AN384" s="19">
        <v>30000</v>
      </c>
      <c r="AO384" s="19"/>
      <c r="AP384" s="19"/>
      <c r="AQ384" s="19"/>
      <c r="AR384" s="19">
        <f t="shared" si="73"/>
        <v>65000</v>
      </c>
      <c r="AS384" s="17">
        <f t="shared" si="74"/>
        <v>-65000</v>
      </c>
      <c r="AT384" s="17">
        <f t="shared" si="75"/>
        <v>-65000</v>
      </c>
      <c r="AU384" s="17">
        <f t="shared" si="76"/>
        <v>0</v>
      </c>
      <c r="AV384" s="17">
        <f t="shared" si="81"/>
        <v>-32500</v>
      </c>
      <c r="AW384" s="17">
        <f t="shared" si="82"/>
        <v>-29250</v>
      </c>
      <c r="AX384" s="18">
        <v>50000</v>
      </c>
      <c r="AY384" s="18"/>
      <c r="AZ384" s="17">
        <f t="shared" si="78"/>
        <v>-79250</v>
      </c>
      <c r="BA384" s="16"/>
      <c r="BB384" s="16"/>
      <c r="BC384" s="16"/>
    </row>
    <row r="385" spans="1:55" ht="16.899999999999999">
      <c r="A385" s="36">
        <v>384</v>
      </c>
      <c r="B385" s="35"/>
      <c r="C385" s="33"/>
      <c r="D385" s="33"/>
      <c r="E385" s="33"/>
      <c r="F385" s="33"/>
      <c r="G385" s="33"/>
      <c r="H385" s="33"/>
      <c r="I385" s="33"/>
      <c r="J385" s="33"/>
      <c r="K385" s="35"/>
      <c r="L385" s="34"/>
      <c r="M385" s="32"/>
      <c r="N385" s="32"/>
      <c r="O385" s="31">
        <f t="shared" si="79"/>
        <v>0</v>
      </c>
      <c r="P385" s="30"/>
      <c r="Q385" s="30"/>
      <c r="R385" s="30"/>
      <c r="S385" s="30"/>
      <c r="T385" s="29"/>
      <c r="U385" s="20"/>
      <c r="V385" s="28"/>
      <c r="W385" s="20"/>
      <c r="X385" s="27"/>
      <c r="Y385" s="26"/>
      <c r="Z385" s="25">
        <f t="shared" si="77"/>
        <v>0</v>
      </c>
      <c r="AA385" s="20">
        <f t="shared" si="72"/>
        <v>0</v>
      </c>
      <c r="AB385" s="24">
        <f t="shared" si="80"/>
        <v>0</v>
      </c>
      <c r="AC385" s="37"/>
      <c r="AD385" s="37"/>
      <c r="AE385" s="22"/>
      <c r="AF385" s="20"/>
      <c r="AG385" s="21"/>
      <c r="AH385" s="20"/>
      <c r="AI385" s="21"/>
      <c r="AJ385" s="20"/>
      <c r="AK385" s="20"/>
      <c r="AL385" s="20"/>
      <c r="AM385" s="19">
        <v>35000</v>
      </c>
      <c r="AN385" s="19">
        <v>30000</v>
      </c>
      <c r="AO385" s="19"/>
      <c r="AP385" s="19"/>
      <c r="AQ385" s="19"/>
      <c r="AR385" s="19">
        <f t="shared" si="73"/>
        <v>65000</v>
      </c>
      <c r="AS385" s="17">
        <f t="shared" si="74"/>
        <v>-65000</v>
      </c>
      <c r="AT385" s="17">
        <f t="shared" si="75"/>
        <v>-65000</v>
      </c>
      <c r="AU385" s="17">
        <f t="shared" si="76"/>
        <v>0</v>
      </c>
      <c r="AV385" s="17">
        <f t="shared" si="81"/>
        <v>-32500</v>
      </c>
      <c r="AW385" s="17">
        <f t="shared" si="82"/>
        <v>-29250</v>
      </c>
      <c r="AX385" s="18">
        <v>50000</v>
      </c>
      <c r="AY385" s="18"/>
      <c r="AZ385" s="17">
        <f t="shared" si="78"/>
        <v>-79250</v>
      </c>
      <c r="BA385" s="16"/>
      <c r="BB385" s="16"/>
      <c r="BC385" s="16"/>
    </row>
    <row r="386" spans="1:55" s="6" customFormat="1" ht="16.899999999999999">
      <c r="A386" s="36">
        <v>385</v>
      </c>
      <c r="B386" s="35"/>
      <c r="C386" s="33"/>
      <c r="D386" s="33"/>
      <c r="E386" s="33"/>
      <c r="F386" s="33"/>
      <c r="G386" s="33"/>
      <c r="H386" s="33"/>
      <c r="I386" s="33"/>
      <c r="J386" s="33"/>
      <c r="K386" s="35"/>
      <c r="L386" s="34"/>
      <c r="M386" s="32"/>
      <c r="N386" s="32"/>
      <c r="O386" s="31">
        <f t="shared" si="79"/>
        <v>0</v>
      </c>
      <c r="P386" s="30"/>
      <c r="Q386" s="30"/>
      <c r="R386" s="30"/>
      <c r="S386" s="30"/>
      <c r="T386" s="29"/>
      <c r="U386" s="20"/>
      <c r="V386" s="28"/>
      <c r="W386" s="20"/>
      <c r="X386" s="27"/>
      <c r="Y386" s="26"/>
      <c r="Z386" s="25">
        <f t="shared" si="77"/>
        <v>0</v>
      </c>
      <c r="AA386" s="20">
        <f t="shared" ref="AA386:AA440" si="83">SUM(AF386+AH386+AJ386+AK386-AL386)</f>
        <v>0</v>
      </c>
      <c r="AB386" s="24">
        <f t="shared" si="80"/>
        <v>0</v>
      </c>
      <c r="AC386" s="37"/>
      <c r="AD386" s="37"/>
      <c r="AE386" s="22"/>
      <c r="AF386" s="20"/>
      <c r="AG386" s="21"/>
      <c r="AH386" s="20"/>
      <c r="AI386" s="21"/>
      <c r="AJ386" s="20"/>
      <c r="AK386" s="20"/>
      <c r="AL386" s="20"/>
      <c r="AM386" s="19">
        <v>35000</v>
      </c>
      <c r="AN386" s="19">
        <v>30000</v>
      </c>
      <c r="AO386" s="19"/>
      <c r="AP386" s="19"/>
      <c r="AQ386" s="19"/>
      <c r="AR386" s="19">
        <f t="shared" ref="AR386:AR440" si="84">SUM(AM386:AQ386)</f>
        <v>65000</v>
      </c>
      <c r="AS386" s="17">
        <f t="shared" ref="AS386:AS440" si="85">SUM(Z386-V386)*U386-AR386</f>
        <v>-65000</v>
      </c>
      <c r="AT386" s="17">
        <f t="shared" ref="AT386:AT440" si="86">SUM(AS386-O386)</f>
        <v>-65000</v>
      </c>
      <c r="AU386" s="17">
        <f t="shared" ref="AU386:AU440" si="87">SUM(M386*0.09)</f>
        <v>0</v>
      </c>
      <c r="AV386" s="17">
        <f t="shared" si="81"/>
        <v>-32500</v>
      </c>
      <c r="AW386" s="17">
        <f t="shared" si="82"/>
        <v>-29250</v>
      </c>
      <c r="AX386" s="18">
        <v>50000</v>
      </c>
      <c r="AY386" s="18"/>
      <c r="AZ386" s="17">
        <f t="shared" si="78"/>
        <v>-79250</v>
      </c>
      <c r="BA386" s="16"/>
      <c r="BB386" s="15"/>
      <c r="BC386" s="15"/>
    </row>
    <row r="387" spans="1:55" s="6" customFormat="1" ht="16.899999999999999">
      <c r="A387" s="36">
        <v>386</v>
      </c>
      <c r="B387" s="35"/>
      <c r="C387" s="33"/>
      <c r="D387" s="33"/>
      <c r="E387" s="33"/>
      <c r="F387" s="33"/>
      <c r="G387" s="33"/>
      <c r="H387" s="33"/>
      <c r="I387" s="33"/>
      <c r="J387" s="33"/>
      <c r="K387" s="35"/>
      <c r="L387" s="34"/>
      <c r="M387" s="32"/>
      <c r="N387" s="32"/>
      <c r="O387" s="31">
        <f t="shared" si="79"/>
        <v>0</v>
      </c>
      <c r="P387" s="30"/>
      <c r="Q387" s="30"/>
      <c r="R387" s="30"/>
      <c r="S387" s="30"/>
      <c r="T387" s="29"/>
      <c r="U387" s="20"/>
      <c r="V387" s="28"/>
      <c r="W387" s="20"/>
      <c r="X387" s="27"/>
      <c r="Y387" s="26"/>
      <c r="Z387" s="25">
        <f t="shared" si="77"/>
        <v>0</v>
      </c>
      <c r="AA387" s="20">
        <f t="shared" si="83"/>
        <v>0</v>
      </c>
      <c r="AB387" s="24">
        <f t="shared" si="80"/>
        <v>0</v>
      </c>
      <c r="AC387" s="37"/>
      <c r="AD387" s="37"/>
      <c r="AE387" s="22"/>
      <c r="AF387" s="20"/>
      <c r="AG387" s="21"/>
      <c r="AH387" s="20"/>
      <c r="AI387" s="21"/>
      <c r="AJ387" s="20"/>
      <c r="AK387" s="20"/>
      <c r="AL387" s="20"/>
      <c r="AM387" s="19">
        <v>35000</v>
      </c>
      <c r="AN387" s="19">
        <v>30000</v>
      </c>
      <c r="AO387" s="19"/>
      <c r="AP387" s="19"/>
      <c r="AQ387" s="19"/>
      <c r="AR387" s="19">
        <f t="shared" si="84"/>
        <v>65000</v>
      </c>
      <c r="AS387" s="17">
        <f t="shared" si="85"/>
        <v>-65000</v>
      </c>
      <c r="AT387" s="17">
        <f t="shared" si="86"/>
        <v>-65000</v>
      </c>
      <c r="AU387" s="17">
        <f t="shared" si="87"/>
        <v>0</v>
      </c>
      <c r="AV387" s="17">
        <f t="shared" si="81"/>
        <v>-32500</v>
      </c>
      <c r="AW387" s="17">
        <f t="shared" si="82"/>
        <v>-29250</v>
      </c>
      <c r="AX387" s="18">
        <v>50000</v>
      </c>
      <c r="AY387" s="18"/>
      <c r="AZ387" s="17">
        <f t="shared" si="78"/>
        <v>-79250</v>
      </c>
      <c r="BA387" s="16"/>
      <c r="BB387" s="15"/>
      <c r="BC387" s="15"/>
    </row>
    <row r="388" spans="1:55" s="6" customFormat="1" ht="16.899999999999999">
      <c r="A388" s="36">
        <v>387</v>
      </c>
      <c r="B388" s="35"/>
      <c r="C388" s="33"/>
      <c r="D388" s="33"/>
      <c r="E388" s="33"/>
      <c r="F388" s="33"/>
      <c r="G388" s="33"/>
      <c r="H388" s="33"/>
      <c r="I388" s="33"/>
      <c r="J388" s="33"/>
      <c r="K388" s="35"/>
      <c r="L388" s="34"/>
      <c r="M388" s="32"/>
      <c r="N388" s="32"/>
      <c r="O388" s="31">
        <f t="shared" si="79"/>
        <v>0</v>
      </c>
      <c r="P388" s="30"/>
      <c r="Q388" s="30"/>
      <c r="R388" s="30"/>
      <c r="S388" s="30"/>
      <c r="T388" s="29"/>
      <c r="U388" s="20"/>
      <c r="V388" s="28"/>
      <c r="W388" s="20"/>
      <c r="X388" s="27"/>
      <c r="Y388" s="26"/>
      <c r="Z388" s="25">
        <f t="shared" si="77"/>
        <v>0</v>
      </c>
      <c r="AA388" s="20">
        <f t="shared" si="83"/>
        <v>0</v>
      </c>
      <c r="AB388" s="24">
        <f t="shared" si="80"/>
        <v>0</v>
      </c>
      <c r="AC388" s="37"/>
      <c r="AD388" s="37"/>
      <c r="AE388" s="22"/>
      <c r="AF388" s="20"/>
      <c r="AG388" s="21"/>
      <c r="AH388" s="20"/>
      <c r="AI388" s="21"/>
      <c r="AJ388" s="20"/>
      <c r="AK388" s="20"/>
      <c r="AL388" s="20"/>
      <c r="AM388" s="19">
        <v>35000</v>
      </c>
      <c r="AN388" s="19">
        <v>30000</v>
      </c>
      <c r="AO388" s="19"/>
      <c r="AP388" s="19"/>
      <c r="AQ388" s="19"/>
      <c r="AR388" s="19">
        <f t="shared" si="84"/>
        <v>65000</v>
      </c>
      <c r="AS388" s="17">
        <f t="shared" si="85"/>
        <v>-65000</v>
      </c>
      <c r="AT388" s="17">
        <f t="shared" si="86"/>
        <v>-65000</v>
      </c>
      <c r="AU388" s="17">
        <f t="shared" si="87"/>
        <v>0</v>
      </c>
      <c r="AV388" s="17">
        <f t="shared" si="81"/>
        <v>-32500</v>
      </c>
      <c r="AW388" s="17">
        <f t="shared" si="82"/>
        <v>-29250</v>
      </c>
      <c r="AX388" s="18">
        <v>50000</v>
      </c>
      <c r="AY388" s="18"/>
      <c r="AZ388" s="17">
        <f t="shared" si="78"/>
        <v>-79250</v>
      </c>
      <c r="BA388" s="16"/>
      <c r="BB388" s="15"/>
      <c r="BC388" s="15"/>
    </row>
    <row r="389" spans="1:55" s="6" customFormat="1" ht="16.899999999999999">
      <c r="A389" s="36">
        <v>388</v>
      </c>
      <c r="B389" s="35"/>
      <c r="C389" s="33"/>
      <c r="D389" s="33"/>
      <c r="E389" s="33"/>
      <c r="F389" s="33"/>
      <c r="G389" s="33"/>
      <c r="H389" s="33"/>
      <c r="I389" s="33"/>
      <c r="J389" s="33"/>
      <c r="K389" s="35"/>
      <c r="L389" s="34"/>
      <c r="M389" s="32"/>
      <c r="N389" s="32"/>
      <c r="O389" s="31">
        <f t="shared" si="79"/>
        <v>0</v>
      </c>
      <c r="P389" s="30"/>
      <c r="Q389" s="30"/>
      <c r="R389" s="30"/>
      <c r="S389" s="30"/>
      <c r="T389" s="29"/>
      <c r="U389" s="20"/>
      <c r="V389" s="28"/>
      <c r="W389" s="20"/>
      <c r="X389" s="27"/>
      <c r="Y389" s="26"/>
      <c r="Z389" s="25">
        <f t="shared" si="77"/>
        <v>0</v>
      </c>
      <c r="AA389" s="20">
        <f t="shared" si="83"/>
        <v>0</v>
      </c>
      <c r="AB389" s="24">
        <f t="shared" si="80"/>
        <v>0</v>
      </c>
      <c r="AC389" s="37"/>
      <c r="AD389" s="37"/>
      <c r="AE389" s="22"/>
      <c r="AF389" s="20"/>
      <c r="AG389" s="21"/>
      <c r="AH389" s="20"/>
      <c r="AI389" s="21"/>
      <c r="AJ389" s="20"/>
      <c r="AK389" s="20"/>
      <c r="AL389" s="20"/>
      <c r="AM389" s="19">
        <v>35000</v>
      </c>
      <c r="AN389" s="19">
        <v>30000</v>
      </c>
      <c r="AO389" s="19"/>
      <c r="AP389" s="19"/>
      <c r="AQ389" s="19"/>
      <c r="AR389" s="19">
        <f t="shared" si="84"/>
        <v>65000</v>
      </c>
      <c r="AS389" s="17">
        <f t="shared" si="85"/>
        <v>-65000</v>
      </c>
      <c r="AT389" s="17">
        <f t="shared" si="86"/>
        <v>-65000</v>
      </c>
      <c r="AU389" s="17">
        <f t="shared" si="87"/>
        <v>0</v>
      </c>
      <c r="AV389" s="17">
        <f t="shared" si="81"/>
        <v>-32500</v>
      </c>
      <c r="AW389" s="17">
        <f t="shared" si="82"/>
        <v>-29250</v>
      </c>
      <c r="AX389" s="18">
        <v>50000</v>
      </c>
      <c r="AY389" s="18"/>
      <c r="AZ389" s="17">
        <f t="shared" si="78"/>
        <v>-79250</v>
      </c>
      <c r="BA389" s="16"/>
      <c r="BB389" s="15"/>
      <c r="BC389" s="15"/>
    </row>
    <row r="390" spans="1:55" s="6" customFormat="1" ht="16.899999999999999">
      <c r="A390" s="36">
        <v>389</v>
      </c>
      <c r="B390" s="35"/>
      <c r="C390" s="33"/>
      <c r="D390" s="33"/>
      <c r="E390" s="33"/>
      <c r="F390" s="33"/>
      <c r="G390" s="33"/>
      <c r="H390" s="33"/>
      <c r="I390" s="33"/>
      <c r="J390" s="33"/>
      <c r="K390" s="35"/>
      <c r="L390" s="34"/>
      <c r="M390" s="32"/>
      <c r="N390" s="32"/>
      <c r="O390" s="31">
        <f t="shared" si="79"/>
        <v>0</v>
      </c>
      <c r="P390" s="30"/>
      <c r="Q390" s="30"/>
      <c r="R390" s="30"/>
      <c r="S390" s="30"/>
      <c r="T390" s="29"/>
      <c r="U390" s="20"/>
      <c r="V390" s="28"/>
      <c r="W390" s="20"/>
      <c r="X390" s="27"/>
      <c r="Y390" s="26"/>
      <c r="Z390" s="25">
        <f t="shared" si="77"/>
        <v>0</v>
      </c>
      <c r="AA390" s="20">
        <f t="shared" si="83"/>
        <v>0</v>
      </c>
      <c r="AB390" s="24">
        <f t="shared" si="80"/>
        <v>0</v>
      </c>
      <c r="AC390" s="37"/>
      <c r="AD390" s="37"/>
      <c r="AE390" s="22"/>
      <c r="AF390" s="20"/>
      <c r="AG390" s="21"/>
      <c r="AH390" s="20"/>
      <c r="AI390" s="21"/>
      <c r="AJ390" s="20"/>
      <c r="AK390" s="20"/>
      <c r="AL390" s="20"/>
      <c r="AM390" s="19">
        <v>35000</v>
      </c>
      <c r="AN390" s="19">
        <v>30000</v>
      </c>
      <c r="AO390" s="19"/>
      <c r="AP390" s="19"/>
      <c r="AQ390" s="19"/>
      <c r="AR390" s="19">
        <f t="shared" si="84"/>
        <v>65000</v>
      </c>
      <c r="AS390" s="17">
        <f t="shared" si="85"/>
        <v>-65000</v>
      </c>
      <c r="AT390" s="17">
        <f t="shared" si="86"/>
        <v>-65000</v>
      </c>
      <c r="AU390" s="17">
        <f t="shared" si="87"/>
        <v>0</v>
      </c>
      <c r="AV390" s="17">
        <f t="shared" si="81"/>
        <v>-32500</v>
      </c>
      <c r="AW390" s="17">
        <f t="shared" si="82"/>
        <v>-29250</v>
      </c>
      <c r="AX390" s="18">
        <v>50000</v>
      </c>
      <c r="AY390" s="18"/>
      <c r="AZ390" s="17">
        <f t="shared" si="78"/>
        <v>-79250</v>
      </c>
      <c r="BA390" s="16"/>
      <c r="BB390" s="15"/>
      <c r="BC390" s="15"/>
    </row>
    <row r="391" spans="1:55" s="6" customFormat="1" ht="16.899999999999999">
      <c r="A391" s="36">
        <v>390</v>
      </c>
      <c r="B391" s="35"/>
      <c r="C391" s="33"/>
      <c r="D391" s="33"/>
      <c r="E391" s="33"/>
      <c r="F391" s="33"/>
      <c r="G391" s="33"/>
      <c r="H391" s="33"/>
      <c r="I391" s="33"/>
      <c r="J391" s="33"/>
      <c r="K391" s="35"/>
      <c r="L391" s="34"/>
      <c r="M391" s="32"/>
      <c r="N391" s="32"/>
      <c r="O391" s="31">
        <f t="shared" si="79"/>
        <v>0</v>
      </c>
      <c r="P391" s="30"/>
      <c r="Q391" s="30"/>
      <c r="R391" s="30"/>
      <c r="S391" s="30"/>
      <c r="T391" s="29"/>
      <c r="U391" s="20"/>
      <c r="V391" s="28"/>
      <c r="W391" s="20"/>
      <c r="X391" s="27"/>
      <c r="Y391" s="26"/>
      <c r="Z391" s="25">
        <f t="shared" si="77"/>
        <v>0</v>
      </c>
      <c r="AA391" s="20">
        <f t="shared" si="83"/>
        <v>0</v>
      </c>
      <c r="AB391" s="24">
        <f t="shared" si="80"/>
        <v>0</v>
      </c>
      <c r="AC391" s="37"/>
      <c r="AD391" s="37"/>
      <c r="AE391" s="22"/>
      <c r="AF391" s="20"/>
      <c r="AG391" s="21"/>
      <c r="AH391" s="20"/>
      <c r="AI391" s="21"/>
      <c r="AJ391" s="20"/>
      <c r="AK391" s="20"/>
      <c r="AL391" s="20"/>
      <c r="AM391" s="19">
        <v>35000</v>
      </c>
      <c r="AN391" s="19">
        <v>30000</v>
      </c>
      <c r="AO391" s="19"/>
      <c r="AP391" s="19"/>
      <c r="AQ391" s="19"/>
      <c r="AR391" s="19">
        <f t="shared" si="84"/>
        <v>65000</v>
      </c>
      <c r="AS391" s="17">
        <f t="shared" si="85"/>
        <v>-65000</v>
      </c>
      <c r="AT391" s="17">
        <f t="shared" si="86"/>
        <v>-65000</v>
      </c>
      <c r="AU391" s="17">
        <f t="shared" si="87"/>
        <v>0</v>
      </c>
      <c r="AV391" s="17">
        <f t="shared" si="81"/>
        <v>-32500</v>
      </c>
      <c r="AW391" s="17">
        <f t="shared" si="82"/>
        <v>-29250</v>
      </c>
      <c r="AX391" s="18">
        <v>50000</v>
      </c>
      <c r="AY391" s="18"/>
      <c r="AZ391" s="17">
        <f t="shared" si="78"/>
        <v>-79250</v>
      </c>
      <c r="BA391" s="16"/>
      <c r="BB391" s="15"/>
      <c r="BC391" s="15"/>
    </row>
    <row r="392" spans="1:55" s="6" customFormat="1" ht="16.899999999999999">
      <c r="A392" s="36">
        <v>391</v>
      </c>
      <c r="B392" s="35"/>
      <c r="C392" s="33"/>
      <c r="D392" s="33"/>
      <c r="E392" s="33"/>
      <c r="F392" s="33"/>
      <c r="G392" s="33"/>
      <c r="H392" s="33"/>
      <c r="I392" s="33"/>
      <c r="J392" s="33"/>
      <c r="K392" s="35"/>
      <c r="L392" s="34"/>
      <c r="M392" s="32"/>
      <c r="N392" s="32"/>
      <c r="O392" s="31">
        <f t="shared" si="79"/>
        <v>0</v>
      </c>
      <c r="P392" s="30"/>
      <c r="Q392" s="30"/>
      <c r="R392" s="30"/>
      <c r="S392" s="30"/>
      <c r="T392" s="29"/>
      <c r="U392" s="20"/>
      <c r="V392" s="28"/>
      <c r="W392" s="20"/>
      <c r="X392" s="27"/>
      <c r="Y392" s="26"/>
      <c r="Z392" s="25">
        <f t="shared" si="77"/>
        <v>0</v>
      </c>
      <c r="AA392" s="20">
        <f t="shared" si="83"/>
        <v>0</v>
      </c>
      <c r="AB392" s="24">
        <f t="shared" si="80"/>
        <v>0</v>
      </c>
      <c r="AC392" s="37"/>
      <c r="AD392" s="37"/>
      <c r="AE392" s="22"/>
      <c r="AF392" s="20"/>
      <c r="AG392" s="21"/>
      <c r="AH392" s="20"/>
      <c r="AI392" s="21"/>
      <c r="AJ392" s="20"/>
      <c r="AK392" s="20"/>
      <c r="AL392" s="20"/>
      <c r="AM392" s="19">
        <v>35000</v>
      </c>
      <c r="AN392" s="19">
        <v>30000</v>
      </c>
      <c r="AO392" s="19"/>
      <c r="AP392" s="19"/>
      <c r="AQ392" s="19"/>
      <c r="AR392" s="19">
        <f t="shared" si="84"/>
        <v>65000</v>
      </c>
      <c r="AS392" s="17">
        <f t="shared" si="85"/>
        <v>-65000</v>
      </c>
      <c r="AT392" s="17">
        <f t="shared" si="86"/>
        <v>-65000</v>
      </c>
      <c r="AU392" s="17">
        <f t="shared" si="87"/>
        <v>0</v>
      </c>
      <c r="AV392" s="17">
        <f t="shared" si="81"/>
        <v>-32500</v>
      </c>
      <c r="AW392" s="17">
        <f t="shared" si="82"/>
        <v>-29250</v>
      </c>
      <c r="AX392" s="18">
        <v>50000</v>
      </c>
      <c r="AY392" s="18"/>
      <c r="AZ392" s="17">
        <f t="shared" si="78"/>
        <v>-79250</v>
      </c>
      <c r="BA392" s="16"/>
      <c r="BB392" s="15"/>
      <c r="BC392" s="15"/>
    </row>
    <row r="393" spans="1:55" s="6" customFormat="1" ht="16.899999999999999">
      <c r="A393" s="36">
        <v>392</v>
      </c>
      <c r="B393" s="35"/>
      <c r="C393" s="33"/>
      <c r="D393" s="33"/>
      <c r="E393" s="33"/>
      <c r="F393" s="33"/>
      <c r="G393" s="33"/>
      <c r="H393" s="33"/>
      <c r="I393" s="33"/>
      <c r="J393" s="33"/>
      <c r="K393" s="35"/>
      <c r="L393" s="34"/>
      <c r="M393" s="32"/>
      <c r="N393" s="32"/>
      <c r="O393" s="31">
        <f t="shared" si="79"/>
        <v>0</v>
      </c>
      <c r="P393" s="30"/>
      <c r="Q393" s="30"/>
      <c r="R393" s="30"/>
      <c r="S393" s="30"/>
      <c r="T393" s="29"/>
      <c r="U393" s="20"/>
      <c r="V393" s="28"/>
      <c r="W393" s="20"/>
      <c r="X393" s="27"/>
      <c r="Y393" s="26"/>
      <c r="Z393" s="25">
        <f t="shared" si="77"/>
        <v>0</v>
      </c>
      <c r="AA393" s="20">
        <f t="shared" si="83"/>
        <v>0</v>
      </c>
      <c r="AB393" s="24">
        <f t="shared" si="80"/>
        <v>0</v>
      </c>
      <c r="AC393" s="37"/>
      <c r="AD393" s="37"/>
      <c r="AE393" s="22"/>
      <c r="AF393" s="20"/>
      <c r="AG393" s="21"/>
      <c r="AH393" s="20"/>
      <c r="AI393" s="21"/>
      <c r="AJ393" s="20"/>
      <c r="AK393" s="20"/>
      <c r="AL393" s="20"/>
      <c r="AM393" s="19">
        <v>35000</v>
      </c>
      <c r="AN393" s="19">
        <v>30000</v>
      </c>
      <c r="AO393" s="19"/>
      <c r="AP393" s="19"/>
      <c r="AQ393" s="19"/>
      <c r="AR393" s="19">
        <f t="shared" si="84"/>
        <v>65000</v>
      </c>
      <c r="AS393" s="17">
        <f t="shared" si="85"/>
        <v>-65000</v>
      </c>
      <c r="AT393" s="17">
        <f t="shared" si="86"/>
        <v>-65000</v>
      </c>
      <c r="AU393" s="17">
        <f t="shared" si="87"/>
        <v>0</v>
      </c>
      <c r="AV393" s="17">
        <f t="shared" si="81"/>
        <v>-32500</v>
      </c>
      <c r="AW393" s="17">
        <f t="shared" si="82"/>
        <v>-29250</v>
      </c>
      <c r="AX393" s="18">
        <v>50000</v>
      </c>
      <c r="AY393" s="18"/>
      <c r="AZ393" s="17">
        <f t="shared" si="78"/>
        <v>-79250</v>
      </c>
      <c r="BA393" s="16"/>
      <c r="BB393" s="15"/>
      <c r="BC393" s="15"/>
    </row>
    <row r="394" spans="1:55" s="6" customFormat="1" ht="16.899999999999999">
      <c r="A394" s="36">
        <v>393</v>
      </c>
      <c r="B394" s="35"/>
      <c r="C394" s="33"/>
      <c r="D394" s="33"/>
      <c r="E394" s="33"/>
      <c r="F394" s="33"/>
      <c r="G394" s="33"/>
      <c r="H394" s="33"/>
      <c r="I394" s="33"/>
      <c r="J394" s="33"/>
      <c r="K394" s="35"/>
      <c r="L394" s="34"/>
      <c r="M394" s="32"/>
      <c r="N394" s="32"/>
      <c r="O394" s="31">
        <f t="shared" si="79"/>
        <v>0</v>
      </c>
      <c r="P394" s="30"/>
      <c r="Q394" s="30"/>
      <c r="R394" s="30"/>
      <c r="S394" s="30"/>
      <c r="T394" s="29"/>
      <c r="U394" s="20"/>
      <c r="V394" s="28"/>
      <c r="W394" s="20"/>
      <c r="X394" s="27"/>
      <c r="Y394" s="26"/>
      <c r="Z394" s="25">
        <f t="shared" si="77"/>
        <v>0</v>
      </c>
      <c r="AA394" s="20">
        <f t="shared" si="83"/>
        <v>0</v>
      </c>
      <c r="AB394" s="24">
        <f t="shared" si="80"/>
        <v>0</v>
      </c>
      <c r="AC394" s="37"/>
      <c r="AD394" s="37"/>
      <c r="AE394" s="22"/>
      <c r="AF394" s="20"/>
      <c r="AG394" s="21"/>
      <c r="AH394" s="20"/>
      <c r="AI394" s="21"/>
      <c r="AJ394" s="20"/>
      <c r="AK394" s="20"/>
      <c r="AL394" s="20"/>
      <c r="AM394" s="19">
        <v>35000</v>
      </c>
      <c r="AN394" s="19">
        <v>30000</v>
      </c>
      <c r="AO394" s="19"/>
      <c r="AP394" s="19"/>
      <c r="AQ394" s="19"/>
      <c r="AR394" s="19">
        <f t="shared" si="84"/>
        <v>65000</v>
      </c>
      <c r="AS394" s="17">
        <f t="shared" si="85"/>
        <v>-65000</v>
      </c>
      <c r="AT394" s="17">
        <f t="shared" si="86"/>
        <v>-65000</v>
      </c>
      <c r="AU394" s="17">
        <f t="shared" si="87"/>
        <v>0</v>
      </c>
      <c r="AV394" s="17">
        <f t="shared" si="81"/>
        <v>-32500</v>
      </c>
      <c r="AW394" s="17">
        <f t="shared" si="82"/>
        <v>-29250</v>
      </c>
      <c r="AX394" s="18">
        <v>50000</v>
      </c>
      <c r="AY394" s="18"/>
      <c r="AZ394" s="17">
        <f t="shared" si="78"/>
        <v>-79250</v>
      </c>
      <c r="BA394" s="16"/>
      <c r="BB394" s="15"/>
      <c r="BC394" s="15"/>
    </row>
    <row r="395" spans="1:55" s="6" customFormat="1" ht="16.899999999999999">
      <c r="A395" s="36">
        <v>394</v>
      </c>
      <c r="B395" s="35"/>
      <c r="C395" s="33"/>
      <c r="D395" s="33"/>
      <c r="E395" s="33"/>
      <c r="F395" s="33"/>
      <c r="G395" s="33"/>
      <c r="H395" s="33"/>
      <c r="I395" s="33"/>
      <c r="J395" s="33"/>
      <c r="K395" s="35"/>
      <c r="L395" s="34"/>
      <c r="M395" s="32"/>
      <c r="N395" s="32"/>
      <c r="O395" s="31">
        <f t="shared" si="79"/>
        <v>0</v>
      </c>
      <c r="P395" s="30"/>
      <c r="Q395" s="30"/>
      <c r="R395" s="30"/>
      <c r="S395" s="30"/>
      <c r="T395" s="29"/>
      <c r="U395" s="20"/>
      <c r="V395" s="28"/>
      <c r="W395" s="20"/>
      <c r="X395" s="27"/>
      <c r="Y395" s="26"/>
      <c r="Z395" s="25">
        <f t="shared" si="77"/>
        <v>0</v>
      </c>
      <c r="AA395" s="20">
        <f t="shared" si="83"/>
        <v>0</v>
      </c>
      <c r="AB395" s="24">
        <f t="shared" si="80"/>
        <v>0</v>
      </c>
      <c r="AC395" s="37"/>
      <c r="AD395" s="37"/>
      <c r="AE395" s="22"/>
      <c r="AF395" s="20"/>
      <c r="AG395" s="21"/>
      <c r="AH395" s="20"/>
      <c r="AI395" s="21"/>
      <c r="AJ395" s="20"/>
      <c r="AK395" s="20"/>
      <c r="AL395" s="20"/>
      <c r="AM395" s="19">
        <v>35000</v>
      </c>
      <c r="AN395" s="19">
        <v>30000</v>
      </c>
      <c r="AO395" s="19"/>
      <c r="AP395" s="19"/>
      <c r="AQ395" s="19"/>
      <c r="AR395" s="19">
        <f t="shared" si="84"/>
        <v>65000</v>
      </c>
      <c r="AS395" s="17">
        <f t="shared" si="85"/>
        <v>-65000</v>
      </c>
      <c r="AT395" s="17">
        <f t="shared" si="86"/>
        <v>-65000</v>
      </c>
      <c r="AU395" s="17">
        <f t="shared" si="87"/>
        <v>0</v>
      </c>
      <c r="AV395" s="17">
        <f t="shared" si="81"/>
        <v>-32500</v>
      </c>
      <c r="AW395" s="17">
        <f t="shared" si="82"/>
        <v>-29250</v>
      </c>
      <c r="AX395" s="18">
        <v>50000</v>
      </c>
      <c r="AY395" s="18"/>
      <c r="AZ395" s="17">
        <f t="shared" si="78"/>
        <v>-79250</v>
      </c>
      <c r="BA395" s="16"/>
      <c r="BB395" s="15"/>
      <c r="BC395" s="15"/>
    </row>
    <row r="396" spans="1:55" s="6" customFormat="1" ht="16.899999999999999">
      <c r="A396" s="36">
        <v>395</v>
      </c>
      <c r="B396" s="35"/>
      <c r="C396" s="33"/>
      <c r="D396" s="33"/>
      <c r="E396" s="33"/>
      <c r="F396" s="33"/>
      <c r="G396" s="33"/>
      <c r="H396" s="33"/>
      <c r="I396" s="33"/>
      <c r="J396" s="33"/>
      <c r="K396" s="35"/>
      <c r="L396" s="34"/>
      <c r="M396" s="32"/>
      <c r="N396" s="32"/>
      <c r="O396" s="31">
        <f t="shared" si="79"/>
        <v>0</v>
      </c>
      <c r="P396" s="30"/>
      <c r="Q396" s="30"/>
      <c r="R396" s="30"/>
      <c r="S396" s="30"/>
      <c r="T396" s="29"/>
      <c r="U396" s="20"/>
      <c r="V396" s="28"/>
      <c r="W396" s="20"/>
      <c r="X396" s="27"/>
      <c r="Y396" s="26"/>
      <c r="Z396" s="25">
        <f t="shared" ref="Z396:Z440" si="88">SUM(T396,V396:Y396)</f>
        <v>0</v>
      </c>
      <c r="AA396" s="20">
        <f t="shared" si="83"/>
        <v>0</v>
      </c>
      <c r="AB396" s="24">
        <f t="shared" si="80"/>
        <v>0</v>
      </c>
      <c r="AC396" s="37"/>
      <c r="AD396" s="37"/>
      <c r="AE396" s="22"/>
      <c r="AF396" s="20"/>
      <c r="AG396" s="21"/>
      <c r="AH396" s="20"/>
      <c r="AI396" s="21"/>
      <c r="AJ396" s="20"/>
      <c r="AK396" s="20"/>
      <c r="AL396" s="20"/>
      <c r="AM396" s="19">
        <v>35000</v>
      </c>
      <c r="AN396" s="19">
        <v>30000</v>
      </c>
      <c r="AO396" s="19"/>
      <c r="AP396" s="19"/>
      <c r="AQ396" s="19"/>
      <c r="AR396" s="19">
        <f t="shared" si="84"/>
        <v>65000</v>
      </c>
      <c r="AS396" s="17">
        <f t="shared" si="85"/>
        <v>-65000</v>
      </c>
      <c r="AT396" s="17">
        <f t="shared" si="86"/>
        <v>-65000</v>
      </c>
      <c r="AU396" s="17">
        <f t="shared" si="87"/>
        <v>0</v>
      </c>
      <c r="AV396" s="17">
        <f t="shared" si="81"/>
        <v>-32500</v>
      </c>
      <c r="AW396" s="17">
        <f t="shared" si="82"/>
        <v>-29250</v>
      </c>
      <c r="AX396" s="18">
        <v>50000</v>
      </c>
      <c r="AY396" s="18"/>
      <c r="AZ396" s="17">
        <f t="shared" si="78"/>
        <v>-79250</v>
      </c>
      <c r="BA396" s="16"/>
      <c r="BB396" s="15"/>
      <c r="BC396" s="15"/>
    </row>
    <row r="397" spans="1:55" s="6" customFormat="1" ht="16.899999999999999">
      <c r="A397" s="36">
        <v>396</v>
      </c>
      <c r="B397" s="35"/>
      <c r="C397" s="33"/>
      <c r="D397" s="33"/>
      <c r="E397" s="33"/>
      <c r="F397" s="33"/>
      <c r="G397" s="33"/>
      <c r="H397" s="33"/>
      <c r="I397" s="33"/>
      <c r="J397" s="33"/>
      <c r="K397" s="35"/>
      <c r="L397" s="34"/>
      <c r="M397" s="32"/>
      <c r="N397" s="32"/>
      <c r="O397" s="31">
        <f t="shared" si="79"/>
        <v>0</v>
      </c>
      <c r="P397" s="30"/>
      <c r="Q397" s="30"/>
      <c r="R397" s="30"/>
      <c r="S397" s="30"/>
      <c r="T397" s="29"/>
      <c r="U397" s="20"/>
      <c r="V397" s="28"/>
      <c r="W397" s="20"/>
      <c r="X397" s="27"/>
      <c r="Y397" s="26"/>
      <c r="Z397" s="25">
        <f t="shared" si="88"/>
        <v>0</v>
      </c>
      <c r="AA397" s="20">
        <f t="shared" si="83"/>
        <v>0</v>
      </c>
      <c r="AB397" s="24">
        <f t="shared" si="80"/>
        <v>0</v>
      </c>
      <c r="AC397" s="37"/>
      <c r="AD397" s="37"/>
      <c r="AE397" s="22"/>
      <c r="AF397" s="20"/>
      <c r="AG397" s="21"/>
      <c r="AH397" s="20"/>
      <c r="AI397" s="21"/>
      <c r="AJ397" s="20"/>
      <c r="AK397" s="20"/>
      <c r="AL397" s="20"/>
      <c r="AM397" s="19">
        <v>35000</v>
      </c>
      <c r="AN397" s="19">
        <v>30000</v>
      </c>
      <c r="AO397" s="19"/>
      <c r="AP397" s="19"/>
      <c r="AQ397" s="19"/>
      <c r="AR397" s="19">
        <f t="shared" si="84"/>
        <v>65000</v>
      </c>
      <c r="AS397" s="17">
        <f t="shared" si="85"/>
        <v>-65000</v>
      </c>
      <c r="AT397" s="17">
        <f t="shared" si="86"/>
        <v>-65000</v>
      </c>
      <c r="AU397" s="17">
        <f t="shared" si="87"/>
        <v>0</v>
      </c>
      <c r="AV397" s="17">
        <f t="shared" si="81"/>
        <v>-32500</v>
      </c>
      <c r="AW397" s="17">
        <f t="shared" si="82"/>
        <v>-29250</v>
      </c>
      <c r="AX397" s="18">
        <v>50000</v>
      </c>
      <c r="AY397" s="18"/>
      <c r="AZ397" s="17">
        <f t="shared" si="78"/>
        <v>-79250</v>
      </c>
      <c r="BA397" s="16"/>
      <c r="BB397" s="15"/>
      <c r="BC397" s="15"/>
    </row>
    <row r="398" spans="1:55" s="6" customFormat="1" ht="16.899999999999999">
      <c r="A398" s="36">
        <v>397</v>
      </c>
      <c r="B398" s="35"/>
      <c r="C398" s="33"/>
      <c r="D398" s="33"/>
      <c r="E398" s="33"/>
      <c r="F398" s="33"/>
      <c r="G398" s="33"/>
      <c r="H398" s="33"/>
      <c r="I398" s="33"/>
      <c r="J398" s="33"/>
      <c r="K398" s="35"/>
      <c r="L398" s="34"/>
      <c r="M398" s="32"/>
      <c r="N398" s="32"/>
      <c r="O398" s="31">
        <f t="shared" si="79"/>
        <v>0</v>
      </c>
      <c r="P398" s="30"/>
      <c r="Q398" s="30"/>
      <c r="R398" s="30"/>
      <c r="S398" s="30"/>
      <c r="T398" s="29"/>
      <c r="U398" s="20"/>
      <c r="V398" s="28"/>
      <c r="W398" s="20"/>
      <c r="X398" s="27"/>
      <c r="Y398" s="26"/>
      <c r="Z398" s="25">
        <f t="shared" si="88"/>
        <v>0</v>
      </c>
      <c r="AA398" s="20">
        <f t="shared" si="83"/>
        <v>0</v>
      </c>
      <c r="AB398" s="24">
        <f t="shared" si="80"/>
        <v>0</v>
      </c>
      <c r="AC398" s="37"/>
      <c r="AD398" s="37"/>
      <c r="AE398" s="22"/>
      <c r="AF398" s="20"/>
      <c r="AG398" s="21"/>
      <c r="AH398" s="20"/>
      <c r="AI398" s="21"/>
      <c r="AJ398" s="20"/>
      <c r="AK398" s="20"/>
      <c r="AL398" s="20"/>
      <c r="AM398" s="19">
        <v>35000</v>
      </c>
      <c r="AN398" s="19">
        <v>30000</v>
      </c>
      <c r="AO398" s="19"/>
      <c r="AP398" s="19"/>
      <c r="AQ398" s="19"/>
      <c r="AR398" s="19">
        <f t="shared" si="84"/>
        <v>65000</v>
      </c>
      <c r="AS398" s="17">
        <f t="shared" si="85"/>
        <v>-65000</v>
      </c>
      <c r="AT398" s="17">
        <f t="shared" si="86"/>
        <v>-65000</v>
      </c>
      <c r="AU398" s="17">
        <f t="shared" si="87"/>
        <v>0</v>
      </c>
      <c r="AV398" s="17">
        <f t="shared" si="81"/>
        <v>-32500</v>
      </c>
      <c r="AW398" s="17">
        <f t="shared" si="82"/>
        <v>-29250</v>
      </c>
      <c r="AX398" s="18">
        <v>50000</v>
      </c>
      <c r="AY398" s="18"/>
      <c r="AZ398" s="17">
        <f t="shared" si="78"/>
        <v>-79250</v>
      </c>
      <c r="BA398" s="16"/>
      <c r="BB398" s="15"/>
      <c r="BC398" s="15"/>
    </row>
    <row r="399" spans="1:55" s="6" customFormat="1" ht="16.899999999999999">
      <c r="A399" s="36">
        <v>398</v>
      </c>
      <c r="B399" s="35"/>
      <c r="C399" s="33"/>
      <c r="D399" s="33"/>
      <c r="E399" s="33"/>
      <c r="F399" s="33"/>
      <c r="G399" s="33"/>
      <c r="H399" s="33"/>
      <c r="I399" s="33"/>
      <c r="J399" s="33"/>
      <c r="K399" s="35"/>
      <c r="L399" s="34"/>
      <c r="M399" s="32"/>
      <c r="N399" s="32"/>
      <c r="O399" s="31">
        <f t="shared" si="79"/>
        <v>0</v>
      </c>
      <c r="P399" s="30"/>
      <c r="Q399" s="30"/>
      <c r="R399" s="30"/>
      <c r="S399" s="30"/>
      <c r="T399" s="29"/>
      <c r="U399" s="20"/>
      <c r="V399" s="28"/>
      <c r="W399" s="20"/>
      <c r="X399" s="27"/>
      <c r="Y399" s="26"/>
      <c r="Z399" s="25">
        <f t="shared" si="88"/>
        <v>0</v>
      </c>
      <c r="AA399" s="20">
        <f t="shared" si="83"/>
        <v>0</v>
      </c>
      <c r="AB399" s="24">
        <f t="shared" si="80"/>
        <v>0</v>
      </c>
      <c r="AC399" s="37"/>
      <c r="AD399" s="37"/>
      <c r="AE399" s="22"/>
      <c r="AF399" s="20"/>
      <c r="AG399" s="21"/>
      <c r="AH399" s="20"/>
      <c r="AI399" s="21"/>
      <c r="AJ399" s="20"/>
      <c r="AK399" s="20"/>
      <c r="AL399" s="20"/>
      <c r="AM399" s="19">
        <v>35000</v>
      </c>
      <c r="AN399" s="19">
        <v>30000</v>
      </c>
      <c r="AO399" s="19"/>
      <c r="AP399" s="19"/>
      <c r="AQ399" s="19"/>
      <c r="AR399" s="19">
        <f t="shared" si="84"/>
        <v>65000</v>
      </c>
      <c r="AS399" s="17">
        <f t="shared" si="85"/>
        <v>-65000</v>
      </c>
      <c r="AT399" s="17">
        <f t="shared" si="86"/>
        <v>-65000</v>
      </c>
      <c r="AU399" s="17">
        <f t="shared" si="87"/>
        <v>0</v>
      </c>
      <c r="AV399" s="17">
        <f t="shared" si="81"/>
        <v>-32500</v>
      </c>
      <c r="AW399" s="17">
        <f t="shared" si="82"/>
        <v>-29250</v>
      </c>
      <c r="AX399" s="18">
        <v>50000</v>
      </c>
      <c r="AY399" s="18"/>
      <c r="AZ399" s="17">
        <f t="shared" si="78"/>
        <v>-79250</v>
      </c>
      <c r="BA399" s="16"/>
      <c r="BB399" s="15"/>
      <c r="BC399" s="15"/>
    </row>
    <row r="400" spans="1:55" s="6" customFormat="1" ht="16.899999999999999">
      <c r="A400" s="36">
        <v>399</v>
      </c>
      <c r="B400" s="35"/>
      <c r="C400" s="33"/>
      <c r="D400" s="33"/>
      <c r="E400" s="33"/>
      <c r="F400" s="33"/>
      <c r="G400" s="33"/>
      <c r="H400" s="33"/>
      <c r="I400" s="33"/>
      <c r="J400" s="33"/>
      <c r="K400" s="35"/>
      <c r="L400" s="34"/>
      <c r="M400" s="32"/>
      <c r="N400" s="32"/>
      <c r="O400" s="31">
        <f t="shared" si="79"/>
        <v>0</v>
      </c>
      <c r="P400" s="30"/>
      <c r="Q400" s="30"/>
      <c r="R400" s="30"/>
      <c r="S400" s="30"/>
      <c r="T400" s="29"/>
      <c r="U400" s="20"/>
      <c r="V400" s="28"/>
      <c r="W400" s="20"/>
      <c r="X400" s="27"/>
      <c r="Y400" s="26"/>
      <c r="Z400" s="25">
        <f t="shared" si="88"/>
        <v>0</v>
      </c>
      <c r="AA400" s="20">
        <f t="shared" si="83"/>
        <v>0</v>
      </c>
      <c r="AB400" s="24">
        <f t="shared" si="80"/>
        <v>0</v>
      </c>
      <c r="AC400" s="37"/>
      <c r="AD400" s="37"/>
      <c r="AE400" s="22"/>
      <c r="AF400" s="20"/>
      <c r="AG400" s="21"/>
      <c r="AH400" s="20"/>
      <c r="AI400" s="21"/>
      <c r="AJ400" s="20"/>
      <c r="AK400" s="20"/>
      <c r="AL400" s="20"/>
      <c r="AM400" s="19">
        <v>35000</v>
      </c>
      <c r="AN400" s="19">
        <v>30000</v>
      </c>
      <c r="AO400" s="19"/>
      <c r="AP400" s="19"/>
      <c r="AQ400" s="19"/>
      <c r="AR400" s="19">
        <f t="shared" si="84"/>
        <v>65000</v>
      </c>
      <c r="AS400" s="17">
        <f t="shared" si="85"/>
        <v>-65000</v>
      </c>
      <c r="AT400" s="17">
        <f t="shared" si="86"/>
        <v>-65000</v>
      </c>
      <c r="AU400" s="17">
        <f t="shared" si="87"/>
        <v>0</v>
      </c>
      <c r="AV400" s="17">
        <f t="shared" si="81"/>
        <v>-32500</v>
      </c>
      <c r="AW400" s="17">
        <f t="shared" si="82"/>
        <v>-29250</v>
      </c>
      <c r="AX400" s="18">
        <v>50000</v>
      </c>
      <c r="AY400" s="18"/>
      <c r="AZ400" s="17">
        <f t="shared" si="78"/>
        <v>-79250</v>
      </c>
      <c r="BA400" s="16"/>
      <c r="BB400" s="15"/>
      <c r="BC400" s="15"/>
    </row>
    <row r="401" spans="1:55" s="6" customFormat="1" ht="16.899999999999999">
      <c r="A401" s="36">
        <v>400</v>
      </c>
      <c r="B401" s="35"/>
      <c r="C401" s="33"/>
      <c r="D401" s="33"/>
      <c r="E401" s="33"/>
      <c r="F401" s="33"/>
      <c r="G401" s="33"/>
      <c r="H401" s="33"/>
      <c r="I401" s="33"/>
      <c r="J401" s="33"/>
      <c r="K401" s="35"/>
      <c r="L401" s="34"/>
      <c r="M401" s="32"/>
      <c r="N401" s="32"/>
      <c r="O401" s="31">
        <f t="shared" si="79"/>
        <v>0</v>
      </c>
      <c r="P401" s="30"/>
      <c r="Q401" s="30"/>
      <c r="R401" s="30"/>
      <c r="S401" s="30"/>
      <c r="T401" s="29"/>
      <c r="U401" s="20"/>
      <c r="V401" s="28"/>
      <c r="W401" s="20"/>
      <c r="X401" s="27"/>
      <c r="Y401" s="26"/>
      <c r="Z401" s="25">
        <f t="shared" si="88"/>
        <v>0</v>
      </c>
      <c r="AA401" s="20">
        <f t="shared" si="83"/>
        <v>0</v>
      </c>
      <c r="AB401" s="24">
        <f t="shared" si="80"/>
        <v>0</v>
      </c>
      <c r="AC401" s="37"/>
      <c r="AD401" s="37"/>
      <c r="AE401" s="22"/>
      <c r="AF401" s="20"/>
      <c r="AG401" s="21"/>
      <c r="AH401" s="20"/>
      <c r="AI401" s="21"/>
      <c r="AJ401" s="20"/>
      <c r="AK401" s="20"/>
      <c r="AL401" s="20"/>
      <c r="AM401" s="19">
        <v>35000</v>
      </c>
      <c r="AN401" s="19">
        <v>30000</v>
      </c>
      <c r="AO401" s="19"/>
      <c r="AP401" s="19"/>
      <c r="AQ401" s="19"/>
      <c r="AR401" s="19">
        <f t="shared" si="84"/>
        <v>65000</v>
      </c>
      <c r="AS401" s="17">
        <f t="shared" si="85"/>
        <v>-65000</v>
      </c>
      <c r="AT401" s="17">
        <f t="shared" si="86"/>
        <v>-65000</v>
      </c>
      <c r="AU401" s="17">
        <f t="shared" si="87"/>
        <v>0</v>
      </c>
      <c r="AV401" s="17">
        <f t="shared" si="81"/>
        <v>-32500</v>
      </c>
      <c r="AW401" s="17">
        <f t="shared" si="82"/>
        <v>-29250</v>
      </c>
      <c r="AX401" s="18">
        <v>50000</v>
      </c>
      <c r="AY401" s="18"/>
      <c r="AZ401" s="17">
        <f t="shared" si="78"/>
        <v>-79250</v>
      </c>
      <c r="BA401" s="16"/>
      <c r="BB401" s="15"/>
      <c r="BC401" s="15"/>
    </row>
    <row r="402" spans="1:55" s="6" customFormat="1" ht="16.899999999999999">
      <c r="A402" s="36">
        <v>401</v>
      </c>
      <c r="B402" s="35"/>
      <c r="C402" s="33"/>
      <c r="D402" s="33"/>
      <c r="E402" s="33"/>
      <c r="F402" s="33"/>
      <c r="G402" s="33"/>
      <c r="H402" s="33"/>
      <c r="I402" s="33"/>
      <c r="J402" s="33"/>
      <c r="K402" s="35"/>
      <c r="L402" s="34"/>
      <c r="M402" s="32"/>
      <c r="N402" s="32"/>
      <c r="O402" s="31">
        <f t="shared" si="79"/>
        <v>0</v>
      </c>
      <c r="P402" s="30"/>
      <c r="Q402" s="30"/>
      <c r="R402" s="30"/>
      <c r="S402" s="30"/>
      <c r="T402" s="29"/>
      <c r="U402" s="20"/>
      <c r="V402" s="28"/>
      <c r="W402" s="20"/>
      <c r="X402" s="27"/>
      <c r="Y402" s="26"/>
      <c r="Z402" s="25">
        <f t="shared" si="88"/>
        <v>0</v>
      </c>
      <c r="AA402" s="20">
        <f t="shared" si="83"/>
        <v>0</v>
      </c>
      <c r="AB402" s="24">
        <f t="shared" si="80"/>
        <v>0</v>
      </c>
      <c r="AC402" s="37"/>
      <c r="AD402" s="37"/>
      <c r="AE402" s="22"/>
      <c r="AF402" s="20"/>
      <c r="AG402" s="21"/>
      <c r="AH402" s="20"/>
      <c r="AI402" s="21"/>
      <c r="AJ402" s="20"/>
      <c r="AK402" s="20"/>
      <c r="AL402" s="20"/>
      <c r="AM402" s="19">
        <v>35000</v>
      </c>
      <c r="AN402" s="19">
        <v>30000</v>
      </c>
      <c r="AO402" s="19"/>
      <c r="AP402" s="19"/>
      <c r="AQ402" s="19"/>
      <c r="AR402" s="19">
        <f t="shared" si="84"/>
        <v>65000</v>
      </c>
      <c r="AS402" s="17">
        <f t="shared" si="85"/>
        <v>-65000</v>
      </c>
      <c r="AT402" s="17">
        <f t="shared" si="86"/>
        <v>-65000</v>
      </c>
      <c r="AU402" s="17">
        <f t="shared" si="87"/>
        <v>0</v>
      </c>
      <c r="AV402" s="17">
        <f t="shared" si="81"/>
        <v>-32500</v>
      </c>
      <c r="AW402" s="17">
        <f t="shared" si="82"/>
        <v>-29250</v>
      </c>
      <c r="AX402" s="18">
        <v>50000</v>
      </c>
      <c r="AY402" s="18"/>
      <c r="AZ402" s="17">
        <f t="shared" si="78"/>
        <v>-79250</v>
      </c>
      <c r="BA402" s="16"/>
      <c r="BB402" s="15"/>
      <c r="BC402" s="15"/>
    </row>
    <row r="403" spans="1:55" s="6" customFormat="1" ht="16.899999999999999">
      <c r="A403" s="36">
        <v>402</v>
      </c>
      <c r="B403" s="35"/>
      <c r="C403" s="33"/>
      <c r="D403" s="33"/>
      <c r="E403" s="33"/>
      <c r="F403" s="33"/>
      <c r="G403" s="33"/>
      <c r="H403" s="33"/>
      <c r="I403" s="33"/>
      <c r="J403" s="33"/>
      <c r="K403" s="35"/>
      <c r="L403" s="34"/>
      <c r="M403" s="32"/>
      <c r="N403" s="32"/>
      <c r="O403" s="31">
        <f t="shared" si="79"/>
        <v>0</v>
      </c>
      <c r="P403" s="30"/>
      <c r="Q403" s="30"/>
      <c r="R403" s="30"/>
      <c r="S403" s="30"/>
      <c r="T403" s="29"/>
      <c r="U403" s="20"/>
      <c r="V403" s="28"/>
      <c r="W403" s="20"/>
      <c r="X403" s="27"/>
      <c r="Y403" s="26"/>
      <c r="Z403" s="25">
        <f t="shared" si="88"/>
        <v>0</v>
      </c>
      <c r="AA403" s="20">
        <f t="shared" si="83"/>
        <v>0</v>
      </c>
      <c r="AB403" s="24">
        <f t="shared" si="80"/>
        <v>0</v>
      </c>
      <c r="AC403" s="37"/>
      <c r="AD403" s="37"/>
      <c r="AE403" s="22"/>
      <c r="AF403" s="20"/>
      <c r="AG403" s="21"/>
      <c r="AH403" s="20"/>
      <c r="AI403" s="21"/>
      <c r="AJ403" s="20"/>
      <c r="AK403" s="20"/>
      <c r="AL403" s="20"/>
      <c r="AM403" s="19">
        <v>35000</v>
      </c>
      <c r="AN403" s="19">
        <v>30000</v>
      </c>
      <c r="AO403" s="19"/>
      <c r="AP403" s="19"/>
      <c r="AQ403" s="19"/>
      <c r="AR403" s="19">
        <f t="shared" si="84"/>
        <v>65000</v>
      </c>
      <c r="AS403" s="17">
        <f t="shared" si="85"/>
        <v>-65000</v>
      </c>
      <c r="AT403" s="17">
        <f t="shared" si="86"/>
        <v>-65000</v>
      </c>
      <c r="AU403" s="17">
        <f t="shared" si="87"/>
        <v>0</v>
      </c>
      <c r="AV403" s="17">
        <f t="shared" si="81"/>
        <v>-32500</v>
      </c>
      <c r="AW403" s="17">
        <f t="shared" si="82"/>
        <v>-29250</v>
      </c>
      <c r="AX403" s="18">
        <v>50000</v>
      </c>
      <c r="AY403" s="18"/>
      <c r="AZ403" s="17">
        <f t="shared" si="78"/>
        <v>-79250</v>
      </c>
      <c r="BA403" s="16"/>
      <c r="BB403" s="15"/>
      <c r="BC403" s="15"/>
    </row>
    <row r="404" spans="1:55" s="6" customFormat="1" ht="16.899999999999999">
      <c r="A404" s="36">
        <v>403</v>
      </c>
      <c r="B404" s="35"/>
      <c r="C404" s="33"/>
      <c r="D404" s="33"/>
      <c r="E404" s="33"/>
      <c r="F404" s="33"/>
      <c r="G404" s="33"/>
      <c r="H404" s="33"/>
      <c r="I404" s="33"/>
      <c r="J404" s="33"/>
      <c r="K404" s="35"/>
      <c r="L404" s="34"/>
      <c r="M404" s="32"/>
      <c r="N404" s="32"/>
      <c r="O404" s="31">
        <f t="shared" si="79"/>
        <v>0</v>
      </c>
      <c r="P404" s="30"/>
      <c r="Q404" s="30"/>
      <c r="R404" s="30"/>
      <c r="S404" s="30"/>
      <c r="T404" s="29"/>
      <c r="U404" s="20"/>
      <c r="V404" s="28"/>
      <c r="W404" s="20"/>
      <c r="X404" s="27"/>
      <c r="Y404" s="26"/>
      <c r="Z404" s="25">
        <f t="shared" si="88"/>
        <v>0</v>
      </c>
      <c r="AA404" s="20">
        <f t="shared" si="83"/>
        <v>0</v>
      </c>
      <c r="AB404" s="24">
        <f t="shared" si="80"/>
        <v>0</v>
      </c>
      <c r="AC404" s="37"/>
      <c r="AD404" s="37"/>
      <c r="AE404" s="22"/>
      <c r="AF404" s="20"/>
      <c r="AG404" s="21"/>
      <c r="AH404" s="20"/>
      <c r="AI404" s="21"/>
      <c r="AJ404" s="20"/>
      <c r="AK404" s="20"/>
      <c r="AL404" s="20"/>
      <c r="AM404" s="19">
        <v>35000</v>
      </c>
      <c r="AN404" s="19">
        <v>30000</v>
      </c>
      <c r="AO404" s="19"/>
      <c r="AP404" s="19"/>
      <c r="AQ404" s="19"/>
      <c r="AR404" s="19">
        <f t="shared" si="84"/>
        <v>65000</v>
      </c>
      <c r="AS404" s="17">
        <f t="shared" si="85"/>
        <v>-65000</v>
      </c>
      <c r="AT404" s="17">
        <f t="shared" si="86"/>
        <v>-65000</v>
      </c>
      <c r="AU404" s="17">
        <f t="shared" si="87"/>
        <v>0</v>
      </c>
      <c r="AV404" s="17">
        <f t="shared" si="81"/>
        <v>-32500</v>
      </c>
      <c r="AW404" s="17">
        <f t="shared" si="82"/>
        <v>-29250</v>
      </c>
      <c r="AX404" s="18">
        <v>50000</v>
      </c>
      <c r="AY404" s="18"/>
      <c r="AZ404" s="17">
        <f t="shared" si="78"/>
        <v>-79250</v>
      </c>
      <c r="BA404" s="16"/>
      <c r="BB404" s="15"/>
      <c r="BC404" s="15"/>
    </row>
    <row r="405" spans="1:55" s="6" customFormat="1" ht="16.899999999999999">
      <c r="A405" s="36">
        <v>404</v>
      </c>
      <c r="B405" s="35"/>
      <c r="C405" s="33"/>
      <c r="D405" s="33"/>
      <c r="E405" s="33"/>
      <c r="F405" s="33"/>
      <c r="G405" s="33"/>
      <c r="H405" s="33"/>
      <c r="I405" s="33"/>
      <c r="J405" s="33"/>
      <c r="K405" s="35"/>
      <c r="L405" s="34"/>
      <c r="M405" s="32"/>
      <c r="N405" s="32"/>
      <c r="O405" s="31">
        <f t="shared" si="79"/>
        <v>0</v>
      </c>
      <c r="P405" s="30"/>
      <c r="Q405" s="30"/>
      <c r="R405" s="30"/>
      <c r="S405" s="30"/>
      <c r="T405" s="29"/>
      <c r="U405" s="20"/>
      <c r="V405" s="28"/>
      <c r="W405" s="20"/>
      <c r="X405" s="27"/>
      <c r="Y405" s="26"/>
      <c r="Z405" s="25">
        <f t="shared" si="88"/>
        <v>0</v>
      </c>
      <c r="AA405" s="20">
        <f t="shared" si="83"/>
        <v>0</v>
      </c>
      <c r="AB405" s="24">
        <f t="shared" si="80"/>
        <v>0</v>
      </c>
      <c r="AC405" s="37"/>
      <c r="AD405" s="37"/>
      <c r="AE405" s="22"/>
      <c r="AF405" s="20"/>
      <c r="AG405" s="21"/>
      <c r="AH405" s="20"/>
      <c r="AI405" s="21"/>
      <c r="AJ405" s="20"/>
      <c r="AK405" s="20"/>
      <c r="AL405" s="20"/>
      <c r="AM405" s="19">
        <v>35000</v>
      </c>
      <c r="AN405" s="19">
        <v>30000</v>
      </c>
      <c r="AO405" s="19"/>
      <c r="AP405" s="19"/>
      <c r="AQ405" s="19"/>
      <c r="AR405" s="19">
        <f t="shared" si="84"/>
        <v>65000</v>
      </c>
      <c r="AS405" s="17">
        <f t="shared" si="85"/>
        <v>-65000</v>
      </c>
      <c r="AT405" s="17">
        <f t="shared" si="86"/>
        <v>-65000</v>
      </c>
      <c r="AU405" s="17">
        <f t="shared" si="87"/>
        <v>0</v>
      </c>
      <c r="AV405" s="17">
        <f t="shared" si="81"/>
        <v>-32500</v>
      </c>
      <c r="AW405" s="17">
        <f t="shared" si="82"/>
        <v>-29250</v>
      </c>
      <c r="AX405" s="18">
        <v>50000</v>
      </c>
      <c r="AY405" s="18"/>
      <c r="AZ405" s="17">
        <f t="shared" si="78"/>
        <v>-79250</v>
      </c>
      <c r="BA405" s="16"/>
      <c r="BB405" s="15"/>
      <c r="BC405" s="15"/>
    </row>
    <row r="406" spans="1:55" s="6" customFormat="1" ht="16.899999999999999">
      <c r="A406" s="36">
        <v>405</v>
      </c>
      <c r="B406" s="35"/>
      <c r="C406" s="33"/>
      <c r="D406" s="33"/>
      <c r="E406" s="33"/>
      <c r="F406" s="33"/>
      <c r="G406" s="33"/>
      <c r="H406" s="33"/>
      <c r="I406" s="33"/>
      <c r="J406" s="33"/>
      <c r="K406" s="35"/>
      <c r="L406" s="34"/>
      <c r="M406" s="32"/>
      <c r="N406" s="32"/>
      <c r="O406" s="31">
        <f t="shared" si="79"/>
        <v>0</v>
      </c>
      <c r="P406" s="30"/>
      <c r="Q406" s="30"/>
      <c r="R406" s="30"/>
      <c r="S406" s="30"/>
      <c r="T406" s="29"/>
      <c r="U406" s="20"/>
      <c r="V406" s="28"/>
      <c r="W406" s="20"/>
      <c r="X406" s="27"/>
      <c r="Y406" s="26"/>
      <c r="Z406" s="25">
        <f t="shared" si="88"/>
        <v>0</v>
      </c>
      <c r="AA406" s="20">
        <f t="shared" si="83"/>
        <v>0</v>
      </c>
      <c r="AB406" s="24">
        <f t="shared" si="80"/>
        <v>0</v>
      </c>
      <c r="AC406" s="37"/>
      <c r="AD406" s="37"/>
      <c r="AE406" s="22"/>
      <c r="AF406" s="20"/>
      <c r="AG406" s="21"/>
      <c r="AH406" s="20"/>
      <c r="AI406" s="21"/>
      <c r="AJ406" s="20"/>
      <c r="AK406" s="20"/>
      <c r="AL406" s="20"/>
      <c r="AM406" s="19">
        <v>35000</v>
      </c>
      <c r="AN406" s="19">
        <v>30000</v>
      </c>
      <c r="AO406" s="19"/>
      <c r="AP406" s="19"/>
      <c r="AQ406" s="19"/>
      <c r="AR406" s="19">
        <f t="shared" si="84"/>
        <v>65000</v>
      </c>
      <c r="AS406" s="17">
        <f t="shared" si="85"/>
        <v>-65000</v>
      </c>
      <c r="AT406" s="17">
        <f t="shared" si="86"/>
        <v>-65000</v>
      </c>
      <c r="AU406" s="17">
        <f t="shared" si="87"/>
        <v>0</v>
      </c>
      <c r="AV406" s="17">
        <f t="shared" si="81"/>
        <v>-32500</v>
      </c>
      <c r="AW406" s="17">
        <f t="shared" si="82"/>
        <v>-29250</v>
      </c>
      <c r="AX406" s="18">
        <v>50000</v>
      </c>
      <c r="AY406" s="18"/>
      <c r="AZ406" s="17">
        <f t="shared" si="78"/>
        <v>-79250</v>
      </c>
      <c r="BA406" s="16"/>
      <c r="BB406" s="15"/>
      <c r="BC406" s="15"/>
    </row>
    <row r="407" spans="1:55" s="6" customFormat="1" ht="16.899999999999999">
      <c r="A407" s="36">
        <v>406</v>
      </c>
      <c r="B407" s="35"/>
      <c r="C407" s="33"/>
      <c r="D407" s="33"/>
      <c r="E407" s="33"/>
      <c r="F407" s="33"/>
      <c r="G407" s="33"/>
      <c r="H407" s="33"/>
      <c r="I407" s="33"/>
      <c r="J407" s="33"/>
      <c r="K407" s="35"/>
      <c r="L407" s="34"/>
      <c r="M407" s="32"/>
      <c r="N407" s="32"/>
      <c r="O407" s="31">
        <f t="shared" si="79"/>
        <v>0</v>
      </c>
      <c r="P407" s="30"/>
      <c r="Q407" s="30"/>
      <c r="R407" s="30"/>
      <c r="S407" s="30"/>
      <c r="T407" s="29"/>
      <c r="U407" s="20"/>
      <c r="V407" s="28"/>
      <c r="W407" s="20"/>
      <c r="X407" s="27"/>
      <c r="Y407" s="26"/>
      <c r="Z407" s="25">
        <f t="shared" si="88"/>
        <v>0</v>
      </c>
      <c r="AA407" s="20">
        <f t="shared" si="83"/>
        <v>0</v>
      </c>
      <c r="AB407" s="24">
        <f t="shared" si="80"/>
        <v>0</v>
      </c>
      <c r="AC407" s="37"/>
      <c r="AD407" s="37"/>
      <c r="AE407" s="22"/>
      <c r="AF407" s="20"/>
      <c r="AG407" s="21"/>
      <c r="AH407" s="20"/>
      <c r="AI407" s="21"/>
      <c r="AJ407" s="20"/>
      <c r="AK407" s="20"/>
      <c r="AL407" s="20"/>
      <c r="AM407" s="19">
        <v>35000</v>
      </c>
      <c r="AN407" s="19">
        <v>30000</v>
      </c>
      <c r="AO407" s="19"/>
      <c r="AP407" s="19"/>
      <c r="AQ407" s="19"/>
      <c r="AR407" s="19">
        <f t="shared" si="84"/>
        <v>65000</v>
      </c>
      <c r="AS407" s="17">
        <f t="shared" si="85"/>
        <v>-65000</v>
      </c>
      <c r="AT407" s="17">
        <f t="shared" si="86"/>
        <v>-65000</v>
      </c>
      <c r="AU407" s="17">
        <f t="shared" si="87"/>
        <v>0</v>
      </c>
      <c r="AV407" s="17">
        <f t="shared" si="81"/>
        <v>-32500</v>
      </c>
      <c r="AW407" s="17">
        <f t="shared" si="82"/>
        <v>-29250</v>
      </c>
      <c r="AX407" s="18">
        <v>50000</v>
      </c>
      <c r="AY407" s="18"/>
      <c r="AZ407" s="17">
        <f t="shared" si="78"/>
        <v>-79250</v>
      </c>
      <c r="BA407" s="16"/>
      <c r="BB407" s="15"/>
      <c r="BC407" s="15"/>
    </row>
    <row r="408" spans="1:55" s="6" customFormat="1" ht="16.899999999999999">
      <c r="A408" s="36">
        <v>407</v>
      </c>
      <c r="B408" s="35"/>
      <c r="C408" s="33"/>
      <c r="D408" s="33"/>
      <c r="E408" s="33"/>
      <c r="F408" s="33"/>
      <c r="G408" s="33"/>
      <c r="H408" s="33"/>
      <c r="I408" s="33"/>
      <c r="J408" s="33"/>
      <c r="K408" s="35"/>
      <c r="L408" s="34"/>
      <c r="M408" s="32"/>
      <c r="N408" s="32"/>
      <c r="O408" s="31">
        <f t="shared" si="79"/>
        <v>0</v>
      </c>
      <c r="P408" s="30"/>
      <c r="Q408" s="30"/>
      <c r="R408" s="30"/>
      <c r="S408" s="30"/>
      <c r="T408" s="29"/>
      <c r="U408" s="20"/>
      <c r="V408" s="28"/>
      <c r="W408" s="20"/>
      <c r="X408" s="27"/>
      <c r="Y408" s="26"/>
      <c r="Z408" s="25">
        <f t="shared" si="88"/>
        <v>0</v>
      </c>
      <c r="AA408" s="20">
        <f t="shared" si="83"/>
        <v>0</v>
      </c>
      <c r="AB408" s="24">
        <f t="shared" si="80"/>
        <v>0</v>
      </c>
      <c r="AC408" s="37"/>
      <c r="AD408" s="37"/>
      <c r="AE408" s="22"/>
      <c r="AF408" s="20"/>
      <c r="AG408" s="21"/>
      <c r="AH408" s="20"/>
      <c r="AI408" s="21"/>
      <c r="AJ408" s="20"/>
      <c r="AK408" s="20"/>
      <c r="AL408" s="20"/>
      <c r="AM408" s="19">
        <v>35000</v>
      </c>
      <c r="AN408" s="19">
        <v>30000</v>
      </c>
      <c r="AO408" s="19"/>
      <c r="AP408" s="19"/>
      <c r="AQ408" s="19"/>
      <c r="AR408" s="19">
        <f t="shared" si="84"/>
        <v>65000</v>
      </c>
      <c r="AS408" s="17">
        <f t="shared" si="85"/>
        <v>-65000</v>
      </c>
      <c r="AT408" s="17">
        <f t="shared" si="86"/>
        <v>-65000</v>
      </c>
      <c r="AU408" s="17">
        <f t="shared" si="87"/>
        <v>0</v>
      </c>
      <c r="AV408" s="17">
        <f t="shared" si="81"/>
        <v>-32500</v>
      </c>
      <c r="AW408" s="17">
        <f t="shared" si="82"/>
        <v>-29250</v>
      </c>
      <c r="AX408" s="18">
        <v>50000</v>
      </c>
      <c r="AY408" s="18"/>
      <c r="AZ408" s="17">
        <f t="shared" si="78"/>
        <v>-79250</v>
      </c>
      <c r="BA408" s="16"/>
      <c r="BB408" s="15"/>
      <c r="BC408" s="15"/>
    </row>
    <row r="409" spans="1:55" s="6" customFormat="1" ht="16.899999999999999">
      <c r="A409" s="36">
        <v>408</v>
      </c>
      <c r="B409" s="35"/>
      <c r="C409" s="33"/>
      <c r="D409" s="33"/>
      <c r="E409" s="33"/>
      <c r="F409" s="33"/>
      <c r="G409" s="33"/>
      <c r="H409" s="33"/>
      <c r="I409" s="33"/>
      <c r="J409" s="33"/>
      <c r="K409" s="35"/>
      <c r="L409" s="34"/>
      <c r="M409" s="32"/>
      <c r="N409" s="32"/>
      <c r="O409" s="31">
        <f t="shared" si="79"/>
        <v>0</v>
      </c>
      <c r="P409" s="30"/>
      <c r="Q409" s="30"/>
      <c r="R409" s="30"/>
      <c r="S409" s="30"/>
      <c r="T409" s="29"/>
      <c r="U409" s="20"/>
      <c r="V409" s="28"/>
      <c r="W409" s="20"/>
      <c r="X409" s="27"/>
      <c r="Y409" s="26"/>
      <c r="Z409" s="25">
        <f t="shared" si="88"/>
        <v>0</v>
      </c>
      <c r="AA409" s="20">
        <f t="shared" si="83"/>
        <v>0</v>
      </c>
      <c r="AB409" s="24">
        <f t="shared" si="80"/>
        <v>0</v>
      </c>
      <c r="AC409" s="37"/>
      <c r="AD409" s="37"/>
      <c r="AE409" s="22"/>
      <c r="AF409" s="20"/>
      <c r="AG409" s="21"/>
      <c r="AH409" s="20"/>
      <c r="AI409" s="21"/>
      <c r="AJ409" s="20"/>
      <c r="AK409" s="20"/>
      <c r="AL409" s="20"/>
      <c r="AM409" s="19">
        <v>35000</v>
      </c>
      <c r="AN409" s="19">
        <v>30000</v>
      </c>
      <c r="AO409" s="19"/>
      <c r="AP409" s="19"/>
      <c r="AQ409" s="19"/>
      <c r="AR409" s="19">
        <f t="shared" si="84"/>
        <v>65000</v>
      </c>
      <c r="AS409" s="17">
        <f t="shared" si="85"/>
        <v>-65000</v>
      </c>
      <c r="AT409" s="17">
        <f t="shared" si="86"/>
        <v>-65000</v>
      </c>
      <c r="AU409" s="17">
        <f t="shared" si="87"/>
        <v>0</v>
      </c>
      <c r="AV409" s="17">
        <f t="shared" si="81"/>
        <v>-32500</v>
      </c>
      <c r="AW409" s="17">
        <f t="shared" si="82"/>
        <v>-29250</v>
      </c>
      <c r="AX409" s="18">
        <v>50000</v>
      </c>
      <c r="AY409" s="18"/>
      <c r="AZ409" s="17">
        <f t="shared" si="78"/>
        <v>-79250</v>
      </c>
      <c r="BA409" s="16"/>
      <c r="BB409" s="15"/>
      <c r="BC409" s="15"/>
    </row>
    <row r="410" spans="1:55" s="6" customFormat="1" ht="16.899999999999999">
      <c r="A410" s="36">
        <v>409</v>
      </c>
      <c r="B410" s="35"/>
      <c r="C410" s="33"/>
      <c r="D410" s="33"/>
      <c r="E410" s="33"/>
      <c r="F410" s="33"/>
      <c r="G410" s="33"/>
      <c r="H410" s="33"/>
      <c r="I410" s="33"/>
      <c r="J410" s="33"/>
      <c r="K410" s="35"/>
      <c r="L410" s="34"/>
      <c r="M410" s="32"/>
      <c r="N410" s="32"/>
      <c r="O410" s="31">
        <f t="shared" si="79"/>
        <v>0</v>
      </c>
      <c r="P410" s="30"/>
      <c r="Q410" s="30"/>
      <c r="R410" s="30"/>
      <c r="S410" s="30"/>
      <c r="T410" s="29"/>
      <c r="U410" s="20"/>
      <c r="V410" s="28"/>
      <c r="W410" s="20"/>
      <c r="X410" s="27"/>
      <c r="Y410" s="26"/>
      <c r="Z410" s="25">
        <f t="shared" si="88"/>
        <v>0</v>
      </c>
      <c r="AA410" s="20">
        <f t="shared" si="83"/>
        <v>0</v>
      </c>
      <c r="AB410" s="24">
        <f t="shared" si="80"/>
        <v>0</v>
      </c>
      <c r="AC410" s="37"/>
      <c r="AD410" s="37"/>
      <c r="AE410" s="22"/>
      <c r="AF410" s="20"/>
      <c r="AG410" s="21"/>
      <c r="AH410" s="20"/>
      <c r="AI410" s="21"/>
      <c r="AJ410" s="20"/>
      <c r="AK410" s="20"/>
      <c r="AL410" s="20"/>
      <c r="AM410" s="19">
        <v>35000</v>
      </c>
      <c r="AN410" s="19">
        <v>30000</v>
      </c>
      <c r="AO410" s="19"/>
      <c r="AP410" s="19"/>
      <c r="AQ410" s="19"/>
      <c r="AR410" s="19">
        <f t="shared" si="84"/>
        <v>65000</v>
      </c>
      <c r="AS410" s="17">
        <f t="shared" si="85"/>
        <v>-65000</v>
      </c>
      <c r="AT410" s="17">
        <f t="shared" si="86"/>
        <v>-65000</v>
      </c>
      <c r="AU410" s="17">
        <f t="shared" si="87"/>
        <v>0</v>
      </c>
      <c r="AV410" s="17">
        <f t="shared" si="81"/>
        <v>-32500</v>
      </c>
      <c r="AW410" s="17">
        <f t="shared" si="82"/>
        <v>-29250</v>
      </c>
      <c r="AX410" s="18">
        <v>50000</v>
      </c>
      <c r="AY410" s="18"/>
      <c r="AZ410" s="17">
        <f t="shared" si="78"/>
        <v>-79250</v>
      </c>
      <c r="BA410" s="16"/>
      <c r="BB410" s="15"/>
      <c r="BC410" s="15"/>
    </row>
    <row r="411" spans="1:55" s="6" customFormat="1" ht="16.899999999999999">
      <c r="A411" s="36">
        <v>410</v>
      </c>
      <c r="B411" s="35"/>
      <c r="C411" s="33"/>
      <c r="D411" s="33"/>
      <c r="E411" s="33"/>
      <c r="F411" s="33"/>
      <c r="G411" s="33"/>
      <c r="H411" s="33"/>
      <c r="I411" s="33"/>
      <c r="J411" s="33"/>
      <c r="K411" s="35"/>
      <c r="L411" s="34"/>
      <c r="M411" s="32"/>
      <c r="N411" s="32"/>
      <c r="O411" s="31">
        <f t="shared" si="79"/>
        <v>0</v>
      </c>
      <c r="P411" s="30"/>
      <c r="Q411" s="30"/>
      <c r="R411" s="30"/>
      <c r="S411" s="30"/>
      <c r="T411" s="29"/>
      <c r="U411" s="20"/>
      <c r="V411" s="28"/>
      <c r="W411" s="20"/>
      <c r="X411" s="27"/>
      <c r="Y411" s="26"/>
      <c r="Z411" s="25">
        <f t="shared" si="88"/>
        <v>0</v>
      </c>
      <c r="AA411" s="20">
        <f t="shared" si="83"/>
        <v>0</v>
      </c>
      <c r="AB411" s="24">
        <f t="shared" si="80"/>
        <v>0</v>
      </c>
      <c r="AC411" s="37"/>
      <c r="AD411" s="37"/>
      <c r="AE411" s="22"/>
      <c r="AF411" s="20"/>
      <c r="AG411" s="21"/>
      <c r="AH411" s="20"/>
      <c r="AI411" s="21"/>
      <c r="AJ411" s="20"/>
      <c r="AK411" s="20"/>
      <c r="AL411" s="20"/>
      <c r="AM411" s="19">
        <v>35000</v>
      </c>
      <c r="AN411" s="19">
        <v>30000</v>
      </c>
      <c r="AO411" s="19"/>
      <c r="AP411" s="19"/>
      <c r="AQ411" s="19"/>
      <c r="AR411" s="19">
        <f t="shared" si="84"/>
        <v>65000</v>
      </c>
      <c r="AS411" s="17">
        <f t="shared" si="85"/>
        <v>-65000</v>
      </c>
      <c r="AT411" s="17">
        <f t="shared" si="86"/>
        <v>-65000</v>
      </c>
      <c r="AU411" s="17">
        <f t="shared" si="87"/>
        <v>0</v>
      </c>
      <c r="AV411" s="17">
        <f t="shared" si="81"/>
        <v>-32500</v>
      </c>
      <c r="AW411" s="17">
        <f t="shared" si="82"/>
        <v>-29250</v>
      </c>
      <c r="AX411" s="18">
        <v>50000</v>
      </c>
      <c r="AY411" s="18"/>
      <c r="AZ411" s="17">
        <f t="shared" si="78"/>
        <v>-79250</v>
      </c>
      <c r="BA411" s="16"/>
      <c r="BB411" s="15"/>
      <c r="BC411" s="15"/>
    </row>
    <row r="412" spans="1:55" s="6" customFormat="1" ht="16.899999999999999">
      <c r="A412" s="36">
        <v>411</v>
      </c>
      <c r="B412" s="35"/>
      <c r="C412" s="33"/>
      <c r="D412" s="33"/>
      <c r="E412" s="33"/>
      <c r="F412" s="33"/>
      <c r="G412" s="33"/>
      <c r="H412" s="33"/>
      <c r="I412" s="33"/>
      <c r="J412" s="33"/>
      <c r="K412" s="35"/>
      <c r="L412" s="34"/>
      <c r="M412" s="32"/>
      <c r="N412" s="32"/>
      <c r="O412" s="31">
        <f t="shared" si="79"/>
        <v>0</v>
      </c>
      <c r="P412" s="30"/>
      <c r="Q412" s="30"/>
      <c r="R412" s="30"/>
      <c r="S412" s="30"/>
      <c r="T412" s="29"/>
      <c r="U412" s="20"/>
      <c r="V412" s="28"/>
      <c r="W412" s="20"/>
      <c r="X412" s="27"/>
      <c r="Y412" s="26"/>
      <c r="Z412" s="25">
        <f t="shared" si="88"/>
        <v>0</v>
      </c>
      <c r="AA412" s="20">
        <f t="shared" si="83"/>
        <v>0</v>
      </c>
      <c r="AB412" s="24">
        <f t="shared" si="80"/>
        <v>0</v>
      </c>
      <c r="AC412" s="37"/>
      <c r="AD412" s="37"/>
      <c r="AE412" s="22"/>
      <c r="AF412" s="20"/>
      <c r="AG412" s="21"/>
      <c r="AH412" s="20"/>
      <c r="AI412" s="21"/>
      <c r="AJ412" s="20"/>
      <c r="AK412" s="20"/>
      <c r="AL412" s="20"/>
      <c r="AM412" s="19">
        <v>35000</v>
      </c>
      <c r="AN412" s="19">
        <v>30000</v>
      </c>
      <c r="AO412" s="19"/>
      <c r="AP412" s="19"/>
      <c r="AQ412" s="19"/>
      <c r="AR412" s="19">
        <f t="shared" si="84"/>
        <v>65000</v>
      </c>
      <c r="AS412" s="17">
        <f t="shared" si="85"/>
        <v>-65000</v>
      </c>
      <c r="AT412" s="17">
        <f t="shared" si="86"/>
        <v>-65000</v>
      </c>
      <c r="AU412" s="17">
        <f t="shared" si="87"/>
        <v>0</v>
      </c>
      <c r="AV412" s="17">
        <f t="shared" si="81"/>
        <v>-32500</v>
      </c>
      <c r="AW412" s="17">
        <f t="shared" si="82"/>
        <v>-29250</v>
      </c>
      <c r="AX412" s="18">
        <v>50000</v>
      </c>
      <c r="AY412" s="18"/>
      <c r="AZ412" s="17">
        <f t="shared" si="78"/>
        <v>-79250</v>
      </c>
      <c r="BA412" s="16"/>
      <c r="BB412" s="15"/>
      <c r="BC412" s="15"/>
    </row>
    <row r="413" spans="1:55" ht="16.899999999999999">
      <c r="A413" s="36">
        <v>412</v>
      </c>
      <c r="B413" s="35"/>
      <c r="C413" s="33"/>
      <c r="D413" s="33"/>
      <c r="E413" s="33"/>
      <c r="F413" s="33"/>
      <c r="G413" s="33"/>
      <c r="H413" s="33"/>
      <c r="I413" s="33"/>
      <c r="J413" s="33"/>
      <c r="K413" s="35"/>
      <c r="L413" s="34"/>
      <c r="M413" s="32"/>
      <c r="N413" s="32"/>
      <c r="O413" s="31">
        <f t="shared" si="79"/>
        <v>0</v>
      </c>
      <c r="P413" s="30"/>
      <c r="Q413" s="30"/>
      <c r="R413" s="30"/>
      <c r="S413" s="30"/>
      <c r="T413" s="29"/>
      <c r="U413" s="20"/>
      <c r="V413" s="28"/>
      <c r="W413" s="20"/>
      <c r="X413" s="27"/>
      <c r="Y413" s="26"/>
      <c r="Z413" s="25">
        <f t="shared" si="88"/>
        <v>0</v>
      </c>
      <c r="AA413" s="20">
        <f t="shared" si="83"/>
        <v>0</v>
      </c>
      <c r="AB413" s="24">
        <f t="shared" si="80"/>
        <v>0</v>
      </c>
      <c r="AC413" s="37"/>
      <c r="AD413" s="37"/>
      <c r="AE413" s="22"/>
      <c r="AF413" s="20"/>
      <c r="AG413" s="21"/>
      <c r="AH413" s="20"/>
      <c r="AI413" s="21"/>
      <c r="AJ413" s="20"/>
      <c r="AK413" s="20"/>
      <c r="AL413" s="20"/>
      <c r="AM413" s="19">
        <v>35000</v>
      </c>
      <c r="AN413" s="19">
        <v>30000</v>
      </c>
      <c r="AO413" s="19"/>
      <c r="AP413" s="19"/>
      <c r="AQ413" s="19"/>
      <c r="AR413" s="19">
        <f t="shared" si="84"/>
        <v>65000</v>
      </c>
      <c r="AS413" s="17">
        <f t="shared" si="85"/>
        <v>-65000</v>
      </c>
      <c r="AT413" s="17">
        <f t="shared" si="86"/>
        <v>-65000</v>
      </c>
      <c r="AU413" s="17">
        <f t="shared" si="87"/>
        <v>0</v>
      </c>
      <c r="AV413" s="17">
        <f t="shared" si="81"/>
        <v>-32500</v>
      </c>
      <c r="AW413" s="17">
        <f t="shared" si="82"/>
        <v>-29250</v>
      </c>
      <c r="AX413" s="18">
        <v>50000</v>
      </c>
      <c r="AY413" s="18"/>
      <c r="AZ413" s="17">
        <f t="shared" si="78"/>
        <v>-79250</v>
      </c>
      <c r="BA413" s="16"/>
      <c r="BB413" s="16"/>
      <c r="BC413" s="16"/>
    </row>
    <row r="414" spans="1:55" ht="16.899999999999999">
      <c r="A414" s="36">
        <v>413</v>
      </c>
      <c r="B414" s="35"/>
      <c r="C414" s="33"/>
      <c r="D414" s="33"/>
      <c r="E414" s="33"/>
      <c r="F414" s="33"/>
      <c r="G414" s="33"/>
      <c r="H414" s="33"/>
      <c r="I414" s="33"/>
      <c r="J414" s="33"/>
      <c r="K414" s="35"/>
      <c r="L414" s="34"/>
      <c r="M414" s="32"/>
      <c r="N414" s="32"/>
      <c r="O414" s="31">
        <f t="shared" si="79"/>
        <v>0</v>
      </c>
      <c r="P414" s="30"/>
      <c r="Q414" s="30"/>
      <c r="R414" s="30"/>
      <c r="S414" s="30"/>
      <c r="T414" s="29"/>
      <c r="U414" s="20"/>
      <c r="V414" s="28"/>
      <c r="W414" s="20"/>
      <c r="X414" s="27"/>
      <c r="Y414" s="26"/>
      <c r="Z414" s="25">
        <f t="shared" si="88"/>
        <v>0</v>
      </c>
      <c r="AA414" s="20">
        <f t="shared" si="83"/>
        <v>0</v>
      </c>
      <c r="AB414" s="24">
        <f t="shared" si="80"/>
        <v>0</v>
      </c>
      <c r="AC414" s="37"/>
      <c r="AD414" s="37"/>
      <c r="AE414" s="22"/>
      <c r="AF414" s="20"/>
      <c r="AG414" s="21"/>
      <c r="AH414" s="20"/>
      <c r="AI414" s="21"/>
      <c r="AJ414" s="20"/>
      <c r="AK414" s="20"/>
      <c r="AL414" s="20"/>
      <c r="AM414" s="19">
        <v>35000</v>
      </c>
      <c r="AN414" s="19">
        <v>30000</v>
      </c>
      <c r="AO414" s="19"/>
      <c r="AP414" s="19"/>
      <c r="AQ414" s="19"/>
      <c r="AR414" s="19">
        <f t="shared" si="84"/>
        <v>65000</v>
      </c>
      <c r="AS414" s="17">
        <f t="shared" si="85"/>
        <v>-65000</v>
      </c>
      <c r="AT414" s="17">
        <f t="shared" si="86"/>
        <v>-65000</v>
      </c>
      <c r="AU414" s="17">
        <f t="shared" si="87"/>
        <v>0</v>
      </c>
      <c r="AV414" s="17">
        <f t="shared" si="81"/>
        <v>-32500</v>
      </c>
      <c r="AW414" s="17">
        <f t="shared" si="82"/>
        <v>-29250</v>
      </c>
      <c r="AX414" s="18">
        <v>50000</v>
      </c>
      <c r="AY414" s="18"/>
      <c r="AZ414" s="17">
        <f t="shared" si="78"/>
        <v>-79250</v>
      </c>
      <c r="BA414" s="16"/>
      <c r="BB414" s="16"/>
      <c r="BC414" s="16"/>
    </row>
    <row r="415" spans="1:55" ht="16.899999999999999">
      <c r="A415" s="36">
        <v>414</v>
      </c>
      <c r="B415" s="35"/>
      <c r="C415" s="33"/>
      <c r="D415" s="33"/>
      <c r="E415" s="33"/>
      <c r="F415" s="33"/>
      <c r="G415" s="33"/>
      <c r="H415" s="33"/>
      <c r="I415" s="33"/>
      <c r="J415" s="33"/>
      <c r="K415" s="35"/>
      <c r="L415" s="34"/>
      <c r="M415" s="32"/>
      <c r="N415" s="32"/>
      <c r="O415" s="31">
        <f t="shared" si="79"/>
        <v>0</v>
      </c>
      <c r="P415" s="30"/>
      <c r="Q415" s="30"/>
      <c r="R415" s="30"/>
      <c r="S415" s="30"/>
      <c r="T415" s="29"/>
      <c r="U415" s="20"/>
      <c r="V415" s="28"/>
      <c r="W415" s="20"/>
      <c r="X415" s="27"/>
      <c r="Y415" s="26"/>
      <c r="Z415" s="25">
        <f t="shared" si="88"/>
        <v>0</v>
      </c>
      <c r="AA415" s="20">
        <f t="shared" si="83"/>
        <v>0</v>
      </c>
      <c r="AB415" s="24">
        <f t="shared" si="80"/>
        <v>0</v>
      </c>
      <c r="AC415" s="37"/>
      <c r="AD415" s="37"/>
      <c r="AE415" s="22"/>
      <c r="AF415" s="20"/>
      <c r="AG415" s="21"/>
      <c r="AH415" s="20"/>
      <c r="AI415" s="21"/>
      <c r="AJ415" s="20"/>
      <c r="AK415" s="20"/>
      <c r="AL415" s="20"/>
      <c r="AM415" s="19">
        <v>35000</v>
      </c>
      <c r="AN415" s="19">
        <v>30000</v>
      </c>
      <c r="AO415" s="19"/>
      <c r="AP415" s="19"/>
      <c r="AQ415" s="19"/>
      <c r="AR415" s="19">
        <f t="shared" si="84"/>
        <v>65000</v>
      </c>
      <c r="AS415" s="17">
        <f t="shared" si="85"/>
        <v>-65000</v>
      </c>
      <c r="AT415" s="17">
        <f t="shared" si="86"/>
        <v>-65000</v>
      </c>
      <c r="AU415" s="17">
        <f t="shared" si="87"/>
        <v>0</v>
      </c>
      <c r="AV415" s="17">
        <f t="shared" si="81"/>
        <v>-32500</v>
      </c>
      <c r="AW415" s="17">
        <f t="shared" si="82"/>
        <v>-29250</v>
      </c>
      <c r="AX415" s="18">
        <v>50000</v>
      </c>
      <c r="AY415" s="18"/>
      <c r="AZ415" s="17">
        <f t="shared" si="78"/>
        <v>-79250</v>
      </c>
      <c r="BA415" s="16"/>
      <c r="BB415" s="16"/>
      <c r="BC415" s="16"/>
    </row>
    <row r="416" spans="1:55" ht="16.899999999999999">
      <c r="A416" s="36">
        <v>415</v>
      </c>
      <c r="B416" s="35"/>
      <c r="C416" s="33"/>
      <c r="D416" s="33"/>
      <c r="E416" s="33"/>
      <c r="F416" s="33"/>
      <c r="G416" s="33"/>
      <c r="H416" s="33"/>
      <c r="I416" s="33"/>
      <c r="J416" s="33"/>
      <c r="K416" s="35"/>
      <c r="L416" s="34"/>
      <c r="M416" s="32"/>
      <c r="N416" s="32"/>
      <c r="O416" s="31">
        <f t="shared" si="79"/>
        <v>0</v>
      </c>
      <c r="P416" s="30"/>
      <c r="Q416" s="30"/>
      <c r="R416" s="30"/>
      <c r="S416" s="30"/>
      <c r="T416" s="29"/>
      <c r="U416" s="20"/>
      <c r="V416" s="28"/>
      <c r="W416" s="20"/>
      <c r="X416" s="27"/>
      <c r="Y416" s="26"/>
      <c r="Z416" s="25">
        <f t="shared" si="88"/>
        <v>0</v>
      </c>
      <c r="AA416" s="20">
        <f t="shared" si="83"/>
        <v>0</v>
      </c>
      <c r="AB416" s="24">
        <f t="shared" si="80"/>
        <v>0</v>
      </c>
      <c r="AC416" s="37"/>
      <c r="AD416" s="37"/>
      <c r="AE416" s="22"/>
      <c r="AF416" s="20"/>
      <c r="AG416" s="21"/>
      <c r="AH416" s="20"/>
      <c r="AI416" s="21"/>
      <c r="AJ416" s="20"/>
      <c r="AK416" s="20"/>
      <c r="AL416" s="20"/>
      <c r="AM416" s="19">
        <v>35000</v>
      </c>
      <c r="AN416" s="19">
        <v>30000</v>
      </c>
      <c r="AO416" s="19"/>
      <c r="AP416" s="19"/>
      <c r="AQ416" s="19"/>
      <c r="AR416" s="19">
        <f t="shared" si="84"/>
        <v>65000</v>
      </c>
      <c r="AS416" s="17">
        <f t="shared" si="85"/>
        <v>-65000</v>
      </c>
      <c r="AT416" s="17">
        <f t="shared" si="86"/>
        <v>-65000</v>
      </c>
      <c r="AU416" s="17">
        <f t="shared" si="87"/>
        <v>0</v>
      </c>
      <c r="AV416" s="17">
        <f t="shared" si="81"/>
        <v>-32500</v>
      </c>
      <c r="AW416" s="17">
        <f t="shared" si="82"/>
        <v>-29250</v>
      </c>
      <c r="AX416" s="18">
        <v>50000</v>
      </c>
      <c r="AY416" s="18"/>
      <c r="AZ416" s="17">
        <f t="shared" si="78"/>
        <v>-79250</v>
      </c>
      <c r="BA416" s="16"/>
      <c r="BB416" s="16"/>
      <c r="BC416" s="16"/>
    </row>
    <row r="417" spans="1:55" ht="16.899999999999999">
      <c r="A417" s="36">
        <v>416</v>
      </c>
      <c r="B417" s="35"/>
      <c r="C417" s="33"/>
      <c r="D417" s="33"/>
      <c r="E417" s="33"/>
      <c r="F417" s="33"/>
      <c r="G417" s="33"/>
      <c r="H417" s="33"/>
      <c r="I417" s="33"/>
      <c r="J417" s="33"/>
      <c r="K417" s="35"/>
      <c r="L417" s="34"/>
      <c r="M417" s="32"/>
      <c r="N417" s="32"/>
      <c r="O417" s="31">
        <f t="shared" si="79"/>
        <v>0</v>
      </c>
      <c r="P417" s="30"/>
      <c r="Q417" s="30"/>
      <c r="R417" s="30"/>
      <c r="S417" s="30"/>
      <c r="T417" s="29"/>
      <c r="U417" s="20"/>
      <c r="V417" s="28"/>
      <c r="W417" s="20"/>
      <c r="X417" s="27"/>
      <c r="Y417" s="26"/>
      <c r="Z417" s="25">
        <f t="shared" si="88"/>
        <v>0</v>
      </c>
      <c r="AA417" s="20">
        <f t="shared" si="83"/>
        <v>0</v>
      </c>
      <c r="AB417" s="24">
        <f t="shared" si="80"/>
        <v>0</v>
      </c>
      <c r="AC417" s="37"/>
      <c r="AD417" s="37"/>
      <c r="AE417" s="22"/>
      <c r="AF417" s="20"/>
      <c r="AG417" s="21"/>
      <c r="AH417" s="20"/>
      <c r="AI417" s="21"/>
      <c r="AJ417" s="20"/>
      <c r="AK417" s="20"/>
      <c r="AL417" s="20"/>
      <c r="AM417" s="19">
        <v>35000</v>
      </c>
      <c r="AN417" s="19">
        <v>30000</v>
      </c>
      <c r="AO417" s="19"/>
      <c r="AP417" s="19"/>
      <c r="AQ417" s="19"/>
      <c r="AR417" s="19">
        <f t="shared" si="84"/>
        <v>65000</v>
      </c>
      <c r="AS417" s="17">
        <f t="shared" si="85"/>
        <v>-65000</v>
      </c>
      <c r="AT417" s="17">
        <f t="shared" si="86"/>
        <v>-65000</v>
      </c>
      <c r="AU417" s="17">
        <f t="shared" si="87"/>
        <v>0</v>
      </c>
      <c r="AV417" s="17">
        <f t="shared" si="81"/>
        <v>-32500</v>
      </c>
      <c r="AW417" s="17">
        <f t="shared" si="82"/>
        <v>-29250</v>
      </c>
      <c r="AX417" s="18">
        <v>50000</v>
      </c>
      <c r="AY417" s="18"/>
      <c r="AZ417" s="17">
        <f t="shared" si="78"/>
        <v>-79250</v>
      </c>
      <c r="BA417" s="16"/>
      <c r="BB417" s="16"/>
      <c r="BC417" s="16"/>
    </row>
    <row r="418" spans="1:55" ht="16.899999999999999">
      <c r="A418" s="36">
        <v>417</v>
      </c>
      <c r="B418" s="35"/>
      <c r="C418" s="33"/>
      <c r="D418" s="33"/>
      <c r="E418" s="33"/>
      <c r="F418" s="33"/>
      <c r="G418" s="33"/>
      <c r="H418" s="33"/>
      <c r="I418" s="33"/>
      <c r="J418" s="33"/>
      <c r="K418" s="35"/>
      <c r="L418" s="34"/>
      <c r="M418" s="32"/>
      <c r="N418" s="32"/>
      <c r="O418" s="31">
        <f t="shared" si="79"/>
        <v>0</v>
      </c>
      <c r="P418" s="30"/>
      <c r="Q418" s="30"/>
      <c r="R418" s="30"/>
      <c r="S418" s="30"/>
      <c r="T418" s="29"/>
      <c r="U418" s="20"/>
      <c r="V418" s="28"/>
      <c r="W418" s="20"/>
      <c r="X418" s="27"/>
      <c r="Y418" s="26"/>
      <c r="Z418" s="25">
        <f t="shared" si="88"/>
        <v>0</v>
      </c>
      <c r="AA418" s="20">
        <f t="shared" si="83"/>
        <v>0</v>
      </c>
      <c r="AB418" s="24">
        <f t="shared" si="80"/>
        <v>0</v>
      </c>
      <c r="AC418" s="37"/>
      <c r="AD418" s="37"/>
      <c r="AE418" s="22"/>
      <c r="AF418" s="20"/>
      <c r="AG418" s="21"/>
      <c r="AH418" s="20"/>
      <c r="AI418" s="21"/>
      <c r="AJ418" s="20"/>
      <c r="AK418" s="20"/>
      <c r="AL418" s="20"/>
      <c r="AM418" s="19">
        <v>35000</v>
      </c>
      <c r="AN418" s="19">
        <v>30000</v>
      </c>
      <c r="AO418" s="19"/>
      <c r="AP418" s="19"/>
      <c r="AQ418" s="19"/>
      <c r="AR418" s="19">
        <f t="shared" si="84"/>
        <v>65000</v>
      </c>
      <c r="AS418" s="17">
        <f t="shared" si="85"/>
        <v>-65000</v>
      </c>
      <c r="AT418" s="17">
        <f t="shared" si="86"/>
        <v>-65000</v>
      </c>
      <c r="AU418" s="17">
        <f t="shared" si="87"/>
        <v>0</v>
      </c>
      <c r="AV418" s="17">
        <f t="shared" si="81"/>
        <v>-32500</v>
      </c>
      <c r="AW418" s="17">
        <f t="shared" si="82"/>
        <v>-29250</v>
      </c>
      <c r="AX418" s="18">
        <v>50000</v>
      </c>
      <c r="AY418" s="18"/>
      <c r="AZ418" s="17">
        <f t="shared" si="78"/>
        <v>-79250</v>
      </c>
      <c r="BA418" s="16"/>
      <c r="BB418" s="16"/>
      <c r="BC418" s="16"/>
    </row>
    <row r="419" spans="1:55" ht="16.899999999999999">
      <c r="A419" s="36">
        <v>418</v>
      </c>
      <c r="B419" s="35"/>
      <c r="C419" s="33"/>
      <c r="D419" s="33"/>
      <c r="E419" s="33"/>
      <c r="F419" s="33"/>
      <c r="G419" s="33"/>
      <c r="H419" s="33"/>
      <c r="I419" s="33"/>
      <c r="J419" s="33"/>
      <c r="K419" s="35"/>
      <c r="L419" s="34"/>
      <c r="M419" s="32"/>
      <c r="N419" s="32"/>
      <c r="O419" s="31">
        <f t="shared" si="79"/>
        <v>0</v>
      </c>
      <c r="P419" s="30"/>
      <c r="Q419" s="30"/>
      <c r="R419" s="30"/>
      <c r="S419" s="30"/>
      <c r="T419" s="29"/>
      <c r="U419" s="20"/>
      <c r="V419" s="28"/>
      <c r="W419" s="20"/>
      <c r="X419" s="27"/>
      <c r="Y419" s="26"/>
      <c r="Z419" s="25">
        <f t="shared" si="88"/>
        <v>0</v>
      </c>
      <c r="AA419" s="20">
        <f t="shared" si="83"/>
        <v>0</v>
      </c>
      <c r="AB419" s="24">
        <f t="shared" si="80"/>
        <v>0</v>
      </c>
      <c r="AC419" s="37"/>
      <c r="AD419" s="37"/>
      <c r="AE419" s="22"/>
      <c r="AF419" s="20"/>
      <c r="AG419" s="21"/>
      <c r="AH419" s="20"/>
      <c r="AI419" s="21"/>
      <c r="AJ419" s="20"/>
      <c r="AK419" s="20"/>
      <c r="AL419" s="20"/>
      <c r="AM419" s="19">
        <v>35000</v>
      </c>
      <c r="AN419" s="19">
        <v>30000</v>
      </c>
      <c r="AO419" s="19"/>
      <c r="AP419" s="19"/>
      <c r="AQ419" s="19"/>
      <c r="AR419" s="19">
        <f t="shared" si="84"/>
        <v>65000</v>
      </c>
      <c r="AS419" s="17">
        <f t="shared" si="85"/>
        <v>-65000</v>
      </c>
      <c r="AT419" s="17">
        <f t="shared" si="86"/>
        <v>-65000</v>
      </c>
      <c r="AU419" s="17">
        <f t="shared" si="87"/>
        <v>0</v>
      </c>
      <c r="AV419" s="17">
        <f t="shared" si="81"/>
        <v>-32500</v>
      </c>
      <c r="AW419" s="17">
        <f t="shared" si="82"/>
        <v>-29250</v>
      </c>
      <c r="AX419" s="18">
        <v>50000</v>
      </c>
      <c r="AY419" s="18"/>
      <c r="AZ419" s="17">
        <f t="shared" si="78"/>
        <v>-79250</v>
      </c>
      <c r="BA419" s="16"/>
      <c r="BB419" s="16"/>
      <c r="BC419" s="16"/>
    </row>
    <row r="420" spans="1:55" ht="16.899999999999999">
      <c r="A420" s="36">
        <v>419</v>
      </c>
      <c r="B420" s="35"/>
      <c r="C420" s="33"/>
      <c r="D420" s="33"/>
      <c r="E420" s="33"/>
      <c r="F420" s="33"/>
      <c r="G420" s="33"/>
      <c r="H420" s="33"/>
      <c r="I420" s="33"/>
      <c r="J420" s="33"/>
      <c r="K420" s="35"/>
      <c r="L420" s="34"/>
      <c r="M420" s="32"/>
      <c r="N420" s="32"/>
      <c r="O420" s="31">
        <f t="shared" si="79"/>
        <v>0</v>
      </c>
      <c r="P420" s="30"/>
      <c r="Q420" s="30"/>
      <c r="R420" s="30"/>
      <c r="S420" s="30"/>
      <c r="T420" s="29"/>
      <c r="U420" s="20"/>
      <c r="V420" s="28"/>
      <c r="W420" s="20"/>
      <c r="X420" s="27"/>
      <c r="Y420" s="26"/>
      <c r="Z420" s="25">
        <f t="shared" si="88"/>
        <v>0</v>
      </c>
      <c r="AA420" s="20">
        <f t="shared" si="83"/>
        <v>0</v>
      </c>
      <c r="AB420" s="24">
        <f t="shared" si="80"/>
        <v>0</v>
      </c>
      <c r="AC420" s="37"/>
      <c r="AD420" s="37"/>
      <c r="AE420" s="22"/>
      <c r="AF420" s="20"/>
      <c r="AG420" s="21"/>
      <c r="AH420" s="20"/>
      <c r="AI420" s="21"/>
      <c r="AJ420" s="20"/>
      <c r="AK420" s="20"/>
      <c r="AL420" s="20"/>
      <c r="AM420" s="19">
        <v>35000</v>
      </c>
      <c r="AN420" s="19">
        <v>30000</v>
      </c>
      <c r="AO420" s="19"/>
      <c r="AP420" s="19"/>
      <c r="AQ420" s="19"/>
      <c r="AR420" s="19">
        <f t="shared" si="84"/>
        <v>65000</v>
      </c>
      <c r="AS420" s="17">
        <f t="shared" si="85"/>
        <v>-65000</v>
      </c>
      <c r="AT420" s="17">
        <f t="shared" si="86"/>
        <v>-65000</v>
      </c>
      <c r="AU420" s="17">
        <f t="shared" si="87"/>
        <v>0</v>
      </c>
      <c r="AV420" s="17">
        <f t="shared" si="81"/>
        <v>-32500</v>
      </c>
      <c r="AW420" s="17">
        <f t="shared" si="82"/>
        <v>-29250</v>
      </c>
      <c r="AX420" s="18">
        <v>50000</v>
      </c>
      <c r="AY420" s="18"/>
      <c r="AZ420" s="17">
        <f t="shared" si="78"/>
        <v>-79250</v>
      </c>
      <c r="BA420" s="16"/>
      <c r="BB420" s="16"/>
      <c r="BC420" s="16"/>
    </row>
    <row r="421" spans="1:55" ht="16.899999999999999">
      <c r="A421" s="36">
        <v>420</v>
      </c>
      <c r="B421" s="35"/>
      <c r="C421" s="33"/>
      <c r="D421" s="33"/>
      <c r="E421" s="33"/>
      <c r="F421" s="33"/>
      <c r="G421" s="33"/>
      <c r="H421" s="33"/>
      <c r="I421" s="33"/>
      <c r="J421" s="33"/>
      <c r="K421" s="35"/>
      <c r="L421" s="34"/>
      <c r="M421" s="32"/>
      <c r="N421" s="32"/>
      <c r="O421" s="31">
        <f t="shared" si="79"/>
        <v>0</v>
      </c>
      <c r="P421" s="30"/>
      <c r="Q421" s="30"/>
      <c r="R421" s="30"/>
      <c r="S421" s="30"/>
      <c r="T421" s="29"/>
      <c r="U421" s="20"/>
      <c r="V421" s="28"/>
      <c r="W421" s="20"/>
      <c r="X421" s="27"/>
      <c r="Y421" s="26"/>
      <c r="Z421" s="25">
        <f t="shared" si="88"/>
        <v>0</v>
      </c>
      <c r="AA421" s="20">
        <f t="shared" si="83"/>
        <v>0</v>
      </c>
      <c r="AB421" s="24">
        <f t="shared" si="80"/>
        <v>0</v>
      </c>
      <c r="AC421" s="37"/>
      <c r="AD421" s="37"/>
      <c r="AE421" s="22"/>
      <c r="AF421" s="20"/>
      <c r="AG421" s="21"/>
      <c r="AH421" s="20"/>
      <c r="AI421" s="21"/>
      <c r="AJ421" s="20"/>
      <c r="AK421" s="20"/>
      <c r="AL421" s="20"/>
      <c r="AM421" s="19">
        <v>35000</v>
      </c>
      <c r="AN421" s="19">
        <v>30000</v>
      </c>
      <c r="AO421" s="19"/>
      <c r="AP421" s="19"/>
      <c r="AQ421" s="19"/>
      <c r="AR421" s="19">
        <f t="shared" si="84"/>
        <v>65000</v>
      </c>
      <c r="AS421" s="17">
        <f t="shared" si="85"/>
        <v>-65000</v>
      </c>
      <c r="AT421" s="17">
        <f t="shared" si="86"/>
        <v>-65000</v>
      </c>
      <c r="AU421" s="17">
        <f t="shared" si="87"/>
        <v>0</v>
      </c>
      <c r="AV421" s="17">
        <f t="shared" si="81"/>
        <v>-32500</v>
      </c>
      <c r="AW421" s="17">
        <f t="shared" si="82"/>
        <v>-29250</v>
      </c>
      <c r="AX421" s="18">
        <v>50000</v>
      </c>
      <c r="AY421" s="18"/>
      <c r="AZ421" s="17">
        <f t="shared" ref="AZ421:AZ440" si="89">SUM(AW421-AX421-AY421)</f>
        <v>-79250</v>
      </c>
      <c r="BA421" s="16"/>
      <c r="BB421" s="16"/>
      <c r="BC421" s="16"/>
    </row>
    <row r="422" spans="1:55" ht="16.899999999999999">
      <c r="A422" s="36">
        <v>421</v>
      </c>
      <c r="B422" s="35"/>
      <c r="C422" s="33"/>
      <c r="D422" s="33"/>
      <c r="E422" s="33"/>
      <c r="F422" s="33"/>
      <c r="G422" s="33"/>
      <c r="H422" s="33"/>
      <c r="I422" s="33"/>
      <c r="J422" s="33"/>
      <c r="K422" s="35"/>
      <c r="L422" s="34"/>
      <c r="M422" s="32"/>
      <c r="N422" s="32"/>
      <c r="O422" s="31">
        <f t="shared" si="79"/>
        <v>0</v>
      </c>
      <c r="P422" s="30"/>
      <c r="Q422" s="30"/>
      <c r="R422" s="30"/>
      <c r="S422" s="30"/>
      <c r="T422" s="29"/>
      <c r="U422" s="20"/>
      <c r="V422" s="28"/>
      <c r="W422" s="20"/>
      <c r="X422" s="27"/>
      <c r="Y422" s="26"/>
      <c r="Z422" s="25">
        <f t="shared" si="88"/>
        <v>0</v>
      </c>
      <c r="AA422" s="20">
        <f t="shared" si="83"/>
        <v>0</v>
      </c>
      <c r="AB422" s="24">
        <f t="shared" si="80"/>
        <v>0</v>
      </c>
      <c r="AC422" s="37"/>
      <c r="AD422" s="37"/>
      <c r="AE422" s="22"/>
      <c r="AF422" s="20"/>
      <c r="AG422" s="21"/>
      <c r="AH422" s="20"/>
      <c r="AI422" s="21"/>
      <c r="AJ422" s="20"/>
      <c r="AK422" s="20"/>
      <c r="AL422" s="20"/>
      <c r="AM422" s="19">
        <v>35000</v>
      </c>
      <c r="AN422" s="19">
        <v>30000</v>
      </c>
      <c r="AO422" s="19"/>
      <c r="AP422" s="19"/>
      <c r="AQ422" s="19"/>
      <c r="AR422" s="19">
        <f t="shared" si="84"/>
        <v>65000</v>
      </c>
      <c r="AS422" s="17">
        <f t="shared" si="85"/>
        <v>-65000</v>
      </c>
      <c r="AT422" s="17">
        <f t="shared" si="86"/>
        <v>-65000</v>
      </c>
      <c r="AU422" s="17">
        <f t="shared" si="87"/>
        <v>0</v>
      </c>
      <c r="AV422" s="17">
        <f t="shared" si="81"/>
        <v>-32500</v>
      </c>
      <c r="AW422" s="17">
        <f t="shared" si="82"/>
        <v>-29250</v>
      </c>
      <c r="AX422" s="18">
        <v>50000</v>
      </c>
      <c r="AY422" s="18"/>
      <c r="AZ422" s="17">
        <f t="shared" si="89"/>
        <v>-79250</v>
      </c>
      <c r="BA422" s="16"/>
      <c r="BB422" s="16"/>
      <c r="BC422" s="16"/>
    </row>
    <row r="423" spans="1:55" ht="16.899999999999999">
      <c r="A423" s="36">
        <v>422</v>
      </c>
      <c r="B423" s="35"/>
      <c r="C423" s="33"/>
      <c r="D423" s="33"/>
      <c r="E423" s="33"/>
      <c r="F423" s="33"/>
      <c r="G423" s="33"/>
      <c r="H423" s="33"/>
      <c r="I423" s="33"/>
      <c r="J423" s="33"/>
      <c r="K423" s="35"/>
      <c r="L423" s="34"/>
      <c r="M423" s="32"/>
      <c r="N423" s="32"/>
      <c r="O423" s="31">
        <f t="shared" si="79"/>
        <v>0</v>
      </c>
      <c r="P423" s="30"/>
      <c r="Q423" s="30"/>
      <c r="R423" s="30"/>
      <c r="S423" s="30"/>
      <c r="T423" s="29"/>
      <c r="U423" s="20"/>
      <c r="V423" s="28"/>
      <c r="W423" s="20"/>
      <c r="X423" s="27"/>
      <c r="Y423" s="26"/>
      <c r="Z423" s="25">
        <f t="shared" si="88"/>
        <v>0</v>
      </c>
      <c r="AA423" s="20">
        <f t="shared" si="83"/>
        <v>0</v>
      </c>
      <c r="AB423" s="24">
        <f t="shared" si="80"/>
        <v>0</v>
      </c>
      <c r="AC423" s="37"/>
      <c r="AD423" s="37"/>
      <c r="AE423" s="22"/>
      <c r="AF423" s="20"/>
      <c r="AG423" s="21"/>
      <c r="AH423" s="20"/>
      <c r="AI423" s="21"/>
      <c r="AJ423" s="20"/>
      <c r="AK423" s="20"/>
      <c r="AL423" s="20"/>
      <c r="AM423" s="19">
        <v>35000</v>
      </c>
      <c r="AN423" s="19">
        <v>30000</v>
      </c>
      <c r="AO423" s="19"/>
      <c r="AP423" s="19"/>
      <c r="AQ423" s="19"/>
      <c r="AR423" s="19">
        <f t="shared" si="84"/>
        <v>65000</v>
      </c>
      <c r="AS423" s="17">
        <f t="shared" si="85"/>
        <v>-65000</v>
      </c>
      <c r="AT423" s="17">
        <f t="shared" si="86"/>
        <v>-65000</v>
      </c>
      <c r="AU423" s="17">
        <f t="shared" si="87"/>
        <v>0</v>
      </c>
      <c r="AV423" s="17">
        <f t="shared" si="81"/>
        <v>-32500</v>
      </c>
      <c r="AW423" s="17">
        <f t="shared" si="82"/>
        <v>-29250</v>
      </c>
      <c r="AX423" s="18">
        <v>50000</v>
      </c>
      <c r="AY423" s="18"/>
      <c r="AZ423" s="17">
        <f t="shared" si="89"/>
        <v>-79250</v>
      </c>
      <c r="BA423" s="16"/>
      <c r="BB423" s="16"/>
      <c r="BC423" s="16"/>
    </row>
    <row r="424" spans="1:55" ht="16.899999999999999">
      <c r="A424" s="36">
        <v>423</v>
      </c>
      <c r="B424" s="35"/>
      <c r="C424" s="33"/>
      <c r="D424" s="33"/>
      <c r="E424" s="33"/>
      <c r="F424" s="33"/>
      <c r="G424" s="33"/>
      <c r="H424" s="33"/>
      <c r="I424" s="33"/>
      <c r="J424" s="33"/>
      <c r="K424" s="35"/>
      <c r="L424" s="34"/>
      <c r="M424" s="32"/>
      <c r="N424" s="32"/>
      <c r="O424" s="31">
        <f t="shared" si="79"/>
        <v>0</v>
      </c>
      <c r="P424" s="30"/>
      <c r="Q424" s="30"/>
      <c r="R424" s="30"/>
      <c r="S424" s="30"/>
      <c r="T424" s="29"/>
      <c r="U424" s="20"/>
      <c r="V424" s="28"/>
      <c r="W424" s="20"/>
      <c r="X424" s="27"/>
      <c r="Y424" s="26"/>
      <c r="Z424" s="25">
        <f t="shared" si="88"/>
        <v>0</v>
      </c>
      <c r="AA424" s="20">
        <f t="shared" si="83"/>
        <v>0</v>
      </c>
      <c r="AB424" s="24">
        <f t="shared" si="80"/>
        <v>0</v>
      </c>
      <c r="AC424" s="37"/>
      <c r="AD424" s="37"/>
      <c r="AE424" s="22"/>
      <c r="AF424" s="20"/>
      <c r="AG424" s="21"/>
      <c r="AH424" s="20"/>
      <c r="AI424" s="21"/>
      <c r="AJ424" s="20"/>
      <c r="AK424" s="20"/>
      <c r="AL424" s="20"/>
      <c r="AM424" s="19">
        <v>35000</v>
      </c>
      <c r="AN424" s="19">
        <v>30000</v>
      </c>
      <c r="AO424" s="19"/>
      <c r="AP424" s="19"/>
      <c r="AQ424" s="19"/>
      <c r="AR424" s="19">
        <f t="shared" si="84"/>
        <v>65000</v>
      </c>
      <c r="AS424" s="17">
        <f t="shared" si="85"/>
        <v>-65000</v>
      </c>
      <c r="AT424" s="17">
        <f t="shared" si="86"/>
        <v>-65000</v>
      </c>
      <c r="AU424" s="17">
        <f t="shared" si="87"/>
        <v>0</v>
      </c>
      <c r="AV424" s="17">
        <f t="shared" si="81"/>
        <v>-32500</v>
      </c>
      <c r="AW424" s="17">
        <f t="shared" si="82"/>
        <v>-29250</v>
      </c>
      <c r="AX424" s="18">
        <v>50000</v>
      </c>
      <c r="AY424" s="18"/>
      <c r="AZ424" s="17">
        <f t="shared" si="89"/>
        <v>-79250</v>
      </c>
      <c r="BA424" s="16"/>
      <c r="BB424" s="16"/>
      <c r="BC424" s="16"/>
    </row>
    <row r="425" spans="1:55" ht="16.899999999999999">
      <c r="A425" s="36">
        <v>424</v>
      </c>
      <c r="B425" s="35"/>
      <c r="C425" s="33"/>
      <c r="D425" s="33"/>
      <c r="E425" s="33"/>
      <c r="F425" s="33"/>
      <c r="G425" s="33"/>
      <c r="H425" s="33"/>
      <c r="I425" s="33"/>
      <c r="J425" s="33"/>
      <c r="K425" s="35"/>
      <c r="L425" s="34"/>
      <c r="M425" s="32"/>
      <c r="N425" s="32"/>
      <c r="O425" s="31">
        <f t="shared" si="79"/>
        <v>0</v>
      </c>
      <c r="P425" s="30"/>
      <c r="Q425" s="30"/>
      <c r="R425" s="30"/>
      <c r="S425" s="30"/>
      <c r="T425" s="29"/>
      <c r="U425" s="20"/>
      <c r="V425" s="28"/>
      <c r="W425" s="20"/>
      <c r="X425" s="27"/>
      <c r="Y425" s="26"/>
      <c r="Z425" s="25">
        <f t="shared" si="88"/>
        <v>0</v>
      </c>
      <c r="AA425" s="20">
        <f t="shared" si="83"/>
        <v>0</v>
      </c>
      <c r="AB425" s="24">
        <f t="shared" si="80"/>
        <v>0</v>
      </c>
      <c r="AC425" s="37"/>
      <c r="AD425" s="37"/>
      <c r="AE425" s="22"/>
      <c r="AF425" s="20"/>
      <c r="AG425" s="21"/>
      <c r="AH425" s="20"/>
      <c r="AI425" s="21"/>
      <c r="AJ425" s="20"/>
      <c r="AK425" s="20"/>
      <c r="AL425" s="20"/>
      <c r="AM425" s="19">
        <v>35000</v>
      </c>
      <c r="AN425" s="19">
        <v>30000</v>
      </c>
      <c r="AO425" s="19"/>
      <c r="AP425" s="19"/>
      <c r="AQ425" s="19"/>
      <c r="AR425" s="19">
        <f t="shared" si="84"/>
        <v>65000</v>
      </c>
      <c r="AS425" s="17">
        <f t="shared" si="85"/>
        <v>-65000</v>
      </c>
      <c r="AT425" s="17">
        <f t="shared" si="86"/>
        <v>-65000</v>
      </c>
      <c r="AU425" s="17">
        <f t="shared" si="87"/>
        <v>0</v>
      </c>
      <c r="AV425" s="17">
        <f t="shared" si="81"/>
        <v>-32500</v>
      </c>
      <c r="AW425" s="17">
        <f t="shared" si="82"/>
        <v>-29250</v>
      </c>
      <c r="AX425" s="18">
        <v>50000</v>
      </c>
      <c r="AY425" s="18"/>
      <c r="AZ425" s="17">
        <f t="shared" si="89"/>
        <v>-79250</v>
      </c>
      <c r="BA425" s="16"/>
      <c r="BB425" s="16"/>
      <c r="BC425" s="16"/>
    </row>
    <row r="426" spans="1:55" ht="16.899999999999999">
      <c r="A426" s="36">
        <v>425</v>
      </c>
      <c r="B426" s="35"/>
      <c r="C426" s="33"/>
      <c r="D426" s="33"/>
      <c r="E426" s="33"/>
      <c r="F426" s="33"/>
      <c r="G426" s="33"/>
      <c r="H426" s="33"/>
      <c r="I426" s="33"/>
      <c r="J426" s="33"/>
      <c r="K426" s="35"/>
      <c r="L426" s="34"/>
      <c r="M426" s="32"/>
      <c r="N426" s="32"/>
      <c r="O426" s="31">
        <f t="shared" si="79"/>
        <v>0</v>
      </c>
      <c r="P426" s="30"/>
      <c r="Q426" s="30"/>
      <c r="R426" s="30"/>
      <c r="S426" s="30"/>
      <c r="T426" s="29"/>
      <c r="U426" s="20"/>
      <c r="V426" s="28"/>
      <c r="W426" s="20"/>
      <c r="X426" s="27"/>
      <c r="Y426" s="26"/>
      <c r="Z426" s="25">
        <f t="shared" si="88"/>
        <v>0</v>
      </c>
      <c r="AA426" s="20">
        <f t="shared" si="83"/>
        <v>0</v>
      </c>
      <c r="AB426" s="24">
        <f t="shared" si="80"/>
        <v>0</v>
      </c>
      <c r="AC426" s="37"/>
      <c r="AD426" s="37"/>
      <c r="AE426" s="22"/>
      <c r="AF426" s="20"/>
      <c r="AG426" s="21"/>
      <c r="AH426" s="20"/>
      <c r="AI426" s="21"/>
      <c r="AJ426" s="20"/>
      <c r="AK426" s="20"/>
      <c r="AL426" s="20"/>
      <c r="AM426" s="19">
        <v>35000</v>
      </c>
      <c r="AN426" s="19">
        <v>30000</v>
      </c>
      <c r="AO426" s="19"/>
      <c r="AP426" s="19"/>
      <c r="AQ426" s="19"/>
      <c r="AR426" s="19">
        <f t="shared" si="84"/>
        <v>65000</v>
      </c>
      <c r="AS426" s="17">
        <f t="shared" si="85"/>
        <v>-65000</v>
      </c>
      <c r="AT426" s="17">
        <f t="shared" si="86"/>
        <v>-65000</v>
      </c>
      <c r="AU426" s="17">
        <f t="shared" si="87"/>
        <v>0</v>
      </c>
      <c r="AV426" s="17">
        <f t="shared" si="81"/>
        <v>-32500</v>
      </c>
      <c r="AW426" s="17">
        <f t="shared" si="82"/>
        <v>-29250</v>
      </c>
      <c r="AX426" s="18">
        <v>50000</v>
      </c>
      <c r="AY426" s="18"/>
      <c r="AZ426" s="17">
        <f t="shared" si="89"/>
        <v>-79250</v>
      </c>
      <c r="BA426" s="16"/>
      <c r="BB426" s="16"/>
      <c r="BC426" s="16"/>
    </row>
    <row r="427" spans="1:55" ht="16.899999999999999">
      <c r="A427" s="36">
        <v>426</v>
      </c>
      <c r="B427" s="35"/>
      <c r="C427" s="33"/>
      <c r="D427" s="33"/>
      <c r="E427" s="33"/>
      <c r="F427" s="33"/>
      <c r="G427" s="33"/>
      <c r="H427" s="33"/>
      <c r="I427" s="33"/>
      <c r="J427" s="33"/>
      <c r="K427" s="35"/>
      <c r="L427" s="34"/>
      <c r="M427" s="32"/>
      <c r="N427" s="32"/>
      <c r="O427" s="31">
        <f t="shared" si="79"/>
        <v>0</v>
      </c>
      <c r="P427" s="30"/>
      <c r="Q427" s="30"/>
      <c r="R427" s="30"/>
      <c r="S427" s="30"/>
      <c r="T427" s="29"/>
      <c r="U427" s="20"/>
      <c r="V427" s="28"/>
      <c r="W427" s="20"/>
      <c r="X427" s="27"/>
      <c r="Y427" s="26"/>
      <c r="Z427" s="25">
        <f t="shared" si="88"/>
        <v>0</v>
      </c>
      <c r="AA427" s="20">
        <f t="shared" si="83"/>
        <v>0</v>
      </c>
      <c r="AB427" s="24">
        <f t="shared" si="80"/>
        <v>0</v>
      </c>
      <c r="AC427" s="37"/>
      <c r="AD427" s="37"/>
      <c r="AE427" s="22"/>
      <c r="AF427" s="20"/>
      <c r="AG427" s="21"/>
      <c r="AH427" s="20"/>
      <c r="AI427" s="21"/>
      <c r="AJ427" s="20"/>
      <c r="AK427" s="20"/>
      <c r="AL427" s="20"/>
      <c r="AM427" s="19">
        <v>35000</v>
      </c>
      <c r="AN427" s="19">
        <v>30000</v>
      </c>
      <c r="AO427" s="19"/>
      <c r="AP427" s="19"/>
      <c r="AQ427" s="19"/>
      <c r="AR427" s="19">
        <f t="shared" si="84"/>
        <v>65000</v>
      </c>
      <c r="AS427" s="17">
        <f t="shared" si="85"/>
        <v>-65000</v>
      </c>
      <c r="AT427" s="17">
        <f t="shared" si="86"/>
        <v>-65000</v>
      </c>
      <c r="AU427" s="17">
        <f t="shared" si="87"/>
        <v>0</v>
      </c>
      <c r="AV427" s="17">
        <f t="shared" si="81"/>
        <v>-32500</v>
      </c>
      <c r="AW427" s="17">
        <f t="shared" si="82"/>
        <v>-29250</v>
      </c>
      <c r="AX427" s="18">
        <v>50000</v>
      </c>
      <c r="AY427" s="18"/>
      <c r="AZ427" s="17">
        <f t="shared" si="89"/>
        <v>-79250</v>
      </c>
      <c r="BA427" s="16"/>
      <c r="BB427" s="16"/>
      <c r="BC427" s="16"/>
    </row>
    <row r="428" spans="1:55" ht="16.899999999999999">
      <c r="A428" s="36">
        <v>427</v>
      </c>
      <c r="B428" s="35"/>
      <c r="C428" s="33"/>
      <c r="D428" s="33"/>
      <c r="E428" s="33"/>
      <c r="F428" s="33"/>
      <c r="G428" s="33"/>
      <c r="H428" s="33"/>
      <c r="I428" s="33"/>
      <c r="J428" s="33"/>
      <c r="K428" s="35"/>
      <c r="L428" s="34"/>
      <c r="M428" s="32"/>
      <c r="N428" s="32"/>
      <c r="O428" s="31">
        <f t="shared" si="79"/>
        <v>0</v>
      </c>
      <c r="P428" s="30"/>
      <c r="Q428" s="30"/>
      <c r="R428" s="30"/>
      <c r="S428" s="30"/>
      <c r="T428" s="29"/>
      <c r="U428" s="20"/>
      <c r="V428" s="28"/>
      <c r="W428" s="20"/>
      <c r="X428" s="27"/>
      <c r="Y428" s="26"/>
      <c r="Z428" s="25">
        <f t="shared" si="88"/>
        <v>0</v>
      </c>
      <c r="AA428" s="20">
        <f t="shared" si="83"/>
        <v>0</v>
      </c>
      <c r="AB428" s="24">
        <f t="shared" si="80"/>
        <v>0</v>
      </c>
      <c r="AC428" s="37"/>
      <c r="AD428" s="37"/>
      <c r="AE428" s="22"/>
      <c r="AF428" s="20"/>
      <c r="AG428" s="21"/>
      <c r="AH428" s="20"/>
      <c r="AI428" s="21"/>
      <c r="AJ428" s="20"/>
      <c r="AK428" s="20"/>
      <c r="AL428" s="20"/>
      <c r="AM428" s="19">
        <v>35000</v>
      </c>
      <c r="AN428" s="19">
        <v>30000</v>
      </c>
      <c r="AO428" s="19"/>
      <c r="AP428" s="19"/>
      <c r="AQ428" s="19"/>
      <c r="AR428" s="19">
        <f t="shared" si="84"/>
        <v>65000</v>
      </c>
      <c r="AS428" s="17">
        <f t="shared" si="85"/>
        <v>-65000</v>
      </c>
      <c r="AT428" s="17">
        <f t="shared" si="86"/>
        <v>-65000</v>
      </c>
      <c r="AU428" s="17">
        <f t="shared" si="87"/>
        <v>0</v>
      </c>
      <c r="AV428" s="17">
        <f t="shared" si="81"/>
        <v>-32500</v>
      </c>
      <c r="AW428" s="17">
        <f t="shared" si="82"/>
        <v>-29250</v>
      </c>
      <c r="AX428" s="18">
        <v>50000</v>
      </c>
      <c r="AY428" s="18"/>
      <c r="AZ428" s="17">
        <f t="shared" si="89"/>
        <v>-79250</v>
      </c>
      <c r="BA428" s="16"/>
      <c r="BB428" s="16"/>
      <c r="BC428" s="16"/>
    </row>
    <row r="429" spans="1:55" ht="16.899999999999999">
      <c r="A429" s="36">
        <v>428</v>
      </c>
      <c r="B429" s="35"/>
      <c r="C429" s="33"/>
      <c r="D429" s="33"/>
      <c r="E429" s="33"/>
      <c r="F429" s="33"/>
      <c r="G429" s="33"/>
      <c r="H429" s="33"/>
      <c r="I429" s="33"/>
      <c r="J429" s="33"/>
      <c r="K429" s="35"/>
      <c r="L429" s="34"/>
      <c r="M429" s="32"/>
      <c r="N429" s="32"/>
      <c r="O429" s="31">
        <f t="shared" si="79"/>
        <v>0</v>
      </c>
      <c r="P429" s="30"/>
      <c r="Q429" s="30"/>
      <c r="R429" s="30"/>
      <c r="S429" s="30"/>
      <c r="T429" s="29"/>
      <c r="U429" s="20"/>
      <c r="V429" s="28"/>
      <c r="W429" s="20"/>
      <c r="X429" s="27"/>
      <c r="Y429" s="26"/>
      <c r="Z429" s="25">
        <f t="shared" si="88"/>
        <v>0</v>
      </c>
      <c r="AA429" s="20">
        <f t="shared" si="83"/>
        <v>0</v>
      </c>
      <c r="AB429" s="24">
        <f t="shared" si="80"/>
        <v>0</v>
      </c>
      <c r="AC429" s="37"/>
      <c r="AD429" s="37"/>
      <c r="AE429" s="22"/>
      <c r="AF429" s="20"/>
      <c r="AG429" s="21"/>
      <c r="AH429" s="20"/>
      <c r="AI429" s="21"/>
      <c r="AJ429" s="20"/>
      <c r="AK429" s="20"/>
      <c r="AL429" s="20"/>
      <c r="AM429" s="19">
        <v>35000</v>
      </c>
      <c r="AN429" s="19">
        <v>30000</v>
      </c>
      <c r="AO429" s="19"/>
      <c r="AP429" s="19"/>
      <c r="AQ429" s="19"/>
      <c r="AR429" s="19">
        <f t="shared" si="84"/>
        <v>65000</v>
      </c>
      <c r="AS429" s="17">
        <f t="shared" si="85"/>
        <v>-65000</v>
      </c>
      <c r="AT429" s="17">
        <f t="shared" si="86"/>
        <v>-65000</v>
      </c>
      <c r="AU429" s="17">
        <f t="shared" si="87"/>
        <v>0</v>
      </c>
      <c r="AV429" s="17">
        <f t="shared" si="81"/>
        <v>-32500</v>
      </c>
      <c r="AW429" s="17">
        <f t="shared" si="82"/>
        <v>-29250</v>
      </c>
      <c r="AX429" s="18">
        <v>50000</v>
      </c>
      <c r="AY429" s="18"/>
      <c r="AZ429" s="17">
        <f t="shared" si="89"/>
        <v>-79250</v>
      </c>
      <c r="BA429" s="16"/>
      <c r="BB429" s="16"/>
      <c r="BC429" s="16"/>
    </row>
    <row r="430" spans="1:55" ht="16.899999999999999">
      <c r="A430" s="36">
        <v>429</v>
      </c>
      <c r="B430" s="35"/>
      <c r="C430" s="33"/>
      <c r="D430" s="33"/>
      <c r="E430" s="33"/>
      <c r="F430" s="33"/>
      <c r="G430" s="33"/>
      <c r="H430" s="33"/>
      <c r="I430" s="33"/>
      <c r="J430" s="33"/>
      <c r="K430" s="35"/>
      <c r="L430" s="34"/>
      <c r="M430" s="32"/>
      <c r="N430" s="32"/>
      <c r="O430" s="31">
        <f t="shared" si="79"/>
        <v>0</v>
      </c>
      <c r="P430" s="30"/>
      <c r="Q430" s="30"/>
      <c r="R430" s="30"/>
      <c r="S430" s="30"/>
      <c r="T430" s="29"/>
      <c r="U430" s="20"/>
      <c r="V430" s="28"/>
      <c r="W430" s="20"/>
      <c r="X430" s="27"/>
      <c r="Y430" s="26"/>
      <c r="Z430" s="25">
        <f t="shared" si="88"/>
        <v>0</v>
      </c>
      <c r="AA430" s="20">
        <f t="shared" si="83"/>
        <v>0</v>
      </c>
      <c r="AB430" s="24">
        <f t="shared" si="80"/>
        <v>0</v>
      </c>
      <c r="AC430" s="37"/>
      <c r="AD430" s="37"/>
      <c r="AE430" s="22"/>
      <c r="AF430" s="20"/>
      <c r="AG430" s="21"/>
      <c r="AH430" s="20"/>
      <c r="AI430" s="21"/>
      <c r="AJ430" s="20"/>
      <c r="AK430" s="20"/>
      <c r="AL430" s="20"/>
      <c r="AM430" s="19">
        <v>35000</v>
      </c>
      <c r="AN430" s="19">
        <v>30000</v>
      </c>
      <c r="AO430" s="19"/>
      <c r="AP430" s="19"/>
      <c r="AQ430" s="19"/>
      <c r="AR430" s="19">
        <f t="shared" si="84"/>
        <v>65000</v>
      </c>
      <c r="AS430" s="17">
        <f t="shared" si="85"/>
        <v>-65000</v>
      </c>
      <c r="AT430" s="17">
        <f t="shared" si="86"/>
        <v>-65000</v>
      </c>
      <c r="AU430" s="17">
        <f t="shared" si="87"/>
        <v>0</v>
      </c>
      <c r="AV430" s="17">
        <f t="shared" si="81"/>
        <v>-32500</v>
      </c>
      <c r="AW430" s="17">
        <f t="shared" si="82"/>
        <v>-29250</v>
      </c>
      <c r="AX430" s="18">
        <v>50000</v>
      </c>
      <c r="AY430" s="18"/>
      <c r="AZ430" s="17">
        <f t="shared" si="89"/>
        <v>-79250</v>
      </c>
      <c r="BA430" s="16"/>
      <c r="BB430" s="16"/>
      <c r="BC430" s="16"/>
    </row>
    <row r="431" spans="1:55" ht="16.5" customHeight="1">
      <c r="A431" s="36">
        <v>430</v>
      </c>
      <c r="B431" s="35"/>
      <c r="C431" s="33"/>
      <c r="D431" s="33"/>
      <c r="E431" s="33"/>
      <c r="F431" s="33"/>
      <c r="G431" s="33"/>
      <c r="H431" s="33"/>
      <c r="I431" s="33"/>
      <c r="J431" s="33"/>
      <c r="K431" s="35"/>
      <c r="L431" s="34"/>
      <c r="M431" s="32"/>
      <c r="N431" s="32"/>
      <c r="O431" s="31">
        <f t="shared" si="79"/>
        <v>0</v>
      </c>
      <c r="P431" s="30"/>
      <c r="Q431" s="30"/>
      <c r="R431" s="30"/>
      <c r="S431" s="30"/>
      <c r="T431" s="29"/>
      <c r="U431" s="20"/>
      <c r="V431" s="28"/>
      <c r="W431" s="20"/>
      <c r="X431" s="27"/>
      <c r="Y431" s="26"/>
      <c r="Z431" s="25">
        <f t="shared" si="88"/>
        <v>0</v>
      </c>
      <c r="AA431" s="20">
        <f t="shared" si="83"/>
        <v>0</v>
      </c>
      <c r="AB431" s="24">
        <f t="shared" si="80"/>
        <v>0</v>
      </c>
      <c r="AC431" s="37"/>
      <c r="AD431" s="37"/>
      <c r="AE431" s="22"/>
      <c r="AF431" s="20"/>
      <c r="AG431" s="21"/>
      <c r="AH431" s="20"/>
      <c r="AI431" s="21"/>
      <c r="AJ431" s="20"/>
      <c r="AK431" s="20"/>
      <c r="AL431" s="20"/>
      <c r="AM431" s="19">
        <v>35000</v>
      </c>
      <c r="AN431" s="19">
        <v>30000</v>
      </c>
      <c r="AO431" s="19"/>
      <c r="AP431" s="19"/>
      <c r="AQ431" s="19"/>
      <c r="AR431" s="19">
        <f t="shared" si="84"/>
        <v>65000</v>
      </c>
      <c r="AS431" s="17">
        <f t="shared" si="85"/>
        <v>-65000</v>
      </c>
      <c r="AT431" s="17">
        <f t="shared" si="86"/>
        <v>-65000</v>
      </c>
      <c r="AU431" s="17">
        <f t="shared" si="87"/>
        <v>0</v>
      </c>
      <c r="AV431" s="17">
        <f t="shared" si="81"/>
        <v>-32500</v>
      </c>
      <c r="AW431" s="17">
        <f t="shared" si="82"/>
        <v>-29250</v>
      </c>
      <c r="AX431" s="18">
        <v>50000</v>
      </c>
      <c r="AY431" s="18"/>
      <c r="AZ431" s="17">
        <f t="shared" si="89"/>
        <v>-79250</v>
      </c>
      <c r="BA431" s="16"/>
      <c r="BB431" s="16"/>
      <c r="BC431" s="16"/>
    </row>
    <row r="432" spans="1:55" ht="16.899999999999999">
      <c r="A432" s="36">
        <v>431</v>
      </c>
      <c r="B432" s="35"/>
      <c r="C432" s="33"/>
      <c r="D432" s="33"/>
      <c r="E432" s="33"/>
      <c r="F432" s="33"/>
      <c r="G432" s="33"/>
      <c r="H432" s="33"/>
      <c r="I432" s="33"/>
      <c r="J432" s="33"/>
      <c r="K432" s="35"/>
      <c r="L432" s="34"/>
      <c r="M432" s="32"/>
      <c r="N432" s="32"/>
      <c r="O432" s="31">
        <f t="shared" si="79"/>
        <v>0</v>
      </c>
      <c r="P432" s="30"/>
      <c r="Q432" s="30"/>
      <c r="R432" s="30"/>
      <c r="S432" s="30"/>
      <c r="T432" s="29"/>
      <c r="U432" s="20"/>
      <c r="V432" s="28"/>
      <c r="W432" s="20"/>
      <c r="X432" s="27"/>
      <c r="Y432" s="26"/>
      <c r="Z432" s="25">
        <f t="shared" si="88"/>
        <v>0</v>
      </c>
      <c r="AA432" s="20">
        <f t="shared" si="83"/>
        <v>0</v>
      </c>
      <c r="AB432" s="24">
        <f t="shared" si="80"/>
        <v>0</v>
      </c>
      <c r="AC432" s="37"/>
      <c r="AD432" s="37"/>
      <c r="AE432" s="22"/>
      <c r="AF432" s="20"/>
      <c r="AG432" s="21"/>
      <c r="AH432" s="20"/>
      <c r="AI432" s="21"/>
      <c r="AJ432" s="20"/>
      <c r="AK432" s="20"/>
      <c r="AL432" s="20"/>
      <c r="AM432" s="19">
        <v>35000</v>
      </c>
      <c r="AN432" s="19">
        <v>30000</v>
      </c>
      <c r="AO432" s="19"/>
      <c r="AP432" s="19"/>
      <c r="AQ432" s="19"/>
      <c r="AR432" s="19">
        <f t="shared" si="84"/>
        <v>65000</v>
      </c>
      <c r="AS432" s="17">
        <f t="shared" si="85"/>
        <v>-65000</v>
      </c>
      <c r="AT432" s="17">
        <f t="shared" si="86"/>
        <v>-65000</v>
      </c>
      <c r="AU432" s="17">
        <f t="shared" si="87"/>
        <v>0</v>
      </c>
      <c r="AV432" s="17">
        <f t="shared" si="81"/>
        <v>-32500</v>
      </c>
      <c r="AW432" s="17">
        <f t="shared" si="82"/>
        <v>-29250</v>
      </c>
      <c r="AX432" s="18">
        <v>50000</v>
      </c>
      <c r="AY432" s="18"/>
      <c r="AZ432" s="17">
        <f t="shared" si="89"/>
        <v>-79250</v>
      </c>
      <c r="BA432" s="16"/>
      <c r="BB432" s="16"/>
      <c r="BC432" s="16"/>
    </row>
    <row r="433" spans="1:55" ht="16.899999999999999">
      <c r="A433" s="36">
        <v>432</v>
      </c>
      <c r="B433" s="35"/>
      <c r="C433" s="33"/>
      <c r="D433" s="33"/>
      <c r="E433" s="33"/>
      <c r="F433" s="33"/>
      <c r="G433" s="33"/>
      <c r="H433" s="33"/>
      <c r="I433" s="33"/>
      <c r="J433" s="33"/>
      <c r="K433" s="35"/>
      <c r="L433" s="34"/>
      <c r="M433" s="32"/>
      <c r="N433" s="32"/>
      <c r="O433" s="31">
        <f t="shared" si="79"/>
        <v>0</v>
      </c>
      <c r="P433" s="30"/>
      <c r="Q433" s="30"/>
      <c r="R433" s="30"/>
      <c r="S433" s="30"/>
      <c r="T433" s="29"/>
      <c r="U433" s="20"/>
      <c r="V433" s="28"/>
      <c r="W433" s="20"/>
      <c r="X433" s="27"/>
      <c r="Y433" s="26"/>
      <c r="Z433" s="25">
        <f t="shared" si="88"/>
        <v>0</v>
      </c>
      <c r="AA433" s="20">
        <f t="shared" si="83"/>
        <v>0</v>
      </c>
      <c r="AB433" s="24">
        <f t="shared" si="80"/>
        <v>0</v>
      </c>
      <c r="AC433" s="37"/>
      <c r="AD433" s="37"/>
      <c r="AE433" s="22"/>
      <c r="AF433" s="20"/>
      <c r="AG433" s="21"/>
      <c r="AH433" s="20"/>
      <c r="AI433" s="21"/>
      <c r="AJ433" s="20"/>
      <c r="AK433" s="20"/>
      <c r="AL433" s="20"/>
      <c r="AM433" s="19">
        <v>35000</v>
      </c>
      <c r="AN433" s="19">
        <v>30000</v>
      </c>
      <c r="AO433" s="19"/>
      <c r="AP433" s="19"/>
      <c r="AQ433" s="19"/>
      <c r="AR433" s="19">
        <f t="shared" si="84"/>
        <v>65000</v>
      </c>
      <c r="AS433" s="17">
        <f t="shared" si="85"/>
        <v>-65000</v>
      </c>
      <c r="AT433" s="17">
        <f t="shared" si="86"/>
        <v>-65000</v>
      </c>
      <c r="AU433" s="17">
        <f t="shared" si="87"/>
        <v>0</v>
      </c>
      <c r="AV433" s="17">
        <f t="shared" si="81"/>
        <v>-32500</v>
      </c>
      <c r="AW433" s="17">
        <f t="shared" si="82"/>
        <v>-29250</v>
      </c>
      <c r="AX433" s="18">
        <v>50000</v>
      </c>
      <c r="AY433" s="18"/>
      <c r="AZ433" s="17">
        <f t="shared" si="89"/>
        <v>-79250</v>
      </c>
      <c r="BA433" s="16"/>
      <c r="BB433" s="16"/>
      <c r="BC433" s="16"/>
    </row>
    <row r="434" spans="1:55" s="6" customFormat="1" ht="16.899999999999999">
      <c r="A434" s="36">
        <v>433</v>
      </c>
      <c r="B434" s="35"/>
      <c r="C434" s="33"/>
      <c r="D434" s="33"/>
      <c r="E434" s="33"/>
      <c r="F434" s="33"/>
      <c r="G434" s="33"/>
      <c r="H434" s="33"/>
      <c r="I434" s="33"/>
      <c r="J434" s="33"/>
      <c r="K434" s="35"/>
      <c r="L434" s="34"/>
      <c r="M434" s="32"/>
      <c r="N434" s="32"/>
      <c r="O434" s="31">
        <f t="shared" si="79"/>
        <v>0</v>
      </c>
      <c r="P434" s="30"/>
      <c r="Q434" s="30"/>
      <c r="R434" s="30"/>
      <c r="S434" s="30"/>
      <c r="T434" s="29"/>
      <c r="U434" s="20"/>
      <c r="V434" s="28"/>
      <c r="W434" s="20"/>
      <c r="X434" s="27"/>
      <c r="Y434" s="26"/>
      <c r="Z434" s="25">
        <f t="shared" si="88"/>
        <v>0</v>
      </c>
      <c r="AA434" s="20">
        <f t="shared" si="83"/>
        <v>0</v>
      </c>
      <c r="AB434" s="24">
        <f t="shared" si="80"/>
        <v>0</v>
      </c>
      <c r="AC434" s="37"/>
      <c r="AD434" s="37"/>
      <c r="AE434" s="22"/>
      <c r="AF434" s="20"/>
      <c r="AG434" s="21"/>
      <c r="AH434" s="20"/>
      <c r="AI434" s="21"/>
      <c r="AJ434" s="20"/>
      <c r="AK434" s="20"/>
      <c r="AL434" s="20"/>
      <c r="AM434" s="19">
        <v>35000</v>
      </c>
      <c r="AN434" s="19">
        <v>30000</v>
      </c>
      <c r="AO434" s="19"/>
      <c r="AP434" s="19"/>
      <c r="AQ434" s="19"/>
      <c r="AR434" s="19">
        <f t="shared" si="84"/>
        <v>65000</v>
      </c>
      <c r="AS434" s="17">
        <f t="shared" si="85"/>
        <v>-65000</v>
      </c>
      <c r="AT434" s="17">
        <f t="shared" si="86"/>
        <v>-65000</v>
      </c>
      <c r="AU434" s="17">
        <f t="shared" si="87"/>
        <v>0</v>
      </c>
      <c r="AV434" s="17">
        <f t="shared" si="81"/>
        <v>-32500</v>
      </c>
      <c r="AW434" s="17">
        <f t="shared" si="82"/>
        <v>-29250</v>
      </c>
      <c r="AX434" s="18">
        <v>50000</v>
      </c>
      <c r="AY434" s="18"/>
      <c r="AZ434" s="17">
        <f t="shared" si="89"/>
        <v>-79250</v>
      </c>
      <c r="BA434" s="16"/>
      <c r="BB434" s="15"/>
      <c r="BC434" s="15"/>
    </row>
    <row r="435" spans="1:55" s="6" customFormat="1" ht="16.899999999999999">
      <c r="A435" s="36">
        <v>434</v>
      </c>
      <c r="B435" s="35"/>
      <c r="C435" s="33"/>
      <c r="D435" s="33"/>
      <c r="E435" s="33"/>
      <c r="F435" s="33"/>
      <c r="G435" s="33"/>
      <c r="H435" s="33"/>
      <c r="I435" s="33"/>
      <c r="J435" s="33"/>
      <c r="K435" s="35"/>
      <c r="L435" s="34"/>
      <c r="M435" s="32"/>
      <c r="N435" s="32"/>
      <c r="O435" s="31">
        <f t="shared" si="79"/>
        <v>0</v>
      </c>
      <c r="P435" s="30"/>
      <c r="Q435" s="30"/>
      <c r="R435" s="30"/>
      <c r="S435" s="30"/>
      <c r="T435" s="29"/>
      <c r="U435" s="20"/>
      <c r="V435" s="28"/>
      <c r="W435" s="20"/>
      <c r="X435" s="27"/>
      <c r="Y435" s="26"/>
      <c r="Z435" s="25">
        <f t="shared" si="88"/>
        <v>0</v>
      </c>
      <c r="AA435" s="20">
        <f t="shared" si="83"/>
        <v>0</v>
      </c>
      <c r="AB435" s="24">
        <f t="shared" si="80"/>
        <v>0</v>
      </c>
      <c r="AC435" s="37"/>
      <c r="AD435" s="37"/>
      <c r="AE435" s="22"/>
      <c r="AF435" s="20"/>
      <c r="AG435" s="21"/>
      <c r="AH435" s="20"/>
      <c r="AI435" s="21"/>
      <c r="AJ435" s="20"/>
      <c r="AK435" s="20"/>
      <c r="AL435" s="20"/>
      <c r="AM435" s="19">
        <v>35000</v>
      </c>
      <c r="AN435" s="19">
        <v>30000</v>
      </c>
      <c r="AO435" s="19"/>
      <c r="AP435" s="19"/>
      <c r="AQ435" s="19"/>
      <c r="AR435" s="19">
        <f t="shared" si="84"/>
        <v>65000</v>
      </c>
      <c r="AS435" s="17">
        <f t="shared" si="85"/>
        <v>-65000</v>
      </c>
      <c r="AT435" s="17">
        <f t="shared" si="86"/>
        <v>-65000</v>
      </c>
      <c r="AU435" s="17">
        <f t="shared" si="87"/>
        <v>0</v>
      </c>
      <c r="AV435" s="17">
        <f t="shared" si="81"/>
        <v>-32500</v>
      </c>
      <c r="AW435" s="17">
        <f t="shared" si="82"/>
        <v>-29250</v>
      </c>
      <c r="AX435" s="18">
        <v>50000</v>
      </c>
      <c r="AY435" s="18"/>
      <c r="AZ435" s="17">
        <f t="shared" si="89"/>
        <v>-79250</v>
      </c>
      <c r="BA435" s="16"/>
      <c r="BB435" s="15"/>
      <c r="BC435" s="15"/>
    </row>
    <row r="436" spans="1:55" s="6" customFormat="1" ht="16.899999999999999">
      <c r="A436" s="36">
        <v>435</v>
      </c>
      <c r="B436" s="35"/>
      <c r="C436" s="33"/>
      <c r="D436" s="33"/>
      <c r="E436" s="33"/>
      <c r="F436" s="33"/>
      <c r="G436" s="33"/>
      <c r="H436" s="33"/>
      <c r="I436" s="33"/>
      <c r="J436" s="33"/>
      <c r="K436" s="35"/>
      <c r="L436" s="34"/>
      <c r="M436" s="32"/>
      <c r="N436" s="32"/>
      <c r="O436" s="31">
        <f t="shared" si="79"/>
        <v>0</v>
      </c>
      <c r="P436" s="30"/>
      <c r="Q436" s="30"/>
      <c r="R436" s="30"/>
      <c r="S436" s="30"/>
      <c r="T436" s="29"/>
      <c r="U436" s="20"/>
      <c r="V436" s="28"/>
      <c r="W436" s="20"/>
      <c r="X436" s="27"/>
      <c r="Y436" s="26"/>
      <c r="Z436" s="25">
        <f t="shared" si="88"/>
        <v>0</v>
      </c>
      <c r="AA436" s="20">
        <f t="shared" si="83"/>
        <v>0</v>
      </c>
      <c r="AB436" s="24">
        <f t="shared" si="80"/>
        <v>0</v>
      </c>
      <c r="AC436" s="37"/>
      <c r="AD436" s="37"/>
      <c r="AE436" s="22"/>
      <c r="AF436" s="20"/>
      <c r="AG436" s="21"/>
      <c r="AH436" s="20"/>
      <c r="AI436" s="21"/>
      <c r="AJ436" s="20"/>
      <c r="AK436" s="20"/>
      <c r="AL436" s="20"/>
      <c r="AM436" s="19">
        <v>35000</v>
      </c>
      <c r="AN436" s="19">
        <v>30000</v>
      </c>
      <c r="AO436" s="19"/>
      <c r="AP436" s="19"/>
      <c r="AQ436" s="19"/>
      <c r="AR436" s="19">
        <f t="shared" si="84"/>
        <v>65000</v>
      </c>
      <c r="AS436" s="17">
        <f t="shared" si="85"/>
        <v>-65000</v>
      </c>
      <c r="AT436" s="17">
        <f t="shared" si="86"/>
        <v>-65000</v>
      </c>
      <c r="AU436" s="17">
        <f t="shared" si="87"/>
        <v>0</v>
      </c>
      <c r="AV436" s="17">
        <f t="shared" si="81"/>
        <v>-32500</v>
      </c>
      <c r="AW436" s="17">
        <f t="shared" si="82"/>
        <v>-29250</v>
      </c>
      <c r="AX436" s="18">
        <v>50000</v>
      </c>
      <c r="AY436" s="18"/>
      <c r="AZ436" s="17">
        <f t="shared" si="89"/>
        <v>-79250</v>
      </c>
      <c r="BA436" s="16"/>
      <c r="BB436" s="15"/>
      <c r="BC436" s="15"/>
    </row>
    <row r="437" spans="1:55" s="6" customFormat="1" ht="16.899999999999999">
      <c r="A437" s="36">
        <v>436</v>
      </c>
      <c r="B437" s="35"/>
      <c r="C437" s="33"/>
      <c r="D437" s="33"/>
      <c r="E437" s="33"/>
      <c r="F437" s="33"/>
      <c r="G437" s="33"/>
      <c r="H437" s="33"/>
      <c r="I437" s="33"/>
      <c r="J437" s="33"/>
      <c r="K437" s="35"/>
      <c r="L437" s="34"/>
      <c r="M437" s="32"/>
      <c r="N437" s="32"/>
      <c r="O437" s="31">
        <f t="shared" si="79"/>
        <v>0</v>
      </c>
      <c r="P437" s="30"/>
      <c r="Q437" s="30"/>
      <c r="R437" s="30"/>
      <c r="S437" s="30"/>
      <c r="T437" s="29"/>
      <c r="U437" s="20"/>
      <c r="V437" s="28"/>
      <c r="W437" s="20"/>
      <c r="X437" s="27"/>
      <c r="Y437" s="26"/>
      <c r="Z437" s="25">
        <f t="shared" si="88"/>
        <v>0</v>
      </c>
      <c r="AA437" s="20">
        <f t="shared" si="83"/>
        <v>0</v>
      </c>
      <c r="AB437" s="24">
        <f t="shared" si="80"/>
        <v>0</v>
      </c>
      <c r="AC437" s="37"/>
      <c r="AD437" s="37"/>
      <c r="AE437" s="22"/>
      <c r="AF437" s="20"/>
      <c r="AG437" s="21"/>
      <c r="AH437" s="20"/>
      <c r="AI437" s="21"/>
      <c r="AJ437" s="20"/>
      <c r="AK437" s="20"/>
      <c r="AL437" s="20"/>
      <c r="AM437" s="19">
        <v>35000</v>
      </c>
      <c r="AN437" s="19">
        <v>30000</v>
      </c>
      <c r="AO437" s="19"/>
      <c r="AP437" s="19"/>
      <c r="AQ437" s="19"/>
      <c r="AR437" s="19">
        <f t="shared" si="84"/>
        <v>65000</v>
      </c>
      <c r="AS437" s="17">
        <f t="shared" si="85"/>
        <v>-65000</v>
      </c>
      <c r="AT437" s="17">
        <f t="shared" si="86"/>
        <v>-65000</v>
      </c>
      <c r="AU437" s="17">
        <f t="shared" si="87"/>
        <v>0</v>
      </c>
      <c r="AV437" s="17">
        <f t="shared" si="81"/>
        <v>-32500</v>
      </c>
      <c r="AW437" s="17">
        <f t="shared" si="82"/>
        <v>-29250</v>
      </c>
      <c r="AX437" s="18">
        <v>50000</v>
      </c>
      <c r="AY437" s="18"/>
      <c r="AZ437" s="17">
        <f t="shared" si="89"/>
        <v>-79250</v>
      </c>
      <c r="BA437" s="16"/>
      <c r="BB437" s="15"/>
      <c r="BC437" s="15"/>
    </row>
    <row r="438" spans="1:55" s="6" customFormat="1" ht="16.899999999999999">
      <c r="A438" s="36">
        <v>437</v>
      </c>
      <c r="B438" s="35"/>
      <c r="C438" s="33"/>
      <c r="D438" s="33"/>
      <c r="E438" s="33"/>
      <c r="F438" s="33"/>
      <c r="G438" s="33"/>
      <c r="H438" s="33"/>
      <c r="I438" s="33"/>
      <c r="J438" s="33"/>
      <c r="K438" s="35"/>
      <c r="L438" s="34"/>
      <c r="M438" s="32"/>
      <c r="N438" s="32"/>
      <c r="O438" s="31">
        <f t="shared" si="79"/>
        <v>0</v>
      </c>
      <c r="P438" s="30"/>
      <c r="Q438" s="30"/>
      <c r="R438" s="30"/>
      <c r="S438" s="30"/>
      <c r="T438" s="29"/>
      <c r="U438" s="20"/>
      <c r="V438" s="28"/>
      <c r="W438" s="20"/>
      <c r="X438" s="27"/>
      <c r="Y438" s="26"/>
      <c r="Z438" s="25">
        <f t="shared" si="88"/>
        <v>0</v>
      </c>
      <c r="AA438" s="20">
        <f t="shared" si="83"/>
        <v>0</v>
      </c>
      <c r="AB438" s="24">
        <f t="shared" si="80"/>
        <v>0</v>
      </c>
      <c r="AC438" s="37"/>
      <c r="AD438" s="37"/>
      <c r="AE438" s="22"/>
      <c r="AF438" s="20"/>
      <c r="AG438" s="21"/>
      <c r="AH438" s="20"/>
      <c r="AI438" s="21"/>
      <c r="AJ438" s="20"/>
      <c r="AK438" s="20"/>
      <c r="AL438" s="20"/>
      <c r="AM438" s="19">
        <v>35000</v>
      </c>
      <c r="AN438" s="19">
        <v>30000</v>
      </c>
      <c r="AO438" s="19"/>
      <c r="AP438" s="19"/>
      <c r="AQ438" s="19"/>
      <c r="AR438" s="19">
        <f t="shared" si="84"/>
        <v>65000</v>
      </c>
      <c r="AS438" s="17">
        <f t="shared" si="85"/>
        <v>-65000</v>
      </c>
      <c r="AT438" s="17">
        <f t="shared" si="86"/>
        <v>-65000</v>
      </c>
      <c r="AU438" s="17">
        <f t="shared" si="87"/>
        <v>0</v>
      </c>
      <c r="AV438" s="17">
        <f t="shared" si="81"/>
        <v>-32500</v>
      </c>
      <c r="AW438" s="17">
        <f t="shared" si="82"/>
        <v>-29250</v>
      </c>
      <c r="AX438" s="18">
        <v>50000</v>
      </c>
      <c r="AY438" s="18"/>
      <c r="AZ438" s="17">
        <f t="shared" si="89"/>
        <v>-79250</v>
      </c>
      <c r="BA438" s="16"/>
      <c r="BB438" s="15"/>
      <c r="BC438" s="15"/>
    </row>
    <row r="439" spans="1:55" s="6" customFormat="1" ht="16.899999999999999">
      <c r="A439" s="36">
        <v>438</v>
      </c>
      <c r="B439" s="35"/>
      <c r="C439" s="33"/>
      <c r="D439" s="33"/>
      <c r="E439" s="33"/>
      <c r="F439" s="33"/>
      <c r="G439" s="33"/>
      <c r="H439" s="33"/>
      <c r="I439" s="33"/>
      <c r="J439" s="33"/>
      <c r="K439" s="35"/>
      <c r="L439" s="34"/>
      <c r="M439" s="32"/>
      <c r="N439" s="32"/>
      <c r="O439" s="31">
        <f t="shared" si="79"/>
        <v>0</v>
      </c>
      <c r="P439" s="30"/>
      <c r="Q439" s="30"/>
      <c r="R439" s="30"/>
      <c r="S439" s="30"/>
      <c r="T439" s="29"/>
      <c r="U439" s="20"/>
      <c r="V439" s="28"/>
      <c r="W439" s="20"/>
      <c r="X439" s="27"/>
      <c r="Y439" s="26"/>
      <c r="Z439" s="25">
        <f t="shared" si="88"/>
        <v>0</v>
      </c>
      <c r="AA439" s="20">
        <f t="shared" si="83"/>
        <v>0</v>
      </c>
      <c r="AB439" s="24">
        <f t="shared" si="80"/>
        <v>0</v>
      </c>
      <c r="AC439" s="37"/>
      <c r="AD439" s="37"/>
      <c r="AE439" s="22"/>
      <c r="AF439" s="20"/>
      <c r="AG439" s="21"/>
      <c r="AH439" s="20"/>
      <c r="AI439" s="21"/>
      <c r="AJ439" s="20"/>
      <c r="AK439" s="20"/>
      <c r="AL439" s="20"/>
      <c r="AM439" s="19">
        <v>35000</v>
      </c>
      <c r="AN439" s="19">
        <v>30000</v>
      </c>
      <c r="AO439" s="19"/>
      <c r="AP439" s="19"/>
      <c r="AQ439" s="19"/>
      <c r="AR439" s="19">
        <f t="shared" si="84"/>
        <v>65000</v>
      </c>
      <c r="AS439" s="17">
        <f t="shared" si="85"/>
        <v>-65000</v>
      </c>
      <c r="AT439" s="17">
        <f t="shared" si="86"/>
        <v>-65000</v>
      </c>
      <c r="AU439" s="17">
        <f t="shared" si="87"/>
        <v>0</v>
      </c>
      <c r="AV439" s="17">
        <f t="shared" si="81"/>
        <v>-32500</v>
      </c>
      <c r="AW439" s="17">
        <f t="shared" si="82"/>
        <v>-29250</v>
      </c>
      <c r="AX439" s="18">
        <v>50000</v>
      </c>
      <c r="AY439" s="18"/>
      <c r="AZ439" s="17">
        <f t="shared" si="89"/>
        <v>-79250</v>
      </c>
      <c r="BA439" s="16"/>
      <c r="BB439" s="15"/>
      <c r="BC439" s="15"/>
    </row>
    <row r="440" spans="1:55" s="6" customFormat="1" ht="16.899999999999999">
      <c r="A440" s="36">
        <v>439</v>
      </c>
      <c r="B440" s="35"/>
      <c r="C440" s="33"/>
      <c r="D440" s="33"/>
      <c r="E440" s="33"/>
      <c r="F440" s="33"/>
      <c r="G440" s="33"/>
      <c r="H440" s="33"/>
      <c r="I440" s="33"/>
      <c r="J440" s="33"/>
      <c r="K440" s="35"/>
      <c r="L440" s="34"/>
      <c r="M440" s="32"/>
      <c r="N440" s="32"/>
      <c r="O440" s="31">
        <f t="shared" si="79"/>
        <v>0</v>
      </c>
      <c r="P440" s="30"/>
      <c r="Q440" s="30"/>
      <c r="R440" s="30"/>
      <c r="S440" s="30"/>
      <c r="T440" s="29"/>
      <c r="U440" s="20"/>
      <c r="V440" s="28"/>
      <c r="W440" s="20"/>
      <c r="X440" s="27"/>
      <c r="Y440" s="26"/>
      <c r="Z440" s="25">
        <f t="shared" si="88"/>
        <v>0</v>
      </c>
      <c r="AA440" s="20">
        <f t="shared" si="83"/>
        <v>0</v>
      </c>
      <c r="AB440" s="24">
        <f t="shared" si="80"/>
        <v>0</v>
      </c>
      <c r="AC440" s="37"/>
      <c r="AD440" s="37"/>
      <c r="AE440" s="22"/>
      <c r="AF440" s="20"/>
      <c r="AG440" s="21"/>
      <c r="AH440" s="20"/>
      <c r="AI440" s="21"/>
      <c r="AJ440" s="20"/>
      <c r="AK440" s="20"/>
      <c r="AL440" s="20"/>
      <c r="AM440" s="19">
        <v>35000</v>
      </c>
      <c r="AN440" s="19">
        <v>30000</v>
      </c>
      <c r="AO440" s="19"/>
      <c r="AP440" s="19"/>
      <c r="AQ440" s="19"/>
      <c r="AR440" s="19">
        <f t="shared" si="84"/>
        <v>65000</v>
      </c>
      <c r="AS440" s="17">
        <f t="shared" si="85"/>
        <v>-65000</v>
      </c>
      <c r="AT440" s="17">
        <f t="shared" si="86"/>
        <v>-65000</v>
      </c>
      <c r="AU440" s="17">
        <f t="shared" si="87"/>
        <v>0</v>
      </c>
      <c r="AV440" s="17">
        <f t="shared" si="81"/>
        <v>-32500</v>
      </c>
      <c r="AW440" s="17">
        <f t="shared" si="82"/>
        <v>-29250</v>
      </c>
      <c r="AX440" s="18">
        <v>50000</v>
      </c>
      <c r="AY440" s="18"/>
      <c r="AZ440" s="17">
        <f t="shared" si="89"/>
        <v>-79250</v>
      </c>
      <c r="BA440" s="16"/>
      <c r="BB440" s="15"/>
      <c r="BC440" s="15"/>
    </row>
    <row r="441" spans="1:55" ht="16.899999999999999">
      <c r="A441" s="36">
        <v>440</v>
      </c>
      <c r="D441" s="5"/>
      <c r="U441" s="8"/>
      <c r="W441" s="13"/>
      <c r="X441" s="13"/>
      <c r="Y441" s="5"/>
      <c r="Z441" s="14"/>
      <c r="AA441" s="13"/>
      <c r="AB441" s="13"/>
      <c r="AC441" s="8"/>
      <c r="AD441" s="8"/>
      <c r="AE441" s="12"/>
      <c r="AF441" s="13"/>
      <c r="AG441" s="12"/>
      <c r="AH441" s="13"/>
      <c r="AI441" s="12"/>
      <c r="AJ441" s="105"/>
      <c r="AK441" s="13"/>
      <c r="AL441" s="13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 spans="1:55" ht="16.899999999999999">
      <c r="A442" s="36">
        <v>441</v>
      </c>
      <c r="D442" s="5"/>
      <c r="U442" s="8"/>
      <c r="W442" s="13"/>
      <c r="X442" s="13"/>
      <c r="Y442" s="5"/>
      <c r="Z442" s="14"/>
      <c r="AA442" s="13"/>
      <c r="AB442" s="13"/>
      <c r="AC442" s="8"/>
      <c r="AD442" s="8"/>
      <c r="AE442" s="12"/>
      <c r="AF442" s="13"/>
      <c r="AG442" s="12"/>
      <c r="AH442" s="13"/>
      <c r="AI442" s="12"/>
      <c r="AJ442" s="13"/>
      <c r="AK442" s="13"/>
      <c r="AL442" s="13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 spans="1:55" ht="16.899999999999999">
      <c r="A443" s="36">
        <v>442</v>
      </c>
      <c r="D443" s="5"/>
      <c r="U443" s="8"/>
      <c r="W443" s="13"/>
      <c r="X443" s="13"/>
      <c r="Y443" s="5"/>
      <c r="Z443" s="14"/>
      <c r="AA443" s="13"/>
      <c r="AB443" s="13"/>
      <c r="AC443" s="8"/>
      <c r="AD443" s="8"/>
      <c r="AE443" s="12"/>
      <c r="AF443" s="13"/>
      <c r="AG443" s="12"/>
      <c r="AH443" s="13"/>
      <c r="AI443" s="12"/>
      <c r="AJ443" s="13"/>
      <c r="AK443" s="13"/>
      <c r="AL443" s="13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 spans="1:55" ht="16.899999999999999">
      <c r="A444" s="36">
        <v>443</v>
      </c>
      <c r="D444" s="5"/>
      <c r="U444" s="8"/>
      <c r="W444" s="13"/>
      <c r="X444" s="13"/>
      <c r="Y444" s="5"/>
      <c r="Z444" s="14"/>
      <c r="AA444" s="13"/>
      <c r="AB444" s="13"/>
      <c r="AC444" s="8"/>
      <c r="AD444" s="8"/>
      <c r="AE444" s="12"/>
      <c r="AF444" s="13"/>
      <c r="AG444" s="12"/>
      <c r="AH444" s="13"/>
      <c r="AI444" s="12"/>
      <c r="AJ444" s="13"/>
      <c r="AK444" s="13"/>
      <c r="AL444" s="13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 spans="1:55" ht="16.899999999999999">
      <c r="A445" s="36">
        <v>444</v>
      </c>
      <c r="D445" s="5"/>
      <c r="U445" s="8"/>
      <c r="W445" s="13"/>
      <c r="X445" s="13"/>
      <c r="Y445" s="5"/>
      <c r="Z445" s="14"/>
      <c r="AA445" s="13"/>
      <c r="AB445" s="13"/>
      <c r="AC445" s="8"/>
      <c r="AD445" s="8"/>
      <c r="AE445" s="12"/>
      <c r="AF445" s="13"/>
      <c r="AG445" s="12"/>
      <c r="AH445" s="13"/>
      <c r="AI445" s="12"/>
      <c r="AJ445" s="13"/>
      <c r="AK445" s="13"/>
      <c r="AL445" s="13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 spans="1:55" ht="16.899999999999999">
      <c r="A446" s="36">
        <v>445</v>
      </c>
      <c r="D446" s="5"/>
      <c r="U446" s="8"/>
      <c r="W446" s="13"/>
      <c r="X446" s="13"/>
      <c r="Y446" s="5"/>
      <c r="Z446" s="13"/>
      <c r="AA446" s="13"/>
      <c r="AB446" s="13"/>
      <c r="AC446" s="8"/>
      <c r="AD446" s="8"/>
      <c r="AE446" s="12"/>
      <c r="AF446" s="13"/>
      <c r="AG446" s="12"/>
      <c r="AH446" s="13"/>
      <c r="AI446" s="12"/>
      <c r="AJ446" s="13"/>
      <c r="AK446" s="13"/>
      <c r="AL446" s="13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 spans="1:55" ht="16.899999999999999">
      <c r="A447" s="36">
        <v>446</v>
      </c>
      <c r="D447" s="5"/>
      <c r="U447" s="8"/>
      <c r="W447" s="13"/>
      <c r="X447" s="13"/>
      <c r="Y447" s="5"/>
      <c r="Z447" s="13"/>
      <c r="AA447" s="13"/>
      <c r="AB447" s="13"/>
      <c r="AC447" s="8"/>
      <c r="AD447" s="8"/>
      <c r="AE447" s="12"/>
      <c r="AF447" s="13"/>
      <c r="AG447" s="12"/>
      <c r="AH447" s="13"/>
      <c r="AI447" s="12"/>
      <c r="AJ447" s="13"/>
      <c r="AK447" s="13"/>
      <c r="AL447" s="13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 spans="1:55" ht="16.899999999999999">
      <c r="A448" s="36">
        <v>447</v>
      </c>
      <c r="D448" s="5"/>
      <c r="U448" s="8"/>
      <c r="W448" s="13"/>
      <c r="X448" s="13"/>
      <c r="Y448" s="5"/>
      <c r="Z448" s="13"/>
      <c r="AA448" s="13"/>
      <c r="AB448" s="13"/>
      <c r="AC448" s="8"/>
      <c r="AD448" s="8"/>
      <c r="AE448" s="12"/>
      <c r="AF448" s="13"/>
      <c r="AG448" s="12"/>
      <c r="AH448" s="13"/>
      <c r="AI448" s="12"/>
      <c r="AJ448" s="13"/>
      <c r="AK448" s="13"/>
      <c r="AL448" s="13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 spans="1:52" ht="16.899999999999999">
      <c r="A449" s="36">
        <v>448</v>
      </c>
      <c r="D449" s="5"/>
      <c r="U449" s="8"/>
      <c r="W449" s="13"/>
      <c r="X449" s="13"/>
      <c r="Y449" s="5"/>
      <c r="Z449" s="13"/>
      <c r="AA449" s="13"/>
      <c r="AB449" s="13"/>
      <c r="AC449" s="8"/>
      <c r="AD449" s="8"/>
      <c r="AE449" s="12"/>
      <c r="AF449" s="13"/>
      <c r="AG449" s="12"/>
      <c r="AH449" s="13"/>
      <c r="AI449" s="12"/>
      <c r="AJ449" s="13"/>
      <c r="AK449" s="13"/>
      <c r="AL449" s="13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 spans="1:52" ht="16.899999999999999">
      <c r="A450" s="36">
        <v>449</v>
      </c>
      <c r="D450" s="5"/>
      <c r="U450" s="8"/>
      <c r="W450" s="13"/>
      <c r="X450" s="13"/>
      <c r="Y450" s="5"/>
      <c r="Z450" s="13"/>
      <c r="AA450" s="13"/>
      <c r="AB450" s="13"/>
      <c r="AC450" s="8"/>
      <c r="AD450" s="8"/>
      <c r="AE450" s="12"/>
      <c r="AF450" s="13"/>
      <c r="AG450" s="12"/>
      <c r="AH450" s="13"/>
      <c r="AI450" s="12"/>
      <c r="AJ450" s="13"/>
      <c r="AK450" s="13"/>
      <c r="AL450" s="13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 spans="1:52" ht="16.899999999999999">
      <c r="A451" s="36">
        <v>450</v>
      </c>
      <c r="D451" s="5"/>
      <c r="U451" s="8"/>
      <c r="W451" s="13"/>
      <c r="X451" s="13"/>
      <c r="Y451" s="5"/>
      <c r="Z451" s="13"/>
      <c r="AA451" s="13"/>
      <c r="AB451" s="13"/>
      <c r="AC451" s="8"/>
      <c r="AD451" s="8"/>
      <c r="AE451" s="12"/>
      <c r="AF451" s="13"/>
      <c r="AG451" s="12"/>
      <c r="AH451" s="13"/>
      <c r="AI451" s="12"/>
      <c r="AJ451" s="13"/>
      <c r="AK451" s="13"/>
      <c r="AL451" s="13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 spans="1:52" ht="16.899999999999999">
      <c r="A452" s="36">
        <v>451</v>
      </c>
      <c r="D452" s="5"/>
      <c r="U452" s="8"/>
      <c r="W452" s="13"/>
      <c r="X452" s="13"/>
      <c r="Y452" s="5"/>
      <c r="Z452" s="13"/>
      <c r="AA452" s="13"/>
      <c r="AB452" s="13"/>
      <c r="AC452" s="8"/>
      <c r="AD452" s="8"/>
      <c r="AE452" s="12"/>
      <c r="AF452" s="13"/>
      <c r="AG452" s="12"/>
      <c r="AH452" s="13"/>
      <c r="AI452" s="12"/>
      <c r="AJ452" s="13"/>
      <c r="AK452" s="13"/>
      <c r="AL452" s="13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 spans="1:52" ht="16.899999999999999">
      <c r="A453" s="36">
        <v>452</v>
      </c>
      <c r="D453" s="5"/>
      <c r="U453" s="8"/>
      <c r="W453" s="13"/>
      <c r="X453" s="13"/>
      <c r="Y453" s="5"/>
      <c r="Z453" s="13"/>
      <c r="AA453" s="13"/>
      <c r="AB453" s="13"/>
      <c r="AC453" s="8"/>
      <c r="AD453" s="8"/>
      <c r="AE453" s="12"/>
      <c r="AF453" s="13"/>
      <c r="AG453" s="12"/>
      <c r="AH453" s="13"/>
      <c r="AI453" s="12"/>
      <c r="AJ453" s="13"/>
      <c r="AK453" s="13"/>
      <c r="AL453" s="13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 spans="1:52" ht="16.899999999999999">
      <c r="A454" s="36">
        <v>453</v>
      </c>
      <c r="D454" s="5"/>
      <c r="U454" s="8"/>
      <c r="W454" s="13"/>
      <c r="X454" s="13"/>
      <c r="Y454" s="5"/>
      <c r="Z454" s="13"/>
      <c r="AA454" s="13"/>
      <c r="AB454" s="13"/>
      <c r="AC454" s="8"/>
      <c r="AD454" s="8"/>
      <c r="AE454" s="12"/>
      <c r="AF454" s="13"/>
      <c r="AG454" s="12"/>
      <c r="AH454" s="13"/>
      <c r="AI454" s="12"/>
      <c r="AJ454" s="13"/>
      <c r="AK454" s="13"/>
      <c r="AL454" s="13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 spans="1:52" ht="16.899999999999999">
      <c r="A455" s="36">
        <v>454</v>
      </c>
      <c r="D455" s="5"/>
      <c r="U455" s="8"/>
      <c r="W455" s="13"/>
      <c r="X455" s="13"/>
      <c r="Y455" s="5"/>
      <c r="Z455" s="13"/>
      <c r="AA455" s="13"/>
      <c r="AB455" s="13"/>
      <c r="AC455" s="8"/>
      <c r="AD455" s="8"/>
      <c r="AE455" s="12"/>
      <c r="AF455" s="13"/>
      <c r="AG455" s="12"/>
      <c r="AH455" s="13"/>
      <c r="AI455" s="12"/>
      <c r="AJ455" s="13"/>
      <c r="AK455" s="13"/>
      <c r="AL455" s="13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 spans="1:52" ht="16.899999999999999">
      <c r="A456" s="36">
        <v>455</v>
      </c>
      <c r="D456" s="5"/>
      <c r="U456" s="8"/>
      <c r="W456" s="13"/>
      <c r="X456" s="13"/>
      <c r="Y456" s="5"/>
      <c r="Z456" s="13"/>
      <c r="AA456" s="13"/>
      <c r="AB456" s="13"/>
      <c r="AC456" s="8"/>
      <c r="AD456" s="8"/>
      <c r="AE456" s="12"/>
      <c r="AF456" s="13"/>
      <c r="AG456" s="12"/>
      <c r="AH456" s="13"/>
      <c r="AI456" s="12"/>
      <c r="AJ456" s="13"/>
      <c r="AK456" s="13"/>
      <c r="AL456" s="13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 spans="1:52" ht="16.899999999999999">
      <c r="A457" s="36">
        <v>456</v>
      </c>
      <c r="D457" s="5"/>
      <c r="U457" s="8"/>
      <c r="W457" s="13"/>
      <c r="X457" s="13"/>
      <c r="Y457" s="5"/>
      <c r="Z457" s="13"/>
      <c r="AA457" s="13"/>
      <c r="AB457" s="13"/>
      <c r="AC457" s="8"/>
      <c r="AD457" s="8"/>
      <c r="AE457" s="12"/>
      <c r="AF457" s="13"/>
      <c r="AG457" s="12"/>
      <c r="AH457" s="13"/>
      <c r="AI457" s="12"/>
      <c r="AJ457" s="13"/>
      <c r="AK457" s="13"/>
      <c r="AL457" s="13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 spans="1:52" ht="16.899999999999999">
      <c r="A458" s="36">
        <v>457</v>
      </c>
      <c r="D458" s="5"/>
      <c r="U458" s="8"/>
      <c r="W458" s="13"/>
      <c r="X458" s="13"/>
      <c r="Y458" s="5"/>
      <c r="Z458" s="13"/>
      <c r="AA458" s="13"/>
      <c r="AB458" s="13"/>
      <c r="AC458" s="8"/>
      <c r="AD458" s="8"/>
      <c r="AE458" s="12"/>
      <c r="AF458" s="13"/>
      <c r="AG458" s="12"/>
      <c r="AH458" s="13"/>
      <c r="AI458" s="12"/>
      <c r="AJ458" s="13"/>
      <c r="AK458" s="13"/>
      <c r="AL458" s="13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 spans="1:52" ht="16.899999999999999">
      <c r="A459" s="36">
        <v>458</v>
      </c>
      <c r="D459" s="5"/>
      <c r="U459" s="8"/>
      <c r="W459" s="13"/>
      <c r="X459" s="13"/>
      <c r="Y459" s="5"/>
      <c r="Z459" s="13"/>
      <c r="AA459" s="13"/>
      <c r="AB459" s="13"/>
      <c r="AC459" s="8"/>
      <c r="AD459" s="8"/>
      <c r="AE459" s="12"/>
      <c r="AF459" s="13"/>
      <c r="AG459" s="12"/>
      <c r="AH459" s="13"/>
      <c r="AI459" s="12"/>
      <c r="AJ459" s="13"/>
      <c r="AK459" s="13"/>
      <c r="AL459" s="13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 spans="1:52" ht="16.899999999999999">
      <c r="A460" s="36">
        <v>459</v>
      </c>
      <c r="D460" s="5"/>
      <c r="U460" s="8"/>
      <c r="W460" s="13"/>
      <c r="X460" s="13"/>
      <c r="Y460" s="5"/>
      <c r="Z460" s="13"/>
      <c r="AA460" s="13"/>
      <c r="AB460" s="13"/>
      <c r="AC460" s="8"/>
      <c r="AD460" s="8"/>
      <c r="AE460" s="12"/>
      <c r="AF460" s="13"/>
      <c r="AG460" s="12"/>
      <c r="AH460" s="13"/>
      <c r="AI460" s="12"/>
      <c r="AJ460" s="13"/>
      <c r="AK460" s="13"/>
      <c r="AL460" s="13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 spans="1:52" ht="16.899999999999999">
      <c r="A461" s="36">
        <v>460</v>
      </c>
      <c r="D461" s="5"/>
      <c r="U461" s="8"/>
      <c r="W461" s="13"/>
      <c r="X461" s="13"/>
      <c r="Y461" s="5"/>
      <c r="Z461" s="13"/>
      <c r="AA461" s="13"/>
      <c r="AB461" s="13"/>
      <c r="AC461" s="8"/>
      <c r="AD461" s="8"/>
      <c r="AE461" s="12"/>
      <c r="AF461" s="13"/>
      <c r="AG461" s="12"/>
      <c r="AH461" s="13"/>
      <c r="AI461" s="12"/>
      <c r="AJ461" s="13"/>
      <c r="AK461" s="13"/>
      <c r="AL461" s="13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 spans="1:52" ht="16.899999999999999">
      <c r="A462" s="36">
        <v>461</v>
      </c>
      <c r="D462" s="5"/>
      <c r="U462" s="8"/>
      <c r="W462" s="13"/>
      <c r="X462" s="13"/>
      <c r="Y462" s="5"/>
      <c r="Z462" s="13"/>
      <c r="AA462" s="13"/>
      <c r="AB462" s="13"/>
      <c r="AC462" s="8"/>
      <c r="AD462" s="8"/>
      <c r="AE462" s="12"/>
      <c r="AF462" s="13"/>
      <c r="AG462" s="12"/>
      <c r="AH462" s="13"/>
      <c r="AI462" s="12"/>
      <c r="AJ462" s="13"/>
      <c r="AK462" s="13"/>
      <c r="AL462" s="13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 spans="1:52" ht="16.899999999999999">
      <c r="A463" s="36">
        <v>462</v>
      </c>
      <c r="D463" s="5"/>
      <c r="U463" s="8"/>
      <c r="W463" s="13"/>
      <c r="X463" s="13"/>
      <c r="Y463" s="5"/>
      <c r="Z463" s="13"/>
      <c r="AA463" s="13"/>
      <c r="AB463" s="13"/>
      <c r="AC463" s="8"/>
      <c r="AD463" s="8"/>
      <c r="AE463" s="12"/>
      <c r="AF463" s="13"/>
      <c r="AG463" s="12"/>
      <c r="AH463" s="13"/>
      <c r="AI463" s="12"/>
      <c r="AJ463" s="13"/>
      <c r="AK463" s="13"/>
      <c r="AL463" s="13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 spans="1:52" ht="16.899999999999999">
      <c r="A464" s="36">
        <v>463</v>
      </c>
      <c r="D464" s="5"/>
      <c r="U464" s="8"/>
      <c r="W464" s="13"/>
      <c r="X464" s="13"/>
      <c r="Y464" s="5"/>
      <c r="Z464" s="13"/>
      <c r="AA464" s="13"/>
      <c r="AB464" s="13"/>
      <c r="AC464" s="8"/>
      <c r="AD464" s="8"/>
      <c r="AE464" s="12"/>
      <c r="AF464" s="13"/>
      <c r="AG464" s="12"/>
      <c r="AH464" s="13"/>
      <c r="AI464" s="12"/>
      <c r="AJ464" s="13"/>
      <c r="AK464" s="13"/>
      <c r="AL464" s="13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 spans="1:52" ht="16.899999999999999">
      <c r="A465" s="36">
        <v>464</v>
      </c>
      <c r="D465" s="5"/>
      <c r="U465" s="8"/>
      <c r="W465" s="13"/>
      <c r="X465" s="13"/>
      <c r="Y465" s="5"/>
      <c r="Z465" s="13"/>
      <c r="AA465" s="13"/>
      <c r="AB465" s="13"/>
      <c r="AC465" s="8"/>
      <c r="AD465" s="8"/>
      <c r="AE465" s="12"/>
      <c r="AF465" s="13"/>
      <c r="AG465" s="12"/>
      <c r="AH465" s="13"/>
      <c r="AI465" s="12"/>
      <c r="AJ465" s="13"/>
      <c r="AK465" s="13"/>
      <c r="AL465" s="13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 spans="1:52" ht="16.899999999999999">
      <c r="A466" s="36">
        <v>465</v>
      </c>
      <c r="D466" s="5"/>
      <c r="U466" s="8"/>
      <c r="W466" s="13"/>
      <c r="X466" s="13"/>
      <c r="Y466" s="5"/>
      <c r="Z466" s="13"/>
      <c r="AA466" s="13"/>
      <c r="AB466" s="13"/>
      <c r="AC466" s="8"/>
      <c r="AD466" s="8"/>
      <c r="AE466" s="12"/>
      <c r="AF466" s="13"/>
      <c r="AG466" s="12"/>
      <c r="AH466" s="13"/>
      <c r="AI466" s="12"/>
      <c r="AJ466" s="13"/>
      <c r="AK466" s="13"/>
      <c r="AL466" s="13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 spans="1:52" ht="16.899999999999999">
      <c r="A467" s="36">
        <v>466</v>
      </c>
      <c r="D467" s="5"/>
      <c r="U467" s="8"/>
      <c r="W467" s="13"/>
      <c r="X467" s="13"/>
      <c r="Y467" s="5"/>
      <c r="Z467" s="13"/>
      <c r="AA467" s="13"/>
      <c r="AB467" s="13"/>
      <c r="AC467" s="8"/>
      <c r="AD467" s="8"/>
      <c r="AE467" s="12"/>
      <c r="AF467" s="13"/>
      <c r="AG467" s="12"/>
      <c r="AH467" s="13"/>
      <c r="AI467" s="12"/>
      <c r="AJ467" s="13"/>
      <c r="AK467" s="13"/>
      <c r="AL467" s="13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 spans="1:52" ht="16.899999999999999">
      <c r="A468" s="36">
        <v>467</v>
      </c>
      <c r="D468" s="5"/>
      <c r="U468" s="8"/>
      <c r="W468" s="13"/>
      <c r="X468" s="13"/>
      <c r="Y468" s="5"/>
      <c r="Z468" s="13"/>
      <c r="AA468" s="13"/>
      <c r="AB468" s="13"/>
      <c r="AC468" s="8"/>
      <c r="AD468" s="8"/>
      <c r="AE468" s="12"/>
      <c r="AF468" s="13"/>
      <c r="AG468" s="12"/>
      <c r="AH468" s="13"/>
      <c r="AI468" s="12"/>
      <c r="AJ468" s="13"/>
      <c r="AK468" s="13"/>
      <c r="AL468" s="13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 spans="1:52" ht="16.899999999999999">
      <c r="A469" s="36">
        <v>468</v>
      </c>
      <c r="D469" s="5"/>
      <c r="U469" s="8"/>
      <c r="W469" s="13"/>
      <c r="X469" s="13"/>
      <c r="Y469" s="5"/>
      <c r="Z469" s="13"/>
      <c r="AA469" s="13"/>
      <c r="AB469" s="13"/>
      <c r="AC469" s="8"/>
      <c r="AD469" s="8"/>
      <c r="AE469" s="12"/>
      <c r="AF469" s="13"/>
      <c r="AG469" s="12"/>
      <c r="AH469" s="13"/>
      <c r="AI469" s="12"/>
      <c r="AJ469" s="13"/>
      <c r="AK469" s="13"/>
      <c r="AL469" s="13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 spans="1:52" ht="16.899999999999999">
      <c r="A470" s="36">
        <v>469</v>
      </c>
      <c r="D470" s="5"/>
      <c r="U470" s="8"/>
      <c r="W470" s="13"/>
      <c r="X470" s="13"/>
      <c r="Y470" s="5"/>
      <c r="Z470" s="13"/>
      <c r="AA470" s="13"/>
      <c r="AB470" s="13"/>
      <c r="AC470" s="8"/>
      <c r="AD470" s="8"/>
      <c r="AE470" s="12"/>
      <c r="AF470" s="13"/>
      <c r="AG470" s="12"/>
      <c r="AH470" s="13"/>
      <c r="AI470" s="12"/>
      <c r="AJ470" s="13"/>
      <c r="AK470" s="13"/>
      <c r="AL470" s="13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 spans="1:52" ht="16.899999999999999">
      <c r="A471" s="36">
        <v>470</v>
      </c>
      <c r="D471" s="5"/>
      <c r="U471" s="8"/>
      <c r="W471" s="13"/>
      <c r="X471" s="13"/>
      <c r="Y471" s="5"/>
      <c r="Z471" s="13"/>
      <c r="AA471" s="13"/>
      <c r="AB471" s="13"/>
      <c r="AC471" s="8"/>
      <c r="AD471" s="8"/>
      <c r="AE471" s="12"/>
      <c r="AF471" s="13"/>
      <c r="AG471" s="12"/>
      <c r="AH471" s="13"/>
      <c r="AI471" s="12"/>
      <c r="AJ471" s="13"/>
      <c r="AK471" s="13"/>
      <c r="AL471" s="13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 spans="1:52" ht="16.899999999999999">
      <c r="A472" s="36">
        <v>471</v>
      </c>
      <c r="D472" s="5"/>
      <c r="U472" s="8"/>
      <c r="W472" s="13"/>
      <c r="X472" s="13"/>
      <c r="Y472" s="5"/>
      <c r="Z472" s="13"/>
      <c r="AA472" s="13"/>
      <c r="AB472" s="13"/>
      <c r="AC472" s="8"/>
      <c r="AD472" s="8"/>
      <c r="AE472" s="12"/>
      <c r="AF472" s="13"/>
      <c r="AG472" s="12"/>
      <c r="AH472" s="13"/>
      <c r="AI472" s="12"/>
      <c r="AJ472" s="13"/>
      <c r="AK472" s="13"/>
      <c r="AL472" s="13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 spans="1:52" ht="16.899999999999999">
      <c r="A473" s="36">
        <v>472</v>
      </c>
      <c r="D473" s="5"/>
      <c r="U473" s="8"/>
      <c r="W473" s="13"/>
      <c r="X473" s="13"/>
      <c r="Y473" s="5"/>
      <c r="Z473" s="13"/>
      <c r="AA473" s="13"/>
      <c r="AB473" s="13"/>
      <c r="AC473" s="8"/>
      <c r="AD473" s="8"/>
      <c r="AE473" s="12"/>
      <c r="AF473" s="13"/>
      <c r="AG473" s="12"/>
      <c r="AH473" s="13"/>
      <c r="AI473" s="12"/>
      <c r="AJ473" s="13"/>
      <c r="AK473" s="13"/>
      <c r="AL473" s="13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 spans="1:52" ht="16.899999999999999">
      <c r="A474" s="36">
        <v>473</v>
      </c>
      <c r="D474" s="5"/>
      <c r="U474" s="8"/>
      <c r="W474" s="13"/>
      <c r="X474" s="13"/>
      <c r="Y474" s="5"/>
      <c r="Z474" s="13"/>
      <c r="AA474" s="13"/>
      <c r="AB474" s="13"/>
      <c r="AC474" s="8"/>
      <c r="AD474" s="8"/>
      <c r="AE474" s="12"/>
      <c r="AF474" s="13"/>
      <c r="AG474" s="12"/>
      <c r="AH474" s="13"/>
      <c r="AI474" s="12"/>
      <c r="AJ474" s="13"/>
      <c r="AK474" s="13"/>
      <c r="AL474" s="13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 spans="1:52" ht="16.899999999999999">
      <c r="A475" s="36">
        <v>474</v>
      </c>
      <c r="D475" s="5"/>
      <c r="U475" s="8"/>
      <c r="W475" s="13"/>
      <c r="X475" s="13"/>
      <c r="Y475" s="5"/>
      <c r="Z475" s="13"/>
      <c r="AA475" s="13"/>
      <c r="AB475" s="13"/>
      <c r="AC475" s="8"/>
      <c r="AD475" s="8"/>
      <c r="AE475" s="12"/>
      <c r="AF475" s="13"/>
      <c r="AG475" s="12"/>
      <c r="AH475" s="13"/>
      <c r="AI475" s="12"/>
      <c r="AJ475" s="13"/>
      <c r="AK475" s="13"/>
      <c r="AL475" s="13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 spans="1:52" ht="16.899999999999999">
      <c r="U476" s="8"/>
      <c r="W476" s="10"/>
      <c r="X476" s="10"/>
      <c r="Z476" s="13"/>
      <c r="AA476" s="13"/>
      <c r="AB476" s="13"/>
      <c r="AC476" s="9"/>
      <c r="AD476" s="9"/>
      <c r="AE476" s="11"/>
      <c r="AF476" s="10"/>
      <c r="AG476" s="11"/>
      <c r="AH476" s="10"/>
      <c r="AI476" s="11"/>
      <c r="AJ476" s="10"/>
      <c r="AK476" s="10"/>
      <c r="AL476" s="10"/>
      <c r="AM476" s="8"/>
      <c r="AN476" s="8"/>
      <c r="AO476" s="9"/>
      <c r="AP476" s="9"/>
      <c r="AQ476" s="9"/>
      <c r="AR476" s="8"/>
      <c r="AS476" s="8"/>
      <c r="AT476" s="8"/>
      <c r="AU476" s="8"/>
      <c r="AV476" s="8"/>
      <c r="AW476" s="8"/>
      <c r="AX476" s="8"/>
      <c r="AY476" s="8"/>
      <c r="AZ476" s="8"/>
    </row>
    <row r="477" spans="1:52" ht="16.899999999999999">
      <c r="U477" s="8"/>
      <c r="W477" s="10"/>
      <c r="X477" s="10"/>
      <c r="Z477" s="13"/>
      <c r="AA477" s="13"/>
      <c r="AB477" s="13"/>
      <c r="AC477" s="9"/>
      <c r="AD477" s="9"/>
      <c r="AE477" s="11"/>
      <c r="AF477" s="10"/>
      <c r="AG477" s="11"/>
      <c r="AH477" s="10"/>
      <c r="AI477" s="11"/>
      <c r="AJ477" s="10"/>
      <c r="AK477" s="10"/>
      <c r="AL477" s="10"/>
      <c r="AM477" s="8"/>
      <c r="AN477" s="8"/>
      <c r="AO477" s="9"/>
      <c r="AP477" s="9"/>
      <c r="AQ477" s="9"/>
      <c r="AR477" s="8"/>
      <c r="AS477" s="8"/>
      <c r="AT477" s="8"/>
      <c r="AU477" s="8"/>
      <c r="AV477" s="8"/>
      <c r="AW477" s="8"/>
      <c r="AX477" s="8"/>
      <c r="AY477" s="8"/>
      <c r="AZ477" s="8"/>
    </row>
    <row r="478" spans="1:52" ht="16.899999999999999">
      <c r="U478" s="8"/>
      <c r="W478" s="10"/>
      <c r="X478" s="10"/>
      <c r="Z478" s="13"/>
      <c r="AA478" s="13"/>
      <c r="AB478" s="13"/>
      <c r="AC478" s="9"/>
      <c r="AD478" s="9"/>
      <c r="AE478" s="11"/>
      <c r="AF478" s="10"/>
      <c r="AG478" s="11"/>
      <c r="AH478" s="10"/>
      <c r="AI478" s="11"/>
      <c r="AJ478" s="10"/>
      <c r="AK478" s="10"/>
      <c r="AL478" s="10"/>
      <c r="AM478" s="8"/>
      <c r="AN478" s="8"/>
      <c r="AO478" s="9"/>
      <c r="AP478" s="9"/>
      <c r="AQ478" s="9"/>
      <c r="AR478" s="8"/>
      <c r="AS478" s="8"/>
      <c r="AT478" s="8"/>
      <c r="AU478" s="8"/>
      <c r="AV478" s="8"/>
      <c r="AW478" s="8"/>
      <c r="AX478" s="8"/>
      <c r="AY478" s="8"/>
      <c r="AZ478" s="8"/>
    </row>
    <row r="479" spans="1:52" ht="16.899999999999999">
      <c r="U479" s="8"/>
      <c r="W479" s="10"/>
      <c r="X479" s="10"/>
      <c r="Z479" s="13"/>
      <c r="AA479" s="13"/>
      <c r="AB479" s="13"/>
      <c r="AC479" s="9"/>
      <c r="AD479" s="9"/>
      <c r="AE479" s="11"/>
      <c r="AF479" s="10"/>
      <c r="AG479" s="11"/>
      <c r="AH479" s="10"/>
      <c r="AI479" s="11"/>
      <c r="AJ479" s="10"/>
      <c r="AK479" s="10"/>
      <c r="AL479" s="10"/>
      <c r="AM479" s="8"/>
      <c r="AN479" s="8"/>
      <c r="AO479" s="9"/>
      <c r="AP479" s="9"/>
      <c r="AQ479" s="9"/>
      <c r="AR479" s="8"/>
      <c r="AS479" s="8"/>
      <c r="AT479" s="8"/>
      <c r="AU479" s="8"/>
      <c r="AV479" s="8"/>
      <c r="AW479" s="8"/>
      <c r="AX479" s="8"/>
      <c r="AY479" s="8"/>
      <c r="AZ479" s="8"/>
    </row>
    <row r="480" spans="1:52" ht="16.899999999999999">
      <c r="U480" s="8"/>
      <c r="W480" s="10"/>
      <c r="X480" s="10"/>
      <c r="Z480" s="13"/>
      <c r="AA480" s="13"/>
      <c r="AB480" s="13"/>
      <c r="AC480" s="9"/>
      <c r="AD480" s="9"/>
      <c r="AE480" s="11"/>
      <c r="AF480" s="10"/>
      <c r="AG480" s="11"/>
      <c r="AH480" s="10"/>
      <c r="AI480" s="11"/>
      <c r="AJ480" s="10"/>
      <c r="AK480" s="10"/>
      <c r="AL480" s="10"/>
      <c r="AM480" s="8"/>
      <c r="AN480" s="8"/>
      <c r="AO480" s="9"/>
      <c r="AP480" s="9"/>
      <c r="AQ480" s="9"/>
      <c r="AR480" s="8"/>
      <c r="AS480" s="8"/>
      <c r="AT480" s="8"/>
      <c r="AU480" s="8"/>
      <c r="AV480" s="8"/>
      <c r="AW480" s="8"/>
      <c r="AX480" s="8"/>
      <c r="AY480" s="8"/>
      <c r="AZ480" s="8"/>
    </row>
    <row r="481" spans="21:52" ht="16.899999999999999">
      <c r="U481" s="8"/>
      <c r="W481" s="10"/>
      <c r="X481" s="10"/>
      <c r="Z481" s="13"/>
      <c r="AA481" s="13"/>
      <c r="AB481" s="13"/>
      <c r="AC481" s="9"/>
      <c r="AD481" s="9"/>
      <c r="AE481" s="11"/>
      <c r="AF481" s="10"/>
      <c r="AG481" s="11"/>
      <c r="AH481" s="10"/>
      <c r="AI481" s="11"/>
      <c r="AJ481" s="10"/>
      <c r="AK481" s="10"/>
      <c r="AL481" s="10"/>
      <c r="AM481" s="8"/>
      <c r="AN481" s="8"/>
      <c r="AO481" s="9"/>
      <c r="AP481" s="9"/>
      <c r="AQ481" s="9"/>
      <c r="AR481" s="8"/>
      <c r="AS481" s="8"/>
      <c r="AT481" s="8"/>
      <c r="AU481" s="8"/>
      <c r="AV481" s="8"/>
      <c r="AW481" s="8"/>
      <c r="AX481" s="8"/>
      <c r="AY481" s="8"/>
      <c r="AZ481" s="8"/>
    </row>
    <row r="482" spans="21:52" ht="16.899999999999999">
      <c r="U482" s="8"/>
      <c r="W482" s="10"/>
      <c r="X482" s="10"/>
      <c r="Z482" s="13"/>
      <c r="AA482" s="13"/>
      <c r="AB482" s="13"/>
      <c r="AC482" s="9"/>
      <c r="AD482" s="9"/>
      <c r="AE482" s="11"/>
      <c r="AF482" s="10"/>
      <c r="AG482" s="11"/>
      <c r="AH482" s="10"/>
      <c r="AI482" s="11"/>
      <c r="AJ482" s="10"/>
      <c r="AK482" s="10"/>
      <c r="AL482" s="10"/>
      <c r="AM482" s="8"/>
      <c r="AN482" s="8"/>
      <c r="AO482" s="9"/>
      <c r="AP482" s="9"/>
      <c r="AQ482" s="9"/>
      <c r="AR482" s="8"/>
      <c r="AS482" s="8"/>
      <c r="AT482" s="8"/>
      <c r="AU482" s="8"/>
      <c r="AV482" s="8"/>
      <c r="AW482" s="8"/>
      <c r="AX482" s="8"/>
      <c r="AY482" s="8"/>
      <c r="AZ482" s="8"/>
    </row>
    <row r="483" spans="21:52" ht="16.899999999999999">
      <c r="U483" s="8"/>
      <c r="W483" s="10"/>
      <c r="X483" s="10"/>
      <c r="Z483" s="13"/>
      <c r="AA483" s="13"/>
      <c r="AB483" s="13"/>
      <c r="AC483" s="9"/>
      <c r="AD483" s="9"/>
      <c r="AE483" s="11"/>
      <c r="AF483" s="10"/>
      <c r="AG483" s="11"/>
      <c r="AH483" s="10"/>
      <c r="AI483" s="11"/>
      <c r="AJ483" s="10"/>
      <c r="AK483" s="10"/>
      <c r="AL483" s="10"/>
      <c r="AM483" s="8"/>
      <c r="AN483" s="8"/>
      <c r="AO483" s="9"/>
      <c r="AP483" s="9"/>
      <c r="AQ483" s="9"/>
      <c r="AR483" s="8"/>
      <c r="AS483" s="8"/>
      <c r="AT483" s="8"/>
      <c r="AU483" s="8"/>
      <c r="AV483" s="8"/>
      <c r="AW483" s="8"/>
      <c r="AX483" s="8"/>
      <c r="AY483" s="8"/>
      <c r="AZ483" s="8"/>
    </row>
    <row r="484" spans="21:52" ht="16.899999999999999">
      <c r="U484" s="8"/>
      <c r="W484" s="10"/>
      <c r="X484" s="10"/>
      <c r="Z484" s="13"/>
      <c r="AA484" s="13"/>
      <c r="AB484" s="13"/>
      <c r="AC484" s="9"/>
      <c r="AD484" s="9"/>
      <c r="AE484" s="11"/>
      <c r="AF484" s="10"/>
      <c r="AG484" s="11"/>
      <c r="AH484" s="10"/>
      <c r="AI484" s="11"/>
      <c r="AJ484" s="10"/>
      <c r="AK484" s="10"/>
      <c r="AL484" s="10"/>
      <c r="AM484" s="8"/>
      <c r="AN484" s="8"/>
      <c r="AO484" s="9"/>
      <c r="AP484" s="9"/>
      <c r="AQ484" s="9"/>
      <c r="AR484" s="8"/>
      <c r="AS484" s="8"/>
      <c r="AT484" s="8"/>
      <c r="AU484" s="8"/>
      <c r="AV484" s="8"/>
      <c r="AW484" s="8"/>
      <c r="AX484" s="8"/>
      <c r="AY484" s="8"/>
      <c r="AZ484" s="8"/>
    </row>
    <row r="485" spans="21:52" ht="16.899999999999999">
      <c r="U485" s="8"/>
      <c r="W485" s="10"/>
      <c r="X485" s="10"/>
      <c r="Z485" s="13"/>
      <c r="AA485" s="13"/>
      <c r="AB485" s="13"/>
      <c r="AC485" s="9"/>
      <c r="AD485" s="9"/>
      <c r="AE485" s="11"/>
      <c r="AF485" s="10"/>
      <c r="AG485" s="11"/>
      <c r="AH485" s="10"/>
      <c r="AI485" s="11"/>
      <c r="AJ485" s="10"/>
      <c r="AK485" s="10"/>
      <c r="AL485" s="10"/>
      <c r="AM485" s="8"/>
      <c r="AN485" s="8"/>
      <c r="AO485" s="9"/>
      <c r="AP485" s="9"/>
      <c r="AQ485" s="9"/>
      <c r="AR485" s="8"/>
      <c r="AS485" s="8"/>
      <c r="AT485" s="8"/>
      <c r="AU485" s="8"/>
      <c r="AV485" s="8"/>
      <c r="AW485" s="8"/>
      <c r="AX485" s="8"/>
      <c r="AY485" s="8"/>
      <c r="AZ485" s="8"/>
    </row>
    <row r="486" spans="21:52" ht="16.899999999999999">
      <c r="U486" s="8"/>
      <c r="W486" s="10"/>
      <c r="X486" s="10"/>
      <c r="Z486" s="13"/>
      <c r="AA486" s="13"/>
      <c r="AB486" s="13"/>
      <c r="AC486" s="9"/>
      <c r="AD486" s="9"/>
      <c r="AE486" s="11"/>
      <c r="AF486" s="10"/>
      <c r="AG486" s="11"/>
      <c r="AH486" s="10"/>
      <c r="AI486" s="11"/>
      <c r="AJ486" s="10"/>
      <c r="AK486" s="10"/>
      <c r="AL486" s="10"/>
      <c r="AM486" s="8"/>
      <c r="AN486" s="8"/>
      <c r="AO486" s="9"/>
      <c r="AP486" s="9"/>
      <c r="AQ486" s="9"/>
      <c r="AR486" s="8"/>
      <c r="AS486" s="8"/>
      <c r="AT486" s="8"/>
      <c r="AU486" s="8"/>
      <c r="AV486" s="8"/>
      <c r="AW486" s="8"/>
      <c r="AX486" s="8"/>
      <c r="AY486" s="8"/>
      <c r="AZ486" s="8"/>
    </row>
    <row r="487" spans="21:52" ht="16.899999999999999">
      <c r="U487" s="8"/>
      <c r="W487" s="10"/>
      <c r="X487" s="10"/>
      <c r="Z487" s="13"/>
      <c r="AA487" s="13"/>
      <c r="AB487" s="13"/>
      <c r="AC487" s="9"/>
      <c r="AD487" s="9"/>
      <c r="AE487" s="11"/>
      <c r="AF487" s="10"/>
      <c r="AG487" s="11"/>
      <c r="AH487" s="10"/>
      <c r="AI487" s="11"/>
      <c r="AJ487" s="10"/>
      <c r="AK487" s="10"/>
      <c r="AL487" s="10"/>
      <c r="AM487" s="8"/>
      <c r="AN487" s="8"/>
      <c r="AO487" s="9"/>
      <c r="AP487" s="9"/>
      <c r="AQ487" s="9"/>
      <c r="AR487" s="8"/>
      <c r="AS487" s="8"/>
      <c r="AT487" s="8"/>
      <c r="AU487" s="8"/>
      <c r="AV487" s="8"/>
      <c r="AW487" s="8"/>
      <c r="AX487" s="8"/>
      <c r="AY487" s="8"/>
      <c r="AZ487" s="8"/>
    </row>
    <row r="488" spans="21:52" ht="16.899999999999999">
      <c r="U488" s="8"/>
      <c r="W488" s="10"/>
      <c r="X488" s="10"/>
      <c r="Z488" s="13"/>
      <c r="AA488" s="13"/>
      <c r="AB488" s="13"/>
      <c r="AC488" s="9"/>
      <c r="AD488" s="9"/>
      <c r="AE488" s="11"/>
      <c r="AF488" s="10"/>
      <c r="AG488" s="11"/>
      <c r="AH488" s="10"/>
      <c r="AI488" s="11"/>
      <c r="AJ488" s="10"/>
      <c r="AK488" s="10"/>
      <c r="AL488" s="10"/>
      <c r="AM488" s="8"/>
      <c r="AN488" s="8"/>
      <c r="AO488" s="9"/>
      <c r="AP488" s="9"/>
      <c r="AQ488" s="9"/>
      <c r="AR488" s="8"/>
      <c r="AS488" s="8"/>
      <c r="AT488" s="8"/>
      <c r="AU488" s="8"/>
      <c r="AV488" s="8"/>
      <c r="AW488" s="8"/>
      <c r="AX488" s="8"/>
      <c r="AY488" s="8"/>
      <c r="AZ488" s="8"/>
    </row>
    <row r="489" spans="21:52" ht="16.899999999999999">
      <c r="U489" s="8"/>
      <c r="W489" s="10"/>
      <c r="X489" s="10"/>
      <c r="Z489" s="13"/>
      <c r="AA489" s="13"/>
      <c r="AB489" s="13"/>
      <c r="AC489" s="9"/>
      <c r="AD489" s="9"/>
      <c r="AE489" s="11"/>
      <c r="AF489" s="10"/>
      <c r="AG489" s="11"/>
      <c r="AH489" s="10"/>
      <c r="AI489" s="11"/>
      <c r="AJ489" s="10"/>
      <c r="AK489" s="10"/>
      <c r="AL489" s="10"/>
      <c r="AM489" s="8"/>
      <c r="AN489" s="8"/>
      <c r="AO489" s="9"/>
      <c r="AP489" s="9"/>
      <c r="AQ489" s="9"/>
      <c r="AR489" s="8"/>
      <c r="AS489" s="8"/>
      <c r="AT489" s="8"/>
      <c r="AU489" s="8"/>
      <c r="AV489" s="8"/>
      <c r="AW489" s="8"/>
      <c r="AX489" s="8"/>
      <c r="AY489" s="8"/>
      <c r="AZ489" s="8"/>
    </row>
    <row r="490" spans="21:52" ht="16.899999999999999">
      <c r="U490" s="8"/>
      <c r="W490" s="10"/>
      <c r="X490" s="10"/>
      <c r="Z490" s="13"/>
      <c r="AA490" s="13"/>
      <c r="AB490" s="13"/>
      <c r="AC490" s="9"/>
      <c r="AD490" s="9"/>
      <c r="AE490" s="11"/>
      <c r="AF490" s="10"/>
      <c r="AG490" s="11"/>
      <c r="AH490" s="10"/>
      <c r="AI490" s="11"/>
      <c r="AJ490" s="10"/>
      <c r="AK490" s="10"/>
      <c r="AL490" s="10"/>
      <c r="AM490" s="8"/>
      <c r="AN490" s="8"/>
      <c r="AO490" s="9"/>
      <c r="AP490" s="9"/>
      <c r="AQ490" s="9"/>
      <c r="AR490" s="8"/>
      <c r="AS490" s="8"/>
      <c r="AT490" s="8"/>
      <c r="AU490" s="8"/>
      <c r="AV490" s="8"/>
      <c r="AW490" s="8"/>
      <c r="AX490" s="8"/>
      <c r="AY490" s="8"/>
      <c r="AZ490" s="8"/>
    </row>
    <row r="491" spans="21:52" ht="16.899999999999999">
      <c r="U491" s="8"/>
      <c r="W491" s="10"/>
      <c r="X491" s="10"/>
      <c r="Z491" s="13"/>
      <c r="AA491" s="13"/>
      <c r="AB491" s="13"/>
      <c r="AC491" s="9"/>
      <c r="AD491" s="9"/>
      <c r="AE491" s="11"/>
      <c r="AF491" s="10"/>
      <c r="AG491" s="11"/>
      <c r="AH491" s="10"/>
      <c r="AI491" s="11"/>
      <c r="AJ491" s="10"/>
      <c r="AK491" s="10"/>
      <c r="AL491" s="10"/>
      <c r="AM491" s="8"/>
      <c r="AN491" s="8"/>
      <c r="AO491" s="9"/>
      <c r="AP491" s="9"/>
      <c r="AQ491" s="9"/>
      <c r="AR491" s="8"/>
      <c r="AS491" s="8"/>
      <c r="AT491" s="8"/>
      <c r="AU491" s="8"/>
      <c r="AV491" s="8"/>
      <c r="AW491" s="8"/>
      <c r="AX491" s="8"/>
      <c r="AY491" s="8"/>
      <c r="AZ491" s="8"/>
    </row>
    <row r="492" spans="21:52" ht="16.899999999999999">
      <c r="U492" s="8"/>
      <c r="W492" s="10"/>
      <c r="X492" s="10"/>
      <c r="Z492" s="13"/>
      <c r="AA492" s="13"/>
      <c r="AB492" s="13"/>
      <c r="AC492" s="9"/>
      <c r="AD492" s="9"/>
      <c r="AE492" s="11"/>
      <c r="AF492" s="10"/>
      <c r="AG492" s="11"/>
      <c r="AH492" s="10"/>
      <c r="AI492" s="11"/>
      <c r="AJ492" s="10"/>
      <c r="AK492" s="10"/>
      <c r="AL492" s="10"/>
      <c r="AM492" s="8"/>
      <c r="AN492" s="8"/>
      <c r="AO492" s="9"/>
      <c r="AP492" s="9"/>
      <c r="AQ492" s="9"/>
      <c r="AR492" s="8"/>
      <c r="AS492" s="8"/>
      <c r="AT492" s="8"/>
      <c r="AU492" s="8"/>
      <c r="AV492" s="8"/>
      <c r="AW492" s="8"/>
      <c r="AX492" s="8"/>
      <c r="AY492" s="8"/>
      <c r="AZ492" s="8"/>
    </row>
    <row r="493" spans="21:52" ht="16.899999999999999">
      <c r="U493" s="8"/>
      <c r="W493" s="10"/>
      <c r="X493" s="10"/>
      <c r="Z493" s="13"/>
      <c r="AA493" s="13"/>
      <c r="AB493" s="13"/>
      <c r="AC493" s="9"/>
      <c r="AD493" s="9"/>
      <c r="AE493" s="11"/>
      <c r="AF493" s="10"/>
      <c r="AG493" s="11"/>
      <c r="AH493" s="10"/>
      <c r="AI493" s="11"/>
      <c r="AJ493" s="10"/>
      <c r="AK493" s="10"/>
      <c r="AL493" s="10"/>
      <c r="AM493" s="8"/>
      <c r="AN493" s="8"/>
      <c r="AO493" s="9"/>
      <c r="AP493" s="9"/>
      <c r="AQ493" s="9"/>
      <c r="AR493" s="8"/>
      <c r="AS493" s="8"/>
      <c r="AT493" s="8"/>
      <c r="AU493" s="8"/>
      <c r="AV493" s="8"/>
      <c r="AW493" s="8"/>
      <c r="AX493" s="8"/>
      <c r="AY493" s="8"/>
      <c r="AZ493" s="8"/>
    </row>
    <row r="494" spans="21:52" ht="16.899999999999999">
      <c r="U494" s="8"/>
      <c r="W494" s="10"/>
      <c r="X494" s="10"/>
      <c r="Z494" s="13"/>
      <c r="AA494" s="13"/>
      <c r="AB494" s="13"/>
      <c r="AC494" s="9"/>
      <c r="AD494" s="9"/>
      <c r="AE494" s="11"/>
      <c r="AF494" s="10"/>
      <c r="AG494" s="11"/>
      <c r="AH494" s="10"/>
      <c r="AI494" s="11"/>
      <c r="AJ494" s="10"/>
      <c r="AK494" s="10"/>
      <c r="AL494" s="10"/>
      <c r="AM494" s="8"/>
      <c r="AN494" s="8"/>
      <c r="AO494" s="9"/>
      <c r="AP494" s="9"/>
      <c r="AQ494" s="9"/>
      <c r="AR494" s="8"/>
      <c r="AS494" s="8"/>
      <c r="AT494" s="8"/>
      <c r="AU494" s="8"/>
      <c r="AV494" s="8"/>
      <c r="AW494" s="8"/>
      <c r="AX494" s="8"/>
      <c r="AY494" s="8"/>
      <c r="AZ494" s="8"/>
    </row>
    <row r="495" spans="21:52" ht="16.899999999999999">
      <c r="U495" s="8"/>
      <c r="W495" s="10"/>
      <c r="X495" s="10"/>
      <c r="Z495" s="13"/>
      <c r="AA495" s="13"/>
      <c r="AB495" s="13"/>
      <c r="AC495" s="9"/>
      <c r="AD495" s="9"/>
      <c r="AE495" s="11"/>
      <c r="AF495" s="10"/>
      <c r="AG495" s="11"/>
      <c r="AH495" s="10"/>
      <c r="AI495" s="11"/>
      <c r="AJ495" s="10"/>
      <c r="AK495" s="10"/>
      <c r="AL495" s="10"/>
      <c r="AM495" s="8"/>
      <c r="AN495" s="8"/>
      <c r="AO495" s="9"/>
      <c r="AP495" s="9"/>
      <c r="AQ495" s="9"/>
      <c r="AR495" s="8"/>
      <c r="AS495" s="8"/>
      <c r="AT495" s="8"/>
      <c r="AU495" s="8"/>
      <c r="AV495" s="8"/>
      <c r="AW495" s="8"/>
      <c r="AX495" s="8"/>
      <c r="AY495" s="8"/>
      <c r="AZ495" s="8"/>
    </row>
    <row r="496" spans="21:52" ht="16.899999999999999">
      <c r="U496" s="8"/>
      <c r="W496" s="10"/>
      <c r="X496" s="10"/>
      <c r="Z496" s="13"/>
      <c r="AA496" s="13"/>
      <c r="AB496" s="13"/>
      <c r="AC496" s="9"/>
      <c r="AD496" s="9"/>
      <c r="AE496" s="11"/>
      <c r="AF496" s="10"/>
      <c r="AG496" s="11"/>
      <c r="AH496" s="10"/>
      <c r="AI496" s="11"/>
      <c r="AJ496" s="10"/>
      <c r="AK496" s="10"/>
      <c r="AL496" s="10"/>
      <c r="AM496" s="8"/>
      <c r="AN496" s="8"/>
      <c r="AO496" s="9"/>
      <c r="AP496" s="9"/>
      <c r="AQ496" s="9"/>
      <c r="AR496" s="8"/>
      <c r="AS496" s="8"/>
      <c r="AT496" s="8"/>
      <c r="AU496" s="8"/>
      <c r="AV496" s="8"/>
      <c r="AW496" s="8"/>
      <c r="AX496" s="8"/>
      <c r="AY496" s="8"/>
      <c r="AZ496" s="8"/>
    </row>
    <row r="497" spans="21:52" ht="16.899999999999999">
      <c r="U497" s="8"/>
      <c r="W497" s="10"/>
      <c r="X497" s="10"/>
      <c r="Z497" s="13"/>
      <c r="AA497" s="13"/>
      <c r="AB497" s="13"/>
      <c r="AC497" s="9"/>
      <c r="AD497" s="9"/>
      <c r="AE497" s="11"/>
      <c r="AF497" s="10"/>
      <c r="AG497" s="11"/>
      <c r="AH497" s="10"/>
      <c r="AI497" s="11"/>
      <c r="AJ497" s="10"/>
      <c r="AK497" s="10"/>
      <c r="AL497" s="10"/>
      <c r="AM497" s="8"/>
      <c r="AN497" s="8"/>
      <c r="AO497" s="9"/>
      <c r="AP497" s="9"/>
      <c r="AQ497" s="9"/>
      <c r="AR497" s="8"/>
      <c r="AS497" s="8"/>
      <c r="AT497" s="8"/>
      <c r="AU497" s="8"/>
      <c r="AV497" s="8"/>
      <c r="AW497" s="8"/>
      <c r="AX497" s="8"/>
      <c r="AY497" s="8"/>
      <c r="AZ497" s="8"/>
    </row>
    <row r="498" spans="21:52" ht="16.899999999999999">
      <c r="U498" s="8"/>
      <c r="W498" s="10"/>
      <c r="X498" s="10"/>
      <c r="Z498" s="13"/>
      <c r="AA498" s="13"/>
      <c r="AB498" s="13"/>
      <c r="AC498" s="9"/>
      <c r="AD498" s="9"/>
      <c r="AE498" s="11"/>
      <c r="AF498" s="10"/>
      <c r="AG498" s="11"/>
      <c r="AH498" s="10"/>
      <c r="AI498" s="11"/>
      <c r="AJ498" s="10"/>
      <c r="AK498" s="10"/>
      <c r="AL498" s="10"/>
      <c r="AM498" s="8"/>
      <c r="AN498" s="8"/>
      <c r="AO498" s="9"/>
      <c r="AP498" s="9"/>
      <c r="AQ498" s="9"/>
      <c r="AR498" s="8"/>
      <c r="AS498" s="8"/>
      <c r="AT498" s="8"/>
      <c r="AU498" s="8"/>
      <c r="AV498" s="8"/>
      <c r="AW498" s="8"/>
      <c r="AX498" s="8"/>
      <c r="AY498" s="8"/>
      <c r="AZ498" s="8"/>
    </row>
    <row r="499" spans="21:52" ht="16.899999999999999">
      <c r="U499" s="8"/>
      <c r="W499" s="10"/>
      <c r="X499" s="10"/>
      <c r="Z499" s="13"/>
      <c r="AA499" s="13"/>
      <c r="AB499" s="13"/>
      <c r="AC499" s="9"/>
      <c r="AD499" s="9"/>
      <c r="AE499" s="11"/>
      <c r="AF499" s="10"/>
      <c r="AG499" s="11"/>
      <c r="AH499" s="10"/>
      <c r="AI499" s="11"/>
      <c r="AJ499" s="10"/>
      <c r="AK499" s="10"/>
      <c r="AL499" s="10"/>
      <c r="AM499" s="8"/>
      <c r="AN499" s="8"/>
      <c r="AO499" s="9"/>
      <c r="AP499" s="9"/>
      <c r="AQ499" s="9"/>
      <c r="AR499" s="8"/>
      <c r="AS499" s="8"/>
      <c r="AT499" s="8"/>
      <c r="AU499" s="8"/>
      <c r="AV499" s="8"/>
      <c r="AW499" s="8"/>
      <c r="AX499" s="8"/>
      <c r="AY499" s="8"/>
      <c r="AZ499" s="8"/>
    </row>
    <row r="500" spans="21:52" ht="16.899999999999999">
      <c r="U500" s="8"/>
      <c r="W500" s="10"/>
      <c r="X500" s="10"/>
      <c r="Z500" s="13"/>
      <c r="AA500" s="13"/>
      <c r="AB500" s="13"/>
      <c r="AC500" s="9"/>
      <c r="AD500" s="9"/>
      <c r="AE500" s="11"/>
      <c r="AF500" s="10"/>
      <c r="AG500" s="11"/>
      <c r="AH500" s="10"/>
      <c r="AI500" s="11"/>
      <c r="AJ500" s="10"/>
      <c r="AK500" s="10"/>
      <c r="AL500" s="10"/>
      <c r="AM500" s="8"/>
      <c r="AN500" s="8"/>
      <c r="AO500" s="9"/>
      <c r="AP500" s="9"/>
      <c r="AQ500" s="9"/>
      <c r="AR500" s="8"/>
      <c r="AS500" s="8"/>
      <c r="AT500" s="8"/>
      <c r="AU500" s="8"/>
      <c r="AV500" s="8"/>
      <c r="AW500" s="8"/>
      <c r="AX500" s="8"/>
      <c r="AY500" s="8"/>
      <c r="AZ500" s="8"/>
    </row>
    <row r="501" spans="21:52" ht="16.899999999999999">
      <c r="U501" s="8"/>
      <c r="W501" s="10"/>
      <c r="X501" s="10"/>
      <c r="Z501" s="13"/>
      <c r="AA501" s="13"/>
      <c r="AB501" s="13"/>
      <c r="AC501" s="9"/>
      <c r="AD501" s="9"/>
      <c r="AE501" s="11"/>
      <c r="AF501" s="10"/>
      <c r="AG501" s="11"/>
      <c r="AH501" s="10"/>
      <c r="AI501" s="11"/>
      <c r="AJ501" s="10"/>
      <c r="AK501" s="10"/>
      <c r="AL501" s="10"/>
      <c r="AM501" s="8"/>
      <c r="AN501" s="8"/>
      <c r="AO501" s="9"/>
      <c r="AP501" s="9"/>
      <c r="AQ501" s="9"/>
      <c r="AR501" s="8"/>
      <c r="AS501" s="8"/>
      <c r="AT501" s="8"/>
      <c r="AU501" s="8"/>
      <c r="AV501" s="8"/>
      <c r="AW501" s="8"/>
      <c r="AX501" s="8"/>
      <c r="AY501" s="8"/>
      <c r="AZ501" s="8"/>
    </row>
    <row r="502" spans="21:52" ht="16.899999999999999">
      <c r="U502" s="8"/>
      <c r="W502" s="10"/>
      <c r="X502" s="10"/>
      <c r="Z502" s="13"/>
      <c r="AA502" s="13"/>
      <c r="AB502" s="13"/>
      <c r="AC502" s="9"/>
      <c r="AD502" s="9"/>
      <c r="AE502" s="11"/>
      <c r="AF502" s="10"/>
      <c r="AG502" s="11"/>
      <c r="AH502" s="10"/>
      <c r="AI502" s="11"/>
      <c r="AJ502" s="10"/>
      <c r="AK502" s="10"/>
      <c r="AL502" s="10"/>
      <c r="AM502" s="8"/>
      <c r="AN502" s="8"/>
      <c r="AO502" s="9"/>
      <c r="AP502" s="9"/>
      <c r="AQ502" s="9"/>
      <c r="AR502" s="8"/>
      <c r="AS502" s="8"/>
      <c r="AT502" s="8"/>
      <c r="AU502" s="8"/>
      <c r="AV502" s="8"/>
      <c r="AW502" s="8"/>
      <c r="AX502" s="8"/>
      <c r="AY502" s="8"/>
      <c r="AZ502" s="8"/>
    </row>
    <row r="503" spans="21:52" ht="16.899999999999999">
      <c r="U503" s="8"/>
      <c r="W503" s="10"/>
      <c r="X503" s="10"/>
      <c r="Z503" s="13"/>
      <c r="AA503" s="13"/>
      <c r="AB503" s="13"/>
      <c r="AC503" s="9"/>
      <c r="AD503" s="9"/>
      <c r="AE503" s="11"/>
      <c r="AF503" s="10"/>
      <c r="AG503" s="11"/>
      <c r="AH503" s="10"/>
      <c r="AI503" s="11"/>
      <c r="AJ503" s="10"/>
      <c r="AK503" s="10"/>
      <c r="AL503" s="10"/>
      <c r="AM503" s="8"/>
      <c r="AN503" s="8"/>
      <c r="AO503" s="9"/>
      <c r="AP503" s="9"/>
      <c r="AQ503" s="9"/>
      <c r="AR503" s="8"/>
      <c r="AS503" s="8"/>
      <c r="AT503" s="8"/>
      <c r="AU503" s="8"/>
      <c r="AV503" s="8"/>
      <c r="AW503" s="8"/>
      <c r="AX503" s="8"/>
      <c r="AY503" s="8"/>
      <c r="AZ503" s="8"/>
    </row>
    <row r="504" spans="21:52" ht="16.899999999999999">
      <c r="U504" s="8"/>
      <c r="W504" s="10"/>
      <c r="X504" s="10"/>
      <c r="Z504" s="13"/>
      <c r="AA504" s="13"/>
      <c r="AB504" s="13"/>
      <c r="AC504" s="9"/>
      <c r="AD504" s="9"/>
      <c r="AE504" s="11"/>
      <c r="AF504" s="10"/>
      <c r="AG504" s="11"/>
      <c r="AH504" s="10"/>
      <c r="AI504" s="11"/>
      <c r="AJ504" s="10"/>
      <c r="AK504" s="10"/>
      <c r="AL504" s="10"/>
      <c r="AM504" s="8"/>
      <c r="AN504" s="8"/>
      <c r="AO504" s="9"/>
      <c r="AP504" s="9"/>
      <c r="AQ504" s="9"/>
      <c r="AR504" s="8"/>
      <c r="AS504" s="8"/>
      <c r="AT504" s="8"/>
      <c r="AU504" s="8"/>
      <c r="AV504" s="8"/>
      <c r="AW504" s="8"/>
      <c r="AX504" s="8"/>
      <c r="AY504" s="8"/>
      <c r="AZ504" s="8"/>
    </row>
    <row r="505" spans="21:52" ht="16.899999999999999">
      <c r="U505" s="8"/>
      <c r="W505" s="10"/>
      <c r="X505" s="10"/>
      <c r="Z505" s="13"/>
      <c r="AA505" s="13"/>
      <c r="AB505" s="13"/>
      <c r="AC505" s="9"/>
      <c r="AD505" s="9"/>
      <c r="AE505" s="11"/>
      <c r="AF505" s="10"/>
      <c r="AG505" s="11"/>
      <c r="AH505" s="10"/>
      <c r="AI505" s="11"/>
      <c r="AJ505" s="10"/>
      <c r="AK505" s="10"/>
      <c r="AL505" s="10"/>
      <c r="AM505" s="8"/>
      <c r="AN505" s="8"/>
      <c r="AO505" s="9"/>
      <c r="AP505" s="9"/>
      <c r="AQ505" s="9"/>
      <c r="AR505" s="8"/>
      <c r="AS505" s="8"/>
      <c r="AT505" s="8"/>
      <c r="AU505" s="8"/>
      <c r="AV505" s="8"/>
      <c r="AW505" s="8"/>
      <c r="AX505" s="8"/>
      <c r="AY505" s="8"/>
      <c r="AZ505" s="8"/>
    </row>
    <row r="506" spans="21:52" ht="16.899999999999999">
      <c r="U506" s="8"/>
      <c r="W506" s="10"/>
      <c r="X506" s="10"/>
      <c r="Z506" s="13"/>
      <c r="AA506" s="13"/>
      <c r="AB506" s="13"/>
      <c r="AC506" s="9"/>
      <c r="AD506" s="9"/>
      <c r="AE506" s="11"/>
      <c r="AF506" s="10"/>
      <c r="AG506" s="11"/>
      <c r="AH506" s="10"/>
      <c r="AI506" s="11"/>
      <c r="AJ506" s="10"/>
      <c r="AK506" s="10"/>
      <c r="AL506" s="10"/>
      <c r="AM506" s="8"/>
      <c r="AN506" s="8"/>
      <c r="AO506" s="9"/>
      <c r="AP506" s="9"/>
      <c r="AQ506" s="9"/>
      <c r="AR506" s="8"/>
      <c r="AS506" s="8"/>
      <c r="AT506" s="8"/>
      <c r="AU506" s="8"/>
      <c r="AV506" s="8"/>
      <c r="AW506" s="8"/>
      <c r="AX506" s="8"/>
      <c r="AY506" s="8"/>
      <c r="AZ506" s="8"/>
    </row>
    <row r="507" spans="21:52" ht="16.899999999999999">
      <c r="U507" s="8"/>
      <c r="W507" s="10"/>
      <c r="X507" s="10"/>
      <c r="Z507" s="13"/>
      <c r="AA507" s="13"/>
      <c r="AB507" s="13"/>
      <c r="AC507" s="9"/>
      <c r="AD507" s="9"/>
      <c r="AE507" s="11"/>
      <c r="AF507" s="10"/>
      <c r="AG507" s="11"/>
      <c r="AH507" s="10"/>
      <c r="AI507" s="11"/>
      <c r="AJ507" s="10"/>
      <c r="AK507" s="10"/>
      <c r="AL507" s="10"/>
      <c r="AM507" s="8"/>
      <c r="AN507" s="8"/>
      <c r="AO507" s="9"/>
      <c r="AP507" s="9"/>
      <c r="AQ507" s="9"/>
      <c r="AR507" s="8"/>
      <c r="AS507" s="8"/>
      <c r="AT507" s="8"/>
      <c r="AU507" s="8"/>
      <c r="AV507" s="8"/>
      <c r="AW507" s="8"/>
      <c r="AX507" s="8"/>
      <c r="AY507" s="8"/>
      <c r="AZ507" s="8"/>
    </row>
    <row r="508" spans="21:52" ht="16.899999999999999">
      <c r="U508" s="8"/>
      <c r="W508" s="10"/>
      <c r="X508" s="10"/>
      <c r="Z508" s="13"/>
      <c r="AA508" s="13"/>
      <c r="AB508" s="13"/>
      <c r="AC508" s="9"/>
      <c r="AD508" s="9"/>
      <c r="AE508" s="11"/>
      <c r="AF508" s="10"/>
      <c r="AG508" s="11"/>
      <c r="AH508" s="10"/>
      <c r="AI508" s="11"/>
      <c r="AJ508" s="10"/>
      <c r="AK508" s="10"/>
      <c r="AL508" s="10"/>
      <c r="AM508" s="8"/>
      <c r="AN508" s="8"/>
      <c r="AO508" s="9"/>
      <c r="AP508" s="9"/>
      <c r="AQ508" s="9"/>
      <c r="AR508" s="8"/>
      <c r="AS508" s="8"/>
      <c r="AT508" s="8"/>
      <c r="AU508" s="8"/>
      <c r="AV508" s="8"/>
      <c r="AW508" s="8"/>
      <c r="AX508" s="8"/>
      <c r="AY508" s="8"/>
      <c r="AZ508" s="8"/>
    </row>
    <row r="509" spans="21:52" ht="16.899999999999999">
      <c r="U509" s="8"/>
      <c r="W509" s="10"/>
      <c r="X509" s="10"/>
      <c r="Z509" s="13"/>
      <c r="AA509" s="13"/>
      <c r="AB509" s="13"/>
      <c r="AC509" s="9"/>
      <c r="AD509" s="9"/>
      <c r="AE509" s="11"/>
      <c r="AF509" s="10"/>
      <c r="AG509" s="11"/>
      <c r="AH509" s="10"/>
      <c r="AI509" s="11"/>
      <c r="AJ509" s="10"/>
      <c r="AK509" s="10"/>
      <c r="AL509" s="10"/>
      <c r="AM509" s="8"/>
      <c r="AN509" s="8"/>
      <c r="AO509" s="9"/>
      <c r="AP509" s="9"/>
      <c r="AQ509" s="9"/>
      <c r="AR509" s="8"/>
      <c r="AS509" s="8"/>
      <c r="AT509" s="8"/>
      <c r="AU509" s="8"/>
      <c r="AV509" s="8"/>
      <c r="AW509" s="8"/>
      <c r="AX509" s="8"/>
      <c r="AY509" s="8"/>
      <c r="AZ509" s="8"/>
    </row>
    <row r="510" spans="21:52" ht="16.899999999999999">
      <c r="U510" s="8"/>
      <c r="W510" s="10"/>
      <c r="X510" s="10"/>
      <c r="Z510" s="13"/>
      <c r="AA510" s="13"/>
      <c r="AB510" s="13"/>
      <c r="AC510" s="9"/>
      <c r="AD510" s="9"/>
      <c r="AE510" s="11"/>
      <c r="AF510" s="10"/>
      <c r="AG510" s="11"/>
      <c r="AH510" s="10"/>
      <c r="AI510" s="11"/>
      <c r="AJ510" s="10"/>
      <c r="AK510" s="10"/>
      <c r="AL510" s="10"/>
      <c r="AM510" s="8"/>
      <c r="AN510" s="8"/>
      <c r="AO510" s="9"/>
      <c r="AP510" s="9"/>
      <c r="AQ510" s="9"/>
      <c r="AR510" s="8"/>
      <c r="AS510" s="8"/>
      <c r="AT510" s="8"/>
      <c r="AU510" s="8"/>
      <c r="AV510" s="8"/>
      <c r="AW510" s="8"/>
      <c r="AX510" s="8"/>
      <c r="AY510" s="8"/>
      <c r="AZ510" s="8"/>
    </row>
    <row r="511" spans="21:52" ht="16.899999999999999">
      <c r="U511" s="8"/>
      <c r="W511" s="10"/>
      <c r="X511" s="10"/>
      <c r="Z511" s="13"/>
      <c r="AA511" s="13"/>
      <c r="AB511" s="13"/>
      <c r="AC511" s="9"/>
      <c r="AD511" s="9"/>
      <c r="AE511" s="11"/>
      <c r="AF511" s="10"/>
      <c r="AG511" s="11"/>
      <c r="AH511" s="10"/>
      <c r="AI511" s="11"/>
      <c r="AJ511" s="10"/>
      <c r="AK511" s="10"/>
      <c r="AL511" s="10"/>
      <c r="AM511" s="8"/>
      <c r="AN511" s="8"/>
      <c r="AO511" s="9"/>
      <c r="AP511" s="9"/>
      <c r="AQ511" s="9"/>
      <c r="AR511" s="8"/>
      <c r="AS511" s="8"/>
      <c r="AT511" s="8"/>
      <c r="AU511" s="8"/>
      <c r="AV511" s="8"/>
      <c r="AW511" s="8"/>
      <c r="AX511" s="8"/>
      <c r="AY511" s="8"/>
      <c r="AZ511" s="8"/>
    </row>
    <row r="512" spans="21:52" ht="16.899999999999999">
      <c r="U512" s="8"/>
      <c r="W512" s="10"/>
      <c r="X512" s="10"/>
      <c r="Z512" s="13"/>
      <c r="AA512" s="13"/>
      <c r="AB512" s="13"/>
      <c r="AC512" s="9"/>
      <c r="AD512" s="9"/>
      <c r="AE512" s="11"/>
      <c r="AF512" s="10"/>
      <c r="AG512" s="11"/>
      <c r="AH512" s="10"/>
      <c r="AI512" s="11"/>
      <c r="AJ512" s="10"/>
      <c r="AK512" s="10"/>
      <c r="AL512" s="10"/>
      <c r="AM512" s="8"/>
      <c r="AN512" s="8"/>
      <c r="AO512" s="9"/>
      <c r="AP512" s="9"/>
      <c r="AQ512" s="9"/>
      <c r="AR512" s="8"/>
      <c r="AS512" s="8"/>
      <c r="AT512" s="8"/>
      <c r="AU512" s="8"/>
      <c r="AV512" s="8"/>
      <c r="AW512" s="8"/>
      <c r="AX512" s="8"/>
      <c r="AY512" s="8"/>
      <c r="AZ512" s="8"/>
    </row>
    <row r="513" spans="21:52" ht="16.899999999999999">
      <c r="U513" s="8"/>
      <c r="W513" s="10"/>
      <c r="X513" s="10"/>
      <c r="Z513" s="13"/>
      <c r="AA513" s="13"/>
      <c r="AB513" s="13"/>
      <c r="AC513" s="9"/>
      <c r="AD513" s="9"/>
      <c r="AE513" s="11"/>
      <c r="AF513" s="10"/>
      <c r="AG513" s="11"/>
      <c r="AH513" s="10"/>
      <c r="AI513" s="11"/>
      <c r="AJ513" s="10"/>
      <c r="AK513" s="10"/>
      <c r="AL513" s="10"/>
      <c r="AM513" s="8"/>
      <c r="AN513" s="8"/>
      <c r="AO513" s="9"/>
      <c r="AP513" s="9"/>
      <c r="AQ513" s="9"/>
      <c r="AR513" s="8"/>
      <c r="AS513" s="8"/>
      <c r="AT513" s="8"/>
      <c r="AU513" s="8"/>
      <c r="AV513" s="8"/>
      <c r="AW513" s="8"/>
      <c r="AX513" s="8"/>
      <c r="AY513" s="8"/>
      <c r="AZ513" s="8"/>
    </row>
    <row r="514" spans="21:52" ht="16.899999999999999">
      <c r="U514" s="8"/>
      <c r="W514" s="10"/>
      <c r="X514" s="10"/>
      <c r="Z514" s="13"/>
      <c r="AA514" s="13"/>
      <c r="AB514" s="13"/>
      <c r="AC514" s="9"/>
      <c r="AD514" s="9"/>
      <c r="AE514" s="11"/>
      <c r="AF514" s="10"/>
      <c r="AG514" s="11"/>
      <c r="AH514" s="10"/>
      <c r="AI514" s="11"/>
      <c r="AJ514" s="10"/>
      <c r="AK514" s="10"/>
      <c r="AL514" s="10"/>
      <c r="AM514" s="8"/>
      <c r="AN514" s="8"/>
      <c r="AO514" s="9"/>
      <c r="AP514" s="9"/>
      <c r="AQ514" s="9"/>
      <c r="AR514" s="8"/>
      <c r="AS514" s="8"/>
      <c r="AT514" s="8"/>
      <c r="AU514" s="8"/>
      <c r="AV514" s="8"/>
      <c r="AW514" s="8"/>
      <c r="AX514" s="8"/>
      <c r="AY514" s="8"/>
      <c r="AZ514" s="8"/>
    </row>
    <row r="515" spans="21:52" ht="16.899999999999999">
      <c r="U515" s="8"/>
      <c r="W515" s="10"/>
      <c r="X515" s="10"/>
      <c r="Z515" s="13"/>
      <c r="AA515" s="13"/>
      <c r="AB515" s="13"/>
      <c r="AC515" s="9"/>
      <c r="AD515" s="9"/>
      <c r="AE515" s="11"/>
      <c r="AF515" s="10"/>
      <c r="AG515" s="11"/>
      <c r="AH515" s="10"/>
      <c r="AI515" s="11"/>
      <c r="AJ515" s="10"/>
      <c r="AK515" s="10"/>
      <c r="AL515" s="10"/>
      <c r="AM515" s="8"/>
      <c r="AN515" s="8"/>
      <c r="AO515" s="9"/>
      <c r="AP515" s="9"/>
      <c r="AQ515" s="9"/>
      <c r="AR515" s="8"/>
      <c r="AS515" s="8"/>
      <c r="AT515" s="8"/>
      <c r="AU515" s="8"/>
      <c r="AV515" s="8"/>
      <c r="AW515" s="8"/>
      <c r="AX515" s="8"/>
      <c r="AY515" s="8"/>
      <c r="AZ515" s="8"/>
    </row>
    <row r="516" spans="21:52" ht="16.899999999999999">
      <c r="U516" s="8"/>
      <c r="W516" s="10"/>
      <c r="X516" s="10"/>
      <c r="Z516" s="13"/>
      <c r="AA516" s="13"/>
      <c r="AB516" s="13"/>
      <c r="AC516" s="9"/>
      <c r="AD516" s="9"/>
      <c r="AE516" s="11"/>
      <c r="AF516" s="10"/>
      <c r="AG516" s="11"/>
      <c r="AH516" s="10"/>
      <c r="AI516" s="11"/>
      <c r="AJ516" s="10"/>
      <c r="AK516" s="10"/>
      <c r="AL516" s="10"/>
      <c r="AM516" s="8"/>
      <c r="AN516" s="8"/>
      <c r="AO516" s="9"/>
      <c r="AP516" s="9"/>
      <c r="AQ516" s="9"/>
      <c r="AR516" s="8"/>
      <c r="AS516" s="8"/>
      <c r="AT516" s="8"/>
      <c r="AU516" s="8"/>
      <c r="AV516" s="8"/>
      <c r="AW516" s="8"/>
      <c r="AX516" s="8"/>
      <c r="AY516" s="8"/>
      <c r="AZ516" s="8"/>
    </row>
    <row r="517" spans="21:52" ht="16.899999999999999">
      <c r="U517" s="8"/>
      <c r="W517" s="10"/>
      <c r="X517" s="10"/>
      <c r="Z517" s="13"/>
      <c r="AA517" s="13"/>
      <c r="AB517" s="13"/>
      <c r="AC517" s="9"/>
      <c r="AD517" s="9"/>
      <c r="AE517" s="11"/>
      <c r="AF517" s="10"/>
      <c r="AG517" s="11"/>
      <c r="AH517" s="10"/>
      <c r="AI517" s="11"/>
      <c r="AJ517" s="10"/>
      <c r="AK517" s="10"/>
      <c r="AL517" s="10"/>
      <c r="AM517" s="8"/>
      <c r="AN517" s="8"/>
      <c r="AO517" s="9"/>
      <c r="AP517" s="9"/>
      <c r="AQ517" s="9"/>
      <c r="AR517" s="8"/>
      <c r="AS517" s="8"/>
      <c r="AT517" s="8"/>
      <c r="AU517" s="8"/>
      <c r="AV517" s="8"/>
      <c r="AW517" s="8"/>
      <c r="AX517" s="8"/>
      <c r="AY517" s="8"/>
      <c r="AZ517" s="8"/>
    </row>
    <row r="518" spans="21:52" ht="16.899999999999999">
      <c r="U518" s="8"/>
      <c r="W518" s="10"/>
      <c r="X518" s="10"/>
      <c r="Z518" s="13"/>
      <c r="AA518" s="13"/>
      <c r="AB518" s="13"/>
      <c r="AC518" s="9"/>
      <c r="AD518" s="9"/>
      <c r="AE518" s="11"/>
      <c r="AF518" s="10"/>
      <c r="AG518" s="11"/>
      <c r="AH518" s="10"/>
      <c r="AI518" s="11"/>
      <c r="AJ518" s="10"/>
      <c r="AK518" s="10"/>
      <c r="AL518" s="10"/>
      <c r="AM518" s="8"/>
      <c r="AN518" s="8"/>
      <c r="AO518" s="9"/>
      <c r="AP518" s="9"/>
      <c r="AQ518" s="9"/>
      <c r="AR518" s="8"/>
      <c r="AS518" s="8"/>
      <c r="AT518" s="8"/>
      <c r="AU518" s="8"/>
      <c r="AV518" s="8"/>
      <c r="AW518" s="8"/>
      <c r="AX518" s="8"/>
      <c r="AY518" s="8"/>
      <c r="AZ518" s="8"/>
    </row>
    <row r="519" spans="21:52" ht="16.899999999999999">
      <c r="U519" s="8"/>
      <c r="W519" s="10"/>
      <c r="X519" s="10"/>
      <c r="Z519" s="13"/>
      <c r="AA519" s="13"/>
      <c r="AB519" s="13"/>
      <c r="AC519" s="9"/>
      <c r="AD519" s="9"/>
      <c r="AE519" s="11"/>
      <c r="AF519" s="10"/>
      <c r="AG519" s="11"/>
      <c r="AH519" s="10"/>
      <c r="AI519" s="11"/>
      <c r="AJ519" s="10"/>
      <c r="AK519" s="10"/>
      <c r="AL519" s="10"/>
      <c r="AM519" s="8"/>
      <c r="AN519" s="8"/>
      <c r="AO519" s="9"/>
      <c r="AP519" s="9"/>
      <c r="AQ519" s="9"/>
      <c r="AR519" s="8"/>
      <c r="AS519" s="8"/>
      <c r="AT519" s="8"/>
      <c r="AU519" s="8"/>
      <c r="AV519" s="8"/>
      <c r="AW519" s="8"/>
      <c r="AX519" s="8"/>
      <c r="AY519" s="8"/>
      <c r="AZ519" s="8"/>
    </row>
    <row r="520" spans="21:52" ht="16.899999999999999">
      <c r="U520" s="8"/>
      <c r="W520" s="10"/>
      <c r="X520" s="10"/>
      <c r="Z520" s="13"/>
      <c r="AA520" s="13"/>
      <c r="AB520" s="13"/>
      <c r="AC520" s="9"/>
      <c r="AD520" s="9"/>
      <c r="AE520" s="11"/>
      <c r="AF520" s="10"/>
      <c r="AG520" s="11"/>
      <c r="AH520" s="10"/>
      <c r="AI520" s="11"/>
      <c r="AJ520" s="10"/>
      <c r="AK520" s="10"/>
      <c r="AL520" s="10"/>
      <c r="AM520" s="8"/>
      <c r="AN520" s="8"/>
      <c r="AO520" s="9"/>
      <c r="AP520" s="9"/>
      <c r="AQ520" s="9"/>
      <c r="AR520" s="8"/>
      <c r="AS520" s="8"/>
      <c r="AT520" s="8"/>
      <c r="AU520" s="8"/>
      <c r="AV520" s="8"/>
      <c r="AW520" s="8"/>
      <c r="AX520" s="8"/>
      <c r="AY520" s="8"/>
      <c r="AZ520" s="8"/>
    </row>
    <row r="521" spans="21:52" ht="16.899999999999999">
      <c r="U521" s="8"/>
      <c r="W521" s="10"/>
      <c r="X521" s="10"/>
      <c r="Z521" s="13"/>
      <c r="AA521" s="13"/>
      <c r="AB521" s="13"/>
      <c r="AC521" s="9"/>
      <c r="AD521" s="9"/>
      <c r="AE521" s="11"/>
      <c r="AF521" s="10"/>
      <c r="AG521" s="11"/>
      <c r="AH521" s="10"/>
      <c r="AI521" s="11"/>
      <c r="AJ521" s="10"/>
      <c r="AK521" s="10"/>
      <c r="AL521" s="10"/>
      <c r="AM521" s="8"/>
      <c r="AN521" s="8"/>
      <c r="AO521" s="9"/>
      <c r="AP521" s="9"/>
      <c r="AQ521" s="9"/>
      <c r="AR521" s="8"/>
      <c r="AS521" s="8"/>
      <c r="AT521" s="8"/>
      <c r="AU521" s="8"/>
      <c r="AV521" s="8"/>
      <c r="AW521" s="8"/>
      <c r="AX521" s="8"/>
      <c r="AY521" s="8"/>
      <c r="AZ521" s="8"/>
    </row>
    <row r="522" spans="21:52" ht="16.899999999999999">
      <c r="U522" s="8"/>
      <c r="W522" s="10"/>
      <c r="X522" s="10"/>
      <c r="Z522" s="13"/>
      <c r="AA522" s="13"/>
      <c r="AB522" s="13"/>
      <c r="AC522" s="9"/>
      <c r="AD522" s="9"/>
      <c r="AE522" s="11"/>
      <c r="AF522" s="10"/>
      <c r="AG522" s="11"/>
      <c r="AH522" s="10"/>
      <c r="AI522" s="11"/>
      <c r="AJ522" s="10"/>
      <c r="AK522" s="10"/>
      <c r="AL522" s="10"/>
      <c r="AM522" s="8"/>
      <c r="AN522" s="8"/>
      <c r="AO522" s="9"/>
      <c r="AP522" s="9"/>
      <c r="AQ522" s="9"/>
      <c r="AR522" s="8"/>
      <c r="AS522" s="8"/>
      <c r="AT522" s="8"/>
      <c r="AU522" s="8"/>
      <c r="AV522" s="8"/>
      <c r="AW522" s="8"/>
      <c r="AX522" s="8"/>
      <c r="AY522" s="8"/>
      <c r="AZ522" s="8"/>
    </row>
    <row r="523" spans="21:52" ht="16.899999999999999">
      <c r="U523" s="8"/>
      <c r="W523" s="10"/>
      <c r="X523" s="10"/>
      <c r="Z523" s="13"/>
      <c r="AA523" s="13"/>
      <c r="AB523" s="13"/>
      <c r="AC523" s="9"/>
      <c r="AD523" s="9"/>
      <c r="AE523" s="11"/>
      <c r="AF523" s="10"/>
      <c r="AG523" s="11"/>
      <c r="AH523" s="10"/>
      <c r="AI523" s="11"/>
      <c r="AJ523" s="10"/>
      <c r="AK523" s="10"/>
      <c r="AL523" s="10"/>
      <c r="AM523" s="8"/>
      <c r="AN523" s="8"/>
      <c r="AO523" s="9"/>
      <c r="AP523" s="9"/>
      <c r="AQ523" s="9"/>
      <c r="AR523" s="8"/>
      <c r="AS523" s="8"/>
      <c r="AT523" s="8"/>
      <c r="AU523" s="8"/>
      <c r="AV523" s="8"/>
      <c r="AW523" s="8"/>
      <c r="AX523" s="8"/>
      <c r="AY523" s="8"/>
      <c r="AZ523" s="8"/>
    </row>
    <row r="524" spans="21:52" ht="16.899999999999999">
      <c r="U524" s="8"/>
      <c r="W524" s="10"/>
      <c r="X524" s="10"/>
      <c r="Z524" s="13"/>
      <c r="AA524" s="13"/>
      <c r="AB524" s="13"/>
      <c r="AC524" s="9"/>
      <c r="AD524" s="9"/>
      <c r="AE524" s="11"/>
      <c r="AF524" s="10"/>
      <c r="AG524" s="11"/>
      <c r="AH524" s="10"/>
      <c r="AI524" s="11"/>
      <c r="AJ524" s="10"/>
      <c r="AK524" s="10"/>
      <c r="AL524" s="10"/>
      <c r="AM524" s="8"/>
      <c r="AN524" s="8"/>
      <c r="AO524" s="9"/>
      <c r="AP524" s="9"/>
      <c r="AQ524" s="9"/>
      <c r="AR524" s="8"/>
      <c r="AS524" s="8"/>
      <c r="AT524" s="8"/>
      <c r="AU524" s="8"/>
      <c r="AV524" s="8"/>
      <c r="AW524" s="8"/>
      <c r="AX524" s="8"/>
      <c r="AY524" s="8"/>
      <c r="AZ524" s="8"/>
    </row>
    <row r="525" spans="21:52" ht="16.899999999999999">
      <c r="U525" s="8"/>
      <c r="W525" s="10"/>
      <c r="X525" s="10"/>
      <c r="Z525" s="13"/>
      <c r="AA525" s="13"/>
      <c r="AB525" s="13"/>
      <c r="AC525" s="9"/>
      <c r="AD525" s="9"/>
      <c r="AE525" s="11"/>
      <c r="AF525" s="10"/>
      <c r="AG525" s="11"/>
      <c r="AH525" s="10"/>
      <c r="AI525" s="11"/>
      <c r="AJ525" s="10"/>
      <c r="AK525" s="10"/>
      <c r="AL525" s="10"/>
      <c r="AM525" s="8"/>
      <c r="AN525" s="8"/>
      <c r="AO525" s="9"/>
      <c r="AP525" s="9"/>
      <c r="AQ525" s="9"/>
      <c r="AR525" s="8"/>
      <c r="AS525" s="8"/>
      <c r="AT525" s="8"/>
      <c r="AU525" s="8"/>
      <c r="AV525" s="8"/>
      <c r="AW525" s="8"/>
      <c r="AX525" s="8"/>
      <c r="AY525" s="8"/>
      <c r="AZ525" s="8"/>
    </row>
    <row r="526" spans="21:52" ht="16.899999999999999">
      <c r="U526" s="8"/>
      <c r="W526" s="10"/>
      <c r="X526" s="10"/>
      <c r="Z526" s="13"/>
      <c r="AA526" s="13"/>
      <c r="AB526" s="13"/>
      <c r="AC526" s="9"/>
      <c r="AD526" s="9"/>
      <c r="AE526" s="11"/>
      <c r="AF526" s="10"/>
      <c r="AG526" s="11"/>
      <c r="AH526" s="10"/>
      <c r="AI526" s="11"/>
      <c r="AJ526" s="10"/>
      <c r="AK526" s="10"/>
      <c r="AL526" s="10"/>
      <c r="AM526" s="8"/>
      <c r="AN526" s="8"/>
      <c r="AO526" s="9"/>
      <c r="AP526" s="9"/>
      <c r="AQ526" s="9"/>
      <c r="AR526" s="8"/>
      <c r="AS526" s="8"/>
      <c r="AT526" s="8"/>
      <c r="AU526" s="8"/>
      <c r="AV526" s="8"/>
      <c r="AW526" s="8"/>
      <c r="AX526" s="8"/>
      <c r="AY526" s="8"/>
      <c r="AZ526" s="8"/>
    </row>
    <row r="527" spans="21:52" ht="16.899999999999999">
      <c r="U527" s="8"/>
      <c r="W527" s="10"/>
      <c r="X527" s="10"/>
      <c r="Z527" s="13"/>
      <c r="AA527" s="13"/>
      <c r="AB527" s="13"/>
      <c r="AC527" s="9"/>
      <c r="AD527" s="9"/>
      <c r="AE527" s="11"/>
      <c r="AF527" s="10"/>
      <c r="AG527" s="11"/>
      <c r="AH527" s="10"/>
      <c r="AI527" s="11"/>
      <c r="AJ527" s="10"/>
      <c r="AK527" s="10"/>
      <c r="AL527" s="10"/>
      <c r="AM527" s="8"/>
      <c r="AN527" s="8"/>
      <c r="AO527" s="9"/>
      <c r="AP527" s="9"/>
      <c r="AQ527" s="9"/>
      <c r="AR527" s="8"/>
      <c r="AS527" s="8"/>
      <c r="AT527" s="8"/>
      <c r="AU527" s="8"/>
      <c r="AV527" s="8"/>
      <c r="AW527" s="8"/>
      <c r="AX527" s="8"/>
      <c r="AY527" s="8"/>
      <c r="AZ527" s="8"/>
    </row>
    <row r="528" spans="21:52" ht="16.899999999999999">
      <c r="U528" s="8"/>
      <c r="W528" s="10"/>
      <c r="X528" s="10"/>
      <c r="Z528" s="13"/>
      <c r="AA528" s="13"/>
      <c r="AB528" s="13"/>
      <c r="AC528" s="9"/>
      <c r="AD528" s="9"/>
      <c r="AE528" s="11"/>
      <c r="AF528" s="10"/>
      <c r="AG528" s="11"/>
      <c r="AH528" s="10"/>
      <c r="AI528" s="11"/>
      <c r="AJ528" s="10"/>
      <c r="AK528" s="10"/>
      <c r="AL528" s="10"/>
      <c r="AM528" s="8"/>
      <c r="AN528" s="8"/>
      <c r="AO528" s="9"/>
      <c r="AP528" s="9"/>
      <c r="AQ528" s="9"/>
      <c r="AR528" s="8"/>
      <c r="AS528" s="8"/>
      <c r="AT528" s="8"/>
      <c r="AU528" s="8"/>
      <c r="AV528" s="8"/>
      <c r="AW528" s="8"/>
      <c r="AX528" s="8"/>
      <c r="AY528" s="8"/>
      <c r="AZ528" s="8"/>
    </row>
    <row r="529" spans="21:52" ht="16.899999999999999">
      <c r="U529" s="8"/>
      <c r="W529" s="10"/>
      <c r="X529" s="10"/>
      <c r="Z529" s="13"/>
      <c r="AA529" s="13"/>
      <c r="AB529" s="13"/>
      <c r="AC529" s="9"/>
      <c r="AD529" s="9"/>
      <c r="AE529" s="11"/>
      <c r="AF529" s="10"/>
      <c r="AG529" s="11"/>
      <c r="AH529" s="10"/>
      <c r="AI529" s="11"/>
      <c r="AJ529" s="10"/>
      <c r="AK529" s="10"/>
      <c r="AL529" s="10"/>
      <c r="AM529" s="8"/>
      <c r="AN529" s="8"/>
      <c r="AO529" s="9"/>
      <c r="AP529" s="9"/>
      <c r="AQ529" s="9"/>
      <c r="AR529" s="8"/>
      <c r="AS529" s="8"/>
      <c r="AT529" s="8"/>
      <c r="AU529" s="8"/>
      <c r="AV529" s="8"/>
      <c r="AW529" s="8"/>
      <c r="AX529" s="8"/>
      <c r="AY529" s="8"/>
      <c r="AZ529" s="8"/>
    </row>
    <row r="530" spans="21:52" ht="16.899999999999999">
      <c r="U530" s="8"/>
      <c r="W530" s="10"/>
      <c r="X530" s="10"/>
      <c r="Z530" s="13"/>
      <c r="AA530" s="13"/>
      <c r="AB530" s="13"/>
      <c r="AC530" s="9"/>
      <c r="AD530" s="9"/>
      <c r="AE530" s="11"/>
      <c r="AF530" s="10"/>
      <c r="AG530" s="11"/>
      <c r="AH530" s="10"/>
      <c r="AI530" s="11"/>
      <c r="AJ530" s="10"/>
      <c r="AK530" s="10"/>
      <c r="AL530" s="10"/>
      <c r="AM530" s="8"/>
      <c r="AN530" s="8"/>
      <c r="AO530" s="9"/>
      <c r="AP530" s="9"/>
      <c r="AQ530" s="9"/>
      <c r="AR530" s="8"/>
      <c r="AS530" s="8"/>
      <c r="AT530" s="8"/>
      <c r="AU530" s="8"/>
      <c r="AV530" s="8"/>
      <c r="AW530" s="8"/>
      <c r="AX530" s="8"/>
      <c r="AY530" s="8"/>
      <c r="AZ530" s="8"/>
    </row>
    <row r="531" spans="21:52" ht="16.899999999999999">
      <c r="U531" s="8"/>
      <c r="W531" s="10"/>
      <c r="X531" s="10"/>
      <c r="Z531" s="13"/>
      <c r="AA531" s="13"/>
      <c r="AB531" s="13"/>
      <c r="AC531" s="9"/>
      <c r="AD531" s="9"/>
      <c r="AE531" s="11"/>
      <c r="AF531" s="10"/>
      <c r="AG531" s="11"/>
      <c r="AH531" s="10"/>
      <c r="AI531" s="11"/>
      <c r="AJ531" s="10"/>
      <c r="AK531" s="10"/>
      <c r="AL531" s="10"/>
      <c r="AM531" s="8"/>
      <c r="AN531" s="8"/>
      <c r="AO531" s="9"/>
      <c r="AP531" s="9"/>
      <c r="AQ531" s="9"/>
      <c r="AR531" s="8"/>
      <c r="AS531" s="8"/>
      <c r="AT531" s="8"/>
      <c r="AU531" s="8"/>
      <c r="AV531" s="8"/>
      <c r="AW531" s="8"/>
      <c r="AX531" s="8"/>
      <c r="AY531" s="8"/>
      <c r="AZ531" s="8"/>
    </row>
    <row r="532" spans="21:52" ht="16.899999999999999">
      <c r="U532" s="8"/>
      <c r="W532" s="10"/>
      <c r="X532" s="10"/>
      <c r="Z532" s="13"/>
      <c r="AA532" s="13"/>
      <c r="AB532" s="13"/>
      <c r="AC532" s="9"/>
      <c r="AD532" s="9"/>
      <c r="AE532" s="11"/>
      <c r="AF532" s="10"/>
      <c r="AG532" s="11"/>
      <c r="AH532" s="10"/>
      <c r="AI532" s="11"/>
      <c r="AJ532" s="10"/>
      <c r="AK532" s="10"/>
      <c r="AL532" s="10"/>
      <c r="AM532" s="8"/>
      <c r="AN532" s="8"/>
      <c r="AO532" s="9"/>
      <c r="AP532" s="9"/>
      <c r="AQ532" s="9"/>
      <c r="AR532" s="8"/>
      <c r="AS532" s="8"/>
      <c r="AT532" s="8"/>
      <c r="AU532" s="8"/>
      <c r="AV532" s="8"/>
      <c r="AW532" s="8"/>
      <c r="AX532" s="8"/>
      <c r="AY532" s="8"/>
      <c r="AZ532" s="8"/>
    </row>
    <row r="533" spans="21:52" ht="16.899999999999999">
      <c r="U533" s="8"/>
      <c r="W533" s="10"/>
      <c r="X533" s="10"/>
      <c r="Z533" s="13"/>
      <c r="AA533" s="13"/>
      <c r="AB533" s="13"/>
      <c r="AC533" s="9"/>
      <c r="AD533" s="9"/>
      <c r="AE533" s="11"/>
      <c r="AF533" s="10"/>
      <c r="AG533" s="11"/>
      <c r="AH533" s="10"/>
      <c r="AI533" s="11"/>
      <c r="AJ533" s="10"/>
      <c r="AK533" s="10"/>
      <c r="AL533" s="10"/>
      <c r="AM533" s="8"/>
      <c r="AN533" s="8"/>
      <c r="AO533" s="9"/>
      <c r="AP533" s="9"/>
      <c r="AQ533" s="9"/>
      <c r="AR533" s="8"/>
      <c r="AS533" s="8"/>
      <c r="AT533" s="8"/>
      <c r="AU533" s="8"/>
      <c r="AV533" s="8"/>
      <c r="AW533" s="8"/>
      <c r="AX533" s="8"/>
      <c r="AY533" s="8"/>
      <c r="AZ533" s="8"/>
    </row>
    <row r="534" spans="21:52" ht="16.899999999999999">
      <c r="U534" s="8"/>
      <c r="W534" s="10"/>
      <c r="X534" s="10"/>
      <c r="Z534" s="13"/>
      <c r="AA534" s="13"/>
      <c r="AB534" s="13"/>
      <c r="AC534" s="9"/>
      <c r="AD534" s="9"/>
      <c r="AE534" s="11"/>
      <c r="AF534" s="10"/>
      <c r="AG534" s="11"/>
      <c r="AH534" s="10"/>
      <c r="AI534" s="11"/>
      <c r="AJ534" s="10"/>
      <c r="AK534" s="10"/>
      <c r="AL534" s="10"/>
      <c r="AM534" s="8"/>
      <c r="AN534" s="8"/>
      <c r="AO534" s="9"/>
      <c r="AP534" s="9"/>
      <c r="AQ534" s="9"/>
      <c r="AR534" s="8"/>
      <c r="AS534" s="8"/>
      <c r="AT534" s="8"/>
      <c r="AU534" s="8"/>
      <c r="AV534" s="8"/>
      <c r="AW534" s="8"/>
      <c r="AX534" s="8"/>
      <c r="AY534" s="8"/>
      <c r="AZ534" s="8"/>
    </row>
    <row r="535" spans="21:52" ht="16.899999999999999">
      <c r="U535" s="8"/>
      <c r="W535" s="10"/>
      <c r="X535" s="10"/>
      <c r="Z535" s="13"/>
      <c r="AA535" s="13"/>
      <c r="AB535" s="13"/>
      <c r="AC535" s="9"/>
      <c r="AD535" s="9"/>
      <c r="AE535" s="11"/>
      <c r="AF535" s="10"/>
      <c r="AG535" s="11"/>
      <c r="AH535" s="10"/>
      <c r="AI535" s="11"/>
      <c r="AJ535" s="10"/>
      <c r="AK535" s="10"/>
      <c r="AL535" s="10"/>
      <c r="AM535" s="8"/>
      <c r="AN535" s="8"/>
      <c r="AO535" s="9"/>
      <c r="AP535" s="9"/>
      <c r="AQ535" s="9"/>
      <c r="AR535" s="8"/>
      <c r="AS535" s="8"/>
      <c r="AT535" s="8"/>
      <c r="AU535" s="8"/>
      <c r="AV535" s="8"/>
      <c r="AW535" s="8"/>
      <c r="AX535" s="8"/>
      <c r="AY535" s="8"/>
      <c r="AZ535" s="8"/>
    </row>
    <row r="536" spans="21:52" ht="16.899999999999999">
      <c r="U536" s="8"/>
      <c r="W536" s="10"/>
      <c r="X536" s="10"/>
      <c r="Z536" s="13"/>
      <c r="AA536" s="13"/>
      <c r="AB536" s="13"/>
      <c r="AC536" s="9"/>
      <c r="AD536" s="9"/>
      <c r="AE536" s="11"/>
      <c r="AF536" s="10"/>
      <c r="AG536" s="11"/>
      <c r="AH536" s="10"/>
      <c r="AI536" s="11"/>
      <c r="AJ536" s="10"/>
      <c r="AK536" s="10"/>
      <c r="AL536" s="10"/>
      <c r="AM536" s="8"/>
      <c r="AN536" s="8"/>
      <c r="AO536" s="9"/>
      <c r="AP536" s="9"/>
      <c r="AQ536" s="9"/>
      <c r="AR536" s="8"/>
      <c r="AS536" s="8"/>
      <c r="AT536" s="8"/>
      <c r="AU536" s="8"/>
      <c r="AV536" s="8"/>
      <c r="AW536" s="8"/>
      <c r="AX536" s="8"/>
      <c r="AY536" s="8"/>
      <c r="AZ536" s="8"/>
    </row>
    <row r="537" spans="21:52" ht="16.899999999999999">
      <c r="U537" s="8"/>
      <c r="W537" s="10"/>
      <c r="X537" s="10"/>
      <c r="Z537" s="13"/>
      <c r="AA537" s="13"/>
      <c r="AB537" s="13"/>
      <c r="AC537" s="9"/>
      <c r="AD537" s="9"/>
      <c r="AE537" s="11"/>
      <c r="AF537" s="10"/>
      <c r="AG537" s="11"/>
      <c r="AH537" s="10"/>
      <c r="AI537" s="11"/>
      <c r="AJ537" s="10"/>
      <c r="AK537" s="10"/>
      <c r="AL537" s="10"/>
      <c r="AM537" s="8"/>
      <c r="AN537" s="8"/>
      <c r="AO537" s="9"/>
      <c r="AP537" s="9"/>
      <c r="AQ537" s="9"/>
      <c r="AR537" s="8"/>
      <c r="AS537" s="8"/>
      <c r="AT537" s="8"/>
      <c r="AU537" s="8"/>
      <c r="AV537" s="8"/>
      <c r="AW537" s="8"/>
      <c r="AX537" s="8"/>
      <c r="AY537" s="8"/>
      <c r="AZ537" s="8"/>
    </row>
    <row r="538" spans="21:52" ht="16.899999999999999">
      <c r="U538" s="8"/>
      <c r="W538" s="10"/>
      <c r="X538" s="10"/>
      <c r="Z538" s="13"/>
      <c r="AA538" s="13"/>
      <c r="AB538" s="13"/>
      <c r="AC538" s="9"/>
      <c r="AD538" s="9"/>
      <c r="AE538" s="11"/>
      <c r="AF538" s="10"/>
      <c r="AG538" s="11"/>
      <c r="AH538" s="10"/>
      <c r="AI538" s="11"/>
      <c r="AJ538" s="10"/>
      <c r="AK538" s="10"/>
      <c r="AL538" s="10"/>
      <c r="AM538" s="8"/>
      <c r="AN538" s="8"/>
      <c r="AO538" s="9"/>
      <c r="AP538" s="9"/>
      <c r="AQ538" s="9"/>
      <c r="AR538" s="8"/>
      <c r="AS538" s="8"/>
      <c r="AT538" s="8"/>
      <c r="AU538" s="8"/>
      <c r="AV538" s="8"/>
      <c r="AW538" s="8"/>
      <c r="AX538" s="8"/>
      <c r="AY538" s="8"/>
      <c r="AZ538" s="8"/>
    </row>
    <row r="539" spans="21:52" ht="16.899999999999999">
      <c r="U539" s="8"/>
      <c r="W539" s="10"/>
      <c r="X539" s="10"/>
      <c r="Z539" s="13"/>
      <c r="AA539" s="13"/>
      <c r="AB539" s="13"/>
      <c r="AC539" s="9"/>
      <c r="AD539" s="9"/>
      <c r="AE539" s="11"/>
      <c r="AF539" s="10"/>
      <c r="AG539" s="11"/>
      <c r="AH539" s="10"/>
      <c r="AI539" s="11"/>
      <c r="AJ539" s="10"/>
      <c r="AK539" s="10"/>
      <c r="AL539" s="10"/>
      <c r="AM539" s="8"/>
      <c r="AN539" s="8"/>
      <c r="AO539" s="9"/>
      <c r="AP539" s="9"/>
      <c r="AQ539" s="9"/>
      <c r="AR539" s="8"/>
      <c r="AS539" s="8"/>
      <c r="AT539" s="8"/>
      <c r="AU539" s="8"/>
      <c r="AV539" s="8"/>
      <c r="AW539" s="8"/>
      <c r="AX539" s="8"/>
      <c r="AY539" s="8"/>
      <c r="AZ539" s="8"/>
    </row>
    <row r="540" spans="21:52" ht="16.899999999999999">
      <c r="U540" s="8"/>
      <c r="W540" s="10"/>
      <c r="X540" s="10"/>
      <c r="Z540" s="13"/>
      <c r="AA540" s="13"/>
      <c r="AB540" s="13"/>
      <c r="AC540" s="9"/>
      <c r="AD540" s="9"/>
      <c r="AE540" s="11"/>
      <c r="AF540" s="10"/>
      <c r="AG540" s="11"/>
      <c r="AH540" s="10"/>
      <c r="AI540" s="11"/>
      <c r="AJ540" s="10"/>
      <c r="AK540" s="10"/>
      <c r="AL540" s="10"/>
      <c r="AM540" s="8"/>
      <c r="AN540" s="8"/>
      <c r="AO540" s="9"/>
      <c r="AP540" s="9"/>
      <c r="AQ540" s="9"/>
      <c r="AR540" s="8"/>
      <c r="AS540" s="8"/>
      <c r="AT540" s="8"/>
      <c r="AU540" s="8"/>
      <c r="AV540" s="8"/>
      <c r="AW540" s="8"/>
      <c r="AX540" s="8"/>
      <c r="AY540" s="8"/>
      <c r="AZ540" s="8"/>
    </row>
    <row r="541" spans="21:52" ht="16.899999999999999">
      <c r="U541" s="8"/>
      <c r="W541" s="10"/>
      <c r="X541" s="10"/>
      <c r="Z541" s="13"/>
      <c r="AA541" s="13"/>
      <c r="AB541" s="13"/>
      <c r="AC541" s="9"/>
      <c r="AD541" s="9"/>
      <c r="AE541" s="11"/>
      <c r="AF541" s="10"/>
      <c r="AG541" s="11"/>
      <c r="AH541" s="10"/>
      <c r="AI541" s="11"/>
      <c r="AJ541" s="10"/>
      <c r="AK541" s="10"/>
      <c r="AL541" s="10"/>
      <c r="AM541" s="8"/>
      <c r="AN541" s="8"/>
      <c r="AO541" s="9"/>
      <c r="AP541" s="9"/>
      <c r="AQ541" s="9"/>
      <c r="AR541" s="8"/>
      <c r="AS541" s="8"/>
      <c r="AT541" s="8"/>
      <c r="AU541" s="8"/>
      <c r="AV541" s="8"/>
      <c r="AW541" s="8"/>
      <c r="AX541" s="8"/>
      <c r="AY541" s="8"/>
      <c r="AZ541" s="8"/>
    </row>
    <row r="542" spans="21:52" ht="16.899999999999999">
      <c r="U542" s="8"/>
      <c r="W542" s="10"/>
      <c r="X542" s="10"/>
      <c r="Z542" s="13"/>
      <c r="AA542" s="13"/>
      <c r="AB542" s="13"/>
      <c r="AC542" s="9"/>
      <c r="AD542" s="9"/>
      <c r="AE542" s="11"/>
      <c r="AF542" s="10"/>
      <c r="AG542" s="11"/>
      <c r="AH542" s="10"/>
      <c r="AI542" s="11"/>
      <c r="AJ542" s="10"/>
      <c r="AK542" s="10"/>
      <c r="AL542" s="10"/>
      <c r="AM542" s="8"/>
      <c r="AN542" s="8"/>
      <c r="AO542" s="9"/>
      <c r="AP542" s="9"/>
      <c r="AQ542" s="9"/>
      <c r="AR542" s="8"/>
      <c r="AS542" s="8"/>
      <c r="AT542" s="8"/>
      <c r="AU542" s="8"/>
      <c r="AV542" s="8"/>
      <c r="AW542" s="8"/>
      <c r="AX542" s="8"/>
      <c r="AY542" s="8"/>
      <c r="AZ542" s="8"/>
    </row>
    <row r="543" spans="21:52" ht="16.899999999999999">
      <c r="U543" s="8"/>
      <c r="W543" s="10"/>
      <c r="X543" s="10"/>
      <c r="Z543" s="13"/>
      <c r="AA543" s="13"/>
      <c r="AB543" s="13"/>
      <c r="AC543" s="9"/>
      <c r="AD543" s="9"/>
      <c r="AE543" s="11"/>
      <c r="AF543" s="10"/>
      <c r="AG543" s="11"/>
      <c r="AH543" s="10"/>
      <c r="AI543" s="11"/>
      <c r="AJ543" s="10"/>
      <c r="AK543" s="10"/>
      <c r="AL543" s="10"/>
      <c r="AM543" s="8"/>
      <c r="AN543" s="8"/>
      <c r="AO543" s="9"/>
      <c r="AP543" s="9"/>
      <c r="AQ543" s="9"/>
      <c r="AR543" s="8"/>
      <c r="AS543" s="8"/>
      <c r="AT543" s="8"/>
      <c r="AU543" s="8"/>
      <c r="AV543" s="8"/>
      <c r="AW543" s="8"/>
      <c r="AX543" s="8"/>
      <c r="AY543" s="8"/>
      <c r="AZ543" s="8"/>
    </row>
    <row r="544" spans="21:52" ht="16.899999999999999">
      <c r="U544" s="8"/>
      <c r="W544" s="10"/>
      <c r="X544" s="10"/>
      <c r="Z544" s="13"/>
      <c r="AA544" s="13"/>
      <c r="AB544" s="13"/>
      <c r="AC544" s="9"/>
      <c r="AD544" s="9"/>
      <c r="AE544" s="11"/>
      <c r="AF544" s="10"/>
      <c r="AG544" s="11"/>
      <c r="AH544" s="10"/>
      <c r="AI544" s="11"/>
      <c r="AJ544" s="10"/>
      <c r="AK544" s="10"/>
      <c r="AL544" s="10"/>
      <c r="AM544" s="8"/>
      <c r="AN544" s="8"/>
      <c r="AO544" s="9"/>
      <c r="AP544" s="9"/>
      <c r="AQ544" s="9"/>
      <c r="AR544" s="8"/>
      <c r="AS544" s="8"/>
      <c r="AT544" s="8"/>
      <c r="AU544" s="8"/>
      <c r="AV544" s="8"/>
      <c r="AW544" s="8"/>
      <c r="AX544" s="8"/>
      <c r="AY544" s="8"/>
      <c r="AZ544" s="8"/>
    </row>
    <row r="545" spans="21:52" ht="16.899999999999999">
      <c r="U545" s="8"/>
      <c r="W545" s="10"/>
      <c r="X545" s="10"/>
      <c r="Z545" s="13"/>
      <c r="AA545" s="13"/>
      <c r="AB545" s="13"/>
      <c r="AC545" s="9"/>
      <c r="AD545" s="9"/>
      <c r="AE545" s="11"/>
      <c r="AF545" s="10"/>
      <c r="AG545" s="11"/>
      <c r="AH545" s="10"/>
      <c r="AI545" s="11"/>
      <c r="AJ545" s="10"/>
      <c r="AK545" s="10"/>
      <c r="AL545" s="10"/>
      <c r="AM545" s="8"/>
      <c r="AN545" s="8"/>
      <c r="AO545" s="9"/>
      <c r="AP545" s="9"/>
      <c r="AQ545" s="9"/>
      <c r="AR545" s="8"/>
      <c r="AS545" s="8"/>
      <c r="AT545" s="8"/>
      <c r="AU545" s="8"/>
      <c r="AV545" s="8"/>
      <c r="AW545" s="8"/>
      <c r="AX545" s="8"/>
      <c r="AY545" s="8"/>
      <c r="AZ545" s="8"/>
    </row>
    <row r="546" spans="21:52" ht="16.899999999999999">
      <c r="U546" s="8"/>
      <c r="W546" s="10"/>
      <c r="X546" s="10"/>
      <c r="Z546" s="13"/>
      <c r="AA546" s="13"/>
      <c r="AB546" s="13"/>
      <c r="AC546" s="9"/>
      <c r="AD546" s="9"/>
      <c r="AE546" s="11"/>
      <c r="AF546" s="10"/>
      <c r="AG546" s="11"/>
      <c r="AH546" s="10"/>
      <c r="AI546" s="11"/>
      <c r="AJ546" s="10"/>
      <c r="AK546" s="10"/>
      <c r="AL546" s="10"/>
      <c r="AM546" s="8"/>
      <c r="AN546" s="8"/>
      <c r="AO546" s="9"/>
      <c r="AP546" s="9"/>
      <c r="AQ546" s="9"/>
      <c r="AR546" s="8"/>
      <c r="AS546" s="8"/>
      <c r="AT546" s="8"/>
      <c r="AU546" s="8"/>
      <c r="AV546" s="8"/>
      <c r="AW546" s="8"/>
      <c r="AX546" s="8"/>
      <c r="AY546" s="8"/>
      <c r="AZ546" s="8"/>
    </row>
    <row r="547" spans="21:52" ht="16.899999999999999">
      <c r="U547" s="8"/>
      <c r="W547" s="10"/>
      <c r="X547" s="10"/>
      <c r="Z547" s="13"/>
      <c r="AA547" s="13"/>
      <c r="AB547" s="13"/>
      <c r="AC547" s="9"/>
      <c r="AD547" s="9"/>
      <c r="AE547" s="11"/>
      <c r="AF547" s="10"/>
      <c r="AG547" s="11"/>
      <c r="AH547" s="10"/>
      <c r="AI547" s="11"/>
      <c r="AJ547" s="10"/>
      <c r="AK547" s="10"/>
      <c r="AL547" s="10"/>
      <c r="AM547" s="8"/>
      <c r="AN547" s="8"/>
      <c r="AO547" s="9"/>
      <c r="AP547" s="9"/>
      <c r="AQ547" s="9"/>
      <c r="AR547" s="8"/>
      <c r="AS547" s="8"/>
      <c r="AT547" s="8"/>
      <c r="AU547" s="8"/>
      <c r="AV547" s="8"/>
      <c r="AW547" s="8"/>
      <c r="AX547" s="8"/>
      <c r="AY547" s="8"/>
      <c r="AZ547" s="8"/>
    </row>
    <row r="548" spans="21:52" ht="16.899999999999999">
      <c r="U548" s="8"/>
      <c r="W548" s="10"/>
      <c r="X548" s="10"/>
      <c r="Z548" s="13"/>
      <c r="AA548" s="13"/>
      <c r="AB548" s="13"/>
      <c r="AC548" s="9"/>
      <c r="AD548" s="9"/>
      <c r="AE548" s="11"/>
      <c r="AF548" s="10"/>
      <c r="AG548" s="11"/>
      <c r="AH548" s="10"/>
      <c r="AI548" s="11"/>
      <c r="AJ548" s="10"/>
      <c r="AK548" s="10"/>
      <c r="AL548" s="10"/>
      <c r="AM548" s="8"/>
      <c r="AN548" s="8"/>
      <c r="AO548" s="9"/>
      <c r="AP548" s="9"/>
      <c r="AQ548" s="9"/>
      <c r="AR548" s="8"/>
      <c r="AS548" s="8"/>
      <c r="AT548" s="8"/>
      <c r="AU548" s="8"/>
      <c r="AV548" s="8"/>
      <c r="AW548" s="8"/>
      <c r="AX548" s="8"/>
      <c r="AY548" s="8"/>
      <c r="AZ548" s="8"/>
    </row>
    <row r="549" spans="21:52" ht="16.899999999999999">
      <c r="U549" s="8"/>
      <c r="W549" s="10"/>
      <c r="X549" s="10"/>
      <c r="Z549" s="13"/>
      <c r="AA549" s="13"/>
      <c r="AB549" s="13"/>
      <c r="AC549" s="9"/>
      <c r="AD549" s="9"/>
      <c r="AE549" s="11"/>
      <c r="AF549" s="10"/>
      <c r="AG549" s="11"/>
      <c r="AH549" s="10"/>
      <c r="AI549" s="11"/>
      <c r="AJ549" s="10"/>
      <c r="AK549" s="10"/>
      <c r="AL549" s="10"/>
      <c r="AM549" s="8"/>
      <c r="AN549" s="8"/>
      <c r="AO549" s="9"/>
      <c r="AP549" s="9"/>
      <c r="AQ549" s="9"/>
      <c r="AR549" s="8"/>
      <c r="AS549" s="8"/>
      <c r="AT549" s="8"/>
      <c r="AU549" s="8"/>
      <c r="AV549" s="8"/>
      <c r="AW549" s="8"/>
      <c r="AX549" s="8"/>
      <c r="AY549" s="8"/>
      <c r="AZ549" s="8"/>
    </row>
    <row r="550" spans="21:52" ht="16.899999999999999">
      <c r="U550" s="8"/>
      <c r="W550" s="10"/>
      <c r="X550" s="10"/>
      <c r="Z550" s="13"/>
      <c r="AA550" s="13"/>
      <c r="AB550" s="13"/>
      <c r="AC550" s="9"/>
      <c r="AD550" s="9"/>
      <c r="AE550" s="11"/>
      <c r="AF550" s="10"/>
      <c r="AG550" s="11"/>
      <c r="AH550" s="10"/>
      <c r="AI550" s="11"/>
      <c r="AJ550" s="10"/>
      <c r="AK550" s="10"/>
      <c r="AL550" s="10"/>
      <c r="AM550" s="8"/>
      <c r="AN550" s="8"/>
      <c r="AO550" s="9"/>
      <c r="AP550" s="9"/>
      <c r="AQ550" s="9"/>
      <c r="AR550" s="8"/>
      <c r="AS550" s="8"/>
      <c r="AT550" s="8"/>
      <c r="AU550" s="8"/>
      <c r="AV550" s="8"/>
      <c r="AW550" s="8"/>
      <c r="AX550" s="8"/>
      <c r="AY550" s="8"/>
      <c r="AZ550" s="8"/>
    </row>
    <row r="551" spans="21:52" ht="16.899999999999999">
      <c r="U551" s="8"/>
      <c r="W551" s="10"/>
      <c r="X551" s="10"/>
      <c r="Z551" s="13"/>
      <c r="AA551" s="13"/>
      <c r="AB551" s="13"/>
      <c r="AC551" s="9"/>
      <c r="AD551" s="9"/>
      <c r="AE551" s="11"/>
      <c r="AF551" s="10"/>
      <c r="AG551" s="11"/>
      <c r="AH551" s="10"/>
      <c r="AI551" s="11"/>
      <c r="AJ551" s="10"/>
      <c r="AK551" s="10"/>
      <c r="AL551" s="10"/>
      <c r="AM551" s="8"/>
      <c r="AN551" s="8"/>
      <c r="AO551" s="9"/>
      <c r="AP551" s="9"/>
      <c r="AQ551" s="9"/>
      <c r="AR551" s="8"/>
      <c r="AS551" s="8"/>
      <c r="AT551" s="8"/>
      <c r="AU551" s="8"/>
      <c r="AV551" s="8"/>
      <c r="AW551" s="8"/>
      <c r="AX551" s="8"/>
      <c r="AY551" s="8"/>
      <c r="AZ551" s="8"/>
    </row>
    <row r="552" spans="21:52" ht="16.899999999999999">
      <c r="U552" s="8"/>
      <c r="W552" s="10"/>
      <c r="X552" s="10"/>
      <c r="Z552" s="13"/>
      <c r="AA552" s="13"/>
      <c r="AB552" s="13"/>
      <c r="AC552" s="9"/>
      <c r="AD552" s="9"/>
      <c r="AE552" s="11"/>
      <c r="AF552" s="10"/>
      <c r="AG552" s="11"/>
      <c r="AH552" s="10"/>
      <c r="AI552" s="11"/>
      <c r="AJ552" s="10"/>
      <c r="AK552" s="10"/>
      <c r="AL552" s="10"/>
      <c r="AM552" s="8"/>
      <c r="AN552" s="8"/>
      <c r="AO552" s="9"/>
      <c r="AP552" s="9"/>
      <c r="AQ552" s="9"/>
      <c r="AR552" s="8"/>
      <c r="AS552" s="8"/>
      <c r="AT552" s="8"/>
      <c r="AU552" s="8"/>
      <c r="AV552" s="8"/>
      <c r="AW552" s="8"/>
      <c r="AX552" s="8"/>
      <c r="AY552" s="8"/>
      <c r="AZ552" s="8"/>
    </row>
    <row r="553" spans="21:52" ht="16.899999999999999">
      <c r="U553" s="8"/>
      <c r="W553" s="10"/>
      <c r="X553" s="10"/>
      <c r="Z553" s="13"/>
      <c r="AA553" s="13"/>
      <c r="AB553" s="13"/>
      <c r="AC553" s="9"/>
      <c r="AD553" s="9"/>
      <c r="AE553" s="11"/>
      <c r="AF553" s="10"/>
      <c r="AG553" s="11"/>
      <c r="AH553" s="10"/>
      <c r="AI553" s="11"/>
      <c r="AJ553" s="10"/>
      <c r="AK553" s="10"/>
      <c r="AL553" s="10"/>
      <c r="AM553" s="8"/>
      <c r="AN553" s="8"/>
      <c r="AO553" s="9"/>
      <c r="AP553" s="9"/>
      <c r="AQ553" s="9"/>
      <c r="AR553" s="8"/>
      <c r="AS553" s="8"/>
      <c r="AT553" s="8"/>
      <c r="AU553" s="8"/>
      <c r="AV553" s="8"/>
      <c r="AW553" s="8"/>
      <c r="AX553" s="8"/>
      <c r="AY553" s="8"/>
      <c r="AZ553" s="8"/>
    </row>
    <row r="554" spans="21:52" ht="16.899999999999999">
      <c r="U554" s="8"/>
      <c r="W554" s="10"/>
      <c r="X554" s="10"/>
      <c r="Z554" s="13"/>
      <c r="AA554" s="13"/>
      <c r="AB554" s="13"/>
      <c r="AC554" s="9"/>
      <c r="AD554" s="9"/>
      <c r="AE554" s="11"/>
      <c r="AF554" s="10"/>
      <c r="AG554" s="11"/>
      <c r="AH554" s="10"/>
      <c r="AI554" s="11"/>
      <c r="AJ554" s="10"/>
      <c r="AK554" s="10"/>
      <c r="AL554" s="10"/>
      <c r="AM554" s="8"/>
      <c r="AN554" s="8"/>
      <c r="AO554" s="9"/>
      <c r="AP554" s="9"/>
      <c r="AQ554" s="9"/>
      <c r="AR554" s="8"/>
      <c r="AS554" s="8"/>
      <c r="AT554" s="8"/>
      <c r="AU554" s="8"/>
      <c r="AV554" s="8"/>
      <c r="AW554" s="8"/>
      <c r="AX554" s="8"/>
      <c r="AY554" s="8"/>
      <c r="AZ554" s="8"/>
    </row>
    <row r="555" spans="21:52" ht="16.899999999999999">
      <c r="U555" s="8"/>
      <c r="W555" s="10"/>
      <c r="X555" s="10"/>
      <c r="Z555" s="13"/>
      <c r="AA555" s="13"/>
      <c r="AB555" s="13"/>
      <c r="AC555" s="9"/>
      <c r="AD555" s="9"/>
      <c r="AE555" s="11"/>
      <c r="AF555" s="10"/>
      <c r="AG555" s="11"/>
      <c r="AH555" s="10"/>
      <c r="AI555" s="11"/>
      <c r="AJ555" s="10"/>
      <c r="AK555" s="10"/>
      <c r="AL555" s="10"/>
      <c r="AM555" s="8"/>
      <c r="AN555" s="8"/>
      <c r="AO555" s="9"/>
      <c r="AP555" s="9"/>
      <c r="AQ555" s="9"/>
      <c r="AR555" s="8"/>
      <c r="AS555" s="8"/>
      <c r="AT555" s="8"/>
      <c r="AU555" s="8"/>
      <c r="AV555" s="8"/>
      <c r="AW555" s="8"/>
      <c r="AX555" s="8"/>
      <c r="AY555" s="8"/>
      <c r="AZ555" s="8"/>
    </row>
    <row r="556" spans="21:52" ht="16.899999999999999">
      <c r="U556" s="8"/>
      <c r="W556" s="10"/>
      <c r="X556" s="10"/>
      <c r="Z556" s="13"/>
      <c r="AA556" s="13"/>
      <c r="AB556" s="13"/>
      <c r="AC556" s="9"/>
      <c r="AD556" s="9"/>
      <c r="AE556" s="11"/>
      <c r="AF556" s="10"/>
      <c r="AG556" s="11"/>
      <c r="AH556" s="10"/>
      <c r="AI556" s="11"/>
      <c r="AJ556" s="10"/>
      <c r="AK556" s="10"/>
      <c r="AL556" s="10"/>
      <c r="AM556" s="8"/>
      <c r="AN556" s="8"/>
      <c r="AO556" s="9"/>
      <c r="AP556" s="9"/>
      <c r="AQ556" s="9"/>
      <c r="AR556" s="8"/>
      <c r="AS556" s="8"/>
      <c r="AT556" s="8"/>
      <c r="AU556" s="8"/>
      <c r="AV556" s="8"/>
      <c r="AW556" s="8"/>
      <c r="AX556" s="8"/>
      <c r="AY556" s="8"/>
      <c r="AZ556" s="8"/>
    </row>
    <row r="557" spans="21:52" ht="16.899999999999999">
      <c r="U557" s="8"/>
      <c r="W557" s="10"/>
      <c r="X557" s="10"/>
      <c r="Z557" s="13"/>
      <c r="AA557" s="13"/>
      <c r="AB557" s="13"/>
      <c r="AC557" s="9"/>
      <c r="AD557" s="9"/>
      <c r="AE557" s="11"/>
      <c r="AF557" s="10"/>
      <c r="AG557" s="11"/>
      <c r="AH557" s="10"/>
      <c r="AI557" s="11"/>
      <c r="AJ557" s="10"/>
      <c r="AK557" s="10"/>
      <c r="AL557" s="10"/>
      <c r="AM557" s="8"/>
      <c r="AN557" s="8"/>
      <c r="AO557" s="9"/>
      <c r="AP557" s="9"/>
      <c r="AQ557" s="9"/>
      <c r="AR557" s="8"/>
      <c r="AS557" s="8"/>
      <c r="AT557" s="8"/>
      <c r="AU557" s="8"/>
      <c r="AV557" s="8"/>
      <c r="AW557" s="8"/>
      <c r="AX557" s="8"/>
      <c r="AY557" s="8"/>
      <c r="AZ557" s="8"/>
    </row>
    <row r="558" spans="21:52" ht="16.899999999999999">
      <c r="U558" s="8"/>
      <c r="W558" s="10"/>
      <c r="X558" s="10"/>
      <c r="Z558" s="13"/>
      <c r="AA558" s="13"/>
      <c r="AB558" s="13"/>
      <c r="AC558" s="9"/>
      <c r="AD558" s="9"/>
      <c r="AE558" s="11"/>
      <c r="AF558" s="10"/>
      <c r="AG558" s="11"/>
      <c r="AH558" s="10"/>
      <c r="AI558" s="11"/>
      <c r="AJ558" s="10"/>
      <c r="AK558" s="10"/>
      <c r="AL558" s="10"/>
      <c r="AM558" s="8"/>
      <c r="AN558" s="8"/>
      <c r="AO558" s="9"/>
      <c r="AP558" s="9"/>
      <c r="AQ558" s="9"/>
      <c r="AR558" s="8"/>
      <c r="AS558" s="8"/>
      <c r="AT558" s="8"/>
      <c r="AU558" s="8"/>
      <c r="AV558" s="8"/>
      <c r="AW558" s="8"/>
      <c r="AX558" s="8"/>
      <c r="AY558" s="8"/>
      <c r="AZ558" s="8"/>
    </row>
    <row r="559" spans="21:52" ht="16.899999999999999">
      <c r="U559" s="8"/>
      <c r="W559" s="10"/>
      <c r="X559" s="10"/>
      <c r="Z559" s="13"/>
      <c r="AA559" s="13"/>
      <c r="AB559" s="13"/>
      <c r="AC559" s="9"/>
      <c r="AD559" s="9"/>
      <c r="AE559" s="11"/>
      <c r="AF559" s="10"/>
      <c r="AG559" s="11"/>
      <c r="AH559" s="10"/>
      <c r="AI559" s="11"/>
      <c r="AJ559" s="10"/>
      <c r="AK559" s="10"/>
      <c r="AL559" s="10"/>
      <c r="AM559" s="8"/>
      <c r="AN559" s="8"/>
      <c r="AO559" s="9"/>
      <c r="AP559" s="9"/>
      <c r="AQ559" s="9"/>
      <c r="AR559" s="8"/>
      <c r="AS559" s="8"/>
      <c r="AT559" s="8"/>
      <c r="AU559" s="8"/>
      <c r="AV559" s="8"/>
      <c r="AW559" s="8"/>
      <c r="AX559" s="8"/>
      <c r="AY559" s="8"/>
      <c r="AZ559" s="8"/>
    </row>
    <row r="560" spans="21:52" ht="16.899999999999999">
      <c r="U560" s="8"/>
      <c r="W560" s="10"/>
      <c r="X560" s="10"/>
      <c r="Z560" s="13"/>
      <c r="AA560" s="13"/>
      <c r="AB560" s="13"/>
      <c r="AC560" s="9"/>
      <c r="AD560" s="9"/>
      <c r="AE560" s="11"/>
      <c r="AF560" s="10"/>
      <c r="AG560" s="11"/>
      <c r="AH560" s="10"/>
      <c r="AI560" s="11"/>
      <c r="AJ560" s="10"/>
      <c r="AK560" s="10"/>
      <c r="AL560" s="10"/>
      <c r="AM560" s="8"/>
      <c r="AN560" s="8"/>
      <c r="AO560" s="9"/>
      <c r="AP560" s="9"/>
      <c r="AQ560" s="9"/>
      <c r="AR560" s="8"/>
      <c r="AS560" s="8"/>
      <c r="AT560" s="8"/>
      <c r="AU560" s="8"/>
      <c r="AV560" s="8"/>
      <c r="AW560" s="8"/>
      <c r="AX560" s="8"/>
      <c r="AY560" s="8"/>
      <c r="AZ560" s="8"/>
    </row>
    <row r="561" spans="21:52" ht="16.899999999999999">
      <c r="U561" s="8"/>
      <c r="W561" s="10"/>
      <c r="X561" s="10"/>
      <c r="Z561" s="13"/>
      <c r="AA561" s="13"/>
      <c r="AB561" s="13"/>
      <c r="AC561" s="9"/>
      <c r="AD561" s="9"/>
      <c r="AE561" s="11"/>
      <c r="AF561" s="10"/>
      <c r="AG561" s="11"/>
      <c r="AH561" s="10"/>
      <c r="AI561" s="11"/>
      <c r="AJ561" s="10"/>
      <c r="AK561" s="10"/>
      <c r="AL561" s="10"/>
      <c r="AM561" s="8"/>
      <c r="AN561" s="8"/>
      <c r="AO561" s="9"/>
      <c r="AP561" s="9"/>
      <c r="AQ561" s="9"/>
      <c r="AR561" s="8"/>
      <c r="AS561" s="8"/>
      <c r="AT561" s="8"/>
      <c r="AU561" s="8"/>
      <c r="AV561" s="8"/>
      <c r="AW561" s="8"/>
      <c r="AX561" s="8"/>
      <c r="AY561" s="8"/>
      <c r="AZ561" s="8"/>
    </row>
    <row r="562" spans="21:52" ht="16.899999999999999">
      <c r="U562" s="8"/>
      <c r="W562" s="10"/>
      <c r="X562" s="10"/>
      <c r="Z562" s="13"/>
      <c r="AA562" s="13"/>
      <c r="AB562" s="13"/>
      <c r="AC562" s="9"/>
      <c r="AD562" s="9"/>
      <c r="AE562" s="11"/>
      <c r="AF562" s="10"/>
      <c r="AG562" s="11"/>
      <c r="AH562" s="10"/>
      <c r="AI562" s="11"/>
      <c r="AJ562" s="10"/>
      <c r="AK562" s="10"/>
      <c r="AL562" s="10"/>
      <c r="AM562" s="8"/>
      <c r="AN562" s="8"/>
      <c r="AO562" s="9"/>
      <c r="AP562" s="9"/>
      <c r="AQ562" s="9"/>
      <c r="AR562" s="8"/>
      <c r="AS562" s="8"/>
      <c r="AT562" s="8"/>
      <c r="AU562" s="8"/>
      <c r="AV562" s="8"/>
      <c r="AW562" s="8"/>
      <c r="AX562" s="8"/>
      <c r="AY562" s="8"/>
      <c r="AZ562" s="8"/>
    </row>
    <row r="563" spans="21:52" ht="16.899999999999999">
      <c r="U563" s="8"/>
      <c r="W563" s="10"/>
      <c r="X563" s="10"/>
      <c r="Z563" s="13"/>
      <c r="AA563" s="13"/>
      <c r="AB563" s="13"/>
      <c r="AC563" s="9"/>
      <c r="AD563" s="9"/>
      <c r="AE563" s="11"/>
      <c r="AF563" s="10"/>
      <c r="AG563" s="11"/>
      <c r="AH563" s="10"/>
      <c r="AI563" s="11"/>
      <c r="AJ563" s="10"/>
      <c r="AK563" s="10"/>
      <c r="AL563" s="10"/>
      <c r="AM563" s="8"/>
      <c r="AN563" s="8"/>
      <c r="AO563" s="9"/>
      <c r="AP563" s="9"/>
      <c r="AQ563" s="9"/>
      <c r="AR563" s="8"/>
      <c r="AS563" s="8"/>
      <c r="AT563" s="8"/>
      <c r="AU563" s="8"/>
      <c r="AV563" s="8"/>
      <c r="AW563" s="8"/>
      <c r="AX563" s="8"/>
      <c r="AY563" s="8"/>
      <c r="AZ563" s="8"/>
    </row>
    <row r="564" spans="21:52" ht="16.899999999999999">
      <c r="U564" s="8"/>
      <c r="W564" s="10"/>
      <c r="X564" s="10"/>
      <c r="Z564" s="13"/>
      <c r="AA564" s="13"/>
      <c r="AB564" s="13"/>
      <c r="AC564" s="9"/>
      <c r="AD564" s="9"/>
      <c r="AE564" s="11"/>
      <c r="AF564" s="10"/>
      <c r="AG564" s="11"/>
      <c r="AH564" s="10"/>
      <c r="AI564" s="11"/>
      <c r="AJ564" s="10"/>
      <c r="AK564" s="10"/>
      <c r="AL564" s="10"/>
      <c r="AM564" s="8"/>
      <c r="AN564" s="8"/>
      <c r="AO564" s="9"/>
      <c r="AP564" s="9"/>
      <c r="AQ564" s="9"/>
      <c r="AR564" s="8"/>
      <c r="AS564" s="8"/>
      <c r="AT564" s="8"/>
      <c r="AU564" s="8"/>
      <c r="AV564" s="8"/>
      <c r="AW564" s="8"/>
      <c r="AX564" s="8"/>
      <c r="AY564" s="8"/>
      <c r="AZ564" s="8"/>
    </row>
    <row r="565" spans="21:52" ht="16.899999999999999">
      <c r="U565" s="8"/>
      <c r="W565" s="10"/>
      <c r="X565" s="10"/>
      <c r="Z565" s="13"/>
      <c r="AA565" s="13"/>
      <c r="AB565" s="13"/>
      <c r="AC565" s="9"/>
      <c r="AD565" s="9"/>
      <c r="AE565" s="11"/>
      <c r="AF565" s="10"/>
      <c r="AG565" s="11"/>
      <c r="AH565" s="10"/>
      <c r="AI565" s="11"/>
      <c r="AJ565" s="10"/>
      <c r="AK565" s="10"/>
      <c r="AL565" s="10"/>
      <c r="AM565" s="8"/>
      <c r="AN565" s="8"/>
      <c r="AO565" s="9"/>
      <c r="AP565" s="9"/>
      <c r="AQ565" s="9"/>
      <c r="AR565" s="8"/>
      <c r="AS565" s="8"/>
      <c r="AT565" s="8"/>
      <c r="AU565" s="8"/>
      <c r="AV565" s="8"/>
      <c r="AW565" s="8"/>
      <c r="AX565" s="8"/>
      <c r="AY565" s="8"/>
      <c r="AZ565" s="8"/>
    </row>
    <row r="566" spans="21:52" ht="16.899999999999999">
      <c r="U566" s="8"/>
      <c r="W566" s="10"/>
      <c r="X566" s="10"/>
      <c r="Z566" s="13"/>
      <c r="AA566" s="13"/>
      <c r="AB566" s="13"/>
      <c r="AC566" s="9"/>
      <c r="AD566" s="9"/>
      <c r="AE566" s="11"/>
      <c r="AF566" s="10"/>
      <c r="AG566" s="11"/>
      <c r="AH566" s="10"/>
      <c r="AI566" s="11"/>
      <c r="AJ566" s="10"/>
      <c r="AK566" s="10"/>
      <c r="AL566" s="10"/>
      <c r="AM566" s="8"/>
      <c r="AN566" s="8"/>
      <c r="AO566" s="9"/>
      <c r="AP566" s="9"/>
      <c r="AQ566" s="9"/>
      <c r="AR566" s="8"/>
      <c r="AS566" s="8"/>
      <c r="AT566" s="8"/>
      <c r="AU566" s="8"/>
      <c r="AV566" s="8"/>
      <c r="AW566" s="8"/>
      <c r="AX566" s="8"/>
      <c r="AY566" s="8"/>
      <c r="AZ566" s="8"/>
    </row>
    <row r="567" spans="21:52" ht="16.899999999999999">
      <c r="U567" s="8"/>
      <c r="W567" s="10"/>
      <c r="X567" s="10"/>
      <c r="Z567" s="13"/>
      <c r="AA567" s="13"/>
      <c r="AB567" s="13"/>
      <c r="AC567" s="9"/>
      <c r="AD567" s="9"/>
      <c r="AE567" s="11"/>
      <c r="AF567" s="10"/>
      <c r="AG567" s="11"/>
      <c r="AH567" s="10"/>
      <c r="AI567" s="11"/>
      <c r="AJ567" s="10"/>
      <c r="AK567" s="10"/>
      <c r="AL567" s="10"/>
      <c r="AM567" s="8"/>
      <c r="AN567" s="8"/>
      <c r="AO567" s="9"/>
      <c r="AP567" s="9"/>
      <c r="AQ567" s="9"/>
      <c r="AR567" s="8"/>
      <c r="AS567" s="8"/>
      <c r="AT567" s="8"/>
      <c r="AU567" s="8"/>
      <c r="AV567" s="8"/>
      <c r="AW567" s="8"/>
      <c r="AX567" s="8"/>
      <c r="AY567" s="8"/>
      <c r="AZ567" s="8"/>
    </row>
    <row r="568" spans="21:52" ht="16.899999999999999">
      <c r="U568" s="8"/>
      <c r="W568" s="10"/>
      <c r="X568" s="10"/>
      <c r="Z568" s="13"/>
      <c r="AA568" s="13"/>
      <c r="AB568" s="13"/>
      <c r="AC568" s="9"/>
      <c r="AD568" s="9"/>
      <c r="AE568" s="11"/>
      <c r="AF568" s="10"/>
      <c r="AG568" s="11"/>
      <c r="AH568" s="10"/>
      <c r="AI568" s="11"/>
      <c r="AJ568" s="10"/>
      <c r="AK568" s="10"/>
      <c r="AL568" s="10"/>
      <c r="AM568" s="8"/>
      <c r="AN568" s="8"/>
      <c r="AO568" s="9"/>
      <c r="AP568" s="9"/>
      <c r="AQ568" s="9"/>
      <c r="AR568" s="8"/>
      <c r="AS568" s="8"/>
      <c r="AT568" s="8"/>
      <c r="AU568" s="8"/>
      <c r="AV568" s="8"/>
      <c r="AW568" s="8"/>
      <c r="AX568" s="8"/>
      <c r="AY568" s="8"/>
      <c r="AZ568" s="8"/>
    </row>
    <row r="569" spans="21:52" ht="16.899999999999999">
      <c r="U569" s="8"/>
      <c r="W569" s="10"/>
      <c r="X569" s="10"/>
      <c r="Z569" s="13"/>
      <c r="AA569" s="13"/>
      <c r="AB569" s="13"/>
      <c r="AC569" s="9"/>
      <c r="AD569" s="9"/>
      <c r="AE569" s="11"/>
      <c r="AF569" s="10"/>
      <c r="AG569" s="11"/>
      <c r="AH569" s="10"/>
      <c r="AI569" s="11"/>
      <c r="AJ569" s="10"/>
      <c r="AK569" s="10"/>
      <c r="AL569" s="10"/>
      <c r="AM569" s="8"/>
      <c r="AN569" s="8"/>
      <c r="AO569" s="9"/>
      <c r="AP569" s="9"/>
      <c r="AQ569" s="9"/>
      <c r="AR569" s="8"/>
      <c r="AS569" s="8"/>
      <c r="AT569" s="8"/>
      <c r="AU569" s="8"/>
      <c r="AV569" s="8"/>
      <c r="AW569" s="8"/>
      <c r="AX569" s="8"/>
      <c r="AY569" s="8"/>
      <c r="AZ569" s="8"/>
    </row>
    <row r="570" spans="21:52" ht="16.899999999999999">
      <c r="U570" s="8"/>
      <c r="W570" s="10"/>
      <c r="X570" s="10"/>
      <c r="Z570" s="13"/>
      <c r="AA570" s="13"/>
      <c r="AB570" s="13"/>
      <c r="AC570" s="9"/>
      <c r="AD570" s="9"/>
      <c r="AE570" s="11"/>
      <c r="AF570" s="10"/>
      <c r="AG570" s="11"/>
      <c r="AH570" s="10"/>
      <c r="AI570" s="11"/>
      <c r="AJ570" s="10"/>
      <c r="AK570" s="10"/>
      <c r="AL570" s="10"/>
      <c r="AM570" s="8"/>
      <c r="AN570" s="8"/>
      <c r="AO570" s="9"/>
      <c r="AP570" s="9"/>
      <c r="AQ570" s="9"/>
      <c r="AR570" s="8"/>
      <c r="AS570" s="8"/>
      <c r="AT570" s="8"/>
      <c r="AU570" s="8"/>
      <c r="AV570" s="8"/>
      <c r="AW570" s="8"/>
      <c r="AX570" s="8"/>
      <c r="AY570" s="8"/>
      <c r="AZ570" s="8"/>
    </row>
    <row r="571" spans="21:52" ht="16.899999999999999">
      <c r="U571" s="8"/>
      <c r="W571" s="10"/>
      <c r="X571" s="10"/>
      <c r="Z571" s="13"/>
      <c r="AA571" s="13"/>
      <c r="AB571" s="13"/>
      <c r="AC571" s="9"/>
      <c r="AD571" s="9"/>
      <c r="AE571" s="11"/>
      <c r="AF571" s="10"/>
      <c r="AG571" s="11"/>
      <c r="AH571" s="10"/>
      <c r="AI571" s="11"/>
      <c r="AJ571" s="10"/>
      <c r="AK571" s="10"/>
      <c r="AL571" s="10"/>
      <c r="AM571" s="8"/>
      <c r="AN571" s="8"/>
      <c r="AO571" s="9"/>
      <c r="AP571" s="9"/>
      <c r="AQ571" s="9"/>
      <c r="AR571" s="8"/>
      <c r="AS571" s="8"/>
      <c r="AT571" s="8"/>
      <c r="AU571" s="8"/>
      <c r="AV571" s="8"/>
      <c r="AW571" s="8"/>
      <c r="AX571" s="8"/>
      <c r="AY571" s="8"/>
      <c r="AZ571" s="8"/>
    </row>
    <row r="572" spans="21:52" ht="16.899999999999999">
      <c r="U572" s="8"/>
      <c r="W572" s="10"/>
      <c r="X572" s="10"/>
      <c r="Z572" s="13"/>
      <c r="AA572" s="13"/>
      <c r="AB572" s="13"/>
      <c r="AC572" s="9"/>
      <c r="AD572" s="9"/>
      <c r="AE572" s="11"/>
      <c r="AF572" s="10"/>
      <c r="AG572" s="11"/>
      <c r="AH572" s="10"/>
      <c r="AI572" s="11"/>
      <c r="AJ572" s="10"/>
      <c r="AK572" s="10"/>
      <c r="AL572" s="10"/>
      <c r="AM572" s="8"/>
      <c r="AN572" s="8"/>
      <c r="AO572" s="9"/>
      <c r="AP572" s="9"/>
      <c r="AQ572" s="9"/>
      <c r="AR572" s="8"/>
      <c r="AS572" s="8"/>
      <c r="AT572" s="8"/>
      <c r="AU572" s="8"/>
      <c r="AV572" s="8"/>
      <c r="AW572" s="8"/>
      <c r="AX572" s="8"/>
      <c r="AY572" s="8"/>
      <c r="AZ572" s="8"/>
    </row>
    <row r="573" spans="21:52" ht="16.899999999999999">
      <c r="U573" s="8"/>
      <c r="W573" s="10"/>
      <c r="X573" s="10"/>
      <c r="Z573" s="13"/>
      <c r="AA573" s="13"/>
      <c r="AB573" s="13"/>
      <c r="AC573" s="9"/>
      <c r="AD573" s="9"/>
      <c r="AE573" s="11"/>
      <c r="AF573" s="10"/>
      <c r="AG573" s="11"/>
      <c r="AH573" s="10"/>
      <c r="AI573" s="11"/>
      <c r="AJ573" s="10"/>
      <c r="AK573" s="10"/>
      <c r="AL573" s="10"/>
      <c r="AM573" s="8"/>
      <c r="AN573" s="8"/>
      <c r="AO573" s="9"/>
      <c r="AP573" s="9"/>
      <c r="AQ573" s="9"/>
      <c r="AR573" s="8"/>
      <c r="AS573" s="8"/>
      <c r="AT573" s="8"/>
      <c r="AU573" s="8"/>
      <c r="AV573" s="8"/>
      <c r="AW573" s="8"/>
      <c r="AX573" s="8"/>
      <c r="AY573" s="8"/>
      <c r="AZ573" s="8"/>
    </row>
    <row r="574" spans="21:52" ht="16.899999999999999">
      <c r="U574" s="8"/>
      <c r="W574" s="10"/>
      <c r="X574" s="10"/>
      <c r="Z574" s="13"/>
      <c r="AA574" s="13"/>
      <c r="AB574" s="13"/>
      <c r="AC574" s="9"/>
      <c r="AD574" s="9"/>
      <c r="AE574" s="11"/>
      <c r="AF574" s="10"/>
      <c r="AG574" s="11"/>
      <c r="AH574" s="10"/>
      <c r="AI574" s="11"/>
      <c r="AJ574" s="10"/>
      <c r="AK574" s="10"/>
      <c r="AL574" s="10"/>
      <c r="AM574" s="8"/>
      <c r="AN574" s="8"/>
      <c r="AO574" s="9"/>
      <c r="AP574" s="9"/>
      <c r="AQ574" s="9"/>
      <c r="AR574" s="8"/>
      <c r="AS574" s="8"/>
      <c r="AT574" s="8"/>
      <c r="AU574" s="8"/>
      <c r="AV574" s="8"/>
      <c r="AW574" s="8"/>
      <c r="AX574" s="8"/>
      <c r="AY574" s="8"/>
      <c r="AZ574" s="8"/>
    </row>
    <row r="575" spans="21:52" ht="16.899999999999999">
      <c r="U575" s="8"/>
      <c r="W575" s="10"/>
      <c r="X575" s="10"/>
      <c r="Z575" s="13"/>
      <c r="AA575" s="13"/>
      <c r="AB575" s="13"/>
      <c r="AC575" s="9"/>
      <c r="AD575" s="9"/>
      <c r="AE575" s="11"/>
      <c r="AF575" s="10"/>
      <c r="AG575" s="11"/>
      <c r="AH575" s="10"/>
      <c r="AI575" s="11"/>
      <c r="AJ575" s="10"/>
      <c r="AK575" s="10"/>
      <c r="AL575" s="10"/>
      <c r="AM575" s="8"/>
      <c r="AN575" s="8"/>
      <c r="AO575" s="9"/>
      <c r="AP575" s="9"/>
      <c r="AQ575" s="9"/>
      <c r="AR575" s="8"/>
      <c r="AS575" s="8"/>
      <c r="AT575" s="8"/>
      <c r="AU575" s="8"/>
      <c r="AV575" s="8"/>
      <c r="AW575" s="8"/>
      <c r="AX575" s="8"/>
      <c r="AY575" s="8"/>
      <c r="AZ575" s="8"/>
    </row>
    <row r="576" spans="21:52" ht="16.899999999999999">
      <c r="U576" s="8"/>
      <c r="W576" s="10"/>
      <c r="X576" s="10"/>
      <c r="Z576" s="13"/>
      <c r="AA576" s="13"/>
      <c r="AB576" s="13"/>
      <c r="AC576" s="9"/>
      <c r="AD576" s="9"/>
      <c r="AE576" s="11"/>
      <c r="AF576" s="10"/>
      <c r="AG576" s="11"/>
      <c r="AH576" s="10"/>
      <c r="AI576" s="11"/>
      <c r="AJ576" s="10"/>
      <c r="AK576" s="10"/>
      <c r="AL576" s="10"/>
      <c r="AM576" s="8"/>
      <c r="AN576" s="8"/>
      <c r="AO576" s="9"/>
      <c r="AP576" s="9"/>
      <c r="AQ576" s="9"/>
      <c r="AR576" s="8"/>
      <c r="AS576" s="8"/>
      <c r="AT576" s="8"/>
      <c r="AU576" s="8"/>
      <c r="AV576" s="8"/>
      <c r="AW576" s="8"/>
      <c r="AX576" s="8"/>
      <c r="AY576" s="8"/>
      <c r="AZ576" s="8"/>
    </row>
    <row r="577" spans="21:52" ht="16.899999999999999">
      <c r="U577" s="8"/>
      <c r="W577" s="10"/>
      <c r="X577" s="10"/>
      <c r="Z577" s="13"/>
      <c r="AA577" s="13"/>
      <c r="AB577" s="13"/>
      <c r="AC577" s="9"/>
      <c r="AD577" s="9"/>
      <c r="AE577" s="11"/>
      <c r="AF577" s="10"/>
      <c r="AG577" s="11"/>
      <c r="AH577" s="10"/>
      <c r="AI577" s="11"/>
      <c r="AJ577" s="10"/>
      <c r="AK577" s="10"/>
      <c r="AL577" s="10"/>
      <c r="AM577" s="8"/>
      <c r="AN577" s="8"/>
      <c r="AO577" s="9"/>
      <c r="AP577" s="9"/>
      <c r="AQ577" s="9"/>
      <c r="AR577" s="8"/>
      <c r="AS577" s="8"/>
      <c r="AT577" s="8"/>
      <c r="AU577" s="8"/>
      <c r="AV577" s="8"/>
      <c r="AW577" s="8"/>
      <c r="AX577" s="8"/>
      <c r="AY577" s="8"/>
      <c r="AZ577" s="8"/>
    </row>
    <row r="578" spans="21:52" ht="16.899999999999999">
      <c r="U578" s="8"/>
      <c r="W578" s="10"/>
      <c r="X578" s="10"/>
      <c r="Z578" s="13"/>
      <c r="AA578" s="13"/>
      <c r="AB578" s="13"/>
      <c r="AC578" s="9"/>
      <c r="AD578" s="9"/>
      <c r="AE578" s="11"/>
      <c r="AF578" s="10"/>
      <c r="AG578" s="11"/>
      <c r="AH578" s="10"/>
      <c r="AI578" s="11"/>
      <c r="AJ578" s="10"/>
      <c r="AK578" s="10"/>
      <c r="AL578" s="10"/>
      <c r="AM578" s="8"/>
      <c r="AN578" s="8"/>
      <c r="AO578" s="9"/>
      <c r="AP578" s="9"/>
      <c r="AQ578" s="9"/>
      <c r="AR578" s="8"/>
      <c r="AS578" s="8"/>
      <c r="AT578" s="8"/>
      <c r="AU578" s="8"/>
      <c r="AV578" s="8"/>
      <c r="AW578" s="8"/>
      <c r="AX578" s="8"/>
      <c r="AY578" s="8"/>
      <c r="AZ578" s="8"/>
    </row>
    <row r="579" spans="21:52" ht="16.899999999999999">
      <c r="U579" s="8"/>
      <c r="W579" s="10"/>
      <c r="X579" s="10"/>
      <c r="Z579" s="13"/>
      <c r="AA579" s="13"/>
      <c r="AB579" s="13"/>
      <c r="AC579" s="9"/>
      <c r="AD579" s="9"/>
      <c r="AE579" s="11"/>
      <c r="AF579" s="10"/>
      <c r="AG579" s="11"/>
      <c r="AH579" s="10"/>
      <c r="AI579" s="11"/>
      <c r="AJ579" s="10"/>
      <c r="AK579" s="10"/>
      <c r="AL579" s="10"/>
      <c r="AM579" s="8"/>
      <c r="AN579" s="8"/>
      <c r="AO579" s="9"/>
      <c r="AP579" s="9"/>
      <c r="AQ579" s="9"/>
      <c r="AR579" s="8"/>
      <c r="AS579" s="8"/>
      <c r="AT579" s="8"/>
      <c r="AU579" s="8"/>
      <c r="AV579" s="8"/>
      <c r="AW579" s="8"/>
      <c r="AX579" s="8"/>
      <c r="AY579" s="8"/>
      <c r="AZ579" s="8"/>
    </row>
    <row r="580" spans="21:52" ht="16.899999999999999">
      <c r="U580" s="8"/>
      <c r="W580" s="10"/>
      <c r="X580" s="10"/>
      <c r="Z580" s="13"/>
      <c r="AA580" s="13"/>
      <c r="AB580" s="13"/>
      <c r="AC580" s="9"/>
      <c r="AD580" s="9"/>
      <c r="AE580" s="11"/>
      <c r="AF580" s="10"/>
      <c r="AG580" s="11"/>
      <c r="AH580" s="10"/>
      <c r="AI580" s="11"/>
      <c r="AJ580" s="10"/>
      <c r="AK580" s="10"/>
      <c r="AL580" s="10"/>
      <c r="AM580" s="8"/>
      <c r="AN580" s="8"/>
      <c r="AO580" s="9"/>
      <c r="AP580" s="9"/>
      <c r="AQ580" s="9"/>
      <c r="AR580" s="8"/>
      <c r="AS580" s="8"/>
      <c r="AT580" s="8"/>
      <c r="AU580" s="8"/>
      <c r="AV580" s="8"/>
      <c r="AW580" s="8"/>
      <c r="AX580" s="8"/>
      <c r="AY580" s="8"/>
      <c r="AZ580" s="8"/>
    </row>
    <row r="581" spans="21:52" ht="16.899999999999999">
      <c r="U581" s="8"/>
      <c r="W581" s="10"/>
      <c r="X581" s="10"/>
      <c r="Z581" s="13"/>
      <c r="AA581" s="13"/>
      <c r="AB581" s="13"/>
      <c r="AC581" s="9"/>
      <c r="AD581" s="9"/>
      <c r="AE581" s="11"/>
      <c r="AF581" s="10"/>
      <c r="AG581" s="11"/>
      <c r="AH581" s="10"/>
      <c r="AI581" s="11"/>
      <c r="AJ581" s="10"/>
      <c r="AK581" s="10"/>
      <c r="AL581" s="10"/>
      <c r="AM581" s="8"/>
      <c r="AN581" s="8"/>
      <c r="AO581" s="9"/>
      <c r="AP581" s="9"/>
      <c r="AQ581" s="9"/>
      <c r="AR581" s="8"/>
      <c r="AS581" s="8"/>
      <c r="AT581" s="8"/>
      <c r="AU581" s="8"/>
      <c r="AV581" s="8"/>
      <c r="AW581" s="8"/>
      <c r="AX581" s="8"/>
      <c r="AY581" s="8"/>
      <c r="AZ581" s="8"/>
    </row>
    <row r="582" spans="21:52" ht="16.899999999999999">
      <c r="U582" s="8"/>
      <c r="W582" s="10"/>
      <c r="X582" s="10"/>
      <c r="Z582" s="13"/>
      <c r="AA582" s="13"/>
      <c r="AB582" s="13"/>
      <c r="AC582" s="9"/>
      <c r="AD582" s="9"/>
      <c r="AE582" s="11"/>
      <c r="AF582" s="10"/>
      <c r="AG582" s="11"/>
      <c r="AH582" s="10"/>
      <c r="AI582" s="11"/>
      <c r="AJ582" s="10"/>
      <c r="AK582" s="10"/>
      <c r="AL582" s="10"/>
      <c r="AM582" s="8"/>
      <c r="AN582" s="8"/>
      <c r="AO582" s="9"/>
      <c r="AP582" s="9"/>
      <c r="AQ582" s="9"/>
      <c r="AR582" s="8"/>
      <c r="AS582" s="8"/>
      <c r="AT582" s="8"/>
      <c r="AU582" s="8"/>
      <c r="AV582" s="8"/>
      <c r="AW582" s="8"/>
      <c r="AX582" s="8"/>
      <c r="AY582" s="8"/>
      <c r="AZ582" s="8"/>
    </row>
    <row r="583" spans="21:52" ht="16.899999999999999">
      <c r="U583" s="8"/>
      <c r="W583" s="10"/>
      <c r="X583" s="10"/>
      <c r="Z583" s="13"/>
      <c r="AA583" s="13"/>
      <c r="AB583" s="13"/>
      <c r="AC583" s="9"/>
      <c r="AD583" s="9"/>
      <c r="AE583" s="11"/>
      <c r="AF583" s="10"/>
      <c r="AG583" s="11"/>
      <c r="AH583" s="10"/>
      <c r="AI583" s="11"/>
      <c r="AJ583" s="10"/>
      <c r="AK583" s="10"/>
      <c r="AL583" s="10"/>
      <c r="AM583" s="8"/>
      <c r="AN583" s="8"/>
      <c r="AO583" s="9"/>
      <c r="AP583" s="9"/>
      <c r="AQ583" s="9"/>
      <c r="AR583" s="8"/>
      <c r="AS583" s="8"/>
      <c r="AT583" s="8"/>
      <c r="AU583" s="8"/>
      <c r="AV583" s="8"/>
      <c r="AW583" s="8"/>
      <c r="AX583" s="8"/>
      <c r="AY583" s="8"/>
      <c r="AZ583" s="8"/>
    </row>
    <row r="584" spans="21:52" ht="16.899999999999999">
      <c r="U584" s="8"/>
      <c r="W584" s="10"/>
      <c r="X584" s="10"/>
      <c r="Z584" s="13"/>
      <c r="AA584" s="13"/>
      <c r="AB584" s="13"/>
      <c r="AC584" s="9"/>
      <c r="AD584" s="9"/>
      <c r="AE584" s="11"/>
      <c r="AF584" s="10"/>
      <c r="AG584" s="11"/>
      <c r="AH584" s="10"/>
      <c r="AI584" s="11"/>
      <c r="AJ584" s="10"/>
      <c r="AK584" s="10"/>
      <c r="AL584" s="10"/>
      <c r="AM584" s="8"/>
      <c r="AN584" s="8"/>
      <c r="AO584" s="9"/>
      <c r="AP584" s="9"/>
      <c r="AQ584" s="9"/>
      <c r="AR584" s="8"/>
      <c r="AS584" s="8"/>
      <c r="AT584" s="8"/>
      <c r="AU584" s="8"/>
      <c r="AV584" s="8"/>
      <c r="AW584" s="8"/>
      <c r="AX584" s="8"/>
      <c r="AY584" s="8"/>
      <c r="AZ584" s="8"/>
    </row>
    <row r="585" spans="21:52" ht="16.899999999999999">
      <c r="U585" s="8"/>
      <c r="W585" s="10"/>
      <c r="X585" s="10"/>
      <c r="Z585" s="13"/>
      <c r="AA585" s="13"/>
      <c r="AB585" s="13"/>
      <c r="AC585" s="9"/>
      <c r="AD585" s="9"/>
      <c r="AE585" s="11"/>
      <c r="AF585" s="10"/>
      <c r="AG585" s="11"/>
      <c r="AH585" s="10"/>
      <c r="AI585" s="11"/>
      <c r="AJ585" s="10"/>
      <c r="AK585" s="10"/>
      <c r="AL585" s="10"/>
      <c r="AM585" s="8"/>
      <c r="AN585" s="8"/>
      <c r="AO585" s="9"/>
      <c r="AP585" s="9"/>
      <c r="AQ585" s="9"/>
      <c r="AR585" s="8"/>
      <c r="AS585" s="8"/>
      <c r="AT585" s="8"/>
      <c r="AU585" s="8"/>
      <c r="AV585" s="8"/>
      <c r="AW585" s="8"/>
      <c r="AX585" s="8"/>
      <c r="AY585" s="8"/>
      <c r="AZ585" s="8"/>
    </row>
    <row r="586" spans="21:52" ht="16.899999999999999">
      <c r="U586" s="8"/>
      <c r="W586" s="10"/>
      <c r="X586" s="10"/>
      <c r="Z586" s="13"/>
      <c r="AA586" s="13"/>
      <c r="AB586" s="13"/>
      <c r="AC586" s="9"/>
      <c r="AD586" s="9"/>
      <c r="AE586" s="11"/>
      <c r="AF586" s="10"/>
      <c r="AG586" s="11"/>
      <c r="AH586" s="10"/>
      <c r="AI586" s="11"/>
      <c r="AJ586" s="10"/>
      <c r="AK586" s="10"/>
      <c r="AL586" s="10"/>
      <c r="AM586" s="8"/>
      <c r="AN586" s="8"/>
      <c r="AO586" s="9"/>
      <c r="AP586" s="9"/>
      <c r="AQ586" s="9"/>
      <c r="AR586" s="8"/>
      <c r="AS586" s="8"/>
      <c r="AT586" s="8"/>
      <c r="AU586" s="8"/>
      <c r="AV586" s="8"/>
      <c r="AW586" s="8"/>
      <c r="AX586" s="8"/>
      <c r="AY586" s="8"/>
      <c r="AZ586" s="8"/>
    </row>
    <row r="587" spans="21:52" ht="16.899999999999999">
      <c r="U587" s="8"/>
      <c r="W587" s="10"/>
      <c r="X587" s="10"/>
      <c r="Z587" s="13"/>
      <c r="AA587" s="13"/>
      <c r="AB587" s="13"/>
      <c r="AC587" s="9"/>
      <c r="AD587" s="9"/>
      <c r="AE587" s="11"/>
      <c r="AF587" s="10"/>
      <c r="AG587" s="11"/>
      <c r="AH587" s="10"/>
      <c r="AI587" s="11"/>
      <c r="AJ587" s="10"/>
      <c r="AK587" s="10"/>
      <c r="AL587" s="10"/>
      <c r="AM587" s="8"/>
      <c r="AN587" s="8"/>
      <c r="AO587" s="9"/>
      <c r="AP587" s="9"/>
      <c r="AQ587" s="9"/>
      <c r="AR587" s="8"/>
      <c r="AS587" s="8"/>
      <c r="AT587" s="8"/>
      <c r="AU587" s="8"/>
      <c r="AV587" s="8"/>
      <c r="AW587" s="8"/>
      <c r="AX587" s="8"/>
      <c r="AY587" s="8"/>
      <c r="AZ587" s="8"/>
    </row>
    <row r="588" spans="21:52" ht="16.899999999999999">
      <c r="U588" s="8"/>
      <c r="W588" s="10"/>
      <c r="X588" s="10"/>
      <c r="Z588" s="13"/>
      <c r="AA588" s="13"/>
      <c r="AB588" s="13"/>
      <c r="AC588" s="9"/>
      <c r="AD588" s="9"/>
      <c r="AE588" s="11"/>
      <c r="AF588" s="10"/>
      <c r="AG588" s="11"/>
      <c r="AH588" s="10"/>
      <c r="AI588" s="11"/>
      <c r="AJ588" s="10"/>
      <c r="AK588" s="10"/>
      <c r="AL588" s="10"/>
      <c r="AM588" s="8"/>
      <c r="AN588" s="8"/>
      <c r="AO588" s="9"/>
      <c r="AP588" s="9"/>
      <c r="AQ588" s="9"/>
      <c r="AR588" s="8"/>
      <c r="AS588" s="8"/>
      <c r="AT588" s="8"/>
      <c r="AU588" s="8"/>
      <c r="AV588" s="8"/>
      <c r="AW588" s="8"/>
      <c r="AX588" s="8"/>
      <c r="AY588" s="8"/>
      <c r="AZ588" s="8"/>
    </row>
    <row r="589" spans="21:52" ht="16.899999999999999">
      <c r="U589" s="8"/>
      <c r="W589" s="10"/>
      <c r="X589" s="10"/>
      <c r="Z589" s="13"/>
      <c r="AA589" s="13"/>
      <c r="AB589" s="13"/>
      <c r="AC589" s="9"/>
      <c r="AD589" s="9"/>
      <c r="AE589" s="11"/>
      <c r="AF589" s="10"/>
      <c r="AG589" s="11"/>
      <c r="AH589" s="10"/>
      <c r="AI589" s="11"/>
      <c r="AJ589" s="10"/>
      <c r="AK589" s="10"/>
      <c r="AL589" s="10"/>
      <c r="AM589" s="8"/>
      <c r="AN589" s="8"/>
      <c r="AO589" s="9"/>
      <c r="AP589" s="9"/>
      <c r="AQ589" s="9"/>
      <c r="AR589" s="8"/>
      <c r="AS589" s="8"/>
      <c r="AT589" s="8"/>
      <c r="AU589" s="8"/>
      <c r="AV589" s="8"/>
      <c r="AW589" s="8"/>
      <c r="AX589" s="8"/>
      <c r="AY589" s="8"/>
      <c r="AZ589" s="8"/>
    </row>
    <row r="590" spans="21:52" ht="16.899999999999999">
      <c r="U590" s="8"/>
      <c r="W590" s="10"/>
      <c r="X590" s="10"/>
      <c r="Z590" s="13"/>
      <c r="AA590" s="13"/>
      <c r="AB590" s="13"/>
      <c r="AC590" s="9"/>
      <c r="AD590" s="9"/>
      <c r="AE590" s="11"/>
      <c r="AF590" s="10"/>
      <c r="AG590" s="11"/>
      <c r="AH590" s="10"/>
      <c r="AI590" s="11"/>
      <c r="AJ590" s="10"/>
      <c r="AK590" s="10"/>
      <c r="AL590" s="10"/>
      <c r="AM590" s="8"/>
      <c r="AN590" s="8"/>
      <c r="AO590" s="9"/>
      <c r="AP590" s="9"/>
      <c r="AQ590" s="9"/>
      <c r="AR590" s="8"/>
      <c r="AS590" s="8"/>
      <c r="AT590" s="8"/>
      <c r="AU590" s="8"/>
      <c r="AV590" s="8"/>
      <c r="AW590" s="8"/>
      <c r="AX590" s="8"/>
      <c r="AY590" s="8"/>
      <c r="AZ590" s="8"/>
    </row>
    <row r="591" spans="21:52" ht="16.899999999999999">
      <c r="U591" s="8"/>
      <c r="W591" s="10"/>
      <c r="X591" s="10"/>
      <c r="Z591" s="13"/>
      <c r="AA591" s="13"/>
      <c r="AB591" s="13"/>
      <c r="AC591" s="9"/>
      <c r="AD591" s="9"/>
      <c r="AE591" s="11"/>
      <c r="AF591" s="10"/>
      <c r="AG591" s="11"/>
      <c r="AH591" s="10"/>
      <c r="AI591" s="11"/>
      <c r="AJ591" s="10"/>
      <c r="AK591" s="10"/>
      <c r="AL591" s="10"/>
      <c r="AM591" s="8"/>
      <c r="AN591" s="8"/>
      <c r="AO591" s="9"/>
      <c r="AP591" s="9"/>
      <c r="AQ591" s="9"/>
      <c r="AR591" s="8"/>
      <c r="AS591" s="8"/>
      <c r="AT591" s="8"/>
      <c r="AU591" s="8"/>
      <c r="AV591" s="8"/>
      <c r="AW591" s="8"/>
      <c r="AX591" s="8"/>
      <c r="AY591" s="8"/>
      <c r="AZ591" s="8"/>
    </row>
    <row r="592" spans="21:52" ht="16.899999999999999">
      <c r="U592" s="8"/>
      <c r="W592" s="10"/>
      <c r="X592" s="10"/>
      <c r="Z592" s="13"/>
      <c r="AA592" s="13"/>
      <c r="AB592" s="13"/>
      <c r="AC592" s="9"/>
      <c r="AD592" s="9"/>
      <c r="AE592" s="11"/>
      <c r="AF592" s="10"/>
      <c r="AG592" s="11"/>
      <c r="AH592" s="10"/>
      <c r="AI592" s="11"/>
      <c r="AJ592" s="10"/>
      <c r="AK592" s="10"/>
      <c r="AL592" s="10"/>
      <c r="AM592" s="8"/>
      <c r="AN592" s="8"/>
      <c r="AO592" s="9"/>
      <c r="AP592" s="9"/>
      <c r="AQ592" s="9"/>
      <c r="AR592" s="8"/>
      <c r="AS592" s="8"/>
      <c r="AT592" s="8"/>
      <c r="AU592" s="8"/>
      <c r="AV592" s="8"/>
      <c r="AW592" s="8"/>
      <c r="AX592" s="8"/>
      <c r="AY592" s="8"/>
      <c r="AZ592" s="8"/>
    </row>
    <row r="593" spans="21:52" ht="16.899999999999999">
      <c r="U593" s="8"/>
      <c r="W593" s="10"/>
      <c r="X593" s="10"/>
      <c r="Z593" s="13"/>
      <c r="AA593" s="13"/>
      <c r="AB593" s="13"/>
      <c r="AC593" s="9"/>
      <c r="AD593" s="9"/>
      <c r="AE593" s="11"/>
      <c r="AF593" s="10"/>
      <c r="AG593" s="11"/>
      <c r="AH593" s="10"/>
      <c r="AI593" s="11"/>
      <c r="AJ593" s="10"/>
      <c r="AK593" s="10"/>
      <c r="AL593" s="10"/>
      <c r="AM593" s="8"/>
      <c r="AN593" s="8"/>
      <c r="AO593" s="9"/>
      <c r="AP593" s="9"/>
      <c r="AQ593" s="9"/>
      <c r="AR593" s="8"/>
      <c r="AS593" s="8"/>
      <c r="AT593" s="8"/>
      <c r="AU593" s="8"/>
      <c r="AV593" s="8"/>
      <c r="AW593" s="8"/>
      <c r="AX593" s="8"/>
      <c r="AY593" s="8"/>
      <c r="AZ593" s="8"/>
    </row>
    <row r="594" spans="21:52" ht="16.899999999999999">
      <c r="U594" s="8"/>
      <c r="W594" s="10"/>
      <c r="X594" s="10"/>
      <c r="Z594" s="13"/>
      <c r="AA594" s="13"/>
      <c r="AB594" s="13"/>
      <c r="AC594" s="9"/>
      <c r="AD594" s="9"/>
      <c r="AE594" s="11"/>
      <c r="AF594" s="10"/>
      <c r="AG594" s="11"/>
      <c r="AH594" s="10"/>
      <c r="AI594" s="11"/>
      <c r="AJ594" s="10"/>
      <c r="AK594" s="10"/>
      <c r="AL594" s="10"/>
      <c r="AM594" s="8"/>
      <c r="AN594" s="8"/>
      <c r="AO594" s="9"/>
      <c r="AP594" s="9"/>
      <c r="AQ594" s="9"/>
      <c r="AR594" s="8"/>
      <c r="AS594" s="8"/>
      <c r="AT594" s="8"/>
      <c r="AU594" s="8"/>
      <c r="AV594" s="8"/>
      <c r="AW594" s="8"/>
      <c r="AX594" s="8"/>
      <c r="AY594" s="8"/>
      <c r="AZ594" s="8"/>
    </row>
    <row r="595" spans="21:52" ht="16.899999999999999">
      <c r="U595" s="8"/>
      <c r="W595" s="10"/>
      <c r="X595" s="10"/>
      <c r="Z595" s="13"/>
      <c r="AA595" s="13"/>
      <c r="AB595" s="13"/>
      <c r="AC595" s="9"/>
      <c r="AD595" s="9"/>
      <c r="AE595" s="11"/>
      <c r="AF595" s="10"/>
      <c r="AG595" s="11"/>
      <c r="AH595" s="10"/>
      <c r="AI595" s="11"/>
      <c r="AJ595" s="10"/>
      <c r="AK595" s="10"/>
      <c r="AL595" s="10"/>
      <c r="AM595" s="8"/>
      <c r="AN595" s="8"/>
      <c r="AO595" s="9"/>
      <c r="AP595" s="9"/>
      <c r="AQ595" s="9"/>
      <c r="AR595" s="8"/>
      <c r="AS595" s="8"/>
      <c r="AT595" s="8"/>
      <c r="AU595" s="8"/>
      <c r="AV595" s="8"/>
      <c r="AW595" s="8"/>
      <c r="AX595" s="8"/>
      <c r="AY595" s="8"/>
      <c r="AZ595" s="8"/>
    </row>
    <row r="596" spans="21:52" ht="16.899999999999999">
      <c r="U596" s="8"/>
      <c r="W596" s="10"/>
      <c r="X596" s="10"/>
      <c r="Z596" s="13"/>
      <c r="AA596" s="13"/>
      <c r="AB596" s="13"/>
      <c r="AC596" s="9"/>
      <c r="AD596" s="9"/>
      <c r="AE596" s="11"/>
      <c r="AF596" s="10"/>
      <c r="AG596" s="11"/>
      <c r="AH596" s="10"/>
      <c r="AI596" s="11"/>
      <c r="AJ596" s="10"/>
      <c r="AK596" s="10"/>
      <c r="AL596" s="10"/>
      <c r="AM596" s="8"/>
      <c r="AN596" s="8"/>
      <c r="AO596" s="9"/>
      <c r="AP596" s="9"/>
      <c r="AQ596" s="9"/>
      <c r="AR596" s="8"/>
      <c r="AS596" s="8"/>
      <c r="AT596" s="8"/>
      <c r="AU596" s="8"/>
      <c r="AV596" s="8"/>
      <c r="AW596" s="8"/>
      <c r="AX596" s="8"/>
      <c r="AY596" s="8"/>
      <c r="AZ596" s="8"/>
    </row>
    <row r="597" spans="21:52" ht="16.899999999999999">
      <c r="U597" s="8"/>
      <c r="W597" s="10"/>
      <c r="X597" s="10"/>
      <c r="Z597" s="13"/>
      <c r="AA597" s="13"/>
      <c r="AB597" s="13"/>
      <c r="AC597" s="9"/>
      <c r="AD597" s="9"/>
      <c r="AE597" s="11"/>
      <c r="AF597" s="10"/>
      <c r="AG597" s="11"/>
      <c r="AH597" s="10"/>
      <c r="AI597" s="11"/>
      <c r="AJ597" s="10"/>
      <c r="AK597" s="10"/>
      <c r="AL597" s="10"/>
      <c r="AM597" s="8"/>
      <c r="AN597" s="8"/>
      <c r="AO597" s="9"/>
      <c r="AP597" s="9"/>
      <c r="AQ597" s="9"/>
      <c r="AR597" s="8"/>
      <c r="AS597" s="8"/>
      <c r="AT597" s="8"/>
      <c r="AU597" s="8"/>
      <c r="AV597" s="8"/>
      <c r="AW597" s="8"/>
      <c r="AX597" s="8"/>
      <c r="AY597" s="8"/>
      <c r="AZ597" s="8"/>
    </row>
    <row r="598" spans="21:52" ht="16.899999999999999">
      <c r="U598" s="8"/>
      <c r="W598" s="10"/>
      <c r="X598" s="10"/>
      <c r="Z598" s="13"/>
      <c r="AA598" s="13"/>
      <c r="AB598" s="13"/>
      <c r="AC598" s="9"/>
      <c r="AD598" s="9"/>
      <c r="AE598" s="11"/>
      <c r="AF598" s="10"/>
      <c r="AG598" s="11"/>
      <c r="AH598" s="10"/>
      <c r="AI598" s="11"/>
      <c r="AJ598" s="10"/>
      <c r="AK598" s="10"/>
      <c r="AL598" s="10"/>
      <c r="AM598" s="8"/>
      <c r="AN598" s="8"/>
      <c r="AO598" s="9"/>
      <c r="AP598" s="9"/>
      <c r="AQ598" s="9"/>
      <c r="AR598" s="8"/>
      <c r="AS598" s="8"/>
      <c r="AT598" s="8"/>
      <c r="AU598" s="8"/>
      <c r="AV598" s="8"/>
      <c r="AW598" s="8"/>
      <c r="AX598" s="8"/>
      <c r="AY598" s="8"/>
      <c r="AZ598" s="8"/>
    </row>
    <row r="599" spans="21:52" ht="16.899999999999999">
      <c r="U599" s="8"/>
      <c r="W599" s="10"/>
      <c r="X599" s="10"/>
      <c r="Z599" s="13"/>
      <c r="AA599" s="13"/>
      <c r="AB599" s="13"/>
      <c r="AC599" s="9"/>
      <c r="AD599" s="9"/>
      <c r="AE599" s="11"/>
      <c r="AF599" s="10"/>
      <c r="AG599" s="11"/>
      <c r="AH599" s="10"/>
      <c r="AI599" s="11"/>
      <c r="AJ599" s="10"/>
      <c r="AK599" s="10"/>
      <c r="AL599" s="10"/>
      <c r="AM599" s="8"/>
      <c r="AN599" s="8"/>
      <c r="AO599" s="9"/>
      <c r="AP599" s="9"/>
      <c r="AQ599" s="9"/>
      <c r="AR599" s="8"/>
      <c r="AS599" s="8"/>
      <c r="AT599" s="8"/>
      <c r="AU599" s="8"/>
      <c r="AV599" s="8"/>
      <c r="AW599" s="8"/>
      <c r="AX599" s="8"/>
      <c r="AY599" s="8"/>
      <c r="AZ599" s="8"/>
    </row>
    <row r="600" spans="21:52" ht="16.899999999999999">
      <c r="U600" s="8"/>
      <c r="W600" s="10"/>
      <c r="X600" s="10"/>
      <c r="Z600" s="13"/>
      <c r="AA600" s="13"/>
      <c r="AB600" s="13"/>
      <c r="AC600" s="9"/>
      <c r="AD600" s="9"/>
      <c r="AE600" s="11"/>
      <c r="AF600" s="10"/>
      <c r="AG600" s="11"/>
      <c r="AH600" s="10"/>
      <c r="AI600" s="11"/>
      <c r="AJ600" s="10"/>
      <c r="AK600" s="10"/>
      <c r="AL600" s="10"/>
      <c r="AM600" s="8"/>
      <c r="AN600" s="8"/>
      <c r="AO600" s="9"/>
      <c r="AP600" s="9"/>
      <c r="AQ600" s="9"/>
      <c r="AR600" s="8"/>
      <c r="AS600" s="8"/>
      <c r="AT600" s="8"/>
      <c r="AU600" s="8"/>
      <c r="AV600" s="8"/>
      <c r="AW600" s="8"/>
      <c r="AX600" s="8"/>
      <c r="AY600" s="8"/>
      <c r="AZ600" s="8"/>
    </row>
    <row r="601" spans="21:52" ht="16.899999999999999">
      <c r="U601" s="8"/>
      <c r="W601" s="10"/>
      <c r="X601" s="10"/>
      <c r="Z601" s="13"/>
      <c r="AA601" s="13"/>
      <c r="AB601" s="13"/>
      <c r="AC601" s="9"/>
      <c r="AD601" s="9"/>
      <c r="AE601" s="11"/>
      <c r="AF601" s="10"/>
      <c r="AG601" s="11"/>
      <c r="AH601" s="10"/>
      <c r="AI601" s="11"/>
      <c r="AJ601" s="10"/>
      <c r="AK601" s="10"/>
      <c r="AL601" s="10"/>
      <c r="AM601" s="8"/>
      <c r="AN601" s="8"/>
      <c r="AO601" s="9"/>
      <c r="AP601" s="9"/>
      <c r="AQ601" s="9"/>
      <c r="AR601" s="8"/>
      <c r="AS601" s="8"/>
      <c r="AT601" s="8"/>
      <c r="AU601" s="8"/>
      <c r="AV601" s="8"/>
      <c r="AW601" s="8"/>
      <c r="AX601" s="8"/>
      <c r="AY601" s="8"/>
      <c r="AZ601" s="8"/>
    </row>
    <row r="602" spans="21:52" ht="16.899999999999999">
      <c r="U602" s="8"/>
      <c r="W602" s="10"/>
      <c r="X602" s="10"/>
      <c r="Z602" s="13"/>
      <c r="AA602" s="13"/>
      <c r="AB602" s="13"/>
      <c r="AC602" s="9"/>
      <c r="AD602" s="9"/>
      <c r="AE602" s="11"/>
      <c r="AF602" s="10"/>
      <c r="AG602" s="11"/>
      <c r="AH602" s="10"/>
      <c r="AI602" s="11"/>
      <c r="AJ602" s="10"/>
      <c r="AK602" s="10"/>
      <c r="AL602" s="10"/>
      <c r="AM602" s="8"/>
      <c r="AN602" s="8"/>
      <c r="AO602" s="9"/>
      <c r="AP602" s="9"/>
      <c r="AQ602" s="9"/>
      <c r="AR602" s="8"/>
      <c r="AS602" s="8"/>
      <c r="AT602" s="8"/>
      <c r="AU602" s="8"/>
      <c r="AV602" s="8"/>
      <c r="AW602" s="8"/>
      <c r="AX602" s="8"/>
      <c r="AY602" s="8"/>
      <c r="AZ602" s="8"/>
    </row>
    <row r="603" spans="21:52" ht="16.899999999999999">
      <c r="U603" s="8"/>
      <c r="W603" s="10"/>
      <c r="X603" s="10"/>
      <c r="Z603" s="13"/>
      <c r="AA603" s="13"/>
      <c r="AB603" s="13"/>
      <c r="AC603" s="9"/>
      <c r="AD603" s="9"/>
      <c r="AE603" s="11"/>
      <c r="AF603" s="10"/>
      <c r="AG603" s="11"/>
      <c r="AH603" s="10"/>
      <c r="AI603" s="11"/>
      <c r="AJ603" s="10"/>
      <c r="AK603" s="10"/>
      <c r="AL603" s="10"/>
      <c r="AM603" s="8"/>
      <c r="AN603" s="8"/>
      <c r="AO603" s="9"/>
      <c r="AP603" s="9"/>
      <c r="AQ603" s="9"/>
      <c r="AR603" s="8"/>
      <c r="AS603" s="8"/>
      <c r="AT603" s="8"/>
      <c r="AU603" s="8"/>
      <c r="AV603" s="8"/>
      <c r="AW603" s="8"/>
      <c r="AX603" s="8"/>
      <c r="AY603" s="8"/>
      <c r="AZ603" s="8"/>
    </row>
    <row r="604" spans="21:52" ht="16.899999999999999">
      <c r="U604" s="8"/>
      <c r="W604" s="10"/>
      <c r="X604" s="10"/>
      <c r="Z604" s="13"/>
      <c r="AA604" s="13"/>
      <c r="AB604" s="13"/>
      <c r="AC604" s="9"/>
      <c r="AD604" s="9"/>
      <c r="AE604" s="11"/>
      <c r="AF604" s="10"/>
      <c r="AG604" s="11"/>
      <c r="AH604" s="10"/>
      <c r="AI604" s="11"/>
      <c r="AJ604" s="10"/>
      <c r="AK604" s="10"/>
      <c r="AL604" s="10"/>
      <c r="AM604" s="8"/>
      <c r="AN604" s="8"/>
      <c r="AO604" s="9"/>
      <c r="AP604" s="9"/>
      <c r="AQ604" s="9"/>
      <c r="AR604" s="8"/>
      <c r="AS604" s="8"/>
      <c r="AT604" s="8"/>
      <c r="AU604" s="8"/>
      <c r="AV604" s="8"/>
      <c r="AW604" s="8"/>
      <c r="AX604" s="8"/>
      <c r="AY604" s="8"/>
      <c r="AZ604" s="8"/>
    </row>
    <row r="605" spans="21:52" ht="16.899999999999999">
      <c r="U605" s="8"/>
      <c r="W605" s="10"/>
      <c r="X605" s="10"/>
      <c r="Z605" s="13"/>
      <c r="AA605" s="13"/>
      <c r="AB605" s="13"/>
      <c r="AC605" s="9"/>
      <c r="AD605" s="9"/>
      <c r="AE605" s="11"/>
      <c r="AF605" s="10"/>
      <c r="AG605" s="11"/>
      <c r="AH605" s="10"/>
      <c r="AI605" s="11"/>
      <c r="AJ605" s="10"/>
      <c r="AK605" s="10"/>
      <c r="AL605" s="10"/>
      <c r="AM605" s="8"/>
      <c r="AN605" s="8"/>
      <c r="AO605" s="9"/>
      <c r="AP605" s="9"/>
      <c r="AQ605" s="9"/>
      <c r="AR605" s="8"/>
      <c r="AS605" s="8"/>
      <c r="AT605" s="8"/>
      <c r="AU605" s="8"/>
      <c r="AV605" s="8"/>
      <c r="AW605" s="8"/>
      <c r="AX605" s="8"/>
      <c r="AY605" s="8"/>
      <c r="AZ605" s="8"/>
    </row>
    <row r="606" spans="21:52" ht="16.899999999999999">
      <c r="U606" s="8"/>
      <c r="W606" s="10"/>
      <c r="X606" s="10"/>
      <c r="Z606" s="13"/>
      <c r="AA606" s="13"/>
      <c r="AB606" s="13"/>
      <c r="AC606" s="9"/>
      <c r="AD606" s="9"/>
      <c r="AE606" s="11"/>
      <c r="AF606" s="10"/>
      <c r="AG606" s="11"/>
      <c r="AH606" s="10"/>
      <c r="AI606" s="11"/>
      <c r="AJ606" s="10"/>
      <c r="AK606" s="10"/>
      <c r="AL606" s="10"/>
      <c r="AM606" s="8"/>
      <c r="AN606" s="8"/>
      <c r="AO606" s="9"/>
      <c r="AP606" s="9"/>
      <c r="AQ606" s="9"/>
      <c r="AR606" s="8"/>
      <c r="AS606" s="8"/>
      <c r="AT606" s="8"/>
      <c r="AU606" s="8"/>
      <c r="AV606" s="8"/>
      <c r="AW606" s="8"/>
      <c r="AX606" s="8"/>
      <c r="AY606" s="8"/>
      <c r="AZ606" s="8"/>
    </row>
    <row r="607" spans="21:52" ht="16.899999999999999">
      <c r="U607" s="8"/>
      <c r="W607" s="10"/>
      <c r="X607" s="10"/>
      <c r="Z607" s="13"/>
      <c r="AA607" s="13"/>
      <c r="AB607" s="13"/>
      <c r="AC607" s="9"/>
      <c r="AD607" s="9"/>
      <c r="AE607" s="11"/>
      <c r="AF607" s="10"/>
      <c r="AG607" s="11"/>
      <c r="AH607" s="10"/>
      <c r="AI607" s="11"/>
      <c r="AJ607" s="10"/>
      <c r="AK607" s="10"/>
      <c r="AL607" s="10"/>
      <c r="AM607" s="8"/>
      <c r="AN607" s="8"/>
      <c r="AO607" s="9"/>
      <c r="AP607" s="9"/>
      <c r="AQ607" s="9"/>
      <c r="AR607" s="8"/>
      <c r="AS607" s="8"/>
      <c r="AT607" s="8"/>
      <c r="AU607" s="8"/>
      <c r="AV607" s="8"/>
      <c r="AW607" s="8"/>
      <c r="AX607" s="8"/>
      <c r="AY607" s="8"/>
      <c r="AZ607" s="8"/>
    </row>
    <row r="608" spans="21:52" ht="16.899999999999999">
      <c r="U608" s="8"/>
      <c r="W608" s="10"/>
      <c r="X608" s="10"/>
      <c r="Z608" s="13"/>
      <c r="AA608" s="13"/>
      <c r="AB608" s="13"/>
      <c r="AC608" s="9"/>
      <c r="AD608" s="9"/>
      <c r="AE608" s="11"/>
      <c r="AF608" s="10"/>
      <c r="AG608" s="11"/>
      <c r="AH608" s="10"/>
      <c r="AI608" s="11"/>
      <c r="AJ608" s="10"/>
      <c r="AK608" s="10"/>
      <c r="AL608" s="10"/>
      <c r="AM608" s="8"/>
      <c r="AN608" s="8"/>
      <c r="AO608" s="9"/>
      <c r="AP608" s="9"/>
      <c r="AQ608" s="9"/>
      <c r="AR608" s="8"/>
      <c r="AS608" s="8"/>
      <c r="AT608" s="8"/>
      <c r="AU608" s="8"/>
      <c r="AV608" s="8"/>
      <c r="AW608" s="8"/>
      <c r="AX608" s="8"/>
      <c r="AY608" s="8"/>
      <c r="AZ608" s="8"/>
    </row>
    <row r="609" spans="21:52" ht="16.899999999999999">
      <c r="U609" s="8"/>
      <c r="W609" s="10"/>
      <c r="X609" s="10"/>
      <c r="Z609" s="13"/>
      <c r="AA609" s="13"/>
      <c r="AB609" s="13"/>
      <c r="AC609" s="9"/>
      <c r="AD609" s="9"/>
      <c r="AE609" s="11"/>
      <c r="AF609" s="10"/>
      <c r="AG609" s="11"/>
      <c r="AH609" s="10"/>
      <c r="AI609" s="11"/>
      <c r="AJ609" s="10"/>
      <c r="AK609" s="10"/>
      <c r="AL609" s="10"/>
      <c r="AM609" s="8"/>
      <c r="AN609" s="8"/>
      <c r="AO609" s="9"/>
      <c r="AP609" s="9"/>
      <c r="AQ609" s="9"/>
      <c r="AR609" s="8"/>
      <c r="AS609" s="8"/>
      <c r="AT609" s="8"/>
      <c r="AU609" s="8"/>
      <c r="AV609" s="8"/>
      <c r="AW609" s="8"/>
      <c r="AX609" s="8"/>
      <c r="AY609" s="8"/>
      <c r="AZ609" s="8"/>
    </row>
    <row r="610" spans="21:52" ht="16.899999999999999">
      <c r="U610" s="8"/>
      <c r="W610" s="10"/>
      <c r="X610" s="10"/>
      <c r="Z610" s="13"/>
      <c r="AA610" s="13"/>
      <c r="AB610" s="13"/>
      <c r="AC610" s="9"/>
      <c r="AD610" s="9"/>
      <c r="AE610" s="11"/>
      <c r="AF610" s="10"/>
      <c r="AG610" s="11"/>
      <c r="AH610" s="10"/>
      <c r="AI610" s="11"/>
      <c r="AJ610" s="10"/>
      <c r="AK610" s="10"/>
      <c r="AL610" s="10"/>
      <c r="AM610" s="8"/>
      <c r="AN610" s="8"/>
      <c r="AO610" s="9"/>
      <c r="AP610" s="9"/>
      <c r="AQ610" s="9"/>
      <c r="AR610" s="8"/>
      <c r="AS610" s="8"/>
      <c r="AT610" s="8"/>
      <c r="AU610" s="8"/>
      <c r="AV610" s="8"/>
      <c r="AW610" s="8"/>
      <c r="AX610" s="8"/>
      <c r="AY610" s="8"/>
      <c r="AZ610" s="8"/>
    </row>
    <row r="611" spans="21:52" ht="16.899999999999999">
      <c r="U611" s="8"/>
      <c r="W611" s="10"/>
      <c r="X611" s="10"/>
      <c r="Z611" s="13"/>
      <c r="AA611" s="13"/>
      <c r="AB611" s="13"/>
      <c r="AC611" s="9"/>
      <c r="AD611" s="9"/>
      <c r="AE611" s="11"/>
      <c r="AF611" s="10"/>
      <c r="AG611" s="11"/>
      <c r="AH611" s="10"/>
      <c r="AI611" s="11"/>
      <c r="AJ611" s="10"/>
      <c r="AK611" s="10"/>
      <c r="AL611" s="10"/>
      <c r="AM611" s="8"/>
      <c r="AN611" s="8"/>
      <c r="AO611" s="9"/>
      <c r="AP611" s="9"/>
      <c r="AQ611" s="9"/>
      <c r="AR611" s="8"/>
      <c r="AS611" s="8"/>
      <c r="AT611" s="8"/>
      <c r="AU611" s="8"/>
      <c r="AV611" s="8"/>
      <c r="AW611" s="8"/>
      <c r="AX611" s="8"/>
      <c r="AY611" s="8"/>
      <c r="AZ611" s="8"/>
    </row>
    <row r="612" spans="21:52" ht="16.899999999999999">
      <c r="U612" s="8"/>
      <c r="W612" s="10"/>
      <c r="X612" s="10"/>
      <c r="Z612" s="13"/>
      <c r="AA612" s="13"/>
      <c r="AB612" s="13"/>
      <c r="AC612" s="9"/>
      <c r="AD612" s="9"/>
      <c r="AE612" s="11"/>
      <c r="AF612" s="10"/>
      <c r="AG612" s="11"/>
      <c r="AH612" s="10"/>
      <c r="AI612" s="11"/>
      <c r="AJ612" s="10"/>
      <c r="AK612" s="10"/>
      <c r="AL612" s="10"/>
      <c r="AM612" s="8"/>
      <c r="AN612" s="8"/>
      <c r="AO612" s="9"/>
      <c r="AP612" s="9"/>
      <c r="AQ612" s="9"/>
      <c r="AR612" s="8"/>
      <c r="AS612" s="8"/>
      <c r="AT612" s="8"/>
      <c r="AU612" s="8"/>
      <c r="AV612" s="8"/>
      <c r="AW612" s="8"/>
      <c r="AX612" s="8"/>
      <c r="AY612" s="8"/>
      <c r="AZ612" s="8"/>
    </row>
    <row r="613" spans="21:52" ht="16.899999999999999">
      <c r="U613" s="8"/>
      <c r="W613" s="10"/>
      <c r="X613" s="10"/>
      <c r="Z613" s="13"/>
      <c r="AA613" s="13"/>
      <c r="AB613" s="13"/>
      <c r="AC613" s="9"/>
      <c r="AD613" s="9"/>
      <c r="AE613" s="11"/>
      <c r="AF613" s="10"/>
      <c r="AG613" s="11"/>
      <c r="AH613" s="10"/>
      <c r="AI613" s="11"/>
      <c r="AJ613" s="10"/>
      <c r="AK613" s="10"/>
      <c r="AL613" s="10"/>
      <c r="AM613" s="8"/>
      <c r="AN613" s="8"/>
      <c r="AO613" s="9"/>
      <c r="AP613" s="9"/>
      <c r="AQ613" s="9"/>
      <c r="AR613" s="8"/>
      <c r="AS613" s="8"/>
      <c r="AT613" s="8"/>
      <c r="AU613" s="8"/>
      <c r="AV613" s="8"/>
      <c r="AW613" s="8"/>
      <c r="AX613" s="8"/>
      <c r="AY613" s="8"/>
      <c r="AZ613" s="8"/>
    </row>
    <row r="614" spans="21:52" ht="16.899999999999999">
      <c r="U614" s="8"/>
      <c r="W614" s="10"/>
      <c r="X614" s="10"/>
      <c r="Z614" s="13"/>
      <c r="AA614" s="13"/>
      <c r="AB614" s="13"/>
      <c r="AC614" s="9"/>
      <c r="AD614" s="9"/>
      <c r="AE614" s="11"/>
      <c r="AF614" s="10"/>
      <c r="AG614" s="11"/>
      <c r="AH614" s="10"/>
      <c r="AI614" s="11"/>
      <c r="AJ614" s="10"/>
      <c r="AK614" s="10"/>
      <c r="AL614" s="10"/>
      <c r="AM614" s="8"/>
      <c r="AN614" s="8"/>
      <c r="AO614" s="9"/>
      <c r="AP614" s="9"/>
      <c r="AQ614" s="9"/>
      <c r="AR614" s="8"/>
      <c r="AS614" s="8"/>
      <c r="AT614" s="8"/>
      <c r="AU614" s="8"/>
      <c r="AV614" s="8"/>
      <c r="AW614" s="8"/>
      <c r="AX614" s="8"/>
      <c r="AY614" s="8"/>
      <c r="AZ614" s="8"/>
    </row>
    <row r="615" spans="21:52" ht="16.899999999999999">
      <c r="U615" s="8"/>
      <c r="W615" s="10"/>
      <c r="X615" s="10"/>
      <c r="Z615" s="13"/>
      <c r="AA615" s="13"/>
      <c r="AB615" s="13"/>
      <c r="AC615" s="9"/>
      <c r="AD615" s="9"/>
      <c r="AE615" s="11"/>
      <c r="AF615" s="10"/>
      <c r="AG615" s="11"/>
      <c r="AH615" s="10"/>
      <c r="AI615" s="11"/>
      <c r="AJ615" s="10"/>
      <c r="AK615" s="10"/>
      <c r="AL615" s="10"/>
      <c r="AM615" s="8"/>
      <c r="AN615" s="8"/>
      <c r="AO615" s="9"/>
      <c r="AP615" s="9"/>
      <c r="AQ615" s="9"/>
      <c r="AR615" s="8"/>
      <c r="AS615" s="8"/>
      <c r="AT615" s="8"/>
      <c r="AU615" s="8"/>
      <c r="AV615" s="8"/>
      <c r="AW615" s="8"/>
      <c r="AX615" s="8"/>
      <c r="AY615" s="8"/>
      <c r="AZ615" s="8"/>
    </row>
    <row r="616" spans="21:52" ht="16.899999999999999">
      <c r="U616" s="8"/>
      <c r="W616" s="10"/>
      <c r="X616" s="10"/>
      <c r="Z616" s="13"/>
      <c r="AA616" s="13"/>
      <c r="AB616" s="13"/>
      <c r="AC616" s="9"/>
      <c r="AD616" s="9"/>
      <c r="AE616" s="11"/>
      <c r="AF616" s="10"/>
      <c r="AG616" s="11"/>
      <c r="AH616" s="10"/>
      <c r="AI616" s="11"/>
      <c r="AJ616" s="10"/>
      <c r="AK616" s="10"/>
      <c r="AL616" s="10"/>
      <c r="AM616" s="8"/>
      <c r="AN616" s="8"/>
      <c r="AO616" s="9"/>
      <c r="AP616" s="9"/>
      <c r="AQ616" s="9"/>
      <c r="AR616" s="8"/>
      <c r="AS616" s="8"/>
      <c r="AT616" s="8"/>
      <c r="AU616" s="8"/>
      <c r="AV616" s="8"/>
      <c r="AW616" s="8"/>
      <c r="AX616" s="8"/>
      <c r="AY616" s="8"/>
      <c r="AZ616" s="8"/>
    </row>
    <row r="617" spans="21:52" ht="16.899999999999999">
      <c r="U617" s="8"/>
      <c r="W617" s="10"/>
      <c r="X617" s="10"/>
      <c r="Z617" s="13"/>
      <c r="AA617" s="13"/>
      <c r="AB617" s="13"/>
      <c r="AC617" s="9"/>
      <c r="AD617" s="9"/>
      <c r="AE617" s="11"/>
      <c r="AF617" s="10"/>
      <c r="AG617" s="11"/>
      <c r="AH617" s="10"/>
      <c r="AI617" s="11"/>
      <c r="AJ617" s="10"/>
      <c r="AK617" s="10"/>
      <c r="AL617" s="10"/>
      <c r="AM617" s="8"/>
      <c r="AN617" s="8"/>
      <c r="AO617" s="9"/>
      <c r="AP617" s="9"/>
      <c r="AQ617" s="9"/>
      <c r="AR617" s="8"/>
      <c r="AS617" s="8"/>
      <c r="AT617" s="8"/>
      <c r="AU617" s="8"/>
      <c r="AV617" s="8"/>
      <c r="AW617" s="8"/>
      <c r="AX617" s="8"/>
      <c r="AY617" s="8"/>
      <c r="AZ617" s="8"/>
    </row>
    <row r="618" spans="21:52" ht="16.899999999999999">
      <c r="U618" s="8"/>
      <c r="W618" s="10"/>
      <c r="X618" s="10"/>
      <c r="Z618" s="13"/>
      <c r="AA618" s="13"/>
      <c r="AB618" s="13"/>
      <c r="AC618" s="9"/>
      <c r="AD618" s="9"/>
      <c r="AE618" s="11"/>
      <c r="AF618" s="10"/>
      <c r="AG618" s="11"/>
      <c r="AH618" s="10"/>
      <c r="AI618" s="11"/>
      <c r="AJ618" s="10"/>
      <c r="AK618" s="10"/>
      <c r="AL618" s="10"/>
      <c r="AM618" s="8"/>
      <c r="AN618" s="8"/>
      <c r="AO618" s="9"/>
      <c r="AP618" s="9"/>
      <c r="AQ618" s="9"/>
      <c r="AR618" s="8"/>
      <c r="AS618" s="8"/>
      <c r="AT618" s="8"/>
      <c r="AU618" s="8"/>
      <c r="AV618" s="8"/>
      <c r="AW618" s="8"/>
      <c r="AX618" s="8"/>
      <c r="AY618" s="8"/>
      <c r="AZ618" s="8"/>
    </row>
    <row r="619" spans="21:52" ht="16.899999999999999">
      <c r="U619" s="8"/>
      <c r="W619" s="10"/>
      <c r="X619" s="10"/>
      <c r="Z619" s="13"/>
      <c r="AA619" s="13"/>
      <c r="AB619" s="13"/>
      <c r="AC619" s="9"/>
      <c r="AD619" s="9"/>
      <c r="AE619" s="11"/>
      <c r="AF619" s="10"/>
      <c r="AG619" s="11"/>
      <c r="AH619" s="10"/>
      <c r="AI619" s="11"/>
      <c r="AJ619" s="10"/>
      <c r="AK619" s="10"/>
      <c r="AL619" s="10"/>
      <c r="AM619" s="8"/>
      <c r="AN619" s="8"/>
      <c r="AO619" s="9"/>
      <c r="AP619" s="9"/>
      <c r="AQ619" s="9"/>
      <c r="AR619" s="8"/>
      <c r="AS619" s="8"/>
      <c r="AT619" s="8"/>
      <c r="AU619" s="8"/>
      <c r="AV619" s="8"/>
      <c r="AW619" s="8"/>
      <c r="AX619" s="8"/>
      <c r="AY619" s="8"/>
      <c r="AZ619" s="8"/>
    </row>
    <row r="620" spans="21:52" ht="16.899999999999999">
      <c r="U620" s="8"/>
      <c r="W620" s="10"/>
      <c r="X620" s="10"/>
      <c r="Z620" s="13"/>
      <c r="AA620" s="13"/>
      <c r="AB620" s="13"/>
      <c r="AC620" s="9"/>
      <c r="AD620" s="9"/>
      <c r="AE620" s="11"/>
      <c r="AF620" s="10"/>
      <c r="AG620" s="11"/>
      <c r="AH620" s="10"/>
      <c r="AI620" s="11"/>
      <c r="AJ620" s="10"/>
      <c r="AK620" s="10"/>
      <c r="AL620" s="10"/>
      <c r="AM620" s="8"/>
      <c r="AN620" s="8"/>
      <c r="AO620" s="9"/>
      <c r="AP620" s="9"/>
      <c r="AQ620" s="9"/>
      <c r="AR620" s="8"/>
      <c r="AS620" s="8"/>
      <c r="AT620" s="8"/>
      <c r="AU620" s="8"/>
      <c r="AV620" s="8"/>
      <c r="AW620" s="8"/>
      <c r="AX620" s="8"/>
      <c r="AY620" s="8"/>
      <c r="AZ620" s="8"/>
    </row>
    <row r="621" spans="21:52" ht="16.899999999999999">
      <c r="U621" s="8"/>
      <c r="W621" s="10"/>
      <c r="X621" s="10"/>
      <c r="Z621" s="13"/>
      <c r="AA621" s="13"/>
      <c r="AB621" s="13"/>
      <c r="AC621" s="9"/>
      <c r="AD621" s="9"/>
      <c r="AE621" s="11"/>
      <c r="AF621" s="10"/>
      <c r="AG621" s="11"/>
      <c r="AH621" s="10"/>
      <c r="AI621" s="11"/>
      <c r="AJ621" s="10"/>
      <c r="AK621" s="10"/>
      <c r="AL621" s="10"/>
      <c r="AM621" s="8"/>
      <c r="AN621" s="8"/>
      <c r="AO621" s="9"/>
      <c r="AP621" s="9"/>
      <c r="AQ621" s="9"/>
      <c r="AR621" s="8"/>
      <c r="AS621" s="8"/>
      <c r="AT621" s="8"/>
      <c r="AU621" s="8"/>
      <c r="AV621" s="8"/>
      <c r="AW621" s="8"/>
      <c r="AX621" s="8"/>
      <c r="AY621" s="8"/>
      <c r="AZ621" s="8"/>
    </row>
    <row r="622" spans="21:52" ht="16.899999999999999">
      <c r="U622" s="8"/>
      <c r="W622" s="10"/>
      <c r="X622" s="10"/>
      <c r="Z622" s="13"/>
      <c r="AA622" s="13"/>
      <c r="AB622" s="13"/>
      <c r="AC622" s="9"/>
      <c r="AD622" s="9"/>
      <c r="AE622" s="11"/>
      <c r="AF622" s="10"/>
      <c r="AG622" s="11"/>
      <c r="AH622" s="10"/>
      <c r="AI622" s="11"/>
      <c r="AJ622" s="10"/>
      <c r="AK622" s="10"/>
      <c r="AL622" s="10"/>
      <c r="AM622" s="8"/>
      <c r="AN622" s="8"/>
      <c r="AO622" s="9"/>
      <c r="AP622" s="9"/>
      <c r="AQ622" s="9"/>
      <c r="AR622" s="8"/>
      <c r="AS622" s="8"/>
      <c r="AT622" s="8"/>
      <c r="AU622" s="8"/>
      <c r="AV622" s="8"/>
      <c r="AW622" s="8"/>
      <c r="AX622" s="8"/>
      <c r="AY622" s="8"/>
      <c r="AZ622" s="8"/>
    </row>
    <row r="623" spans="21:52" ht="16.899999999999999">
      <c r="U623" s="8"/>
      <c r="W623" s="10"/>
      <c r="X623" s="10"/>
      <c r="Z623" s="13"/>
      <c r="AA623" s="13"/>
      <c r="AB623" s="13"/>
      <c r="AC623" s="9"/>
      <c r="AD623" s="9"/>
      <c r="AE623" s="11"/>
      <c r="AF623" s="10"/>
      <c r="AG623" s="11"/>
      <c r="AH623" s="10"/>
      <c r="AI623" s="11"/>
      <c r="AJ623" s="10"/>
      <c r="AK623" s="10"/>
      <c r="AL623" s="10"/>
      <c r="AM623" s="8"/>
      <c r="AN623" s="8"/>
      <c r="AO623" s="9"/>
      <c r="AP623" s="9"/>
      <c r="AQ623" s="9"/>
      <c r="AR623" s="8"/>
      <c r="AS623" s="8"/>
      <c r="AT623" s="8"/>
      <c r="AU623" s="8"/>
      <c r="AV623" s="8"/>
      <c r="AW623" s="8"/>
      <c r="AX623" s="8"/>
      <c r="AY623" s="8"/>
      <c r="AZ623" s="8"/>
    </row>
    <row r="624" spans="21:52" ht="16.899999999999999">
      <c r="U624" s="8"/>
      <c r="W624" s="10"/>
      <c r="X624" s="10"/>
      <c r="Z624" s="13"/>
      <c r="AA624" s="13"/>
      <c r="AB624" s="13"/>
      <c r="AC624" s="9"/>
      <c r="AD624" s="9"/>
      <c r="AE624" s="11"/>
      <c r="AF624" s="10"/>
      <c r="AG624" s="11"/>
      <c r="AH624" s="10"/>
      <c r="AI624" s="11"/>
      <c r="AJ624" s="10"/>
      <c r="AK624" s="10"/>
      <c r="AL624" s="10"/>
      <c r="AM624" s="8"/>
      <c r="AN624" s="8"/>
      <c r="AO624" s="9"/>
      <c r="AP624" s="9"/>
      <c r="AQ624" s="9"/>
      <c r="AR624" s="8"/>
      <c r="AS624" s="8"/>
      <c r="AT624" s="8"/>
      <c r="AU624" s="8"/>
      <c r="AV624" s="8"/>
      <c r="AW624" s="8"/>
      <c r="AX624" s="8"/>
      <c r="AY624" s="8"/>
      <c r="AZ624" s="8"/>
    </row>
    <row r="625" spans="21:52" ht="16.899999999999999">
      <c r="U625" s="8"/>
      <c r="W625" s="10"/>
      <c r="X625" s="10"/>
      <c r="Z625" s="13"/>
      <c r="AA625" s="13"/>
      <c r="AB625" s="13"/>
      <c r="AC625" s="9"/>
      <c r="AD625" s="9"/>
      <c r="AE625" s="11"/>
      <c r="AF625" s="10"/>
      <c r="AG625" s="11"/>
      <c r="AH625" s="10"/>
      <c r="AI625" s="11"/>
      <c r="AJ625" s="10"/>
      <c r="AK625" s="10"/>
      <c r="AL625" s="10"/>
      <c r="AM625" s="8"/>
      <c r="AN625" s="8"/>
      <c r="AO625" s="9"/>
      <c r="AP625" s="9"/>
      <c r="AQ625" s="9"/>
      <c r="AR625" s="8"/>
      <c r="AS625" s="8"/>
      <c r="AT625" s="8"/>
      <c r="AU625" s="8"/>
      <c r="AV625" s="8"/>
      <c r="AW625" s="8"/>
      <c r="AX625" s="8"/>
      <c r="AY625" s="8"/>
      <c r="AZ625" s="8"/>
    </row>
    <row r="626" spans="21:52" ht="16.899999999999999">
      <c r="U626" s="8"/>
      <c r="W626" s="10"/>
      <c r="X626" s="10"/>
      <c r="Z626" s="13"/>
      <c r="AA626" s="13"/>
      <c r="AB626" s="13"/>
      <c r="AC626" s="9"/>
      <c r="AD626" s="9"/>
      <c r="AE626" s="11"/>
      <c r="AF626" s="10"/>
      <c r="AG626" s="11"/>
      <c r="AH626" s="10"/>
      <c r="AI626" s="11"/>
      <c r="AJ626" s="10"/>
      <c r="AK626" s="10"/>
      <c r="AL626" s="10"/>
      <c r="AM626" s="8"/>
      <c r="AN626" s="8"/>
      <c r="AO626" s="9"/>
      <c r="AP626" s="9"/>
      <c r="AQ626" s="9"/>
      <c r="AR626" s="8"/>
      <c r="AS626" s="8"/>
      <c r="AT626" s="8"/>
      <c r="AU626" s="8"/>
      <c r="AV626" s="8"/>
      <c r="AW626" s="8"/>
      <c r="AX626" s="8"/>
      <c r="AY626" s="8"/>
      <c r="AZ626" s="8"/>
    </row>
    <row r="627" spans="21:52" ht="16.899999999999999">
      <c r="U627" s="8"/>
      <c r="W627" s="10"/>
      <c r="X627" s="10"/>
      <c r="Z627" s="13"/>
      <c r="AA627" s="13"/>
      <c r="AB627" s="13"/>
      <c r="AC627" s="9"/>
      <c r="AD627" s="9"/>
      <c r="AE627" s="11"/>
      <c r="AF627" s="10"/>
      <c r="AG627" s="11"/>
      <c r="AH627" s="10"/>
      <c r="AI627" s="11"/>
      <c r="AJ627" s="10"/>
      <c r="AK627" s="10"/>
      <c r="AL627" s="10"/>
      <c r="AM627" s="8"/>
      <c r="AN627" s="8"/>
      <c r="AO627" s="9"/>
      <c r="AP627" s="9"/>
      <c r="AQ627" s="9"/>
      <c r="AR627" s="8"/>
      <c r="AS627" s="8"/>
      <c r="AT627" s="8"/>
      <c r="AU627" s="8"/>
      <c r="AV627" s="8"/>
      <c r="AW627" s="8"/>
      <c r="AX627" s="8"/>
      <c r="AY627" s="8"/>
      <c r="AZ627" s="8"/>
    </row>
    <row r="628" spans="21:52" ht="16.899999999999999">
      <c r="U628" s="8"/>
      <c r="W628" s="10"/>
      <c r="X628" s="10"/>
      <c r="Z628" s="13"/>
      <c r="AA628" s="13"/>
      <c r="AB628" s="13"/>
      <c r="AC628" s="9"/>
      <c r="AD628" s="9"/>
      <c r="AE628" s="11"/>
      <c r="AF628" s="10"/>
      <c r="AG628" s="11"/>
      <c r="AH628" s="10"/>
      <c r="AI628" s="11"/>
      <c r="AJ628" s="10"/>
      <c r="AK628" s="10"/>
      <c r="AL628" s="10"/>
      <c r="AM628" s="8"/>
      <c r="AN628" s="8"/>
      <c r="AO628" s="9"/>
      <c r="AP628" s="9"/>
      <c r="AQ628" s="9"/>
      <c r="AR628" s="8"/>
      <c r="AS628" s="8"/>
      <c r="AT628" s="8"/>
      <c r="AU628" s="8"/>
      <c r="AV628" s="8"/>
      <c r="AW628" s="8"/>
      <c r="AX628" s="8"/>
      <c r="AY628" s="8"/>
      <c r="AZ628" s="8"/>
    </row>
    <row r="629" spans="21:52" ht="16.899999999999999">
      <c r="U629" s="8"/>
      <c r="W629" s="10"/>
      <c r="X629" s="10"/>
      <c r="Z629" s="13"/>
      <c r="AA629" s="13"/>
      <c r="AB629" s="13"/>
      <c r="AC629" s="9"/>
      <c r="AD629" s="9"/>
      <c r="AE629" s="11"/>
      <c r="AF629" s="10"/>
      <c r="AG629" s="11"/>
      <c r="AH629" s="10"/>
      <c r="AI629" s="11"/>
      <c r="AJ629" s="10"/>
      <c r="AK629" s="10"/>
      <c r="AL629" s="10"/>
      <c r="AM629" s="8"/>
      <c r="AN629" s="8"/>
      <c r="AO629" s="9"/>
      <c r="AP629" s="9"/>
      <c r="AQ629" s="9"/>
      <c r="AR629" s="8"/>
      <c r="AS629" s="8"/>
      <c r="AT629" s="8"/>
      <c r="AU629" s="8"/>
      <c r="AV629" s="8"/>
      <c r="AW629" s="8"/>
      <c r="AX629" s="8"/>
      <c r="AY629" s="8"/>
      <c r="AZ629" s="8"/>
    </row>
    <row r="630" spans="21:52" ht="16.899999999999999">
      <c r="U630" s="8"/>
      <c r="W630" s="10"/>
      <c r="X630" s="10"/>
      <c r="Z630" s="13"/>
      <c r="AA630" s="13"/>
      <c r="AB630" s="13"/>
      <c r="AC630" s="9"/>
      <c r="AD630" s="9"/>
      <c r="AE630" s="11"/>
      <c r="AF630" s="10"/>
      <c r="AG630" s="11"/>
      <c r="AH630" s="10"/>
      <c r="AI630" s="11"/>
      <c r="AJ630" s="10"/>
      <c r="AK630" s="10"/>
      <c r="AL630" s="10"/>
      <c r="AM630" s="8"/>
      <c r="AN630" s="8"/>
      <c r="AO630" s="9"/>
      <c r="AP630" s="9"/>
      <c r="AQ630" s="9"/>
      <c r="AR630" s="8"/>
      <c r="AS630" s="8"/>
      <c r="AT630" s="8"/>
      <c r="AU630" s="8"/>
      <c r="AV630" s="8"/>
      <c r="AW630" s="8"/>
      <c r="AX630" s="8"/>
      <c r="AY630" s="8"/>
      <c r="AZ630" s="8"/>
    </row>
    <row r="631" spans="21:52" ht="16.899999999999999">
      <c r="U631" s="8"/>
      <c r="W631" s="10"/>
      <c r="X631" s="10"/>
      <c r="Z631" s="13"/>
      <c r="AA631" s="13"/>
      <c r="AB631" s="13"/>
      <c r="AC631" s="9"/>
      <c r="AD631" s="9"/>
      <c r="AE631" s="11"/>
      <c r="AF631" s="10"/>
      <c r="AG631" s="11"/>
      <c r="AH631" s="10"/>
      <c r="AI631" s="11"/>
      <c r="AJ631" s="10"/>
      <c r="AK631" s="10"/>
      <c r="AL631" s="10"/>
      <c r="AM631" s="8"/>
      <c r="AN631" s="8"/>
      <c r="AO631" s="9"/>
      <c r="AP631" s="9"/>
      <c r="AQ631" s="9"/>
      <c r="AR631" s="8"/>
      <c r="AS631" s="8"/>
      <c r="AT631" s="8"/>
      <c r="AU631" s="8"/>
      <c r="AV631" s="8"/>
      <c r="AW631" s="8"/>
      <c r="AX631" s="8"/>
      <c r="AY631" s="8"/>
      <c r="AZ631" s="8"/>
    </row>
    <row r="632" spans="21:52" ht="16.899999999999999">
      <c r="U632" s="8"/>
      <c r="W632" s="10"/>
      <c r="X632" s="10"/>
      <c r="Z632" s="13"/>
      <c r="AA632" s="13"/>
      <c r="AB632" s="13"/>
      <c r="AC632" s="9"/>
      <c r="AD632" s="9"/>
      <c r="AE632" s="11"/>
      <c r="AF632" s="10"/>
      <c r="AG632" s="11"/>
      <c r="AH632" s="10"/>
      <c r="AI632" s="11"/>
      <c r="AJ632" s="10"/>
      <c r="AK632" s="10"/>
      <c r="AL632" s="10"/>
      <c r="AM632" s="8"/>
      <c r="AN632" s="8"/>
      <c r="AO632" s="9"/>
      <c r="AP632" s="9"/>
      <c r="AQ632" s="9"/>
      <c r="AR632" s="8"/>
      <c r="AS632" s="8"/>
      <c r="AT632" s="8"/>
      <c r="AU632" s="8"/>
      <c r="AV632" s="8"/>
      <c r="AW632" s="8"/>
      <c r="AX632" s="8"/>
      <c r="AY632" s="8"/>
      <c r="AZ632" s="8"/>
    </row>
    <row r="633" spans="21:52" ht="16.899999999999999">
      <c r="U633" s="8"/>
      <c r="W633" s="10"/>
      <c r="X633" s="10"/>
      <c r="Z633" s="13"/>
      <c r="AA633" s="13"/>
      <c r="AB633" s="13"/>
      <c r="AC633" s="9"/>
      <c r="AD633" s="9"/>
      <c r="AE633" s="11"/>
      <c r="AF633" s="10"/>
      <c r="AG633" s="11"/>
      <c r="AH633" s="10"/>
      <c r="AI633" s="11"/>
      <c r="AJ633" s="10"/>
      <c r="AK633" s="10"/>
      <c r="AL633" s="10"/>
      <c r="AM633" s="8"/>
      <c r="AN633" s="8"/>
      <c r="AO633" s="9"/>
      <c r="AP633" s="9"/>
      <c r="AQ633" s="9"/>
      <c r="AR633" s="8"/>
      <c r="AS633" s="8"/>
      <c r="AT633" s="8"/>
      <c r="AU633" s="8"/>
      <c r="AV633" s="8"/>
      <c r="AW633" s="8"/>
      <c r="AX633" s="8"/>
      <c r="AY633" s="8"/>
      <c r="AZ633" s="8"/>
    </row>
    <row r="634" spans="21:52" ht="16.899999999999999">
      <c r="U634" s="8"/>
      <c r="W634" s="10"/>
      <c r="X634" s="10"/>
      <c r="Z634" s="13"/>
      <c r="AA634" s="13"/>
      <c r="AB634" s="13"/>
      <c r="AC634" s="9"/>
      <c r="AD634" s="9"/>
      <c r="AE634" s="11"/>
      <c r="AF634" s="10"/>
      <c r="AG634" s="11"/>
      <c r="AH634" s="10"/>
      <c r="AI634" s="11"/>
      <c r="AJ634" s="10"/>
      <c r="AK634" s="10"/>
      <c r="AL634" s="10"/>
      <c r="AM634" s="8"/>
      <c r="AN634" s="8"/>
      <c r="AO634" s="9"/>
      <c r="AP634" s="9"/>
      <c r="AQ634" s="9"/>
      <c r="AR634" s="8"/>
      <c r="AS634" s="8"/>
      <c r="AT634" s="8"/>
      <c r="AU634" s="8"/>
      <c r="AV634" s="8"/>
      <c r="AW634" s="8"/>
      <c r="AX634" s="8"/>
      <c r="AY634" s="8"/>
      <c r="AZ634" s="8"/>
    </row>
    <row r="635" spans="21:52" ht="16.899999999999999">
      <c r="U635" s="8"/>
      <c r="W635" s="10"/>
      <c r="X635" s="10"/>
      <c r="Z635" s="13"/>
      <c r="AA635" s="13"/>
      <c r="AB635" s="13"/>
      <c r="AC635" s="9"/>
      <c r="AD635" s="9"/>
      <c r="AE635" s="11"/>
      <c r="AF635" s="10"/>
      <c r="AG635" s="11"/>
      <c r="AH635" s="10"/>
      <c r="AI635" s="11"/>
      <c r="AJ635" s="10"/>
      <c r="AK635" s="10"/>
      <c r="AL635" s="10"/>
      <c r="AM635" s="8"/>
      <c r="AN635" s="8"/>
      <c r="AO635" s="9"/>
      <c r="AP635" s="9"/>
      <c r="AQ635" s="9"/>
      <c r="AR635" s="8"/>
      <c r="AS635" s="8"/>
      <c r="AT635" s="8"/>
      <c r="AU635" s="8"/>
      <c r="AV635" s="8"/>
      <c r="AW635" s="8"/>
      <c r="AX635" s="8"/>
      <c r="AY635" s="8"/>
      <c r="AZ635" s="8"/>
    </row>
    <row r="636" spans="21:52" ht="16.899999999999999">
      <c r="U636" s="8"/>
      <c r="W636" s="10"/>
      <c r="X636" s="10"/>
      <c r="Z636" s="13"/>
      <c r="AA636" s="13"/>
      <c r="AB636" s="13"/>
      <c r="AC636" s="9"/>
      <c r="AD636" s="9"/>
      <c r="AE636" s="11"/>
      <c r="AF636" s="10"/>
      <c r="AG636" s="11"/>
      <c r="AH636" s="10"/>
      <c r="AI636" s="11"/>
      <c r="AJ636" s="10"/>
      <c r="AK636" s="10"/>
      <c r="AL636" s="10"/>
      <c r="AM636" s="8"/>
      <c r="AN636" s="8"/>
      <c r="AO636" s="9"/>
      <c r="AP636" s="9"/>
      <c r="AQ636" s="9"/>
      <c r="AR636" s="8"/>
      <c r="AS636" s="8"/>
      <c r="AT636" s="8"/>
      <c r="AU636" s="8"/>
      <c r="AV636" s="8"/>
      <c r="AW636" s="8"/>
      <c r="AX636" s="8"/>
      <c r="AY636" s="8"/>
      <c r="AZ636" s="8"/>
    </row>
    <row r="637" spans="21:52" ht="16.899999999999999">
      <c r="U637" s="8"/>
      <c r="W637" s="10"/>
      <c r="X637" s="10"/>
      <c r="Z637" s="13"/>
      <c r="AA637" s="13"/>
      <c r="AB637" s="13"/>
      <c r="AC637" s="9"/>
      <c r="AD637" s="9"/>
      <c r="AE637" s="11"/>
      <c r="AF637" s="10"/>
      <c r="AG637" s="11"/>
      <c r="AH637" s="10"/>
      <c r="AI637" s="11"/>
      <c r="AJ637" s="10"/>
      <c r="AK637" s="10"/>
      <c r="AL637" s="10"/>
      <c r="AM637" s="8"/>
      <c r="AN637" s="8"/>
      <c r="AO637" s="9"/>
      <c r="AP637" s="9"/>
      <c r="AQ637" s="9"/>
      <c r="AR637" s="8"/>
      <c r="AS637" s="8"/>
      <c r="AT637" s="8"/>
      <c r="AU637" s="8"/>
      <c r="AV637" s="8"/>
      <c r="AW637" s="8"/>
      <c r="AX637" s="8"/>
      <c r="AY637" s="8"/>
      <c r="AZ637" s="8"/>
    </row>
    <row r="638" spans="21:52" ht="16.899999999999999">
      <c r="U638" s="8"/>
      <c r="W638" s="10"/>
      <c r="X638" s="10"/>
      <c r="Z638" s="13"/>
      <c r="AA638" s="13"/>
      <c r="AB638" s="13"/>
      <c r="AC638" s="9"/>
      <c r="AD638" s="9"/>
      <c r="AE638" s="11"/>
      <c r="AF638" s="10"/>
      <c r="AG638" s="11"/>
      <c r="AH638" s="10"/>
      <c r="AI638" s="11"/>
      <c r="AJ638" s="10"/>
      <c r="AK638" s="10"/>
      <c r="AL638" s="10"/>
      <c r="AM638" s="8"/>
      <c r="AN638" s="8"/>
      <c r="AO638" s="9"/>
      <c r="AP638" s="9"/>
      <c r="AQ638" s="9"/>
      <c r="AR638" s="8"/>
      <c r="AS638" s="8"/>
      <c r="AT638" s="8"/>
      <c r="AU638" s="8"/>
      <c r="AV638" s="8"/>
      <c r="AW638" s="8"/>
      <c r="AX638" s="8"/>
      <c r="AY638" s="8"/>
      <c r="AZ638" s="8"/>
    </row>
    <row r="639" spans="21:52" ht="16.899999999999999">
      <c r="U639" s="8"/>
      <c r="W639" s="10"/>
      <c r="X639" s="10"/>
      <c r="Z639" s="13"/>
      <c r="AA639" s="13"/>
      <c r="AB639" s="13"/>
      <c r="AC639" s="9"/>
      <c r="AD639" s="9"/>
      <c r="AE639" s="11"/>
      <c r="AF639" s="10"/>
      <c r="AG639" s="11"/>
      <c r="AH639" s="10"/>
      <c r="AI639" s="11"/>
      <c r="AJ639" s="10"/>
      <c r="AK639" s="10"/>
      <c r="AL639" s="10"/>
      <c r="AM639" s="8"/>
      <c r="AN639" s="8"/>
      <c r="AO639" s="9"/>
      <c r="AP639" s="9"/>
      <c r="AQ639" s="9"/>
      <c r="AR639" s="8"/>
      <c r="AS639" s="8"/>
      <c r="AT639" s="8"/>
      <c r="AU639" s="8"/>
      <c r="AV639" s="8"/>
      <c r="AW639" s="8"/>
      <c r="AX639" s="8"/>
      <c r="AY639" s="8"/>
      <c r="AZ639" s="8"/>
    </row>
    <row r="640" spans="21:52" ht="16.899999999999999">
      <c r="U640" s="8"/>
      <c r="W640" s="10"/>
      <c r="X640" s="10"/>
      <c r="Z640" s="13"/>
      <c r="AA640" s="13"/>
      <c r="AB640" s="13"/>
      <c r="AC640" s="9"/>
      <c r="AD640" s="9"/>
      <c r="AE640" s="11"/>
      <c r="AF640" s="10"/>
      <c r="AG640" s="11"/>
      <c r="AH640" s="10"/>
      <c r="AI640" s="11"/>
      <c r="AJ640" s="10"/>
      <c r="AK640" s="10"/>
      <c r="AL640" s="10"/>
      <c r="AM640" s="8"/>
      <c r="AN640" s="8"/>
      <c r="AO640" s="9"/>
      <c r="AP640" s="9"/>
      <c r="AQ640" s="9"/>
      <c r="AR640" s="8"/>
      <c r="AS640" s="8"/>
      <c r="AT640" s="8"/>
      <c r="AU640" s="8"/>
      <c r="AV640" s="8"/>
      <c r="AW640" s="8"/>
      <c r="AX640" s="8"/>
      <c r="AY640" s="8"/>
      <c r="AZ640" s="8"/>
    </row>
    <row r="641" spans="21:52" ht="16.899999999999999">
      <c r="U641" s="8"/>
      <c r="W641" s="10"/>
      <c r="X641" s="10"/>
      <c r="Z641" s="13"/>
      <c r="AA641" s="13"/>
      <c r="AB641" s="13"/>
      <c r="AC641" s="9"/>
      <c r="AD641" s="9"/>
      <c r="AE641" s="11"/>
      <c r="AF641" s="10"/>
      <c r="AG641" s="11"/>
      <c r="AH641" s="10"/>
      <c r="AI641" s="11"/>
      <c r="AJ641" s="10"/>
      <c r="AK641" s="10"/>
      <c r="AL641" s="10"/>
      <c r="AM641" s="8"/>
      <c r="AN641" s="8"/>
      <c r="AO641" s="9"/>
      <c r="AP641" s="9"/>
      <c r="AQ641" s="9"/>
      <c r="AR641" s="8"/>
      <c r="AS641" s="8"/>
      <c r="AT641" s="8"/>
      <c r="AU641" s="8"/>
      <c r="AV641" s="8"/>
      <c r="AW641" s="8"/>
      <c r="AX641" s="8"/>
      <c r="AY641" s="8"/>
      <c r="AZ641" s="8"/>
    </row>
    <row r="642" spans="21:52" ht="16.899999999999999">
      <c r="U642" s="8"/>
      <c r="W642" s="10"/>
      <c r="X642" s="10"/>
      <c r="Z642" s="13"/>
      <c r="AA642" s="13"/>
      <c r="AB642" s="13"/>
      <c r="AC642" s="9"/>
      <c r="AD642" s="9"/>
      <c r="AE642" s="11"/>
      <c r="AF642" s="10"/>
      <c r="AG642" s="11"/>
      <c r="AH642" s="10"/>
      <c r="AI642" s="11"/>
      <c r="AJ642" s="10"/>
      <c r="AK642" s="10"/>
      <c r="AL642" s="10"/>
      <c r="AM642" s="8"/>
      <c r="AN642" s="8"/>
      <c r="AO642" s="9"/>
      <c r="AP642" s="9"/>
      <c r="AQ642" s="9"/>
      <c r="AR642" s="8"/>
      <c r="AS642" s="8"/>
      <c r="AT642" s="8"/>
      <c r="AU642" s="8"/>
      <c r="AV642" s="8"/>
      <c r="AW642" s="8"/>
      <c r="AX642" s="8"/>
      <c r="AY642" s="8"/>
      <c r="AZ642" s="8"/>
    </row>
    <row r="643" spans="21:52" ht="16.899999999999999">
      <c r="U643" s="8"/>
      <c r="W643" s="10"/>
      <c r="X643" s="10"/>
      <c r="Z643" s="13"/>
      <c r="AA643" s="13"/>
      <c r="AB643" s="13"/>
      <c r="AC643" s="9"/>
      <c r="AD643" s="9"/>
      <c r="AE643" s="11"/>
      <c r="AF643" s="10"/>
      <c r="AG643" s="11"/>
      <c r="AH643" s="10"/>
      <c r="AI643" s="11"/>
      <c r="AJ643" s="10"/>
      <c r="AK643" s="10"/>
      <c r="AL643" s="10"/>
      <c r="AM643" s="8"/>
      <c r="AN643" s="8"/>
      <c r="AO643" s="9"/>
      <c r="AP643" s="9"/>
      <c r="AQ643" s="9"/>
      <c r="AR643" s="8"/>
      <c r="AS643" s="8"/>
      <c r="AT643" s="8"/>
      <c r="AU643" s="8"/>
      <c r="AV643" s="8"/>
      <c r="AW643" s="8"/>
      <c r="AX643" s="8"/>
      <c r="AY643" s="8"/>
      <c r="AZ643" s="8"/>
    </row>
    <row r="644" spans="21:52" ht="16.899999999999999">
      <c r="U644" s="8"/>
      <c r="W644" s="10"/>
      <c r="X644" s="10"/>
      <c r="Z644" s="13"/>
      <c r="AA644" s="13"/>
      <c r="AB644" s="13"/>
      <c r="AC644" s="9"/>
      <c r="AD644" s="9"/>
      <c r="AE644" s="11"/>
      <c r="AF644" s="10"/>
      <c r="AG644" s="11"/>
      <c r="AH644" s="10"/>
      <c r="AI644" s="11"/>
      <c r="AJ644" s="10"/>
      <c r="AK644" s="10"/>
      <c r="AL644" s="10"/>
      <c r="AM644" s="8"/>
      <c r="AN644" s="8"/>
      <c r="AO644" s="9"/>
      <c r="AP644" s="9"/>
      <c r="AQ644" s="9"/>
      <c r="AR644" s="8"/>
      <c r="AS644" s="8"/>
      <c r="AT644" s="8"/>
      <c r="AU644" s="8"/>
      <c r="AV644" s="8"/>
      <c r="AW644" s="8"/>
      <c r="AX644" s="8"/>
      <c r="AY644" s="8"/>
      <c r="AZ644" s="8"/>
    </row>
    <row r="645" spans="21:52" ht="16.899999999999999">
      <c r="U645" s="8"/>
      <c r="W645" s="10"/>
      <c r="X645" s="10"/>
      <c r="Z645" s="13"/>
      <c r="AA645" s="13"/>
      <c r="AB645" s="13"/>
      <c r="AC645" s="9"/>
      <c r="AD645" s="9"/>
      <c r="AE645" s="11"/>
      <c r="AF645" s="10"/>
      <c r="AG645" s="11"/>
      <c r="AH645" s="10"/>
      <c r="AI645" s="11"/>
      <c r="AJ645" s="10"/>
      <c r="AK645" s="10"/>
      <c r="AL645" s="10"/>
      <c r="AM645" s="8"/>
      <c r="AN645" s="8"/>
      <c r="AO645" s="9"/>
      <c r="AP645" s="9"/>
      <c r="AQ645" s="9"/>
      <c r="AR645" s="8"/>
      <c r="AS645" s="8"/>
      <c r="AT645" s="8"/>
      <c r="AU645" s="8"/>
      <c r="AV645" s="8"/>
      <c r="AW645" s="8"/>
      <c r="AX645" s="8"/>
      <c r="AY645" s="8"/>
      <c r="AZ645" s="8"/>
    </row>
    <row r="646" spans="21:52" ht="16.899999999999999">
      <c r="U646" s="8"/>
      <c r="W646" s="10"/>
      <c r="X646" s="10"/>
      <c r="Z646" s="13"/>
      <c r="AA646" s="13"/>
      <c r="AB646" s="13"/>
      <c r="AC646" s="9"/>
      <c r="AD646" s="9"/>
      <c r="AE646" s="11"/>
      <c r="AF646" s="10"/>
      <c r="AG646" s="11"/>
      <c r="AH646" s="10"/>
      <c r="AI646" s="11"/>
      <c r="AJ646" s="10"/>
      <c r="AK646" s="10"/>
      <c r="AL646" s="10"/>
      <c r="AM646" s="8"/>
      <c r="AN646" s="8"/>
      <c r="AO646" s="9"/>
      <c r="AP646" s="9"/>
      <c r="AQ646" s="9"/>
      <c r="AR646" s="8"/>
      <c r="AS646" s="8"/>
      <c r="AT646" s="8"/>
      <c r="AU646" s="8"/>
      <c r="AV646" s="8"/>
      <c r="AW646" s="8"/>
      <c r="AX646" s="8"/>
      <c r="AY646" s="8"/>
      <c r="AZ646" s="8"/>
    </row>
    <row r="647" spans="21:52" ht="16.899999999999999">
      <c r="U647" s="8"/>
      <c r="W647" s="10"/>
      <c r="X647" s="10"/>
      <c r="Z647" s="13"/>
      <c r="AA647" s="13"/>
      <c r="AB647" s="13"/>
      <c r="AC647" s="9"/>
      <c r="AD647" s="9"/>
      <c r="AE647" s="11"/>
      <c r="AF647" s="10"/>
      <c r="AG647" s="11"/>
      <c r="AH647" s="10"/>
      <c r="AI647" s="11"/>
      <c r="AJ647" s="10"/>
      <c r="AK647" s="10"/>
      <c r="AL647" s="10"/>
      <c r="AM647" s="8"/>
      <c r="AN647" s="8"/>
      <c r="AO647" s="9"/>
      <c r="AP647" s="9"/>
      <c r="AQ647" s="9"/>
      <c r="AR647" s="8"/>
      <c r="AS647" s="8"/>
      <c r="AT647" s="8"/>
      <c r="AU647" s="8"/>
      <c r="AV647" s="8"/>
      <c r="AW647" s="8"/>
      <c r="AX647" s="8"/>
      <c r="AY647" s="8"/>
      <c r="AZ647" s="8"/>
    </row>
    <row r="648" spans="21:52" ht="16.899999999999999">
      <c r="U648" s="8"/>
      <c r="W648" s="10"/>
      <c r="X648" s="10"/>
      <c r="Z648" s="13"/>
      <c r="AA648" s="13"/>
      <c r="AB648" s="13"/>
      <c r="AC648" s="9"/>
      <c r="AD648" s="9"/>
      <c r="AE648" s="11"/>
      <c r="AF648" s="10"/>
      <c r="AG648" s="11"/>
      <c r="AH648" s="10"/>
      <c r="AI648" s="11"/>
      <c r="AJ648" s="10"/>
      <c r="AK648" s="10"/>
      <c r="AL648" s="10"/>
      <c r="AM648" s="8"/>
      <c r="AN648" s="8"/>
      <c r="AO648" s="9"/>
      <c r="AP648" s="9"/>
      <c r="AQ648" s="9"/>
      <c r="AR648" s="8"/>
      <c r="AS648" s="8"/>
      <c r="AT648" s="8"/>
      <c r="AU648" s="8"/>
      <c r="AV648" s="8"/>
      <c r="AW648" s="8"/>
      <c r="AX648" s="8"/>
      <c r="AY648" s="8"/>
      <c r="AZ648" s="8"/>
    </row>
    <row r="649" spans="21:52" ht="16.899999999999999">
      <c r="U649" s="8"/>
      <c r="W649" s="10"/>
      <c r="X649" s="10"/>
      <c r="Z649" s="13"/>
      <c r="AA649" s="13"/>
      <c r="AB649" s="13"/>
      <c r="AC649" s="9"/>
      <c r="AD649" s="9"/>
      <c r="AE649" s="11"/>
      <c r="AF649" s="10"/>
      <c r="AG649" s="11"/>
      <c r="AH649" s="10"/>
      <c r="AI649" s="11"/>
      <c r="AJ649" s="10"/>
      <c r="AK649" s="10"/>
      <c r="AL649" s="10"/>
      <c r="AM649" s="8"/>
      <c r="AN649" s="8"/>
      <c r="AO649" s="9"/>
      <c r="AP649" s="9"/>
      <c r="AQ649" s="9"/>
      <c r="AR649" s="8"/>
      <c r="AS649" s="8"/>
      <c r="AT649" s="8"/>
      <c r="AU649" s="8"/>
      <c r="AV649" s="8"/>
      <c r="AW649" s="8"/>
      <c r="AX649" s="8"/>
      <c r="AY649" s="8"/>
      <c r="AZ649" s="8"/>
    </row>
    <row r="650" spans="21:52" ht="16.899999999999999">
      <c r="U650" s="8"/>
      <c r="W650" s="10"/>
      <c r="X650" s="10"/>
      <c r="Z650" s="13"/>
      <c r="AA650" s="13"/>
      <c r="AB650" s="13"/>
      <c r="AC650" s="9"/>
      <c r="AD650" s="9"/>
      <c r="AE650" s="11"/>
      <c r="AF650" s="10"/>
      <c r="AG650" s="11"/>
      <c r="AH650" s="10"/>
      <c r="AI650" s="11"/>
      <c r="AJ650" s="10"/>
      <c r="AK650" s="10"/>
      <c r="AL650" s="10"/>
      <c r="AM650" s="8"/>
      <c r="AN650" s="8"/>
      <c r="AO650" s="9"/>
      <c r="AP650" s="9"/>
      <c r="AQ650" s="9"/>
      <c r="AR650" s="8"/>
      <c r="AS650" s="8"/>
      <c r="AT650" s="8"/>
      <c r="AU650" s="8"/>
      <c r="AV650" s="8"/>
      <c r="AW650" s="8"/>
      <c r="AX650" s="8"/>
      <c r="AY650" s="8"/>
      <c r="AZ650" s="8"/>
    </row>
    <row r="651" spans="21:52" ht="16.899999999999999">
      <c r="U651" s="8"/>
      <c r="W651" s="10"/>
      <c r="X651" s="10"/>
      <c r="Z651" s="13"/>
      <c r="AA651" s="13"/>
      <c r="AB651" s="13"/>
      <c r="AC651" s="9"/>
      <c r="AD651" s="9"/>
      <c r="AE651" s="11"/>
      <c r="AF651" s="10"/>
      <c r="AG651" s="11"/>
      <c r="AH651" s="10"/>
      <c r="AI651" s="11"/>
      <c r="AJ651" s="10"/>
      <c r="AK651" s="10"/>
      <c r="AL651" s="10"/>
      <c r="AM651" s="8"/>
      <c r="AN651" s="8"/>
      <c r="AO651" s="9"/>
      <c r="AP651" s="9"/>
      <c r="AQ651" s="9"/>
      <c r="AR651" s="8"/>
      <c r="AS651" s="8"/>
      <c r="AT651" s="8"/>
      <c r="AU651" s="8"/>
      <c r="AV651" s="8"/>
      <c r="AW651" s="8"/>
      <c r="AX651" s="8"/>
      <c r="AY651" s="8"/>
      <c r="AZ651" s="8"/>
    </row>
    <row r="652" spans="21:52" ht="16.899999999999999">
      <c r="U652" s="8"/>
      <c r="W652" s="10"/>
      <c r="X652" s="10"/>
      <c r="Z652" s="13"/>
      <c r="AA652" s="13"/>
      <c r="AB652" s="13"/>
      <c r="AC652" s="9"/>
      <c r="AD652" s="9"/>
      <c r="AE652" s="11"/>
      <c r="AF652" s="10"/>
      <c r="AG652" s="11"/>
      <c r="AH652" s="10"/>
      <c r="AI652" s="11"/>
      <c r="AJ652" s="10"/>
      <c r="AK652" s="10"/>
      <c r="AL652" s="10"/>
      <c r="AM652" s="8"/>
      <c r="AN652" s="8"/>
      <c r="AO652" s="9"/>
      <c r="AP652" s="9"/>
      <c r="AQ652" s="9"/>
      <c r="AR652" s="8"/>
      <c r="AS652" s="8"/>
      <c r="AT652" s="8"/>
      <c r="AU652" s="8"/>
      <c r="AV652" s="8"/>
      <c r="AW652" s="8"/>
      <c r="AX652" s="8"/>
      <c r="AY652" s="8"/>
      <c r="AZ652" s="8"/>
    </row>
    <row r="653" spans="21:52" ht="16.899999999999999">
      <c r="U653" s="8"/>
      <c r="W653" s="10"/>
      <c r="X653" s="10"/>
      <c r="Z653" s="13"/>
      <c r="AA653" s="13"/>
      <c r="AB653" s="13"/>
      <c r="AC653" s="9"/>
      <c r="AD653" s="9"/>
      <c r="AE653" s="11"/>
      <c r="AF653" s="10"/>
      <c r="AG653" s="11"/>
      <c r="AH653" s="10"/>
      <c r="AI653" s="11"/>
      <c r="AJ653" s="10"/>
      <c r="AK653" s="10"/>
      <c r="AL653" s="10"/>
      <c r="AM653" s="8"/>
      <c r="AN653" s="8"/>
      <c r="AO653" s="9"/>
      <c r="AP653" s="9"/>
      <c r="AQ653" s="9"/>
      <c r="AR653" s="8"/>
      <c r="AS653" s="8"/>
      <c r="AT653" s="8"/>
      <c r="AU653" s="8"/>
      <c r="AV653" s="8"/>
      <c r="AW653" s="8"/>
      <c r="AX653" s="8"/>
      <c r="AY653" s="8"/>
      <c r="AZ653" s="8"/>
    </row>
    <row r="654" spans="21:52" ht="16.899999999999999">
      <c r="U654" s="8"/>
      <c r="W654" s="10"/>
      <c r="X654" s="10"/>
      <c r="Z654" s="13"/>
      <c r="AA654" s="13"/>
      <c r="AB654" s="13"/>
      <c r="AC654" s="9"/>
      <c r="AD654" s="9"/>
      <c r="AE654" s="11"/>
      <c r="AF654" s="10"/>
      <c r="AG654" s="11"/>
      <c r="AH654" s="10"/>
      <c r="AI654" s="11"/>
      <c r="AJ654" s="10"/>
      <c r="AK654" s="10"/>
      <c r="AL654" s="10"/>
      <c r="AM654" s="8"/>
      <c r="AN654" s="8"/>
      <c r="AO654" s="9"/>
      <c r="AP654" s="9"/>
      <c r="AQ654" s="9"/>
      <c r="AR654" s="8"/>
      <c r="AS654" s="8"/>
      <c r="AT654" s="8"/>
      <c r="AU654" s="8"/>
      <c r="AV654" s="8"/>
      <c r="AW654" s="8"/>
      <c r="AX654" s="8"/>
      <c r="AY654" s="8"/>
      <c r="AZ654" s="8"/>
    </row>
    <row r="655" spans="21:52" ht="16.899999999999999">
      <c r="U655" s="8"/>
      <c r="W655" s="10"/>
      <c r="X655" s="10"/>
      <c r="Z655" s="13"/>
      <c r="AA655" s="13"/>
      <c r="AB655" s="13"/>
      <c r="AC655" s="9"/>
      <c r="AD655" s="9"/>
      <c r="AE655" s="11"/>
      <c r="AF655" s="10"/>
      <c r="AG655" s="11"/>
      <c r="AH655" s="10"/>
      <c r="AI655" s="11"/>
      <c r="AJ655" s="10"/>
      <c r="AK655" s="10"/>
      <c r="AL655" s="10"/>
      <c r="AM655" s="8"/>
      <c r="AN655" s="8"/>
      <c r="AO655" s="9"/>
      <c r="AP655" s="9"/>
      <c r="AQ655" s="9"/>
      <c r="AR655" s="8"/>
      <c r="AS655" s="8"/>
      <c r="AT655" s="8"/>
      <c r="AU655" s="8"/>
      <c r="AV655" s="8"/>
      <c r="AW655" s="8"/>
      <c r="AX655" s="8"/>
      <c r="AY655" s="8"/>
      <c r="AZ655" s="8"/>
    </row>
    <row r="656" spans="21:52" ht="16.899999999999999">
      <c r="U656" s="8"/>
      <c r="W656" s="10"/>
      <c r="X656" s="10"/>
      <c r="Z656" s="13"/>
      <c r="AA656" s="13"/>
      <c r="AB656" s="13"/>
      <c r="AC656" s="9"/>
      <c r="AD656" s="9"/>
      <c r="AE656" s="11"/>
      <c r="AF656" s="10"/>
      <c r="AG656" s="11"/>
      <c r="AH656" s="10"/>
      <c r="AI656" s="11"/>
      <c r="AJ656" s="10"/>
      <c r="AK656" s="10"/>
      <c r="AL656" s="10"/>
      <c r="AM656" s="8"/>
      <c r="AN656" s="8"/>
      <c r="AO656" s="9"/>
      <c r="AP656" s="9"/>
      <c r="AQ656" s="9"/>
      <c r="AR656" s="8"/>
      <c r="AS656" s="8"/>
      <c r="AT656" s="8"/>
      <c r="AU656" s="8"/>
      <c r="AV656" s="8"/>
      <c r="AW656" s="8"/>
      <c r="AX656" s="8"/>
      <c r="AY656" s="8"/>
      <c r="AZ656" s="8"/>
    </row>
    <row r="657" spans="21:52" ht="16.899999999999999">
      <c r="U657" s="8"/>
      <c r="W657" s="10"/>
      <c r="X657" s="10"/>
      <c r="Z657" s="13"/>
      <c r="AA657" s="13"/>
      <c r="AB657" s="13"/>
      <c r="AC657" s="9"/>
      <c r="AD657" s="9"/>
      <c r="AE657" s="11"/>
      <c r="AF657" s="10"/>
      <c r="AG657" s="11"/>
      <c r="AH657" s="10"/>
      <c r="AI657" s="11"/>
      <c r="AJ657" s="10"/>
      <c r="AK657" s="10"/>
      <c r="AL657" s="10"/>
      <c r="AM657" s="8"/>
      <c r="AN657" s="8"/>
      <c r="AO657" s="9"/>
      <c r="AP657" s="9"/>
      <c r="AQ657" s="9"/>
      <c r="AR657" s="8"/>
      <c r="AS657" s="8"/>
      <c r="AT657" s="8"/>
      <c r="AU657" s="8"/>
      <c r="AV657" s="8"/>
      <c r="AW657" s="8"/>
      <c r="AX657" s="8"/>
      <c r="AY657" s="8"/>
      <c r="AZ657" s="8"/>
    </row>
    <row r="658" spans="21:52" ht="16.899999999999999">
      <c r="U658" s="8"/>
      <c r="W658" s="10"/>
      <c r="X658" s="10"/>
      <c r="Z658" s="13"/>
      <c r="AA658" s="13"/>
      <c r="AB658" s="13"/>
      <c r="AC658" s="9"/>
      <c r="AD658" s="9"/>
      <c r="AE658" s="11"/>
      <c r="AF658" s="10"/>
      <c r="AG658" s="11"/>
      <c r="AH658" s="10"/>
      <c r="AI658" s="11"/>
      <c r="AJ658" s="10"/>
      <c r="AK658" s="10"/>
      <c r="AL658" s="10"/>
      <c r="AM658" s="8"/>
      <c r="AN658" s="8"/>
      <c r="AO658" s="9"/>
      <c r="AP658" s="9"/>
      <c r="AQ658" s="9"/>
      <c r="AR658" s="8"/>
      <c r="AS658" s="8"/>
      <c r="AT658" s="8"/>
      <c r="AU658" s="8"/>
      <c r="AV658" s="8"/>
      <c r="AW658" s="8"/>
      <c r="AX658" s="8"/>
      <c r="AY658" s="8"/>
      <c r="AZ658" s="8"/>
    </row>
    <row r="659" spans="21:52" ht="16.899999999999999">
      <c r="U659" s="8"/>
      <c r="W659" s="10"/>
      <c r="X659" s="10"/>
      <c r="Z659" s="13"/>
      <c r="AA659" s="13"/>
      <c r="AB659" s="13"/>
      <c r="AC659" s="9"/>
      <c r="AD659" s="9"/>
      <c r="AE659" s="11"/>
      <c r="AF659" s="10"/>
      <c r="AG659" s="11"/>
      <c r="AH659" s="10"/>
      <c r="AI659" s="11"/>
      <c r="AJ659" s="10"/>
      <c r="AK659" s="10"/>
      <c r="AL659" s="10"/>
      <c r="AM659" s="8"/>
      <c r="AN659" s="8"/>
      <c r="AO659" s="9"/>
      <c r="AP659" s="9"/>
      <c r="AQ659" s="9"/>
      <c r="AR659" s="8"/>
      <c r="AS659" s="8"/>
      <c r="AT659" s="8"/>
      <c r="AU659" s="8"/>
      <c r="AV659" s="8"/>
      <c r="AW659" s="8"/>
      <c r="AX659" s="8"/>
      <c r="AY659" s="8"/>
      <c r="AZ659" s="8"/>
    </row>
    <row r="660" spans="21:52" ht="16.899999999999999">
      <c r="U660" s="8"/>
      <c r="W660" s="10"/>
      <c r="X660" s="10"/>
      <c r="Z660" s="13"/>
      <c r="AA660" s="13"/>
      <c r="AB660" s="13"/>
      <c r="AC660" s="9"/>
      <c r="AD660" s="9"/>
      <c r="AE660" s="11"/>
      <c r="AF660" s="10"/>
      <c r="AG660" s="11"/>
      <c r="AH660" s="10"/>
      <c r="AI660" s="11"/>
      <c r="AJ660" s="10"/>
      <c r="AK660" s="10"/>
      <c r="AL660" s="10"/>
      <c r="AM660" s="8"/>
      <c r="AN660" s="8"/>
      <c r="AO660" s="9"/>
      <c r="AP660" s="9"/>
      <c r="AQ660" s="9"/>
      <c r="AR660" s="8"/>
      <c r="AS660" s="8"/>
      <c r="AT660" s="8"/>
      <c r="AU660" s="8"/>
      <c r="AV660" s="8"/>
      <c r="AW660" s="8"/>
      <c r="AX660" s="8"/>
      <c r="AY660" s="8"/>
      <c r="AZ660" s="8"/>
    </row>
    <row r="661" spans="21:52" ht="16.899999999999999">
      <c r="U661" s="8"/>
      <c r="W661" s="10"/>
      <c r="X661" s="10"/>
      <c r="Z661" s="13"/>
      <c r="AA661" s="13"/>
      <c r="AB661" s="13"/>
      <c r="AC661" s="9"/>
      <c r="AD661" s="9"/>
      <c r="AE661" s="11"/>
      <c r="AF661" s="10"/>
      <c r="AG661" s="11"/>
      <c r="AH661" s="10"/>
      <c r="AI661" s="11"/>
      <c r="AJ661" s="10"/>
      <c r="AK661" s="10"/>
      <c r="AL661" s="10"/>
      <c r="AM661" s="8"/>
      <c r="AN661" s="8"/>
      <c r="AO661" s="9"/>
      <c r="AP661" s="9"/>
      <c r="AQ661" s="9"/>
      <c r="AR661" s="8"/>
      <c r="AS661" s="8"/>
      <c r="AT661" s="8"/>
      <c r="AU661" s="8"/>
      <c r="AV661" s="8"/>
      <c r="AW661" s="8"/>
      <c r="AX661" s="8"/>
      <c r="AY661" s="8"/>
      <c r="AZ661" s="8"/>
    </row>
    <row r="662" spans="21:52" ht="16.899999999999999">
      <c r="U662" s="8"/>
      <c r="W662" s="10"/>
      <c r="X662" s="10"/>
      <c r="Z662" s="13"/>
      <c r="AA662" s="13"/>
      <c r="AB662" s="13"/>
      <c r="AC662" s="9"/>
      <c r="AD662" s="9"/>
      <c r="AE662" s="11"/>
      <c r="AF662" s="10"/>
      <c r="AG662" s="11"/>
      <c r="AH662" s="10"/>
      <c r="AI662" s="11"/>
      <c r="AJ662" s="10"/>
      <c r="AK662" s="10"/>
      <c r="AL662" s="10"/>
      <c r="AM662" s="8"/>
      <c r="AN662" s="8"/>
      <c r="AO662" s="9"/>
      <c r="AP662" s="9"/>
      <c r="AQ662" s="9"/>
      <c r="AR662" s="8"/>
      <c r="AS662" s="8"/>
      <c r="AT662" s="8"/>
      <c r="AU662" s="8"/>
      <c r="AV662" s="8"/>
      <c r="AW662" s="8"/>
      <c r="AX662" s="8"/>
      <c r="AY662" s="8"/>
      <c r="AZ662" s="8"/>
    </row>
    <row r="663" spans="21:52" ht="16.899999999999999">
      <c r="U663" s="8"/>
      <c r="W663" s="10"/>
      <c r="X663" s="10"/>
      <c r="Z663" s="13"/>
      <c r="AA663" s="13"/>
      <c r="AB663" s="13"/>
      <c r="AC663" s="9"/>
      <c r="AD663" s="9"/>
      <c r="AE663" s="11"/>
      <c r="AF663" s="10"/>
      <c r="AG663" s="11"/>
      <c r="AH663" s="10"/>
      <c r="AI663" s="11"/>
      <c r="AJ663" s="10"/>
      <c r="AK663" s="10"/>
      <c r="AL663" s="10"/>
      <c r="AM663" s="8"/>
      <c r="AN663" s="8"/>
      <c r="AO663" s="9"/>
      <c r="AP663" s="9"/>
      <c r="AQ663" s="9"/>
      <c r="AR663" s="8"/>
      <c r="AS663" s="8"/>
      <c r="AT663" s="8"/>
      <c r="AU663" s="8"/>
      <c r="AV663" s="8"/>
      <c r="AW663" s="8"/>
      <c r="AX663" s="8"/>
      <c r="AY663" s="8"/>
      <c r="AZ663" s="8"/>
    </row>
    <row r="664" spans="21:52" ht="16.899999999999999">
      <c r="U664" s="8"/>
      <c r="W664" s="10"/>
      <c r="X664" s="10"/>
      <c r="Z664" s="13"/>
      <c r="AA664" s="13"/>
      <c r="AB664" s="13"/>
      <c r="AC664" s="9"/>
      <c r="AD664" s="9"/>
      <c r="AE664" s="11"/>
      <c r="AF664" s="10"/>
      <c r="AG664" s="11"/>
      <c r="AH664" s="10"/>
      <c r="AI664" s="11"/>
      <c r="AJ664" s="10"/>
      <c r="AK664" s="10"/>
      <c r="AL664" s="10"/>
      <c r="AM664" s="8"/>
      <c r="AN664" s="8"/>
      <c r="AO664" s="9"/>
      <c r="AP664" s="9"/>
      <c r="AQ664" s="9"/>
      <c r="AR664" s="8"/>
      <c r="AS664" s="8"/>
      <c r="AT664" s="8"/>
      <c r="AU664" s="8"/>
      <c r="AV664" s="8"/>
      <c r="AW664" s="8"/>
      <c r="AX664" s="8"/>
      <c r="AY664" s="8"/>
      <c r="AZ664" s="8"/>
    </row>
    <row r="665" spans="21:52" ht="16.899999999999999">
      <c r="U665" s="8"/>
      <c r="W665" s="10"/>
      <c r="X665" s="10"/>
      <c r="Z665" s="13"/>
      <c r="AA665" s="13"/>
      <c r="AB665" s="13"/>
      <c r="AC665" s="9"/>
      <c r="AD665" s="9"/>
      <c r="AE665" s="11"/>
      <c r="AF665" s="10"/>
      <c r="AG665" s="11"/>
      <c r="AH665" s="10"/>
      <c r="AI665" s="11"/>
      <c r="AJ665" s="10"/>
      <c r="AK665" s="10"/>
      <c r="AL665" s="10"/>
      <c r="AM665" s="8"/>
      <c r="AN665" s="8"/>
      <c r="AO665" s="9"/>
      <c r="AP665" s="9"/>
      <c r="AQ665" s="9"/>
      <c r="AR665" s="8"/>
      <c r="AS665" s="8"/>
      <c r="AT665" s="8"/>
      <c r="AU665" s="8"/>
      <c r="AV665" s="8"/>
      <c r="AW665" s="8"/>
      <c r="AX665" s="8"/>
      <c r="AY665" s="8"/>
      <c r="AZ665" s="8"/>
    </row>
    <row r="666" spans="21:52" ht="16.899999999999999">
      <c r="U666" s="8"/>
      <c r="W666" s="10"/>
      <c r="X666" s="10"/>
      <c r="Z666" s="13"/>
      <c r="AA666" s="13"/>
      <c r="AB666" s="13"/>
      <c r="AC666" s="9"/>
      <c r="AD666" s="9"/>
      <c r="AE666" s="11"/>
      <c r="AF666" s="10"/>
      <c r="AG666" s="11"/>
      <c r="AH666" s="10"/>
      <c r="AI666" s="11"/>
      <c r="AJ666" s="10"/>
      <c r="AK666" s="10"/>
      <c r="AL666" s="10"/>
      <c r="AM666" s="8"/>
      <c r="AN666" s="8"/>
      <c r="AO666" s="9"/>
      <c r="AP666" s="9"/>
      <c r="AQ666" s="9"/>
      <c r="AR666" s="8"/>
      <c r="AS666" s="8"/>
      <c r="AT666" s="8"/>
      <c r="AU666" s="8"/>
      <c r="AV666" s="8"/>
      <c r="AW666" s="8"/>
      <c r="AX666" s="8"/>
      <c r="AY666" s="8"/>
      <c r="AZ666" s="8"/>
    </row>
    <row r="667" spans="21:52" ht="16.899999999999999">
      <c r="U667" s="8"/>
      <c r="W667" s="10"/>
      <c r="X667" s="10"/>
      <c r="Z667" s="13"/>
      <c r="AA667" s="13"/>
      <c r="AB667" s="13"/>
      <c r="AC667" s="9"/>
      <c r="AD667" s="9"/>
      <c r="AE667" s="11"/>
      <c r="AF667" s="10"/>
      <c r="AG667" s="11"/>
      <c r="AH667" s="10"/>
      <c r="AI667" s="11"/>
      <c r="AJ667" s="10"/>
      <c r="AK667" s="10"/>
      <c r="AL667" s="10"/>
      <c r="AM667" s="8"/>
      <c r="AN667" s="8"/>
      <c r="AO667" s="9"/>
      <c r="AP667" s="9"/>
      <c r="AQ667" s="9"/>
      <c r="AR667" s="8"/>
      <c r="AS667" s="8"/>
      <c r="AT667" s="8"/>
      <c r="AU667" s="8"/>
      <c r="AV667" s="8"/>
      <c r="AW667" s="8"/>
      <c r="AX667" s="8"/>
      <c r="AY667" s="8"/>
      <c r="AZ667" s="8"/>
    </row>
    <row r="668" spans="21:52" ht="16.899999999999999">
      <c r="U668" s="8"/>
      <c r="W668" s="10"/>
      <c r="X668" s="10"/>
      <c r="Z668" s="13"/>
      <c r="AA668" s="13"/>
      <c r="AB668" s="13"/>
      <c r="AC668" s="9"/>
      <c r="AD668" s="9"/>
      <c r="AE668" s="11"/>
      <c r="AF668" s="10"/>
      <c r="AG668" s="11"/>
      <c r="AH668" s="10"/>
      <c r="AI668" s="11"/>
      <c r="AJ668" s="10"/>
      <c r="AK668" s="10"/>
      <c r="AL668" s="10"/>
      <c r="AM668" s="8"/>
      <c r="AN668" s="8"/>
      <c r="AO668" s="9"/>
      <c r="AP668" s="9"/>
      <c r="AQ668" s="9"/>
      <c r="AR668" s="8"/>
      <c r="AS668" s="8"/>
      <c r="AT668" s="8"/>
      <c r="AU668" s="8"/>
      <c r="AV668" s="8"/>
      <c r="AW668" s="8"/>
      <c r="AX668" s="8"/>
      <c r="AY668" s="8"/>
      <c r="AZ668" s="8"/>
    </row>
    <row r="669" spans="21:52" ht="16.899999999999999">
      <c r="U669" s="8"/>
      <c r="W669" s="10"/>
      <c r="X669" s="10"/>
      <c r="Z669" s="13"/>
      <c r="AA669" s="13"/>
      <c r="AB669" s="13"/>
      <c r="AC669" s="9"/>
      <c r="AD669" s="9"/>
      <c r="AE669" s="11"/>
      <c r="AF669" s="10"/>
      <c r="AG669" s="11"/>
      <c r="AH669" s="10"/>
      <c r="AI669" s="11"/>
      <c r="AJ669" s="10"/>
      <c r="AK669" s="10"/>
      <c r="AL669" s="10"/>
      <c r="AM669" s="8"/>
      <c r="AN669" s="8"/>
      <c r="AO669" s="9"/>
      <c r="AP669" s="9"/>
      <c r="AQ669" s="9"/>
      <c r="AR669" s="8"/>
      <c r="AS669" s="8"/>
      <c r="AT669" s="8"/>
      <c r="AU669" s="8"/>
      <c r="AV669" s="8"/>
      <c r="AW669" s="8"/>
      <c r="AX669" s="8"/>
      <c r="AY669" s="8"/>
      <c r="AZ669" s="8"/>
    </row>
    <row r="670" spans="21:52" ht="16.899999999999999">
      <c r="U670" s="8"/>
      <c r="W670" s="10"/>
      <c r="X670" s="10"/>
      <c r="Z670" s="13"/>
      <c r="AA670" s="13"/>
      <c r="AB670" s="13"/>
      <c r="AC670" s="9"/>
      <c r="AD670" s="9"/>
      <c r="AE670" s="11"/>
      <c r="AF670" s="10"/>
      <c r="AG670" s="11"/>
      <c r="AH670" s="10"/>
      <c r="AI670" s="11"/>
      <c r="AJ670" s="10"/>
      <c r="AK670" s="10"/>
      <c r="AL670" s="10"/>
      <c r="AM670" s="8"/>
      <c r="AN670" s="8"/>
      <c r="AO670" s="9"/>
      <c r="AP670" s="9"/>
      <c r="AQ670" s="9"/>
      <c r="AR670" s="8"/>
      <c r="AS670" s="8"/>
      <c r="AT670" s="8"/>
      <c r="AU670" s="8"/>
      <c r="AV670" s="8"/>
      <c r="AW670" s="8"/>
      <c r="AX670" s="8"/>
      <c r="AY670" s="8"/>
      <c r="AZ670" s="8"/>
    </row>
    <row r="671" spans="21:52" ht="16.899999999999999">
      <c r="U671" s="8"/>
      <c r="W671" s="10"/>
      <c r="X671" s="10"/>
      <c r="Z671" s="13"/>
      <c r="AA671" s="13"/>
      <c r="AB671" s="13"/>
      <c r="AC671" s="9"/>
      <c r="AD671" s="9"/>
      <c r="AE671" s="11"/>
      <c r="AF671" s="10"/>
      <c r="AG671" s="11"/>
      <c r="AH671" s="10"/>
      <c r="AI671" s="11"/>
      <c r="AJ671" s="10"/>
      <c r="AK671" s="10"/>
      <c r="AL671" s="10"/>
      <c r="AM671" s="8"/>
      <c r="AN671" s="8"/>
      <c r="AO671" s="9"/>
      <c r="AP671" s="9"/>
      <c r="AQ671" s="9"/>
      <c r="AR671" s="8"/>
      <c r="AS671" s="8"/>
      <c r="AT671" s="8"/>
      <c r="AU671" s="8"/>
      <c r="AV671" s="8"/>
      <c r="AW671" s="8"/>
      <c r="AX671" s="8"/>
      <c r="AY671" s="8"/>
      <c r="AZ671" s="8"/>
    </row>
    <row r="672" spans="21:52" ht="16.899999999999999">
      <c r="U672" s="8"/>
      <c r="W672" s="10"/>
      <c r="X672" s="10"/>
      <c r="Z672" s="13"/>
      <c r="AA672" s="13"/>
      <c r="AB672" s="13"/>
      <c r="AC672" s="9"/>
      <c r="AD672" s="9"/>
      <c r="AE672" s="11"/>
      <c r="AF672" s="10"/>
      <c r="AG672" s="11"/>
      <c r="AH672" s="10"/>
      <c r="AI672" s="11"/>
      <c r="AJ672" s="10"/>
      <c r="AK672" s="10"/>
      <c r="AL672" s="10"/>
      <c r="AM672" s="8"/>
      <c r="AN672" s="8"/>
      <c r="AO672" s="9"/>
      <c r="AP672" s="9"/>
      <c r="AQ672" s="9"/>
      <c r="AR672" s="8"/>
      <c r="AS672" s="8"/>
      <c r="AT672" s="8"/>
      <c r="AU672" s="8"/>
      <c r="AV672" s="8"/>
      <c r="AW672" s="8"/>
      <c r="AX672" s="8"/>
      <c r="AY672" s="8"/>
      <c r="AZ672" s="8"/>
    </row>
    <row r="673" spans="21:52" ht="16.899999999999999">
      <c r="U673" s="8"/>
      <c r="W673" s="10"/>
      <c r="X673" s="10"/>
      <c r="Z673" s="13"/>
      <c r="AA673" s="13"/>
      <c r="AB673" s="13"/>
      <c r="AC673" s="9"/>
      <c r="AD673" s="9"/>
      <c r="AE673" s="11"/>
      <c r="AF673" s="10"/>
      <c r="AG673" s="11"/>
      <c r="AH673" s="10"/>
      <c r="AI673" s="11"/>
      <c r="AJ673" s="10"/>
      <c r="AK673" s="10"/>
      <c r="AL673" s="10"/>
      <c r="AM673" s="8"/>
      <c r="AN673" s="8"/>
      <c r="AO673" s="9"/>
      <c r="AP673" s="9"/>
      <c r="AQ673" s="9"/>
      <c r="AR673" s="8"/>
      <c r="AS673" s="8"/>
      <c r="AT673" s="8"/>
      <c r="AU673" s="8"/>
      <c r="AV673" s="8"/>
      <c r="AW673" s="8"/>
      <c r="AX673" s="8"/>
      <c r="AY673" s="8"/>
      <c r="AZ673" s="8"/>
    </row>
    <row r="674" spans="21:52" ht="16.899999999999999">
      <c r="U674" s="8"/>
      <c r="W674" s="10"/>
      <c r="X674" s="10"/>
      <c r="Z674" s="13"/>
      <c r="AA674" s="13"/>
      <c r="AB674" s="13"/>
      <c r="AC674" s="9"/>
      <c r="AD674" s="9"/>
      <c r="AE674" s="11"/>
      <c r="AF674" s="10"/>
      <c r="AG674" s="11"/>
      <c r="AH674" s="10"/>
      <c r="AI674" s="11"/>
      <c r="AJ674" s="10"/>
      <c r="AK674" s="10"/>
      <c r="AL674" s="10"/>
      <c r="AM674" s="8"/>
      <c r="AN674" s="8"/>
      <c r="AO674" s="9"/>
      <c r="AP674" s="9"/>
      <c r="AQ674" s="9"/>
      <c r="AR674" s="8"/>
      <c r="AS674" s="8"/>
      <c r="AT674" s="8"/>
      <c r="AU674" s="8"/>
      <c r="AV674" s="8"/>
      <c r="AW674" s="8"/>
      <c r="AX674" s="8"/>
      <c r="AY674" s="8"/>
      <c r="AZ674" s="8"/>
    </row>
    <row r="675" spans="21:52" ht="16.899999999999999">
      <c r="U675" s="8"/>
      <c r="W675" s="10"/>
      <c r="X675" s="10"/>
      <c r="Z675" s="13"/>
      <c r="AA675" s="13"/>
      <c r="AB675" s="13"/>
      <c r="AC675" s="9"/>
      <c r="AD675" s="9"/>
      <c r="AE675" s="11"/>
      <c r="AF675" s="10"/>
      <c r="AG675" s="11"/>
      <c r="AH675" s="10"/>
      <c r="AI675" s="11"/>
      <c r="AJ675" s="10"/>
      <c r="AK675" s="10"/>
      <c r="AL675" s="10"/>
      <c r="AM675" s="8"/>
      <c r="AN675" s="8"/>
      <c r="AO675" s="9"/>
      <c r="AP675" s="9"/>
      <c r="AQ675" s="9"/>
      <c r="AR675" s="8"/>
      <c r="AS675" s="8"/>
      <c r="AT675" s="8"/>
      <c r="AU675" s="8"/>
      <c r="AV675" s="8"/>
      <c r="AW675" s="8"/>
      <c r="AX675" s="8"/>
      <c r="AY675" s="8"/>
      <c r="AZ675" s="8"/>
    </row>
    <row r="676" spans="21:52" ht="16.899999999999999">
      <c r="U676" s="8"/>
      <c r="W676" s="10"/>
      <c r="X676" s="10"/>
      <c r="Z676" s="13"/>
      <c r="AA676" s="13"/>
      <c r="AB676" s="13"/>
      <c r="AC676" s="9"/>
      <c r="AD676" s="9"/>
      <c r="AE676" s="11"/>
      <c r="AF676" s="10"/>
      <c r="AG676" s="11"/>
      <c r="AH676" s="10"/>
      <c r="AI676" s="11"/>
      <c r="AJ676" s="10"/>
      <c r="AK676" s="10"/>
      <c r="AL676" s="10"/>
      <c r="AM676" s="8"/>
      <c r="AN676" s="8"/>
      <c r="AO676" s="9"/>
      <c r="AP676" s="9"/>
      <c r="AQ676" s="9"/>
      <c r="AR676" s="8"/>
      <c r="AS676" s="8"/>
      <c r="AT676" s="8"/>
      <c r="AU676" s="8"/>
      <c r="AV676" s="8"/>
      <c r="AW676" s="8"/>
      <c r="AX676" s="8"/>
      <c r="AY676" s="8"/>
      <c r="AZ676" s="8"/>
    </row>
    <row r="677" spans="21:52" ht="16.899999999999999">
      <c r="U677" s="8"/>
      <c r="W677" s="10"/>
      <c r="X677" s="10"/>
      <c r="Z677" s="13"/>
      <c r="AA677" s="13"/>
      <c r="AB677" s="13"/>
      <c r="AC677" s="9"/>
      <c r="AD677" s="9"/>
      <c r="AE677" s="11"/>
      <c r="AF677" s="10"/>
      <c r="AG677" s="11"/>
      <c r="AH677" s="10"/>
      <c r="AI677" s="11"/>
      <c r="AJ677" s="10"/>
      <c r="AK677" s="10"/>
      <c r="AL677" s="10"/>
      <c r="AM677" s="8"/>
      <c r="AN677" s="8"/>
      <c r="AO677" s="9"/>
      <c r="AP677" s="9"/>
      <c r="AQ677" s="9"/>
      <c r="AR677" s="8"/>
      <c r="AS677" s="8"/>
      <c r="AT677" s="8"/>
      <c r="AU677" s="8"/>
      <c r="AV677" s="8"/>
      <c r="AW677" s="8"/>
      <c r="AX677" s="8"/>
      <c r="AY677" s="8"/>
      <c r="AZ677" s="8"/>
    </row>
    <row r="678" spans="21:52" ht="16.899999999999999">
      <c r="U678" s="8"/>
      <c r="W678" s="10"/>
      <c r="X678" s="10"/>
      <c r="Z678" s="13"/>
      <c r="AA678" s="13"/>
      <c r="AB678" s="13"/>
      <c r="AC678" s="9"/>
      <c r="AD678" s="9"/>
      <c r="AE678" s="11"/>
      <c r="AF678" s="10"/>
      <c r="AG678" s="11"/>
      <c r="AH678" s="10"/>
      <c r="AI678" s="11"/>
      <c r="AJ678" s="10"/>
      <c r="AK678" s="10"/>
      <c r="AL678" s="10"/>
      <c r="AM678" s="8"/>
      <c r="AN678" s="8"/>
      <c r="AO678" s="9"/>
      <c r="AP678" s="9"/>
      <c r="AQ678" s="9"/>
      <c r="AR678" s="8"/>
      <c r="AS678" s="8"/>
      <c r="AT678" s="8"/>
      <c r="AU678" s="8"/>
      <c r="AV678" s="8"/>
      <c r="AW678" s="8"/>
      <c r="AX678" s="8"/>
      <c r="AY678" s="8"/>
      <c r="AZ678" s="8"/>
    </row>
    <row r="679" spans="21:52" ht="16.899999999999999">
      <c r="U679" s="8"/>
      <c r="W679" s="10"/>
      <c r="X679" s="10"/>
      <c r="Z679" s="13"/>
      <c r="AA679" s="13"/>
      <c r="AB679" s="13"/>
      <c r="AC679" s="9"/>
      <c r="AD679" s="9"/>
      <c r="AE679" s="11"/>
      <c r="AF679" s="10"/>
      <c r="AG679" s="11"/>
      <c r="AH679" s="10"/>
      <c r="AI679" s="11"/>
      <c r="AJ679" s="10"/>
      <c r="AK679" s="10"/>
      <c r="AL679" s="10"/>
      <c r="AM679" s="8"/>
      <c r="AN679" s="8"/>
      <c r="AO679" s="9"/>
      <c r="AP679" s="9"/>
      <c r="AQ679" s="9"/>
      <c r="AR679" s="8"/>
      <c r="AS679" s="8"/>
      <c r="AT679" s="8"/>
      <c r="AU679" s="8"/>
      <c r="AV679" s="8"/>
      <c r="AW679" s="8"/>
      <c r="AX679" s="8"/>
      <c r="AY679" s="8"/>
      <c r="AZ679" s="8"/>
    </row>
    <row r="680" spans="21:52" ht="16.899999999999999">
      <c r="U680" s="8"/>
      <c r="W680" s="10"/>
      <c r="X680" s="10"/>
      <c r="Z680" s="13"/>
      <c r="AA680" s="13"/>
      <c r="AB680" s="13"/>
      <c r="AC680" s="9"/>
      <c r="AD680" s="9"/>
      <c r="AE680" s="11"/>
      <c r="AF680" s="10"/>
      <c r="AG680" s="11"/>
      <c r="AH680" s="10"/>
      <c r="AI680" s="11"/>
      <c r="AJ680" s="10"/>
      <c r="AK680" s="10"/>
      <c r="AL680" s="10"/>
      <c r="AM680" s="8"/>
      <c r="AN680" s="8"/>
      <c r="AO680" s="9"/>
      <c r="AP680" s="9"/>
      <c r="AQ680" s="9"/>
      <c r="AR680" s="8"/>
      <c r="AS680" s="8"/>
      <c r="AT680" s="8"/>
      <c r="AU680" s="8"/>
      <c r="AV680" s="8"/>
      <c r="AW680" s="8"/>
      <c r="AX680" s="8"/>
      <c r="AY680" s="8"/>
      <c r="AZ680" s="8"/>
    </row>
    <row r="681" spans="21:52" ht="16.899999999999999">
      <c r="U681" s="8"/>
      <c r="W681" s="10"/>
      <c r="X681" s="10"/>
      <c r="Z681" s="13"/>
      <c r="AA681" s="13"/>
      <c r="AB681" s="13"/>
      <c r="AC681" s="9"/>
      <c r="AD681" s="9"/>
      <c r="AE681" s="11"/>
      <c r="AF681" s="10"/>
      <c r="AG681" s="11"/>
      <c r="AH681" s="10"/>
      <c r="AI681" s="11"/>
      <c r="AJ681" s="10"/>
      <c r="AK681" s="10"/>
      <c r="AL681" s="10"/>
      <c r="AM681" s="8"/>
      <c r="AN681" s="8"/>
      <c r="AO681" s="9"/>
      <c r="AP681" s="9"/>
      <c r="AQ681" s="9"/>
      <c r="AR681" s="8"/>
      <c r="AS681" s="8"/>
      <c r="AT681" s="8"/>
      <c r="AU681" s="8"/>
      <c r="AV681" s="8"/>
      <c r="AW681" s="8"/>
      <c r="AX681" s="8"/>
      <c r="AY681" s="8"/>
      <c r="AZ681" s="8"/>
    </row>
    <row r="682" spans="21:52" ht="16.899999999999999">
      <c r="U682" s="8"/>
      <c r="W682" s="10"/>
      <c r="X682" s="10"/>
      <c r="Z682" s="13"/>
      <c r="AA682" s="13"/>
      <c r="AB682" s="13"/>
      <c r="AC682" s="9"/>
      <c r="AD682" s="9"/>
      <c r="AE682" s="11"/>
      <c r="AF682" s="10"/>
      <c r="AG682" s="11"/>
      <c r="AH682" s="10"/>
      <c r="AI682" s="11"/>
      <c r="AJ682" s="10"/>
      <c r="AK682" s="10"/>
      <c r="AL682" s="10"/>
      <c r="AM682" s="8"/>
      <c r="AN682" s="8"/>
      <c r="AO682" s="9"/>
      <c r="AP682" s="9"/>
      <c r="AQ682" s="9"/>
      <c r="AR682" s="8"/>
      <c r="AS682" s="8"/>
      <c r="AT682" s="8"/>
      <c r="AU682" s="8"/>
      <c r="AV682" s="8"/>
      <c r="AW682" s="8"/>
      <c r="AX682" s="8"/>
      <c r="AY682" s="8"/>
      <c r="AZ682" s="8"/>
    </row>
    <row r="683" spans="21:52" ht="16.899999999999999">
      <c r="U683" s="8"/>
      <c r="W683" s="10"/>
      <c r="X683" s="10"/>
      <c r="Z683" s="13"/>
      <c r="AA683" s="13"/>
      <c r="AB683" s="13"/>
      <c r="AC683" s="9"/>
      <c r="AD683" s="9"/>
      <c r="AE683" s="11"/>
      <c r="AF683" s="10"/>
      <c r="AG683" s="11"/>
      <c r="AH683" s="10"/>
      <c r="AI683" s="11"/>
      <c r="AJ683" s="10"/>
      <c r="AK683" s="10"/>
      <c r="AL683" s="10"/>
      <c r="AM683" s="8"/>
      <c r="AN683" s="8"/>
      <c r="AO683" s="9"/>
      <c r="AP683" s="9"/>
      <c r="AQ683" s="9"/>
      <c r="AR683" s="8"/>
      <c r="AS683" s="8"/>
      <c r="AT683" s="8"/>
      <c r="AU683" s="8"/>
      <c r="AV683" s="8"/>
      <c r="AW683" s="8"/>
      <c r="AX683" s="8"/>
      <c r="AY683" s="8"/>
      <c r="AZ683" s="8"/>
    </row>
    <row r="684" spans="21:52" ht="16.899999999999999">
      <c r="U684" s="8"/>
      <c r="W684" s="10"/>
      <c r="X684" s="10"/>
      <c r="Z684" s="13"/>
      <c r="AA684" s="13"/>
      <c r="AB684" s="13"/>
      <c r="AC684" s="9"/>
      <c r="AD684" s="9"/>
      <c r="AE684" s="11"/>
      <c r="AF684" s="10"/>
      <c r="AG684" s="11"/>
      <c r="AH684" s="10"/>
      <c r="AI684" s="11"/>
      <c r="AJ684" s="10"/>
      <c r="AK684" s="10"/>
      <c r="AL684" s="10"/>
      <c r="AM684" s="8"/>
      <c r="AN684" s="8"/>
      <c r="AO684" s="9"/>
      <c r="AP684" s="9"/>
      <c r="AQ684" s="9"/>
      <c r="AR684" s="8"/>
      <c r="AS684" s="8"/>
      <c r="AT684" s="8"/>
      <c r="AU684" s="8"/>
      <c r="AV684" s="8"/>
      <c r="AW684" s="8"/>
      <c r="AX684" s="8"/>
      <c r="AY684" s="8"/>
      <c r="AZ684" s="8"/>
    </row>
    <row r="685" spans="21:52" ht="16.899999999999999">
      <c r="U685" s="8"/>
      <c r="W685" s="10"/>
      <c r="X685" s="10"/>
      <c r="Z685" s="13"/>
      <c r="AA685" s="13"/>
      <c r="AB685" s="13"/>
      <c r="AC685" s="9"/>
      <c r="AD685" s="9"/>
      <c r="AE685" s="11"/>
      <c r="AF685" s="10"/>
      <c r="AG685" s="11"/>
      <c r="AH685" s="10"/>
      <c r="AI685" s="11"/>
      <c r="AJ685" s="10"/>
      <c r="AK685" s="10"/>
      <c r="AL685" s="10"/>
      <c r="AM685" s="8"/>
      <c r="AN685" s="8"/>
      <c r="AO685" s="9"/>
      <c r="AP685" s="9"/>
      <c r="AQ685" s="9"/>
      <c r="AR685" s="8"/>
      <c r="AS685" s="8"/>
      <c r="AT685" s="8"/>
      <c r="AU685" s="8"/>
      <c r="AV685" s="8"/>
      <c r="AW685" s="8"/>
      <c r="AX685" s="8"/>
      <c r="AY685" s="8"/>
      <c r="AZ685" s="8"/>
    </row>
    <row r="686" spans="21:52" ht="16.899999999999999">
      <c r="U686" s="8"/>
      <c r="W686" s="10"/>
      <c r="X686" s="10"/>
      <c r="Z686" s="13"/>
      <c r="AA686" s="13"/>
      <c r="AB686" s="13"/>
      <c r="AC686" s="9"/>
      <c r="AD686" s="9"/>
      <c r="AE686" s="11"/>
      <c r="AF686" s="10"/>
      <c r="AG686" s="11"/>
      <c r="AH686" s="10"/>
      <c r="AI686" s="11"/>
      <c r="AJ686" s="10"/>
      <c r="AK686" s="10"/>
      <c r="AL686" s="10"/>
      <c r="AM686" s="8"/>
      <c r="AN686" s="8"/>
      <c r="AO686" s="9"/>
      <c r="AP686" s="9"/>
      <c r="AQ686" s="9"/>
      <c r="AR686" s="8"/>
      <c r="AS686" s="8"/>
      <c r="AT686" s="8"/>
      <c r="AU686" s="8"/>
      <c r="AV686" s="8"/>
      <c r="AW686" s="8"/>
      <c r="AX686" s="8"/>
      <c r="AY686" s="8"/>
      <c r="AZ686" s="8"/>
    </row>
    <row r="687" spans="21:52" ht="16.899999999999999">
      <c r="U687" s="8"/>
      <c r="W687" s="10"/>
      <c r="X687" s="10"/>
      <c r="Z687" s="13"/>
      <c r="AA687" s="13"/>
      <c r="AB687" s="13"/>
      <c r="AC687" s="9"/>
      <c r="AD687" s="9"/>
      <c r="AE687" s="11"/>
      <c r="AF687" s="10"/>
      <c r="AG687" s="11"/>
      <c r="AH687" s="10"/>
      <c r="AI687" s="11"/>
      <c r="AJ687" s="10"/>
      <c r="AK687" s="10"/>
      <c r="AL687" s="10"/>
      <c r="AM687" s="8"/>
      <c r="AN687" s="8"/>
      <c r="AO687" s="9"/>
      <c r="AP687" s="9"/>
      <c r="AQ687" s="9"/>
      <c r="AR687" s="8"/>
      <c r="AS687" s="8"/>
      <c r="AT687" s="8"/>
      <c r="AU687" s="8"/>
      <c r="AV687" s="8"/>
      <c r="AW687" s="8"/>
      <c r="AX687" s="8"/>
      <c r="AY687" s="8"/>
      <c r="AZ687" s="8"/>
    </row>
    <row r="688" spans="21:52" ht="16.899999999999999">
      <c r="U688" s="8"/>
      <c r="W688" s="10"/>
      <c r="X688" s="10"/>
      <c r="Z688" s="13"/>
      <c r="AA688" s="13"/>
      <c r="AB688" s="13"/>
      <c r="AC688" s="9"/>
      <c r="AD688" s="9"/>
      <c r="AE688" s="11"/>
      <c r="AF688" s="10"/>
      <c r="AG688" s="11"/>
      <c r="AH688" s="10"/>
      <c r="AI688" s="11"/>
      <c r="AJ688" s="10"/>
      <c r="AK688" s="10"/>
      <c r="AL688" s="10"/>
      <c r="AM688" s="8"/>
      <c r="AN688" s="8"/>
      <c r="AO688" s="9"/>
      <c r="AP688" s="9"/>
      <c r="AQ688" s="9"/>
      <c r="AR688" s="8"/>
      <c r="AS688" s="8"/>
      <c r="AT688" s="8"/>
      <c r="AU688" s="8"/>
      <c r="AV688" s="8"/>
      <c r="AW688" s="8"/>
      <c r="AX688" s="8"/>
      <c r="AY688" s="8"/>
      <c r="AZ688" s="8"/>
    </row>
    <row r="689" spans="21:52" ht="16.899999999999999">
      <c r="U689" s="8"/>
      <c r="W689" s="10"/>
      <c r="X689" s="10"/>
      <c r="Z689" s="13"/>
      <c r="AA689" s="13"/>
      <c r="AB689" s="13"/>
      <c r="AC689" s="9"/>
      <c r="AD689" s="9"/>
      <c r="AE689" s="11"/>
      <c r="AF689" s="10"/>
      <c r="AG689" s="11"/>
      <c r="AH689" s="10"/>
      <c r="AI689" s="11"/>
      <c r="AJ689" s="10"/>
      <c r="AK689" s="10"/>
      <c r="AL689" s="10"/>
      <c r="AM689" s="8"/>
      <c r="AN689" s="8"/>
      <c r="AO689" s="9"/>
      <c r="AP689" s="9"/>
      <c r="AQ689" s="9"/>
      <c r="AR689" s="8"/>
      <c r="AS689" s="8"/>
      <c r="AT689" s="8"/>
      <c r="AU689" s="8"/>
      <c r="AV689" s="8"/>
      <c r="AW689" s="8"/>
      <c r="AX689" s="8"/>
      <c r="AY689" s="8"/>
      <c r="AZ689" s="8"/>
    </row>
    <row r="690" spans="21:52" ht="16.899999999999999">
      <c r="U690" s="8"/>
      <c r="W690" s="10"/>
      <c r="X690" s="10"/>
      <c r="Z690" s="13"/>
      <c r="AA690" s="13"/>
      <c r="AB690" s="13"/>
      <c r="AC690" s="9"/>
      <c r="AD690" s="9"/>
      <c r="AE690" s="11"/>
      <c r="AF690" s="10"/>
      <c r="AG690" s="11"/>
      <c r="AH690" s="10"/>
      <c r="AI690" s="11"/>
      <c r="AJ690" s="10"/>
      <c r="AK690" s="10"/>
      <c r="AL690" s="10"/>
      <c r="AM690" s="8"/>
      <c r="AN690" s="8"/>
      <c r="AO690" s="9"/>
      <c r="AP690" s="9"/>
      <c r="AQ690" s="9"/>
      <c r="AR690" s="8"/>
      <c r="AS690" s="8"/>
      <c r="AT690" s="8"/>
      <c r="AU690" s="8"/>
      <c r="AV690" s="8"/>
      <c r="AW690" s="8"/>
      <c r="AX690" s="8"/>
      <c r="AY690" s="8"/>
      <c r="AZ690" s="8"/>
    </row>
    <row r="691" spans="21:52" ht="16.899999999999999">
      <c r="U691" s="8"/>
      <c r="W691" s="10"/>
      <c r="X691" s="10"/>
      <c r="Z691" s="13"/>
      <c r="AA691" s="13"/>
      <c r="AB691" s="13"/>
      <c r="AC691" s="9"/>
      <c r="AD691" s="9"/>
      <c r="AE691" s="11"/>
      <c r="AF691" s="10"/>
      <c r="AG691" s="11"/>
      <c r="AH691" s="10"/>
      <c r="AI691" s="11"/>
      <c r="AJ691" s="10"/>
      <c r="AK691" s="10"/>
      <c r="AL691" s="10"/>
      <c r="AM691" s="8"/>
      <c r="AN691" s="8"/>
      <c r="AO691" s="9"/>
      <c r="AP691" s="9"/>
      <c r="AQ691" s="9"/>
      <c r="AR691" s="8"/>
      <c r="AS691" s="8"/>
      <c r="AT691" s="8"/>
      <c r="AU691" s="8"/>
      <c r="AV691" s="8"/>
      <c r="AW691" s="8"/>
      <c r="AX691" s="8"/>
      <c r="AY691" s="8"/>
      <c r="AZ691" s="8"/>
    </row>
    <row r="692" spans="21:52" ht="16.899999999999999">
      <c r="U692" s="8"/>
      <c r="W692" s="10"/>
      <c r="X692" s="10"/>
      <c r="Z692" s="13"/>
      <c r="AA692" s="13"/>
      <c r="AB692" s="13"/>
      <c r="AC692" s="9"/>
      <c r="AD692" s="9"/>
      <c r="AE692" s="11"/>
      <c r="AF692" s="10"/>
      <c r="AG692" s="11"/>
      <c r="AH692" s="10"/>
      <c r="AI692" s="11"/>
      <c r="AJ692" s="10"/>
      <c r="AK692" s="10"/>
      <c r="AL692" s="10"/>
      <c r="AM692" s="8"/>
      <c r="AN692" s="8"/>
      <c r="AO692" s="9"/>
      <c r="AP692" s="9"/>
      <c r="AQ692" s="9"/>
      <c r="AR692" s="8"/>
      <c r="AS692" s="8"/>
      <c r="AT692" s="8"/>
      <c r="AU692" s="8"/>
      <c r="AV692" s="8"/>
      <c r="AW692" s="8"/>
      <c r="AX692" s="8"/>
      <c r="AY692" s="8"/>
      <c r="AZ692" s="8"/>
    </row>
    <row r="693" spans="21:52" ht="16.899999999999999">
      <c r="U693" s="8"/>
      <c r="W693" s="10"/>
      <c r="X693" s="10"/>
      <c r="Z693" s="13"/>
      <c r="AA693" s="13"/>
      <c r="AB693" s="13"/>
      <c r="AC693" s="9"/>
      <c r="AD693" s="9"/>
      <c r="AE693" s="11"/>
      <c r="AF693" s="10"/>
      <c r="AG693" s="11"/>
      <c r="AH693" s="10"/>
      <c r="AI693" s="11"/>
      <c r="AJ693" s="10"/>
      <c r="AK693" s="10"/>
      <c r="AL693" s="10"/>
      <c r="AM693" s="8"/>
      <c r="AN693" s="8"/>
      <c r="AO693" s="9"/>
      <c r="AP693" s="9"/>
      <c r="AQ693" s="9"/>
      <c r="AR693" s="8"/>
      <c r="AS693" s="8"/>
      <c r="AT693" s="8"/>
      <c r="AU693" s="8"/>
      <c r="AV693" s="8"/>
      <c r="AW693" s="8"/>
      <c r="AX693" s="8"/>
      <c r="AY693" s="8"/>
      <c r="AZ693" s="8"/>
    </row>
    <row r="694" spans="21:52" ht="16.899999999999999">
      <c r="U694" s="8"/>
      <c r="W694" s="10"/>
      <c r="X694" s="10"/>
      <c r="Z694" s="13"/>
      <c r="AA694" s="13"/>
      <c r="AB694" s="13"/>
      <c r="AC694" s="9"/>
      <c r="AD694" s="9"/>
      <c r="AE694" s="11"/>
      <c r="AF694" s="10"/>
      <c r="AG694" s="11"/>
      <c r="AH694" s="10"/>
      <c r="AI694" s="11"/>
      <c r="AJ694" s="10"/>
      <c r="AK694" s="10"/>
      <c r="AL694" s="10"/>
      <c r="AM694" s="8"/>
      <c r="AN694" s="8"/>
      <c r="AO694" s="9"/>
      <c r="AP694" s="9"/>
      <c r="AQ694" s="9"/>
      <c r="AR694" s="8"/>
      <c r="AS694" s="8"/>
      <c r="AT694" s="8"/>
      <c r="AU694" s="8"/>
      <c r="AV694" s="8"/>
      <c r="AW694" s="8"/>
      <c r="AX694" s="8"/>
      <c r="AY694" s="8"/>
      <c r="AZ694" s="8"/>
    </row>
    <row r="695" spans="21:52" ht="16.899999999999999">
      <c r="U695" s="8"/>
      <c r="W695" s="10"/>
      <c r="X695" s="10"/>
      <c r="Z695" s="13"/>
      <c r="AA695" s="13"/>
      <c r="AB695" s="13"/>
      <c r="AC695" s="9"/>
      <c r="AD695" s="9"/>
      <c r="AE695" s="11"/>
      <c r="AF695" s="10"/>
      <c r="AG695" s="11"/>
      <c r="AH695" s="10"/>
      <c r="AI695" s="11"/>
      <c r="AJ695" s="10"/>
      <c r="AK695" s="10"/>
      <c r="AL695" s="10"/>
      <c r="AM695" s="8"/>
      <c r="AN695" s="8"/>
      <c r="AO695" s="9"/>
      <c r="AP695" s="9"/>
      <c r="AQ695" s="9"/>
      <c r="AR695" s="8"/>
      <c r="AS695" s="8"/>
      <c r="AT695" s="8"/>
      <c r="AU695" s="8"/>
      <c r="AV695" s="8"/>
      <c r="AW695" s="8"/>
      <c r="AX695" s="8"/>
      <c r="AY695" s="8"/>
      <c r="AZ695" s="8"/>
    </row>
    <row r="696" spans="21:52" ht="16.899999999999999">
      <c r="U696" s="8"/>
      <c r="W696" s="10"/>
      <c r="X696" s="10"/>
      <c r="Z696" s="13"/>
      <c r="AA696" s="13"/>
      <c r="AB696" s="13"/>
      <c r="AC696" s="9"/>
      <c r="AD696" s="9"/>
      <c r="AE696" s="11"/>
      <c r="AF696" s="10"/>
      <c r="AG696" s="11"/>
      <c r="AH696" s="10"/>
      <c r="AI696" s="11"/>
      <c r="AJ696" s="10"/>
      <c r="AK696" s="10"/>
      <c r="AL696" s="10"/>
      <c r="AM696" s="8"/>
      <c r="AN696" s="8"/>
      <c r="AO696" s="9"/>
      <c r="AP696" s="9"/>
      <c r="AQ696" s="9"/>
      <c r="AR696" s="8"/>
      <c r="AS696" s="8"/>
      <c r="AT696" s="8"/>
      <c r="AU696" s="8"/>
      <c r="AV696" s="8"/>
      <c r="AW696" s="8"/>
      <c r="AX696" s="8"/>
      <c r="AY696" s="8"/>
      <c r="AZ696" s="8"/>
    </row>
    <row r="697" spans="21:52" ht="16.899999999999999">
      <c r="U697" s="8"/>
      <c r="W697" s="10"/>
      <c r="X697" s="10"/>
      <c r="Z697" s="13"/>
      <c r="AA697" s="13"/>
      <c r="AB697" s="13"/>
      <c r="AC697" s="9"/>
      <c r="AD697" s="9"/>
      <c r="AE697" s="11"/>
      <c r="AF697" s="10"/>
      <c r="AG697" s="11"/>
      <c r="AH697" s="10"/>
      <c r="AI697" s="11"/>
      <c r="AJ697" s="10"/>
      <c r="AK697" s="10"/>
      <c r="AL697" s="10"/>
      <c r="AM697" s="8"/>
      <c r="AN697" s="8"/>
      <c r="AO697" s="9"/>
      <c r="AP697" s="9"/>
      <c r="AQ697" s="9"/>
      <c r="AR697" s="8"/>
      <c r="AS697" s="8"/>
      <c r="AT697" s="8"/>
      <c r="AU697" s="8"/>
      <c r="AV697" s="8"/>
      <c r="AW697" s="8"/>
      <c r="AX697" s="8"/>
      <c r="AY697" s="8"/>
      <c r="AZ697" s="8"/>
    </row>
    <row r="698" spans="21:52" ht="16.899999999999999">
      <c r="U698" s="8"/>
      <c r="W698" s="10"/>
      <c r="X698" s="10"/>
      <c r="Z698" s="13"/>
      <c r="AA698" s="13"/>
      <c r="AB698" s="13"/>
      <c r="AC698" s="9"/>
      <c r="AD698" s="9"/>
      <c r="AE698" s="11"/>
      <c r="AF698" s="10"/>
      <c r="AG698" s="11"/>
      <c r="AH698" s="10"/>
      <c r="AI698" s="11"/>
      <c r="AJ698" s="10"/>
      <c r="AK698" s="10"/>
      <c r="AL698" s="10"/>
      <c r="AM698" s="8"/>
      <c r="AN698" s="8"/>
      <c r="AO698" s="9"/>
      <c r="AP698" s="9"/>
      <c r="AQ698" s="9"/>
      <c r="AR698" s="8"/>
      <c r="AS698" s="8"/>
      <c r="AT698" s="8"/>
      <c r="AU698" s="8"/>
      <c r="AV698" s="8"/>
      <c r="AW698" s="8"/>
      <c r="AX698" s="8"/>
      <c r="AY698" s="8"/>
      <c r="AZ698" s="8"/>
    </row>
    <row r="699" spans="21:52" ht="16.899999999999999">
      <c r="U699" s="8"/>
      <c r="W699" s="10"/>
      <c r="X699" s="10"/>
      <c r="Z699" s="13"/>
      <c r="AA699" s="13"/>
      <c r="AB699" s="13"/>
      <c r="AC699" s="9"/>
      <c r="AD699" s="9"/>
      <c r="AE699" s="11"/>
      <c r="AF699" s="10"/>
      <c r="AG699" s="11"/>
      <c r="AH699" s="10"/>
      <c r="AI699" s="11"/>
      <c r="AJ699" s="10"/>
      <c r="AK699" s="10"/>
      <c r="AL699" s="10"/>
      <c r="AM699" s="8"/>
      <c r="AN699" s="8"/>
      <c r="AO699" s="9"/>
      <c r="AP699" s="9"/>
      <c r="AQ699" s="9"/>
      <c r="AR699" s="8"/>
      <c r="AS699" s="8"/>
      <c r="AT699" s="8"/>
      <c r="AU699" s="8"/>
      <c r="AV699" s="8"/>
      <c r="AW699" s="8"/>
      <c r="AX699" s="8"/>
      <c r="AY699" s="8"/>
      <c r="AZ699" s="8"/>
    </row>
    <row r="700" spans="21:52" ht="16.899999999999999">
      <c r="U700" s="8"/>
      <c r="W700" s="10"/>
      <c r="X700" s="10"/>
      <c r="Z700" s="13"/>
      <c r="AA700" s="13"/>
      <c r="AB700" s="13"/>
      <c r="AC700" s="9"/>
      <c r="AD700" s="9"/>
      <c r="AE700" s="11"/>
      <c r="AF700" s="10"/>
      <c r="AG700" s="11"/>
      <c r="AH700" s="10"/>
      <c r="AI700" s="11"/>
      <c r="AJ700" s="10"/>
      <c r="AK700" s="10"/>
      <c r="AL700" s="10"/>
      <c r="AM700" s="8"/>
      <c r="AN700" s="8"/>
      <c r="AO700" s="9"/>
      <c r="AP700" s="9"/>
      <c r="AQ700" s="9"/>
      <c r="AR700" s="8"/>
      <c r="AS700" s="8"/>
      <c r="AT700" s="8"/>
      <c r="AU700" s="8"/>
      <c r="AV700" s="8"/>
      <c r="AW700" s="8"/>
      <c r="AX700" s="8"/>
      <c r="AY700" s="8"/>
      <c r="AZ700" s="8"/>
    </row>
    <row r="701" spans="21:52" ht="16.899999999999999">
      <c r="U701" s="8"/>
      <c r="W701" s="10"/>
      <c r="X701" s="10"/>
      <c r="Z701" s="13"/>
      <c r="AA701" s="13"/>
      <c r="AB701" s="13"/>
      <c r="AC701" s="9"/>
      <c r="AD701" s="9"/>
      <c r="AE701" s="11"/>
      <c r="AF701" s="10"/>
      <c r="AG701" s="11"/>
      <c r="AH701" s="10"/>
      <c r="AI701" s="11"/>
      <c r="AJ701" s="10"/>
      <c r="AK701" s="10"/>
      <c r="AL701" s="10"/>
      <c r="AM701" s="8"/>
      <c r="AN701" s="8"/>
      <c r="AO701" s="9"/>
      <c r="AP701" s="9"/>
      <c r="AQ701" s="9"/>
      <c r="AR701" s="8"/>
      <c r="AS701" s="8"/>
      <c r="AT701" s="8"/>
      <c r="AU701" s="8"/>
      <c r="AV701" s="8"/>
      <c r="AW701" s="8"/>
      <c r="AX701" s="8"/>
      <c r="AY701" s="8"/>
      <c r="AZ701" s="8"/>
    </row>
    <row r="702" spans="21:52" ht="16.899999999999999">
      <c r="U702" s="8"/>
      <c r="W702" s="10"/>
      <c r="X702" s="10"/>
      <c r="Z702" s="13"/>
      <c r="AA702" s="13"/>
      <c r="AB702" s="13"/>
      <c r="AC702" s="9"/>
      <c r="AD702" s="9"/>
      <c r="AE702" s="11"/>
      <c r="AF702" s="10"/>
      <c r="AG702" s="11"/>
      <c r="AH702" s="10"/>
      <c r="AI702" s="11"/>
      <c r="AJ702" s="10"/>
      <c r="AK702" s="10"/>
      <c r="AL702" s="10"/>
      <c r="AM702" s="8"/>
      <c r="AN702" s="8"/>
      <c r="AO702" s="9"/>
      <c r="AP702" s="9"/>
      <c r="AQ702" s="9"/>
      <c r="AR702" s="8"/>
      <c r="AS702" s="8"/>
      <c r="AT702" s="8"/>
      <c r="AU702" s="8"/>
      <c r="AV702" s="8"/>
      <c r="AW702" s="8"/>
      <c r="AX702" s="8"/>
      <c r="AY702" s="8"/>
      <c r="AZ702" s="8"/>
    </row>
    <row r="703" spans="21:52" ht="16.899999999999999">
      <c r="U703" s="8"/>
      <c r="W703" s="10"/>
      <c r="X703" s="10"/>
      <c r="Z703" s="13"/>
      <c r="AA703" s="13"/>
      <c r="AB703" s="13"/>
      <c r="AC703" s="9"/>
      <c r="AD703" s="9"/>
      <c r="AE703" s="11"/>
      <c r="AF703" s="10"/>
      <c r="AG703" s="11"/>
      <c r="AH703" s="10"/>
      <c r="AI703" s="11"/>
      <c r="AJ703" s="10"/>
      <c r="AK703" s="10"/>
      <c r="AL703" s="10"/>
      <c r="AM703" s="8"/>
      <c r="AN703" s="8"/>
      <c r="AO703" s="9"/>
      <c r="AP703" s="9"/>
      <c r="AQ703" s="9"/>
      <c r="AR703" s="8"/>
      <c r="AS703" s="8"/>
      <c r="AT703" s="8"/>
      <c r="AU703" s="8"/>
      <c r="AV703" s="8"/>
      <c r="AW703" s="8"/>
      <c r="AX703" s="8"/>
      <c r="AY703" s="8"/>
      <c r="AZ703" s="8"/>
    </row>
    <row r="704" spans="21:52" ht="16.899999999999999">
      <c r="U704" s="8"/>
      <c r="W704" s="10"/>
      <c r="X704" s="10"/>
      <c r="Z704" s="13"/>
      <c r="AA704" s="13"/>
      <c r="AB704" s="13"/>
      <c r="AC704" s="9"/>
      <c r="AD704" s="9"/>
      <c r="AE704" s="11"/>
      <c r="AF704" s="10"/>
      <c r="AG704" s="11"/>
      <c r="AH704" s="10"/>
      <c r="AI704" s="11"/>
      <c r="AJ704" s="10"/>
      <c r="AK704" s="10"/>
      <c r="AL704" s="10"/>
      <c r="AM704" s="8"/>
      <c r="AN704" s="8"/>
      <c r="AO704" s="9"/>
      <c r="AP704" s="9"/>
      <c r="AQ704" s="9"/>
      <c r="AR704" s="8"/>
      <c r="AS704" s="8"/>
      <c r="AT704" s="8"/>
      <c r="AU704" s="8"/>
      <c r="AV704" s="8"/>
      <c r="AW704" s="8"/>
      <c r="AX704" s="8"/>
      <c r="AY704" s="8"/>
      <c r="AZ704" s="8"/>
    </row>
    <row r="705" spans="21:52" ht="16.899999999999999">
      <c r="U705" s="8"/>
      <c r="W705" s="10"/>
      <c r="X705" s="10"/>
      <c r="Z705" s="13"/>
      <c r="AA705" s="13"/>
      <c r="AB705" s="13"/>
      <c r="AC705" s="9"/>
      <c r="AD705" s="9"/>
      <c r="AE705" s="11"/>
      <c r="AF705" s="10"/>
      <c r="AG705" s="11"/>
      <c r="AH705" s="10"/>
      <c r="AI705" s="11"/>
      <c r="AJ705" s="10"/>
      <c r="AK705" s="10"/>
      <c r="AL705" s="10"/>
      <c r="AM705" s="8"/>
      <c r="AN705" s="8"/>
      <c r="AO705" s="9"/>
      <c r="AP705" s="9"/>
      <c r="AQ705" s="9"/>
      <c r="AR705" s="8"/>
      <c r="AS705" s="8"/>
      <c r="AT705" s="8"/>
      <c r="AU705" s="8"/>
      <c r="AV705" s="8"/>
      <c r="AW705" s="8"/>
      <c r="AX705" s="8"/>
      <c r="AY705" s="8"/>
      <c r="AZ705" s="8"/>
    </row>
    <row r="706" spans="21:52" ht="16.899999999999999">
      <c r="U706" s="8"/>
      <c r="W706" s="10"/>
      <c r="X706" s="10"/>
      <c r="Z706" s="13"/>
      <c r="AA706" s="13"/>
      <c r="AB706" s="13"/>
      <c r="AC706" s="9"/>
      <c r="AD706" s="9"/>
      <c r="AE706" s="11"/>
      <c r="AF706" s="10"/>
      <c r="AG706" s="11"/>
      <c r="AH706" s="10"/>
      <c r="AI706" s="11"/>
      <c r="AJ706" s="10"/>
      <c r="AK706" s="10"/>
      <c r="AL706" s="10"/>
      <c r="AM706" s="8"/>
      <c r="AN706" s="8"/>
      <c r="AO706" s="9"/>
      <c r="AP706" s="9"/>
      <c r="AQ706" s="9"/>
      <c r="AR706" s="8"/>
      <c r="AS706" s="8"/>
      <c r="AT706" s="8"/>
      <c r="AU706" s="8"/>
      <c r="AV706" s="8"/>
      <c r="AW706" s="8"/>
      <c r="AX706" s="8"/>
      <c r="AY706" s="8"/>
      <c r="AZ706" s="8"/>
    </row>
    <row r="707" spans="21:52" ht="16.899999999999999">
      <c r="U707" s="8"/>
      <c r="W707" s="10"/>
      <c r="X707" s="10"/>
      <c r="Z707" s="13"/>
      <c r="AA707" s="13"/>
      <c r="AB707" s="13"/>
      <c r="AC707" s="9"/>
      <c r="AD707" s="9"/>
      <c r="AE707" s="11"/>
      <c r="AF707" s="10"/>
      <c r="AG707" s="11"/>
      <c r="AH707" s="10"/>
      <c r="AI707" s="11"/>
      <c r="AJ707" s="10"/>
      <c r="AK707" s="10"/>
      <c r="AL707" s="10"/>
      <c r="AM707" s="8"/>
      <c r="AN707" s="8"/>
      <c r="AO707" s="9"/>
      <c r="AP707" s="9"/>
      <c r="AQ707" s="9"/>
      <c r="AR707" s="8"/>
      <c r="AS707" s="8"/>
      <c r="AT707" s="8"/>
      <c r="AU707" s="8"/>
      <c r="AV707" s="8"/>
      <c r="AW707" s="8"/>
      <c r="AX707" s="8"/>
      <c r="AY707" s="8"/>
      <c r="AZ707" s="8"/>
    </row>
    <row r="708" spans="21:52" ht="16.899999999999999">
      <c r="U708" s="8"/>
      <c r="W708" s="10"/>
      <c r="X708" s="10"/>
      <c r="Z708" s="13"/>
      <c r="AA708" s="13"/>
      <c r="AB708" s="13"/>
      <c r="AC708" s="9"/>
      <c r="AD708" s="9"/>
      <c r="AE708" s="11"/>
      <c r="AF708" s="10"/>
      <c r="AG708" s="11"/>
      <c r="AH708" s="10"/>
      <c r="AI708" s="11"/>
      <c r="AJ708" s="10"/>
      <c r="AK708" s="10"/>
      <c r="AL708" s="10"/>
      <c r="AM708" s="8"/>
      <c r="AN708" s="8"/>
      <c r="AO708" s="9"/>
      <c r="AP708" s="9"/>
      <c r="AQ708" s="9"/>
      <c r="AR708" s="8"/>
      <c r="AS708" s="8"/>
      <c r="AT708" s="8"/>
      <c r="AU708" s="8"/>
      <c r="AV708" s="8"/>
      <c r="AW708" s="8"/>
      <c r="AX708" s="8"/>
      <c r="AY708" s="8"/>
      <c r="AZ708" s="8"/>
    </row>
    <row r="709" spans="21:52" ht="16.899999999999999">
      <c r="U709" s="8"/>
      <c r="W709" s="10"/>
      <c r="X709" s="10"/>
      <c r="Z709" s="13"/>
      <c r="AA709" s="13"/>
      <c r="AB709" s="13"/>
      <c r="AC709" s="9"/>
      <c r="AD709" s="9"/>
      <c r="AE709" s="11"/>
      <c r="AF709" s="10"/>
      <c r="AG709" s="11"/>
      <c r="AH709" s="10"/>
      <c r="AI709" s="11"/>
      <c r="AJ709" s="10"/>
      <c r="AK709" s="10"/>
      <c r="AL709" s="10"/>
      <c r="AM709" s="8"/>
      <c r="AN709" s="8"/>
      <c r="AO709" s="9"/>
      <c r="AP709" s="9"/>
      <c r="AQ709" s="9"/>
      <c r="AR709" s="8"/>
      <c r="AS709" s="8"/>
      <c r="AT709" s="8"/>
      <c r="AU709" s="8"/>
      <c r="AV709" s="8"/>
      <c r="AW709" s="8"/>
      <c r="AX709" s="8"/>
      <c r="AY709" s="8"/>
      <c r="AZ709" s="8"/>
    </row>
    <row r="710" spans="21:52" ht="16.899999999999999">
      <c r="U710" s="8"/>
      <c r="W710" s="10"/>
      <c r="X710" s="10"/>
      <c r="Z710" s="13"/>
      <c r="AA710" s="13"/>
      <c r="AB710" s="13"/>
      <c r="AC710" s="9"/>
      <c r="AD710" s="9"/>
      <c r="AE710" s="11"/>
      <c r="AF710" s="10"/>
      <c r="AG710" s="11"/>
      <c r="AH710" s="10"/>
      <c r="AI710" s="11"/>
      <c r="AJ710" s="10"/>
      <c r="AK710" s="10"/>
      <c r="AL710" s="10"/>
      <c r="AM710" s="8"/>
      <c r="AN710" s="8"/>
      <c r="AO710" s="9"/>
      <c r="AP710" s="9"/>
      <c r="AQ710" s="9"/>
      <c r="AR710" s="8"/>
      <c r="AS710" s="8"/>
      <c r="AT710" s="8"/>
      <c r="AU710" s="8"/>
      <c r="AV710" s="8"/>
      <c r="AW710" s="8"/>
      <c r="AX710" s="8"/>
      <c r="AY710" s="8"/>
      <c r="AZ710" s="8"/>
    </row>
    <row r="711" spans="21:52" ht="16.899999999999999">
      <c r="U711" s="8"/>
      <c r="W711" s="10"/>
      <c r="X711" s="10"/>
      <c r="Z711" s="13"/>
      <c r="AA711" s="13"/>
      <c r="AB711" s="13"/>
      <c r="AC711" s="9"/>
      <c r="AD711" s="9"/>
      <c r="AE711" s="11"/>
      <c r="AF711" s="10"/>
      <c r="AG711" s="11"/>
      <c r="AH711" s="10"/>
      <c r="AI711" s="11"/>
      <c r="AJ711" s="10"/>
      <c r="AK711" s="10"/>
      <c r="AL711" s="10"/>
      <c r="AM711" s="8"/>
      <c r="AN711" s="8"/>
      <c r="AO711" s="9"/>
      <c r="AP711" s="9"/>
      <c r="AQ711" s="9"/>
      <c r="AR711" s="8"/>
      <c r="AS711" s="8"/>
      <c r="AT711" s="8"/>
      <c r="AU711" s="8"/>
      <c r="AV711" s="8"/>
      <c r="AW711" s="8"/>
      <c r="AX711" s="8"/>
      <c r="AY711" s="8"/>
      <c r="AZ711" s="8"/>
    </row>
    <row r="712" spans="21:52" ht="16.899999999999999">
      <c r="U712" s="8"/>
      <c r="W712" s="10"/>
      <c r="X712" s="10"/>
      <c r="Z712" s="13"/>
      <c r="AA712" s="13"/>
      <c r="AB712" s="13"/>
      <c r="AC712" s="9"/>
      <c r="AD712" s="9"/>
      <c r="AE712" s="11"/>
      <c r="AF712" s="10"/>
      <c r="AG712" s="11"/>
      <c r="AH712" s="10"/>
      <c r="AI712" s="11"/>
      <c r="AJ712" s="10"/>
      <c r="AK712" s="10"/>
      <c r="AL712" s="10"/>
      <c r="AM712" s="8"/>
      <c r="AN712" s="8"/>
      <c r="AO712" s="9"/>
      <c r="AP712" s="9"/>
      <c r="AQ712" s="9"/>
      <c r="AR712" s="8"/>
      <c r="AS712" s="8"/>
      <c r="AT712" s="8"/>
      <c r="AU712" s="8"/>
      <c r="AV712" s="8"/>
      <c r="AW712" s="8"/>
      <c r="AX712" s="8"/>
      <c r="AY712" s="8"/>
      <c r="AZ712" s="8"/>
    </row>
    <row r="713" spans="21:52" ht="16.899999999999999">
      <c r="U713" s="8"/>
      <c r="W713" s="10"/>
      <c r="X713" s="10"/>
      <c r="Z713" s="13"/>
      <c r="AA713" s="13"/>
      <c r="AB713" s="13"/>
      <c r="AC713" s="9"/>
      <c r="AD713" s="9"/>
      <c r="AE713" s="11"/>
      <c r="AF713" s="10"/>
      <c r="AG713" s="11"/>
      <c r="AH713" s="10"/>
      <c r="AI713" s="11"/>
      <c r="AJ713" s="10"/>
      <c r="AK713" s="10"/>
      <c r="AL713" s="10"/>
      <c r="AM713" s="8"/>
      <c r="AN713" s="8"/>
      <c r="AO713" s="9"/>
      <c r="AP713" s="9"/>
      <c r="AQ713" s="9"/>
      <c r="AR713" s="8"/>
      <c r="AS713" s="8"/>
      <c r="AT713" s="8"/>
      <c r="AU713" s="8"/>
      <c r="AV713" s="8"/>
      <c r="AW713" s="8"/>
      <c r="AX713" s="8"/>
      <c r="AY713" s="8"/>
      <c r="AZ713" s="8"/>
    </row>
    <row r="714" spans="21:52" ht="16.899999999999999">
      <c r="U714" s="8"/>
      <c r="W714" s="10"/>
      <c r="X714" s="10"/>
      <c r="Z714" s="13"/>
      <c r="AA714" s="13"/>
      <c r="AB714" s="13"/>
      <c r="AC714" s="9"/>
      <c r="AD714" s="9"/>
      <c r="AE714" s="11"/>
      <c r="AF714" s="10"/>
      <c r="AG714" s="11"/>
      <c r="AH714" s="10"/>
      <c r="AI714" s="11"/>
      <c r="AJ714" s="10"/>
      <c r="AK714" s="10"/>
      <c r="AL714" s="10"/>
      <c r="AM714" s="8"/>
      <c r="AN714" s="8"/>
      <c r="AO714" s="9"/>
      <c r="AP714" s="9"/>
      <c r="AQ714" s="9"/>
      <c r="AR714" s="8"/>
      <c r="AS714" s="8"/>
      <c r="AT714" s="8"/>
      <c r="AU714" s="8"/>
      <c r="AV714" s="8"/>
      <c r="AW714" s="8"/>
      <c r="AX714" s="8"/>
      <c r="AY714" s="8"/>
      <c r="AZ714" s="8"/>
    </row>
    <row r="715" spans="21:52" ht="16.899999999999999">
      <c r="U715" s="8"/>
      <c r="W715" s="10"/>
      <c r="X715" s="10"/>
      <c r="Z715" s="13"/>
      <c r="AA715" s="13"/>
      <c r="AB715" s="13"/>
      <c r="AC715" s="9"/>
      <c r="AD715" s="9"/>
      <c r="AE715" s="11"/>
      <c r="AF715" s="10"/>
      <c r="AG715" s="11"/>
      <c r="AH715" s="10"/>
      <c r="AI715" s="11"/>
      <c r="AJ715" s="10"/>
      <c r="AK715" s="10"/>
      <c r="AL715" s="10"/>
      <c r="AM715" s="8"/>
      <c r="AN715" s="8"/>
      <c r="AO715" s="9"/>
      <c r="AP715" s="9"/>
      <c r="AQ715" s="9"/>
      <c r="AR715" s="8"/>
      <c r="AS715" s="8"/>
      <c r="AT715" s="8"/>
      <c r="AU715" s="8"/>
      <c r="AV715" s="8"/>
      <c r="AW715" s="8"/>
      <c r="AX715" s="8"/>
      <c r="AY715" s="8"/>
      <c r="AZ715" s="8"/>
    </row>
    <row r="716" spans="21:52" ht="16.899999999999999">
      <c r="U716" s="8"/>
      <c r="W716" s="10"/>
      <c r="X716" s="10"/>
      <c r="Z716" s="13"/>
      <c r="AA716" s="13"/>
      <c r="AB716" s="13"/>
      <c r="AC716" s="9"/>
      <c r="AD716" s="9"/>
      <c r="AE716" s="11"/>
      <c r="AF716" s="10"/>
      <c r="AG716" s="11"/>
      <c r="AH716" s="10"/>
      <c r="AI716" s="11"/>
      <c r="AJ716" s="10"/>
      <c r="AK716" s="10"/>
      <c r="AL716" s="10"/>
      <c r="AM716" s="8"/>
      <c r="AN716" s="8"/>
      <c r="AO716" s="9"/>
      <c r="AP716" s="9"/>
      <c r="AQ716" s="9"/>
      <c r="AR716" s="8"/>
      <c r="AS716" s="8"/>
      <c r="AT716" s="8"/>
      <c r="AU716" s="8"/>
      <c r="AV716" s="8"/>
      <c r="AW716" s="8"/>
      <c r="AX716" s="8"/>
      <c r="AY716" s="8"/>
      <c r="AZ716" s="8"/>
    </row>
    <row r="717" spans="21:52" ht="16.899999999999999">
      <c r="U717" s="8"/>
      <c r="W717" s="10"/>
      <c r="X717" s="10"/>
      <c r="Z717" s="13"/>
      <c r="AA717" s="13"/>
      <c r="AB717" s="13"/>
      <c r="AC717" s="9"/>
      <c r="AD717" s="9"/>
      <c r="AE717" s="11"/>
      <c r="AF717" s="10"/>
      <c r="AG717" s="11"/>
      <c r="AH717" s="10"/>
      <c r="AI717" s="11"/>
      <c r="AJ717" s="10"/>
      <c r="AK717" s="10"/>
      <c r="AL717" s="10"/>
      <c r="AM717" s="8"/>
      <c r="AN717" s="8"/>
      <c r="AO717" s="9"/>
      <c r="AP717" s="9"/>
      <c r="AQ717" s="9"/>
      <c r="AR717" s="8"/>
      <c r="AS717" s="8"/>
      <c r="AT717" s="8"/>
      <c r="AU717" s="8"/>
      <c r="AV717" s="8"/>
      <c r="AW717" s="8"/>
      <c r="AX717" s="8"/>
      <c r="AY717" s="8"/>
      <c r="AZ717" s="8"/>
    </row>
    <row r="718" spans="21:52" ht="16.899999999999999">
      <c r="U718" s="8"/>
      <c r="W718" s="10"/>
      <c r="X718" s="10"/>
      <c r="Z718" s="13"/>
      <c r="AA718" s="13"/>
      <c r="AB718" s="13"/>
      <c r="AC718" s="9"/>
      <c r="AD718" s="9"/>
      <c r="AE718" s="11"/>
      <c r="AF718" s="10"/>
      <c r="AG718" s="11"/>
      <c r="AH718" s="10"/>
      <c r="AI718" s="11"/>
      <c r="AJ718" s="10"/>
      <c r="AK718" s="10"/>
      <c r="AL718" s="10"/>
      <c r="AM718" s="8"/>
      <c r="AN718" s="8"/>
      <c r="AO718" s="9"/>
      <c r="AP718" s="9"/>
      <c r="AQ718" s="9"/>
      <c r="AR718" s="8"/>
      <c r="AS718" s="8"/>
      <c r="AT718" s="8"/>
      <c r="AU718" s="8"/>
      <c r="AV718" s="8"/>
      <c r="AW718" s="8"/>
      <c r="AX718" s="8"/>
      <c r="AY718" s="8"/>
      <c r="AZ718" s="8"/>
    </row>
    <row r="719" spans="21:52" ht="16.899999999999999">
      <c r="U719" s="8"/>
      <c r="W719" s="10"/>
      <c r="X719" s="10"/>
      <c r="Z719" s="13"/>
      <c r="AA719" s="13"/>
      <c r="AB719" s="13"/>
      <c r="AC719" s="9"/>
      <c r="AD719" s="9"/>
      <c r="AE719" s="11"/>
      <c r="AF719" s="10"/>
      <c r="AG719" s="11"/>
      <c r="AH719" s="10"/>
      <c r="AI719" s="11"/>
      <c r="AJ719" s="10"/>
      <c r="AK719" s="10"/>
      <c r="AL719" s="10"/>
      <c r="AM719" s="8"/>
      <c r="AN719" s="8"/>
      <c r="AO719" s="9"/>
      <c r="AP719" s="9"/>
      <c r="AQ719" s="9"/>
      <c r="AR719" s="8"/>
      <c r="AS719" s="8"/>
      <c r="AT719" s="8"/>
      <c r="AU719" s="8"/>
      <c r="AV719" s="8"/>
      <c r="AW719" s="8"/>
      <c r="AX719" s="8"/>
      <c r="AY719" s="8"/>
      <c r="AZ719" s="8"/>
    </row>
    <row r="720" spans="21:52" ht="16.899999999999999">
      <c r="U720" s="8"/>
      <c r="W720" s="10"/>
      <c r="X720" s="10"/>
      <c r="Z720" s="13"/>
      <c r="AA720" s="13"/>
      <c r="AB720" s="13"/>
      <c r="AC720" s="9"/>
      <c r="AD720" s="9"/>
      <c r="AE720" s="11"/>
      <c r="AF720" s="10"/>
      <c r="AG720" s="11"/>
      <c r="AH720" s="10"/>
      <c r="AI720" s="11"/>
      <c r="AJ720" s="10"/>
      <c r="AK720" s="10"/>
      <c r="AL720" s="10"/>
      <c r="AM720" s="8"/>
      <c r="AN720" s="8"/>
      <c r="AO720" s="9"/>
      <c r="AP720" s="9"/>
      <c r="AQ720" s="9"/>
      <c r="AR720" s="8"/>
      <c r="AS720" s="8"/>
      <c r="AT720" s="8"/>
      <c r="AU720" s="8"/>
      <c r="AV720" s="8"/>
      <c r="AW720" s="8"/>
      <c r="AX720" s="8"/>
      <c r="AY720" s="8"/>
      <c r="AZ720" s="8"/>
    </row>
    <row r="721" spans="21:52" ht="16.899999999999999">
      <c r="U721" s="8"/>
      <c r="W721" s="10"/>
      <c r="X721" s="10"/>
      <c r="Z721" s="13"/>
      <c r="AA721" s="13"/>
      <c r="AB721" s="13"/>
      <c r="AC721" s="9"/>
      <c r="AD721" s="9"/>
      <c r="AE721" s="11"/>
      <c r="AF721" s="10"/>
      <c r="AG721" s="11"/>
      <c r="AH721" s="10"/>
      <c r="AI721" s="11"/>
      <c r="AJ721" s="10"/>
      <c r="AK721" s="10"/>
      <c r="AL721" s="10"/>
      <c r="AM721" s="8"/>
      <c r="AN721" s="8"/>
      <c r="AO721" s="9"/>
      <c r="AP721" s="9"/>
      <c r="AQ721" s="9"/>
      <c r="AR721" s="8"/>
      <c r="AS721" s="8"/>
      <c r="AT721" s="8"/>
      <c r="AU721" s="8"/>
      <c r="AV721" s="8"/>
      <c r="AW721" s="8"/>
      <c r="AX721" s="8"/>
      <c r="AY721" s="8"/>
      <c r="AZ721" s="8"/>
    </row>
    <row r="722" spans="21:52" ht="16.899999999999999">
      <c r="U722" s="8"/>
      <c r="W722" s="10"/>
      <c r="X722" s="10"/>
      <c r="Z722" s="13"/>
      <c r="AA722" s="13"/>
      <c r="AB722" s="13"/>
      <c r="AC722" s="9"/>
      <c r="AD722" s="9"/>
      <c r="AE722" s="11"/>
      <c r="AF722" s="10"/>
      <c r="AG722" s="11"/>
      <c r="AH722" s="10"/>
      <c r="AI722" s="11"/>
      <c r="AJ722" s="10"/>
      <c r="AK722" s="10"/>
      <c r="AL722" s="10"/>
      <c r="AM722" s="8"/>
      <c r="AN722" s="8"/>
      <c r="AO722" s="9"/>
      <c r="AP722" s="9"/>
      <c r="AQ722" s="9"/>
      <c r="AR722" s="8"/>
      <c r="AS722" s="8"/>
      <c r="AT722" s="8"/>
      <c r="AU722" s="8"/>
      <c r="AV722" s="8"/>
      <c r="AW722" s="8"/>
      <c r="AX722" s="8"/>
      <c r="AY722" s="8"/>
      <c r="AZ722" s="8"/>
    </row>
    <row r="723" spans="21:52" ht="16.899999999999999">
      <c r="U723" s="8"/>
      <c r="W723" s="10"/>
      <c r="X723" s="10"/>
      <c r="Z723" s="13"/>
      <c r="AA723" s="13"/>
      <c r="AB723" s="13"/>
      <c r="AC723" s="9"/>
      <c r="AD723" s="9"/>
      <c r="AE723" s="11"/>
      <c r="AF723" s="10"/>
      <c r="AG723" s="11"/>
      <c r="AH723" s="10"/>
      <c r="AI723" s="11"/>
      <c r="AJ723" s="10"/>
      <c r="AK723" s="10"/>
      <c r="AL723" s="10"/>
      <c r="AM723" s="8"/>
      <c r="AN723" s="8"/>
      <c r="AO723" s="9"/>
      <c r="AP723" s="9"/>
      <c r="AQ723" s="9"/>
      <c r="AR723" s="8"/>
      <c r="AS723" s="8"/>
      <c r="AT723" s="8"/>
      <c r="AU723" s="8"/>
      <c r="AV723" s="8"/>
      <c r="AW723" s="8"/>
      <c r="AX723" s="8"/>
      <c r="AY723" s="8"/>
      <c r="AZ723" s="8"/>
    </row>
    <row r="724" spans="21:52" ht="16.899999999999999">
      <c r="U724" s="8"/>
      <c r="W724" s="10"/>
      <c r="X724" s="10"/>
      <c r="Z724" s="13"/>
      <c r="AA724" s="13"/>
      <c r="AB724" s="13"/>
      <c r="AC724" s="9"/>
      <c r="AD724" s="9"/>
      <c r="AE724" s="11"/>
      <c r="AF724" s="10"/>
      <c r="AG724" s="11"/>
      <c r="AH724" s="10"/>
      <c r="AI724" s="11"/>
      <c r="AJ724" s="10"/>
      <c r="AK724" s="10"/>
      <c r="AL724" s="10"/>
      <c r="AM724" s="8"/>
      <c r="AN724" s="8"/>
      <c r="AO724" s="9"/>
      <c r="AP724" s="9"/>
      <c r="AQ724" s="9"/>
      <c r="AR724" s="8"/>
      <c r="AS724" s="8"/>
      <c r="AT724" s="8"/>
      <c r="AU724" s="8"/>
      <c r="AV724" s="8"/>
      <c r="AW724" s="8"/>
      <c r="AX724" s="8"/>
      <c r="AY724" s="8"/>
      <c r="AZ724" s="8"/>
    </row>
    <row r="725" spans="21:52" ht="16.899999999999999">
      <c r="U725" s="8"/>
      <c r="W725" s="10"/>
      <c r="X725" s="10"/>
      <c r="Z725" s="13"/>
      <c r="AA725" s="13"/>
      <c r="AB725" s="13"/>
      <c r="AC725" s="9"/>
      <c r="AD725" s="9"/>
      <c r="AE725" s="11"/>
      <c r="AF725" s="10"/>
      <c r="AG725" s="11"/>
      <c r="AH725" s="10"/>
      <c r="AI725" s="11"/>
      <c r="AJ725" s="10"/>
      <c r="AK725" s="10"/>
      <c r="AL725" s="10"/>
      <c r="AM725" s="8"/>
      <c r="AN725" s="8"/>
      <c r="AO725" s="9"/>
      <c r="AP725" s="9"/>
      <c r="AQ725" s="9"/>
      <c r="AR725" s="8"/>
      <c r="AS725" s="8"/>
      <c r="AT725" s="8"/>
      <c r="AU725" s="8"/>
      <c r="AV725" s="8"/>
      <c r="AW725" s="8"/>
      <c r="AX725" s="8"/>
      <c r="AY725" s="8"/>
      <c r="AZ725" s="8"/>
    </row>
    <row r="726" spans="21:52" ht="16.899999999999999">
      <c r="U726" s="8"/>
      <c r="W726" s="10"/>
      <c r="X726" s="10"/>
      <c r="Z726" s="13"/>
      <c r="AA726" s="13"/>
      <c r="AB726" s="13"/>
      <c r="AC726" s="9"/>
      <c r="AD726" s="9"/>
      <c r="AE726" s="11"/>
      <c r="AF726" s="10"/>
      <c r="AG726" s="11"/>
      <c r="AH726" s="10"/>
      <c r="AI726" s="11"/>
      <c r="AJ726" s="10"/>
      <c r="AK726" s="10"/>
      <c r="AL726" s="10"/>
      <c r="AM726" s="8"/>
      <c r="AN726" s="8"/>
      <c r="AO726" s="9"/>
      <c r="AP726" s="9"/>
      <c r="AQ726" s="9"/>
      <c r="AR726" s="8"/>
      <c r="AS726" s="8"/>
      <c r="AT726" s="8"/>
      <c r="AU726" s="8"/>
      <c r="AV726" s="8"/>
      <c r="AW726" s="8"/>
      <c r="AX726" s="8"/>
      <c r="AY726" s="8"/>
      <c r="AZ726" s="8"/>
    </row>
    <row r="727" spans="21:52" ht="16.899999999999999">
      <c r="U727" s="8"/>
      <c r="W727" s="10"/>
      <c r="X727" s="10"/>
      <c r="Z727" s="13"/>
      <c r="AA727" s="13"/>
      <c r="AB727" s="13"/>
      <c r="AC727" s="9"/>
      <c r="AD727" s="9"/>
      <c r="AE727" s="11"/>
      <c r="AF727" s="10"/>
      <c r="AG727" s="11"/>
      <c r="AH727" s="10"/>
      <c r="AI727" s="11"/>
      <c r="AJ727" s="10"/>
      <c r="AK727" s="10"/>
      <c r="AL727" s="10"/>
      <c r="AM727" s="8"/>
      <c r="AN727" s="8"/>
      <c r="AO727" s="9"/>
      <c r="AP727" s="9"/>
      <c r="AQ727" s="9"/>
      <c r="AR727" s="8"/>
      <c r="AS727" s="8"/>
      <c r="AT727" s="8"/>
      <c r="AU727" s="8"/>
      <c r="AV727" s="8"/>
      <c r="AW727" s="8"/>
      <c r="AX727" s="8"/>
      <c r="AY727" s="8"/>
      <c r="AZ727" s="8"/>
    </row>
    <row r="728" spans="21:52" ht="16.899999999999999">
      <c r="U728" s="8"/>
      <c r="W728" s="10"/>
      <c r="X728" s="10"/>
      <c r="Z728" s="13"/>
      <c r="AA728" s="13"/>
      <c r="AB728" s="13"/>
      <c r="AC728" s="9"/>
      <c r="AD728" s="9"/>
      <c r="AE728" s="11"/>
      <c r="AF728" s="10"/>
      <c r="AG728" s="11"/>
      <c r="AH728" s="10"/>
      <c r="AI728" s="11"/>
      <c r="AJ728" s="10"/>
      <c r="AK728" s="10"/>
      <c r="AL728" s="10"/>
      <c r="AM728" s="8"/>
      <c r="AN728" s="8"/>
      <c r="AO728" s="9"/>
      <c r="AP728" s="9"/>
      <c r="AQ728" s="9"/>
      <c r="AR728" s="8"/>
      <c r="AS728" s="8"/>
      <c r="AT728" s="8"/>
      <c r="AU728" s="8"/>
      <c r="AV728" s="8"/>
      <c r="AW728" s="8"/>
      <c r="AX728" s="8"/>
      <c r="AY728" s="8"/>
      <c r="AZ728" s="8"/>
    </row>
    <row r="729" spans="21:52" ht="16.899999999999999">
      <c r="U729" s="8"/>
      <c r="W729" s="10"/>
      <c r="X729" s="10"/>
      <c r="Z729" s="13"/>
      <c r="AA729" s="13"/>
      <c r="AB729" s="13"/>
      <c r="AC729" s="9"/>
      <c r="AD729" s="9"/>
      <c r="AE729" s="11"/>
      <c r="AF729" s="10"/>
      <c r="AG729" s="11"/>
      <c r="AH729" s="10"/>
      <c r="AI729" s="11"/>
      <c r="AJ729" s="10"/>
      <c r="AK729" s="10"/>
      <c r="AL729" s="10"/>
      <c r="AM729" s="8"/>
      <c r="AN729" s="8"/>
      <c r="AO729" s="9"/>
      <c r="AP729" s="9"/>
      <c r="AQ729" s="9"/>
      <c r="AR729" s="8"/>
      <c r="AS729" s="8"/>
      <c r="AT729" s="8"/>
      <c r="AU729" s="8"/>
      <c r="AV729" s="8"/>
      <c r="AW729" s="8"/>
      <c r="AX729" s="8"/>
      <c r="AY729" s="8"/>
      <c r="AZ729" s="8"/>
    </row>
    <row r="730" spans="21:52" ht="16.899999999999999">
      <c r="U730" s="8"/>
      <c r="W730" s="10"/>
      <c r="X730" s="10"/>
      <c r="Z730" s="13"/>
      <c r="AA730" s="13"/>
      <c r="AB730" s="13"/>
      <c r="AC730" s="9"/>
      <c r="AD730" s="9"/>
      <c r="AE730" s="11"/>
      <c r="AF730" s="10"/>
      <c r="AG730" s="11"/>
      <c r="AH730" s="10"/>
      <c r="AI730" s="11"/>
      <c r="AJ730" s="10"/>
      <c r="AK730" s="10"/>
      <c r="AL730" s="10"/>
      <c r="AM730" s="8"/>
      <c r="AN730" s="8"/>
      <c r="AO730" s="9"/>
      <c r="AP730" s="9"/>
      <c r="AQ730" s="9"/>
      <c r="AR730" s="8"/>
      <c r="AS730" s="8"/>
      <c r="AT730" s="8"/>
      <c r="AU730" s="8"/>
      <c r="AV730" s="8"/>
      <c r="AW730" s="8"/>
      <c r="AX730" s="8"/>
      <c r="AY730" s="8"/>
      <c r="AZ730" s="8"/>
    </row>
    <row r="731" spans="21:52" ht="16.899999999999999">
      <c r="U731" s="8"/>
      <c r="W731" s="10"/>
      <c r="X731" s="10"/>
      <c r="Z731" s="13"/>
      <c r="AA731" s="13"/>
      <c r="AB731" s="13"/>
      <c r="AC731" s="9"/>
      <c r="AD731" s="9"/>
      <c r="AE731" s="11"/>
      <c r="AF731" s="10"/>
      <c r="AG731" s="11"/>
      <c r="AH731" s="10"/>
      <c r="AI731" s="11"/>
      <c r="AJ731" s="10"/>
      <c r="AK731" s="10"/>
      <c r="AL731" s="10"/>
      <c r="AM731" s="8"/>
      <c r="AN731" s="8"/>
      <c r="AO731" s="9"/>
      <c r="AP731" s="9"/>
      <c r="AQ731" s="9"/>
      <c r="AR731" s="8"/>
      <c r="AS731" s="8"/>
      <c r="AT731" s="8"/>
      <c r="AU731" s="8"/>
      <c r="AV731" s="8"/>
      <c r="AW731" s="8"/>
      <c r="AX731" s="8"/>
      <c r="AY731" s="8"/>
      <c r="AZ731" s="8"/>
    </row>
    <row r="732" spans="21:52" ht="16.899999999999999">
      <c r="U732" s="8"/>
      <c r="W732" s="10"/>
      <c r="X732" s="10"/>
      <c r="Z732" s="13"/>
      <c r="AA732" s="13"/>
      <c r="AB732" s="13"/>
      <c r="AC732" s="9"/>
      <c r="AD732" s="9"/>
      <c r="AE732" s="11"/>
      <c r="AF732" s="10"/>
      <c r="AG732" s="11"/>
      <c r="AH732" s="10"/>
      <c r="AI732" s="11"/>
      <c r="AJ732" s="10"/>
      <c r="AK732" s="10"/>
      <c r="AL732" s="10"/>
      <c r="AM732" s="8"/>
      <c r="AN732" s="8"/>
      <c r="AO732" s="9"/>
      <c r="AP732" s="9"/>
      <c r="AQ732" s="9"/>
      <c r="AR732" s="8"/>
      <c r="AS732" s="8"/>
      <c r="AT732" s="8"/>
      <c r="AU732" s="8"/>
      <c r="AV732" s="8"/>
      <c r="AW732" s="8"/>
      <c r="AX732" s="8"/>
      <c r="AY732" s="8"/>
      <c r="AZ732" s="8"/>
    </row>
    <row r="733" spans="21:52" ht="16.899999999999999">
      <c r="U733" s="8"/>
      <c r="W733" s="10"/>
      <c r="X733" s="10"/>
      <c r="Z733" s="13"/>
      <c r="AA733" s="13"/>
      <c r="AB733" s="13"/>
      <c r="AC733" s="9"/>
      <c r="AD733" s="9"/>
      <c r="AE733" s="11"/>
      <c r="AF733" s="10"/>
      <c r="AG733" s="11"/>
      <c r="AH733" s="10"/>
      <c r="AI733" s="11"/>
      <c r="AJ733" s="10"/>
      <c r="AK733" s="10"/>
      <c r="AL733" s="10"/>
      <c r="AM733" s="8"/>
      <c r="AN733" s="8"/>
      <c r="AO733" s="9"/>
      <c r="AP733" s="9"/>
      <c r="AQ733" s="9"/>
      <c r="AR733" s="8"/>
      <c r="AS733" s="8"/>
      <c r="AT733" s="8"/>
      <c r="AU733" s="8"/>
      <c r="AV733" s="8"/>
      <c r="AW733" s="8"/>
      <c r="AX733" s="8"/>
      <c r="AY733" s="8"/>
      <c r="AZ733" s="8"/>
    </row>
    <row r="734" spans="21:52" ht="16.899999999999999">
      <c r="U734" s="8"/>
      <c r="W734" s="10"/>
      <c r="X734" s="10"/>
      <c r="Z734" s="13"/>
      <c r="AA734" s="13"/>
      <c r="AB734" s="13"/>
      <c r="AC734" s="9"/>
      <c r="AD734" s="9"/>
      <c r="AE734" s="11"/>
      <c r="AF734" s="10"/>
      <c r="AG734" s="11"/>
      <c r="AH734" s="10"/>
      <c r="AI734" s="11"/>
      <c r="AJ734" s="10"/>
      <c r="AK734" s="10"/>
      <c r="AL734" s="10"/>
      <c r="AM734" s="8"/>
      <c r="AN734" s="8"/>
      <c r="AO734" s="9"/>
      <c r="AP734" s="9"/>
      <c r="AQ734" s="9"/>
      <c r="AR734" s="8"/>
      <c r="AS734" s="8"/>
      <c r="AT734" s="8"/>
      <c r="AU734" s="8"/>
      <c r="AV734" s="8"/>
      <c r="AW734" s="8"/>
      <c r="AX734" s="8"/>
      <c r="AY734" s="8"/>
      <c r="AZ734" s="8"/>
    </row>
    <row r="735" spans="21:52" ht="16.899999999999999">
      <c r="U735" s="8"/>
      <c r="W735" s="10"/>
      <c r="X735" s="10"/>
      <c r="Z735" s="13"/>
      <c r="AA735" s="13"/>
      <c r="AB735" s="13"/>
      <c r="AC735" s="9"/>
      <c r="AD735" s="9"/>
      <c r="AE735" s="11"/>
      <c r="AF735" s="10"/>
      <c r="AG735" s="11"/>
      <c r="AH735" s="10"/>
      <c r="AI735" s="11"/>
      <c r="AJ735" s="10"/>
      <c r="AK735" s="10"/>
      <c r="AL735" s="10"/>
      <c r="AM735" s="8"/>
      <c r="AN735" s="8"/>
      <c r="AO735" s="9"/>
      <c r="AP735" s="9"/>
      <c r="AQ735" s="9"/>
      <c r="AR735" s="8"/>
      <c r="AS735" s="8"/>
      <c r="AT735" s="8"/>
      <c r="AU735" s="8"/>
      <c r="AV735" s="8"/>
      <c r="AW735" s="8"/>
      <c r="AX735" s="8"/>
      <c r="AY735" s="8"/>
      <c r="AZ735" s="8"/>
    </row>
    <row r="736" spans="21:52" ht="16.899999999999999">
      <c r="U736" s="8"/>
      <c r="W736" s="10"/>
      <c r="X736" s="10"/>
      <c r="Z736" s="13"/>
      <c r="AA736" s="13"/>
      <c r="AB736" s="13"/>
      <c r="AC736" s="9"/>
      <c r="AD736" s="9"/>
      <c r="AE736" s="11"/>
      <c r="AF736" s="10"/>
      <c r="AG736" s="11"/>
      <c r="AH736" s="10"/>
      <c r="AI736" s="11"/>
      <c r="AJ736" s="10"/>
      <c r="AK736" s="10"/>
      <c r="AL736" s="10"/>
      <c r="AM736" s="8"/>
      <c r="AN736" s="8"/>
      <c r="AO736" s="9"/>
      <c r="AP736" s="9"/>
      <c r="AQ736" s="9"/>
      <c r="AR736" s="8"/>
      <c r="AS736" s="8"/>
      <c r="AT736" s="8"/>
      <c r="AU736" s="8"/>
      <c r="AV736" s="8"/>
      <c r="AW736" s="8"/>
      <c r="AX736" s="8"/>
      <c r="AY736" s="8"/>
      <c r="AZ736" s="8"/>
    </row>
    <row r="737" spans="21:52" ht="16.899999999999999">
      <c r="U737" s="8"/>
      <c r="W737" s="10"/>
      <c r="X737" s="10"/>
      <c r="Z737" s="13"/>
      <c r="AA737" s="13"/>
      <c r="AB737" s="13"/>
      <c r="AC737" s="9"/>
      <c r="AD737" s="9"/>
      <c r="AE737" s="11"/>
      <c r="AF737" s="10"/>
      <c r="AG737" s="11"/>
      <c r="AH737" s="10"/>
      <c r="AI737" s="11"/>
      <c r="AJ737" s="10"/>
      <c r="AK737" s="10"/>
      <c r="AL737" s="10"/>
      <c r="AM737" s="8"/>
      <c r="AN737" s="8"/>
      <c r="AO737" s="9"/>
      <c r="AP737" s="9"/>
      <c r="AQ737" s="9"/>
      <c r="AR737" s="8"/>
      <c r="AS737" s="8"/>
      <c r="AT737" s="8"/>
      <c r="AU737" s="8"/>
      <c r="AV737" s="8"/>
      <c r="AW737" s="8"/>
      <c r="AX737" s="8"/>
      <c r="AY737" s="8"/>
      <c r="AZ737" s="8"/>
    </row>
    <row r="738" spans="21:52" ht="16.899999999999999">
      <c r="U738" s="8"/>
      <c r="W738" s="10"/>
      <c r="X738" s="10"/>
      <c r="Z738" s="13"/>
      <c r="AA738" s="13"/>
      <c r="AB738" s="13"/>
      <c r="AC738" s="9"/>
      <c r="AD738" s="9"/>
      <c r="AE738" s="11"/>
      <c r="AF738" s="10"/>
      <c r="AG738" s="11"/>
      <c r="AH738" s="10"/>
      <c r="AI738" s="11"/>
      <c r="AJ738" s="10"/>
      <c r="AK738" s="10"/>
      <c r="AL738" s="10"/>
      <c r="AM738" s="8"/>
      <c r="AN738" s="8"/>
      <c r="AO738" s="9"/>
      <c r="AP738" s="9"/>
      <c r="AQ738" s="9"/>
      <c r="AR738" s="8"/>
      <c r="AS738" s="8"/>
      <c r="AT738" s="8"/>
      <c r="AU738" s="8"/>
      <c r="AV738" s="8"/>
      <c r="AW738" s="8"/>
      <c r="AX738" s="8"/>
      <c r="AY738" s="8"/>
      <c r="AZ738" s="8"/>
    </row>
    <row r="739" spans="21:52" ht="16.899999999999999">
      <c r="U739" s="8"/>
      <c r="W739" s="10"/>
      <c r="X739" s="10"/>
      <c r="Z739" s="13"/>
      <c r="AA739" s="13"/>
      <c r="AB739" s="13"/>
      <c r="AC739" s="9"/>
      <c r="AD739" s="9"/>
      <c r="AE739" s="11"/>
      <c r="AF739" s="10"/>
      <c r="AG739" s="11"/>
      <c r="AH739" s="10"/>
      <c r="AI739" s="11"/>
      <c r="AJ739" s="10"/>
      <c r="AK739" s="10"/>
      <c r="AL739" s="10"/>
      <c r="AM739" s="8"/>
      <c r="AN739" s="8"/>
      <c r="AO739" s="9"/>
      <c r="AP739" s="9"/>
      <c r="AQ739" s="9"/>
      <c r="AR739" s="8"/>
      <c r="AS739" s="8"/>
      <c r="AT739" s="8"/>
      <c r="AU739" s="8"/>
      <c r="AV739" s="8"/>
      <c r="AW739" s="8"/>
      <c r="AX739" s="8"/>
      <c r="AY739" s="8"/>
      <c r="AZ739" s="8"/>
    </row>
    <row r="740" spans="21:52" ht="16.899999999999999">
      <c r="U740" s="8"/>
      <c r="W740" s="10"/>
      <c r="X740" s="10"/>
      <c r="Z740" s="13"/>
      <c r="AA740" s="13"/>
      <c r="AB740" s="13"/>
      <c r="AC740" s="9"/>
      <c r="AD740" s="9"/>
      <c r="AE740" s="11"/>
      <c r="AF740" s="10"/>
      <c r="AG740" s="11"/>
      <c r="AH740" s="10"/>
      <c r="AI740" s="11"/>
      <c r="AJ740" s="10"/>
      <c r="AK740" s="10"/>
      <c r="AL740" s="10"/>
      <c r="AM740" s="8"/>
      <c r="AN740" s="8"/>
      <c r="AO740" s="9"/>
      <c r="AP740" s="9"/>
      <c r="AQ740" s="9"/>
      <c r="AR740" s="8"/>
      <c r="AS740" s="8"/>
      <c r="AT740" s="8"/>
      <c r="AU740" s="8"/>
      <c r="AV740" s="8"/>
      <c r="AW740" s="8"/>
      <c r="AX740" s="8"/>
      <c r="AY740" s="8"/>
      <c r="AZ740" s="8"/>
    </row>
    <row r="741" spans="21:52" ht="16.899999999999999">
      <c r="U741" s="8"/>
      <c r="W741" s="10"/>
      <c r="X741" s="10"/>
      <c r="Z741" s="13"/>
      <c r="AA741" s="13"/>
      <c r="AB741" s="13"/>
      <c r="AC741" s="9"/>
      <c r="AD741" s="9"/>
      <c r="AE741" s="11"/>
      <c r="AF741" s="10"/>
      <c r="AG741" s="11"/>
      <c r="AH741" s="10"/>
      <c r="AI741" s="11"/>
      <c r="AJ741" s="10"/>
      <c r="AK741" s="10"/>
      <c r="AL741" s="10"/>
      <c r="AM741" s="8"/>
      <c r="AN741" s="8"/>
      <c r="AO741" s="9"/>
      <c r="AP741" s="9"/>
      <c r="AQ741" s="9"/>
      <c r="AR741" s="8"/>
      <c r="AS741" s="8"/>
      <c r="AT741" s="8"/>
      <c r="AU741" s="8"/>
      <c r="AV741" s="8"/>
      <c r="AW741" s="8"/>
      <c r="AX741" s="8"/>
      <c r="AY741" s="8"/>
      <c r="AZ741" s="8"/>
    </row>
    <row r="742" spans="21:52" ht="16.899999999999999">
      <c r="U742" s="8"/>
      <c r="W742" s="10"/>
      <c r="X742" s="10"/>
      <c r="Z742" s="13"/>
      <c r="AA742" s="13"/>
      <c r="AB742" s="13"/>
      <c r="AC742" s="9"/>
      <c r="AD742" s="9"/>
      <c r="AE742" s="11"/>
      <c r="AF742" s="10"/>
      <c r="AG742" s="11"/>
      <c r="AH742" s="10"/>
      <c r="AI742" s="11"/>
      <c r="AJ742" s="10"/>
      <c r="AK742" s="10"/>
      <c r="AL742" s="10"/>
      <c r="AM742" s="8"/>
      <c r="AN742" s="8"/>
      <c r="AO742" s="9"/>
      <c r="AP742" s="9"/>
      <c r="AQ742" s="9"/>
      <c r="AR742" s="8"/>
      <c r="AS742" s="8"/>
      <c r="AT742" s="8"/>
      <c r="AU742" s="8"/>
      <c r="AV742" s="8"/>
      <c r="AW742" s="8"/>
      <c r="AX742" s="8"/>
      <c r="AY742" s="8"/>
      <c r="AZ742" s="8"/>
    </row>
    <row r="743" spans="21:52" ht="16.899999999999999">
      <c r="U743" s="8"/>
      <c r="W743" s="10"/>
      <c r="X743" s="10"/>
      <c r="Z743" s="13"/>
      <c r="AA743" s="13"/>
      <c r="AB743" s="13"/>
      <c r="AC743" s="9"/>
      <c r="AD743" s="9"/>
      <c r="AE743" s="11"/>
      <c r="AF743" s="10"/>
      <c r="AG743" s="11"/>
      <c r="AH743" s="10"/>
      <c r="AI743" s="11"/>
      <c r="AJ743" s="10"/>
      <c r="AK743" s="10"/>
      <c r="AL743" s="10"/>
      <c r="AM743" s="8"/>
      <c r="AN743" s="8"/>
      <c r="AO743" s="9"/>
      <c r="AP743" s="9"/>
      <c r="AQ743" s="9"/>
      <c r="AR743" s="8"/>
      <c r="AS743" s="8"/>
      <c r="AT743" s="8"/>
      <c r="AU743" s="8"/>
      <c r="AV743" s="8"/>
      <c r="AW743" s="8"/>
      <c r="AX743" s="8"/>
      <c r="AY743" s="8"/>
      <c r="AZ743" s="8"/>
    </row>
    <row r="744" spans="21:52" ht="16.899999999999999">
      <c r="U744" s="8"/>
      <c r="W744" s="10"/>
      <c r="X744" s="10"/>
      <c r="Z744" s="13"/>
      <c r="AA744" s="13"/>
      <c r="AB744" s="13"/>
      <c r="AC744" s="9"/>
      <c r="AD744" s="9"/>
      <c r="AE744" s="11"/>
      <c r="AF744" s="10"/>
      <c r="AG744" s="11"/>
      <c r="AH744" s="10"/>
      <c r="AI744" s="11"/>
      <c r="AJ744" s="10"/>
      <c r="AK744" s="10"/>
      <c r="AL744" s="10"/>
      <c r="AM744" s="8"/>
      <c r="AN744" s="8"/>
      <c r="AO744" s="9"/>
      <c r="AP744" s="9"/>
      <c r="AQ744" s="9"/>
      <c r="AR744" s="8"/>
      <c r="AS744" s="8"/>
      <c r="AT744" s="8"/>
      <c r="AU744" s="8"/>
      <c r="AV744" s="8"/>
      <c r="AW744" s="8"/>
      <c r="AX744" s="8"/>
      <c r="AY744" s="8"/>
      <c r="AZ744" s="8"/>
    </row>
    <row r="745" spans="21:52" ht="16.899999999999999">
      <c r="U745" s="8"/>
      <c r="W745" s="10"/>
      <c r="X745" s="10"/>
      <c r="Z745" s="13"/>
      <c r="AA745" s="13"/>
      <c r="AB745" s="13"/>
      <c r="AC745" s="9"/>
      <c r="AD745" s="9"/>
      <c r="AE745" s="11"/>
      <c r="AF745" s="10"/>
      <c r="AG745" s="11"/>
      <c r="AH745" s="10"/>
      <c r="AI745" s="11"/>
      <c r="AJ745" s="10"/>
      <c r="AK745" s="10"/>
      <c r="AL745" s="10"/>
      <c r="AM745" s="8"/>
      <c r="AN745" s="8"/>
      <c r="AO745" s="9"/>
      <c r="AP745" s="9"/>
      <c r="AQ745" s="9"/>
      <c r="AR745" s="8"/>
      <c r="AS745" s="8"/>
      <c r="AT745" s="8"/>
      <c r="AU745" s="8"/>
      <c r="AV745" s="8"/>
      <c r="AW745" s="8"/>
      <c r="AX745" s="8"/>
      <c r="AY745" s="8"/>
      <c r="AZ745" s="8"/>
    </row>
    <row r="746" spans="21:52" ht="16.899999999999999">
      <c r="U746" s="8"/>
      <c r="W746" s="10"/>
      <c r="X746" s="10"/>
      <c r="Z746" s="13"/>
      <c r="AA746" s="13"/>
      <c r="AB746" s="13"/>
      <c r="AC746" s="9"/>
      <c r="AD746" s="9"/>
      <c r="AE746" s="11"/>
      <c r="AF746" s="10"/>
      <c r="AG746" s="11"/>
      <c r="AH746" s="10"/>
      <c r="AI746" s="11"/>
      <c r="AJ746" s="10"/>
      <c r="AK746" s="10"/>
      <c r="AL746" s="10"/>
      <c r="AM746" s="8"/>
      <c r="AN746" s="8"/>
      <c r="AO746" s="9"/>
      <c r="AP746" s="9"/>
      <c r="AQ746" s="9"/>
      <c r="AR746" s="8"/>
      <c r="AS746" s="8"/>
      <c r="AT746" s="8"/>
      <c r="AU746" s="8"/>
      <c r="AV746" s="8"/>
      <c r="AW746" s="8"/>
      <c r="AX746" s="8"/>
      <c r="AY746" s="8"/>
      <c r="AZ746" s="8"/>
    </row>
    <row r="747" spans="21:52" ht="16.899999999999999">
      <c r="U747" s="8"/>
      <c r="W747" s="10"/>
      <c r="X747" s="10"/>
      <c r="Z747" s="13"/>
      <c r="AA747" s="13"/>
      <c r="AB747" s="13"/>
      <c r="AC747" s="9"/>
      <c r="AD747" s="9"/>
      <c r="AE747" s="11"/>
      <c r="AF747" s="10"/>
      <c r="AG747" s="11"/>
      <c r="AH747" s="10"/>
      <c r="AI747" s="11"/>
      <c r="AJ747" s="10"/>
      <c r="AK747" s="10"/>
      <c r="AL747" s="10"/>
      <c r="AM747" s="8"/>
      <c r="AN747" s="8"/>
      <c r="AO747" s="9"/>
      <c r="AP747" s="9"/>
      <c r="AQ747" s="9"/>
      <c r="AR747" s="8"/>
      <c r="AS747" s="8"/>
      <c r="AT747" s="8"/>
      <c r="AU747" s="8"/>
      <c r="AV747" s="8"/>
      <c r="AW747" s="8"/>
      <c r="AX747" s="8"/>
      <c r="AY747" s="8"/>
      <c r="AZ747" s="8"/>
    </row>
    <row r="748" spans="21:52" ht="16.899999999999999">
      <c r="U748" s="8"/>
      <c r="W748" s="10"/>
      <c r="X748" s="10"/>
      <c r="Z748" s="13"/>
      <c r="AA748" s="13"/>
      <c r="AB748" s="13"/>
      <c r="AC748" s="9"/>
      <c r="AD748" s="9"/>
      <c r="AE748" s="11"/>
      <c r="AF748" s="10"/>
      <c r="AG748" s="11"/>
      <c r="AH748" s="10"/>
      <c r="AI748" s="11"/>
      <c r="AJ748" s="10"/>
      <c r="AK748" s="10"/>
      <c r="AL748" s="10"/>
      <c r="AM748" s="8"/>
      <c r="AN748" s="8"/>
      <c r="AO748" s="9"/>
      <c r="AP748" s="9"/>
      <c r="AQ748" s="9"/>
      <c r="AR748" s="8"/>
      <c r="AS748" s="8"/>
      <c r="AT748" s="8"/>
      <c r="AU748" s="8"/>
      <c r="AV748" s="8"/>
      <c r="AW748" s="8"/>
      <c r="AX748" s="8"/>
      <c r="AY748" s="8"/>
      <c r="AZ748" s="8"/>
    </row>
    <row r="749" spans="21:52" ht="16.899999999999999">
      <c r="U749" s="8"/>
      <c r="W749" s="10"/>
      <c r="X749" s="10"/>
      <c r="Z749" s="13"/>
      <c r="AA749" s="13"/>
      <c r="AB749" s="13"/>
      <c r="AC749" s="9"/>
      <c r="AD749" s="9"/>
      <c r="AE749" s="11"/>
      <c r="AF749" s="10"/>
      <c r="AG749" s="11"/>
      <c r="AH749" s="10"/>
      <c r="AI749" s="11"/>
      <c r="AJ749" s="10"/>
      <c r="AK749" s="10"/>
      <c r="AL749" s="10"/>
      <c r="AM749" s="8"/>
      <c r="AN749" s="8"/>
      <c r="AO749" s="9"/>
      <c r="AP749" s="9"/>
      <c r="AQ749" s="9"/>
      <c r="AR749" s="8"/>
      <c r="AS749" s="8"/>
      <c r="AT749" s="8"/>
      <c r="AU749" s="8"/>
      <c r="AV749" s="8"/>
      <c r="AW749" s="8"/>
      <c r="AX749" s="8"/>
      <c r="AY749" s="8"/>
      <c r="AZ749" s="8"/>
    </row>
    <row r="750" spans="21:52" ht="16.899999999999999">
      <c r="U750" s="8"/>
      <c r="W750" s="10"/>
      <c r="X750" s="10"/>
      <c r="Z750" s="13"/>
      <c r="AA750" s="13"/>
      <c r="AB750" s="13"/>
      <c r="AC750" s="9"/>
      <c r="AD750" s="9"/>
      <c r="AE750" s="11"/>
      <c r="AF750" s="10"/>
      <c r="AG750" s="11"/>
      <c r="AH750" s="10"/>
      <c r="AI750" s="11"/>
      <c r="AJ750" s="10"/>
      <c r="AK750" s="10"/>
      <c r="AL750" s="10"/>
      <c r="AM750" s="8"/>
      <c r="AN750" s="8"/>
      <c r="AO750" s="9"/>
      <c r="AP750" s="9"/>
      <c r="AQ750" s="9"/>
      <c r="AR750" s="8"/>
      <c r="AS750" s="8"/>
      <c r="AT750" s="8"/>
      <c r="AU750" s="8"/>
      <c r="AV750" s="8"/>
      <c r="AW750" s="8"/>
      <c r="AX750" s="8"/>
      <c r="AY750" s="8"/>
      <c r="AZ750" s="8"/>
    </row>
    <row r="751" spans="21:52" ht="16.899999999999999">
      <c r="U751" s="8"/>
      <c r="W751" s="10"/>
      <c r="X751" s="10"/>
      <c r="Z751" s="13"/>
      <c r="AA751" s="13"/>
      <c r="AB751" s="13"/>
      <c r="AC751" s="9"/>
      <c r="AD751" s="9"/>
      <c r="AE751" s="11"/>
      <c r="AF751" s="10"/>
      <c r="AG751" s="11"/>
      <c r="AH751" s="10"/>
      <c r="AI751" s="11"/>
      <c r="AJ751" s="10"/>
      <c r="AK751" s="10"/>
      <c r="AL751" s="10"/>
      <c r="AM751" s="8"/>
      <c r="AN751" s="8"/>
      <c r="AO751" s="9"/>
      <c r="AP751" s="9"/>
      <c r="AQ751" s="9"/>
      <c r="AR751" s="8"/>
      <c r="AS751" s="8"/>
      <c r="AT751" s="8"/>
      <c r="AU751" s="8"/>
      <c r="AV751" s="8"/>
      <c r="AW751" s="8"/>
      <c r="AX751" s="8"/>
      <c r="AY751" s="8"/>
      <c r="AZ751" s="8"/>
    </row>
    <row r="752" spans="21:52" ht="16.899999999999999">
      <c r="U752" s="8"/>
      <c r="W752" s="10"/>
      <c r="X752" s="10"/>
      <c r="Z752" s="13"/>
      <c r="AA752" s="13"/>
      <c r="AB752" s="13"/>
      <c r="AC752" s="9"/>
      <c r="AD752" s="9"/>
      <c r="AE752" s="11"/>
      <c r="AF752" s="10"/>
      <c r="AG752" s="11"/>
      <c r="AH752" s="10"/>
      <c r="AI752" s="11"/>
      <c r="AJ752" s="10"/>
      <c r="AK752" s="10"/>
      <c r="AL752" s="10"/>
      <c r="AM752" s="8"/>
      <c r="AN752" s="8"/>
      <c r="AO752" s="9"/>
      <c r="AP752" s="9"/>
      <c r="AQ752" s="9"/>
      <c r="AR752" s="8"/>
      <c r="AS752" s="8"/>
      <c r="AT752" s="8"/>
      <c r="AU752" s="8"/>
      <c r="AV752" s="8"/>
      <c r="AW752" s="8"/>
      <c r="AX752" s="8"/>
      <c r="AY752" s="8"/>
      <c r="AZ752" s="8"/>
    </row>
    <row r="753" spans="21:52" ht="16.899999999999999">
      <c r="U753" s="8"/>
      <c r="W753" s="10"/>
      <c r="X753" s="10"/>
      <c r="Z753" s="13"/>
      <c r="AA753" s="13"/>
      <c r="AB753" s="13"/>
      <c r="AC753" s="9"/>
      <c r="AD753" s="9"/>
      <c r="AE753" s="11"/>
      <c r="AF753" s="10"/>
      <c r="AG753" s="11"/>
      <c r="AH753" s="10"/>
      <c r="AI753" s="11"/>
      <c r="AJ753" s="10"/>
      <c r="AK753" s="10"/>
      <c r="AL753" s="10"/>
      <c r="AM753" s="8"/>
      <c r="AN753" s="8"/>
      <c r="AO753" s="9"/>
      <c r="AP753" s="9"/>
      <c r="AQ753" s="9"/>
      <c r="AR753" s="8"/>
      <c r="AS753" s="8"/>
      <c r="AT753" s="8"/>
      <c r="AU753" s="8"/>
      <c r="AV753" s="8"/>
      <c r="AW753" s="8"/>
      <c r="AX753" s="8"/>
      <c r="AY753" s="8"/>
      <c r="AZ753" s="8"/>
    </row>
    <row r="754" spans="21:52" ht="16.899999999999999">
      <c r="U754" s="8"/>
      <c r="W754" s="10"/>
      <c r="X754" s="10"/>
      <c r="Z754" s="13"/>
      <c r="AA754" s="13"/>
      <c r="AB754" s="13"/>
      <c r="AC754" s="9"/>
      <c r="AD754" s="9"/>
      <c r="AE754" s="11"/>
      <c r="AF754" s="10"/>
      <c r="AG754" s="11"/>
      <c r="AH754" s="10"/>
      <c r="AI754" s="11"/>
      <c r="AJ754" s="10"/>
      <c r="AK754" s="10"/>
      <c r="AL754" s="10"/>
      <c r="AM754" s="8"/>
      <c r="AN754" s="8"/>
      <c r="AO754" s="9"/>
      <c r="AP754" s="9"/>
      <c r="AQ754" s="9"/>
      <c r="AR754" s="8"/>
      <c r="AS754" s="8"/>
      <c r="AT754" s="8"/>
      <c r="AU754" s="8"/>
      <c r="AV754" s="8"/>
      <c r="AW754" s="8"/>
      <c r="AX754" s="8"/>
      <c r="AY754" s="8"/>
      <c r="AZ754" s="8"/>
    </row>
    <row r="755" spans="21:52" ht="16.899999999999999">
      <c r="U755" s="8"/>
      <c r="W755" s="10"/>
      <c r="X755" s="10"/>
      <c r="Z755" s="13"/>
      <c r="AA755" s="13"/>
      <c r="AB755" s="13"/>
      <c r="AC755" s="9"/>
      <c r="AD755" s="9"/>
      <c r="AE755" s="11"/>
      <c r="AF755" s="10"/>
      <c r="AG755" s="11"/>
      <c r="AH755" s="10"/>
      <c r="AI755" s="11"/>
      <c r="AJ755" s="10"/>
      <c r="AK755" s="10"/>
      <c r="AL755" s="10"/>
      <c r="AM755" s="8"/>
      <c r="AN755" s="8"/>
      <c r="AO755" s="9"/>
      <c r="AP755" s="9"/>
      <c r="AQ755" s="9"/>
      <c r="AR755" s="8"/>
      <c r="AS755" s="8"/>
      <c r="AT755" s="8"/>
      <c r="AU755" s="8"/>
      <c r="AV755" s="8"/>
      <c r="AW755" s="8"/>
      <c r="AX755" s="8"/>
      <c r="AY755" s="8"/>
      <c r="AZ755" s="8"/>
    </row>
    <row r="756" spans="21:52" ht="16.899999999999999">
      <c r="U756" s="8"/>
      <c r="W756" s="10"/>
      <c r="X756" s="10"/>
      <c r="Z756" s="13"/>
      <c r="AA756" s="13"/>
      <c r="AB756" s="13"/>
      <c r="AC756" s="9"/>
      <c r="AD756" s="9"/>
      <c r="AE756" s="11"/>
      <c r="AF756" s="10"/>
      <c r="AG756" s="11"/>
      <c r="AH756" s="10"/>
      <c r="AI756" s="11"/>
      <c r="AJ756" s="10"/>
      <c r="AK756" s="10"/>
      <c r="AL756" s="10"/>
      <c r="AM756" s="8"/>
      <c r="AN756" s="8"/>
      <c r="AO756" s="9"/>
      <c r="AP756" s="9"/>
      <c r="AQ756" s="9"/>
      <c r="AR756" s="8"/>
      <c r="AS756" s="8"/>
      <c r="AT756" s="8"/>
      <c r="AU756" s="8"/>
      <c r="AV756" s="8"/>
      <c r="AW756" s="8"/>
      <c r="AX756" s="8"/>
      <c r="AY756" s="8"/>
      <c r="AZ756" s="8"/>
    </row>
    <row r="757" spans="21:52" ht="16.899999999999999">
      <c r="U757" s="8"/>
      <c r="W757" s="10"/>
      <c r="X757" s="10"/>
      <c r="Z757" s="13"/>
      <c r="AA757" s="13"/>
      <c r="AB757" s="13"/>
      <c r="AC757" s="9"/>
      <c r="AD757" s="9"/>
      <c r="AE757" s="11"/>
      <c r="AF757" s="10"/>
      <c r="AG757" s="11"/>
      <c r="AH757" s="10"/>
      <c r="AI757" s="11"/>
      <c r="AJ757" s="10"/>
      <c r="AK757" s="10"/>
      <c r="AL757" s="10"/>
      <c r="AM757" s="8"/>
      <c r="AN757" s="8"/>
      <c r="AO757" s="9"/>
      <c r="AP757" s="9"/>
      <c r="AQ757" s="9"/>
      <c r="AR757" s="8"/>
      <c r="AS757" s="8"/>
      <c r="AT757" s="8"/>
      <c r="AU757" s="8"/>
      <c r="AV757" s="8"/>
      <c r="AW757" s="8"/>
      <c r="AX757" s="8"/>
      <c r="AY757" s="8"/>
      <c r="AZ757" s="8"/>
    </row>
    <row r="758" spans="21:52" ht="16.899999999999999">
      <c r="U758" s="8"/>
      <c r="W758" s="10"/>
      <c r="X758" s="10"/>
      <c r="Z758" s="13"/>
      <c r="AA758" s="13"/>
      <c r="AB758" s="13"/>
      <c r="AC758" s="9"/>
      <c r="AD758" s="9"/>
      <c r="AE758" s="11"/>
      <c r="AF758" s="10"/>
      <c r="AG758" s="11"/>
      <c r="AH758" s="10"/>
      <c r="AI758" s="11"/>
      <c r="AJ758" s="10"/>
      <c r="AK758" s="10"/>
      <c r="AL758" s="10"/>
      <c r="AM758" s="8"/>
      <c r="AN758" s="8"/>
      <c r="AO758" s="9"/>
      <c r="AP758" s="9"/>
      <c r="AQ758" s="9"/>
      <c r="AR758" s="8"/>
      <c r="AS758" s="8"/>
      <c r="AT758" s="8"/>
      <c r="AU758" s="8"/>
      <c r="AV758" s="8"/>
      <c r="AW758" s="8"/>
      <c r="AX758" s="8"/>
      <c r="AY758" s="8"/>
      <c r="AZ758" s="8"/>
    </row>
    <row r="759" spans="21:52" ht="16.899999999999999">
      <c r="U759" s="8"/>
      <c r="W759" s="10"/>
      <c r="X759" s="10"/>
      <c r="Z759" s="13"/>
      <c r="AA759" s="13"/>
      <c r="AB759" s="13"/>
      <c r="AC759" s="9"/>
      <c r="AD759" s="9"/>
      <c r="AE759" s="11"/>
      <c r="AF759" s="10"/>
      <c r="AG759" s="11"/>
      <c r="AH759" s="10"/>
      <c r="AI759" s="11"/>
      <c r="AJ759" s="10"/>
      <c r="AK759" s="10"/>
      <c r="AL759" s="10"/>
      <c r="AM759" s="8"/>
      <c r="AN759" s="8"/>
      <c r="AO759" s="9"/>
      <c r="AP759" s="9"/>
      <c r="AQ759" s="9"/>
      <c r="AR759" s="8"/>
      <c r="AS759" s="8"/>
      <c r="AT759" s="8"/>
      <c r="AU759" s="8"/>
      <c r="AV759" s="8"/>
      <c r="AW759" s="8"/>
      <c r="AX759" s="8"/>
      <c r="AY759" s="8"/>
      <c r="AZ759" s="8"/>
    </row>
    <row r="760" spans="21:52" ht="16.899999999999999">
      <c r="U760" s="8"/>
      <c r="W760" s="10"/>
      <c r="X760" s="10"/>
      <c r="Z760" s="13"/>
      <c r="AA760" s="13"/>
      <c r="AB760" s="13"/>
      <c r="AC760" s="9"/>
      <c r="AD760" s="9"/>
      <c r="AE760" s="11"/>
      <c r="AF760" s="10"/>
      <c r="AG760" s="11"/>
      <c r="AH760" s="10"/>
      <c r="AI760" s="11"/>
      <c r="AJ760" s="10"/>
      <c r="AK760" s="10"/>
      <c r="AL760" s="10"/>
      <c r="AM760" s="8"/>
      <c r="AN760" s="8"/>
      <c r="AO760" s="9"/>
      <c r="AP760" s="9"/>
      <c r="AQ760" s="9"/>
      <c r="AR760" s="8"/>
      <c r="AS760" s="8"/>
      <c r="AT760" s="8"/>
      <c r="AU760" s="8"/>
      <c r="AV760" s="8"/>
      <c r="AW760" s="8"/>
      <c r="AX760" s="8"/>
      <c r="AY760" s="8"/>
      <c r="AZ760" s="8"/>
    </row>
    <row r="761" spans="21:52" ht="16.899999999999999">
      <c r="U761" s="8"/>
      <c r="W761" s="10"/>
      <c r="X761" s="10"/>
      <c r="Z761" s="13"/>
      <c r="AA761" s="13"/>
      <c r="AB761" s="13"/>
      <c r="AC761" s="9"/>
      <c r="AD761" s="9"/>
      <c r="AE761" s="11"/>
      <c r="AF761" s="10"/>
      <c r="AG761" s="11"/>
      <c r="AH761" s="10"/>
      <c r="AI761" s="11"/>
      <c r="AJ761" s="10"/>
      <c r="AK761" s="10"/>
      <c r="AL761" s="10"/>
      <c r="AM761" s="8"/>
      <c r="AN761" s="8"/>
      <c r="AO761" s="9"/>
      <c r="AP761" s="9"/>
      <c r="AQ761" s="9"/>
      <c r="AR761" s="8"/>
      <c r="AS761" s="8"/>
      <c r="AT761" s="8"/>
      <c r="AU761" s="8"/>
      <c r="AV761" s="8"/>
      <c r="AW761" s="8"/>
      <c r="AX761" s="8"/>
      <c r="AY761" s="8"/>
      <c r="AZ761" s="8"/>
    </row>
    <row r="762" spans="21:52" ht="16.899999999999999">
      <c r="U762" s="8"/>
      <c r="W762" s="10"/>
      <c r="X762" s="10"/>
      <c r="Z762" s="13"/>
      <c r="AA762" s="13"/>
      <c r="AB762" s="13"/>
      <c r="AC762" s="9"/>
      <c r="AD762" s="9"/>
      <c r="AE762" s="11"/>
      <c r="AF762" s="10"/>
      <c r="AG762" s="11"/>
      <c r="AH762" s="10"/>
      <c r="AI762" s="11"/>
      <c r="AJ762" s="10"/>
      <c r="AK762" s="10"/>
      <c r="AL762" s="10"/>
      <c r="AM762" s="8"/>
      <c r="AN762" s="8"/>
      <c r="AO762" s="9"/>
      <c r="AP762" s="9"/>
      <c r="AQ762" s="9"/>
      <c r="AR762" s="8"/>
      <c r="AS762" s="8"/>
      <c r="AT762" s="8"/>
      <c r="AU762" s="8"/>
      <c r="AV762" s="8"/>
      <c r="AW762" s="8"/>
      <c r="AX762" s="8"/>
      <c r="AY762" s="8"/>
      <c r="AZ762" s="8"/>
    </row>
    <row r="763" spans="21:52" ht="16.899999999999999">
      <c r="U763" s="8"/>
      <c r="W763" s="10"/>
      <c r="X763" s="10"/>
      <c r="Z763" s="13"/>
      <c r="AA763" s="13"/>
      <c r="AB763" s="13"/>
      <c r="AC763" s="9"/>
      <c r="AD763" s="9"/>
      <c r="AE763" s="11"/>
      <c r="AF763" s="10"/>
      <c r="AG763" s="11"/>
      <c r="AH763" s="10"/>
      <c r="AI763" s="11"/>
      <c r="AJ763" s="10"/>
      <c r="AK763" s="10"/>
      <c r="AL763" s="10"/>
      <c r="AM763" s="8"/>
      <c r="AN763" s="8"/>
      <c r="AO763" s="9"/>
      <c r="AP763" s="9"/>
      <c r="AQ763" s="9"/>
      <c r="AR763" s="8"/>
      <c r="AS763" s="8"/>
      <c r="AT763" s="8"/>
      <c r="AU763" s="8"/>
      <c r="AV763" s="8"/>
      <c r="AW763" s="8"/>
      <c r="AX763" s="8"/>
      <c r="AY763" s="8"/>
      <c r="AZ763" s="8"/>
    </row>
    <row r="764" spans="21:52" ht="16.899999999999999">
      <c r="U764" s="8"/>
      <c r="W764" s="10"/>
      <c r="X764" s="10"/>
      <c r="Z764" s="13"/>
      <c r="AA764" s="13"/>
      <c r="AB764" s="13"/>
      <c r="AC764" s="9"/>
      <c r="AD764" s="9"/>
      <c r="AE764" s="11"/>
      <c r="AF764" s="10"/>
      <c r="AG764" s="11"/>
      <c r="AH764" s="10"/>
      <c r="AI764" s="11"/>
      <c r="AJ764" s="10"/>
      <c r="AK764" s="10"/>
      <c r="AL764" s="10"/>
      <c r="AM764" s="8"/>
      <c r="AN764" s="8"/>
      <c r="AO764" s="9"/>
      <c r="AP764" s="9"/>
      <c r="AQ764" s="9"/>
      <c r="AR764" s="8"/>
      <c r="AS764" s="8"/>
      <c r="AT764" s="8"/>
      <c r="AU764" s="8"/>
      <c r="AV764" s="8"/>
      <c r="AW764" s="8"/>
      <c r="AX764" s="8"/>
      <c r="AY764" s="8"/>
      <c r="AZ764" s="8"/>
    </row>
    <row r="765" spans="21:52" ht="16.899999999999999">
      <c r="U765" s="8"/>
      <c r="W765" s="10"/>
      <c r="X765" s="10"/>
      <c r="Z765" s="13"/>
      <c r="AA765" s="13"/>
      <c r="AB765" s="13"/>
      <c r="AC765" s="9"/>
      <c r="AD765" s="9"/>
      <c r="AE765" s="11"/>
      <c r="AF765" s="10"/>
      <c r="AG765" s="11"/>
      <c r="AH765" s="10"/>
      <c r="AI765" s="11"/>
      <c r="AJ765" s="10"/>
      <c r="AK765" s="10"/>
      <c r="AL765" s="10"/>
      <c r="AM765" s="8"/>
      <c r="AN765" s="8"/>
      <c r="AO765" s="9"/>
      <c r="AP765" s="9"/>
      <c r="AQ765" s="9"/>
      <c r="AR765" s="8"/>
      <c r="AS765" s="8"/>
      <c r="AT765" s="8"/>
      <c r="AU765" s="8"/>
      <c r="AV765" s="8"/>
      <c r="AW765" s="8"/>
      <c r="AX765" s="8"/>
      <c r="AY765" s="8"/>
      <c r="AZ765" s="8"/>
    </row>
    <row r="766" spans="21:52" ht="16.899999999999999">
      <c r="U766" s="8"/>
      <c r="W766" s="10"/>
      <c r="X766" s="10"/>
      <c r="Z766" s="13"/>
      <c r="AA766" s="13"/>
      <c r="AB766" s="13"/>
      <c r="AC766" s="9"/>
      <c r="AD766" s="9"/>
      <c r="AE766" s="11"/>
      <c r="AF766" s="10"/>
      <c r="AG766" s="11"/>
      <c r="AH766" s="10"/>
      <c r="AI766" s="11"/>
      <c r="AJ766" s="10"/>
      <c r="AK766" s="10"/>
      <c r="AL766" s="10"/>
      <c r="AM766" s="8"/>
      <c r="AN766" s="8"/>
      <c r="AO766" s="9"/>
      <c r="AP766" s="9"/>
      <c r="AQ766" s="9"/>
      <c r="AR766" s="8"/>
      <c r="AS766" s="8"/>
      <c r="AT766" s="8"/>
      <c r="AU766" s="8"/>
      <c r="AV766" s="8"/>
      <c r="AW766" s="8"/>
      <c r="AX766" s="8"/>
      <c r="AY766" s="8"/>
      <c r="AZ766" s="8"/>
    </row>
    <row r="767" spans="21:52" ht="16.899999999999999">
      <c r="U767" s="8"/>
      <c r="W767" s="10"/>
      <c r="X767" s="10"/>
      <c r="Z767" s="13"/>
      <c r="AA767" s="13"/>
      <c r="AB767" s="13"/>
      <c r="AC767" s="9"/>
      <c r="AD767" s="9"/>
      <c r="AE767" s="11"/>
      <c r="AF767" s="10"/>
      <c r="AG767" s="11"/>
      <c r="AH767" s="10"/>
      <c r="AI767" s="11"/>
      <c r="AJ767" s="10"/>
      <c r="AK767" s="10"/>
      <c r="AL767" s="10"/>
      <c r="AM767" s="8"/>
      <c r="AN767" s="8"/>
      <c r="AO767" s="9"/>
      <c r="AP767" s="9"/>
      <c r="AQ767" s="9"/>
      <c r="AR767" s="8"/>
      <c r="AS767" s="8"/>
      <c r="AT767" s="8"/>
      <c r="AU767" s="8"/>
      <c r="AV767" s="8"/>
      <c r="AW767" s="8"/>
      <c r="AX767" s="8"/>
      <c r="AY767" s="8"/>
      <c r="AZ767" s="8"/>
    </row>
    <row r="768" spans="21:52" ht="16.899999999999999">
      <c r="U768" s="8"/>
      <c r="W768" s="10"/>
      <c r="X768" s="10"/>
      <c r="Z768" s="13"/>
      <c r="AA768" s="13"/>
      <c r="AB768" s="13"/>
      <c r="AC768" s="9"/>
      <c r="AD768" s="9"/>
      <c r="AE768" s="11"/>
      <c r="AF768" s="10"/>
      <c r="AG768" s="11"/>
      <c r="AH768" s="10"/>
      <c r="AI768" s="11"/>
      <c r="AJ768" s="10"/>
      <c r="AK768" s="10"/>
      <c r="AL768" s="10"/>
      <c r="AM768" s="8"/>
      <c r="AN768" s="8"/>
      <c r="AO768" s="9"/>
      <c r="AP768" s="9"/>
      <c r="AQ768" s="9"/>
      <c r="AR768" s="8"/>
      <c r="AS768" s="8"/>
      <c r="AT768" s="8"/>
      <c r="AU768" s="8"/>
      <c r="AV768" s="8"/>
      <c r="AW768" s="8"/>
      <c r="AX768" s="8"/>
      <c r="AY768" s="8"/>
      <c r="AZ768" s="8"/>
    </row>
    <row r="769" spans="21:52" ht="16.899999999999999">
      <c r="U769" s="8"/>
      <c r="W769" s="10"/>
      <c r="X769" s="10"/>
      <c r="Z769" s="13"/>
      <c r="AA769" s="13"/>
      <c r="AB769" s="13"/>
      <c r="AC769" s="9"/>
      <c r="AD769" s="9"/>
      <c r="AE769" s="11"/>
      <c r="AF769" s="10"/>
      <c r="AG769" s="11"/>
      <c r="AH769" s="10"/>
      <c r="AI769" s="11"/>
      <c r="AJ769" s="10"/>
      <c r="AK769" s="10"/>
      <c r="AL769" s="10"/>
      <c r="AM769" s="8"/>
      <c r="AN769" s="8"/>
      <c r="AO769" s="9"/>
      <c r="AP769" s="9"/>
      <c r="AQ769" s="9"/>
      <c r="AR769" s="8"/>
      <c r="AS769" s="8"/>
      <c r="AT769" s="8"/>
      <c r="AU769" s="8"/>
      <c r="AV769" s="8"/>
      <c r="AW769" s="8"/>
      <c r="AX769" s="8"/>
      <c r="AY769" s="8"/>
      <c r="AZ769" s="8"/>
    </row>
    <row r="770" spans="21:52" ht="16.899999999999999">
      <c r="U770" s="8"/>
      <c r="W770" s="10"/>
      <c r="X770" s="10"/>
      <c r="Z770" s="13"/>
      <c r="AA770" s="13"/>
      <c r="AB770" s="13"/>
      <c r="AC770" s="9"/>
      <c r="AD770" s="9"/>
      <c r="AE770" s="11"/>
      <c r="AF770" s="10"/>
      <c r="AG770" s="11"/>
      <c r="AH770" s="10"/>
      <c r="AI770" s="11"/>
      <c r="AJ770" s="10"/>
      <c r="AK770" s="10"/>
      <c r="AL770" s="10"/>
      <c r="AM770" s="8"/>
      <c r="AN770" s="8"/>
      <c r="AO770" s="9"/>
      <c r="AP770" s="9"/>
      <c r="AQ770" s="9"/>
      <c r="AR770" s="8"/>
      <c r="AS770" s="8"/>
      <c r="AT770" s="8"/>
      <c r="AU770" s="8"/>
      <c r="AV770" s="8"/>
      <c r="AW770" s="8"/>
      <c r="AX770" s="8"/>
      <c r="AY770" s="8"/>
      <c r="AZ770" s="8"/>
    </row>
    <row r="771" spans="21:52" ht="16.899999999999999">
      <c r="U771" s="8"/>
      <c r="W771" s="10"/>
      <c r="X771" s="10"/>
      <c r="Z771" s="13"/>
      <c r="AA771" s="13"/>
      <c r="AB771" s="13"/>
      <c r="AC771" s="9"/>
      <c r="AD771" s="9"/>
      <c r="AE771" s="11"/>
      <c r="AF771" s="10"/>
      <c r="AG771" s="11"/>
      <c r="AH771" s="10"/>
      <c r="AI771" s="11"/>
      <c r="AJ771" s="10"/>
      <c r="AK771" s="10"/>
      <c r="AL771" s="10"/>
      <c r="AM771" s="8"/>
      <c r="AN771" s="8"/>
      <c r="AO771" s="9"/>
      <c r="AP771" s="9"/>
      <c r="AQ771" s="9"/>
      <c r="AR771" s="8"/>
      <c r="AS771" s="8"/>
      <c r="AT771" s="8"/>
      <c r="AU771" s="8"/>
      <c r="AV771" s="8"/>
      <c r="AW771" s="8"/>
      <c r="AX771" s="8"/>
      <c r="AY771" s="8"/>
      <c r="AZ771" s="8"/>
    </row>
    <row r="772" spans="21:52" ht="16.899999999999999">
      <c r="U772" s="8"/>
      <c r="W772" s="10"/>
      <c r="X772" s="10"/>
      <c r="Z772" s="13"/>
      <c r="AA772" s="13"/>
      <c r="AB772" s="13"/>
      <c r="AC772" s="9"/>
      <c r="AD772" s="9"/>
      <c r="AE772" s="11"/>
      <c r="AF772" s="10"/>
      <c r="AG772" s="11"/>
      <c r="AH772" s="10"/>
      <c r="AI772" s="11"/>
      <c r="AJ772" s="10"/>
      <c r="AK772" s="10"/>
      <c r="AL772" s="10"/>
      <c r="AM772" s="8"/>
      <c r="AN772" s="8"/>
      <c r="AO772" s="9"/>
      <c r="AP772" s="9"/>
      <c r="AQ772" s="9"/>
      <c r="AR772" s="8"/>
      <c r="AS772" s="8"/>
      <c r="AT772" s="8"/>
      <c r="AU772" s="8"/>
      <c r="AV772" s="8"/>
      <c r="AW772" s="8"/>
      <c r="AX772" s="8"/>
      <c r="AY772" s="8"/>
      <c r="AZ772" s="8"/>
    </row>
    <row r="773" spans="21:52" ht="16.899999999999999">
      <c r="U773" s="8"/>
      <c r="W773" s="10"/>
      <c r="X773" s="10"/>
      <c r="Z773" s="13"/>
      <c r="AA773" s="13"/>
      <c r="AB773" s="13"/>
      <c r="AC773" s="9"/>
      <c r="AD773" s="9"/>
      <c r="AE773" s="11"/>
      <c r="AF773" s="10"/>
      <c r="AG773" s="11"/>
      <c r="AH773" s="10"/>
      <c r="AI773" s="11"/>
      <c r="AJ773" s="10"/>
      <c r="AK773" s="10"/>
      <c r="AL773" s="10"/>
      <c r="AM773" s="8"/>
      <c r="AN773" s="8"/>
      <c r="AO773" s="9"/>
      <c r="AP773" s="9"/>
      <c r="AQ773" s="9"/>
      <c r="AR773" s="8"/>
      <c r="AS773" s="8"/>
      <c r="AT773" s="8"/>
      <c r="AU773" s="8"/>
      <c r="AV773" s="8"/>
      <c r="AW773" s="8"/>
      <c r="AX773" s="8"/>
      <c r="AY773" s="8"/>
      <c r="AZ773" s="8"/>
    </row>
    <row r="774" spans="21:52" ht="16.899999999999999">
      <c r="U774" s="8"/>
      <c r="W774" s="10"/>
      <c r="X774" s="10"/>
      <c r="Z774" s="13"/>
      <c r="AA774" s="13"/>
      <c r="AB774" s="13"/>
      <c r="AC774" s="9"/>
      <c r="AD774" s="9"/>
      <c r="AE774" s="11"/>
      <c r="AF774" s="10"/>
      <c r="AG774" s="11"/>
      <c r="AH774" s="10"/>
      <c r="AI774" s="11"/>
      <c r="AJ774" s="10"/>
      <c r="AK774" s="10"/>
      <c r="AL774" s="10"/>
      <c r="AM774" s="8"/>
      <c r="AN774" s="8"/>
      <c r="AO774" s="9"/>
      <c r="AP774" s="9"/>
      <c r="AQ774" s="9"/>
      <c r="AR774" s="8"/>
      <c r="AS774" s="8"/>
      <c r="AT774" s="8"/>
      <c r="AU774" s="8"/>
      <c r="AV774" s="8"/>
      <c r="AW774" s="8"/>
      <c r="AX774" s="8"/>
      <c r="AY774" s="8"/>
      <c r="AZ774" s="8"/>
    </row>
    <row r="775" spans="21:52" ht="16.899999999999999">
      <c r="U775" s="8"/>
      <c r="W775" s="10"/>
      <c r="X775" s="10"/>
      <c r="Z775" s="13"/>
      <c r="AA775" s="13"/>
      <c r="AB775" s="13"/>
      <c r="AC775" s="9"/>
      <c r="AD775" s="9"/>
      <c r="AE775" s="11"/>
      <c r="AF775" s="10"/>
      <c r="AG775" s="11"/>
      <c r="AH775" s="10"/>
      <c r="AI775" s="11"/>
      <c r="AJ775" s="10"/>
      <c r="AK775" s="10"/>
      <c r="AL775" s="10"/>
      <c r="AM775" s="8"/>
      <c r="AN775" s="8"/>
      <c r="AO775" s="9"/>
      <c r="AP775" s="9"/>
      <c r="AQ775" s="9"/>
      <c r="AR775" s="8"/>
      <c r="AS775" s="8"/>
      <c r="AT775" s="8"/>
      <c r="AU775" s="8"/>
      <c r="AV775" s="8"/>
      <c r="AW775" s="8"/>
      <c r="AX775" s="8"/>
      <c r="AY775" s="8"/>
      <c r="AZ775" s="8"/>
    </row>
    <row r="776" spans="21:52" ht="16.899999999999999">
      <c r="U776" s="8"/>
      <c r="W776" s="10"/>
      <c r="X776" s="10"/>
      <c r="Z776" s="13"/>
      <c r="AA776" s="13"/>
      <c r="AB776" s="13"/>
      <c r="AC776" s="9"/>
      <c r="AD776" s="9"/>
      <c r="AE776" s="11"/>
      <c r="AF776" s="10"/>
      <c r="AG776" s="11"/>
      <c r="AH776" s="10"/>
      <c r="AI776" s="11"/>
      <c r="AJ776" s="10"/>
      <c r="AK776" s="10"/>
      <c r="AL776" s="10"/>
      <c r="AM776" s="8"/>
      <c r="AN776" s="8"/>
      <c r="AO776" s="9"/>
      <c r="AP776" s="9"/>
      <c r="AQ776" s="9"/>
      <c r="AR776" s="8"/>
      <c r="AS776" s="8"/>
      <c r="AT776" s="8"/>
      <c r="AU776" s="8"/>
      <c r="AV776" s="8"/>
      <c r="AW776" s="8"/>
      <c r="AX776" s="8"/>
      <c r="AY776" s="8"/>
      <c r="AZ776" s="8"/>
    </row>
    <row r="777" spans="21:52" ht="16.899999999999999">
      <c r="U777" s="8"/>
      <c r="W777" s="10"/>
      <c r="X777" s="10"/>
      <c r="Z777" s="13"/>
      <c r="AA777" s="13"/>
      <c r="AB777" s="13"/>
      <c r="AC777" s="9"/>
      <c r="AD777" s="9"/>
      <c r="AE777" s="11"/>
      <c r="AF777" s="10"/>
      <c r="AG777" s="11"/>
      <c r="AH777" s="10"/>
      <c r="AI777" s="11"/>
      <c r="AJ777" s="10"/>
      <c r="AK777" s="10"/>
      <c r="AL777" s="10"/>
      <c r="AM777" s="8"/>
      <c r="AN777" s="8"/>
      <c r="AO777" s="9"/>
      <c r="AP777" s="9"/>
      <c r="AQ777" s="9"/>
      <c r="AR777" s="8"/>
      <c r="AS777" s="8"/>
      <c r="AT777" s="8"/>
      <c r="AU777" s="8"/>
      <c r="AV777" s="8"/>
      <c r="AW777" s="8"/>
      <c r="AX777" s="8"/>
      <c r="AY777" s="8"/>
      <c r="AZ777" s="8"/>
    </row>
    <row r="778" spans="21:52" ht="16.899999999999999">
      <c r="U778" s="8"/>
      <c r="W778" s="10"/>
      <c r="X778" s="10"/>
      <c r="Z778" s="13"/>
      <c r="AA778" s="13"/>
      <c r="AB778" s="13"/>
      <c r="AC778" s="9"/>
      <c r="AD778" s="9"/>
      <c r="AE778" s="11"/>
      <c r="AF778" s="10"/>
      <c r="AG778" s="11"/>
      <c r="AH778" s="10"/>
      <c r="AI778" s="11"/>
      <c r="AJ778" s="10"/>
      <c r="AK778" s="10"/>
      <c r="AL778" s="10"/>
      <c r="AM778" s="8"/>
      <c r="AN778" s="8"/>
      <c r="AO778" s="9"/>
      <c r="AP778" s="9"/>
      <c r="AQ778" s="9"/>
      <c r="AR778" s="8"/>
      <c r="AS778" s="8"/>
      <c r="AT778" s="8"/>
      <c r="AU778" s="8"/>
      <c r="AV778" s="8"/>
      <c r="AW778" s="8"/>
      <c r="AX778" s="8"/>
      <c r="AY778" s="8"/>
      <c r="AZ778" s="8"/>
    </row>
    <row r="779" spans="21:52" ht="16.899999999999999">
      <c r="U779" s="8"/>
      <c r="W779" s="10"/>
      <c r="X779" s="10"/>
      <c r="Z779" s="13"/>
      <c r="AA779" s="13"/>
      <c r="AB779" s="13"/>
      <c r="AC779" s="9"/>
      <c r="AD779" s="9"/>
      <c r="AE779" s="11"/>
      <c r="AF779" s="10"/>
      <c r="AG779" s="11"/>
      <c r="AH779" s="10"/>
      <c r="AI779" s="11"/>
      <c r="AJ779" s="10"/>
      <c r="AK779" s="10"/>
      <c r="AL779" s="10"/>
      <c r="AM779" s="8"/>
      <c r="AN779" s="8"/>
      <c r="AO779" s="9"/>
      <c r="AP779" s="9"/>
      <c r="AQ779" s="9"/>
      <c r="AR779" s="8"/>
      <c r="AS779" s="8"/>
      <c r="AT779" s="8"/>
      <c r="AU779" s="8"/>
      <c r="AV779" s="8"/>
      <c r="AW779" s="8"/>
      <c r="AX779" s="8"/>
      <c r="AY779" s="8"/>
      <c r="AZ779" s="8"/>
    </row>
    <row r="780" spans="21:52" ht="16.899999999999999">
      <c r="U780" s="8"/>
      <c r="W780" s="10"/>
      <c r="X780" s="10"/>
      <c r="Z780" s="13"/>
      <c r="AA780" s="13"/>
      <c r="AB780" s="13"/>
      <c r="AC780" s="9"/>
      <c r="AD780" s="9"/>
      <c r="AE780" s="11"/>
      <c r="AF780" s="10"/>
      <c r="AG780" s="11"/>
      <c r="AH780" s="10"/>
      <c r="AI780" s="11"/>
      <c r="AJ780" s="10"/>
      <c r="AK780" s="10"/>
      <c r="AL780" s="10"/>
      <c r="AM780" s="8"/>
      <c r="AN780" s="8"/>
      <c r="AO780" s="9"/>
      <c r="AP780" s="9"/>
      <c r="AQ780" s="9"/>
      <c r="AR780" s="8"/>
      <c r="AS780" s="8"/>
      <c r="AT780" s="8"/>
      <c r="AU780" s="8"/>
      <c r="AV780" s="8"/>
      <c r="AW780" s="8"/>
      <c r="AX780" s="8"/>
      <c r="AY780" s="8"/>
      <c r="AZ780" s="8"/>
    </row>
    <row r="781" spans="21:52" ht="16.899999999999999">
      <c r="U781" s="8"/>
      <c r="W781" s="10"/>
      <c r="X781" s="10"/>
      <c r="Z781" s="13"/>
      <c r="AA781" s="13"/>
      <c r="AB781" s="13"/>
      <c r="AC781" s="9"/>
      <c r="AD781" s="9"/>
      <c r="AE781" s="11"/>
      <c r="AF781" s="10"/>
      <c r="AG781" s="11"/>
      <c r="AH781" s="10"/>
      <c r="AI781" s="11"/>
      <c r="AJ781" s="10"/>
      <c r="AK781" s="10"/>
      <c r="AL781" s="10"/>
      <c r="AM781" s="8"/>
      <c r="AN781" s="8"/>
      <c r="AO781" s="9"/>
      <c r="AP781" s="9"/>
      <c r="AQ781" s="9"/>
      <c r="AR781" s="8"/>
      <c r="AS781" s="8"/>
      <c r="AT781" s="8"/>
      <c r="AU781" s="8"/>
      <c r="AV781" s="8"/>
      <c r="AW781" s="8"/>
      <c r="AX781" s="8"/>
      <c r="AY781" s="8"/>
      <c r="AZ781" s="8"/>
    </row>
    <row r="782" spans="21:52" ht="16.899999999999999">
      <c r="U782" s="8"/>
      <c r="W782" s="10"/>
      <c r="X782" s="10"/>
      <c r="Z782" s="13"/>
      <c r="AA782" s="13"/>
      <c r="AB782" s="13"/>
      <c r="AC782" s="9"/>
      <c r="AD782" s="9"/>
      <c r="AE782" s="11"/>
      <c r="AF782" s="10"/>
      <c r="AG782" s="11"/>
      <c r="AH782" s="10"/>
      <c r="AI782" s="11"/>
      <c r="AJ782" s="10"/>
      <c r="AK782" s="10"/>
      <c r="AL782" s="10"/>
      <c r="AM782" s="8"/>
      <c r="AN782" s="8"/>
      <c r="AO782" s="9"/>
      <c r="AP782" s="9"/>
      <c r="AQ782" s="9"/>
      <c r="AR782" s="8"/>
      <c r="AS782" s="8"/>
      <c r="AT782" s="8"/>
      <c r="AU782" s="8"/>
      <c r="AV782" s="8"/>
      <c r="AW782" s="8"/>
      <c r="AX782" s="8"/>
      <c r="AY782" s="8"/>
      <c r="AZ782" s="8"/>
    </row>
    <row r="783" spans="21:52" ht="16.899999999999999">
      <c r="U783" s="8"/>
      <c r="W783" s="10"/>
      <c r="X783" s="10"/>
      <c r="Z783" s="13"/>
      <c r="AA783" s="13"/>
      <c r="AB783" s="13"/>
      <c r="AC783" s="9"/>
      <c r="AD783" s="9"/>
      <c r="AE783" s="11"/>
      <c r="AF783" s="10"/>
      <c r="AG783" s="11"/>
      <c r="AH783" s="10"/>
      <c r="AI783" s="11"/>
      <c r="AJ783" s="10"/>
      <c r="AK783" s="10"/>
      <c r="AL783" s="10"/>
      <c r="AM783" s="8"/>
      <c r="AN783" s="8"/>
      <c r="AO783" s="9"/>
      <c r="AP783" s="9"/>
      <c r="AQ783" s="9"/>
      <c r="AR783" s="8"/>
      <c r="AS783" s="8"/>
      <c r="AT783" s="8"/>
      <c r="AU783" s="8"/>
      <c r="AV783" s="8"/>
      <c r="AW783" s="8"/>
      <c r="AX783" s="8"/>
      <c r="AY783" s="8"/>
      <c r="AZ783" s="8"/>
    </row>
    <row r="784" spans="21:52" ht="16.899999999999999">
      <c r="U784" s="8"/>
      <c r="W784" s="10"/>
      <c r="X784" s="10"/>
      <c r="Z784" s="13"/>
      <c r="AA784" s="13"/>
      <c r="AB784" s="13"/>
      <c r="AC784" s="9"/>
      <c r="AD784" s="9"/>
      <c r="AE784" s="11"/>
      <c r="AF784" s="10"/>
      <c r="AG784" s="11"/>
      <c r="AH784" s="10"/>
      <c r="AI784" s="11"/>
      <c r="AJ784" s="10"/>
      <c r="AK784" s="10"/>
      <c r="AL784" s="10"/>
      <c r="AM784" s="8"/>
      <c r="AN784" s="8"/>
      <c r="AO784" s="9"/>
      <c r="AP784" s="9"/>
      <c r="AQ784" s="9"/>
      <c r="AR784" s="8"/>
      <c r="AS784" s="8"/>
      <c r="AT784" s="8"/>
      <c r="AU784" s="8"/>
      <c r="AV784" s="8"/>
      <c r="AW784" s="8"/>
      <c r="AX784" s="8"/>
      <c r="AY784" s="8"/>
      <c r="AZ784" s="8"/>
    </row>
    <row r="785" spans="21:52" ht="16.899999999999999">
      <c r="U785" s="8"/>
      <c r="W785" s="10"/>
      <c r="X785" s="10"/>
      <c r="Z785" s="13"/>
      <c r="AA785" s="13"/>
      <c r="AB785" s="13"/>
      <c r="AC785" s="9"/>
      <c r="AD785" s="9"/>
      <c r="AE785" s="11"/>
      <c r="AF785" s="10"/>
      <c r="AG785" s="11"/>
      <c r="AH785" s="10"/>
      <c r="AI785" s="11"/>
      <c r="AJ785" s="10"/>
      <c r="AK785" s="10"/>
      <c r="AL785" s="10"/>
      <c r="AM785" s="8"/>
      <c r="AN785" s="8"/>
      <c r="AO785" s="9"/>
      <c r="AP785" s="9"/>
      <c r="AQ785" s="9"/>
      <c r="AR785" s="8"/>
      <c r="AS785" s="8"/>
      <c r="AT785" s="8"/>
      <c r="AU785" s="8"/>
      <c r="AV785" s="8"/>
      <c r="AW785" s="8"/>
      <c r="AX785" s="8"/>
      <c r="AY785" s="8"/>
      <c r="AZ785" s="8"/>
    </row>
    <row r="786" spans="21:52" ht="16.899999999999999">
      <c r="U786" s="8"/>
      <c r="W786" s="10"/>
      <c r="X786" s="10"/>
      <c r="Z786" s="13"/>
      <c r="AA786" s="13"/>
      <c r="AB786" s="13"/>
      <c r="AC786" s="9"/>
      <c r="AD786" s="9"/>
      <c r="AE786" s="11"/>
      <c r="AF786" s="10"/>
      <c r="AG786" s="11"/>
      <c r="AH786" s="10"/>
      <c r="AI786" s="11"/>
      <c r="AJ786" s="10"/>
      <c r="AK786" s="10"/>
      <c r="AL786" s="10"/>
      <c r="AM786" s="8"/>
      <c r="AN786" s="8"/>
      <c r="AO786" s="9"/>
      <c r="AP786" s="9"/>
      <c r="AQ786" s="9"/>
      <c r="AR786" s="8"/>
      <c r="AS786" s="8"/>
      <c r="AT786" s="8"/>
      <c r="AU786" s="8"/>
      <c r="AV786" s="8"/>
      <c r="AW786" s="8"/>
      <c r="AX786" s="8"/>
      <c r="AY786" s="8"/>
      <c r="AZ786" s="8"/>
    </row>
    <row r="787" spans="21:52" ht="16.899999999999999">
      <c r="U787" s="8"/>
      <c r="W787" s="10"/>
      <c r="X787" s="10"/>
      <c r="Z787" s="13"/>
      <c r="AA787" s="13"/>
      <c r="AB787" s="13"/>
      <c r="AC787" s="9"/>
      <c r="AD787" s="9"/>
      <c r="AE787" s="11"/>
      <c r="AF787" s="10"/>
      <c r="AG787" s="11"/>
      <c r="AH787" s="10"/>
      <c r="AI787" s="11"/>
      <c r="AJ787" s="10"/>
      <c r="AK787" s="10"/>
      <c r="AL787" s="10"/>
      <c r="AM787" s="8"/>
      <c r="AN787" s="8"/>
      <c r="AO787" s="9"/>
      <c r="AP787" s="9"/>
      <c r="AQ787" s="9"/>
      <c r="AR787" s="8"/>
      <c r="AS787" s="8"/>
      <c r="AT787" s="8"/>
      <c r="AU787" s="8"/>
      <c r="AV787" s="8"/>
      <c r="AW787" s="8"/>
      <c r="AX787" s="8"/>
      <c r="AY787" s="8"/>
      <c r="AZ787" s="8"/>
    </row>
    <row r="788" spans="21:52" ht="16.899999999999999">
      <c r="U788" s="8"/>
      <c r="W788" s="10"/>
      <c r="X788" s="10"/>
      <c r="Z788" s="13"/>
      <c r="AA788" s="13"/>
      <c r="AB788" s="13"/>
      <c r="AC788" s="9"/>
      <c r="AD788" s="9"/>
      <c r="AE788" s="11"/>
      <c r="AF788" s="10"/>
      <c r="AG788" s="11"/>
      <c r="AH788" s="10"/>
      <c r="AI788" s="11"/>
      <c r="AJ788" s="10"/>
      <c r="AK788" s="10"/>
      <c r="AL788" s="10"/>
      <c r="AM788" s="8"/>
      <c r="AN788" s="8"/>
      <c r="AO788" s="9"/>
      <c r="AP788" s="9"/>
      <c r="AQ788" s="9"/>
      <c r="AR788" s="8"/>
      <c r="AS788" s="8"/>
      <c r="AT788" s="8"/>
      <c r="AU788" s="8"/>
      <c r="AV788" s="8"/>
      <c r="AW788" s="8"/>
      <c r="AX788" s="8"/>
      <c r="AY788" s="8"/>
      <c r="AZ788" s="8"/>
    </row>
    <row r="789" spans="21:52" ht="16.899999999999999">
      <c r="U789" s="8"/>
      <c r="W789" s="10"/>
      <c r="X789" s="10"/>
      <c r="Z789" s="13"/>
      <c r="AA789" s="13"/>
      <c r="AB789" s="13"/>
      <c r="AC789" s="9"/>
      <c r="AD789" s="9"/>
      <c r="AE789" s="11"/>
      <c r="AF789" s="10"/>
      <c r="AG789" s="11"/>
      <c r="AH789" s="10"/>
      <c r="AI789" s="11"/>
      <c r="AJ789" s="10"/>
      <c r="AK789" s="10"/>
      <c r="AL789" s="10"/>
      <c r="AM789" s="8"/>
      <c r="AN789" s="8"/>
      <c r="AO789" s="9"/>
      <c r="AP789" s="9"/>
      <c r="AQ789" s="9"/>
      <c r="AR789" s="8"/>
      <c r="AS789" s="8"/>
      <c r="AT789" s="8"/>
      <c r="AU789" s="8"/>
      <c r="AV789" s="8"/>
      <c r="AW789" s="8"/>
      <c r="AX789" s="8"/>
      <c r="AY789" s="8"/>
      <c r="AZ789" s="8"/>
    </row>
    <row r="790" spans="21:52" ht="16.899999999999999">
      <c r="U790" s="8"/>
      <c r="W790" s="10"/>
      <c r="X790" s="10"/>
      <c r="Z790" s="13"/>
      <c r="AA790" s="13"/>
      <c r="AB790" s="13"/>
      <c r="AC790" s="9"/>
      <c r="AD790" s="9"/>
      <c r="AE790" s="11"/>
      <c r="AF790" s="10"/>
      <c r="AG790" s="11"/>
      <c r="AH790" s="10"/>
      <c r="AI790" s="11"/>
      <c r="AJ790" s="10"/>
      <c r="AK790" s="10"/>
      <c r="AL790" s="10"/>
      <c r="AM790" s="8"/>
      <c r="AN790" s="8"/>
      <c r="AO790" s="9"/>
      <c r="AP790" s="9"/>
      <c r="AQ790" s="9"/>
      <c r="AR790" s="8"/>
      <c r="AS790" s="8"/>
      <c r="AT790" s="8"/>
      <c r="AU790" s="8"/>
      <c r="AV790" s="8"/>
      <c r="AW790" s="8"/>
      <c r="AX790" s="8"/>
      <c r="AY790" s="8"/>
      <c r="AZ790" s="8"/>
    </row>
    <row r="791" spans="21:52" ht="16.899999999999999">
      <c r="U791" s="8"/>
      <c r="W791" s="10"/>
      <c r="X791" s="10"/>
      <c r="Z791" s="13"/>
      <c r="AA791" s="13"/>
      <c r="AB791" s="13"/>
      <c r="AC791" s="9"/>
      <c r="AD791" s="9"/>
      <c r="AE791" s="11"/>
      <c r="AF791" s="10"/>
      <c r="AG791" s="11"/>
      <c r="AH791" s="10"/>
      <c r="AI791" s="11"/>
      <c r="AJ791" s="10"/>
      <c r="AK791" s="10"/>
      <c r="AL791" s="10"/>
      <c r="AM791" s="8"/>
      <c r="AN791" s="8"/>
      <c r="AO791" s="9"/>
      <c r="AP791" s="9"/>
      <c r="AQ791" s="9"/>
      <c r="AR791" s="8"/>
      <c r="AS791" s="8"/>
      <c r="AT791" s="8"/>
      <c r="AU791" s="8"/>
      <c r="AV791" s="8"/>
      <c r="AW791" s="8"/>
      <c r="AX791" s="8"/>
      <c r="AY791" s="8"/>
      <c r="AZ791" s="8"/>
    </row>
    <row r="792" spans="21:52" ht="16.899999999999999">
      <c r="U792" s="8"/>
      <c r="W792" s="10"/>
      <c r="X792" s="10"/>
      <c r="Z792" s="13"/>
      <c r="AA792" s="13"/>
      <c r="AB792" s="13"/>
      <c r="AC792" s="9"/>
      <c r="AD792" s="9"/>
      <c r="AE792" s="11"/>
      <c r="AF792" s="10"/>
      <c r="AG792" s="11"/>
      <c r="AH792" s="10"/>
      <c r="AI792" s="11"/>
      <c r="AJ792" s="10"/>
      <c r="AK792" s="10"/>
      <c r="AL792" s="10"/>
      <c r="AM792" s="8"/>
      <c r="AN792" s="8"/>
      <c r="AO792" s="9"/>
      <c r="AP792" s="9"/>
      <c r="AQ792" s="9"/>
      <c r="AR792" s="8"/>
      <c r="AS792" s="8"/>
      <c r="AT792" s="8"/>
      <c r="AU792" s="8"/>
      <c r="AV792" s="8"/>
      <c r="AW792" s="8"/>
      <c r="AX792" s="8"/>
      <c r="AY792" s="8"/>
      <c r="AZ792" s="8"/>
    </row>
    <row r="793" spans="21:52" ht="16.899999999999999">
      <c r="U793" s="8"/>
      <c r="W793" s="10"/>
      <c r="X793" s="10"/>
      <c r="Z793" s="13"/>
      <c r="AA793" s="13"/>
      <c r="AB793" s="13"/>
      <c r="AC793" s="9"/>
      <c r="AD793" s="9"/>
      <c r="AE793" s="11"/>
      <c r="AF793" s="10"/>
      <c r="AG793" s="11"/>
      <c r="AH793" s="10"/>
      <c r="AI793" s="11"/>
      <c r="AJ793" s="10"/>
      <c r="AK793" s="10"/>
      <c r="AL793" s="10"/>
      <c r="AM793" s="8"/>
      <c r="AN793" s="8"/>
      <c r="AO793" s="9"/>
      <c r="AP793" s="9"/>
      <c r="AQ793" s="9"/>
      <c r="AR793" s="8"/>
      <c r="AS793" s="8"/>
      <c r="AT793" s="8"/>
      <c r="AU793" s="8"/>
      <c r="AV793" s="8"/>
      <c r="AW793" s="8"/>
      <c r="AX793" s="8"/>
      <c r="AY793" s="8"/>
      <c r="AZ793" s="8"/>
    </row>
    <row r="794" spans="21:52" ht="16.899999999999999">
      <c r="U794" s="8"/>
      <c r="W794" s="10"/>
      <c r="X794" s="10"/>
      <c r="Z794" s="13"/>
      <c r="AA794" s="13"/>
      <c r="AB794" s="13"/>
      <c r="AC794" s="9"/>
      <c r="AD794" s="9"/>
      <c r="AE794" s="11"/>
      <c r="AF794" s="10"/>
      <c r="AG794" s="11"/>
      <c r="AH794" s="10"/>
      <c r="AI794" s="11"/>
      <c r="AJ794" s="10"/>
      <c r="AK794" s="10"/>
      <c r="AL794" s="10"/>
      <c r="AM794" s="8"/>
      <c r="AN794" s="8"/>
      <c r="AO794" s="9"/>
      <c r="AP794" s="9"/>
      <c r="AQ794" s="9"/>
      <c r="AR794" s="8"/>
      <c r="AS794" s="8"/>
      <c r="AT794" s="8"/>
      <c r="AU794" s="8"/>
      <c r="AV794" s="8"/>
      <c r="AW794" s="8"/>
      <c r="AX794" s="8"/>
      <c r="AY794" s="8"/>
      <c r="AZ794" s="8"/>
    </row>
    <row r="795" spans="21:52" ht="16.899999999999999">
      <c r="U795" s="8"/>
      <c r="W795" s="10"/>
      <c r="X795" s="10"/>
      <c r="Z795" s="13"/>
      <c r="AA795" s="13"/>
      <c r="AB795" s="13"/>
      <c r="AC795" s="9"/>
      <c r="AD795" s="9"/>
      <c r="AE795" s="11"/>
      <c r="AF795" s="10"/>
      <c r="AG795" s="11"/>
      <c r="AH795" s="10"/>
      <c r="AI795" s="11"/>
      <c r="AJ795" s="10"/>
      <c r="AK795" s="10"/>
      <c r="AL795" s="10"/>
      <c r="AM795" s="8"/>
      <c r="AN795" s="8"/>
      <c r="AO795" s="9"/>
      <c r="AP795" s="9"/>
      <c r="AQ795" s="9"/>
      <c r="AR795" s="8"/>
      <c r="AS795" s="8"/>
      <c r="AT795" s="8"/>
      <c r="AU795" s="8"/>
      <c r="AV795" s="8"/>
      <c r="AW795" s="8"/>
      <c r="AX795" s="8"/>
      <c r="AY795" s="8"/>
      <c r="AZ795" s="8"/>
    </row>
    <row r="796" spans="21:52" ht="16.899999999999999">
      <c r="U796" s="8"/>
      <c r="W796" s="10"/>
      <c r="X796" s="10"/>
      <c r="Z796" s="13"/>
      <c r="AA796" s="13"/>
      <c r="AB796" s="13"/>
      <c r="AC796" s="9"/>
      <c r="AD796" s="9"/>
      <c r="AE796" s="11"/>
      <c r="AF796" s="10"/>
      <c r="AG796" s="11"/>
      <c r="AH796" s="10"/>
      <c r="AI796" s="11"/>
      <c r="AJ796" s="10"/>
      <c r="AK796" s="10"/>
      <c r="AL796" s="10"/>
      <c r="AM796" s="8"/>
      <c r="AN796" s="8"/>
      <c r="AO796" s="9"/>
      <c r="AP796" s="9"/>
      <c r="AQ796" s="9"/>
      <c r="AR796" s="8"/>
      <c r="AS796" s="8"/>
      <c r="AT796" s="8"/>
      <c r="AU796" s="8"/>
      <c r="AV796" s="8"/>
      <c r="AW796" s="8"/>
      <c r="AX796" s="8"/>
      <c r="AY796" s="8"/>
      <c r="AZ796" s="8"/>
    </row>
    <row r="797" spans="21:52" ht="16.899999999999999">
      <c r="U797" s="8"/>
      <c r="W797" s="10"/>
      <c r="X797" s="10"/>
      <c r="Z797" s="13"/>
      <c r="AA797" s="13"/>
      <c r="AB797" s="13"/>
      <c r="AC797" s="9"/>
      <c r="AD797" s="9"/>
      <c r="AE797" s="11"/>
      <c r="AF797" s="10"/>
      <c r="AG797" s="11"/>
      <c r="AH797" s="10"/>
      <c r="AI797" s="11"/>
      <c r="AJ797" s="10"/>
      <c r="AK797" s="10"/>
      <c r="AL797" s="10"/>
      <c r="AM797" s="8"/>
      <c r="AN797" s="8"/>
      <c r="AO797" s="9"/>
      <c r="AP797" s="9"/>
      <c r="AQ797" s="9"/>
      <c r="AR797" s="8"/>
      <c r="AS797" s="8"/>
      <c r="AT797" s="8"/>
      <c r="AU797" s="8"/>
      <c r="AV797" s="8"/>
      <c r="AW797" s="8"/>
      <c r="AX797" s="8"/>
      <c r="AY797" s="8"/>
      <c r="AZ797" s="8"/>
    </row>
    <row r="798" spans="21:52" ht="16.899999999999999">
      <c r="U798" s="8"/>
      <c r="W798" s="10"/>
      <c r="X798" s="10"/>
      <c r="Z798" s="13"/>
      <c r="AA798" s="13"/>
      <c r="AB798" s="13"/>
      <c r="AC798" s="9"/>
      <c r="AD798" s="9"/>
      <c r="AE798" s="11"/>
      <c r="AF798" s="10"/>
      <c r="AG798" s="11"/>
      <c r="AH798" s="10"/>
      <c r="AI798" s="11"/>
      <c r="AJ798" s="10"/>
      <c r="AK798" s="10"/>
      <c r="AL798" s="10"/>
      <c r="AM798" s="8"/>
      <c r="AN798" s="8"/>
      <c r="AO798" s="9"/>
      <c r="AP798" s="9"/>
      <c r="AQ798" s="9"/>
      <c r="AR798" s="8"/>
      <c r="AS798" s="8"/>
      <c r="AT798" s="8"/>
      <c r="AU798" s="8"/>
      <c r="AV798" s="8"/>
      <c r="AW798" s="8"/>
      <c r="AX798" s="8"/>
      <c r="AY798" s="8"/>
      <c r="AZ798" s="8"/>
    </row>
    <row r="799" spans="21:52" ht="16.899999999999999">
      <c r="U799" s="8"/>
      <c r="W799" s="10"/>
      <c r="X799" s="10"/>
      <c r="Z799" s="13"/>
      <c r="AA799" s="13"/>
      <c r="AB799" s="13"/>
      <c r="AC799" s="9"/>
      <c r="AD799" s="9"/>
      <c r="AE799" s="11"/>
      <c r="AF799" s="10"/>
      <c r="AG799" s="11"/>
      <c r="AH799" s="10"/>
      <c r="AI799" s="11"/>
      <c r="AJ799" s="10"/>
      <c r="AK799" s="10"/>
      <c r="AL799" s="10"/>
      <c r="AM799" s="8"/>
      <c r="AN799" s="8"/>
      <c r="AO799" s="9"/>
      <c r="AP799" s="9"/>
      <c r="AQ799" s="9"/>
      <c r="AR799" s="8"/>
      <c r="AS799" s="8"/>
      <c r="AT799" s="8"/>
      <c r="AU799" s="8"/>
      <c r="AV799" s="8"/>
      <c r="AW799" s="8"/>
      <c r="AX799" s="8"/>
      <c r="AY799" s="8"/>
      <c r="AZ799" s="8"/>
    </row>
    <row r="800" spans="21:52" ht="16.899999999999999">
      <c r="U800" s="8"/>
      <c r="W800" s="10"/>
      <c r="X800" s="10"/>
      <c r="Z800" s="13"/>
      <c r="AA800" s="13"/>
      <c r="AB800" s="13"/>
      <c r="AC800" s="9"/>
      <c r="AD800" s="9"/>
      <c r="AE800" s="11"/>
      <c r="AF800" s="10"/>
      <c r="AG800" s="11"/>
      <c r="AH800" s="10"/>
      <c r="AI800" s="11"/>
      <c r="AJ800" s="10"/>
      <c r="AK800" s="10"/>
      <c r="AL800" s="10"/>
      <c r="AM800" s="8"/>
      <c r="AN800" s="8"/>
      <c r="AO800" s="9"/>
      <c r="AP800" s="9"/>
      <c r="AQ800" s="9"/>
      <c r="AR800" s="8"/>
      <c r="AS800" s="8"/>
      <c r="AT800" s="8"/>
      <c r="AU800" s="8"/>
      <c r="AV800" s="8"/>
      <c r="AW800" s="8"/>
      <c r="AX800" s="8"/>
      <c r="AY800" s="8"/>
      <c r="AZ800" s="8"/>
    </row>
    <row r="801" spans="21:52" ht="16.899999999999999">
      <c r="U801" s="8"/>
      <c r="W801" s="10"/>
      <c r="X801" s="10"/>
      <c r="Z801" s="13"/>
      <c r="AA801" s="13"/>
      <c r="AB801" s="13"/>
      <c r="AC801" s="9"/>
      <c r="AD801" s="9"/>
      <c r="AE801" s="11"/>
      <c r="AF801" s="10"/>
      <c r="AG801" s="11"/>
      <c r="AH801" s="10"/>
      <c r="AI801" s="11"/>
      <c r="AJ801" s="10"/>
      <c r="AK801" s="10"/>
      <c r="AL801" s="10"/>
      <c r="AM801" s="8"/>
      <c r="AN801" s="8"/>
      <c r="AO801" s="9"/>
      <c r="AP801" s="9"/>
      <c r="AQ801" s="9"/>
      <c r="AR801" s="8"/>
      <c r="AS801" s="8"/>
      <c r="AT801" s="8"/>
      <c r="AU801" s="8"/>
      <c r="AV801" s="8"/>
      <c r="AW801" s="8"/>
      <c r="AX801" s="8"/>
      <c r="AY801" s="8"/>
      <c r="AZ801" s="8"/>
    </row>
    <row r="802" spans="21:52" ht="16.899999999999999">
      <c r="U802" s="8"/>
      <c r="W802" s="10"/>
      <c r="X802" s="10"/>
      <c r="Z802" s="13"/>
      <c r="AA802" s="13"/>
      <c r="AB802" s="13"/>
      <c r="AC802" s="9"/>
      <c r="AD802" s="9"/>
      <c r="AE802" s="11"/>
      <c r="AF802" s="10"/>
      <c r="AG802" s="11"/>
      <c r="AH802" s="10"/>
      <c r="AI802" s="11"/>
      <c r="AJ802" s="10"/>
      <c r="AK802" s="10"/>
      <c r="AL802" s="10"/>
      <c r="AM802" s="8"/>
      <c r="AN802" s="8"/>
      <c r="AO802" s="9"/>
      <c r="AP802" s="9"/>
      <c r="AQ802" s="9"/>
      <c r="AR802" s="8"/>
      <c r="AS802" s="8"/>
      <c r="AT802" s="8"/>
      <c r="AU802" s="8"/>
      <c r="AV802" s="8"/>
      <c r="AW802" s="8"/>
      <c r="AX802" s="8"/>
      <c r="AY802" s="8"/>
      <c r="AZ802" s="8"/>
    </row>
    <row r="803" spans="21:52" ht="16.899999999999999">
      <c r="U803" s="8"/>
      <c r="W803" s="10"/>
      <c r="X803" s="10"/>
      <c r="Z803" s="13"/>
      <c r="AA803" s="13"/>
      <c r="AB803" s="13"/>
      <c r="AC803" s="9"/>
      <c r="AD803" s="9"/>
      <c r="AE803" s="11"/>
      <c r="AF803" s="10"/>
      <c r="AG803" s="11"/>
      <c r="AH803" s="10"/>
      <c r="AI803" s="11"/>
      <c r="AJ803" s="10"/>
      <c r="AK803" s="10"/>
      <c r="AL803" s="10"/>
      <c r="AM803" s="8"/>
      <c r="AN803" s="8"/>
      <c r="AO803" s="9"/>
      <c r="AP803" s="9"/>
      <c r="AQ803" s="9"/>
      <c r="AR803" s="8"/>
      <c r="AS803" s="8"/>
      <c r="AT803" s="8"/>
      <c r="AU803" s="8"/>
      <c r="AV803" s="8"/>
      <c r="AW803" s="8"/>
      <c r="AX803" s="8"/>
      <c r="AY803" s="8"/>
      <c r="AZ803" s="8"/>
    </row>
    <row r="804" spans="21:52" ht="16.899999999999999">
      <c r="U804" s="8"/>
      <c r="W804" s="10"/>
      <c r="X804" s="10"/>
      <c r="Z804" s="13"/>
      <c r="AA804" s="13"/>
      <c r="AB804" s="13"/>
      <c r="AC804" s="9"/>
      <c r="AD804" s="9"/>
      <c r="AE804" s="11"/>
      <c r="AF804" s="10"/>
      <c r="AG804" s="11"/>
      <c r="AH804" s="10"/>
      <c r="AI804" s="11"/>
      <c r="AJ804" s="10"/>
      <c r="AK804" s="10"/>
      <c r="AL804" s="10"/>
      <c r="AM804" s="8"/>
      <c r="AN804" s="8"/>
      <c r="AO804" s="9"/>
      <c r="AP804" s="9"/>
      <c r="AQ804" s="9"/>
      <c r="AR804" s="8"/>
      <c r="AS804" s="8"/>
      <c r="AT804" s="8"/>
      <c r="AU804" s="8"/>
      <c r="AV804" s="8"/>
      <c r="AW804" s="8"/>
      <c r="AX804" s="8"/>
      <c r="AY804" s="8"/>
      <c r="AZ804" s="8"/>
    </row>
    <row r="805" spans="21:52" ht="16.899999999999999">
      <c r="U805" s="8"/>
      <c r="W805" s="10"/>
      <c r="X805" s="10"/>
      <c r="Z805" s="13"/>
      <c r="AA805" s="13"/>
      <c r="AB805" s="13"/>
      <c r="AC805" s="9"/>
      <c r="AD805" s="9"/>
      <c r="AE805" s="11"/>
      <c r="AF805" s="10"/>
      <c r="AG805" s="11"/>
      <c r="AH805" s="10"/>
      <c r="AI805" s="11"/>
      <c r="AJ805" s="10"/>
      <c r="AK805" s="10"/>
      <c r="AL805" s="10"/>
      <c r="AM805" s="8"/>
      <c r="AN805" s="8"/>
      <c r="AO805" s="9"/>
      <c r="AP805" s="9"/>
      <c r="AQ805" s="9"/>
      <c r="AR805" s="8"/>
      <c r="AS805" s="8"/>
      <c r="AT805" s="8"/>
      <c r="AU805" s="8"/>
      <c r="AV805" s="8"/>
      <c r="AW805" s="8"/>
      <c r="AX805" s="8"/>
      <c r="AY805" s="8"/>
      <c r="AZ805" s="8"/>
    </row>
    <row r="806" spans="21:52" ht="16.899999999999999">
      <c r="U806" s="8"/>
      <c r="W806" s="10"/>
      <c r="X806" s="10"/>
      <c r="Z806" s="13"/>
      <c r="AA806" s="13"/>
      <c r="AB806" s="13"/>
      <c r="AC806" s="9"/>
      <c r="AD806" s="9"/>
      <c r="AE806" s="11"/>
      <c r="AF806" s="10"/>
      <c r="AG806" s="11"/>
      <c r="AH806" s="10"/>
      <c r="AI806" s="11"/>
      <c r="AJ806" s="10"/>
      <c r="AK806" s="10"/>
      <c r="AL806" s="10"/>
      <c r="AM806" s="8"/>
      <c r="AN806" s="8"/>
      <c r="AO806" s="9"/>
      <c r="AP806" s="9"/>
      <c r="AQ806" s="9"/>
      <c r="AR806" s="8"/>
      <c r="AS806" s="8"/>
      <c r="AT806" s="8"/>
      <c r="AU806" s="8"/>
      <c r="AV806" s="8"/>
      <c r="AW806" s="8"/>
      <c r="AX806" s="8"/>
      <c r="AY806" s="8"/>
      <c r="AZ806" s="8"/>
    </row>
    <row r="807" spans="21:52" ht="16.899999999999999">
      <c r="U807" s="8"/>
      <c r="W807" s="10"/>
      <c r="X807" s="10"/>
      <c r="Z807" s="13"/>
      <c r="AA807" s="13"/>
      <c r="AB807" s="13"/>
      <c r="AC807" s="9"/>
      <c r="AD807" s="9"/>
      <c r="AE807" s="11"/>
      <c r="AF807" s="10"/>
      <c r="AG807" s="11"/>
      <c r="AH807" s="10"/>
      <c r="AI807" s="11"/>
      <c r="AJ807" s="10"/>
      <c r="AK807" s="10"/>
      <c r="AL807" s="10"/>
      <c r="AM807" s="8"/>
      <c r="AN807" s="8"/>
      <c r="AO807" s="9"/>
      <c r="AP807" s="9"/>
      <c r="AQ807" s="9"/>
      <c r="AR807" s="8"/>
      <c r="AS807" s="8"/>
      <c r="AT807" s="8"/>
      <c r="AU807" s="8"/>
      <c r="AV807" s="8"/>
      <c r="AW807" s="8"/>
      <c r="AX807" s="8"/>
      <c r="AY807" s="8"/>
      <c r="AZ807" s="8"/>
    </row>
    <row r="808" spans="21:52" ht="16.899999999999999">
      <c r="U808" s="8"/>
      <c r="W808" s="10"/>
      <c r="X808" s="10"/>
      <c r="Z808" s="13"/>
      <c r="AA808" s="13"/>
      <c r="AB808" s="13"/>
      <c r="AC808" s="9"/>
      <c r="AD808" s="9"/>
      <c r="AE808" s="11"/>
      <c r="AF808" s="10"/>
      <c r="AG808" s="11"/>
      <c r="AH808" s="10"/>
      <c r="AI808" s="11"/>
      <c r="AJ808" s="10"/>
      <c r="AK808" s="10"/>
      <c r="AL808" s="10"/>
      <c r="AM808" s="8"/>
      <c r="AN808" s="8"/>
      <c r="AO808" s="9"/>
      <c r="AP808" s="9"/>
      <c r="AQ808" s="9"/>
      <c r="AR808" s="8"/>
      <c r="AS808" s="8"/>
      <c r="AT808" s="8"/>
      <c r="AU808" s="8"/>
      <c r="AV808" s="8"/>
      <c r="AW808" s="8"/>
      <c r="AX808" s="8"/>
      <c r="AY808" s="8"/>
      <c r="AZ808" s="8"/>
    </row>
    <row r="809" spans="21:52" ht="16.899999999999999">
      <c r="U809" s="8"/>
      <c r="W809" s="10"/>
      <c r="X809" s="10"/>
      <c r="Z809" s="13"/>
      <c r="AA809" s="13"/>
      <c r="AB809" s="13"/>
      <c r="AC809" s="9"/>
      <c r="AD809" s="9"/>
      <c r="AE809" s="11"/>
      <c r="AF809" s="10"/>
      <c r="AG809" s="11"/>
      <c r="AH809" s="10"/>
      <c r="AI809" s="11"/>
      <c r="AJ809" s="10"/>
      <c r="AK809" s="10"/>
      <c r="AL809" s="10"/>
      <c r="AM809" s="8"/>
      <c r="AN809" s="8"/>
      <c r="AO809" s="9"/>
      <c r="AP809" s="9"/>
      <c r="AQ809" s="9"/>
      <c r="AR809" s="8"/>
      <c r="AS809" s="8"/>
      <c r="AT809" s="8"/>
      <c r="AU809" s="8"/>
      <c r="AV809" s="8"/>
      <c r="AW809" s="8"/>
      <c r="AX809" s="8"/>
      <c r="AY809" s="8"/>
      <c r="AZ809" s="8"/>
    </row>
    <row r="810" spans="21:52" ht="16.899999999999999">
      <c r="U810" s="8"/>
      <c r="W810" s="10"/>
      <c r="X810" s="10"/>
      <c r="Z810" s="13"/>
      <c r="AA810" s="13"/>
      <c r="AB810" s="13"/>
      <c r="AC810" s="9"/>
      <c r="AD810" s="9"/>
      <c r="AE810" s="11"/>
      <c r="AF810" s="10"/>
      <c r="AG810" s="11"/>
      <c r="AH810" s="10"/>
      <c r="AI810" s="11"/>
      <c r="AJ810" s="10"/>
      <c r="AK810" s="10"/>
      <c r="AL810" s="10"/>
      <c r="AM810" s="8"/>
      <c r="AN810" s="8"/>
      <c r="AO810" s="9"/>
      <c r="AP810" s="9"/>
      <c r="AQ810" s="9"/>
      <c r="AR810" s="8"/>
      <c r="AS810" s="8"/>
      <c r="AT810" s="8"/>
      <c r="AU810" s="8"/>
      <c r="AV810" s="8"/>
      <c r="AW810" s="8"/>
      <c r="AX810" s="8"/>
      <c r="AY810" s="8"/>
      <c r="AZ810" s="8"/>
    </row>
    <row r="811" spans="21:52" ht="16.899999999999999">
      <c r="U811" s="8"/>
      <c r="W811" s="10"/>
      <c r="X811" s="10"/>
      <c r="Z811" s="13"/>
      <c r="AA811" s="13"/>
      <c r="AB811" s="13"/>
      <c r="AC811" s="9"/>
      <c r="AD811" s="9"/>
      <c r="AE811" s="11"/>
      <c r="AF811" s="10"/>
      <c r="AG811" s="11"/>
      <c r="AH811" s="10"/>
      <c r="AI811" s="11"/>
      <c r="AJ811" s="10"/>
      <c r="AK811" s="10"/>
      <c r="AL811" s="10"/>
      <c r="AM811" s="8"/>
      <c r="AN811" s="8"/>
      <c r="AO811" s="9"/>
      <c r="AP811" s="9"/>
      <c r="AQ811" s="9"/>
      <c r="AR811" s="8"/>
      <c r="AS811" s="8"/>
      <c r="AT811" s="8"/>
      <c r="AU811" s="8"/>
      <c r="AV811" s="8"/>
      <c r="AW811" s="8"/>
      <c r="AX811" s="8"/>
      <c r="AY811" s="8"/>
      <c r="AZ811" s="8"/>
    </row>
    <row r="812" spans="21:52" ht="16.899999999999999">
      <c r="U812" s="8"/>
      <c r="W812" s="10"/>
      <c r="X812" s="10"/>
      <c r="Z812" s="13"/>
      <c r="AA812" s="13"/>
      <c r="AB812" s="13"/>
      <c r="AC812" s="9"/>
      <c r="AD812" s="9"/>
      <c r="AE812" s="11"/>
      <c r="AF812" s="10"/>
      <c r="AG812" s="11"/>
      <c r="AH812" s="10"/>
      <c r="AI812" s="11"/>
      <c r="AJ812" s="10"/>
      <c r="AK812" s="10"/>
      <c r="AL812" s="10"/>
      <c r="AM812" s="8"/>
      <c r="AN812" s="8"/>
      <c r="AO812" s="9"/>
      <c r="AP812" s="9"/>
      <c r="AQ812" s="9"/>
      <c r="AR812" s="8"/>
      <c r="AS812" s="8"/>
      <c r="AT812" s="8"/>
      <c r="AU812" s="8"/>
      <c r="AV812" s="8"/>
      <c r="AW812" s="8"/>
      <c r="AX812" s="8"/>
      <c r="AY812" s="8"/>
      <c r="AZ812" s="8"/>
    </row>
    <row r="813" spans="21:52" ht="16.899999999999999">
      <c r="U813" s="8"/>
      <c r="W813" s="10"/>
      <c r="X813" s="10"/>
      <c r="Z813" s="13"/>
      <c r="AA813" s="13"/>
      <c r="AB813" s="13"/>
      <c r="AC813" s="9"/>
      <c r="AD813" s="9"/>
      <c r="AE813" s="11"/>
      <c r="AF813" s="10"/>
      <c r="AG813" s="11"/>
      <c r="AH813" s="10"/>
      <c r="AI813" s="11"/>
      <c r="AJ813" s="10"/>
      <c r="AK813" s="10"/>
      <c r="AL813" s="10"/>
      <c r="AM813" s="8"/>
      <c r="AN813" s="8"/>
      <c r="AO813" s="9"/>
      <c r="AP813" s="9"/>
      <c r="AQ813" s="9"/>
      <c r="AR813" s="8"/>
      <c r="AS813" s="8"/>
      <c r="AT813" s="8"/>
      <c r="AU813" s="8"/>
      <c r="AV813" s="8"/>
      <c r="AW813" s="8"/>
      <c r="AX813" s="8"/>
      <c r="AY813" s="8"/>
      <c r="AZ813" s="8"/>
    </row>
    <row r="814" spans="21:52" ht="16.899999999999999">
      <c r="U814" s="8"/>
      <c r="W814" s="10"/>
      <c r="X814" s="10"/>
      <c r="Z814" s="13"/>
      <c r="AA814" s="13"/>
      <c r="AB814" s="13"/>
      <c r="AC814" s="9"/>
      <c r="AD814" s="9"/>
      <c r="AE814" s="11"/>
      <c r="AF814" s="10"/>
      <c r="AG814" s="11"/>
      <c r="AH814" s="10"/>
      <c r="AI814" s="11"/>
      <c r="AJ814" s="10"/>
      <c r="AK814" s="10"/>
      <c r="AL814" s="10"/>
      <c r="AM814" s="8"/>
      <c r="AN814" s="8"/>
      <c r="AO814" s="9"/>
      <c r="AP814" s="9"/>
      <c r="AQ814" s="9"/>
      <c r="AR814" s="8"/>
      <c r="AS814" s="8"/>
      <c r="AT814" s="8"/>
      <c r="AU814" s="8"/>
      <c r="AV814" s="8"/>
      <c r="AW814" s="8"/>
      <c r="AX814" s="8"/>
      <c r="AY814" s="8"/>
      <c r="AZ814" s="8"/>
    </row>
    <row r="815" spans="21:52" ht="16.899999999999999">
      <c r="U815" s="8"/>
      <c r="W815" s="10"/>
      <c r="X815" s="10"/>
      <c r="Z815" s="13"/>
      <c r="AA815" s="13"/>
      <c r="AB815" s="13"/>
      <c r="AC815" s="9"/>
      <c r="AD815" s="9"/>
      <c r="AE815" s="11"/>
      <c r="AF815" s="10"/>
      <c r="AG815" s="11"/>
      <c r="AH815" s="10"/>
      <c r="AI815" s="11"/>
      <c r="AJ815" s="10"/>
      <c r="AK815" s="10"/>
      <c r="AL815" s="10"/>
      <c r="AM815" s="8"/>
      <c r="AN815" s="8"/>
      <c r="AO815" s="9"/>
      <c r="AP815" s="9"/>
      <c r="AQ815" s="9"/>
      <c r="AR815" s="8"/>
      <c r="AS815" s="8"/>
      <c r="AT815" s="8"/>
      <c r="AU815" s="8"/>
      <c r="AV815" s="8"/>
      <c r="AW815" s="8"/>
      <c r="AX815" s="8"/>
      <c r="AY815" s="8"/>
      <c r="AZ815" s="8"/>
    </row>
    <row r="816" spans="21:52" ht="16.899999999999999">
      <c r="U816" s="8"/>
      <c r="W816" s="10"/>
      <c r="X816" s="10"/>
      <c r="Z816" s="13"/>
      <c r="AA816" s="13"/>
      <c r="AB816" s="13"/>
      <c r="AC816" s="9"/>
      <c r="AD816" s="9"/>
      <c r="AE816" s="11"/>
      <c r="AF816" s="10"/>
      <c r="AG816" s="11"/>
      <c r="AH816" s="10"/>
      <c r="AI816" s="11"/>
      <c r="AJ816" s="10"/>
      <c r="AK816" s="10"/>
      <c r="AL816" s="10"/>
      <c r="AM816" s="8"/>
      <c r="AN816" s="8"/>
      <c r="AO816" s="9"/>
      <c r="AP816" s="9"/>
      <c r="AQ816" s="9"/>
      <c r="AR816" s="8"/>
      <c r="AS816" s="8"/>
      <c r="AT816" s="8"/>
      <c r="AU816" s="8"/>
      <c r="AV816" s="8"/>
      <c r="AW816" s="8"/>
      <c r="AX816" s="8"/>
      <c r="AY816" s="8"/>
      <c r="AZ816" s="8"/>
    </row>
    <row r="817" spans="21:52" ht="16.899999999999999">
      <c r="U817" s="8"/>
      <c r="W817" s="10"/>
      <c r="X817" s="10"/>
      <c r="Z817" s="13"/>
      <c r="AA817" s="13"/>
      <c r="AB817" s="13"/>
      <c r="AC817" s="9"/>
      <c r="AD817" s="9"/>
      <c r="AE817" s="11"/>
      <c r="AF817" s="10"/>
      <c r="AG817" s="11"/>
      <c r="AH817" s="10"/>
      <c r="AI817" s="11"/>
      <c r="AJ817" s="10"/>
      <c r="AK817" s="10"/>
      <c r="AL817" s="10"/>
      <c r="AM817" s="8"/>
      <c r="AN817" s="8"/>
      <c r="AO817" s="9"/>
      <c r="AP817" s="9"/>
      <c r="AQ817" s="9"/>
      <c r="AR817" s="8"/>
      <c r="AS817" s="8"/>
      <c r="AT817" s="8"/>
      <c r="AU817" s="8"/>
      <c r="AV817" s="8"/>
      <c r="AW817" s="8"/>
      <c r="AX817" s="8"/>
      <c r="AY817" s="8"/>
      <c r="AZ817" s="8"/>
    </row>
    <row r="818" spans="21:52" ht="16.899999999999999">
      <c r="U818" s="8"/>
      <c r="W818" s="10"/>
      <c r="X818" s="10"/>
      <c r="Z818" s="13"/>
      <c r="AA818" s="13"/>
      <c r="AB818" s="13"/>
      <c r="AC818" s="9"/>
      <c r="AD818" s="9"/>
      <c r="AE818" s="11"/>
      <c r="AF818" s="10"/>
      <c r="AG818" s="11"/>
      <c r="AH818" s="10"/>
      <c r="AI818" s="11"/>
      <c r="AJ818" s="10"/>
      <c r="AK818" s="10"/>
      <c r="AL818" s="10"/>
      <c r="AM818" s="8"/>
      <c r="AN818" s="8"/>
      <c r="AO818" s="9"/>
      <c r="AP818" s="9"/>
      <c r="AQ818" s="9"/>
      <c r="AR818" s="8"/>
      <c r="AS818" s="8"/>
      <c r="AT818" s="8"/>
      <c r="AU818" s="8"/>
      <c r="AV818" s="8"/>
      <c r="AW818" s="8"/>
      <c r="AX818" s="8"/>
      <c r="AY818" s="8"/>
      <c r="AZ818" s="8"/>
    </row>
    <row r="819" spans="21:52" ht="16.899999999999999">
      <c r="U819" s="8"/>
      <c r="W819" s="10"/>
      <c r="X819" s="10"/>
      <c r="Z819" s="13"/>
      <c r="AA819" s="13"/>
      <c r="AB819" s="13"/>
      <c r="AC819" s="9"/>
      <c r="AD819" s="9"/>
      <c r="AE819" s="11"/>
      <c r="AF819" s="10"/>
      <c r="AG819" s="11"/>
      <c r="AH819" s="10"/>
      <c r="AI819" s="11"/>
      <c r="AJ819" s="10"/>
      <c r="AK819" s="10"/>
      <c r="AL819" s="10"/>
      <c r="AM819" s="8"/>
      <c r="AN819" s="8"/>
      <c r="AO819" s="9"/>
      <c r="AP819" s="9"/>
      <c r="AQ819" s="9"/>
      <c r="AR819" s="8"/>
      <c r="AS819" s="8"/>
      <c r="AT819" s="8"/>
      <c r="AU819" s="8"/>
      <c r="AV819" s="8"/>
      <c r="AW819" s="8"/>
      <c r="AX819" s="8"/>
      <c r="AY819" s="8"/>
      <c r="AZ819" s="8"/>
    </row>
    <row r="820" spans="21:52" ht="16.899999999999999">
      <c r="U820" s="8"/>
      <c r="W820" s="10"/>
      <c r="X820" s="10"/>
      <c r="Z820" s="13"/>
      <c r="AA820" s="13"/>
      <c r="AB820" s="13"/>
      <c r="AC820" s="9"/>
      <c r="AD820" s="9"/>
      <c r="AE820" s="11"/>
      <c r="AF820" s="10"/>
      <c r="AG820" s="11"/>
      <c r="AH820" s="10"/>
      <c r="AI820" s="11"/>
      <c r="AJ820" s="10"/>
      <c r="AK820" s="10"/>
      <c r="AL820" s="10"/>
      <c r="AM820" s="8"/>
      <c r="AN820" s="8"/>
      <c r="AO820" s="9"/>
      <c r="AP820" s="9"/>
      <c r="AQ820" s="9"/>
      <c r="AR820" s="8"/>
      <c r="AS820" s="8"/>
      <c r="AT820" s="8"/>
      <c r="AU820" s="8"/>
      <c r="AV820" s="8"/>
      <c r="AW820" s="8"/>
      <c r="AX820" s="8"/>
      <c r="AY820" s="8"/>
      <c r="AZ820" s="8"/>
    </row>
    <row r="821" spans="21:52" ht="16.899999999999999">
      <c r="U821" s="8"/>
      <c r="W821" s="10"/>
      <c r="X821" s="10"/>
      <c r="Z821" s="13"/>
      <c r="AA821" s="13"/>
      <c r="AB821" s="13"/>
      <c r="AC821" s="9"/>
      <c r="AD821" s="9"/>
      <c r="AE821" s="11"/>
      <c r="AF821" s="10"/>
      <c r="AG821" s="11"/>
      <c r="AH821" s="10"/>
      <c r="AI821" s="11"/>
      <c r="AJ821" s="10"/>
      <c r="AK821" s="10"/>
      <c r="AL821" s="10"/>
      <c r="AM821" s="8"/>
      <c r="AN821" s="8"/>
      <c r="AO821" s="9"/>
      <c r="AP821" s="9"/>
      <c r="AQ821" s="9"/>
      <c r="AR821" s="8"/>
      <c r="AS821" s="8"/>
      <c r="AT821" s="8"/>
      <c r="AU821" s="8"/>
      <c r="AV821" s="8"/>
      <c r="AW821" s="8"/>
      <c r="AX821" s="8"/>
      <c r="AY821" s="8"/>
      <c r="AZ821" s="8"/>
    </row>
    <row r="822" spans="21:52" ht="16.899999999999999">
      <c r="U822" s="8"/>
      <c r="W822" s="10"/>
      <c r="X822" s="10"/>
      <c r="Z822" s="13"/>
      <c r="AA822" s="13"/>
      <c r="AB822" s="13"/>
      <c r="AC822" s="9"/>
      <c r="AD822" s="9"/>
      <c r="AE822" s="11"/>
      <c r="AF822" s="10"/>
      <c r="AG822" s="11"/>
      <c r="AH822" s="10"/>
      <c r="AI822" s="11"/>
      <c r="AJ822" s="10"/>
      <c r="AK822" s="10"/>
      <c r="AL822" s="10"/>
      <c r="AM822" s="8"/>
      <c r="AN822" s="8"/>
      <c r="AO822" s="9"/>
      <c r="AP822" s="9"/>
      <c r="AQ822" s="9"/>
      <c r="AR822" s="8"/>
      <c r="AS822" s="8"/>
      <c r="AT822" s="8"/>
      <c r="AU822" s="8"/>
      <c r="AV822" s="8"/>
      <c r="AW822" s="8"/>
      <c r="AX822" s="8"/>
      <c r="AY822" s="8"/>
      <c r="AZ822" s="8"/>
    </row>
    <row r="823" spans="21:52" ht="16.899999999999999">
      <c r="U823" s="8"/>
      <c r="W823" s="10"/>
      <c r="X823" s="10"/>
      <c r="Z823" s="13"/>
      <c r="AA823" s="13"/>
      <c r="AB823" s="13"/>
      <c r="AC823" s="9"/>
      <c r="AD823" s="9"/>
      <c r="AE823" s="11"/>
      <c r="AF823" s="10"/>
      <c r="AG823" s="11"/>
      <c r="AH823" s="10"/>
      <c r="AI823" s="11"/>
      <c r="AJ823" s="10"/>
      <c r="AK823" s="10"/>
      <c r="AL823" s="10"/>
      <c r="AM823" s="8"/>
      <c r="AN823" s="8"/>
      <c r="AO823" s="9"/>
      <c r="AP823" s="9"/>
      <c r="AQ823" s="9"/>
      <c r="AR823" s="8"/>
      <c r="AS823" s="8"/>
      <c r="AT823" s="8"/>
      <c r="AU823" s="8"/>
      <c r="AV823" s="8"/>
      <c r="AW823" s="8"/>
      <c r="AX823" s="8"/>
      <c r="AY823" s="8"/>
      <c r="AZ823" s="8"/>
    </row>
    <row r="824" spans="21:52" ht="16.899999999999999">
      <c r="U824" s="8"/>
      <c r="W824" s="10"/>
      <c r="X824" s="10"/>
      <c r="Z824" s="13"/>
      <c r="AA824" s="13"/>
      <c r="AB824" s="13"/>
      <c r="AC824" s="9"/>
      <c r="AD824" s="9"/>
      <c r="AE824" s="11"/>
      <c r="AF824" s="10"/>
      <c r="AG824" s="11"/>
      <c r="AH824" s="10"/>
      <c r="AI824" s="11"/>
      <c r="AJ824" s="10"/>
      <c r="AK824" s="10"/>
      <c r="AL824" s="10"/>
      <c r="AM824" s="8"/>
      <c r="AN824" s="8"/>
      <c r="AO824" s="9"/>
      <c r="AP824" s="9"/>
      <c r="AQ824" s="9"/>
      <c r="AR824" s="8"/>
      <c r="AS824" s="8"/>
      <c r="AT824" s="8"/>
      <c r="AU824" s="8"/>
      <c r="AV824" s="8"/>
      <c r="AW824" s="8"/>
      <c r="AX824" s="8"/>
      <c r="AY824" s="8"/>
      <c r="AZ824" s="8"/>
    </row>
    <row r="825" spans="21:52" ht="16.899999999999999">
      <c r="U825" s="8"/>
      <c r="W825" s="10"/>
      <c r="X825" s="10"/>
      <c r="Z825" s="13"/>
      <c r="AA825" s="13"/>
      <c r="AB825" s="13"/>
      <c r="AC825" s="9"/>
      <c r="AD825" s="9"/>
      <c r="AE825" s="11"/>
      <c r="AF825" s="10"/>
      <c r="AG825" s="11"/>
      <c r="AH825" s="10"/>
      <c r="AI825" s="11"/>
      <c r="AJ825" s="10"/>
      <c r="AK825" s="10"/>
      <c r="AL825" s="10"/>
      <c r="AM825" s="8"/>
      <c r="AN825" s="8"/>
      <c r="AO825" s="9"/>
      <c r="AP825" s="9"/>
      <c r="AQ825" s="9"/>
      <c r="AR825" s="8"/>
      <c r="AS825" s="8"/>
      <c r="AT825" s="8"/>
      <c r="AU825" s="8"/>
      <c r="AV825" s="8"/>
      <c r="AW825" s="8"/>
      <c r="AX825" s="8"/>
      <c r="AY825" s="8"/>
      <c r="AZ825" s="8"/>
    </row>
    <row r="826" spans="21:52" ht="16.899999999999999">
      <c r="U826" s="8"/>
      <c r="W826" s="10"/>
      <c r="X826" s="10"/>
      <c r="Z826" s="13"/>
      <c r="AA826" s="13"/>
      <c r="AB826" s="13"/>
      <c r="AC826" s="9"/>
      <c r="AD826" s="9"/>
      <c r="AE826" s="11"/>
      <c r="AF826" s="10"/>
      <c r="AG826" s="11"/>
      <c r="AH826" s="10"/>
      <c r="AI826" s="11"/>
      <c r="AJ826" s="10"/>
      <c r="AK826" s="10"/>
      <c r="AL826" s="10"/>
      <c r="AM826" s="8"/>
      <c r="AN826" s="8"/>
      <c r="AO826" s="9"/>
      <c r="AP826" s="9"/>
      <c r="AQ826" s="9"/>
      <c r="AR826" s="8"/>
      <c r="AS826" s="8"/>
      <c r="AT826" s="8"/>
      <c r="AU826" s="8"/>
      <c r="AV826" s="8"/>
      <c r="AW826" s="8"/>
      <c r="AX826" s="8"/>
      <c r="AY826" s="8"/>
      <c r="AZ826" s="8"/>
    </row>
    <row r="827" spans="21:52" ht="16.899999999999999">
      <c r="U827" s="8"/>
      <c r="W827" s="10"/>
      <c r="X827" s="10"/>
      <c r="Z827" s="13"/>
      <c r="AA827" s="13"/>
      <c r="AB827" s="13"/>
      <c r="AC827" s="9"/>
      <c r="AD827" s="9"/>
      <c r="AE827" s="11"/>
      <c r="AF827" s="10"/>
      <c r="AG827" s="11"/>
      <c r="AH827" s="10"/>
      <c r="AI827" s="11"/>
      <c r="AJ827" s="10"/>
      <c r="AK827" s="10"/>
      <c r="AL827" s="10"/>
      <c r="AM827" s="8"/>
      <c r="AN827" s="8"/>
      <c r="AO827" s="9"/>
      <c r="AP827" s="9"/>
      <c r="AQ827" s="9"/>
      <c r="AR827" s="8"/>
      <c r="AS827" s="8"/>
      <c r="AT827" s="8"/>
      <c r="AU827" s="8"/>
      <c r="AV827" s="8"/>
      <c r="AW827" s="8"/>
      <c r="AX827" s="8"/>
      <c r="AY827" s="8"/>
      <c r="AZ827" s="8"/>
    </row>
    <row r="828" spans="21:52" ht="16.899999999999999">
      <c r="U828" s="8"/>
      <c r="W828" s="10"/>
      <c r="X828" s="10"/>
      <c r="Z828" s="13"/>
      <c r="AA828" s="13"/>
      <c r="AB828" s="13"/>
      <c r="AC828" s="9"/>
      <c r="AD828" s="9"/>
      <c r="AE828" s="11"/>
      <c r="AF828" s="10"/>
      <c r="AG828" s="11"/>
      <c r="AH828" s="10"/>
      <c r="AI828" s="11"/>
      <c r="AJ828" s="10"/>
      <c r="AK828" s="10"/>
      <c r="AL828" s="10"/>
      <c r="AM828" s="8"/>
      <c r="AN828" s="8"/>
      <c r="AO828" s="9"/>
      <c r="AP828" s="9"/>
      <c r="AQ828" s="9"/>
      <c r="AR828" s="8"/>
      <c r="AS828" s="8"/>
      <c r="AT828" s="8"/>
      <c r="AU828" s="8"/>
      <c r="AV828" s="8"/>
      <c r="AW828" s="8"/>
      <c r="AX828" s="8"/>
      <c r="AY828" s="8"/>
      <c r="AZ828" s="8"/>
    </row>
    <row r="829" spans="21:52" ht="16.899999999999999">
      <c r="U829" s="8"/>
      <c r="W829" s="10"/>
      <c r="X829" s="10"/>
      <c r="Z829" s="13"/>
      <c r="AA829" s="13"/>
      <c r="AB829" s="13"/>
      <c r="AC829" s="9"/>
      <c r="AD829" s="9"/>
      <c r="AE829" s="11"/>
      <c r="AF829" s="10"/>
      <c r="AG829" s="11"/>
      <c r="AH829" s="10"/>
      <c r="AI829" s="11"/>
      <c r="AJ829" s="10"/>
      <c r="AK829" s="10"/>
      <c r="AL829" s="10"/>
      <c r="AM829" s="8"/>
      <c r="AN829" s="8"/>
      <c r="AO829" s="9"/>
      <c r="AP829" s="9"/>
      <c r="AQ829" s="9"/>
      <c r="AR829" s="8"/>
      <c r="AS829" s="8"/>
      <c r="AT829" s="8"/>
      <c r="AU829" s="8"/>
      <c r="AV829" s="8"/>
      <c r="AW829" s="8"/>
      <c r="AX829" s="8"/>
      <c r="AY829" s="8"/>
      <c r="AZ829" s="8"/>
    </row>
    <row r="830" spans="21:52" ht="16.899999999999999">
      <c r="U830" s="8"/>
      <c r="W830" s="10"/>
      <c r="X830" s="10"/>
      <c r="Z830" s="13"/>
      <c r="AA830" s="13"/>
      <c r="AB830" s="13"/>
      <c r="AC830" s="9"/>
      <c r="AD830" s="9"/>
      <c r="AE830" s="11"/>
      <c r="AF830" s="10"/>
      <c r="AG830" s="11"/>
      <c r="AH830" s="10"/>
      <c r="AI830" s="11"/>
      <c r="AJ830" s="10"/>
      <c r="AK830" s="10"/>
      <c r="AL830" s="10"/>
      <c r="AM830" s="8"/>
      <c r="AN830" s="8"/>
      <c r="AO830" s="9"/>
      <c r="AP830" s="9"/>
      <c r="AQ830" s="9"/>
      <c r="AR830" s="8"/>
      <c r="AS830" s="8"/>
      <c r="AT830" s="8"/>
      <c r="AU830" s="8"/>
      <c r="AV830" s="8"/>
      <c r="AW830" s="8"/>
      <c r="AX830" s="8"/>
      <c r="AY830" s="8"/>
      <c r="AZ830" s="8"/>
    </row>
    <row r="831" spans="21:52" ht="16.899999999999999">
      <c r="U831" s="8"/>
      <c r="W831" s="10"/>
      <c r="X831" s="10"/>
      <c r="Z831" s="13"/>
      <c r="AA831" s="13"/>
      <c r="AB831" s="13"/>
      <c r="AC831" s="9"/>
      <c r="AD831" s="9"/>
      <c r="AE831" s="11"/>
      <c r="AF831" s="10"/>
      <c r="AG831" s="11"/>
      <c r="AH831" s="10"/>
      <c r="AI831" s="11"/>
      <c r="AJ831" s="10"/>
      <c r="AK831" s="10"/>
      <c r="AL831" s="10"/>
      <c r="AM831" s="8"/>
      <c r="AN831" s="8"/>
      <c r="AO831" s="9"/>
      <c r="AP831" s="9"/>
      <c r="AQ831" s="9"/>
      <c r="AR831" s="8"/>
      <c r="AS831" s="8"/>
      <c r="AT831" s="8"/>
      <c r="AU831" s="8"/>
      <c r="AV831" s="8"/>
      <c r="AW831" s="8"/>
      <c r="AX831" s="8"/>
      <c r="AY831" s="8"/>
      <c r="AZ831" s="8"/>
    </row>
    <row r="832" spans="21:52" ht="16.899999999999999">
      <c r="U832" s="8"/>
      <c r="W832" s="10"/>
      <c r="X832" s="10"/>
      <c r="Z832" s="13"/>
      <c r="AA832" s="13"/>
      <c r="AB832" s="13"/>
      <c r="AC832" s="9"/>
      <c r="AD832" s="9"/>
      <c r="AE832" s="11"/>
      <c r="AF832" s="10"/>
      <c r="AG832" s="11"/>
      <c r="AH832" s="10"/>
      <c r="AI832" s="11"/>
      <c r="AJ832" s="10"/>
      <c r="AK832" s="10"/>
      <c r="AL832" s="10"/>
      <c r="AM832" s="8"/>
      <c r="AN832" s="8"/>
      <c r="AO832" s="9"/>
      <c r="AP832" s="9"/>
      <c r="AQ832" s="9"/>
      <c r="AR832" s="8"/>
      <c r="AS832" s="8"/>
      <c r="AT832" s="8"/>
      <c r="AU832" s="8"/>
      <c r="AV832" s="8"/>
      <c r="AW832" s="8"/>
      <c r="AX832" s="8"/>
      <c r="AY832" s="8"/>
      <c r="AZ832" s="8"/>
    </row>
    <row r="833" spans="21:52" ht="16.899999999999999">
      <c r="U833" s="8"/>
      <c r="W833" s="10"/>
      <c r="X833" s="10"/>
      <c r="Z833" s="13"/>
      <c r="AA833" s="13"/>
      <c r="AB833" s="13"/>
      <c r="AC833" s="9"/>
      <c r="AD833" s="9"/>
      <c r="AE833" s="11"/>
      <c r="AF833" s="10"/>
      <c r="AG833" s="11"/>
      <c r="AH833" s="10"/>
      <c r="AI833" s="11"/>
      <c r="AJ833" s="10"/>
      <c r="AK833" s="10"/>
      <c r="AL833" s="10"/>
      <c r="AM833" s="8"/>
      <c r="AN833" s="8"/>
      <c r="AO833" s="9"/>
      <c r="AP833" s="9"/>
      <c r="AQ833" s="9"/>
      <c r="AR833" s="8"/>
      <c r="AS833" s="8"/>
      <c r="AT833" s="8"/>
      <c r="AU833" s="8"/>
      <c r="AV833" s="8"/>
      <c r="AW833" s="8"/>
      <c r="AX833" s="8"/>
      <c r="AY833" s="8"/>
      <c r="AZ833" s="8"/>
    </row>
    <row r="834" spans="21:52" ht="16.899999999999999">
      <c r="U834" s="8"/>
      <c r="W834" s="10"/>
      <c r="X834" s="10"/>
      <c r="Z834" s="13"/>
      <c r="AA834" s="13"/>
      <c r="AB834" s="13"/>
      <c r="AC834" s="9"/>
      <c r="AD834" s="9"/>
      <c r="AE834" s="11"/>
      <c r="AF834" s="10"/>
      <c r="AG834" s="11"/>
      <c r="AH834" s="10"/>
      <c r="AI834" s="11"/>
      <c r="AJ834" s="10"/>
      <c r="AK834" s="10"/>
      <c r="AL834" s="10"/>
      <c r="AM834" s="8"/>
      <c r="AN834" s="8"/>
      <c r="AO834" s="9"/>
      <c r="AP834" s="9"/>
      <c r="AQ834" s="9"/>
      <c r="AR834" s="8"/>
      <c r="AS834" s="8"/>
      <c r="AT834" s="8"/>
      <c r="AU834" s="8"/>
      <c r="AV834" s="8"/>
      <c r="AW834" s="8"/>
      <c r="AX834" s="8"/>
      <c r="AY834" s="8"/>
      <c r="AZ834" s="8"/>
    </row>
    <row r="835" spans="21:52" ht="16.899999999999999">
      <c r="U835" s="8"/>
      <c r="W835" s="10"/>
      <c r="X835" s="10"/>
      <c r="Z835" s="13"/>
      <c r="AA835" s="13"/>
      <c r="AB835" s="13"/>
      <c r="AC835" s="9"/>
      <c r="AD835" s="9"/>
      <c r="AE835" s="11"/>
      <c r="AF835" s="10"/>
      <c r="AG835" s="11"/>
      <c r="AH835" s="10"/>
      <c r="AI835" s="11"/>
      <c r="AJ835" s="10"/>
      <c r="AK835" s="10"/>
      <c r="AL835" s="10"/>
      <c r="AM835" s="8"/>
      <c r="AN835" s="8"/>
      <c r="AO835" s="9"/>
      <c r="AP835" s="9"/>
      <c r="AQ835" s="9"/>
      <c r="AR835" s="8"/>
      <c r="AS835" s="8"/>
      <c r="AT835" s="8"/>
      <c r="AU835" s="8"/>
      <c r="AV835" s="8"/>
      <c r="AW835" s="8"/>
      <c r="AX835" s="8"/>
      <c r="AY835" s="8"/>
      <c r="AZ835" s="8"/>
    </row>
    <row r="836" spans="21:52" ht="16.899999999999999">
      <c r="U836" s="8"/>
      <c r="W836" s="10"/>
      <c r="X836" s="10"/>
      <c r="Z836" s="13"/>
      <c r="AA836" s="13"/>
      <c r="AB836" s="13"/>
      <c r="AC836" s="9"/>
      <c r="AD836" s="9"/>
      <c r="AE836" s="11"/>
      <c r="AF836" s="10"/>
      <c r="AG836" s="11"/>
      <c r="AH836" s="10"/>
      <c r="AI836" s="11"/>
      <c r="AJ836" s="10"/>
      <c r="AK836" s="10"/>
      <c r="AL836" s="10"/>
      <c r="AM836" s="8"/>
      <c r="AN836" s="8"/>
      <c r="AO836" s="9"/>
      <c r="AP836" s="9"/>
      <c r="AQ836" s="9"/>
      <c r="AR836" s="8"/>
      <c r="AS836" s="8"/>
      <c r="AT836" s="8"/>
      <c r="AU836" s="8"/>
      <c r="AV836" s="8"/>
      <c r="AW836" s="8"/>
      <c r="AX836" s="8"/>
      <c r="AY836" s="8"/>
      <c r="AZ836" s="8"/>
    </row>
    <row r="837" spans="21:52" ht="16.899999999999999">
      <c r="U837" s="8"/>
      <c r="W837" s="10"/>
      <c r="X837" s="10"/>
      <c r="Z837" s="13"/>
      <c r="AA837" s="13"/>
      <c r="AB837" s="13"/>
      <c r="AC837" s="9"/>
      <c r="AD837" s="9"/>
      <c r="AE837" s="11"/>
      <c r="AF837" s="10"/>
      <c r="AG837" s="11"/>
      <c r="AH837" s="10"/>
      <c r="AI837" s="11"/>
      <c r="AJ837" s="10"/>
      <c r="AK837" s="10"/>
      <c r="AL837" s="10"/>
      <c r="AM837" s="8"/>
      <c r="AN837" s="8"/>
      <c r="AO837" s="9"/>
      <c r="AP837" s="9"/>
      <c r="AQ837" s="9"/>
      <c r="AR837" s="8"/>
      <c r="AS837" s="8"/>
      <c r="AT837" s="8"/>
      <c r="AU837" s="8"/>
      <c r="AV837" s="8"/>
      <c r="AW837" s="8"/>
      <c r="AX837" s="8"/>
      <c r="AY837" s="8"/>
      <c r="AZ837" s="8"/>
    </row>
    <row r="838" spans="21:52" ht="16.899999999999999">
      <c r="U838" s="8"/>
      <c r="W838" s="10"/>
      <c r="X838" s="10"/>
      <c r="Z838" s="13"/>
      <c r="AA838" s="13"/>
      <c r="AB838" s="13"/>
      <c r="AC838" s="9"/>
      <c r="AD838" s="9"/>
      <c r="AE838" s="11"/>
      <c r="AF838" s="10"/>
      <c r="AG838" s="11"/>
      <c r="AH838" s="10"/>
      <c r="AI838" s="11"/>
      <c r="AJ838" s="10"/>
      <c r="AK838" s="10"/>
      <c r="AL838" s="10"/>
      <c r="AM838" s="8"/>
      <c r="AN838" s="8"/>
      <c r="AO838" s="9"/>
      <c r="AP838" s="9"/>
      <c r="AQ838" s="9"/>
      <c r="AR838" s="8"/>
      <c r="AS838" s="8"/>
      <c r="AT838" s="8"/>
      <c r="AU838" s="8"/>
      <c r="AV838" s="8"/>
      <c r="AW838" s="8"/>
      <c r="AX838" s="8"/>
      <c r="AY838" s="8"/>
      <c r="AZ838" s="8"/>
    </row>
    <row r="839" spans="21:52" ht="16.899999999999999">
      <c r="U839" s="8"/>
      <c r="W839" s="10"/>
      <c r="X839" s="10"/>
      <c r="Z839" s="13"/>
      <c r="AA839" s="13"/>
      <c r="AB839" s="13"/>
      <c r="AC839" s="9"/>
      <c r="AD839" s="9"/>
      <c r="AE839" s="11"/>
      <c r="AF839" s="10"/>
      <c r="AG839" s="11"/>
      <c r="AH839" s="10"/>
      <c r="AI839" s="11"/>
      <c r="AJ839" s="10"/>
      <c r="AK839" s="10"/>
      <c r="AL839" s="10"/>
      <c r="AM839" s="8"/>
      <c r="AN839" s="8"/>
      <c r="AO839" s="9"/>
      <c r="AP839" s="9"/>
      <c r="AQ839" s="9"/>
      <c r="AR839" s="8"/>
      <c r="AS839" s="8"/>
      <c r="AT839" s="8"/>
      <c r="AU839" s="8"/>
      <c r="AV839" s="8"/>
      <c r="AW839" s="8"/>
      <c r="AX839" s="8"/>
      <c r="AY839" s="8"/>
      <c r="AZ839" s="8"/>
    </row>
    <row r="840" spans="21:52" ht="16.899999999999999">
      <c r="U840" s="8"/>
      <c r="W840" s="10"/>
      <c r="X840" s="10"/>
      <c r="Z840" s="13"/>
      <c r="AA840" s="13"/>
      <c r="AB840" s="13"/>
      <c r="AC840" s="9"/>
      <c r="AD840" s="9"/>
      <c r="AE840" s="11"/>
      <c r="AF840" s="10"/>
      <c r="AG840" s="11"/>
      <c r="AH840" s="10"/>
      <c r="AI840" s="11"/>
      <c r="AJ840" s="10"/>
      <c r="AK840" s="10"/>
      <c r="AL840" s="10"/>
      <c r="AM840" s="8"/>
      <c r="AN840" s="8"/>
      <c r="AO840" s="9"/>
      <c r="AP840" s="9"/>
      <c r="AQ840" s="9"/>
      <c r="AR840" s="8"/>
      <c r="AS840" s="8"/>
      <c r="AT840" s="8"/>
      <c r="AU840" s="8"/>
      <c r="AV840" s="8"/>
      <c r="AW840" s="8"/>
      <c r="AX840" s="8"/>
      <c r="AY840" s="8"/>
      <c r="AZ840" s="8"/>
    </row>
    <row r="841" spans="21:52" ht="16.899999999999999">
      <c r="U841" s="8"/>
      <c r="W841" s="10"/>
      <c r="X841" s="10"/>
      <c r="Z841" s="13"/>
      <c r="AA841" s="13"/>
      <c r="AB841" s="13"/>
      <c r="AC841" s="9"/>
      <c r="AD841" s="9"/>
      <c r="AE841" s="11"/>
      <c r="AF841" s="10"/>
      <c r="AG841" s="11"/>
      <c r="AH841" s="10"/>
      <c r="AI841" s="11"/>
      <c r="AJ841" s="10"/>
      <c r="AK841" s="10"/>
      <c r="AL841" s="10"/>
      <c r="AM841" s="8"/>
      <c r="AN841" s="8"/>
      <c r="AO841" s="9"/>
      <c r="AP841" s="9"/>
      <c r="AQ841" s="9"/>
      <c r="AR841" s="8"/>
      <c r="AS841" s="8"/>
      <c r="AT841" s="8"/>
      <c r="AU841" s="8"/>
      <c r="AV841" s="8"/>
      <c r="AW841" s="8"/>
      <c r="AX841" s="8"/>
      <c r="AY841" s="8"/>
      <c r="AZ841" s="8"/>
    </row>
    <row r="842" spans="21:52" ht="16.899999999999999">
      <c r="U842" s="8"/>
      <c r="W842" s="10"/>
      <c r="X842" s="10"/>
      <c r="Z842" s="13"/>
      <c r="AA842" s="13"/>
      <c r="AB842" s="13"/>
      <c r="AC842" s="9"/>
      <c r="AD842" s="9"/>
      <c r="AE842" s="11"/>
      <c r="AF842" s="10"/>
      <c r="AG842" s="11"/>
      <c r="AH842" s="10"/>
      <c r="AI842" s="11"/>
      <c r="AJ842" s="10"/>
      <c r="AK842" s="10"/>
      <c r="AL842" s="10"/>
      <c r="AM842" s="8"/>
      <c r="AN842" s="8"/>
      <c r="AO842" s="9"/>
      <c r="AP842" s="9"/>
      <c r="AQ842" s="9"/>
      <c r="AR842" s="8"/>
      <c r="AS842" s="8"/>
      <c r="AT842" s="8"/>
      <c r="AU842" s="8"/>
      <c r="AV842" s="8"/>
      <c r="AW842" s="8"/>
      <c r="AX842" s="8"/>
      <c r="AY842" s="8"/>
      <c r="AZ842" s="8"/>
    </row>
    <row r="843" spans="21:52" ht="16.899999999999999">
      <c r="U843" s="8"/>
      <c r="W843" s="10"/>
      <c r="X843" s="10"/>
      <c r="Z843" s="13"/>
      <c r="AA843" s="13"/>
      <c r="AB843" s="13"/>
      <c r="AC843" s="9"/>
      <c r="AD843" s="9"/>
      <c r="AE843" s="11"/>
      <c r="AF843" s="10"/>
      <c r="AG843" s="11"/>
      <c r="AH843" s="10"/>
      <c r="AI843" s="11"/>
      <c r="AJ843" s="10"/>
      <c r="AK843" s="10"/>
      <c r="AL843" s="10"/>
      <c r="AM843" s="8"/>
      <c r="AN843" s="8"/>
      <c r="AO843" s="9"/>
      <c r="AP843" s="9"/>
      <c r="AQ843" s="9"/>
      <c r="AR843" s="8"/>
      <c r="AS843" s="8"/>
      <c r="AT843" s="8"/>
      <c r="AU843" s="8"/>
      <c r="AV843" s="8"/>
      <c r="AW843" s="8"/>
      <c r="AX843" s="8"/>
      <c r="AY843" s="8"/>
      <c r="AZ843" s="8"/>
    </row>
    <row r="844" spans="21:52" ht="16.899999999999999">
      <c r="U844" s="8"/>
      <c r="W844" s="10"/>
      <c r="X844" s="10"/>
      <c r="Z844" s="13"/>
      <c r="AA844" s="13"/>
      <c r="AB844" s="13"/>
      <c r="AC844" s="9"/>
      <c r="AD844" s="9"/>
      <c r="AE844" s="11"/>
      <c r="AF844" s="10"/>
      <c r="AG844" s="11"/>
      <c r="AH844" s="10"/>
      <c r="AI844" s="11"/>
      <c r="AJ844" s="10"/>
      <c r="AK844" s="10"/>
      <c r="AL844" s="10"/>
      <c r="AM844" s="8"/>
      <c r="AN844" s="8"/>
      <c r="AO844" s="9"/>
      <c r="AP844" s="9"/>
      <c r="AQ844" s="9"/>
      <c r="AR844" s="8"/>
      <c r="AS844" s="8"/>
      <c r="AT844" s="8"/>
      <c r="AU844" s="8"/>
      <c r="AV844" s="8"/>
      <c r="AW844" s="8"/>
      <c r="AX844" s="8"/>
      <c r="AY844" s="8"/>
      <c r="AZ844" s="8"/>
    </row>
    <row r="845" spans="21:52" ht="16.899999999999999">
      <c r="U845" s="8"/>
      <c r="W845" s="10"/>
      <c r="X845" s="10"/>
      <c r="Z845" s="13"/>
      <c r="AA845" s="13"/>
      <c r="AB845" s="13"/>
      <c r="AC845" s="9"/>
      <c r="AD845" s="9"/>
      <c r="AE845" s="11"/>
      <c r="AF845" s="10"/>
      <c r="AG845" s="11"/>
      <c r="AH845" s="10"/>
      <c r="AI845" s="11"/>
      <c r="AJ845" s="10"/>
      <c r="AK845" s="10"/>
      <c r="AL845" s="10"/>
      <c r="AM845" s="8"/>
      <c r="AN845" s="8"/>
      <c r="AO845" s="9"/>
      <c r="AP845" s="9"/>
      <c r="AQ845" s="9"/>
      <c r="AR845" s="8"/>
      <c r="AS845" s="8"/>
      <c r="AT845" s="8"/>
      <c r="AU845" s="8"/>
      <c r="AV845" s="8"/>
      <c r="AW845" s="8"/>
      <c r="AX845" s="8"/>
      <c r="AY845" s="8"/>
      <c r="AZ845" s="8"/>
    </row>
    <row r="846" spans="21:52" ht="16.899999999999999">
      <c r="U846" s="8"/>
      <c r="W846" s="10"/>
      <c r="X846" s="10"/>
      <c r="Z846" s="13"/>
      <c r="AA846" s="13"/>
      <c r="AB846" s="13"/>
      <c r="AC846" s="9"/>
      <c r="AD846" s="9"/>
      <c r="AE846" s="11"/>
      <c r="AF846" s="10"/>
      <c r="AG846" s="11"/>
      <c r="AH846" s="10"/>
      <c r="AI846" s="11"/>
      <c r="AJ846" s="10"/>
      <c r="AK846" s="10"/>
      <c r="AL846" s="10"/>
      <c r="AM846" s="8"/>
      <c r="AN846" s="8"/>
      <c r="AO846" s="9"/>
      <c r="AP846" s="9"/>
      <c r="AQ846" s="9"/>
      <c r="AR846" s="8"/>
      <c r="AS846" s="8"/>
      <c r="AT846" s="8"/>
      <c r="AU846" s="8"/>
      <c r="AV846" s="8"/>
      <c r="AW846" s="8"/>
      <c r="AX846" s="8"/>
      <c r="AY846" s="8"/>
      <c r="AZ846" s="8"/>
    </row>
    <row r="847" spans="21:52" ht="16.899999999999999">
      <c r="U847" s="8"/>
      <c r="W847" s="10"/>
      <c r="X847" s="10"/>
      <c r="Z847" s="13"/>
      <c r="AA847" s="13"/>
      <c r="AB847" s="13"/>
      <c r="AC847" s="9"/>
      <c r="AD847" s="9"/>
      <c r="AE847" s="11"/>
      <c r="AF847" s="10"/>
      <c r="AG847" s="11"/>
      <c r="AH847" s="10"/>
      <c r="AI847" s="11"/>
      <c r="AJ847" s="10"/>
      <c r="AK847" s="10"/>
      <c r="AL847" s="10"/>
      <c r="AM847" s="8"/>
      <c r="AN847" s="8"/>
      <c r="AO847" s="9"/>
      <c r="AP847" s="9"/>
      <c r="AQ847" s="9"/>
      <c r="AR847" s="8"/>
      <c r="AS847" s="8"/>
      <c r="AT847" s="8"/>
      <c r="AU847" s="8"/>
      <c r="AV847" s="8"/>
      <c r="AW847" s="8"/>
      <c r="AX847" s="8"/>
      <c r="AY847" s="8"/>
      <c r="AZ847" s="8"/>
    </row>
    <row r="848" spans="21:52" ht="16.899999999999999">
      <c r="U848" s="8"/>
      <c r="W848" s="10"/>
      <c r="X848" s="10"/>
      <c r="Z848" s="13"/>
      <c r="AA848" s="13"/>
      <c r="AB848" s="13"/>
      <c r="AC848" s="9"/>
      <c r="AD848" s="9"/>
      <c r="AE848" s="11"/>
      <c r="AF848" s="10"/>
      <c r="AG848" s="11"/>
      <c r="AH848" s="10"/>
      <c r="AI848" s="11"/>
      <c r="AJ848" s="10"/>
      <c r="AK848" s="10"/>
      <c r="AL848" s="10"/>
      <c r="AM848" s="8"/>
      <c r="AN848" s="8"/>
      <c r="AO848" s="9"/>
      <c r="AP848" s="9"/>
      <c r="AQ848" s="9"/>
      <c r="AR848" s="8"/>
      <c r="AS848" s="8"/>
      <c r="AT848" s="8"/>
      <c r="AU848" s="8"/>
      <c r="AV848" s="8"/>
      <c r="AW848" s="8"/>
      <c r="AX848" s="8"/>
      <c r="AY848" s="8"/>
      <c r="AZ848" s="8"/>
    </row>
    <row r="849" spans="21:52" ht="16.899999999999999">
      <c r="U849" s="8"/>
      <c r="W849" s="10"/>
      <c r="X849" s="10"/>
      <c r="Z849" s="13"/>
      <c r="AA849" s="13"/>
      <c r="AB849" s="13"/>
      <c r="AC849" s="9"/>
      <c r="AD849" s="9"/>
      <c r="AE849" s="11"/>
      <c r="AF849" s="10"/>
      <c r="AG849" s="11"/>
      <c r="AH849" s="10"/>
      <c r="AI849" s="11"/>
      <c r="AJ849" s="10"/>
      <c r="AK849" s="10"/>
      <c r="AL849" s="10"/>
      <c r="AM849" s="8"/>
      <c r="AN849" s="8"/>
      <c r="AO849" s="9"/>
      <c r="AP849" s="9"/>
      <c r="AQ849" s="9"/>
      <c r="AR849" s="8"/>
      <c r="AS849" s="8"/>
      <c r="AT849" s="8"/>
      <c r="AU849" s="8"/>
      <c r="AV849" s="8"/>
      <c r="AW849" s="8"/>
      <c r="AX849" s="8"/>
      <c r="AY849" s="8"/>
      <c r="AZ849" s="8"/>
    </row>
    <row r="850" spans="21:52" ht="16.899999999999999">
      <c r="U850" s="8"/>
      <c r="W850" s="10"/>
      <c r="X850" s="10"/>
      <c r="Z850" s="13"/>
      <c r="AA850" s="13"/>
      <c r="AB850" s="13"/>
      <c r="AC850" s="9"/>
      <c r="AD850" s="9"/>
      <c r="AE850" s="11"/>
      <c r="AF850" s="10"/>
      <c r="AG850" s="11"/>
      <c r="AH850" s="10"/>
      <c r="AI850" s="11"/>
      <c r="AJ850" s="10"/>
      <c r="AK850" s="10"/>
      <c r="AL850" s="10"/>
      <c r="AM850" s="8"/>
      <c r="AN850" s="8"/>
      <c r="AO850" s="9"/>
      <c r="AP850" s="9"/>
      <c r="AQ850" s="9"/>
      <c r="AR850" s="8"/>
      <c r="AS850" s="8"/>
      <c r="AT850" s="8"/>
      <c r="AU850" s="8"/>
      <c r="AV850" s="8"/>
      <c r="AW850" s="8"/>
      <c r="AX850" s="8"/>
      <c r="AY850" s="8"/>
      <c r="AZ850" s="8"/>
    </row>
    <row r="851" spans="21:52" ht="16.899999999999999">
      <c r="U851" s="8"/>
      <c r="W851" s="10"/>
      <c r="X851" s="10"/>
      <c r="Z851" s="13"/>
      <c r="AA851" s="13"/>
      <c r="AB851" s="13"/>
      <c r="AC851" s="9"/>
      <c r="AD851" s="9"/>
      <c r="AE851" s="11"/>
      <c r="AF851" s="10"/>
      <c r="AG851" s="11"/>
      <c r="AH851" s="10"/>
      <c r="AI851" s="11"/>
      <c r="AJ851" s="10"/>
      <c r="AK851" s="10"/>
      <c r="AL851" s="10"/>
      <c r="AM851" s="8"/>
      <c r="AN851" s="8"/>
      <c r="AO851" s="9"/>
      <c r="AP851" s="9"/>
      <c r="AQ851" s="9"/>
      <c r="AR851" s="8"/>
      <c r="AS851" s="8"/>
      <c r="AT851" s="8"/>
      <c r="AU851" s="8"/>
      <c r="AV851" s="8"/>
      <c r="AW851" s="8"/>
      <c r="AX851" s="8"/>
      <c r="AY851" s="8"/>
      <c r="AZ851" s="8"/>
    </row>
    <row r="852" spans="21:52" ht="16.899999999999999">
      <c r="U852" s="8"/>
      <c r="W852" s="10"/>
      <c r="X852" s="10"/>
      <c r="Z852" s="13"/>
      <c r="AA852" s="13"/>
      <c r="AB852" s="13"/>
      <c r="AC852" s="9"/>
      <c r="AD852" s="9"/>
      <c r="AE852" s="11"/>
      <c r="AF852" s="10"/>
      <c r="AG852" s="11"/>
      <c r="AH852" s="10"/>
      <c r="AI852" s="11"/>
      <c r="AJ852" s="10"/>
      <c r="AK852" s="10"/>
      <c r="AL852" s="10"/>
      <c r="AM852" s="8"/>
      <c r="AN852" s="8"/>
      <c r="AO852" s="9"/>
      <c r="AP852" s="9"/>
      <c r="AQ852" s="9"/>
      <c r="AR852" s="8"/>
      <c r="AS852" s="8"/>
      <c r="AT852" s="8"/>
      <c r="AU852" s="8"/>
      <c r="AV852" s="8"/>
      <c r="AW852" s="8"/>
      <c r="AX852" s="8"/>
      <c r="AY852" s="8"/>
      <c r="AZ852" s="8"/>
    </row>
    <row r="853" spans="21:52" ht="16.899999999999999">
      <c r="U853" s="8"/>
      <c r="W853" s="10"/>
      <c r="X853" s="10"/>
      <c r="Z853" s="13"/>
      <c r="AA853" s="13"/>
      <c r="AB853" s="13"/>
      <c r="AC853" s="9"/>
      <c r="AD853" s="9"/>
      <c r="AE853" s="11"/>
      <c r="AF853" s="10"/>
      <c r="AG853" s="11"/>
      <c r="AH853" s="10"/>
      <c r="AI853" s="11"/>
      <c r="AJ853" s="10"/>
      <c r="AK853" s="10"/>
      <c r="AL853" s="10"/>
      <c r="AM853" s="8"/>
      <c r="AN853" s="8"/>
      <c r="AO853" s="9"/>
      <c r="AP853" s="9"/>
      <c r="AQ853" s="9"/>
      <c r="AR853" s="8"/>
      <c r="AS853" s="8"/>
      <c r="AT853" s="8"/>
      <c r="AU853" s="8"/>
      <c r="AV853" s="8"/>
      <c r="AW853" s="8"/>
      <c r="AX853" s="8"/>
      <c r="AY853" s="8"/>
      <c r="AZ853" s="8"/>
    </row>
    <row r="854" spans="21:52" ht="16.899999999999999">
      <c r="U854" s="8"/>
      <c r="W854" s="10"/>
      <c r="X854" s="10"/>
      <c r="Z854" s="13"/>
      <c r="AA854" s="13"/>
      <c r="AB854" s="13"/>
      <c r="AC854" s="9"/>
      <c r="AD854" s="9"/>
      <c r="AE854" s="11"/>
      <c r="AF854" s="10"/>
      <c r="AG854" s="11"/>
      <c r="AH854" s="10"/>
      <c r="AI854" s="11"/>
      <c r="AJ854" s="10"/>
      <c r="AK854" s="10"/>
      <c r="AL854" s="10"/>
      <c r="AM854" s="8"/>
      <c r="AN854" s="8"/>
      <c r="AO854" s="9"/>
      <c r="AP854" s="9"/>
      <c r="AQ854" s="9"/>
      <c r="AR854" s="8"/>
      <c r="AS854" s="8"/>
      <c r="AT854" s="8"/>
      <c r="AU854" s="8"/>
      <c r="AV854" s="8"/>
      <c r="AW854" s="8"/>
      <c r="AX854" s="8"/>
      <c r="AY854" s="8"/>
      <c r="AZ854" s="8"/>
    </row>
    <row r="855" spans="21:52" ht="16.899999999999999">
      <c r="U855" s="8"/>
      <c r="W855" s="10"/>
      <c r="X855" s="10"/>
      <c r="Z855" s="13"/>
      <c r="AA855" s="13"/>
      <c r="AB855" s="13"/>
      <c r="AC855" s="9"/>
      <c r="AD855" s="9"/>
      <c r="AE855" s="11"/>
      <c r="AF855" s="10"/>
      <c r="AG855" s="11"/>
      <c r="AH855" s="10"/>
      <c r="AI855" s="11"/>
      <c r="AJ855" s="10"/>
      <c r="AK855" s="10"/>
      <c r="AL855" s="10"/>
      <c r="AM855" s="8"/>
      <c r="AN855" s="8"/>
      <c r="AO855" s="9"/>
      <c r="AP855" s="9"/>
      <c r="AQ855" s="9"/>
      <c r="AR855" s="8"/>
      <c r="AS855" s="8"/>
      <c r="AT855" s="8"/>
      <c r="AU855" s="8"/>
      <c r="AV855" s="8"/>
      <c r="AW855" s="8"/>
      <c r="AX855" s="8"/>
      <c r="AY855" s="8"/>
      <c r="AZ855" s="8"/>
    </row>
    <row r="856" spans="21:52" ht="16.899999999999999">
      <c r="U856" s="8"/>
      <c r="W856" s="10"/>
      <c r="X856" s="10"/>
      <c r="Z856" s="13"/>
      <c r="AA856" s="13"/>
      <c r="AB856" s="13"/>
      <c r="AC856" s="9"/>
      <c r="AD856" s="9"/>
      <c r="AE856" s="11"/>
      <c r="AF856" s="10"/>
      <c r="AG856" s="11"/>
      <c r="AH856" s="10"/>
      <c r="AI856" s="11"/>
      <c r="AJ856" s="10"/>
      <c r="AK856" s="10"/>
      <c r="AL856" s="10"/>
      <c r="AM856" s="8"/>
      <c r="AN856" s="8"/>
      <c r="AO856" s="9"/>
      <c r="AP856" s="9"/>
      <c r="AQ856" s="9"/>
      <c r="AR856" s="8"/>
      <c r="AS856" s="8"/>
      <c r="AT856" s="8"/>
      <c r="AU856" s="8"/>
      <c r="AV856" s="8"/>
      <c r="AW856" s="8"/>
      <c r="AX856" s="8"/>
      <c r="AY856" s="8"/>
      <c r="AZ856" s="8"/>
    </row>
    <row r="857" spans="21:52" ht="16.899999999999999">
      <c r="U857" s="8"/>
      <c r="W857" s="10"/>
      <c r="X857" s="10"/>
      <c r="Z857" s="13"/>
      <c r="AA857" s="13"/>
      <c r="AB857" s="13"/>
      <c r="AC857" s="9"/>
      <c r="AD857" s="9"/>
      <c r="AE857" s="11"/>
      <c r="AF857" s="10"/>
      <c r="AG857" s="11"/>
      <c r="AH857" s="10"/>
      <c r="AI857" s="11"/>
      <c r="AJ857" s="10"/>
      <c r="AK857" s="10"/>
      <c r="AL857" s="10"/>
      <c r="AM857" s="8"/>
      <c r="AN857" s="8"/>
      <c r="AO857" s="9"/>
      <c r="AP857" s="9"/>
      <c r="AQ857" s="9"/>
      <c r="AR857" s="8"/>
      <c r="AS857" s="8"/>
      <c r="AT857" s="8"/>
      <c r="AU857" s="8"/>
      <c r="AV857" s="8"/>
      <c r="AW857" s="8"/>
      <c r="AX857" s="8"/>
      <c r="AY857" s="8"/>
      <c r="AZ857" s="8"/>
    </row>
    <row r="858" spans="21:52" ht="16.899999999999999">
      <c r="U858" s="8"/>
      <c r="W858" s="10"/>
      <c r="X858" s="10"/>
      <c r="Z858" s="13"/>
      <c r="AA858" s="13"/>
      <c r="AB858" s="13"/>
      <c r="AC858" s="9"/>
      <c r="AD858" s="9"/>
      <c r="AE858" s="11"/>
      <c r="AF858" s="10"/>
      <c r="AG858" s="11"/>
      <c r="AH858" s="10"/>
      <c r="AI858" s="11"/>
      <c r="AJ858" s="10"/>
      <c r="AK858" s="10"/>
      <c r="AL858" s="10"/>
      <c r="AM858" s="8"/>
      <c r="AN858" s="8"/>
      <c r="AO858" s="9"/>
      <c r="AP858" s="9"/>
      <c r="AQ858" s="9"/>
      <c r="AR858" s="8"/>
      <c r="AS858" s="8"/>
      <c r="AT858" s="8"/>
      <c r="AU858" s="8"/>
      <c r="AV858" s="8"/>
      <c r="AW858" s="8"/>
      <c r="AX858" s="8"/>
      <c r="AY858" s="8"/>
      <c r="AZ858" s="8"/>
    </row>
    <row r="859" spans="21:52" ht="16.899999999999999">
      <c r="U859" s="8"/>
      <c r="W859" s="10"/>
      <c r="X859" s="10"/>
      <c r="Z859" s="13"/>
      <c r="AA859" s="13"/>
      <c r="AB859" s="13"/>
      <c r="AC859" s="9"/>
      <c r="AD859" s="9"/>
      <c r="AE859" s="11"/>
      <c r="AF859" s="10"/>
      <c r="AG859" s="11"/>
      <c r="AH859" s="10"/>
      <c r="AI859" s="11"/>
      <c r="AJ859" s="10"/>
      <c r="AK859" s="10"/>
      <c r="AL859" s="10"/>
      <c r="AM859" s="8"/>
      <c r="AN859" s="8"/>
      <c r="AO859" s="9"/>
      <c r="AP859" s="9"/>
      <c r="AQ859" s="9"/>
      <c r="AR859" s="8"/>
      <c r="AS859" s="8"/>
      <c r="AT859" s="8"/>
      <c r="AU859" s="8"/>
      <c r="AV859" s="8"/>
      <c r="AW859" s="8"/>
      <c r="AX859" s="8"/>
      <c r="AY859" s="8"/>
      <c r="AZ859" s="8"/>
    </row>
    <row r="860" spans="21:52" ht="16.899999999999999">
      <c r="U860" s="8"/>
      <c r="W860" s="10"/>
      <c r="X860" s="10"/>
      <c r="Z860" s="13"/>
      <c r="AA860" s="13"/>
      <c r="AB860" s="13"/>
      <c r="AC860" s="9"/>
      <c r="AD860" s="9"/>
      <c r="AE860" s="11"/>
      <c r="AF860" s="10"/>
      <c r="AG860" s="11"/>
      <c r="AH860" s="10"/>
      <c r="AI860" s="11"/>
      <c r="AJ860" s="10"/>
      <c r="AK860" s="10"/>
      <c r="AL860" s="10"/>
      <c r="AM860" s="8"/>
      <c r="AN860" s="8"/>
      <c r="AO860" s="9"/>
      <c r="AP860" s="9"/>
      <c r="AQ860" s="9"/>
      <c r="AR860" s="8"/>
      <c r="AS860" s="8"/>
      <c r="AT860" s="8"/>
      <c r="AU860" s="8"/>
      <c r="AV860" s="8"/>
      <c r="AW860" s="8"/>
      <c r="AX860" s="8"/>
      <c r="AY860" s="8"/>
      <c r="AZ860" s="8"/>
    </row>
    <row r="861" spans="21:52" ht="16.899999999999999">
      <c r="U861" s="8"/>
      <c r="W861" s="10"/>
      <c r="X861" s="10"/>
      <c r="Z861" s="13"/>
      <c r="AA861" s="13"/>
      <c r="AB861" s="13"/>
      <c r="AC861" s="9"/>
      <c r="AD861" s="9"/>
      <c r="AE861" s="11"/>
      <c r="AF861" s="10"/>
      <c r="AG861" s="11"/>
      <c r="AH861" s="10"/>
      <c r="AI861" s="11"/>
      <c r="AJ861" s="10"/>
      <c r="AK861" s="10"/>
      <c r="AL861" s="10"/>
      <c r="AM861" s="8"/>
      <c r="AN861" s="8"/>
      <c r="AO861" s="9"/>
      <c r="AP861" s="9"/>
      <c r="AQ861" s="9"/>
      <c r="AR861" s="8"/>
      <c r="AS861" s="8"/>
      <c r="AT861" s="8"/>
      <c r="AU861" s="8"/>
      <c r="AV861" s="8"/>
      <c r="AW861" s="8"/>
      <c r="AX861" s="8"/>
      <c r="AY861" s="8"/>
      <c r="AZ861" s="8"/>
    </row>
    <row r="862" spans="21:52" ht="16.899999999999999">
      <c r="U862" s="8"/>
      <c r="W862" s="10"/>
      <c r="X862" s="10"/>
      <c r="Z862" s="13"/>
      <c r="AA862" s="13"/>
      <c r="AB862" s="13"/>
      <c r="AC862" s="9"/>
      <c r="AD862" s="9"/>
      <c r="AE862" s="11"/>
      <c r="AF862" s="10"/>
      <c r="AG862" s="11"/>
      <c r="AH862" s="10"/>
      <c r="AI862" s="11"/>
      <c r="AJ862" s="10"/>
      <c r="AK862" s="10"/>
      <c r="AL862" s="10"/>
      <c r="AM862" s="8"/>
      <c r="AN862" s="8"/>
      <c r="AO862" s="9"/>
      <c r="AP862" s="9"/>
      <c r="AQ862" s="9"/>
      <c r="AR862" s="8"/>
      <c r="AS862" s="8"/>
      <c r="AT862" s="8"/>
      <c r="AU862" s="8"/>
      <c r="AV862" s="8"/>
      <c r="AW862" s="8"/>
      <c r="AX862" s="8"/>
      <c r="AY862" s="8"/>
      <c r="AZ862" s="8"/>
    </row>
    <row r="863" spans="21:52" ht="16.899999999999999">
      <c r="U863" s="8"/>
      <c r="W863" s="10"/>
      <c r="X863" s="10"/>
      <c r="Z863" s="13"/>
      <c r="AA863" s="13"/>
      <c r="AB863" s="13"/>
      <c r="AC863" s="9"/>
      <c r="AD863" s="9"/>
      <c r="AE863" s="11"/>
      <c r="AF863" s="10"/>
      <c r="AG863" s="11"/>
      <c r="AH863" s="10"/>
      <c r="AI863" s="11"/>
      <c r="AJ863" s="10"/>
      <c r="AK863" s="10"/>
      <c r="AL863" s="10"/>
      <c r="AM863" s="8"/>
      <c r="AN863" s="8"/>
      <c r="AO863" s="9"/>
      <c r="AP863" s="9"/>
      <c r="AQ863" s="9"/>
      <c r="AR863" s="8"/>
      <c r="AS863" s="8"/>
      <c r="AT863" s="8"/>
      <c r="AU863" s="8"/>
      <c r="AV863" s="8"/>
      <c r="AW863" s="8"/>
      <c r="AX863" s="8"/>
      <c r="AY863" s="8"/>
      <c r="AZ863" s="8"/>
    </row>
    <row r="864" spans="21:52" ht="16.899999999999999">
      <c r="U864" s="8"/>
      <c r="W864" s="10"/>
      <c r="X864" s="10"/>
      <c r="Z864" s="13"/>
      <c r="AA864" s="13"/>
      <c r="AB864" s="13"/>
      <c r="AC864" s="9"/>
      <c r="AD864" s="9"/>
      <c r="AE864" s="11"/>
      <c r="AF864" s="10"/>
      <c r="AG864" s="11"/>
      <c r="AH864" s="10"/>
      <c r="AI864" s="11"/>
      <c r="AJ864" s="10"/>
      <c r="AK864" s="10"/>
      <c r="AL864" s="10"/>
      <c r="AM864" s="8"/>
      <c r="AN864" s="8"/>
      <c r="AO864" s="9"/>
      <c r="AP864" s="9"/>
      <c r="AQ864" s="9"/>
      <c r="AR864" s="8"/>
      <c r="AS864" s="8"/>
      <c r="AT864" s="8"/>
      <c r="AU864" s="8"/>
      <c r="AV864" s="8"/>
      <c r="AW864" s="8"/>
      <c r="AX864" s="8"/>
      <c r="AY864" s="8"/>
      <c r="AZ864" s="8"/>
    </row>
    <row r="865" spans="21:52" ht="16.899999999999999">
      <c r="U865" s="8"/>
      <c r="W865" s="10"/>
      <c r="X865" s="10"/>
      <c r="Z865" s="13"/>
      <c r="AA865" s="13"/>
      <c r="AB865" s="13"/>
      <c r="AC865" s="9"/>
      <c r="AD865" s="9"/>
      <c r="AE865" s="11"/>
      <c r="AF865" s="10"/>
      <c r="AG865" s="11"/>
      <c r="AH865" s="10"/>
      <c r="AI865" s="11"/>
      <c r="AJ865" s="10"/>
      <c r="AK865" s="10"/>
      <c r="AL865" s="10"/>
      <c r="AM865" s="8"/>
      <c r="AN865" s="8"/>
      <c r="AO865" s="9"/>
      <c r="AP865" s="9"/>
      <c r="AQ865" s="9"/>
      <c r="AR865" s="8"/>
      <c r="AS865" s="8"/>
      <c r="AT865" s="8"/>
      <c r="AU865" s="8"/>
      <c r="AV865" s="8"/>
      <c r="AW865" s="8"/>
      <c r="AX865" s="8"/>
      <c r="AY865" s="8"/>
      <c r="AZ865" s="8"/>
    </row>
    <row r="866" spans="21:52" ht="16.899999999999999">
      <c r="U866" s="8"/>
      <c r="W866" s="10"/>
      <c r="X866" s="10"/>
      <c r="Z866" s="13"/>
      <c r="AA866" s="13"/>
      <c r="AB866" s="13"/>
      <c r="AC866" s="9"/>
      <c r="AD866" s="9"/>
      <c r="AE866" s="11"/>
      <c r="AF866" s="10"/>
      <c r="AG866" s="11"/>
      <c r="AH866" s="10"/>
      <c r="AI866" s="11"/>
      <c r="AJ866" s="10"/>
      <c r="AK866" s="10"/>
      <c r="AL866" s="10"/>
      <c r="AM866" s="8"/>
      <c r="AN866" s="8"/>
      <c r="AO866" s="9"/>
      <c r="AP866" s="9"/>
      <c r="AQ866" s="9"/>
      <c r="AR866" s="8"/>
      <c r="AS866" s="8"/>
      <c r="AT866" s="8"/>
      <c r="AU866" s="8"/>
      <c r="AV866" s="8"/>
      <c r="AW866" s="8"/>
      <c r="AX866" s="8"/>
      <c r="AY866" s="8"/>
      <c r="AZ866" s="8"/>
    </row>
    <row r="867" spans="21:52" ht="16.899999999999999">
      <c r="U867" s="8"/>
      <c r="W867" s="10"/>
      <c r="X867" s="10"/>
      <c r="Z867" s="13"/>
      <c r="AA867" s="13"/>
      <c r="AB867" s="13"/>
      <c r="AC867" s="9"/>
      <c r="AD867" s="9"/>
      <c r="AE867" s="11"/>
      <c r="AF867" s="10"/>
      <c r="AG867" s="11"/>
      <c r="AH867" s="10"/>
      <c r="AI867" s="11"/>
      <c r="AJ867" s="10"/>
      <c r="AK867" s="10"/>
      <c r="AL867" s="10"/>
      <c r="AM867" s="8"/>
      <c r="AN867" s="8"/>
      <c r="AO867" s="9"/>
      <c r="AP867" s="9"/>
      <c r="AQ867" s="9"/>
      <c r="AR867" s="8"/>
      <c r="AS867" s="8"/>
      <c r="AT867" s="8"/>
      <c r="AU867" s="8"/>
      <c r="AV867" s="8"/>
      <c r="AW867" s="8"/>
      <c r="AX867" s="8"/>
      <c r="AY867" s="8"/>
      <c r="AZ867" s="8"/>
    </row>
    <row r="868" spans="21:52" ht="16.899999999999999">
      <c r="U868" s="8"/>
      <c r="W868" s="10"/>
      <c r="X868" s="10"/>
      <c r="Z868" s="13"/>
      <c r="AA868" s="13"/>
      <c r="AB868" s="13"/>
      <c r="AC868" s="9"/>
      <c r="AD868" s="9"/>
      <c r="AE868" s="11"/>
      <c r="AF868" s="10"/>
      <c r="AG868" s="11"/>
      <c r="AH868" s="10"/>
      <c r="AI868" s="11"/>
      <c r="AJ868" s="10"/>
      <c r="AK868" s="10"/>
      <c r="AL868" s="10"/>
      <c r="AM868" s="8"/>
      <c r="AN868" s="8"/>
      <c r="AO868" s="9"/>
      <c r="AP868" s="9"/>
      <c r="AQ868" s="9"/>
      <c r="AR868" s="8"/>
      <c r="AS868" s="8"/>
      <c r="AT868" s="8"/>
      <c r="AU868" s="8"/>
      <c r="AV868" s="8"/>
      <c r="AW868" s="8"/>
      <c r="AX868" s="8"/>
      <c r="AY868" s="8"/>
      <c r="AZ868" s="8"/>
    </row>
    <row r="869" spans="21:52" ht="16.899999999999999">
      <c r="U869" s="8"/>
      <c r="W869" s="10"/>
      <c r="X869" s="10"/>
      <c r="Z869" s="13"/>
      <c r="AA869" s="13"/>
      <c r="AB869" s="13"/>
      <c r="AC869" s="9"/>
      <c r="AD869" s="9"/>
      <c r="AE869" s="11"/>
      <c r="AF869" s="10"/>
      <c r="AG869" s="11"/>
      <c r="AH869" s="10"/>
      <c r="AI869" s="11"/>
      <c r="AJ869" s="10"/>
      <c r="AK869" s="10"/>
      <c r="AL869" s="10"/>
      <c r="AM869" s="8"/>
      <c r="AN869" s="8"/>
      <c r="AO869" s="9"/>
      <c r="AP869" s="9"/>
      <c r="AQ869" s="9"/>
      <c r="AR869" s="8"/>
      <c r="AS869" s="8"/>
      <c r="AT869" s="8"/>
      <c r="AU869" s="8"/>
      <c r="AV869" s="8"/>
      <c r="AW869" s="8"/>
      <c r="AX869" s="8"/>
      <c r="AY869" s="8"/>
      <c r="AZ869" s="8"/>
    </row>
    <row r="870" spans="21:52" ht="16.899999999999999">
      <c r="U870" s="8"/>
      <c r="W870" s="10"/>
      <c r="X870" s="10"/>
      <c r="Z870" s="13"/>
      <c r="AA870" s="13"/>
      <c r="AB870" s="13"/>
      <c r="AC870" s="9"/>
      <c r="AD870" s="9"/>
      <c r="AE870" s="11"/>
      <c r="AF870" s="10"/>
      <c r="AG870" s="11"/>
      <c r="AH870" s="10"/>
      <c r="AI870" s="11"/>
      <c r="AJ870" s="10"/>
      <c r="AK870" s="10"/>
      <c r="AL870" s="10"/>
      <c r="AM870" s="8"/>
      <c r="AN870" s="8"/>
      <c r="AO870" s="9"/>
      <c r="AP870" s="9"/>
      <c r="AQ870" s="9"/>
      <c r="AR870" s="8"/>
      <c r="AS870" s="8"/>
      <c r="AT870" s="8"/>
      <c r="AU870" s="8"/>
      <c r="AV870" s="8"/>
      <c r="AW870" s="8"/>
      <c r="AX870" s="8"/>
      <c r="AY870" s="8"/>
      <c r="AZ870" s="8"/>
    </row>
    <row r="871" spans="21:52" ht="16.899999999999999">
      <c r="U871" s="8"/>
      <c r="W871" s="10"/>
      <c r="X871" s="10"/>
      <c r="Z871" s="13"/>
      <c r="AA871" s="13"/>
      <c r="AB871" s="13"/>
      <c r="AC871" s="9"/>
      <c r="AD871" s="9"/>
      <c r="AE871" s="11"/>
      <c r="AF871" s="10"/>
      <c r="AG871" s="11"/>
      <c r="AH871" s="10"/>
      <c r="AI871" s="11"/>
      <c r="AJ871" s="10"/>
      <c r="AK871" s="10"/>
      <c r="AL871" s="10"/>
      <c r="AM871" s="8"/>
      <c r="AN871" s="8"/>
      <c r="AO871" s="9"/>
      <c r="AP871" s="9"/>
      <c r="AQ871" s="9"/>
      <c r="AR871" s="8"/>
      <c r="AS871" s="8"/>
      <c r="AT871" s="8"/>
      <c r="AU871" s="8"/>
      <c r="AV871" s="8"/>
      <c r="AW871" s="8"/>
      <c r="AX871" s="8"/>
      <c r="AY871" s="8"/>
      <c r="AZ871" s="8"/>
    </row>
    <row r="872" spans="21:52" ht="16.899999999999999">
      <c r="U872" s="8"/>
      <c r="W872" s="10"/>
      <c r="X872" s="10"/>
      <c r="Z872" s="13"/>
      <c r="AA872" s="13"/>
      <c r="AB872" s="13"/>
      <c r="AC872" s="9"/>
      <c r="AD872" s="9"/>
      <c r="AE872" s="11"/>
      <c r="AF872" s="10"/>
      <c r="AG872" s="11"/>
      <c r="AH872" s="10"/>
      <c r="AI872" s="11"/>
      <c r="AJ872" s="10"/>
      <c r="AK872" s="10"/>
      <c r="AL872" s="10"/>
      <c r="AM872" s="8"/>
      <c r="AN872" s="8"/>
      <c r="AO872" s="9"/>
      <c r="AP872" s="9"/>
      <c r="AQ872" s="9"/>
      <c r="AR872" s="8"/>
      <c r="AS872" s="8"/>
      <c r="AT872" s="8"/>
      <c r="AU872" s="8"/>
      <c r="AV872" s="8"/>
      <c r="AW872" s="8"/>
      <c r="AX872" s="8"/>
      <c r="AY872" s="8"/>
      <c r="AZ872" s="8"/>
    </row>
    <row r="873" spans="21:52" ht="16.899999999999999">
      <c r="U873" s="8"/>
      <c r="W873" s="10"/>
      <c r="X873" s="10"/>
      <c r="Z873" s="13"/>
      <c r="AA873" s="13"/>
      <c r="AB873" s="13"/>
      <c r="AC873" s="9"/>
      <c r="AD873" s="9"/>
      <c r="AE873" s="11"/>
      <c r="AF873" s="10"/>
      <c r="AG873" s="11"/>
      <c r="AH873" s="10"/>
      <c r="AI873" s="11"/>
      <c r="AJ873" s="10"/>
      <c r="AK873" s="10"/>
      <c r="AL873" s="10"/>
      <c r="AM873" s="8"/>
      <c r="AN873" s="8"/>
      <c r="AO873" s="9"/>
      <c r="AP873" s="9"/>
      <c r="AQ873" s="9"/>
      <c r="AR873" s="8"/>
      <c r="AS873" s="8"/>
      <c r="AT873" s="8"/>
      <c r="AU873" s="8"/>
      <c r="AV873" s="8"/>
      <c r="AW873" s="8"/>
      <c r="AX873" s="8"/>
      <c r="AY873" s="8"/>
      <c r="AZ873" s="8"/>
    </row>
    <row r="874" spans="21:52" ht="16.899999999999999">
      <c r="U874" s="8"/>
      <c r="W874" s="10"/>
      <c r="X874" s="10"/>
      <c r="Z874" s="13"/>
      <c r="AA874" s="13"/>
      <c r="AB874" s="13"/>
      <c r="AC874" s="9"/>
      <c r="AD874" s="9"/>
      <c r="AE874" s="11"/>
      <c r="AF874" s="10"/>
      <c r="AG874" s="11"/>
      <c r="AH874" s="10"/>
      <c r="AI874" s="11"/>
      <c r="AJ874" s="10"/>
      <c r="AK874" s="10"/>
      <c r="AL874" s="10"/>
      <c r="AM874" s="8"/>
      <c r="AN874" s="8"/>
      <c r="AO874" s="9"/>
      <c r="AP874" s="9"/>
      <c r="AQ874" s="9"/>
      <c r="AR874" s="8"/>
      <c r="AS874" s="8"/>
      <c r="AT874" s="8"/>
      <c r="AU874" s="8"/>
      <c r="AV874" s="8"/>
      <c r="AW874" s="8"/>
      <c r="AX874" s="8"/>
      <c r="AY874" s="8"/>
      <c r="AZ874" s="8"/>
    </row>
    <row r="875" spans="21:52" ht="16.899999999999999">
      <c r="U875" s="8"/>
      <c r="W875" s="10"/>
      <c r="X875" s="10"/>
      <c r="Z875" s="13"/>
      <c r="AA875" s="13"/>
      <c r="AB875" s="13"/>
      <c r="AC875" s="9"/>
      <c r="AD875" s="9"/>
      <c r="AE875" s="11"/>
      <c r="AF875" s="10"/>
      <c r="AG875" s="11"/>
      <c r="AH875" s="10"/>
      <c r="AI875" s="11"/>
      <c r="AJ875" s="10"/>
      <c r="AK875" s="10"/>
      <c r="AL875" s="10"/>
      <c r="AM875" s="8"/>
      <c r="AN875" s="8"/>
      <c r="AO875" s="9"/>
      <c r="AP875" s="9"/>
      <c r="AQ875" s="9"/>
      <c r="AR875" s="8"/>
      <c r="AS875" s="8"/>
      <c r="AT875" s="8"/>
      <c r="AU875" s="8"/>
      <c r="AV875" s="8"/>
      <c r="AW875" s="8"/>
      <c r="AX875" s="8"/>
      <c r="AY875" s="8"/>
      <c r="AZ875" s="8"/>
    </row>
    <row r="876" spans="21:52" ht="16.899999999999999">
      <c r="U876" s="8"/>
      <c r="W876" s="10"/>
      <c r="X876" s="10"/>
      <c r="Z876" s="13"/>
      <c r="AA876" s="13"/>
      <c r="AB876" s="13"/>
      <c r="AC876" s="9"/>
      <c r="AD876" s="9"/>
      <c r="AE876" s="11"/>
      <c r="AF876" s="10"/>
      <c r="AG876" s="11"/>
      <c r="AH876" s="10"/>
      <c r="AI876" s="11"/>
      <c r="AJ876" s="10"/>
      <c r="AK876" s="10"/>
      <c r="AL876" s="10"/>
      <c r="AM876" s="8"/>
      <c r="AN876" s="8"/>
      <c r="AO876" s="9"/>
      <c r="AP876" s="9"/>
      <c r="AQ876" s="9"/>
      <c r="AR876" s="8"/>
      <c r="AS876" s="8"/>
      <c r="AT876" s="8"/>
      <c r="AU876" s="8"/>
      <c r="AV876" s="8"/>
      <c r="AW876" s="8"/>
      <c r="AX876" s="8"/>
      <c r="AY876" s="8"/>
      <c r="AZ876" s="8"/>
    </row>
    <row r="877" spans="21:52" ht="16.899999999999999">
      <c r="U877" s="8"/>
      <c r="W877" s="10"/>
      <c r="X877" s="10"/>
      <c r="Z877" s="13"/>
      <c r="AA877" s="13"/>
      <c r="AB877" s="13"/>
      <c r="AC877" s="9"/>
      <c r="AD877" s="9"/>
      <c r="AE877" s="11"/>
      <c r="AF877" s="10"/>
      <c r="AG877" s="11"/>
      <c r="AH877" s="10"/>
      <c r="AI877" s="11"/>
      <c r="AJ877" s="10"/>
      <c r="AK877" s="10"/>
      <c r="AL877" s="10"/>
      <c r="AM877" s="8"/>
      <c r="AN877" s="8"/>
      <c r="AO877" s="9"/>
      <c r="AP877" s="9"/>
      <c r="AQ877" s="9"/>
      <c r="AR877" s="8"/>
      <c r="AS877" s="8"/>
      <c r="AT877" s="8"/>
      <c r="AU877" s="8"/>
      <c r="AV877" s="8"/>
      <c r="AW877" s="8"/>
      <c r="AX877" s="8"/>
      <c r="AY877" s="8"/>
      <c r="AZ877" s="8"/>
    </row>
    <row r="878" spans="21:52" ht="16.899999999999999">
      <c r="U878" s="8"/>
      <c r="W878" s="10"/>
      <c r="X878" s="10"/>
      <c r="Z878" s="13"/>
      <c r="AA878" s="13"/>
      <c r="AB878" s="13"/>
      <c r="AC878" s="9"/>
      <c r="AD878" s="9"/>
      <c r="AE878" s="11"/>
      <c r="AF878" s="10"/>
      <c r="AG878" s="11"/>
      <c r="AH878" s="10"/>
      <c r="AI878" s="11"/>
      <c r="AJ878" s="10"/>
      <c r="AK878" s="10"/>
      <c r="AL878" s="10"/>
      <c r="AM878" s="8"/>
      <c r="AN878" s="8"/>
      <c r="AO878" s="9"/>
      <c r="AP878" s="9"/>
      <c r="AQ878" s="9"/>
      <c r="AR878" s="8"/>
      <c r="AS878" s="8"/>
      <c r="AT878" s="8"/>
      <c r="AU878" s="8"/>
      <c r="AV878" s="8"/>
      <c r="AW878" s="8"/>
      <c r="AX878" s="8"/>
      <c r="AY878" s="8"/>
      <c r="AZ878" s="8"/>
    </row>
    <row r="879" spans="21:52" ht="16.899999999999999">
      <c r="U879" s="8"/>
      <c r="W879" s="10"/>
      <c r="X879" s="10"/>
      <c r="Z879" s="13"/>
      <c r="AA879" s="13"/>
      <c r="AB879" s="13"/>
      <c r="AC879" s="9"/>
      <c r="AD879" s="9"/>
      <c r="AE879" s="11"/>
      <c r="AF879" s="10"/>
      <c r="AG879" s="11"/>
      <c r="AH879" s="10"/>
      <c r="AI879" s="11"/>
      <c r="AJ879" s="10"/>
      <c r="AK879" s="10"/>
      <c r="AL879" s="10"/>
      <c r="AM879" s="8"/>
      <c r="AN879" s="8"/>
      <c r="AO879" s="9"/>
      <c r="AP879" s="9"/>
      <c r="AQ879" s="9"/>
      <c r="AR879" s="8"/>
      <c r="AS879" s="8"/>
      <c r="AT879" s="8"/>
      <c r="AU879" s="8"/>
      <c r="AV879" s="8"/>
      <c r="AW879" s="8"/>
      <c r="AX879" s="8"/>
      <c r="AY879" s="8"/>
      <c r="AZ879" s="8"/>
    </row>
    <row r="880" spans="21:52" ht="16.899999999999999">
      <c r="U880" s="8"/>
      <c r="W880" s="10"/>
      <c r="X880" s="10"/>
      <c r="Z880" s="13"/>
      <c r="AA880" s="13"/>
      <c r="AB880" s="13"/>
      <c r="AC880" s="9"/>
      <c r="AD880" s="9"/>
      <c r="AE880" s="11"/>
      <c r="AF880" s="10"/>
      <c r="AG880" s="11"/>
      <c r="AH880" s="10"/>
      <c r="AI880" s="11"/>
      <c r="AJ880" s="10"/>
      <c r="AK880" s="10"/>
      <c r="AL880" s="10"/>
      <c r="AM880" s="8"/>
      <c r="AN880" s="8"/>
      <c r="AO880" s="9"/>
      <c r="AP880" s="9"/>
      <c r="AQ880" s="9"/>
      <c r="AR880" s="8"/>
      <c r="AS880" s="8"/>
      <c r="AT880" s="8"/>
      <c r="AU880" s="8"/>
      <c r="AV880" s="8"/>
      <c r="AW880" s="8"/>
      <c r="AX880" s="8"/>
      <c r="AY880" s="8"/>
      <c r="AZ880" s="8"/>
    </row>
    <row r="881" spans="21:52" ht="16.899999999999999">
      <c r="U881" s="8"/>
      <c r="W881" s="10"/>
      <c r="X881" s="10"/>
      <c r="Z881" s="13"/>
      <c r="AA881" s="13"/>
      <c r="AB881" s="13"/>
      <c r="AC881" s="9"/>
      <c r="AD881" s="9"/>
      <c r="AE881" s="11"/>
      <c r="AF881" s="10"/>
      <c r="AG881" s="11"/>
      <c r="AH881" s="10"/>
      <c r="AI881" s="11"/>
      <c r="AJ881" s="10"/>
      <c r="AK881" s="10"/>
      <c r="AL881" s="10"/>
      <c r="AM881" s="8"/>
      <c r="AN881" s="8"/>
      <c r="AO881" s="9"/>
      <c r="AP881" s="9"/>
      <c r="AQ881" s="9"/>
      <c r="AR881" s="8"/>
      <c r="AS881" s="8"/>
      <c r="AT881" s="8"/>
      <c r="AU881" s="8"/>
      <c r="AV881" s="8"/>
      <c r="AW881" s="8"/>
      <c r="AX881" s="8"/>
      <c r="AY881" s="8"/>
      <c r="AZ881" s="8"/>
    </row>
    <row r="882" spans="21:52" ht="16.899999999999999">
      <c r="U882" s="8"/>
      <c r="W882" s="10"/>
      <c r="X882" s="10"/>
      <c r="Z882" s="13"/>
      <c r="AA882" s="13"/>
      <c r="AB882" s="13"/>
      <c r="AC882" s="9"/>
      <c r="AD882" s="9"/>
      <c r="AE882" s="11"/>
      <c r="AF882" s="10"/>
      <c r="AG882" s="11"/>
      <c r="AH882" s="10"/>
      <c r="AI882" s="11"/>
      <c r="AJ882" s="10"/>
      <c r="AK882" s="10"/>
      <c r="AL882" s="10"/>
      <c r="AM882" s="8"/>
      <c r="AN882" s="8"/>
      <c r="AO882" s="9"/>
      <c r="AP882" s="9"/>
      <c r="AQ882" s="9"/>
      <c r="AR882" s="8"/>
      <c r="AS882" s="8"/>
      <c r="AT882" s="8"/>
      <c r="AU882" s="8"/>
      <c r="AV882" s="8"/>
      <c r="AW882" s="8"/>
      <c r="AX882" s="8"/>
      <c r="AY882" s="8"/>
      <c r="AZ882" s="8"/>
    </row>
    <row r="883" spans="21:52" ht="16.899999999999999">
      <c r="U883" s="8"/>
      <c r="W883" s="10"/>
      <c r="X883" s="10"/>
      <c r="Z883" s="13"/>
      <c r="AA883" s="13"/>
      <c r="AB883" s="13"/>
      <c r="AC883" s="9"/>
      <c r="AD883" s="9"/>
      <c r="AE883" s="11"/>
      <c r="AF883" s="10"/>
      <c r="AG883" s="11"/>
      <c r="AH883" s="10"/>
      <c r="AI883" s="11"/>
      <c r="AJ883" s="10"/>
      <c r="AK883" s="10"/>
      <c r="AL883" s="10"/>
      <c r="AM883" s="8"/>
      <c r="AN883" s="8"/>
      <c r="AO883" s="9"/>
      <c r="AP883" s="9"/>
      <c r="AQ883" s="9"/>
      <c r="AR883" s="8"/>
      <c r="AS883" s="8"/>
      <c r="AT883" s="8"/>
      <c r="AU883" s="8"/>
      <c r="AV883" s="8"/>
      <c r="AW883" s="8"/>
      <c r="AX883" s="8"/>
      <c r="AY883" s="8"/>
      <c r="AZ883" s="8"/>
    </row>
    <row r="884" spans="21:52" ht="16.899999999999999">
      <c r="U884" s="8"/>
      <c r="W884" s="10"/>
      <c r="X884" s="10"/>
      <c r="Z884" s="13"/>
      <c r="AA884" s="13"/>
      <c r="AB884" s="13"/>
      <c r="AC884" s="9"/>
      <c r="AD884" s="9"/>
      <c r="AE884" s="11"/>
      <c r="AF884" s="10"/>
      <c r="AG884" s="11"/>
      <c r="AH884" s="10"/>
      <c r="AI884" s="11"/>
      <c r="AJ884" s="10"/>
      <c r="AK884" s="10"/>
      <c r="AL884" s="10"/>
      <c r="AM884" s="8"/>
      <c r="AN884" s="8"/>
      <c r="AO884" s="9"/>
      <c r="AP884" s="9"/>
      <c r="AQ884" s="9"/>
      <c r="AR884" s="8"/>
      <c r="AS884" s="8"/>
      <c r="AT884" s="8"/>
      <c r="AU884" s="8"/>
      <c r="AV884" s="8"/>
      <c r="AW884" s="8"/>
      <c r="AX884" s="8"/>
      <c r="AY884" s="8"/>
      <c r="AZ884" s="8"/>
    </row>
    <row r="885" spans="21:52" ht="16.899999999999999">
      <c r="U885" s="8"/>
      <c r="W885" s="10"/>
      <c r="X885" s="10"/>
      <c r="Z885" s="13"/>
      <c r="AA885" s="13"/>
      <c r="AB885" s="13"/>
      <c r="AC885" s="9"/>
      <c r="AD885" s="9"/>
      <c r="AE885" s="11"/>
      <c r="AF885" s="10"/>
      <c r="AG885" s="11"/>
      <c r="AH885" s="10"/>
      <c r="AI885" s="11"/>
      <c r="AJ885" s="10"/>
      <c r="AK885" s="10"/>
      <c r="AL885" s="10"/>
      <c r="AM885" s="8"/>
      <c r="AN885" s="8"/>
      <c r="AO885" s="9"/>
      <c r="AP885" s="9"/>
      <c r="AQ885" s="9"/>
      <c r="AR885" s="8"/>
      <c r="AS885" s="8"/>
      <c r="AT885" s="8"/>
      <c r="AU885" s="8"/>
      <c r="AV885" s="8"/>
      <c r="AW885" s="8"/>
      <c r="AX885" s="8"/>
      <c r="AY885" s="8"/>
      <c r="AZ885" s="8"/>
    </row>
    <row r="886" spans="21:52" ht="16.899999999999999">
      <c r="U886" s="8"/>
      <c r="W886" s="10"/>
      <c r="X886" s="10"/>
      <c r="Z886" s="13"/>
      <c r="AA886" s="13"/>
      <c r="AB886" s="13"/>
      <c r="AC886" s="9"/>
      <c r="AD886" s="9"/>
      <c r="AE886" s="11"/>
      <c r="AF886" s="10"/>
      <c r="AG886" s="11"/>
      <c r="AH886" s="10"/>
      <c r="AI886" s="11"/>
      <c r="AJ886" s="10"/>
      <c r="AK886" s="10"/>
      <c r="AL886" s="10"/>
      <c r="AM886" s="8"/>
      <c r="AN886" s="8"/>
      <c r="AO886" s="9"/>
      <c r="AP886" s="9"/>
      <c r="AQ886" s="9"/>
      <c r="AR886" s="8"/>
      <c r="AS886" s="8"/>
      <c r="AT886" s="8"/>
      <c r="AU886" s="8"/>
      <c r="AV886" s="8"/>
      <c r="AW886" s="8"/>
      <c r="AX886" s="8"/>
      <c r="AY886" s="8"/>
      <c r="AZ886" s="8"/>
    </row>
    <row r="887" spans="21:52" ht="16.899999999999999">
      <c r="U887" s="8"/>
      <c r="W887" s="10"/>
      <c r="X887" s="10"/>
      <c r="Z887" s="13"/>
      <c r="AA887" s="13"/>
      <c r="AB887" s="13"/>
      <c r="AC887" s="9"/>
      <c r="AD887" s="9"/>
      <c r="AE887" s="11"/>
      <c r="AF887" s="10"/>
      <c r="AG887" s="11"/>
      <c r="AH887" s="10"/>
      <c r="AI887" s="11"/>
      <c r="AJ887" s="10"/>
      <c r="AK887" s="10"/>
      <c r="AL887" s="10"/>
      <c r="AM887" s="8"/>
      <c r="AN887" s="8"/>
      <c r="AO887" s="9"/>
      <c r="AP887" s="9"/>
      <c r="AQ887" s="9"/>
      <c r="AR887" s="8"/>
      <c r="AS887" s="8"/>
      <c r="AT887" s="8"/>
      <c r="AU887" s="8"/>
      <c r="AV887" s="8"/>
      <c r="AW887" s="8"/>
      <c r="AX887" s="8"/>
      <c r="AY887" s="8"/>
      <c r="AZ887" s="8"/>
    </row>
    <row r="888" spans="21:52" ht="16.899999999999999">
      <c r="U888" s="8"/>
      <c r="W888" s="10"/>
      <c r="X888" s="10"/>
      <c r="Z888" s="13"/>
      <c r="AA888" s="13"/>
      <c r="AB888" s="13"/>
      <c r="AC888" s="9"/>
      <c r="AD888" s="9"/>
      <c r="AE888" s="11"/>
      <c r="AF888" s="10"/>
      <c r="AG888" s="11"/>
      <c r="AH888" s="10"/>
      <c r="AI888" s="11"/>
      <c r="AJ888" s="10"/>
      <c r="AK888" s="10"/>
      <c r="AL888" s="10"/>
      <c r="AM888" s="8"/>
      <c r="AN888" s="8"/>
      <c r="AO888" s="9"/>
      <c r="AP888" s="9"/>
      <c r="AQ888" s="9"/>
      <c r="AR888" s="8"/>
      <c r="AS888" s="8"/>
      <c r="AT888" s="8"/>
      <c r="AU888" s="8"/>
      <c r="AV888" s="8"/>
      <c r="AW888" s="8"/>
      <c r="AX888" s="8"/>
      <c r="AY888" s="8"/>
      <c r="AZ888" s="8"/>
    </row>
    <row r="889" spans="21:52" ht="16.899999999999999">
      <c r="U889" s="8"/>
      <c r="W889" s="10"/>
      <c r="X889" s="10"/>
      <c r="Z889" s="13"/>
      <c r="AA889" s="13"/>
      <c r="AB889" s="13"/>
      <c r="AC889" s="9"/>
      <c r="AD889" s="9"/>
      <c r="AE889" s="11"/>
      <c r="AF889" s="10"/>
      <c r="AG889" s="11"/>
      <c r="AH889" s="10"/>
      <c r="AI889" s="11"/>
      <c r="AJ889" s="10"/>
      <c r="AK889" s="10"/>
      <c r="AL889" s="10"/>
      <c r="AM889" s="8"/>
      <c r="AN889" s="8"/>
      <c r="AO889" s="9"/>
      <c r="AP889" s="9"/>
      <c r="AQ889" s="9"/>
      <c r="AR889" s="8"/>
      <c r="AS889" s="8"/>
      <c r="AT889" s="8"/>
      <c r="AU889" s="8"/>
      <c r="AV889" s="8"/>
      <c r="AW889" s="8"/>
      <c r="AX889" s="8"/>
      <c r="AY889" s="8"/>
      <c r="AZ889" s="8"/>
    </row>
    <row r="890" spans="21:52" ht="16.899999999999999">
      <c r="U890" s="8"/>
      <c r="W890" s="10"/>
      <c r="X890" s="10"/>
      <c r="Z890" s="13"/>
      <c r="AA890" s="13"/>
      <c r="AB890" s="13"/>
      <c r="AC890" s="9"/>
      <c r="AD890" s="9"/>
      <c r="AE890" s="11"/>
      <c r="AF890" s="10"/>
      <c r="AG890" s="11"/>
      <c r="AH890" s="10"/>
      <c r="AI890" s="11"/>
      <c r="AJ890" s="10"/>
      <c r="AK890" s="10"/>
      <c r="AL890" s="10"/>
      <c r="AM890" s="8"/>
      <c r="AN890" s="8"/>
      <c r="AO890" s="9"/>
      <c r="AP890" s="9"/>
      <c r="AQ890" s="9"/>
      <c r="AR890" s="8"/>
      <c r="AS890" s="8"/>
      <c r="AT890" s="8"/>
      <c r="AU890" s="8"/>
      <c r="AV890" s="8"/>
      <c r="AW890" s="8"/>
      <c r="AX890" s="8"/>
      <c r="AY890" s="8"/>
      <c r="AZ890" s="8"/>
    </row>
    <row r="891" spans="21:52" ht="16.899999999999999">
      <c r="U891" s="8"/>
      <c r="W891" s="10"/>
      <c r="X891" s="10"/>
      <c r="Z891" s="13"/>
      <c r="AA891" s="13"/>
      <c r="AB891" s="13"/>
      <c r="AC891" s="9"/>
      <c r="AD891" s="9"/>
      <c r="AE891" s="11"/>
      <c r="AF891" s="10"/>
      <c r="AG891" s="11"/>
      <c r="AH891" s="10"/>
      <c r="AI891" s="11"/>
      <c r="AJ891" s="10"/>
      <c r="AK891" s="10"/>
      <c r="AL891" s="10"/>
      <c r="AM891" s="8"/>
      <c r="AN891" s="8"/>
      <c r="AO891" s="9"/>
      <c r="AP891" s="9"/>
      <c r="AQ891" s="9"/>
      <c r="AR891" s="8"/>
      <c r="AS891" s="8"/>
      <c r="AT891" s="8"/>
      <c r="AU891" s="8"/>
      <c r="AV891" s="8"/>
      <c r="AW891" s="8"/>
      <c r="AX891" s="8"/>
      <c r="AY891" s="8"/>
      <c r="AZ891" s="8"/>
    </row>
    <row r="892" spans="21:52" ht="16.899999999999999">
      <c r="U892" s="8"/>
      <c r="W892" s="10"/>
      <c r="X892" s="10"/>
      <c r="Z892" s="13"/>
      <c r="AA892" s="13"/>
      <c r="AB892" s="13"/>
      <c r="AC892" s="9"/>
      <c r="AD892" s="9"/>
      <c r="AE892" s="11"/>
      <c r="AF892" s="10"/>
      <c r="AG892" s="11"/>
      <c r="AH892" s="10"/>
      <c r="AI892" s="11"/>
      <c r="AJ892" s="10"/>
      <c r="AK892" s="10"/>
      <c r="AL892" s="10"/>
      <c r="AM892" s="8"/>
      <c r="AN892" s="8"/>
      <c r="AO892" s="9"/>
      <c r="AP892" s="9"/>
      <c r="AQ892" s="9"/>
      <c r="AR892" s="8"/>
      <c r="AS892" s="8"/>
      <c r="AT892" s="8"/>
      <c r="AU892" s="8"/>
      <c r="AV892" s="8"/>
      <c r="AW892" s="8"/>
      <c r="AX892" s="8"/>
      <c r="AY892" s="8"/>
      <c r="AZ892" s="8"/>
    </row>
    <row r="893" spans="21:52" ht="16.899999999999999">
      <c r="U893" s="8"/>
      <c r="W893" s="10"/>
      <c r="X893" s="10"/>
      <c r="Z893" s="13"/>
      <c r="AA893" s="13"/>
      <c r="AB893" s="13"/>
      <c r="AC893" s="9"/>
      <c r="AD893" s="9"/>
      <c r="AE893" s="11"/>
      <c r="AF893" s="10"/>
      <c r="AG893" s="11"/>
      <c r="AH893" s="10"/>
      <c r="AI893" s="11"/>
      <c r="AJ893" s="10"/>
      <c r="AK893" s="10"/>
      <c r="AL893" s="10"/>
      <c r="AM893" s="8"/>
      <c r="AN893" s="8"/>
      <c r="AO893" s="9"/>
      <c r="AP893" s="9"/>
      <c r="AQ893" s="9"/>
      <c r="AR893" s="8"/>
      <c r="AS893" s="8"/>
      <c r="AT893" s="8"/>
      <c r="AU893" s="8"/>
      <c r="AV893" s="8"/>
      <c r="AW893" s="8"/>
      <c r="AX893" s="8"/>
      <c r="AY893" s="8"/>
      <c r="AZ893" s="8"/>
    </row>
    <row r="894" spans="21:52" ht="16.899999999999999">
      <c r="U894" s="8"/>
      <c r="W894" s="10"/>
      <c r="X894" s="10"/>
      <c r="Z894" s="13"/>
      <c r="AA894" s="13"/>
      <c r="AB894" s="13"/>
      <c r="AC894" s="9"/>
      <c r="AD894" s="9"/>
      <c r="AE894" s="11"/>
      <c r="AF894" s="10"/>
      <c r="AG894" s="11"/>
      <c r="AH894" s="10"/>
      <c r="AI894" s="11"/>
      <c r="AJ894" s="10"/>
      <c r="AK894" s="10"/>
      <c r="AL894" s="10"/>
      <c r="AM894" s="8"/>
      <c r="AN894" s="8"/>
      <c r="AO894" s="9"/>
      <c r="AP894" s="9"/>
      <c r="AQ894" s="9"/>
      <c r="AR894" s="8"/>
      <c r="AS894" s="8"/>
      <c r="AT894" s="8"/>
      <c r="AU894" s="8"/>
      <c r="AV894" s="8"/>
      <c r="AW894" s="8"/>
      <c r="AX894" s="8"/>
      <c r="AY894" s="8"/>
      <c r="AZ894" s="8"/>
    </row>
    <row r="895" spans="21:52" ht="16.899999999999999">
      <c r="U895" s="8"/>
      <c r="W895" s="10"/>
      <c r="X895" s="10"/>
      <c r="Z895" s="13"/>
      <c r="AA895" s="13"/>
      <c r="AB895" s="13"/>
      <c r="AC895" s="9"/>
      <c r="AD895" s="9"/>
      <c r="AE895" s="11"/>
      <c r="AF895" s="10"/>
      <c r="AG895" s="11"/>
      <c r="AH895" s="10"/>
      <c r="AI895" s="11"/>
      <c r="AJ895" s="10"/>
      <c r="AK895" s="10"/>
      <c r="AL895" s="10"/>
      <c r="AM895" s="8"/>
      <c r="AN895" s="8"/>
      <c r="AO895" s="9"/>
      <c r="AP895" s="9"/>
      <c r="AQ895" s="9"/>
      <c r="AR895" s="8"/>
      <c r="AS895" s="8"/>
      <c r="AT895" s="8"/>
      <c r="AU895" s="8"/>
      <c r="AV895" s="8"/>
      <c r="AW895" s="8"/>
      <c r="AX895" s="8"/>
      <c r="AY895" s="8"/>
      <c r="AZ895" s="8"/>
    </row>
    <row r="896" spans="21:52" ht="16.899999999999999">
      <c r="U896" s="8"/>
      <c r="W896" s="10"/>
      <c r="X896" s="10"/>
      <c r="Z896" s="13"/>
      <c r="AA896" s="13"/>
      <c r="AB896" s="13"/>
      <c r="AC896" s="9"/>
      <c r="AD896" s="9"/>
      <c r="AE896" s="11"/>
      <c r="AF896" s="10"/>
      <c r="AG896" s="11"/>
      <c r="AH896" s="10"/>
      <c r="AI896" s="11"/>
      <c r="AJ896" s="10"/>
      <c r="AK896" s="10"/>
      <c r="AL896" s="10"/>
      <c r="AM896" s="8"/>
      <c r="AN896" s="8"/>
      <c r="AO896" s="9"/>
      <c r="AP896" s="9"/>
      <c r="AQ896" s="9"/>
      <c r="AR896" s="8"/>
      <c r="AS896" s="8"/>
      <c r="AT896" s="8"/>
      <c r="AU896" s="8"/>
      <c r="AV896" s="8"/>
      <c r="AW896" s="8"/>
      <c r="AX896" s="8"/>
      <c r="AY896" s="8"/>
      <c r="AZ896" s="8"/>
    </row>
    <row r="897" spans="21:52" ht="16.899999999999999">
      <c r="U897" s="8"/>
      <c r="W897" s="10"/>
      <c r="X897" s="10"/>
      <c r="Z897" s="13"/>
      <c r="AA897" s="13"/>
      <c r="AB897" s="13"/>
      <c r="AC897" s="9"/>
      <c r="AD897" s="9"/>
      <c r="AE897" s="11"/>
      <c r="AF897" s="10"/>
      <c r="AG897" s="11"/>
      <c r="AH897" s="10"/>
      <c r="AI897" s="11"/>
      <c r="AJ897" s="10"/>
      <c r="AK897" s="10"/>
      <c r="AL897" s="10"/>
      <c r="AM897" s="8"/>
      <c r="AN897" s="8"/>
      <c r="AO897" s="9"/>
      <c r="AP897" s="9"/>
      <c r="AQ897" s="9"/>
      <c r="AR897" s="8"/>
      <c r="AS897" s="8"/>
      <c r="AT897" s="8"/>
      <c r="AU897" s="8"/>
      <c r="AV897" s="8"/>
      <c r="AW897" s="8"/>
      <c r="AX897" s="8"/>
      <c r="AY897" s="8"/>
      <c r="AZ897" s="8"/>
    </row>
    <row r="898" spans="21:52" ht="16.899999999999999">
      <c r="U898" s="8"/>
      <c r="W898" s="10"/>
      <c r="X898" s="10"/>
      <c r="Z898" s="13"/>
      <c r="AA898" s="13"/>
      <c r="AB898" s="13"/>
      <c r="AC898" s="9"/>
      <c r="AD898" s="9"/>
      <c r="AE898" s="11"/>
      <c r="AF898" s="10"/>
      <c r="AG898" s="11"/>
      <c r="AH898" s="10"/>
      <c r="AI898" s="11"/>
      <c r="AJ898" s="10"/>
      <c r="AK898" s="10"/>
      <c r="AL898" s="10"/>
      <c r="AM898" s="8"/>
      <c r="AN898" s="8"/>
      <c r="AO898" s="9"/>
      <c r="AP898" s="9"/>
      <c r="AQ898" s="9"/>
      <c r="AR898" s="8"/>
      <c r="AS898" s="8"/>
      <c r="AT898" s="8"/>
      <c r="AU898" s="8"/>
      <c r="AV898" s="8"/>
      <c r="AW898" s="8"/>
      <c r="AX898" s="8"/>
      <c r="AY898" s="8"/>
      <c r="AZ898" s="8"/>
    </row>
    <row r="899" spans="21:52" ht="16.899999999999999">
      <c r="U899" s="8"/>
      <c r="W899" s="10"/>
      <c r="X899" s="10"/>
      <c r="Z899" s="13"/>
      <c r="AA899" s="13"/>
      <c r="AB899" s="13"/>
      <c r="AC899" s="9"/>
      <c r="AD899" s="9"/>
      <c r="AE899" s="11"/>
      <c r="AF899" s="10"/>
      <c r="AG899" s="11"/>
      <c r="AH899" s="10"/>
      <c r="AI899" s="11"/>
      <c r="AJ899" s="10"/>
      <c r="AK899" s="10"/>
      <c r="AL899" s="10"/>
      <c r="AM899" s="8"/>
      <c r="AN899" s="8"/>
      <c r="AO899" s="9"/>
      <c r="AP899" s="9"/>
      <c r="AQ899" s="9"/>
      <c r="AR899" s="8"/>
      <c r="AS899" s="8"/>
      <c r="AT899" s="8"/>
      <c r="AU899" s="8"/>
      <c r="AV899" s="8"/>
      <c r="AW899" s="8"/>
      <c r="AX899" s="8"/>
      <c r="AY899" s="8"/>
      <c r="AZ899" s="8"/>
    </row>
    <row r="900" spans="21:52" ht="16.899999999999999">
      <c r="U900" s="8"/>
      <c r="W900" s="10"/>
      <c r="X900" s="10"/>
      <c r="Z900" s="13"/>
      <c r="AA900" s="13"/>
      <c r="AB900" s="13"/>
      <c r="AC900" s="9"/>
      <c r="AD900" s="9"/>
      <c r="AE900" s="11"/>
      <c r="AF900" s="10"/>
      <c r="AG900" s="11"/>
      <c r="AH900" s="10"/>
      <c r="AI900" s="11"/>
      <c r="AJ900" s="10"/>
      <c r="AK900" s="10"/>
      <c r="AL900" s="10"/>
      <c r="AM900" s="8"/>
      <c r="AN900" s="8"/>
      <c r="AO900" s="9"/>
      <c r="AP900" s="9"/>
      <c r="AQ900" s="9"/>
      <c r="AR900" s="8"/>
      <c r="AS900" s="8"/>
      <c r="AT900" s="8"/>
      <c r="AU900" s="8"/>
      <c r="AV900" s="8"/>
      <c r="AW900" s="8"/>
      <c r="AX900" s="8"/>
      <c r="AY900" s="8"/>
      <c r="AZ900" s="8"/>
    </row>
    <row r="901" spans="21:52" ht="16.899999999999999">
      <c r="U901" s="8"/>
      <c r="W901" s="10"/>
      <c r="X901" s="10"/>
      <c r="Z901" s="13"/>
      <c r="AA901" s="13"/>
      <c r="AB901" s="13"/>
      <c r="AC901" s="9"/>
      <c r="AD901" s="9"/>
      <c r="AE901" s="11"/>
      <c r="AF901" s="10"/>
      <c r="AG901" s="11"/>
      <c r="AH901" s="10"/>
      <c r="AI901" s="11"/>
      <c r="AJ901" s="10"/>
      <c r="AK901" s="10"/>
      <c r="AL901" s="10"/>
      <c r="AM901" s="8"/>
      <c r="AN901" s="8"/>
      <c r="AO901" s="9"/>
      <c r="AP901" s="9"/>
      <c r="AQ901" s="9"/>
      <c r="AR901" s="8"/>
      <c r="AS901" s="8"/>
      <c r="AT901" s="8"/>
      <c r="AU901" s="8"/>
      <c r="AV901" s="8"/>
      <c r="AW901" s="8"/>
      <c r="AX901" s="8"/>
      <c r="AY901" s="8"/>
      <c r="AZ901" s="8"/>
    </row>
    <row r="902" spans="21:52" ht="16.899999999999999">
      <c r="U902" s="8"/>
      <c r="W902" s="10"/>
      <c r="X902" s="10"/>
      <c r="Z902" s="13"/>
      <c r="AA902" s="13"/>
      <c r="AB902" s="13"/>
      <c r="AC902" s="9"/>
      <c r="AD902" s="9"/>
      <c r="AE902" s="11"/>
      <c r="AF902" s="10"/>
      <c r="AG902" s="11"/>
      <c r="AH902" s="10"/>
      <c r="AI902" s="11"/>
      <c r="AJ902" s="10"/>
      <c r="AK902" s="10"/>
      <c r="AL902" s="10"/>
      <c r="AM902" s="8"/>
      <c r="AN902" s="8"/>
      <c r="AO902" s="9"/>
      <c r="AP902" s="9"/>
      <c r="AQ902" s="9"/>
      <c r="AR902" s="8"/>
      <c r="AS902" s="8"/>
      <c r="AT902" s="8"/>
      <c r="AU902" s="8"/>
      <c r="AV902" s="8"/>
      <c r="AW902" s="8"/>
      <c r="AX902" s="8"/>
      <c r="AY902" s="8"/>
      <c r="AZ902" s="8"/>
    </row>
    <row r="903" spans="21:52" ht="16.899999999999999">
      <c r="U903" s="8"/>
      <c r="W903" s="10"/>
      <c r="X903" s="10"/>
      <c r="Z903" s="13"/>
      <c r="AA903" s="13"/>
      <c r="AB903" s="13"/>
      <c r="AC903" s="9"/>
      <c r="AD903" s="9"/>
      <c r="AE903" s="11"/>
      <c r="AF903" s="10"/>
      <c r="AG903" s="11"/>
      <c r="AH903" s="10"/>
      <c r="AI903" s="11"/>
      <c r="AJ903" s="10"/>
      <c r="AK903" s="10"/>
      <c r="AL903" s="10"/>
      <c r="AM903" s="8"/>
      <c r="AN903" s="8"/>
      <c r="AO903" s="9"/>
      <c r="AP903" s="9"/>
      <c r="AQ903" s="9"/>
      <c r="AR903" s="8"/>
      <c r="AS903" s="8"/>
      <c r="AT903" s="8"/>
      <c r="AU903" s="8"/>
      <c r="AV903" s="8"/>
      <c r="AW903" s="8"/>
      <c r="AX903" s="8"/>
      <c r="AY903" s="8"/>
      <c r="AZ903" s="8"/>
    </row>
    <row r="904" spans="21:52" ht="16.899999999999999">
      <c r="U904" s="8"/>
      <c r="W904" s="10"/>
      <c r="X904" s="10"/>
      <c r="Z904" s="13"/>
      <c r="AA904" s="13"/>
      <c r="AB904" s="13"/>
      <c r="AC904" s="9"/>
      <c r="AD904" s="9"/>
      <c r="AE904" s="11"/>
      <c r="AF904" s="10"/>
      <c r="AG904" s="11"/>
      <c r="AH904" s="10"/>
      <c r="AI904" s="11"/>
      <c r="AJ904" s="10"/>
      <c r="AK904" s="10"/>
      <c r="AL904" s="10"/>
      <c r="AM904" s="8"/>
      <c r="AN904" s="8"/>
      <c r="AO904" s="9"/>
      <c r="AP904" s="9"/>
      <c r="AQ904" s="9"/>
      <c r="AR904" s="8"/>
      <c r="AS904" s="8"/>
      <c r="AT904" s="8"/>
      <c r="AU904" s="8"/>
      <c r="AV904" s="8"/>
      <c r="AW904" s="8"/>
      <c r="AX904" s="8"/>
      <c r="AY904" s="8"/>
      <c r="AZ904" s="8"/>
    </row>
    <row r="905" spans="21:52" ht="16.899999999999999">
      <c r="U905" s="8"/>
      <c r="W905" s="10"/>
      <c r="X905" s="10"/>
      <c r="Z905" s="13"/>
      <c r="AA905" s="13"/>
      <c r="AB905" s="13"/>
      <c r="AC905" s="9"/>
      <c r="AD905" s="9"/>
      <c r="AE905" s="11"/>
      <c r="AF905" s="10"/>
      <c r="AG905" s="11"/>
      <c r="AH905" s="10"/>
      <c r="AI905" s="11"/>
      <c r="AJ905" s="10"/>
      <c r="AK905" s="10"/>
      <c r="AL905" s="10"/>
      <c r="AM905" s="8"/>
      <c r="AN905" s="8"/>
      <c r="AO905" s="9"/>
      <c r="AP905" s="9"/>
      <c r="AQ905" s="9"/>
      <c r="AR905" s="8"/>
      <c r="AS905" s="8"/>
      <c r="AT905" s="8"/>
      <c r="AU905" s="8"/>
      <c r="AV905" s="8"/>
      <c r="AW905" s="8"/>
      <c r="AX905" s="8"/>
      <c r="AY905" s="8"/>
      <c r="AZ905" s="8"/>
    </row>
    <row r="906" spans="21:52" ht="16.899999999999999">
      <c r="U906" s="8"/>
      <c r="W906" s="10"/>
      <c r="X906" s="10"/>
      <c r="Z906" s="13"/>
      <c r="AA906" s="13"/>
      <c r="AB906" s="13"/>
      <c r="AC906" s="9"/>
      <c r="AD906" s="9"/>
      <c r="AE906" s="11"/>
      <c r="AF906" s="10"/>
      <c r="AG906" s="11"/>
      <c r="AH906" s="10"/>
      <c r="AI906" s="11"/>
      <c r="AJ906" s="10"/>
      <c r="AK906" s="10"/>
      <c r="AL906" s="10"/>
      <c r="AM906" s="8"/>
      <c r="AN906" s="8"/>
      <c r="AO906" s="9"/>
      <c r="AP906" s="9"/>
      <c r="AQ906" s="9"/>
      <c r="AR906" s="8"/>
      <c r="AS906" s="8"/>
      <c r="AT906" s="8"/>
      <c r="AU906" s="8"/>
      <c r="AV906" s="8"/>
      <c r="AW906" s="8"/>
      <c r="AX906" s="8"/>
      <c r="AY906" s="8"/>
      <c r="AZ906" s="8"/>
    </row>
    <row r="907" spans="21:52" ht="16.899999999999999">
      <c r="U907" s="8"/>
      <c r="W907" s="10"/>
      <c r="X907" s="10"/>
      <c r="Z907" s="13"/>
      <c r="AA907" s="13"/>
      <c r="AB907" s="13"/>
      <c r="AC907" s="9"/>
      <c r="AD907" s="9"/>
      <c r="AE907" s="11"/>
      <c r="AF907" s="10"/>
      <c r="AG907" s="11"/>
      <c r="AH907" s="10"/>
      <c r="AI907" s="11"/>
      <c r="AJ907" s="10"/>
      <c r="AK907" s="10"/>
      <c r="AL907" s="10"/>
      <c r="AM907" s="8"/>
      <c r="AN907" s="8"/>
      <c r="AO907" s="9"/>
      <c r="AP907" s="9"/>
      <c r="AQ907" s="9"/>
      <c r="AR907" s="8"/>
      <c r="AS907" s="8"/>
      <c r="AT907" s="8"/>
      <c r="AU907" s="8"/>
      <c r="AV907" s="8"/>
      <c r="AW907" s="8"/>
      <c r="AX907" s="8"/>
      <c r="AY907" s="8"/>
      <c r="AZ907" s="8"/>
    </row>
    <row r="908" spans="21:52" ht="16.899999999999999">
      <c r="U908" s="8"/>
      <c r="W908" s="10"/>
      <c r="X908" s="10"/>
      <c r="Z908" s="13"/>
      <c r="AA908" s="13"/>
      <c r="AB908" s="13"/>
      <c r="AC908" s="9"/>
      <c r="AD908" s="9"/>
      <c r="AE908" s="11"/>
      <c r="AF908" s="10"/>
      <c r="AG908" s="11"/>
      <c r="AH908" s="10"/>
      <c r="AI908" s="11"/>
      <c r="AJ908" s="10"/>
      <c r="AK908" s="10"/>
      <c r="AL908" s="10"/>
      <c r="AM908" s="8"/>
      <c r="AN908" s="8"/>
      <c r="AO908" s="9"/>
      <c r="AP908" s="9"/>
      <c r="AQ908" s="9"/>
      <c r="AR908" s="8"/>
      <c r="AS908" s="8"/>
      <c r="AT908" s="8"/>
      <c r="AU908" s="8"/>
      <c r="AV908" s="8"/>
      <c r="AW908" s="8"/>
      <c r="AX908" s="8"/>
      <c r="AY908" s="8"/>
      <c r="AZ908" s="8"/>
    </row>
    <row r="909" spans="21:52" ht="16.899999999999999">
      <c r="U909" s="8"/>
      <c r="W909" s="10"/>
      <c r="X909" s="10"/>
      <c r="Z909" s="13"/>
      <c r="AA909" s="13"/>
      <c r="AB909" s="13"/>
      <c r="AC909" s="9"/>
      <c r="AD909" s="9"/>
      <c r="AE909" s="11"/>
      <c r="AF909" s="10"/>
      <c r="AG909" s="11"/>
      <c r="AH909" s="10"/>
      <c r="AI909" s="11"/>
      <c r="AJ909" s="10"/>
      <c r="AK909" s="10"/>
      <c r="AL909" s="10"/>
      <c r="AM909" s="8"/>
      <c r="AN909" s="8"/>
      <c r="AO909" s="9"/>
      <c r="AP909" s="9"/>
      <c r="AQ909" s="9"/>
      <c r="AR909" s="8"/>
      <c r="AS909" s="8"/>
      <c r="AT909" s="8"/>
      <c r="AU909" s="8"/>
      <c r="AV909" s="8"/>
      <c r="AW909" s="8"/>
      <c r="AX909" s="8"/>
      <c r="AY909" s="8"/>
      <c r="AZ909" s="8"/>
    </row>
    <row r="910" spans="21:52" ht="16.899999999999999">
      <c r="U910" s="8"/>
      <c r="W910" s="10"/>
      <c r="X910" s="10"/>
      <c r="Z910" s="13"/>
      <c r="AA910" s="13"/>
      <c r="AB910" s="13"/>
      <c r="AC910" s="9"/>
      <c r="AD910" s="9"/>
      <c r="AE910" s="11"/>
      <c r="AF910" s="10"/>
      <c r="AG910" s="11"/>
      <c r="AH910" s="10"/>
      <c r="AI910" s="11"/>
      <c r="AJ910" s="10"/>
      <c r="AK910" s="10"/>
      <c r="AL910" s="10"/>
      <c r="AM910" s="8"/>
      <c r="AN910" s="8"/>
      <c r="AO910" s="9"/>
      <c r="AP910" s="9"/>
      <c r="AQ910" s="9"/>
      <c r="AR910" s="8"/>
      <c r="AS910" s="8"/>
      <c r="AT910" s="8"/>
      <c r="AU910" s="8"/>
      <c r="AV910" s="8"/>
      <c r="AW910" s="8"/>
      <c r="AX910" s="8"/>
      <c r="AY910" s="8"/>
      <c r="AZ910" s="8"/>
    </row>
    <row r="911" spans="21:52" ht="16.899999999999999">
      <c r="U911" s="8"/>
      <c r="W911" s="10"/>
      <c r="X911" s="10"/>
      <c r="Z911" s="13"/>
      <c r="AA911" s="13"/>
      <c r="AB911" s="13"/>
      <c r="AC911" s="9"/>
      <c r="AD911" s="9"/>
      <c r="AE911" s="11"/>
      <c r="AF911" s="10"/>
      <c r="AG911" s="11"/>
      <c r="AH911" s="10"/>
      <c r="AI911" s="11"/>
      <c r="AJ911" s="10"/>
      <c r="AK911" s="10"/>
      <c r="AL911" s="10"/>
      <c r="AM911" s="8"/>
      <c r="AN911" s="8"/>
      <c r="AO911" s="9"/>
      <c r="AP911" s="9"/>
      <c r="AQ911" s="9"/>
      <c r="AR911" s="8"/>
      <c r="AS911" s="8"/>
      <c r="AT911" s="8"/>
      <c r="AU911" s="8"/>
      <c r="AV911" s="8"/>
      <c r="AW911" s="8"/>
      <c r="AX911" s="8"/>
      <c r="AY911" s="8"/>
      <c r="AZ911" s="8"/>
    </row>
    <row r="912" spans="21:52" ht="16.899999999999999">
      <c r="U912" s="8"/>
      <c r="W912" s="10"/>
      <c r="X912" s="10"/>
      <c r="Z912" s="13"/>
      <c r="AA912" s="13"/>
      <c r="AB912" s="13"/>
      <c r="AC912" s="9"/>
      <c r="AD912" s="9"/>
      <c r="AE912" s="11"/>
      <c r="AF912" s="10"/>
      <c r="AG912" s="11"/>
      <c r="AH912" s="10"/>
      <c r="AI912" s="11"/>
      <c r="AJ912" s="10"/>
      <c r="AK912" s="10"/>
      <c r="AL912" s="10"/>
      <c r="AM912" s="8"/>
      <c r="AN912" s="8"/>
      <c r="AO912" s="9"/>
      <c r="AP912" s="9"/>
      <c r="AQ912" s="9"/>
      <c r="AR912" s="8"/>
      <c r="AS912" s="8"/>
      <c r="AT912" s="8"/>
      <c r="AU912" s="8"/>
      <c r="AV912" s="8"/>
      <c r="AW912" s="8"/>
      <c r="AX912" s="8"/>
      <c r="AY912" s="8"/>
      <c r="AZ912" s="8"/>
    </row>
    <row r="913" spans="21:52" ht="16.899999999999999">
      <c r="U913" s="8"/>
      <c r="W913" s="10"/>
      <c r="X913" s="10"/>
      <c r="Z913" s="13"/>
      <c r="AA913" s="13"/>
      <c r="AB913" s="13"/>
      <c r="AC913" s="9"/>
      <c r="AD913" s="9"/>
      <c r="AE913" s="11"/>
      <c r="AF913" s="10"/>
      <c r="AG913" s="11"/>
      <c r="AH913" s="10"/>
      <c r="AI913" s="11"/>
      <c r="AJ913" s="10"/>
      <c r="AK913" s="10"/>
      <c r="AL913" s="10"/>
      <c r="AM913" s="8"/>
      <c r="AN913" s="8"/>
      <c r="AO913" s="9"/>
      <c r="AP913" s="9"/>
      <c r="AQ913" s="9"/>
      <c r="AR913" s="8"/>
      <c r="AS913" s="8"/>
      <c r="AT913" s="8"/>
      <c r="AU913" s="8"/>
      <c r="AV913" s="8"/>
      <c r="AW913" s="8"/>
      <c r="AX913" s="8"/>
      <c r="AY913" s="8"/>
      <c r="AZ913" s="8"/>
    </row>
    <row r="914" spans="21:52" ht="16.899999999999999">
      <c r="U914" s="8"/>
      <c r="W914" s="10"/>
      <c r="X914" s="10"/>
      <c r="Z914" s="13"/>
      <c r="AA914" s="13"/>
      <c r="AB914" s="13"/>
      <c r="AC914" s="9"/>
      <c r="AD914" s="9"/>
      <c r="AE914" s="11"/>
      <c r="AF914" s="10"/>
      <c r="AG914" s="11"/>
      <c r="AH914" s="10"/>
      <c r="AI914" s="11"/>
      <c r="AJ914" s="10"/>
      <c r="AK914" s="10"/>
      <c r="AL914" s="10"/>
      <c r="AM914" s="8"/>
      <c r="AN914" s="8"/>
      <c r="AO914" s="9"/>
      <c r="AP914" s="9"/>
      <c r="AQ914" s="9"/>
      <c r="AR914" s="8"/>
      <c r="AS914" s="8"/>
      <c r="AT914" s="8"/>
      <c r="AU914" s="8"/>
      <c r="AV914" s="8"/>
      <c r="AW914" s="8"/>
      <c r="AX914" s="8"/>
      <c r="AY914" s="8"/>
      <c r="AZ914" s="8"/>
    </row>
    <row r="915" spans="21:52" ht="16.899999999999999">
      <c r="U915" s="8"/>
      <c r="W915" s="10"/>
      <c r="X915" s="10"/>
      <c r="Z915" s="13"/>
      <c r="AA915" s="13"/>
      <c r="AB915" s="13"/>
      <c r="AC915" s="9"/>
      <c r="AD915" s="9"/>
      <c r="AE915" s="11"/>
      <c r="AF915" s="10"/>
      <c r="AG915" s="11"/>
      <c r="AH915" s="10"/>
      <c r="AI915" s="11"/>
      <c r="AJ915" s="10"/>
      <c r="AK915" s="10"/>
      <c r="AL915" s="10"/>
      <c r="AM915" s="8"/>
      <c r="AN915" s="8"/>
      <c r="AO915" s="9"/>
      <c r="AP915" s="9"/>
      <c r="AQ915" s="9"/>
      <c r="AR915" s="8"/>
      <c r="AS915" s="8"/>
      <c r="AT915" s="8"/>
      <c r="AU915" s="8"/>
      <c r="AV915" s="8"/>
      <c r="AW915" s="8"/>
      <c r="AX915" s="8"/>
      <c r="AY915" s="8"/>
      <c r="AZ915" s="8"/>
    </row>
    <row r="916" spans="21:52" ht="16.899999999999999">
      <c r="U916" s="8"/>
      <c r="W916" s="10"/>
      <c r="X916" s="10"/>
      <c r="Z916" s="13"/>
      <c r="AA916" s="13"/>
      <c r="AB916" s="13"/>
      <c r="AC916" s="9"/>
      <c r="AD916" s="9"/>
      <c r="AE916" s="11"/>
      <c r="AF916" s="10"/>
      <c r="AG916" s="11"/>
      <c r="AH916" s="10"/>
      <c r="AI916" s="11"/>
      <c r="AJ916" s="10"/>
      <c r="AK916" s="10"/>
      <c r="AL916" s="10"/>
      <c r="AM916" s="8"/>
      <c r="AN916" s="8"/>
      <c r="AO916" s="9"/>
      <c r="AP916" s="9"/>
      <c r="AQ916" s="9"/>
      <c r="AR916" s="8"/>
      <c r="AS916" s="8"/>
      <c r="AT916" s="8"/>
      <c r="AU916" s="8"/>
      <c r="AV916" s="8"/>
      <c r="AW916" s="8"/>
      <c r="AX916" s="8"/>
      <c r="AY916" s="8"/>
      <c r="AZ916" s="8"/>
    </row>
    <row r="917" spans="21:52" ht="16.899999999999999">
      <c r="U917" s="8"/>
      <c r="W917" s="10"/>
      <c r="X917" s="10"/>
      <c r="Z917" s="13"/>
      <c r="AA917" s="13"/>
      <c r="AB917" s="13"/>
      <c r="AC917" s="9"/>
      <c r="AD917" s="9"/>
      <c r="AE917" s="11"/>
      <c r="AF917" s="10"/>
      <c r="AG917" s="11"/>
      <c r="AH917" s="10"/>
      <c r="AI917" s="11"/>
      <c r="AJ917" s="10"/>
      <c r="AK917" s="10"/>
      <c r="AL917" s="10"/>
      <c r="AM917" s="8"/>
      <c r="AN917" s="8"/>
      <c r="AO917" s="9"/>
      <c r="AP917" s="9"/>
      <c r="AQ917" s="9"/>
      <c r="AR917" s="8"/>
      <c r="AS917" s="8"/>
      <c r="AT917" s="8"/>
      <c r="AU917" s="8"/>
      <c r="AV917" s="8"/>
      <c r="AW917" s="8"/>
      <c r="AX917" s="8"/>
      <c r="AY917" s="8"/>
      <c r="AZ917" s="8"/>
    </row>
    <row r="918" spans="21:52" ht="16.899999999999999">
      <c r="U918" s="8"/>
      <c r="W918" s="10"/>
      <c r="X918" s="10"/>
      <c r="Z918" s="13"/>
      <c r="AA918" s="13"/>
      <c r="AB918" s="13"/>
      <c r="AC918" s="9"/>
      <c r="AD918" s="9"/>
      <c r="AE918" s="11"/>
      <c r="AF918" s="10"/>
      <c r="AG918" s="11"/>
      <c r="AH918" s="10"/>
      <c r="AI918" s="11"/>
      <c r="AJ918" s="10"/>
      <c r="AK918" s="10"/>
      <c r="AL918" s="10"/>
      <c r="AM918" s="8"/>
      <c r="AN918" s="8"/>
      <c r="AO918" s="9"/>
      <c r="AP918" s="9"/>
      <c r="AQ918" s="9"/>
      <c r="AR918" s="8"/>
      <c r="AS918" s="8"/>
      <c r="AT918" s="8"/>
      <c r="AU918" s="8"/>
      <c r="AV918" s="8"/>
      <c r="AW918" s="8"/>
      <c r="AX918" s="8"/>
      <c r="AY918" s="8"/>
      <c r="AZ918" s="8"/>
    </row>
    <row r="919" spans="21:52" ht="16.899999999999999">
      <c r="U919" s="8"/>
      <c r="W919" s="10"/>
      <c r="X919" s="10"/>
      <c r="Z919" s="13"/>
      <c r="AA919" s="13"/>
      <c r="AB919" s="13"/>
      <c r="AC919" s="9"/>
      <c r="AD919" s="9"/>
      <c r="AE919" s="11"/>
      <c r="AF919" s="10"/>
      <c r="AG919" s="11"/>
      <c r="AH919" s="10"/>
      <c r="AI919" s="11"/>
      <c r="AJ919" s="10"/>
      <c r="AK919" s="10"/>
      <c r="AL919" s="10"/>
      <c r="AM919" s="8"/>
      <c r="AN919" s="8"/>
      <c r="AO919" s="9"/>
      <c r="AP919" s="9"/>
      <c r="AQ919" s="9"/>
      <c r="AR919" s="8"/>
      <c r="AS919" s="8"/>
      <c r="AT919" s="8"/>
      <c r="AU919" s="8"/>
      <c r="AV919" s="8"/>
      <c r="AW919" s="8"/>
      <c r="AX919" s="8"/>
      <c r="AY919" s="8"/>
      <c r="AZ919" s="8"/>
    </row>
    <row r="920" spans="21:52" ht="16.899999999999999">
      <c r="U920" s="8"/>
      <c r="W920" s="10"/>
      <c r="X920" s="10"/>
      <c r="Z920" s="13"/>
      <c r="AA920" s="13"/>
      <c r="AB920" s="13"/>
      <c r="AC920" s="9"/>
      <c r="AD920" s="9"/>
      <c r="AE920" s="11"/>
      <c r="AF920" s="10"/>
      <c r="AG920" s="11"/>
      <c r="AH920" s="10"/>
      <c r="AI920" s="11"/>
      <c r="AJ920" s="10"/>
      <c r="AK920" s="10"/>
      <c r="AL920" s="10"/>
      <c r="AM920" s="8"/>
      <c r="AN920" s="8"/>
      <c r="AO920" s="9"/>
      <c r="AP920" s="9"/>
      <c r="AQ920" s="9"/>
      <c r="AR920" s="8"/>
      <c r="AS920" s="8"/>
      <c r="AT920" s="8"/>
      <c r="AU920" s="8"/>
      <c r="AV920" s="8"/>
      <c r="AW920" s="8"/>
      <c r="AX920" s="8"/>
      <c r="AY920" s="8"/>
      <c r="AZ920" s="8"/>
    </row>
    <row r="921" spans="21:52" ht="16.899999999999999">
      <c r="U921" s="8"/>
      <c r="W921" s="10"/>
      <c r="X921" s="10"/>
      <c r="Z921" s="13"/>
      <c r="AA921" s="13"/>
      <c r="AB921" s="13"/>
      <c r="AC921" s="9"/>
      <c r="AD921" s="9"/>
      <c r="AE921" s="11"/>
      <c r="AF921" s="10"/>
      <c r="AG921" s="11"/>
      <c r="AH921" s="10"/>
      <c r="AI921" s="11"/>
      <c r="AJ921" s="10"/>
      <c r="AK921" s="10"/>
      <c r="AL921" s="10"/>
      <c r="AM921" s="8"/>
      <c r="AN921" s="8"/>
      <c r="AO921" s="9"/>
      <c r="AP921" s="9"/>
      <c r="AQ921" s="9"/>
      <c r="AR921" s="8"/>
      <c r="AS921" s="8"/>
      <c r="AT921" s="8"/>
      <c r="AU921" s="8"/>
      <c r="AV921" s="8"/>
      <c r="AW921" s="8"/>
      <c r="AX921" s="8"/>
      <c r="AY921" s="8"/>
      <c r="AZ921" s="8"/>
    </row>
    <row r="922" spans="21:52" ht="16.899999999999999">
      <c r="U922" s="8"/>
      <c r="W922" s="10"/>
      <c r="X922" s="10"/>
      <c r="Z922" s="13"/>
      <c r="AA922" s="13"/>
      <c r="AB922" s="13"/>
      <c r="AC922" s="9"/>
      <c r="AD922" s="9"/>
      <c r="AE922" s="11"/>
      <c r="AF922" s="10"/>
      <c r="AG922" s="11"/>
      <c r="AH922" s="10"/>
      <c r="AI922" s="11"/>
      <c r="AJ922" s="10"/>
      <c r="AK922" s="10"/>
      <c r="AL922" s="10"/>
      <c r="AM922" s="8"/>
      <c r="AN922" s="8"/>
      <c r="AO922" s="9"/>
      <c r="AP922" s="9"/>
      <c r="AQ922" s="9"/>
      <c r="AR922" s="8"/>
      <c r="AS922" s="8"/>
      <c r="AT922" s="8"/>
      <c r="AU922" s="8"/>
      <c r="AV922" s="8"/>
      <c r="AW922" s="8"/>
      <c r="AX922" s="8"/>
      <c r="AY922" s="8"/>
      <c r="AZ922" s="8"/>
    </row>
    <row r="923" spans="21:52" ht="16.899999999999999">
      <c r="U923" s="8"/>
      <c r="W923" s="10"/>
      <c r="X923" s="10"/>
      <c r="Z923" s="13"/>
      <c r="AA923" s="13"/>
      <c r="AB923" s="13"/>
      <c r="AC923" s="9"/>
      <c r="AD923" s="9"/>
      <c r="AE923" s="11"/>
      <c r="AF923" s="10"/>
      <c r="AG923" s="11"/>
      <c r="AH923" s="10"/>
      <c r="AI923" s="11"/>
      <c r="AJ923" s="10"/>
      <c r="AK923" s="10"/>
      <c r="AL923" s="10"/>
      <c r="AM923" s="8"/>
      <c r="AN923" s="8"/>
      <c r="AO923" s="9"/>
      <c r="AP923" s="9"/>
      <c r="AQ923" s="9"/>
      <c r="AR923" s="8"/>
      <c r="AS923" s="8"/>
      <c r="AT923" s="8"/>
      <c r="AU923" s="8"/>
      <c r="AV923" s="8"/>
      <c r="AW923" s="8"/>
      <c r="AX923" s="8"/>
      <c r="AY923" s="8"/>
      <c r="AZ923" s="8"/>
    </row>
    <row r="924" spans="21:52" ht="16.899999999999999">
      <c r="U924" s="8"/>
      <c r="W924" s="10"/>
      <c r="X924" s="10"/>
      <c r="Z924" s="13"/>
      <c r="AA924" s="13"/>
      <c r="AB924" s="13"/>
      <c r="AC924" s="9"/>
      <c r="AD924" s="9"/>
      <c r="AE924" s="11"/>
      <c r="AF924" s="10"/>
      <c r="AG924" s="11"/>
      <c r="AH924" s="10"/>
      <c r="AI924" s="11"/>
      <c r="AJ924" s="10"/>
      <c r="AK924" s="10"/>
      <c r="AL924" s="10"/>
      <c r="AM924" s="8"/>
      <c r="AN924" s="8"/>
      <c r="AO924" s="9"/>
      <c r="AP924" s="9"/>
      <c r="AQ924" s="9"/>
      <c r="AR924" s="8"/>
      <c r="AS924" s="8"/>
      <c r="AT924" s="8"/>
      <c r="AU924" s="8"/>
      <c r="AV924" s="8"/>
      <c r="AW924" s="8"/>
      <c r="AX924" s="8"/>
      <c r="AY924" s="8"/>
      <c r="AZ924" s="8"/>
    </row>
    <row r="925" spans="21:52" ht="16.899999999999999">
      <c r="U925" s="8"/>
      <c r="W925" s="10"/>
      <c r="X925" s="10"/>
      <c r="Z925" s="13"/>
      <c r="AA925" s="13"/>
      <c r="AB925" s="13"/>
      <c r="AC925" s="9"/>
      <c r="AD925" s="9"/>
      <c r="AE925" s="11"/>
      <c r="AF925" s="10"/>
      <c r="AG925" s="11"/>
      <c r="AH925" s="10"/>
      <c r="AI925" s="11"/>
      <c r="AJ925" s="10"/>
      <c r="AK925" s="10"/>
      <c r="AL925" s="10"/>
      <c r="AM925" s="8"/>
      <c r="AN925" s="8"/>
      <c r="AO925" s="9"/>
      <c r="AP925" s="9"/>
      <c r="AQ925" s="9"/>
      <c r="AR925" s="8"/>
      <c r="AS925" s="8"/>
      <c r="AT925" s="8"/>
      <c r="AU925" s="8"/>
      <c r="AV925" s="8"/>
      <c r="AW925" s="8"/>
      <c r="AX925" s="8"/>
      <c r="AY925" s="8"/>
      <c r="AZ925" s="8"/>
    </row>
    <row r="926" spans="21:52" ht="16.899999999999999">
      <c r="U926" s="8"/>
      <c r="W926" s="10"/>
      <c r="X926" s="10"/>
      <c r="Z926" s="13"/>
      <c r="AA926" s="13"/>
      <c r="AB926" s="13"/>
      <c r="AC926" s="9"/>
      <c r="AD926" s="9"/>
      <c r="AE926" s="11"/>
      <c r="AF926" s="10"/>
      <c r="AG926" s="11"/>
      <c r="AH926" s="10"/>
      <c r="AI926" s="11"/>
      <c r="AJ926" s="10"/>
      <c r="AK926" s="10"/>
      <c r="AL926" s="10"/>
      <c r="AM926" s="8"/>
      <c r="AN926" s="8"/>
      <c r="AO926" s="9"/>
      <c r="AP926" s="9"/>
      <c r="AQ926" s="9"/>
      <c r="AR926" s="8"/>
      <c r="AS926" s="8"/>
      <c r="AT926" s="8"/>
      <c r="AU926" s="8"/>
      <c r="AV926" s="8"/>
      <c r="AW926" s="8"/>
      <c r="AX926" s="8"/>
      <c r="AY926" s="8"/>
      <c r="AZ926" s="8"/>
    </row>
    <row r="927" spans="21:52" ht="16.899999999999999">
      <c r="U927" s="8"/>
      <c r="W927" s="10"/>
      <c r="X927" s="10"/>
      <c r="Z927" s="13"/>
      <c r="AA927" s="13"/>
      <c r="AB927" s="13"/>
      <c r="AC927" s="9"/>
      <c r="AD927" s="9"/>
      <c r="AE927" s="11"/>
      <c r="AF927" s="10"/>
      <c r="AG927" s="11"/>
      <c r="AH927" s="10"/>
      <c r="AI927" s="11"/>
      <c r="AJ927" s="10"/>
      <c r="AK927" s="10"/>
      <c r="AL927" s="10"/>
      <c r="AM927" s="8"/>
      <c r="AN927" s="8"/>
      <c r="AO927" s="9"/>
      <c r="AP927" s="9"/>
      <c r="AQ927" s="9"/>
      <c r="AR927" s="8"/>
      <c r="AS927" s="8"/>
      <c r="AT927" s="8"/>
      <c r="AU927" s="8"/>
      <c r="AV927" s="8"/>
      <c r="AW927" s="8"/>
      <c r="AX927" s="8"/>
      <c r="AY927" s="8"/>
      <c r="AZ927" s="8"/>
    </row>
    <row r="928" spans="21:52" ht="16.899999999999999">
      <c r="U928" s="8"/>
      <c r="W928" s="10"/>
      <c r="X928" s="10"/>
      <c r="Z928" s="13"/>
      <c r="AA928" s="13"/>
      <c r="AB928" s="13"/>
      <c r="AC928" s="9"/>
      <c r="AD928" s="9"/>
      <c r="AE928" s="11"/>
      <c r="AF928" s="10"/>
      <c r="AG928" s="11"/>
      <c r="AH928" s="10"/>
      <c r="AI928" s="11"/>
      <c r="AJ928" s="10"/>
      <c r="AK928" s="10"/>
      <c r="AL928" s="10"/>
      <c r="AM928" s="8"/>
      <c r="AN928" s="8"/>
      <c r="AO928" s="9"/>
      <c r="AP928" s="9"/>
      <c r="AQ928" s="9"/>
      <c r="AR928" s="8"/>
      <c r="AS928" s="8"/>
      <c r="AT928" s="8"/>
      <c r="AU928" s="8"/>
      <c r="AV928" s="8"/>
      <c r="AW928" s="8"/>
      <c r="AX928" s="8"/>
      <c r="AY928" s="8"/>
      <c r="AZ928" s="8"/>
    </row>
    <row r="929" spans="21:52" ht="16.899999999999999">
      <c r="U929" s="8"/>
      <c r="W929" s="10"/>
      <c r="X929" s="10"/>
      <c r="Z929" s="13"/>
      <c r="AA929" s="13"/>
      <c r="AB929" s="13"/>
      <c r="AC929" s="9"/>
      <c r="AD929" s="9"/>
      <c r="AE929" s="11"/>
      <c r="AF929" s="10"/>
      <c r="AG929" s="11"/>
      <c r="AH929" s="10"/>
      <c r="AI929" s="11"/>
      <c r="AJ929" s="10"/>
      <c r="AK929" s="10"/>
      <c r="AL929" s="10"/>
      <c r="AM929" s="8"/>
      <c r="AN929" s="8"/>
      <c r="AO929" s="9"/>
      <c r="AP929" s="9"/>
      <c r="AQ929" s="9"/>
      <c r="AR929" s="8"/>
      <c r="AS929" s="8"/>
      <c r="AT929" s="8"/>
      <c r="AU929" s="8"/>
      <c r="AV929" s="8"/>
      <c r="AW929" s="8"/>
      <c r="AX929" s="8"/>
      <c r="AY929" s="8"/>
      <c r="AZ929" s="8"/>
    </row>
    <row r="930" spans="21:52" ht="16.899999999999999">
      <c r="U930" s="8"/>
      <c r="W930" s="10"/>
      <c r="X930" s="10"/>
      <c r="Z930" s="13"/>
      <c r="AA930" s="13"/>
      <c r="AB930" s="13"/>
      <c r="AC930" s="9"/>
      <c r="AD930" s="9"/>
      <c r="AE930" s="11"/>
      <c r="AF930" s="10"/>
      <c r="AG930" s="11"/>
      <c r="AH930" s="10"/>
      <c r="AI930" s="11"/>
      <c r="AJ930" s="10"/>
      <c r="AK930" s="10"/>
      <c r="AL930" s="10"/>
      <c r="AM930" s="8"/>
      <c r="AN930" s="8"/>
      <c r="AO930" s="9"/>
      <c r="AP930" s="9"/>
      <c r="AQ930" s="9"/>
      <c r="AR930" s="8"/>
      <c r="AS930" s="8"/>
      <c r="AT930" s="8"/>
      <c r="AU930" s="8"/>
      <c r="AV930" s="8"/>
      <c r="AW930" s="8"/>
      <c r="AX930" s="8"/>
      <c r="AY930" s="8"/>
      <c r="AZ930" s="8"/>
    </row>
    <row r="931" spans="21:52" ht="16.899999999999999">
      <c r="U931" s="8"/>
      <c r="W931" s="10"/>
      <c r="X931" s="10"/>
      <c r="Z931" s="13"/>
      <c r="AA931" s="13"/>
      <c r="AB931" s="13"/>
      <c r="AC931" s="9"/>
      <c r="AD931" s="9"/>
      <c r="AE931" s="11"/>
      <c r="AF931" s="10"/>
      <c r="AG931" s="11"/>
      <c r="AH931" s="10"/>
      <c r="AI931" s="11"/>
      <c r="AJ931" s="10"/>
      <c r="AK931" s="10"/>
      <c r="AL931" s="10"/>
      <c r="AM931" s="8"/>
      <c r="AN931" s="8"/>
      <c r="AO931" s="9"/>
      <c r="AP931" s="9"/>
      <c r="AQ931" s="9"/>
      <c r="AR931" s="8"/>
      <c r="AS931" s="8"/>
      <c r="AT931" s="8"/>
      <c r="AU931" s="8"/>
      <c r="AV931" s="8"/>
      <c r="AW931" s="8"/>
      <c r="AX931" s="8"/>
      <c r="AY931" s="8"/>
      <c r="AZ931" s="8"/>
    </row>
    <row r="932" spans="21:52" ht="16.899999999999999">
      <c r="U932" s="8"/>
      <c r="W932" s="10"/>
      <c r="X932" s="10"/>
      <c r="Z932" s="13"/>
      <c r="AA932" s="13"/>
      <c r="AB932" s="13"/>
      <c r="AC932" s="9"/>
      <c r="AD932" s="9"/>
      <c r="AE932" s="11"/>
      <c r="AF932" s="10"/>
      <c r="AG932" s="11"/>
      <c r="AH932" s="10"/>
      <c r="AI932" s="11"/>
      <c r="AJ932" s="10"/>
      <c r="AK932" s="10"/>
      <c r="AL932" s="10"/>
      <c r="AM932" s="8"/>
      <c r="AN932" s="8"/>
      <c r="AO932" s="9"/>
      <c r="AP932" s="9"/>
      <c r="AQ932" s="9"/>
      <c r="AR932" s="8"/>
      <c r="AS932" s="8"/>
      <c r="AT932" s="8"/>
      <c r="AU932" s="8"/>
      <c r="AV932" s="8"/>
      <c r="AW932" s="8"/>
      <c r="AX932" s="8"/>
      <c r="AY932" s="8"/>
      <c r="AZ932" s="8"/>
    </row>
    <row r="933" spans="21:52" ht="16.899999999999999">
      <c r="U933" s="8"/>
      <c r="W933" s="10"/>
      <c r="X933" s="10"/>
      <c r="Z933" s="13"/>
      <c r="AA933" s="13"/>
      <c r="AB933" s="13"/>
      <c r="AC933" s="9"/>
      <c r="AD933" s="9"/>
      <c r="AE933" s="11"/>
      <c r="AF933" s="10"/>
      <c r="AG933" s="11"/>
      <c r="AH933" s="10"/>
      <c r="AI933" s="11"/>
      <c r="AJ933" s="10"/>
      <c r="AK933" s="10"/>
      <c r="AL933" s="10"/>
      <c r="AM933" s="8"/>
      <c r="AN933" s="8"/>
      <c r="AO933" s="9"/>
      <c r="AP933" s="9"/>
      <c r="AQ933" s="9"/>
      <c r="AR933" s="8"/>
      <c r="AS933" s="8"/>
      <c r="AT933" s="8"/>
      <c r="AU933" s="8"/>
      <c r="AV933" s="8"/>
      <c r="AW933" s="8"/>
      <c r="AX933" s="8"/>
      <c r="AY933" s="8"/>
      <c r="AZ933" s="8"/>
    </row>
    <row r="934" spans="21:52" ht="16.899999999999999">
      <c r="U934" s="8"/>
      <c r="W934" s="10"/>
      <c r="X934" s="10"/>
      <c r="Z934" s="13"/>
      <c r="AA934" s="13"/>
      <c r="AB934" s="13"/>
      <c r="AC934" s="9"/>
      <c r="AD934" s="9"/>
      <c r="AE934" s="11"/>
      <c r="AF934" s="10"/>
      <c r="AG934" s="11"/>
      <c r="AH934" s="10"/>
      <c r="AI934" s="11"/>
      <c r="AJ934" s="10"/>
      <c r="AK934" s="10"/>
      <c r="AL934" s="10"/>
      <c r="AM934" s="8"/>
      <c r="AN934" s="8"/>
      <c r="AO934" s="9"/>
      <c r="AP934" s="9"/>
      <c r="AQ934" s="9"/>
      <c r="AR934" s="8"/>
      <c r="AS934" s="8"/>
      <c r="AT934" s="8"/>
      <c r="AU934" s="8"/>
      <c r="AV934" s="8"/>
      <c r="AW934" s="8"/>
      <c r="AX934" s="8"/>
      <c r="AY934" s="8"/>
      <c r="AZ934" s="8"/>
    </row>
    <row r="935" spans="21:52" ht="16.899999999999999">
      <c r="U935" s="8"/>
      <c r="W935" s="10"/>
      <c r="X935" s="10"/>
      <c r="Z935" s="13"/>
      <c r="AA935" s="13"/>
      <c r="AB935" s="13"/>
      <c r="AC935" s="9"/>
      <c r="AD935" s="9"/>
      <c r="AE935" s="11"/>
      <c r="AF935" s="10"/>
      <c r="AG935" s="11"/>
      <c r="AH935" s="10"/>
      <c r="AI935" s="11"/>
      <c r="AJ935" s="10"/>
      <c r="AK935" s="10"/>
      <c r="AL935" s="10"/>
      <c r="AM935" s="8"/>
      <c r="AN935" s="8"/>
      <c r="AO935" s="9"/>
      <c r="AP935" s="9"/>
      <c r="AQ935" s="9"/>
      <c r="AR935" s="8"/>
      <c r="AS935" s="8"/>
      <c r="AT935" s="8"/>
      <c r="AU935" s="8"/>
      <c r="AV935" s="8"/>
      <c r="AW935" s="8"/>
      <c r="AX935" s="8"/>
      <c r="AY935" s="8"/>
      <c r="AZ935" s="8"/>
    </row>
    <row r="936" spans="21:52" ht="16.899999999999999">
      <c r="U936" s="8"/>
      <c r="W936" s="10"/>
      <c r="X936" s="10"/>
      <c r="Z936" s="13"/>
      <c r="AA936" s="13"/>
      <c r="AB936" s="13"/>
      <c r="AC936" s="9"/>
      <c r="AD936" s="9"/>
      <c r="AE936" s="11"/>
      <c r="AF936" s="10"/>
      <c r="AG936" s="11"/>
      <c r="AH936" s="10"/>
      <c r="AI936" s="11"/>
      <c r="AJ936" s="10"/>
      <c r="AK936" s="10"/>
      <c r="AL936" s="10"/>
      <c r="AM936" s="8"/>
      <c r="AN936" s="8"/>
      <c r="AO936" s="9"/>
      <c r="AP936" s="9"/>
      <c r="AQ936" s="9"/>
      <c r="AR936" s="8"/>
      <c r="AS936" s="8"/>
      <c r="AT936" s="8"/>
      <c r="AU936" s="8"/>
      <c r="AV936" s="8"/>
      <c r="AW936" s="8"/>
      <c r="AX936" s="8"/>
      <c r="AY936" s="8"/>
      <c r="AZ936" s="8"/>
    </row>
    <row r="937" spans="21:52" ht="16.899999999999999">
      <c r="U937" s="8"/>
      <c r="W937" s="10"/>
      <c r="X937" s="10"/>
      <c r="Z937" s="13"/>
      <c r="AA937" s="13"/>
      <c r="AB937" s="13"/>
      <c r="AC937" s="9"/>
      <c r="AD937" s="9"/>
      <c r="AE937" s="11"/>
      <c r="AF937" s="10"/>
      <c r="AG937" s="11"/>
      <c r="AH937" s="10"/>
      <c r="AI937" s="11"/>
      <c r="AJ937" s="10"/>
      <c r="AK937" s="10"/>
      <c r="AL937" s="10"/>
      <c r="AM937" s="8"/>
      <c r="AN937" s="8"/>
      <c r="AO937" s="9"/>
      <c r="AP937" s="9"/>
      <c r="AQ937" s="9"/>
      <c r="AR937" s="8"/>
      <c r="AS937" s="8"/>
      <c r="AT937" s="8"/>
      <c r="AU937" s="8"/>
      <c r="AV937" s="8"/>
      <c r="AW937" s="8"/>
      <c r="AX937" s="8"/>
      <c r="AY937" s="8"/>
      <c r="AZ937" s="8"/>
    </row>
    <row r="938" spans="21:52" ht="16.899999999999999">
      <c r="U938" s="8"/>
      <c r="W938" s="10"/>
      <c r="X938" s="10"/>
      <c r="Z938" s="13"/>
      <c r="AA938" s="13"/>
      <c r="AB938" s="13"/>
      <c r="AC938" s="9"/>
      <c r="AD938" s="9"/>
      <c r="AE938" s="11"/>
      <c r="AF938" s="10"/>
      <c r="AG938" s="11"/>
      <c r="AH938" s="10"/>
      <c r="AI938" s="11"/>
      <c r="AJ938" s="10"/>
      <c r="AK938" s="10"/>
      <c r="AL938" s="10"/>
      <c r="AM938" s="8"/>
      <c r="AN938" s="8"/>
      <c r="AO938" s="9"/>
      <c r="AP938" s="9"/>
      <c r="AQ938" s="9"/>
      <c r="AR938" s="8"/>
      <c r="AS938" s="8"/>
      <c r="AT938" s="8"/>
      <c r="AU938" s="8"/>
      <c r="AV938" s="8"/>
      <c r="AW938" s="8"/>
      <c r="AX938" s="8"/>
      <c r="AY938" s="8"/>
      <c r="AZ938" s="8"/>
    </row>
    <row r="939" spans="21:52" ht="16.899999999999999">
      <c r="U939" s="8"/>
      <c r="W939" s="10"/>
      <c r="X939" s="10"/>
      <c r="Z939" s="13"/>
      <c r="AA939" s="13"/>
      <c r="AB939" s="13"/>
      <c r="AC939" s="9"/>
      <c r="AD939" s="9"/>
      <c r="AE939" s="11"/>
      <c r="AF939" s="10"/>
      <c r="AG939" s="11"/>
      <c r="AH939" s="10"/>
      <c r="AI939" s="11"/>
      <c r="AJ939" s="10"/>
      <c r="AK939" s="10"/>
      <c r="AL939" s="10"/>
      <c r="AM939" s="8"/>
      <c r="AN939" s="8"/>
      <c r="AO939" s="9"/>
      <c r="AP939" s="9"/>
      <c r="AQ939" s="9"/>
      <c r="AR939" s="8"/>
      <c r="AS939" s="8"/>
      <c r="AT939" s="8"/>
      <c r="AU939" s="8"/>
      <c r="AV939" s="8"/>
      <c r="AW939" s="8"/>
      <c r="AX939" s="8"/>
      <c r="AY939" s="8"/>
      <c r="AZ939" s="8"/>
    </row>
    <row r="940" spans="21:52" ht="16.899999999999999">
      <c r="U940" s="8"/>
      <c r="W940" s="10"/>
      <c r="X940" s="10"/>
      <c r="Z940" s="13"/>
      <c r="AA940" s="13"/>
      <c r="AB940" s="13"/>
      <c r="AC940" s="9"/>
      <c r="AD940" s="9"/>
      <c r="AE940" s="11"/>
      <c r="AF940" s="10"/>
      <c r="AG940" s="11"/>
      <c r="AH940" s="10"/>
      <c r="AI940" s="11"/>
      <c r="AJ940" s="10"/>
      <c r="AK940" s="10"/>
      <c r="AL940" s="10"/>
      <c r="AM940" s="8"/>
      <c r="AN940" s="8"/>
      <c r="AO940" s="9"/>
      <c r="AP940" s="9"/>
      <c r="AQ940" s="9"/>
      <c r="AR940" s="8"/>
      <c r="AS940" s="8"/>
      <c r="AT940" s="8"/>
      <c r="AU940" s="8"/>
      <c r="AV940" s="8"/>
      <c r="AW940" s="8"/>
      <c r="AX940" s="8"/>
      <c r="AY940" s="8"/>
      <c r="AZ940" s="8"/>
    </row>
    <row r="941" spans="21:52" ht="16.899999999999999">
      <c r="U941" s="8"/>
      <c r="W941" s="10"/>
      <c r="X941" s="10"/>
      <c r="Z941" s="13"/>
      <c r="AA941" s="13"/>
      <c r="AB941" s="13"/>
      <c r="AC941" s="9"/>
      <c r="AD941" s="9"/>
      <c r="AE941" s="11"/>
      <c r="AF941" s="10"/>
      <c r="AG941" s="11"/>
      <c r="AH941" s="10"/>
      <c r="AI941" s="11"/>
      <c r="AJ941" s="10"/>
      <c r="AK941" s="10"/>
      <c r="AL941" s="10"/>
      <c r="AM941" s="8"/>
      <c r="AN941" s="8"/>
      <c r="AO941" s="9"/>
      <c r="AP941" s="9"/>
      <c r="AQ941" s="9"/>
      <c r="AR941" s="8"/>
      <c r="AS941" s="8"/>
      <c r="AT941" s="8"/>
      <c r="AU941" s="8"/>
      <c r="AV941" s="8"/>
      <c r="AW941" s="8"/>
      <c r="AX941" s="8"/>
      <c r="AY941" s="8"/>
      <c r="AZ941" s="8"/>
    </row>
    <row r="942" spans="21:52" ht="16.899999999999999">
      <c r="U942" s="8"/>
      <c r="W942" s="10"/>
      <c r="X942" s="10"/>
      <c r="Z942" s="13"/>
      <c r="AA942" s="13"/>
      <c r="AB942" s="13"/>
      <c r="AC942" s="9"/>
      <c r="AD942" s="9"/>
      <c r="AE942" s="11"/>
      <c r="AF942" s="10"/>
      <c r="AG942" s="11"/>
      <c r="AH942" s="10"/>
      <c r="AI942" s="11"/>
      <c r="AJ942" s="10"/>
      <c r="AK942" s="10"/>
      <c r="AL942" s="10"/>
      <c r="AM942" s="8"/>
      <c r="AN942" s="8"/>
      <c r="AO942" s="9"/>
      <c r="AP942" s="9"/>
      <c r="AQ942" s="9"/>
      <c r="AR942" s="8"/>
      <c r="AS942" s="8"/>
      <c r="AT942" s="8"/>
      <c r="AU942" s="8"/>
      <c r="AV942" s="8"/>
      <c r="AW942" s="8"/>
      <c r="AX942" s="8"/>
      <c r="AY942" s="8"/>
      <c r="AZ942" s="8"/>
    </row>
    <row r="943" spans="21:52" ht="16.899999999999999">
      <c r="U943" s="8"/>
      <c r="W943" s="10"/>
      <c r="X943" s="10"/>
      <c r="Z943" s="13"/>
      <c r="AA943" s="13"/>
      <c r="AB943" s="13"/>
      <c r="AC943" s="9"/>
      <c r="AD943" s="9"/>
      <c r="AE943" s="11"/>
      <c r="AF943" s="10"/>
      <c r="AG943" s="11"/>
      <c r="AH943" s="10"/>
      <c r="AI943" s="11"/>
      <c r="AJ943" s="10"/>
      <c r="AK943" s="10"/>
      <c r="AL943" s="10"/>
      <c r="AM943" s="8"/>
      <c r="AN943" s="8"/>
      <c r="AO943" s="9"/>
      <c r="AP943" s="9"/>
      <c r="AQ943" s="9"/>
      <c r="AR943" s="8"/>
      <c r="AS943" s="8"/>
      <c r="AT943" s="8"/>
      <c r="AU943" s="8"/>
      <c r="AV943" s="8"/>
      <c r="AW943" s="8"/>
      <c r="AX943" s="8"/>
      <c r="AY943" s="8"/>
      <c r="AZ943" s="8"/>
    </row>
    <row r="944" spans="21:52" ht="16.899999999999999">
      <c r="U944" s="8"/>
      <c r="W944" s="10"/>
      <c r="X944" s="10"/>
      <c r="Z944" s="13"/>
      <c r="AA944" s="13"/>
      <c r="AB944" s="13"/>
      <c r="AC944" s="9"/>
      <c r="AD944" s="9"/>
      <c r="AE944" s="11"/>
      <c r="AF944" s="10"/>
      <c r="AG944" s="11"/>
      <c r="AH944" s="10"/>
      <c r="AI944" s="11"/>
      <c r="AJ944" s="10"/>
      <c r="AK944" s="10"/>
      <c r="AL944" s="10"/>
      <c r="AM944" s="8"/>
      <c r="AN944" s="8"/>
      <c r="AO944" s="9"/>
      <c r="AP944" s="9"/>
      <c r="AQ944" s="9"/>
      <c r="AR944" s="8"/>
      <c r="AS944" s="8"/>
      <c r="AT944" s="8"/>
      <c r="AU944" s="8"/>
      <c r="AV944" s="8"/>
      <c r="AW944" s="8"/>
      <c r="AX944" s="8"/>
      <c r="AY944" s="8"/>
      <c r="AZ944" s="8"/>
    </row>
    <row r="945" spans="21:52" ht="16.899999999999999">
      <c r="U945" s="8"/>
      <c r="W945" s="10"/>
      <c r="X945" s="10"/>
      <c r="Z945" s="13"/>
      <c r="AA945" s="13"/>
      <c r="AB945" s="13"/>
      <c r="AC945" s="9"/>
      <c r="AD945" s="9"/>
      <c r="AE945" s="11"/>
      <c r="AF945" s="10"/>
      <c r="AG945" s="11"/>
      <c r="AH945" s="10"/>
      <c r="AI945" s="11"/>
      <c r="AJ945" s="10"/>
      <c r="AK945" s="10"/>
      <c r="AL945" s="10"/>
      <c r="AM945" s="8"/>
      <c r="AN945" s="8"/>
      <c r="AO945" s="9"/>
      <c r="AP945" s="9"/>
      <c r="AQ945" s="9"/>
      <c r="AR945" s="8"/>
      <c r="AS945" s="8"/>
      <c r="AT945" s="8"/>
      <c r="AU945" s="8"/>
      <c r="AV945" s="8"/>
      <c r="AW945" s="8"/>
      <c r="AX945" s="8"/>
      <c r="AY945" s="8"/>
      <c r="AZ945" s="8"/>
    </row>
    <row r="946" spans="21:52" ht="16.899999999999999">
      <c r="U946" s="8"/>
      <c r="W946" s="10"/>
      <c r="X946" s="10"/>
      <c r="Z946" s="13"/>
      <c r="AA946" s="13"/>
      <c r="AB946" s="13"/>
      <c r="AC946" s="9"/>
      <c r="AD946" s="9"/>
      <c r="AE946" s="11"/>
      <c r="AF946" s="10"/>
      <c r="AG946" s="11"/>
      <c r="AH946" s="10"/>
      <c r="AI946" s="11"/>
      <c r="AJ946" s="10"/>
      <c r="AK946" s="10"/>
      <c r="AL946" s="10"/>
      <c r="AM946" s="8"/>
      <c r="AN946" s="8"/>
      <c r="AO946" s="9"/>
      <c r="AP946" s="9"/>
      <c r="AQ946" s="9"/>
      <c r="AR946" s="8"/>
      <c r="AS946" s="8"/>
      <c r="AT946" s="8"/>
      <c r="AU946" s="8"/>
      <c r="AV946" s="8"/>
      <c r="AW946" s="8"/>
      <c r="AX946" s="8"/>
      <c r="AY946" s="8"/>
      <c r="AZ946" s="8"/>
    </row>
    <row r="947" spans="21:52" ht="16.899999999999999">
      <c r="U947" s="8"/>
      <c r="W947" s="10"/>
      <c r="X947" s="10"/>
      <c r="Z947" s="13"/>
      <c r="AA947" s="13"/>
      <c r="AB947" s="13"/>
      <c r="AC947" s="9"/>
      <c r="AD947" s="9"/>
      <c r="AE947" s="11"/>
      <c r="AF947" s="10"/>
      <c r="AG947" s="11"/>
      <c r="AH947" s="10"/>
      <c r="AI947" s="11"/>
      <c r="AJ947" s="10"/>
      <c r="AK947" s="10"/>
      <c r="AL947" s="10"/>
      <c r="AM947" s="8"/>
      <c r="AN947" s="8"/>
      <c r="AO947" s="9"/>
      <c r="AP947" s="9"/>
      <c r="AQ947" s="9"/>
      <c r="AR947" s="8"/>
      <c r="AS947" s="8"/>
      <c r="AT947" s="8"/>
      <c r="AU947" s="8"/>
      <c r="AV947" s="8"/>
      <c r="AW947" s="8"/>
      <c r="AX947" s="8"/>
      <c r="AY947" s="8"/>
      <c r="AZ947" s="8"/>
    </row>
    <row r="948" spans="21:52" ht="16.899999999999999">
      <c r="U948" s="8"/>
      <c r="W948" s="10"/>
      <c r="X948" s="10"/>
      <c r="Z948" s="13"/>
      <c r="AA948" s="13"/>
      <c r="AB948" s="13"/>
      <c r="AC948" s="9"/>
      <c r="AD948" s="9"/>
      <c r="AE948" s="11"/>
      <c r="AF948" s="10"/>
      <c r="AG948" s="11"/>
      <c r="AH948" s="10"/>
      <c r="AI948" s="11"/>
      <c r="AJ948" s="10"/>
      <c r="AK948" s="10"/>
      <c r="AL948" s="10"/>
      <c r="AM948" s="8"/>
      <c r="AN948" s="8"/>
      <c r="AO948" s="9"/>
      <c r="AP948" s="9"/>
      <c r="AQ948" s="9"/>
      <c r="AR948" s="8"/>
      <c r="AS948" s="8"/>
      <c r="AT948" s="8"/>
      <c r="AU948" s="8"/>
      <c r="AV948" s="8"/>
      <c r="AW948" s="8"/>
      <c r="AX948" s="8"/>
      <c r="AY948" s="8"/>
      <c r="AZ948" s="8"/>
    </row>
    <row r="949" spans="21:52" ht="16.899999999999999">
      <c r="U949" s="8"/>
      <c r="W949" s="10"/>
      <c r="X949" s="10"/>
      <c r="Z949" s="13"/>
      <c r="AA949" s="13"/>
      <c r="AB949" s="13"/>
      <c r="AC949" s="9"/>
      <c r="AD949" s="9"/>
      <c r="AE949" s="11"/>
      <c r="AF949" s="10"/>
      <c r="AG949" s="11"/>
      <c r="AH949" s="10"/>
      <c r="AI949" s="11"/>
      <c r="AJ949" s="10"/>
      <c r="AK949" s="10"/>
      <c r="AL949" s="10"/>
      <c r="AM949" s="8"/>
      <c r="AN949" s="8"/>
      <c r="AO949" s="9"/>
      <c r="AP949" s="9"/>
      <c r="AQ949" s="9"/>
      <c r="AR949" s="8"/>
      <c r="AS949" s="8"/>
      <c r="AT949" s="8"/>
      <c r="AU949" s="8"/>
      <c r="AV949" s="8"/>
      <c r="AW949" s="8"/>
      <c r="AX949" s="8"/>
      <c r="AY949" s="8"/>
      <c r="AZ949" s="8"/>
    </row>
    <row r="950" spans="21:52" ht="16.899999999999999">
      <c r="U950" s="8"/>
      <c r="W950" s="10"/>
      <c r="X950" s="10"/>
      <c r="Z950" s="13"/>
      <c r="AA950" s="13"/>
      <c r="AB950" s="13"/>
      <c r="AC950" s="9"/>
      <c r="AD950" s="9"/>
      <c r="AE950" s="11"/>
      <c r="AF950" s="10"/>
      <c r="AG950" s="11"/>
      <c r="AH950" s="10"/>
      <c r="AI950" s="11"/>
      <c r="AJ950" s="10"/>
      <c r="AK950" s="10"/>
      <c r="AL950" s="10"/>
      <c r="AM950" s="8"/>
      <c r="AN950" s="8"/>
      <c r="AO950" s="9"/>
      <c r="AP950" s="9"/>
      <c r="AQ950" s="9"/>
      <c r="AR950" s="8"/>
      <c r="AS950" s="8"/>
      <c r="AT950" s="8"/>
      <c r="AU950" s="8"/>
      <c r="AV950" s="8"/>
      <c r="AW950" s="8"/>
      <c r="AX950" s="8"/>
      <c r="AY950" s="8"/>
      <c r="AZ950" s="8"/>
    </row>
    <row r="951" spans="21:52" ht="16.899999999999999">
      <c r="U951" s="8"/>
      <c r="W951" s="10"/>
      <c r="X951" s="10"/>
      <c r="Z951" s="13"/>
      <c r="AA951" s="13"/>
      <c r="AB951" s="13"/>
      <c r="AC951" s="9"/>
      <c r="AD951" s="9"/>
      <c r="AE951" s="11"/>
      <c r="AF951" s="10"/>
      <c r="AG951" s="11"/>
      <c r="AH951" s="10"/>
      <c r="AI951" s="11"/>
      <c r="AJ951" s="10"/>
      <c r="AK951" s="10"/>
      <c r="AL951" s="10"/>
      <c r="AM951" s="8"/>
      <c r="AN951" s="8"/>
      <c r="AO951" s="9"/>
      <c r="AP951" s="9"/>
      <c r="AQ951" s="9"/>
      <c r="AR951" s="8"/>
      <c r="AS951" s="8"/>
      <c r="AT951" s="8"/>
      <c r="AU951" s="8"/>
      <c r="AV951" s="8"/>
      <c r="AW951" s="8"/>
      <c r="AX951" s="8"/>
      <c r="AY951" s="8"/>
      <c r="AZ951" s="8"/>
    </row>
    <row r="952" spans="21:52" ht="16.899999999999999">
      <c r="U952" s="8"/>
      <c r="W952" s="10"/>
      <c r="X952" s="10"/>
      <c r="Z952" s="13"/>
      <c r="AA952" s="13"/>
      <c r="AB952" s="13"/>
      <c r="AC952" s="9"/>
      <c r="AD952" s="9"/>
      <c r="AE952" s="11"/>
      <c r="AF952" s="10"/>
      <c r="AG952" s="11"/>
      <c r="AH952" s="10"/>
      <c r="AI952" s="11"/>
      <c r="AJ952" s="10"/>
      <c r="AK952" s="10"/>
      <c r="AL952" s="10"/>
      <c r="AM952" s="8"/>
      <c r="AN952" s="8"/>
      <c r="AO952" s="9"/>
      <c r="AP952" s="9"/>
      <c r="AQ952" s="9"/>
      <c r="AR952" s="8"/>
      <c r="AS952" s="8"/>
      <c r="AT952" s="8"/>
      <c r="AU952" s="8"/>
      <c r="AV952" s="8"/>
      <c r="AW952" s="8"/>
      <c r="AX952" s="8"/>
      <c r="AY952" s="8"/>
      <c r="AZ952" s="8"/>
    </row>
    <row r="953" spans="21:52" ht="16.899999999999999">
      <c r="U953" s="8"/>
      <c r="W953" s="10"/>
      <c r="X953" s="10"/>
      <c r="Z953" s="13"/>
      <c r="AA953" s="13"/>
      <c r="AB953" s="13"/>
      <c r="AC953" s="9"/>
      <c r="AD953" s="9"/>
      <c r="AE953" s="11"/>
      <c r="AF953" s="10"/>
      <c r="AG953" s="11"/>
      <c r="AH953" s="10"/>
      <c r="AI953" s="11"/>
      <c r="AJ953" s="10"/>
      <c r="AK953" s="10"/>
      <c r="AL953" s="10"/>
      <c r="AM953" s="8"/>
      <c r="AN953" s="8"/>
      <c r="AO953" s="9"/>
      <c r="AP953" s="9"/>
      <c r="AQ953" s="9"/>
      <c r="AR953" s="8"/>
      <c r="AS953" s="8"/>
      <c r="AT953" s="8"/>
      <c r="AU953" s="8"/>
      <c r="AV953" s="8"/>
      <c r="AW953" s="8"/>
      <c r="AX953" s="8"/>
      <c r="AY953" s="8"/>
      <c r="AZ953" s="8"/>
    </row>
    <row r="954" spans="21:52" ht="16.899999999999999">
      <c r="U954" s="8"/>
      <c r="W954" s="10"/>
      <c r="X954" s="10"/>
      <c r="Z954" s="13"/>
      <c r="AA954" s="13"/>
      <c r="AB954" s="13"/>
      <c r="AC954" s="9"/>
      <c r="AD954" s="9"/>
      <c r="AE954" s="11"/>
      <c r="AF954" s="10"/>
      <c r="AG954" s="11"/>
      <c r="AH954" s="10"/>
      <c r="AI954" s="11"/>
      <c r="AJ954" s="10"/>
      <c r="AK954" s="10"/>
      <c r="AL954" s="10"/>
      <c r="AM954" s="8"/>
      <c r="AN954" s="8"/>
      <c r="AO954" s="9"/>
      <c r="AP954" s="9"/>
      <c r="AQ954" s="9"/>
      <c r="AR954" s="8"/>
      <c r="AS954" s="8"/>
      <c r="AT954" s="8"/>
      <c r="AU954" s="8"/>
      <c r="AV954" s="8"/>
      <c r="AW954" s="8"/>
      <c r="AX954" s="8"/>
      <c r="AY954" s="8"/>
      <c r="AZ954" s="8"/>
    </row>
    <row r="955" spans="21:52" ht="16.899999999999999">
      <c r="U955" s="8"/>
      <c r="W955" s="10"/>
      <c r="X955" s="10"/>
      <c r="Z955" s="13"/>
      <c r="AA955" s="13"/>
      <c r="AB955" s="13"/>
      <c r="AC955" s="9"/>
      <c r="AD955" s="9"/>
      <c r="AE955" s="11"/>
      <c r="AF955" s="10"/>
      <c r="AG955" s="11"/>
      <c r="AH955" s="10"/>
      <c r="AI955" s="11"/>
      <c r="AJ955" s="10"/>
      <c r="AK955" s="10"/>
      <c r="AL955" s="10"/>
      <c r="AM955" s="8"/>
      <c r="AN955" s="8"/>
      <c r="AO955" s="9"/>
      <c r="AP955" s="9"/>
      <c r="AQ955" s="9"/>
      <c r="AR955" s="8"/>
      <c r="AS955" s="8"/>
      <c r="AT955" s="8"/>
      <c r="AU955" s="8"/>
      <c r="AV955" s="8"/>
      <c r="AW955" s="8"/>
      <c r="AX955" s="8"/>
      <c r="AY955" s="8"/>
      <c r="AZ955" s="8"/>
    </row>
    <row r="956" spans="21:52" ht="16.899999999999999">
      <c r="U956" s="8"/>
      <c r="W956" s="10"/>
      <c r="X956" s="10"/>
      <c r="Z956" s="13"/>
      <c r="AA956" s="13"/>
      <c r="AB956" s="13"/>
      <c r="AC956" s="9"/>
      <c r="AD956" s="9"/>
      <c r="AE956" s="11"/>
      <c r="AF956" s="10"/>
      <c r="AG956" s="11"/>
      <c r="AH956" s="10"/>
      <c r="AI956" s="11"/>
      <c r="AJ956" s="10"/>
      <c r="AK956" s="10"/>
      <c r="AL956" s="10"/>
      <c r="AM956" s="8"/>
      <c r="AN956" s="8"/>
      <c r="AO956" s="9"/>
      <c r="AP956" s="9"/>
      <c r="AQ956" s="9"/>
      <c r="AR956" s="8"/>
      <c r="AS956" s="8"/>
      <c r="AT956" s="8"/>
      <c r="AU956" s="8"/>
      <c r="AV956" s="8"/>
      <c r="AW956" s="8"/>
      <c r="AX956" s="8"/>
      <c r="AY956" s="8"/>
      <c r="AZ956" s="8"/>
    </row>
    <row r="957" spans="21:52" ht="16.899999999999999">
      <c r="U957" s="8"/>
      <c r="W957" s="10"/>
      <c r="X957" s="10"/>
      <c r="Z957" s="13"/>
      <c r="AA957" s="13"/>
      <c r="AB957" s="13"/>
      <c r="AC957" s="9"/>
      <c r="AD957" s="9"/>
      <c r="AE957" s="11"/>
      <c r="AF957" s="10"/>
      <c r="AG957" s="11"/>
      <c r="AH957" s="10"/>
      <c r="AI957" s="11"/>
      <c r="AJ957" s="10"/>
      <c r="AK957" s="10"/>
      <c r="AL957" s="10"/>
      <c r="AM957" s="8"/>
      <c r="AN957" s="8"/>
      <c r="AO957" s="9"/>
      <c r="AP957" s="9"/>
      <c r="AQ957" s="9"/>
      <c r="AR957" s="8"/>
      <c r="AS957" s="8"/>
      <c r="AT957" s="8"/>
      <c r="AU957" s="8"/>
      <c r="AV957" s="8"/>
      <c r="AW957" s="8"/>
      <c r="AX957" s="8"/>
      <c r="AY957" s="8"/>
      <c r="AZ957" s="8"/>
    </row>
    <row r="958" spans="21:52" ht="16.899999999999999">
      <c r="U958" s="8"/>
      <c r="W958" s="10"/>
      <c r="X958" s="10"/>
      <c r="Z958" s="13"/>
      <c r="AA958" s="13"/>
      <c r="AB958" s="13"/>
      <c r="AC958" s="9"/>
      <c r="AD958" s="9"/>
      <c r="AE958" s="11"/>
      <c r="AF958" s="10"/>
      <c r="AG958" s="11"/>
      <c r="AH958" s="10"/>
      <c r="AI958" s="11"/>
      <c r="AJ958" s="10"/>
      <c r="AK958" s="10"/>
      <c r="AL958" s="10"/>
      <c r="AM958" s="8"/>
      <c r="AN958" s="8"/>
      <c r="AO958" s="9"/>
      <c r="AP958" s="9"/>
      <c r="AQ958" s="9"/>
      <c r="AR958" s="8"/>
      <c r="AS958" s="8"/>
      <c r="AT958" s="8"/>
      <c r="AU958" s="8"/>
      <c r="AV958" s="8"/>
      <c r="AW958" s="8"/>
      <c r="AX958" s="8"/>
      <c r="AY958" s="8"/>
      <c r="AZ958" s="8"/>
    </row>
    <row r="959" spans="21:52" ht="16.899999999999999">
      <c r="U959" s="8"/>
      <c r="W959" s="10"/>
      <c r="X959" s="10"/>
      <c r="Z959" s="13"/>
      <c r="AA959" s="13"/>
      <c r="AB959" s="13"/>
      <c r="AC959" s="9"/>
      <c r="AD959" s="9"/>
      <c r="AE959" s="11"/>
      <c r="AF959" s="10"/>
      <c r="AG959" s="11"/>
      <c r="AH959" s="10"/>
      <c r="AI959" s="11"/>
      <c r="AJ959" s="10"/>
      <c r="AK959" s="10"/>
      <c r="AL959" s="10"/>
      <c r="AM959" s="8"/>
      <c r="AN959" s="8"/>
      <c r="AO959" s="9"/>
      <c r="AP959" s="9"/>
      <c r="AQ959" s="9"/>
      <c r="AR959" s="8"/>
      <c r="AS959" s="8"/>
      <c r="AT959" s="8"/>
      <c r="AU959" s="8"/>
      <c r="AV959" s="8"/>
      <c r="AW959" s="8"/>
      <c r="AX959" s="8"/>
      <c r="AY959" s="8"/>
      <c r="AZ959" s="8"/>
    </row>
    <row r="960" spans="21:52" ht="16.899999999999999">
      <c r="U960" s="8"/>
      <c r="W960" s="10"/>
      <c r="X960" s="10"/>
      <c r="Z960" s="13"/>
      <c r="AA960" s="13"/>
      <c r="AB960" s="13"/>
      <c r="AC960" s="9"/>
      <c r="AD960" s="9"/>
      <c r="AE960" s="11"/>
      <c r="AF960" s="10"/>
      <c r="AG960" s="11"/>
      <c r="AH960" s="10"/>
      <c r="AI960" s="11"/>
      <c r="AJ960" s="10"/>
      <c r="AK960" s="10"/>
      <c r="AL960" s="10"/>
      <c r="AM960" s="8"/>
      <c r="AN960" s="8"/>
      <c r="AO960" s="9"/>
      <c r="AP960" s="9"/>
      <c r="AQ960" s="9"/>
      <c r="AR960" s="8"/>
      <c r="AS960" s="8"/>
      <c r="AT960" s="8"/>
      <c r="AU960" s="8"/>
      <c r="AV960" s="8"/>
      <c r="AW960" s="8"/>
      <c r="AX960" s="8"/>
      <c r="AY960" s="8"/>
      <c r="AZ960" s="8"/>
    </row>
    <row r="961" spans="21:52" ht="16.899999999999999">
      <c r="U961" s="8"/>
      <c r="W961" s="10"/>
      <c r="X961" s="10"/>
      <c r="Z961" s="13"/>
      <c r="AA961" s="13"/>
      <c r="AB961" s="13"/>
      <c r="AC961" s="9"/>
      <c r="AD961" s="9"/>
      <c r="AE961" s="11"/>
      <c r="AF961" s="10"/>
      <c r="AG961" s="11"/>
      <c r="AH961" s="10"/>
      <c r="AI961" s="11"/>
      <c r="AJ961" s="10"/>
      <c r="AK961" s="10"/>
      <c r="AL961" s="10"/>
      <c r="AM961" s="8"/>
      <c r="AN961" s="8"/>
      <c r="AO961" s="9"/>
      <c r="AP961" s="9"/>
      <c r="AQ961" s="9"/>
      <c r="AR961" s="8"/>
      <c r="AS961" s="8"/>
      <c r="AT961" s="8"/>
      <c r="AU961" s="8"/>
      <c r="AV961" s="8"/>
      <c r="AW961" s="8"/>
      <c r="AX961" s="8"/>
      <c r="AY961" s="8"/>
      <c r="AZ961" s="8"/>
    </row>
    <row r="962" spans="21:52" ht="16.899999999999999">
      <c r="U962" s="8"/>
      <c r="W962" s="10"/>
      <c r="X962" s="10"/>
      <c r="Z962" s="13"/>
      <c r="AA962" s="13"/>
      <c r="AB962" s="13"/>
      <c r="AC962" s="9"/>
      <c r="AD962" s="9"/>
      <c r="AE962" s="11"/>
      <c r="AF962" s="10"/>
      <c r="AG962" s="11"/>
      <c r="AH962" s="10"/>
      <c r="AI962" s="11"/>
      <c r="AJ962" s="10"/>
      <c r="AK962" s="10"/>
      <c r="AL962" s="10"/>
      <c r="AM962" s="8"/>
      <c r="AN962" s="8"/>
      <c r="AO962" s="9"/>
      <c r="AP962" s="9"/>
      <c r="AQ962" s="9"/>
      <c r="AR962" s="8"/>
      <c r="AS962" s="8"/>
      <c r="AT962" s="8"/>
      <c r="AU962" s="8"/>
      <c r="AV962" s="8"/>
      <c r="AW962" s="8"/>
      <c r="AX962" s="8"/>
      <c r="AY962" s="8"/>
      <c r="AZ962" s="8"/>
    </row>
    <row r="963" spans="21:52" ht="16.899999999999999">
      <c r="U963" s="8"/>
      <c r="W963" s="10"/>
      <c r="X963" s="10"/>
      <c r="Z963" s="13"/>
      <c r="AA963" s="13"/>
      <c r="AB963" s="13"/>
      <c r="AC963" s="9"/>
      <c r="AD963" s="9"/>
      <c r="AE963" s="11"/>
      <c r="AF963" s="10"/>
      <c r="AG963" s="11"/>
      <c r="AH963" s="10"/>
      <c r="AI963" s="11"/>
      <c r="AJ963" s="10"/>
      <c r="AK963" s="10"/>
      <c r="AL963" s="10"/>
      <c r="AM963" s="8"/>
      <c r="AN963" s="8"/>
      <c r="AO963" s="9"/>
      <c r="AP963" s="9"/>
      <c r="AQ963" s="9"/>
      <c r="AR963" s="8"/>
      <c r="AS963" s="8"/>
      <c r="AT963" s="8"/>
      <c r="AU963" s="8"/>
      <c r="AV963" s="8"/>
      <c r="AW963" s="8"/>
      <c r="AX963" s="8"/>
      <c r="AY963" s="8"/>
      <c r="AZ963" s="8"/>
    </row>
    <row r="964" spans="21:52" ht="16.899999999999999">
      <c r="U964" s="8"/>
      <c r="W964" s="10"/>
      <c r="X964" s="10"/>
      <c r="Z964" s="13"/>
      <c r="AA964" s="13"/>
      <c r="AB964" s="13"/>
      <c r="AC964" s="9"/>
      <c r="AD964" s="9"/>
      <c r="AE964" s="11"/>
      <c r="AF964" s="10"/>
      <c r="AG964" s="11"/>
      <c r="AH964" s="10"/>
      <c r="AI964" s="11"/>
      <c r="AJ964" s="10"/>
      <c r="AK964" s="10"/>
      <c r="AL964" s="10"/>
      <c r="AM964" s="8"/>
      <c r="AN964" s="8"/>
      <c r="AO964" s="9"/>
      <c r="AP964" s="9"/>
      <c r="AQ964" s="9"/>
      <c r="AR964" s="8"/>
      <c r="AS964" s="8"/>
      <c r="AT964" s="8"/>
      <c r="AU964" s="8"/>
      <c r="AV964" s="8"/>
      <c r="AW964" s="8"/>
      <c r="AX964" s="8"/>
      <c r="AY964" s="8"/>
      <c r="AZ964" s="8"/>
    </row>
    <row r="965" spans="21:52" ht="16.899999999999999">
      <c r="U965" s="8"/>
      <c r="W965" s="10"/>
      <c r="X965" s="10"/>
      <c r="Z965" s="13"/>
      <c r="AA965" s="13"/>
      <c r="AB965" s="13"/>
      <c r="AC965" s="9"/>
      <c r="AD965" s="9"/>
      <c r="AE965" s="11"/>
      <c r="AF965" s="10"/>
      <c r="AG965" s="11"/>
      <c r="AH965" s="10"/>
      <c r="AI965" s="11"/>
      <c r="AJ965" s="10"/>
      <c r="AK965" s="10"/>
      <c r="AL965" s="10"/>
      <c r="AM965" s="8"/>
      <c r="AN965" s="8"/>
      <c r="AO965" s="9"/>
      <c r="AP965" s="9"/>
      <c r="AQ965" s="9"/>
      <c r="AR965" s="8"/>
      <c r="AS965" s="8"/>
      <c r="AT965" s="8"/>
      <c r="AU965" s="8"/>
      <c r="AV965" s="8"/>
      <c r="AW965" s="8"/>
      <c r="AX965" s="8"/>
      <c r="AY965" s="8"/>
      <c r="AZ965" s="8"/>
    </row>
    <row r="966" spans="21:52" ht="16.899999999999999">
      <c r="U966" s="8"/>
      <c r="W966" s="10"/>
      <c r="X966" s="10"/>
      <c r="Z966" s="13"/>
      <c r="AA966" s="13"/>
      <c r="AB966" s="13"/>
      <c r="AC966" s="9"/>
      <c r="AD966" s="9"/>
      <c r="AE966" s="11"/>
      <c r="AF966" s="10"/>
      <c r="AG966" s="11"/>
      <c r="AH966" s="10"/>
      <c r="AI966" s="11"/>
      <c r="AJ966" s="10"/>
      <c r="AK966" s="10"/>
      <c r="AL966" s="10"/>
      <c r="AM966" s="8"/>
      <c r="AN966" s="8"/>
      <c r="AO966" s="9"/>
      <c r="AP966" s="9"/>
      <c r="AQ966" s="9"/>
      <c r="AR966" s="8"/>
      <c r="AS966" s="8"/>
      <c r="AT966" s="8"/>
      <c r="AU966" s="8"/>
      <c r="AV966" s="8"/>
      <c r="AW966" s="8"/>
      <c r="AX966" s="8"/>
      <c r="AY966" s="8"/>
      <c r="AZ966" s="8"/>
    </row>
    <row r="967" spans="21:52" ht="16.899999999999999">
      <c r="U967" s="8"/>
      <c r="W967" s="10"/>
      <c r="X967" s="10"/>
      <c r="Z967" s="13"/>
      <c r="AA967" s="13"/>
      <c r="AB967" s="13"/>
      <c r="AC967" s="9"/>
      <c r="AD967" s="9"/>
      <c r="AE967" s="11"/>
      <c r="AF967" s="10"/>
      <c r="AG967" s="11"/>
      <c r="AH967" s="10"/>
      <c r="AI967" s="11"/>
      <c r="AJ967" s="10"/>
      <c r="AK967" s="10"/>
      <c r="AL967" s="10"/>
      <c r="AM967" s="8"/>
      <c r="AN967" s="8"/>
      <c r="AO967" s="9"/>
      <c r="AP967" s="9"/>
      <c r="AQ967" s="9"/>
      <c r="AR967" s="8"/>
      <c r="AS967" s="8"/>
      <c r="AT967" s="8"/>
      <c r="AU967" s="8"/>
      <c r="AV967" s="8"/>
      <c r="AW967" s="8"/>
      <c r="AX967" s="8"/>
      <c r="AY967" s="8"/>
      <c r="AZ967" s="8"/>
    </row>
    <row r="968" spans="21:52" ht="16.899999999999999">
      <c r="U968" s="8"/>
      <c r="W968" s="10"/>
      <c r="X968" s="10"/>
      <c r="Z968" s="13"/>
      <c r="AA968" s="13"/>
      <c r="AB968" s="13"/>
      <c r="AC968" s="9"/>
      <c r="AD968" s="9"/>
      <c r="AE968" s="11"/>
      <c r="AF968" s="10"/>
      <c r="AG968" s="11"/>
      <c r="AH968" s="10"/>
      <c r="AI968" s="11"/>
      <c r="AJ968" s="10"/>
      <c r="AK968" s="10"/>
      <c r="AL968" s="10"/>
      <c r="AM968" s="8"/>
      <c r="AN968" s="8"/>
      <c r="AO968" s="9"/>
      <c r="AP968" s="9"/>
      <c r="AQ968" s="9"/>
      <c r="AR968" s="8"/>
      <c r="AS968" s="8"/>
      <c r="AT968" s="8"/>
      <c r="AU968" s="8"/>
      <c r="AV968" s="8"/>
      <c r="AW968" s="8"/>
      <c r="AX968" s="8"/>
      <c r="AY968" s="8"/>
      <c r="AZ968" s="8"/>
    </row>
    <row r="969" spans="21:52" ht="16.899999999999999">
      <c r="U969" s="8"/>
      <c r="W969" s="10"/>
      <c r="X969" s="10"/>
      <c r="Z969" s="13"/>
      <c r="AA969" s="13"/>
      <c r="AB969" s="13"/>
      <c r="AC969" s="9"/>
      <c r="AD969" s="9"/>
      <c r="AE969" s="11"/>
      <c r="AF969" s="10"/>
      <c r="AG969" s="11"/>
      <c r="AH969" s="10"/>
      <c r="AI969" s="11"/>
      <c r="AJ969" s="10"/>
      <c r="AK969" s="10"/>
      <c r="AL969" s="10"/>
      <c r="AM969" s="8"/>
      <c r="AN969" s="8"/>
      <c r="AO969" s="9"/>
      <c r="AP969" s="9"/>
      <c r="AQ969" s="9"/>
      <c r="AR969" s="8"/>
      <c r="AS969" s="8"/>
      <c r="AT969" s="8"/>
      <c r="AU969" s="8"/>
      <c r="AV969" s="8"/>
      <c r="AW969" s="8"/>
      <c r="AX969" s="8"/>
      <c r="AY969" s="8"/>
      <c r="AZ969" s="8"/>
    </row>
    <row r="970" spans="21:52" ht="16.899999999999999">
      <c r="U970" s="8"/>
      <c r="W970" s="10"/>
      <c r="X970" s="10"/>
      <c r="Z970" s="13"/>
      <c r="AA970" s="13"/>
      <c r="AB970" s="13"/>
      <c r="AC970" s="9"/>
      <c r="AD970" s="9"/>
      <c r="AE970" s="11"/>
      <c r="AF970" s="10"/>
      <c r="AG970" s="11"/>
      <c r="AH970" s="10"/>
      <c r="AI970" s="11"/>
      <c r="AJ970" s="10"/>
      <c r="AK970" s="10"/>
      <c r="AL970" s="10"/>
      <c r="AM970" s="8"/>
      <c r="AN970" s="8"/>
      <c r="AO970" s="9"/>
      <c r="AP970" s="9"/>
      <c r="AQ970" s="9"/>
      <c r="AR970" s="8"/>
      <c r="AS970" s="8"/>
      <c r="AT970" s="8"/>
      <c r="AU970" s="8"/>
      <c r="AV970" s="8"/>
      <c r="AW970" s="8"/>
      <c r="AX970" s="8"/>
      <c r="AY970" s="8"/>
      <c r="AZ970" s="8"/>
    </row>
    <row r="971" spans="21:52" ht="16.899999999999999">
      <c r="U971" s="8"/>
      <c r="W971" s="10"/>
      <c r="X971" s="10"/>
      <c r="Z971" s="13"/>
      <c r="AA971" s="13"/>
      <c r="AB971" s="13"/>
      <c r="AC971" s="9"/>
      <c r="AD971" s="9"/>
      <c r="AE971" s="11"/>
      <c r="AF971" s="10"/>
      <c r="AG971" s="11"/>
      <c r="AH971" s="10"/>
      <c r="AI971" s="11"/>
      <c r="AJ971" s="10"/>
      <c r="AK971" s="10"/>
      <c r="AL971" s="10"/>
      <c r="AM971" s="8"/>
      <c r="AN971" s="8"/>
      <c r="AO971" s="9"/>
      <c r="AP971" s="9"/>
      <c r="AQ971" s="9"/>
      <c r="AR971" s="8"/>
      <c r="AS971" s="8"/>
      <c r="AT971" s="8"/>
      <c r="AU971" s="8"/>
      <c r="AV971" s="8"/>
      <c r="AW971" s="8"/>
      <c r="AX971" s="8"/>
      <c r="AY971" s="8"/>
      <c r="AZ971" s="8"/>
    </row>
    <row r="972" spans="21:52" ht="16.899999999999999">
      <c r="U972" s="8"/>
      <c r="W972" s="10"/>
      <c r="X972" s="10"/>
      <c r="Z972" s="13"/>
      <c r="AA972" s="13"/>
      <c r="AB972" s="13"/>
      <c r="AC972" s="9"/>
      <c r="AD972" s="9"/>
      <c r="AE972" s="11"/>
      <c r="AF972" s="10"/>
      <c r="AG972" s="11"/>
      <c r="AH972" s="10"/>
      <c r="AI972" s="11"/>
      <c r="AJ972" s="10"/>
      <c r="AK972" s="10"/>
      <c r="AL972" s="10"/>
      <c r="AM972" s="8"/>
      <c r="AN972" s="8"/>
      <c r="AO972" s="9"/>
      <c r="AP972" s="9"/>
      <c r="AQ972" s="9"/>
      <c r="AR972" s="8"/>
      <c r="AS972" s="8"/>
      <c r="AT972" s="8"/>
      <c r="AU972" s="8"/>
      <c r="AV972" s="8"/>
      <c r="AW972" s="8"/>
      <c r="AX972" s="8"/>
      <c r="AY972" s="8"/>
      <c r="AZ972" s="8"/>
    </row>
    <row r="973" spans="21:52" ht="16.899999999999999">
      <c r="U973" s="8"/>
      <c r="W973" s="10"/>
      <c r="X973" s="10"/>
      <c r="Z973" s="13"/>
      <c r="AA973" s="13"/>
      <c r="AB973" s="13"/>
      <c r="AC973" s="9"/>
      <c r="AD973" s="9"/>
      <c r="AE973" s="11"/>
      <c r="AF973" s="10"/>
      <c r="AG973" s="11"/>
      <c r="AH973" s="10"/>
      <c r="AI973" s="11"/>
      <c r="AJ973" s="10"/>
      <c r="AK973" s="10"/>
      <c r="AL973" s="10"/>
      <c r="AM973" s="8"/>
      <c r="AN973" s="8"/>
      <c r="AO973" s="9"/>
      <c r="AP973" s="9"/>
      <c r="AQ973" s="9"/>
      <c r="AR973" s="8"/>
      <c r="AS973" s="8"/>
      <c r="AT973" s="8"/>
      <c r="AU973" s="8"/>
      <c r="AV973" s="8"/>
      <c r="AW973" s="8"/>
      <c r="AX973" s="8"/>
      <c r="AY973" s="8"/>
      <c r="AZ973" s="8"/>
    </row>
    <row r="974" spans="21:52" ht="16.899999999999999">
      <c r="U974" s="8"/>
      <c r="W974" s="10"/>
      <c r="X974" s="10"/>
      <c r="Z974" s="13"/>
      <c r="AA974" s="13"/>
      <c r="AB974" s="13"/>
      <c r="AC974" s="9"/>
      <c r="AD974" s="9"/>
      <c r="AE974" s="11"/>
      <c r="AF974" s="10"/>
      <c r="AG974" s="11"/>
      <c r="AH974" s="10"/>
      <c r="AI974" s="11"/>
      <c r="AJ974" s="10"/>
      <c r="AK974" s="10"/>
      <c r="AL974" s="10"/>
      <c r="AM974" s="8"/>
      <c r="AN974" s="8"/>
      <c r="AO974" s="9"/>
      <c r="AP974" s="9"/>
      <c r="AQ974" s="9"/>
      <c r="AR974" s="8"/>
      <c r="AS974" s="8"/>
      <c r="AT974" s="8"/>
      <c r="AU974" s="8"/>
      <c r="AV974" s="8"/>
      <c r="AW974" s="8"/>
      <c r="AX974" s="8"/>
      <c r="AY974" s="8"/>
      <c r="AZ974" s="8"/>
    </row>
    <row r="975" spans="21:52" ht="16.899999999999999">
      <c r="U975" s="8"/>
      <c r="W975" s="10"/>
      <c r="X975" s="10"/>
      <c r="Z975" s="13"/>
      <c r="AA975" s="13"/>
      <c r="AB975" s="13"/>
      <c r="AC975" s="9"/>
      <c r="AD975" s="9"/>
      <c r="AE975" s="11"/>
      <c r="AF975" s="10"/>
      <c r="AG975" s="11"/>
      <c r="AH975" s="10"/>
      <c r="AI975" s="11"/>
      <c r="AJ975" s="10"/>
      <c r="AK975" s="10"/>
      <c r="AL975" s="10"/>
      <c r="AM975" s="8"/>
      <c r="AN975" s="8"/>
      <c r="AO975" s="9"/>
      <c r="AP975" s="9"/>
      <c r="AQ975" s="9"/>
      <c r="AR975" s="8"/>
      <c r="AS975" s="8"/>
      <c r="AT975" s="8"/>
      <c r="AU975" s="8"/>
      <c r="AV975" s="8"/>
      <c r="AW975" s="8"/>
      <c r="AX975" s="8"/>
      <c r="AY975" s="8"/>
      <c r="AZ975" s="8"/>
    </row>
    <row r="976" spans="21:52" ht="16.899999999999999">
      <c r="U976" s="8"/>
      <c r="W976" s="10"/>
      <c r="X976" s="10"/>
      <c r="Z976" s="13"/>
      <c r="AA976" s="13"/>
      <c r="AB976" s="13"/>
      <c r="AC976" s="9"/>
      <c r="AD976" s="9"/>
      <c r="AE976" s="11"/>
      <c r="AF976" s="10"/>
      <c r="AG976" s="11"/>
      <c r="AH976" s="10"/>
      <c r="AI976" s="11"/>
      <c r="AJ976" s="10"/>
      <c r="AK976" s="10"/>
      <c r="AL976" s="10"/>
      <c r="AM976" s="8"/>
      <c r="AN976" s="8"/>
      <c r="AO976" s="9"/>
      <c r="AP976" s="9"/>
      <c r="AQ976" s="9"/>
      <c r="AR976" s="8"/>
      <c r="AS976" s="8"/>
      <c r="AT976" s="8"/>
      <c r="AU976" s="8"/>
      <c r="AV976" s="8"/>
      <c r="AW976" s="8"/>
      <c r="AX976" s="8"/>
      <c r="AY976" s="8"/>
      <c r="AZ976" s="8"/>
    </row>
    <row r="977" spans="21:52" ht="16.899999999999999">
      <c r="U977" s="8"/>
      <c r="W977" s="10"/>
      <c r="X977" s="10"/>
      <c r="Z977" s="13"/>
      <c r="AA977" s="13"/>
      <c r="AB977" s="13"/>
      <c r="AC977" s="9"/>
      <c r="AD977" s="9"/>
      <c r="AE977" s="11"/>
      <c r="AF977" s="10"/>
      <c r="AG977" s="11"/>
      <c r="AH977" s="10"/>
      <c r="AI977" s="11"/>
      <c r="AJ977" s="10"/>
      <c r="AK977" s="10"/>
      <c r="AL977" s="10"/>
      <c r="AM977" s="8"/>
      <c r="AN977" s="8"/>
      <c r="AO977" s="9"/>
      <c r="AP977" s="9"/>
      <c r="AQ977" s="9"/>
      <c r="AR977" s="8"/>
      <c r="AS977" s="8"/>
      <c r="AT977" s="8"/>
      <c r="AU977" s="8"/>
      <c r="AV977" s="8"/>
      <c r="AW977" s="8"/>
      <c r="AX977" s="8"/>
      <c r="AY977" s="8"/>
      <c r="AZ977" s="8"/>
    </row>
    <row r="978" spans="21:52" ht="16.899999999999999">
      <c r="U978" s="8"/>
      <c r="W978" s="10"/>
      <c r="X978" s="10"/>
      <c r="Z978" s="13"/>
      <c r="AA978" s="13"/>
      <c r="AB978" s="13"/>
      <c r="AC978" s="9"/>
      <c r="AD978" s="9"/>
      <c r="AE978" s="11"/>
      <c r="AF978" s="10"/>
      <c r="AG978" s="11"/>
      <c r="AH978" s="10"/>
      <c r="AI978" s="11"/>
      <c r="AJ978" s="10"/>
      <c r="AK978" s="10"/>
      <c r="AL978" s="10"/>
      <c r="AM978" s="8"/>
      <c r="AN978" s="8"/>
      <c r="AO978" s="9"/>
      <c r="AP978" s="9"/>
      <c r="AQ978" s="9"/>
      <c r="AR978" s="8"/>
      <c r="AS978" s="8"/>
      <c r="AT978" s="8"/>
      <c r="AU978" s="8"/>
      <c r="AV978" s="8"/>
      <c r="AW978" s="8"/>
      <c r="AX978" s="8"/>
      <c r="AY978" s="8"/>
      <c r="AZ978" s="8"/>
    </row>
    <row r="979" spans="21:52" ht="16.899999999999999">
      <c r="U979" s="8"/>
      <c r="W979" s="10"/>
      <c r="X979" s="10"/>
      <c r="Z979" s="13"/>
      <c r="AA979" s="13"/>
      <c r="AB979" s="13"/>
      <c r="AC979" s="9"/>
      <c r="AD979" s="9"/>
      <c r="AE979" s="11"/>
      <c r="AF979" s="10"/>
      <c r="AG979" s="11"/>
      <c r="AH979" s="10"/>
      <c r="AI979" s="11"/>
      <c r="AJ979" s="10"/>
      <c r="AK979" s="10"/>
      <c r="AL979" s="10"/>
      <c r="AM979" s="8"/>
      <c r="AN979" s="8"/>
      <c r="AO979" s="9"/>
      <c r="AP979" s="9"/>
      <c r="AQ979" s="9"/>
      <c r="AR979" s="8"/>
      <c r="AS979" s="8"/>
      <c r="AT979" s="8"/>
      <c r="AU979" s="8"/>
      <c r="AV979" s="8"/>
      <c r="AW979" s="8"/>
      <c r="AX979" s="8"/>
      <c r="AY979" s="8"/>
      <c r="AZ979" s="8"/>
    </row>
    <row r="980" spans="21:52" ht="16.899999999999999">
      <c r="U980" s="8"/>
      <c r="W980" s="10"/>
      <c r="X980" s="10"/>
      <c r="Z980" s="13"/>
      <c r="AA980" s="13"/>
      <c r="AB980" s="13"/>
      <c r="AC980" s="9"/>
      <c r="AD980" s="9"/>
      <c r="AE980" s="11"/>
      <c r="AF980" s="10"/>
      <c r="AG980" s="11"/>
      <c r="AH980" s="10"/>
      <c r="AI980" s="11"/>
      <c r="AJ980" s="10"/>
      <c r="AK980" s="10"/>
      <c r="AL980" s="10"/>
      <c r="AM980" s="8"/>
      <c r="AN980" s="8"/>
      <c r="AO980" s="9"/>
      <c r="AP980" s="9"/>
      <c r="AQ980" s="9"/>
      <c r="AR980" s="8"/>
      <c r="AS980" s="8"/>
      <c r="AT980" s="8"/>
      <c r="AU980" s="8"/>
      <c r="AV980" s="8"/>
      <c r="AW980" s="8"/>
      <c r="AX980" s="8"/>
      <c r="AY980" s="8"/>
      <c r="AZ980" s="8"/>
    </row>
    <row r="981" spans="21:52" ht="16.899999999999999">
      <c r="U981" s="8"/>
      <c r="W981" s="10"/>
      <c r="X981" s="10"/>
      <c r="Z981" s="13"/>
      <c r="AA981" s="13"/>
      <c r="AB981" s="13"/>
      <c r="AC981" s="9"/>
      <c r="AD981" s="9"/>
      <c r="AE981" s="11"/>
      <c r="AF981" s="10"/>
      <c r="AG981" s="11"/>
      <c r="AH981" s="10"/>
      <c r="AI981" s="11"/>
      <c r="AJ981" s="10"/>
      <c r="AK981" s="10"/>
      <c r="AL981" s="10"/>
      <c r="AM981" s="8"/>
      <c r="AN981" s="8"/>
      <c r="AO981" s="9"/>
      <c r="AP981" s="9"/>
      <c r="AQ981" s="9"/>
      <c r="AR981" s="8"/>
      <c r="AS981" s="8"/>
      <c r="AT981" s="8"/>
      <c r="AU981" s="8"/>
      <c r="AV981" s="8"/>
      <c r="AW981" s="8"/>
      <c r="AX981" s="8"/>
      <c r="AY981" s="8"/>
      <c r="AZ981" s="8"/>
    </row>
    <row r="982" spans="21:52" ht="16.899999999999999">
      <c r="U982" s="8"/>
      <c r="W982" s="10"/>
      <c r="X982" s="10"/>
      <c r="Z982" s="13"/>
      <c r="AA982" s="13"/>
      <c r="AB982" s="13"/>
      <c r="AC982" s="9"/>
      <c r="AD982" s="9"/>
      <c r="AE982" s="11"/>
      <c r="AF982" s="10"/>
      <c r="AG982" s="11"/>
      <c r="AH982" s="10"/>
      <c r="AI982" s="11"/>
      <c r="AJ982" s="10"/>
      <c r="AK982" s="10"/>
      <c r="AL982" s="10"/>
      <c r="AM982" s="8"/>
      <c r="AN982" s="8"/>
      <c r="AO982" s="9"/>
      <c r="AP982" s="9"/>
      <c r="AQ982" s="9"/>
      <c r="AR982" s="8"/>
      <c r="AS982" s="8"/>
      <c r="AT982" s="8"/>
      <c r="AU982" s="8"/>
      <c r="AV982" s="8"/>
      <c r="AW982" s="8"/>
      <c r="AX982" s="8"/>
      <c r="AY982" s="8"/>
      <c r="AZ982" s="8"/>
    </row>
    <row r="983" spans="21:52" ht="16.899999999999999">
      <c r="U983" s="8"/>
      <c r="W983" s="10"/>
      <c r="X983" s="10"/>
      <c r="Z983" s="13"/>
      <c r="AA983" s="13"/>
      <c r="AB983" s="13"/>
      <c r="AC983" s="9"/>
      <c r="AD983" s="9"/>
      <c r="AE983" s="11"/>
      <c r="AF983" s="10"/>
      <c r="AG983" s="11"/>
      <c r="AH983" s="10"/>
      <c r="AI983" s="11"/>
      <c r="AJ983" s="10"/>
      <c r="AK983" s="10"/>
      <c r="AL983" s="10"/>
      <c r="AM983" s="8"/>
      <c r="AN983" s="8"/>
      <c r="AO983" s="9"/>
      <c r="AP983" s="9"/>
      <c r="AQ983" s="9"/>
      <c r="AR983" s="8"/>
      <c r="AS983" s="8"/>
      <c r="AT983" s="8"/>
      <c r="AU983" s="8"/>
      <c r="AV983" s="8"/>
      <c r="AW983" s="8"/>
      <c r="AX983" s="8"/>
      <c r="AY983" s="8"/>
      <c r="AZ983" s="8"/>
    </row>
    <row r="984" spans="21:52" ht="16.899999999999999">
      <c r="U984" s="8"/>
      <c r="W984" s="10"/>
      <c r="X984" s="10"/>
      <c r="Z984" s="13"/>
      <c r="AA984" s="13"/>
      <c r="AB984" s="13"/>
      <c r="AC984" s="9"/>
      <c r="AD984" s="9"/>
      <c r="AE984" s="11"/>
      <c r="AF984" s="10"/>
      <c r="AG984" s="11"/>
      <c r="AH984" s="10"/>
      <c r="AI984" s="11"/>
      <c r="AJ984" s="10"/>
      <c r="AK984" s="10"/>
      <c r="AL984" s="10"/>
      <c r="AM984" s="8"/>
      <c r="AN984" s="8"/>
      <c r="AO984" s="9"/>
      <c r="AP984" s="9"/>
      <c r="AQ984" s="9"/>
      <c r="AR984" s="8"/>
      <c r="AS984" s="8"/>
      <c r="AT984" s="8"/>
      <c r="AU984" s="8"/>
      <c r="AV984" s="8"/>
      <c r="AW984" s="8"/>
      <c r="AX984" s="8"/>
      <c r="AY984" s="8"/>
      <c r="AZ984" s="8"/>
    </row>
    <row r="985" spans="21:52" ht="16.899999999999999">
      <c r="U985" s="8"/>
      <c r="W985" s="10"/>
      <c r="X985" s="10"/>
      <c r="Z985" s="13"/>
      <c r="AA985" s="13"/>
      <c r="AB985" s="13"/>
      <c r="AC985" s="9"/>
      <c r="AD985" s="9"/>
      <c r="AE985" s="11"/>
      <c r="AF985" s="10"/>
      <c r="AG985" s="11"/>
      <c r="AH985" s="10"/>
      <c r="AI985" s="11"/>
      <c r="AJ985" s="10"/>
      <c r="AK985" s="10"/>
      <c r="AL985" s="10"/>
      <c r="AM985" s="8"/>
      <c r="AN985" s="8"/>
      <c r="AO985" s="9"/>
      <c r="AP985" s="9"/>
      <c r="AQ985" s="9"/>
      <c r="AR985" s="8"/>
      <c r="AS985" s="8"/>
      <c r="AT985" s="8"/>
      <c r="AU985" s="8"/>
      <c r="AV985" s="8"/>
      <c r="AW985" s="8"/>
      <c r="AX985" s="8"/>
      <c r="AY985" s="8"/>
      <c r="AZ985" s="8"/>
    </row>
    <row r="986" spans="21:52" ht="16.899999999999999">
      <c r="U986" s="8"/>
      <c r="W986" s="10"/>
      <c r="X986" s="10"/>
      <c r="Z986" s="13"/>
      <c r="AA986" s="13"/>
      <c r="AB986" s="13"/>
      <c r="AC986" s="9"/>
      <c r="AD986" s="9"/>
      <c r="AE986" s="11"/>
      <c r="AF986" s="10"/>
      <c r="AG986" s="11"/>
      <c r="AH986" s="10"/>
      <c r="AI986" s="11"/>
      <c r="AJ986" s="10"/>
      <c r="AK986" s="10"/>
      <c r="AL986" s="10"/>
      <c r="AM986" s="8"/>
      <c r="AN986" s="8"/>
      <c r="AO986" s="9"/>
      <c r="AP986" s="9"/>
      <c r="AQ986" s="9"/>
      <c r="AR986" s="8"/>
      <c r="AS986" s="8"/>
      <c r="AT986" s="8"/>
      <c r="AU986" s="8"/>
      <c r="AV986" s="8"/>
      <c r="AW986" s="8"/>
      <c r="AX986" s="8"/>
      <c r="AY986" s="8"/>
      <c r="AZ986" s="8"/>
    </row>
    <row r="987" spans="21:52" ht="16.899999999999999">
      <c r="U987" s="8"/>
      <c r="W987" s="10"/>
      <c r="X987" s="10"/>
      <c r="Z987" s="13"/>
      <c r="AA987" s="13"/>
      <c r="AB987" s="13"/>
      <c r="AC987" s="9"/>
      <c r="AD987" s="9"/>
      <c r="AE987" s="11"/>
      <c r="AF987" s="10"/>
      <c r="AG987" s="11"/>
      <c r="AH987" s="10"/>
      <c r="AI987" s="11"/>
      <c r="AJ987" s="10"/>
      <c r="AK987" s="10"/>
      <c r="AL987" s="10"/>
      <c r="AM987" s="8"/>
      <c r="AN987" s="8"/>
      <c r="AO987" s="9"/>
      <c r="AP987" s="9"/>
      <c r="AQ987" s="9"/>
      <c r="AR987" s="8"/>
      <c r="AS987" s="8"/>
      <c r="AT987" s="8"/>
      <c r="AU987" s="8"/>
      <c r="AV987" s="8"/>
      <c r="AW987" s="8"/>
      <c r="AX987" s="8"/>
      <c r="AY987" s="8"/>
      <c r="AZ987" s="8"/>
    </row>
    <row r="988" spans="21:52" ht="16.899999999999999">
      <c r="U988" s="8"/>
      <c r="W988" s="10"/>
      <c r="X988" s="10"/>
      <c r="Z988" s="13"/>
      <c r="AA988" s="13"/>
      <c r="AB988" s="13"/>
      <c r="AC988" s="9"/>
      <c r="AD988" s="9"/>
      <c r="AE988" s="11"/>
      <c r="AF988" s="10"/>
      <c r="AG988" s="11"/>
      <c r="AH988" s="10"/>
      <c r="AI988" s="11"/>
      <c r="AJ988" s="10"/>
      <c r="AK988" s="10"/>
      <c r="AL988" s="10"/>
      <c r="AM988" s="8"/>
      <c r="AN988" s="8"/>
      <c r="AO988" s="9"/>
      <c r="AP988" s="9"/>
      <c r="AQ988" s="9"/>
      <c r="AR988" s="8"/>
      <c r="AS988" s="8"/>
      <c r="AT988" s="8"/>
      <c r="AU988" s="8"/>
      <c r="AV988" s="8"/>
      <c r="AW988" s="8"/>
      <c r="AX988" s="8"/>
      <c r="AY988" s="8"/>
      <c r="AZ988" s="8"/>
    </row>
    <row r="989" spans="21:52" ht="16.899999999999999">
      <c r="U989" s="8"/>
      <c r="W989" s="10"/>
      <c r="X989" s="10"/>
      <c r="Z989" s="13"/>
      <c r="AA989" s="13"/>
      <c r="AB989" s="13"/>
      <c r="AC989" s="9"/>
      <c r="AD989" s="9"/>
      <c r="AE989" s="11"/>
      <c r="AF989" s="10"/>
      <c r="AG989" s="11"/>
      <c r="AH989" s="10"/>
      <c r="AI989" s="11"/>
      <c r="AJ989" s="10"/>
      <c r="AK989" s="10"/>
      <c r="AL989" s="10"/>
      <c r="AM989" s="8"/>
      <c r="AN989" s="8"/>
      <c r="AO989" s="9"/>
      <c r="AP989" s="9"/>
      <c r="AQ989" s="9"/>
      <c r="AR989" s="8"/>
      <c r="AS989" s="8"/>
      <c r="AT989" s="8"/>
      <c r="AU989" s="8"/>
      <c r="AV989" s="8"/>
      <c r="AW989" s="8"/>
      <c r="AX989" s="8"/>
      <c r="AY989" s="8"/>
      <c r="AZ989" s="8"/>
    </row>
    <row r="990" spans="21:52" ht="16.899999999999999">
      <c r="U990" s="8"/>
      <c r="W990" s="10"/>
      <c r="X990" s="10"/>
      <c r="Z990" s="13"/>
      <c r="AA990" s="13"/>
      <c r="AB990" s="13"/>
      <c r="AC990" s="9"/>
      <c r="AD990" s="9"/>
      <c r="AE990" s="11"/>
      <c r="AF990" s="10"/>
      <c r="AG990" s="11"/>
      <c r="AH990" s="10"/>
      <c r="AI990" s="11"/>
      <c r="AJ990" s="10"/>
      <c r="AK990" s="10"/>
      <c r="AL990" s="10"/>
      <c r="AM990" s="8"/>
      <c r="AN990" s="8"/>
      <c r="AO990" s="9"/>
      <c r="AP990" s="9"/>
      <c r="AQ990" s="9"/>
      <c r="AR990" s="8"/>
      <c r="AS990" s="8"/>
      <c r="AT990" s="8"/>
      <c r="AU990" s="8"/>
      <c r="AV990" s="8"/>
      <c r="AW990" s="8"/>
      <c r="AX990" s="8"/>
      <c r="AY990" s="8"/>
      <c r="AZ990" s="8"/>
    </row>
    <row r="991" spans="21:52" ht="16.899999999999999">
      <c r="U991" s="8"/>
      <c r="W991" s="10"/>
      <c r="X991" s="10"/>
      <c r="Z991" s="13"/>
      <c r="AA991" s="13"/>
      <c r="AB991" s="13"/>
      <c r="AC991" s="9"/>
      <c r="AD991" s="9"/>
      <c r="AE991" s="11"/>
      <c r="AF991" s="10"/>
      <c r="AG991" s="11"/>
      <c r="AH991" s="10"/>
      <c r="AI991" s="11"/>
      <c r="AJ991" s="10"/>
      <c r="AK991" s="10"/>
      <c r="AL991" s="10"/>
      <c r="AM991" s="8"/>
      <c r="AN991" s="8"/>
      <c r="AO991" s="9"/>
      <c r="AP991" s="9"/>
      <c r="AQ991" s="9"/>
      <c r="AR991" s="8"/>
      <c r="AS991" s="8"/>
      <c r="AT991" s="8"/>
      <c r="AU991" s="8"/>
      <c r="AV991" s="8"/>
      <c r="AW991" s="8"/>
      <c r="AX991" s="8"/>
      <c r="AY991" s="8"/>
      <c r="AZ991" s="8"/>
    </row>
    <row r="992" spans="21:52" ht="16.899999999999999">
      <c r="U992" s="8"/>
      <c r="W992" s="10"/>
      <c r="X992" s="10"/>
      <c r="Z992" s="13"/>
      <c r="AA992" s="13"/>
      <c r="AB992" s="13"/>
      <c r="AC992" s="9"/>
      <c r="AD992" s="9"/>
      <c r="AE992" s="11"/>
      <c r="AF992" s="10"/>
      <c r="AG992" s="11"/>
      <c r="AH992" s="10"/>
      <c r="AI992" s="11"/>
      <c r="AJ992" s="10"/>
      <c r="AK992" s="10"/>
      <c r="AL992" s="10"/>
      <c r="AM992" s="8"/>
      <c r="AN992" s="8"/>
      <c r="AO992" s="9"/>
      <c r="AP992" s="9"/>
      <c r="AQ992" s="9"/>
      <c r="AR992" s="8"/>
      <c r="AS992" s="8"/>
      <c r="AT992" s="8"/>
      <c r="AU992" s="8"/>
      <c r="AV992" s="8"/>
      <c r="AW992" s="8"/>
      <c r="AX992" s="8"/>
      <c r="AY992" s="8"/>
      <c r="AZ992" s="8"/>
    </row>
    <row r="993" spans="21:52" ht="16.899999999999999">
      <c r="U993" s="8"/>
      <c r="W993" s="10"/>
      <c r="X993" s="10"/>
      <c r="Z993" s="13"/>
      <c r="AA993" s="13"/>
      <c r="AB993" s="13"/>
      <c r="AC993" s="9"/>
      <c r="AD993" s="9"/>
      <c r="AE993" s="11"/>
      <c r="AF993" s="10"/>
      <c r="AG993" s="11"/>
      <c r="AH993" s="10"/>
      <c r="AI993" s="11"/>
      <c r="AJ993" s="10"/>
      <c r="AK993" s="10"/>
      <c r="AL993" s="10"/>
      <c r="AM993" s="8"/>
      <c r="AN993" s="8"/>
      <c r="AO993" s="9"/>
      <c r="AP993" s="9"/>
      <c r="AQ993" s="9"/>
      <c r="AR993" s="8"/>
      <c r="AS993" s="8"/>
      <c r="AT993" s="8"/>
      <c r="AU993" s="8"/>
      <c r="AV993" s="8"/>
      <c r="AW993" s="8"/>
      <c r="AX993" s="8"/>
      <c r="AY993" s="8"/>
      <c r="AZ993" s="8"/>
    </row>
    <row r="994" spans="21:52" ht="16.899999999999999">
      <c r="U994" s="8"/>
      <c r="W994" s="10"/>
      <c r="X994" s="10"/>
      <c r="Z994" s="13"/>
      <c r="AA994" s="13"/>
      <c r="AB994" s="13"/>
      <c r="AC994" s="9"/>
      <c r="AD994" s="9"/>
      <c r="AE994" s="11"/>
      <c r="AF994" s="10"/>
      <c r="AG994" s="11"/>
      <c r="AH994" s="10"/>
      <c r="AI994" s="11"/>
      <c r="AJ994" s="10"/>
      <c r="AK994" s="10"/>
      <c r="AL994" s="10"/>
      <c r="AM994" s="8"/>
      <c r="AN994" s="8"/>
      <c r="AO994" s="9"/>
      <c r="AP994" s="9"/>
      <c r="AQ994" s="9"/>
      <c r="AR994" s="8"/>
      <c r="AS994" s="8"/>
      <c r="AT994" s="8"/>
      <c r="AU994" s="8"/>
      <c r="AV994" s="8"/>
      <c r="AW994" s="8"/>
      <c r="AX994" s="8"/>
      <c r="AY994" s="8"/>
      <c r="AZ994" s="8"/>
    </row>
    <row r="995" spans="21:52" ht="16.899999999999999">
      <c r="U995" s="8"/>
      <c r="W995" s="10"/>
      <c r="X995" s="10"/>
      <c r="Z995" s="13"/>
      <c r="AA995" s="13"/>
      <c r="AB995" s="13"/>
      <c r="AC995" s="9"/>
      <c r="AD995" s="9"/>
      <c r="AE995" s="11"/>
      <c r="AF995" s="10"/>
      <c r="AG995" s="11"/>
      <c r="AH995" s="10"/>
      <c r="AI995" s="11"/>
      <c r="AJ995" s="10"/>
      <c r="AK995" s="10"/>
      <c r="AL995" s="10"/>
      <c r="AM995" s="8"/>
      <c r="AN995" s="8"/>
      <c r="AO995" s="9"/>
      <c r="AP995" s="9"/>
      <c r="AQ995" s="9"/>
      <c r="AR995" s="8"/>
      <c r="AS995" s="8"/>
      <c r="AT995" s="8"/>
      <c r="AU995" s="8"/>
      <c r="AV995" s="8"/>
      <c r="AW995" s="8"/>
      <c r="AX995" s="8"/>
      <c r="AY995" s="8"/>
      <c r="AZ995" s="8"/>
    </row>
    <row r="996" spans="21:52" ht="16.899999999999999">
      <c r="U996" s="8"/>
      <c r="W996" s="10"/>
      <c r="X996" s="10"/>
      <c r="Z996" s="13"/>
      <c r="AA996" s="13"/>
      <c r="AB996" s="13"/>
      <c r="AC996" s="9"/>
      <c r="AD996" s="9"/>
      <c r="AE996" s="11"/>
      <c r="AF996" s="10"/>
      <c r="AG996" s="11"/>
      <c r="AH996" s="10"/>
      <c r="AI996" s="11"/>
      <c r="AJ996" s="10"/>
      <c r="AK996" s="10"/>
      <c r="AL996" s="10"/>
      <c r="AM996" s="8"/>
      <c r="AN996" s="8"/>
      <c r="AO996" s="9"/>
      <c r="AP996" s="9"/>
      <c r="AQ996" s="9"/>
      <c r="AR996" s="8"/>
      <c r="AS996" s="8"/>
      <c r="AT996" s="8"/>
      <c r="AU996" s="8"/>
      <c r="AV996" s="8"/>
      <c r="AW996" s="8"/>
      <c r="AX996" s="8"/>
      <c r="AY996" s="8"/>
      <c r="AZ996" s="8"/>
    </row>
    <row r="997" spans="21:52" ht="16.899999999999999">
      <c r="U997" s="8"/>
      <c r="W997" s="10"/>
      <c r="X997" s="10"/>
      <c r="Z997" s="13"/>
      <c r="AA997" s="13"/>
      <c r="AB997" s="13"/>
      <c r="AC997" s="9"/>
      <c r="AD997" s="9"/>
      <c r="AE997" s="11"/>
      <c r="AF997" s="10"/>
      <c r="AG997" s="11"/>
      <c r="AH997" s="10"/>
      <c r="AI997" s="11"/>
      <c r="AJ997" s="10"/>
      <c r="AK997" s="10"/>
      <c r="AL997" s="10"/>
      <c r="AM997" s="8"/>
      <c r="AN997" s="8"/>
      <c r="AO997" s="9"/>
      <c r="AP997" s="9"/>
      <c r="AQ997" s="9"/>
      <c r="AR997" s="8"/>
      <c r="AS997" s="8"/>
      <c r="AT997" s="8"/>
      <c r="AU997" s="8"/>
      <c r="AV997" s="8"/>
      <c r="AW997" s="8"/>
      <c r="AX997" s="8"/>
      <c r="AY997" s="8"/>
      <c r="AZ997" s="8"/>
    </row>
    <row r="998" spans="21:52" ht="16.899999999999999">
      <c r="U998" s="8"/>
      <c r="W998" s="10"/>
      <c r="X998" s="10"/>
      <c r="Z998" s="13"/>
      <c r="AA998" s="13"/>
      <c r="AB998" s="13"/>
      <c r="AC998" s="9"/>
      <c r="AD998" s="9"/>
      <c r="AE998" s="11"/>
      <c r="AF998" s="10"/>
      <c r="AG998" s="11"/>
      <c r="AH998" s="10"/>
      <c r="AI998" s="11"/>
      <c r="AJ998" s="10"/>
      <c r="AK998" s="10"/>
      <c r="AL998" s="10"/>
      <c r="AM998" s="8"/>
      <c r="AN998" s="8"/>
      <c r="AO998" s="9"/>
      <c r="AP998" s="9"/>
      <c r="AQ998" s="9"/>
      <c r="AR998" s="8"/>
      <c r="AS998" s="8"/>
      <c r="AT998" s="8"/>
      <c r="AU998" s="8"/>
      <c r="AV998" s="8"/>
      <c r="AW998" s="8"/>
      <c r="AX998" s="8"/>
      <c r="AY998" s="8"/>
      <c r="AZ998" s="8"/>
    </row>
    <row r="999" spans="21:52" ht="16.899999999999999">
      <c r="U999" s="8"/>
      <c r="W999" s="10"/>
      <c r="X999" s="10"/>
      <c r="Z999" s="13"/>
      <c r="AA999" s="13"/>
      <c r="AB999" s="13"/>
      <c r="AC999" s="9"/>
      <c r="AD999" s="9"/>
      <c r="AE999" s="11"/>
      <c r="AF999" s="10"/>
      <c r="AG999" s="11"/>
      <c r="AH999" s="10"/>
      <c r="AI999" s="11"/>
      <c r="AJ999" s="10"/>
      <c r="AK999" s="10"/>
      <c r="AL999" s="10"/>
      <c r="AM999" s="8"/>
      <c r="AN999" s="8"/>
      <c r="AO999" s="9"/>
      <c r="AP999" s="9"/>
      <c r="AQ999" s="9"/>
      <c r="AR999" s="8"/>
      <c r="AS999" s="8"/>
      <c r="AT999" s="8"/>
      <c r="AU999" s="8"/>
      <c r="AV999" s="8"/>
      <c r="AW999" s="8"/>
      <c r="AX999" s="8"/>
      <c r="AY999" s="8"/>
      <c r="AZ999" s="8"/>
    </row>
    <row r="1000" spans="21:52" ht="16.899999999999999">
      <c r="U1000" s="8"/>
      <c r="W1000" s="10"/>
      <c r="X1000" s="10"/>
      <c r="Z1000" s="13"/>
      <c r="AA1000" s="13"/>
      <c r="AB1000" s="13"/>
      <c r="AC1000" s="9"/>
      <c r="AD1000" s="9"/>
      <c r="AE1000" s="11"/>
      <c r="AF1000" s="10"/>
      <c r="AG1000" s="11"/>
      <c r="AH1000" s="10"/>
      <c r="AI1000" s="11"/>
      <c r="AJ1000" s="10"/>
      <c r="AK1000" s="10"/>
      <c r="AL1000" s="10"/>
      <c r="AM1000" s="8"/>
      <c r="AN1000" s="8"/>
      <c r="AO1000" s="9"/>
      <c r="AP1000" s="9"/>
      <c r="AQ1000" s="9"/>
      <c r="AR1000" s="8"/>
      <c r="AS1000" s="8"/>
      <c r="AT1000" s="8"/>
      <c r="AU1000" s="8"/>
      <c r="AV1000" s="8"/>
      <c r="AW1000" s="8"/>
      <c r="AX1000" s="8"/>
      <c r="AY1000" s="8"/>
      <c r="AZ1000" s="8"/>
    </row>
    <row r="1001" spans="21:52" ht="16.899999999999999">
      <c r="U1001" s="8"/>
      <c r="W1001" s="10"/>
      <c r="X1001" s="10"/>
      <c r="Z1001" s="13"/>
      <c r="AA1001" s="13"/>
      <c r="AB1001" s="13"/>
      <c r="AC1001" s="9"/>
      <c r="AD1001" s="9"/>
      <c r="AE1001" s="11"/>
      <c r="AF1001" s="10"/>
      <c r="AG1001" s="11"/>
      <c r="AH1001" s="10"/>
      <c r="AI1001" s="11"/>
      <c r="AJ1001" s="10"/>
      <c r="AK1001" s="10"/>
      <c r="AL1001" s="10"/>
      <c r="AM1001" s="8"/>
      <c r="AN1001" s="8"/>
      <c r="AO1001" s="9"/>
      <c r="AP1001" s="9"/>
      <c r="AQ1001" s="9"/>
      <c r="AR1001" s="8"/>
      <c r="AS1001" s="8"/>
      <c r="AT1001" s="8"/>
      <c r="AU1001" s="8"/>
      <c r="AV1001" s="8"/>
      <c r="AW1001" s="8"/>
      <c r="AX1001" s="8"/>
      <c r="AY1001" s="8"/>
      <c r="AZ1001" s="8"/>
    </row>
    <row r="1002" spans="21:52" ht="16.899999999999999">
      <c r="U1002" s="8"/>
      <c r="W1002" s="10"/>
      <c r="X1002" s="10"/>
      <c r="Z1002" s="13"/>
      <c r="AA1002" s="13"/>
      <c r="AB1002" s="13"/>
      <c r="AC1002" s="9"/>
      <c r="AD1002" s="9"/>
      <c r="AE1002" s="11"/>
      <c r="AF1002" s="10"/>
      <c r="AG1002" s="11"/>
      <c r="AH1002" s="10"/>
      <c r="AI1002" s="11"/>
      <c r="AJ1002" s="10"/>
      <c r="AK1002" s="10"/>
      <c r="AL1002" s="10"/>
      <c r="AM1002" s="8"/>
      <c r="AN1002" s="8"/>
      <c r="AO1002" s="9"/>
      <c r="AP1002" s="9"/>
      <c r="AQ1002" s="9"/>
      <c r="AR1002" s="8"/>
      <c r="AS1002" s="8"/>
      <c r="AT1002" s="8"/>
      <c r="AU1002" s="8"/>
      <c r="AV1002" s="8"/>
      <c r="AW1002" s="8"/>
      <c r="AX1002" s="8"/>
      <c r="AY1002" s="8"/>
      <c r="AZ1002" s="8"/>
    </row>
    <row r="1003" spans="21:52" ht="16.899999999999999">
      <c r="U1003" s="8"/>
      <c r="W1003" s="10"/>
      <c r="X1003" s="10"/>
      <c r="Z1003" s="13"/>
      <c r="AA1003" s="13"/>
      <c r="AB1003" s="13"/>
      <c r="AC1003" s="9"/>
      <c r="AD1003" s="9"/>
      <c r="AE1003" s="11"/>
      <c r="AF1003" s="10"/>
      <c r="AG1003" s="11"/>
      <c r="AH1003" s="10"/>
      <c r="AI1003" s="11"/>
      <c r="AJ1003" s="10"/>
      <c r="AK1003" s="10"/>
      <c r="AL1003" s="10"/>
      <c r="AM1003" s="8"/>
      <c r="AN1003" s="8"/>
      <c r="AO1003" s="9"/>
      <c r="AP1003" s="9"/>
      <c r="AQ1003" s="9"/>
      <c r="AR1003" s="8"/>
      <c r="AS1003" s="8"/>
      <c r="AT1003" s="8"/>
      <c r="AU1003" s="8"/>
      <c r="AV1003" s="8"/>
      <c r="AW1003" s="8"/>
      <c r="AX1003" s="8"/>
      <c r="AY1003" s="8"/>
      <c r="AZ1003" s="8"/>
    </row>
    <row r="1004" spans="21:52" ht="16.899999999999999">
      <c r="U1004" s="8"/>
      <c r="W1004" s="10"/>
      <c r="X1004" s="10"/>
      <c r="Z1004" s="13"/>
      <c r="AA1004" s="13"/>
      <c r="AB1004" s="13"/>
      <c r="AC1004" s="9"/>
      <c r="AD1004" s="9"/>
      <c r="AE1004" s="11"/>
      <c r="AF1004" s="10"/>
      <c r="AG1004" s="11"/>
      <c r="AH1004" s="10"/>
      <c r="AI1004" s="11"/>
      <c r="AJ1004" s="10"/>
      <c r="AK1004" s="10"/>
      <c r="AL1004" s="10"/>
      <c r="AM1004" s="8"/>
      <c r="AN1004" s="8"/>
      <c r="AO1004" s="9"/>
      <c r="AP1004" s="9"/>
      <c r="AQ1004" s="9"/>
      <c r="AR1004" s="8"/>
      <c r="AS1004" s="8"/>
      <c r="AT1004" s="8"/>
      <c r="AU1004" s="8"/>
      <c r="AV1004" s="8"/>
      <c r="AW1004" s="8"/>
      <c r="AX1004" s="8"/>
      <c r="AY1004" s="8"/>
      <c r="AZ1004" s="8"/>
    </row>
    <row r="1005" spans="21:52" ht="16.899999999999999">
      <c r="U1005" s="8"/>
      <c r="W1005" s="10"/>
      <c r="X1005" s="10"/>
      <c r="Z1005" s="13"/>
      <c r="AA1005" s="13"/>
      <c r="AB1005" s="13"/>
      <c r="AC1005" s="9"/>
      <c r="AD1005" s="9"/>
      <c r="AE1005" s="11"/>
      <c r="AF1005" s="10"/>
      <c r="AG1005" s="11"/>
      <c r="AH1005" s="10"/>
      <c r="AI1005" s="11"/>
      <c r="AJ1005" s="10"/>
      <c r="AK1005" s="10"/>
      <c r="AL1005" s="10"/>
      <c r="AM1005" s="8"/>
      <c r="AN1005" s="8"/>
      <c r="AO1005" s="9"/>
      <c r="AP1005" s="9"/>
      <c r="AQ1005" s="9"/>
      <c r="AR1005" s="8"/>
      <c r="AS1005" s="8"/>
      <c r="AT1005" s="8"/>
      <c r="AU1005" s="8"/>
      <c r="AV1005" s="8"/>
      <c r="AW1005" s="8"/>
      <c r="AX1005" s="8"/>
      <c r="AY1005" s="8"/>
      <c r="AZ1005" s="8"/>
    </row>
    <row r="1006" spans="21:52" ht="16.899999999999999">
      <c r="U1006" s="8"/>
      <c r="W1006" s="10"/>
      <c r="X1006" s="10"/>
      <c r="Z1006" s="13"/>
      <c r="AA1006" s="13"/>
      <c r="AB1006" s="13"/>
      <c r="AC1006" s="9"/>
      <c r="AD1006" s="9"/>
      <c r="AE1006" s="11"/>
      <c r="AF1006" s="10"/>
      <c r="AG1006" s="11"/>
      <c r="AH1006" s="10"/>
      <c r="AI1006" s="11"/>
      <c r="AJ1006" s="10"/>
      <c r="AK1006" s="10"/>
      <c r="AL1006" s="10"/>
      <c r="AM1006" s="8"/>
      <c r="AN1006" s="8"/>
      <c r="AO1006" s="9"/>
      <c r="AP1006" s="9"/>
      <c r="AQ1006" s="9"/>
      <c r="AR1006" s="8"/>
      <c r="AS1006" s="8"/>
      <c r="AT1006" s="8"/>
      <c r="AU1006" s="8"/>
      <c r="AV1006" s="8"/>
      <c r="AW1006" s="8"/>
      <c r="AX1006" s="8"/>
      <c r="AY1006" s="8"/>
      <c r="AZ1006" s="8"/>
    </row>
    <row r="1007" spans="21:52" ht="16.899999999999999">
      <c r="U1007" s="8"/>
      <c r="W1007" s="10"/>
      <c r="X1007" s="10"/>
      <c r="Z1007" s="13"/>
      <c r="AA1007" s="13"/>
      <c r="AB1007" s="13"/>
      <c r="AC1007" s="9"/>
      <c r="AD1007" s="9"/>
      <c r="AE1007" s="11"/>
      <c r="AF1007" s="10"/>
      <c r="AG1007" s="11"/>
      <c r="AH1007" s="10"/>
      <c r="AI1007" s="11"/>
      <c r="AJ1007" s="10"/>
      <c r="AK1007" s="10"/>
      <c r="AL1007" s="10"/>
      <c r="AM1007" s="8"/>
      <c r="AN1007" s="8"/>
      <c r="AO1007" s="9"/>
      <c r="AP1007" s="9"/>
      <c r="AQ1007" s="9"/>
      <c r="AR1007" s="8"/>
      <c r="AS1007" s="8"/>
      <c r="AT1007" s="8"/>
      <c r="AU1007" s="8"/>
      <c r="AV1007" s="8"/>
      <c r="AW1007" s="8"/>
      <c r="AX1007" s="8"/>
      <c r="AY1007" s="8"/>
      <c r="AZ1007" s="8"/>
    </row>
    <row r="1008" spans="21:52" ht="16.899999999999999">
      <c r="U1008" s="8"/>
      <c r="W1008" s="10"/>
      <c r="X1008" s="10"/>
      <c r="Z1008" s="13"/>
      <c r="AA1008" s="13"/>
      <c r="AB1008" s="13"/>
      <c r="AC1008" s="9"/>
      <c r="AD1008" s="9"/>
      <c r="AE1008" s="11"/>
      <c r="AF1008" s="10"/>
      <c r="AG1008" s="11"/>
      <c r="AH1008" s="10"/>
      <c r="AI1008" s="11"/>
      <c r="AJ1008" s="10"/>
      <c r="AK1008" s="10"/>
      <c r="AL1008" s="10"/>
      <c r="AM1008" s="8"/>
      <c r="AN1008" s="8"/>
      <c r="AO1008" s="9"/>
      <c r="AP1008" s="9"/>
      <c r="AQ1008" s="9"/>
      <c r="AR1008" s="8"/>
      <c r="AS1008" s="8"/>
      <c r="AT1008" s="8"/>
      <c r="AU1008" s="8"/>
      <c r="AV1008" s="8"/>
      <c r="AW1008" s="8"/>
      <c r="AX1008" s="8"/>
      <c r="AY1008" s="8"/>
      <c r="AZ1008" s="8"/>
    </row>
    <row r="1009" spans="21:52" ht="16.899999999999999">
      <c r="U1009" s="8"/>
      <c r="W1009" s="10"/>
      <c r="X1009" s="10"/>
      <c r="Z1009" s="13"/>
      <c r="AA1009" s="13"/>
      <c r="AB1009" s="13"/>
      <c r="AC1009" s="9"/>
      <c r="AD1009" s="9"/>
      <c r="AE1009" s="11"/>
      <c r="AF1009" s="10"/>
      <c r="AG1009" s="11"/>
      <c r="AH1009" s="10"/>
      <c r="AI1009" s="11"/>
      <c r="AJ1009" s="10"/>
      <c r="AK1009" s="10"/>
      <c r="AL1009" s="10"/>
      <c r="AM1009" s="8"/>
      <c r="AN1009" s="8"/>
      <c r="AO1009" s="9"/>
      <c r="AP1009" s="9"/>
      <c r="AQ1009" s="9"/>
      <c r="AR1009" s="8"/>
      <c r="AS1009" s="8"/>
      <c r="AT1009" s="8"/>
      <c r="AU1009" s="8"/>
      <c r="AV1009" s="8"/>
      <c r="AW1009" s="8"/>
      <c r="AX1009" s="8"/>
      <c r="AY1009" s="8"/>
      <c r="AZ1009" s="8"/>
    </row>
    <row r="1010" spans="21:52" ht="16.899999999999999">
      <c r="U1010" s="8"/>
      <c r="W1010" s="10"/>
      <c r="X1010" s="10"/>
      <c r="Z1010" s="13"/>
      <c r="AA1010" s="13"/>
      <c r="AB1010" s="13"/>
      <c r="AC1010" s="9"/>
      <c r="AD1010" s="9"/>
      <c r="AE1010" s="11"/>
      <c r="AF1010" s="10"/>
      <c r="AG1010" s="11"/>
      <c r="AH1010" s="10"/>
      <c r="AI1010" s="11"/>
      <c r="AJ1010" s="10"/>
      <c r="AK1010" s="10"/>
      <c r="AL1010" s="10"/>
      <c r="AM1010" s="8"/>
      <c r="AN1010" s="8"/>
      <c r="AO1010" s="9"/>
      <c r="AP1010" s="9"/>
      <c r="AQ1010" s="9"/>
      <c r="AR1010" s="8"/>
      <c r="AS1010" s="8"/>
      <c r="AT1010" s="8"/>
      <c r="AU1010" s="8"/>
      <c r="AV1010" s="8"/>
      <c r="AW1010" s="8"/>
      <c r="AX1010" s="8"/>
      <c r="AY1010" s="8"/>
      <c r="AZ1010" s="8"/>
    </row>
    <row r="1011" spans="21:52" ht="16.899999999999999">
      <c r="U1011" s="8"/>
      <c r="W1011" s="10"/>
      <c r="X1011" s="10"/>
      <c r="Z1011" s="13"/>
      <c r="AA1011" s="13"/>
      <c r="AB1011" s="13"/>
      <c r="AC1011" s="9"/>
      <c r="AD1011" s="9"/>
      <c r="AE1011" s="11"/>
      <c r="AF1011" s="10"/>
      <c r="AG1011" s="11"/>
      <c r="AH1011" s="10"/>
      <c r="AI1011" s="11"/>
      <c r="AJ1011" s="10"/>
      <c r="AK1011" s="10"/>
      <c r="AL1011" s="10"/>
      <c r="AM1011" s="8"/>
      <c r="AN1011" s="8"/>
      <c r="AO1011" s="9"/>
      <c r="AP1011" s="9"/>
      <c r="AQ1011" s="9"/>
      <c r="AR1011" s="8"/>
      <c r="AS1011" s="8"/>
      <c r="AT1011" s="8"/>
      <c r="AU1011" s="8"/>
      <c r="AV1011" s="8"/>
      <c r="AW1011" s="8"/>
      <c r="AX1011" s="8"/>
      <c r="AY1011" s="8"/>
      <c r="AZ1011" s="8"/>
    </row>
    <row r="1012" spans="21:52" ht="16.899999999999999">
      <c r="U1012" s="8"/>
      <c r="W1012" s="10"/>
      <c r="X1012" s="10"/>
      <c r="Z1012" s="13"/>
      <c r="AA1012" s="13"/>
      <c r="AB1012" s="13"/>
      <c r="AC1012" s="9"/>
      <c r="AD1012" s="9"/>
      <c r="AE1012" s="11"/>
      <c r="AF1012" s="10"/>
      <c r="AG1012" s="11"/>
      <c r="AH1012" s="10"/>
      <c r="AI1012" s="11"/>
      <c r="AJ1012" s="10"/>
      <c r="AK1012" s="10"/>
      <c r="AL1012" s="10"/>
      <c r="AM1012" s="8"/>
      <c r="AN1012" s="8"/>
      <c r="AO1012" s="9"/>
      <c r="AP1012" s="9"/>
      <c r="AQ1012" s="9"/>
      <c r="AR1012" s="8"/>
      <c r="AS1012" s="8"/>
      <c r="AT1012" s="8"/>
      <c r="AU1012" s="8"/>
      <c r="AV1012" s="8"/>
      <c r="AW1012" s="8"/>
      <c r="AX1012" s="8"/>
      <c r="AY1012" s="8"/>
      <c r="AZ1012" s="8"/>
    </row>
    <row r="1013" spans="21:52" ht="16.899999999999999">
      <c r="U1013" s="8"/>
      <c r="W1013" s="10"/>
      <c r="X1013" s="10"/>
      <c r="Z1013" s="13"/>
      <c r="AA1013" s="13"/>
      <c r="AB1013" s="13"/>
      <c r="AC1013" s="9"/>
      <c r="AD1013" s="9"/>
      <c r="AE1013" s="11"/>
      <c r="AF1013" s="10"/>
      <c r="AG1013" s="11"/>
      <c r="AH1013" s="10"/>
      <c r="AI1013" s="11"/>
      <c r="AJ1013" s="10"/>
      <c r="AK1013" s="10"/>
      <c r="AL1013" s="10"/>
      <c r="AM1013" s="8"/>
      <c r="AN1013" s="8"/>
      <c r="AO1013" s="9"/>
      <c r="AP1013" s="9"/>
      <c r="AQ1013" s="9"/>
      <c r="AR1013" s="8"/>
      <c r="AS1013" s="8"/>
      <c r="AT1013" s="8"/>
      <c r="AU1013" s="8"/>
      <c r="AV1013" s="8"/>
      <c r="AW1013" s="8"/>
      <c r="AX1013" s="8"/>
      <c r="AY1013" s="8"/>
      <c r="AZ1013" s="8"/>
    </row>
    <row r="1014" spans="21:52" ht="16.899999999999999">
      <c r="U1014" s="8"/>
      <c r="W1014" s="10"/>
      <c r="X1014" s="10"/>
      <c r="Z1014" s="13"/>
      <c r="AA1014" s="13"/>
      <c r="AB1014" s="13"/>
      <c r="AC1014" s="9"/>
      <c r="AD1014" s="9"/>
      <c r="AE1014" s="11"/>
      <c r="AF1014" s="10"/>
      <c r="AG1014" s="11"/>
      <c r="AH1014" s="10"/>
      <c r="AI1014" s="11"/>
      <c r="AJ1014" s="10"/>
      <c r="AK1014" s="10"/>
      <c r="AL1014" s="10"/>
      <c r="AM1014" s="8"/>
      <c r="AN1014" s="8"/>
      <c r="AO1014" s="9"/>
      <c r="AP1014" s="9"/>
      <c r="AQ1014" s="9"/>
      <c r="AR1014" s="8"/>
      <c r="AS1014" s="8"/>
      <c r="AT1014" s="8"/>
      <c r="AU1014" s="8"/>
      <c r="AV1014" s="8"/>
      <c r="AW1014" s="8"/>
      <c r="AX1014" s="8"/>
      <c r="AY1014" s="8"/>
      <c r="AZ1014" s="8"/>
    </row>
    <row r="1015" spans="21:52" ht="16.899999999999999">
      <c r="U1015" s="8"/>
      <c r="W1015" s="10"/>
      <c r="X1015" s="10"/>
      <c r="Z1015" s="13"/>
      <c r="AA1015" s="13"/>
      <c r="AB1015" s="13"/>
      <c r="AC1015" s="9"/>
      <c r="AD1015" s="9"/>
      <c r="AE1015" s="11"/>
      <c r="AF1015" s="10"/>
      <c r="AG1015" s="11"/>
      <c r="AH1015" s="10"/>
      <c r="AI1015" s="11"/>
      <c r="AJ1015" s="10"/>
      <c r="AK1015" s="10"/>
      <c r="AL1015" s="10"/>
      <c r="AM1015" s="8"/>
      <c r="AN1015" s="8"/>
      <c r="AO1015" s="9"/>
      <c r="AP1015" s="9"/>
      <c r="AQ1015" s="9"/>
      <c r="AR1015" s="8"/>
      <c r="AS1015" s="8"/>
      <c r="AT1015" s="8"/>
      <c r="AU1015" s="8"/>
      <c r="AV1015" s="8"/>
      <c r="AW1015" s="8"/>
      <c r="AX1015" s="8"/>
      <c r="AY1015" s="8"/>
      <c r="AZ1015" s="8"/>
    </row>
    <row r="1016" spans="21:52" ht="16.899999999999999">
      <c r="U1016" s="8"/>
      <c r="W1016" s="10"/>
      <c r="X1016" s="10"/>
      <c r="Z1016" s="13"/>
      <c r="AA1016" s="13"/>
      <c r="AB1016" s="13"/>
      <c r="AC1016" s="9"/>
      <c r="AD1016" s="9"/>
      <c r="AE1016" s="11"/>
      <c r="AF1016" s="10"/>
      <c r="AG1016" s="11"/>
      <c r="AH1016" s="10"/>
      <c r="AI1016" s="11"/>
      <c r="AJ1016" s="10"/>
      <c r="AK1016" s="10"/>
      <c r="AL1016" s="10"/>
      <c r="AM1016" s="8"/>
      <c r="AN1016" s="8"/>
      <c r="AO1016" s="9"/>
      <c r="AP1016" s="9"/>
      <c r="AQ1016" s="9"/>
      <c r="AR1016" s="8"/>
      <c r="AS1016" s="8"/>
      <c r="AT1016" s="8"/>
      <c r="AU1016" s="8"/>
      <c r="AV1016" s="8"/>
      <c r="AW1016" s="8"/>
      <c r="AX1016" s="8"/>
      <c r="AY1016" s="8"/>
      <c r="AZ1016" s="8"/>
    </row>
    <row r="1017" spans="21:52" ht="16.899999999999999">
      <c r="U1017" s="8"/>
      <c r="W1017" s="10"/>
      <c r="X1017" s="10"/>
      <c r="Z1017" s="13"/>
      <c r="AA1017" s="13"/>
      <c r="AB1017" s="13"/>
      <c r="AC1017" s="9"/>
      <c r="AD1017" s="9"/>
      <c r="AE1017" s="11"/>
      <c r="AF1017" s="10"/>
      <c r="AG1017" s="11"/>
      <c r="AH1017" s="10"/>
      <c r="AI1017" s="11"/>
      <c r="AJ1017" s="10"/>
      <c r="AK1017" s="10"/>
      <c r="AL1017" s="10"/>
      <c r="AM1017" s="8"/>
      <c r="AN1017" s="8"/>
      <c r="AO1017" s="9"/>
      <c r="AP1017" s="9"/>
      <c r="AQ1017" s="9"/>
      <c r="AR1017" s="8"/>
      <c r="AS1017" s="8"/>
      <c r="AT1017" s="8"/>
      <c r="AU1017" s="8"/>
      <c r="AV1017" s="8"/>
      <c r="AW1017" s="8"/>
      <c r="AX1017" s="8"/>
      <c r="AY1017" s="8"/>
      <c r="AZ1017" s="8"/>
    </row>
    <row r="1018" spans="21:52" ht="16.899999999999999">
      <c r="U1018" s="8"/>
      <c r="W1018" s="10"/>
      <c r="X1018" s="10"/>
      <c r="Z1018" s="13"/>
      <c r="AA1018" s="13"/>
      <c r="AB1018" s="13"/>
      <c r="AC1018" s="9"/>
      <c r="AD1018" s="9"/>
      <c r="AE1018" s="11"/>
      <c r="AF1018" s="10"/>
      <c r="AG1018" s="11"/>
      <c r="AH1018" s="10"/>
      <c r="AI1018" s="11"/>
      <c r="AJ1018" s="10"/>
      <c r="AK1018" s="10"/>
      <c r="AL1018" s="10"/>
      <c r="AM1018" s="8"/>
      <c r="AN1018" s="8"/>
      <c r="AO1018" s="9"/>
      <c r="AP1018" s="9"/>
      <c r="AQ1018" s="9"/>
      <c r="AR1018" s="8"/>
      <c r="AS1018" s="8"/>
      <c r="AT1018" s="8"/>
      <c r="AU1018" s="8"/>
      <c r="AV1018" s="8"/>
      <c r="AW1018" s="8"/>
      <c r="AX1018" s="8"/>
      <c r="AY1018" s="8"/>
      <c r="AZ1018" s="8"/>
    </row>
    <row r="1019" spans="21:52" ht="16.899999999999999">
      <c r="U1019" s="8"/>
      <c r="W1019" s="10"/>
      <c r="X1019" s="10"/>
      <c r="Z1019" s="13"/>
      <c r="AA1019" s="13"/>
      <c r="AB1019" s="13"/>
      <c r="AC1019" s="9"/>
      <c r="AD1019" s="9"/>
      <c r="AE1019" s="11"/>
      <c r="AF1019" s="10"/>
      <c r="AG1019" s="11"/>
      <c r="AH1019" s="10"/>
      <c r="AI1019" s="11"/>
      <c r="AJ1019" s="10"/>
      <c r="AK1019" s="10"/>
      <c r="AL1019" s="10"/>
      <c r="AM1019" s="8"/>
      <c r="AN1019" s="8"/>
      <c r="AO1019" s="9"/>
      <c r="AP1019" s="9"/>
      <c r="AQ1019" s="9"/>
      <c r="AR1019" s="8"/>
      <c r="AS1019" s="8"/>
      <c r="AT1019" s="8"/>
      <c r="AU1019" s="8"/>
      <c r="AV1019" s="8"/>
      <c r="AW1019" s="8"/>
      <c r="AX1019" s="8"/>
      <c r="AY1019" s="8"/>
      <c r="AZ1019" s="8"/>
    </row>
    <row r="1020" spans="21:52" ht="16.899999999999999">
      <c r="U1020" s="8"/>
      <c r="W1020" s="10"/>
      <c r="X1020" s="10"/>
      <c r="Z1020" s="13"/>
      <c r="AA1020" s="13"/>
      <c r="AB1020" s="13"/>
      <c r="AC1020" s="9"/>
      <c r="AD1020" s="9"/>
      <c r="AE1020" s="11"/>
      <c r="AF1020" s="10"/>
      <c r="AG1020" s="11"/>
      <c r="AH1020" s="10"/>
      <c r="AI1020" s="11"/>
      <c r="AJ1020" s="10"/>
      <c r="AK1020" s="10"/>
      <c r="AL1020" s="10"/>
      <c r="AM1020" s="8"/>
      <c r="AN1020" s="8"/>
      <c r="AO1020" s="9"/>
      <c r="AP1020" s="9"/>
      <c r="AQ1020" s="9"/>
      <c r="AR1020" s="8"/>
      <c r="AS1020" s="8"/>
      <c r="AT1020" s="8"/>
      <c r="AU1020" s="8"/>
      <c r="AV1020" s="8"/>
      <c r="AW1020" s="8"/>
      <c r="AX1020" s="8"/>
      <c r="AY1020" s="8"/>
      <c r="AZ1020" s="8"/>
    </row>
    <row r="1021" spans="21:52" ht="16.899999999999999">
      <c r="U1021" s="8"/>
      <c r="W1021" s="10"/>
      <c r="X1021" s="10"/>
      <c r="Z1021" s="13"/>
      <c r="AA1021" s="13"/>
      <c r="AB1021" s="13"/>
      <c r="AC1021" s="9"/>
      <c r="AD1021" s="9"/>
      <c r="AE1021" s="11"/>
      <c r="AF1021" s="10"/>
      <c r="AG1021" s="11"/>
      <c r="AH1021" s="10"/>
      <c r="AI1021" s="11"/>
      <c r="AJ1021" s="10"/>
      <c r="AK1021" s="10"/>
      <c r="AL1021" s="10"/>
      <c r="AM1021" s="8"/>
      <c r="AN1021" s="8"/>
      <c r="AO1021" s="9"/>
      <c r="AP1021" s="9"/>
      <c r="AQ1021" s="9"/>
      <c r="AR1021" s="8"/>
      <c r="AS1021" s="8"/>
      <c r="AT1021" s="8"/>
      <c r="AU1021" s="8"/>
      <c r="AV1021" s="8"/>
      <c r="AW1021" s="8"/>
      <c r="AX1021" s="8"/>
      <c r="AY1021" s="8"/>
      <c r="AZ1021" s="8"/>
    </row>
    <row r="1022" spans="21:52" ht="16.899999999999999">
      <c r="U1022" s="8"/>
      <c r="W1022" s="10"/>
      <c r="X1022" s="10"/>
      <c r="Z1022" s="13"/>
      <c r="AA1022" s="13"/>
      <c r="AB1022" s="13"/>
      <c r="AC1022" s="9"/>
      <c r="AD1022" s="9"/>
      <c r="AE1022" s="11"/>
      <c r="AF1022" s="10"/>
      <c r="AG1022" s="11"/>
      <c r="AH1022" s="10"/>
      <c r="AI1022" s="11"/>
      <c r="AJ1022" s="10"/>
      <c r="AK1022" s="10"/>
      <c r="AL1022" s="10"/>
      <c r="AM1022" s="8"/>
      <c r="AN1022" s="8"/>
      <c r="AO1022" s="9"/>
      <c r="AP1022" s="9"/>
      <c r="AQ1022" s="9"/>
      <c r="AR1022" s="8"/>
      <c r="AS1022" s="8"/>
      <c r="AT1022" s="8"/>
      <c r="AU1022" s="8"/>
      <c r="AV1022" s="8"/>
      <c r="AW1022" s="8"/>
      <c r="AX1022" s="8"/>
      <c r="AY1022" s="8"/>
      <c r="AZ1022" s="8"/>
    </row>
    <row r="1023" spans="21:52" ht="16.899999999999999">
      <c r="U1023" s="8"/>
      <c r="W1023" s="10"/>
      <c r="X1023" s="10"/>
      <c r="Z1023" s="13"/>
      <c r="AA1023" s="13"/>
      <c r="AB1023" s="13"/>
      <c r="AC1023" s="9"/>
      <c r="AD1023" s="9"/>
      <c r="AE1023" s="11"/>
      <c r="AF1023" s="10"/>
      <c r="AG1023" s="11"/>
      <c r="AH1023" s="10"/>
      <c r="AI1023" s="11"/>
      <c r="AJ1023" s="10"/>
      <c r="AK1023" s="10"/>
      <c r="AL1023" s="10"/>
      <c r="AM1023" s="8"/>
      <c r="AN1023" s="8"/>
      <c r="AO1023" s="9"/>
      <c r="AP1023" s="9"/>
      <c r="AQ1023" s="9"/>
      <c r="AR1023" s="8"/>
      <c r="AS1023" s="8"/>
      <c r="AT1023" s="8"/>
      <c r="AU1023" s="8"/>
      <c r="AV1023" s="8"/>
      <c r="AW1023" s="8"/>
      <c r="AX1023" s="8"/>
      <c r="AY1023" s="8"/>
      <c r="AZ1023" s="8"/>
    </row>
    <row r="1024" spans="21:52" ht="16.899999999999999">
      <c r="U1024" s="8"/>
      <c r="W1024" s="10"/>
      <c r="X1024" s="10"/>
      <c r="Z1024" s="13"/>
      <c r="AA1024" s="13"/>
      <c r="AB1024" s="13"/>
      <c r="AC1024" s="9"/>
      <c r="AD1024" s="9"/>
      <c r="AE1024" s="11"/>
      <c r="AF1024" s="10"/>
      <c r="AG1024" s="11"/>
      <c r="AH1024" s="10"/>
      <c r="AI1024" s="11"/>
      <c r="AJ1024" s="10"/>
      <c r="AK1024" s="10"/>
      <c r="AL1024" s="10"/>
      <c r="AM1024" s="8"/>
      <c r="AN1024" s="8"/>
      <c r="AO1024" s="9"/>
      <c r="AP1024" s="9"/>
      <c r="AQ1024" s="9"/>
      <c r="AR1024" s="8"/>
      <c r="AS1024" s="8"/>
      <c r="AT1024" s="8"/>
      <c r="AU1024" s="8"/>
      <c r="AV1024" s="8"/>
      <c r="AW1024" s="8"/>
      <c r="AX1024" s="8"/>
      <c r="AY1024" s="8"/>
      <c r="AZ1024" s="8"/>
    </row>
    <row r="1025" spans="21:52" ht="16.899999999999999">
      <c r="U1025" s="8"/>
      <c r="W1025" s="10"/>
      <c r="X1025" s="10"/>
      <c r="Z1025" s="13"/>
      <c r="AA1025" s="13"/>
      <c r="AB1025" s="13"/>
      <c r="AC1025" s="9"/>
      <c r="AD1025" s="9"/>
      <c r="AE1025" s="11"/>
      <c r="AF1025" s="10"/>
      <c r="AG1025" s="11"/>
      <c r="AH1025" s="10"/>
      <c r="AI1025" s="11"/>
      <c r="AJ1025" s="10"/>
      <c r="AK1025" s="10"/>
      <c r="AL1025" s="10"/>
      <c r="AM1025" s="8"/>
      <c r="AN1025" s="8"/>
      <c r="AO1025" s="9"/>
      <c r="AP1025" s="9"/>
      <c r="AQ1025" s="9"/>
      <c r="AR1025" s="8"/>
      <c r="AS1025" s="8"/>
      <c r="AT1025" s="8"/>
      <c r="AU1025" s="8"/>
      <c r="AV1025" s="8"/>
      <c r="AW1025" s="8"/>
      <c r="AX1025" s="8"/>
      <c r="AY1025" s="8"/>
      <c r="AZ1025" s="8"/>
    </row>
    <row r="1026" spans="21:52" ht="16.899999999999999">
      <c r="U1026" s="8"/>
      <c r="W1026" s="10"/>
      <c r="X1026" s="10"/>
      <c r="Z1026" s="13"/>
      <c r="AA1026" s="13"/>
      <c r="AB1026" s="13"/>
      <c r="AC1026" s="9"/>
      <c r="AD1026" s="9"/>
      <c r="AE1026" s="11"/>
      <c r="AF1026" s="10"/>
      <c r="AG1026" s="11"/>
      <c r="AH1026" s="10"/>
      <c r="AI1026" s="11"/>
      <c r="AJ1026" s="10"/>
      <c r="AK1026" s="10"/>
      <c r="AL1026" s="10"/>
      <c r="AM1026" s="8"/>
      <c r="AN1026" s="8"/>
      <c r="AO1026" s="9"/>
      <c r="AP1026" s="9"/>
      <c r="AQ1026" s="9"/>
      <c r="AR1026" s="8"/>
      <c r="AS1026" s="8"/>
      <c r="AT1026" s="8"/>
      <c r="AU1026" s="8"/>
      <c r="AV1026" s="8"/>
      <c r="AW1026" s="8"/>
      <c r="AX1026" s="8"/>
      <c r="AY1026" s="8"/>
      <c r="AZ1026" s="8"/>
    </row>
    <row r="1027" spans="21:52" ht="16.899999999999999">
      <c r="U1027" s="8"/>
      <c r="W1027" s="10"/>
      <c r="X1027" s="10"/>
      <c r="Z1027" s="13"/>
      <c r="AA1027" s="13"/>
      <c r="AB1027" s="13"/>
      <c r="AC1027" s="9"/>
      <c r="AD1027" s="9"/>
      <c r="AE1027" s="11"/>
      <c r="AF1027" s="10"/>
      <c r="AG1027" s="11"/>
      <c r="AH1027" s="10"/>
      <c r="AI1027" s="11"/>
      <c r="AJ1027" s="10"/>
      <c r="AK1027" s="10"/>
      <c r="AL1027" s="10"/>
      <c r="AM1027" s="8"/>
      <c r="AN1027" s="8"/>
      <c r="AO1027" s="9"/>
      <c r="AP1027" s="9"/>
      <c r="AQ1027" s="9"/>
      <c r="AR1027" s="8"/>
      <c r="AS1027" s="8"/>
      <c r="AT1027" s="8"/>
      <c r="AU1027" s="8"/>
      <c r="AV1027" s="8"/>
      <c r="AW1027" s="8"/>
      <c r="AX1027" s="8"/>
      <c r="AY1027" s="8"/>
      <c r="AZ1027" s="8"/>
    </row>
    <row r="1028" spans="21:52" ht="16.899999999999999">
      <c r="U1028" s="8"/>
      <c r="W1028" s="10"/>
      <c r="X1028" s="10"/>
      <c r="Z1028" s="13"/>
      <c r="AA1028" s="13"/>
      <c r="AB1028" s="13"/>
      <c r="AC1028" s="9"/>
      <c r="AD1028" s="9"/>
      <c r="AE1028" s="11"/>
      <c r="AF1028" s="10"/>
      <c r="AG1028" s="11"/>
      <c r="AH1028" s="10"/>
      <c r="AI1028" s="11"/>
      <c r="AJ1028" s="10"/>
      <c r="AK1028" s="10"/>
      <c r="AL1028" s="10"/>
      <c r="AM1028" s="8"/>
      <c r="AN1028" s="8"/>
      <c r="AO1028" s="9"/>
      <c r="AP1028" s="9"/>
      <c r="AQ1028" s="9"/>
      <c r="AR1028" s="8"/>
      <c r="AS1028" s="8"/>
      <c r="AT1028" s="8"/>
      <c r="AU1028" s="8"/>
      <c r="AV1028" s="8"/>
      <c r="AW1028" s="8"/>
      <c r="AX1028" s="8"/>
      <c r="AY1028" s="8"/>
      <c r="AZ1028" s="8"/>
    </row>
    <row r="1029" spans="21:52" ht="16.899999999999999">
      <c r="U1029" s="8"/>
      <c r="W1029" s="10"/>
      <c r="X1029" s="10"/>
      <c r="Z1029" s="13"/>
      <c r="AA1029" s="13"/>
      <c r="AB1029" s="13"/>
      <c r="AC1029" s="9"/>
      <c r="AD1029" s="9"/>
      <c r="AE1029" s="11"/>
      <c r="AF1029" s="10"/>
      <c r="AG1029" s="11"/>
      <c r="AH1029" s="10"/>
      <c r="AI1029" s="11"/>
      <c r="AJ1029" s="10"/>
      <c r="AK1029" s="10"/>
      <c r="AL1029" s="10"/>
      <c r="AM1029" s="8"/>
      <c r="AN1029" s="8"/>
      <c r="AO1029" s="9"/>
      <c r="AP1029" s="9"/>
      <c r="AQ1029" s="9"/>
      <c r="AR1029" s="8"/>
      <c r="AS1029" s="8"/>
      <c r="AT1029" s="8"/>
      <c r="AU1029" s="8"/>
      <c r="AV1029" s="8"/>
      <c r="AW1029" s="8"/>
      <c r="AX1029" s="8"/>
      <c r="AY1029" s="8"/>
      <c r="AZ1029" s="8"/>
    </row>
    <row r="1030" spans="21:52" ht="16.899999999999999">
      <c r="U1030" s="8"/>
      <c r="W1030" s="10"/>
      <c r="X1030" s="10"/>
      <c r="Z1030" s="13"/>
      <c r="AA1030" s="13"/>
      <c r="AB1030" s="13"/>
      <c r="AC1030" s="9"/>
      <c r="AD1030" s="9"/>
      <c r="AE1030" s="11"/>
      <c r="AF1030" s="10"/>
      <c r="AG1030" s="11"/>
      <c r="AH1030" s="10"/>
      <c r="AI1030" s="11"/>
      <c r="AJ1030" s="10"/>
      <c r="AK1030" s="10"/>
      <c r="AL1030" s="10"/>
      <c r="AM1030" s="8"/>
      <c r="AN1030" s="8"/>
      <c r="AO1030" s="9"/>
      <c r="AP1030" s="9"/>
      <c r="AQ1030" s="9"/>
      <c r="AR1030" s="8"/>
      <c r="AS1030" s="8"/>
      <c r="AT1030" s="8"/>
      <c r="AU1030" s="8"/>
      <c r="AV1030" s="8"/>
      <c r="AW1030" s="8"/>
      <c r="AX1030" s="8"/>
      <c r="AY1030" s="8"/>
      <c r="AZ1030" s="8"/>
    </row>
    <row r="1031" spans="21:52" ht="16.899999999999999">
      <c r="U1031" s="8"/>
      <c r="W1031" s="10"/>
      <c r="X1031" s="10"/>
      <c r="Z1031" s="13"/>
      <c r="AA1031" s="13"/>
      <c r="AB1031" s="13"/>
      <c r="AC1031" s="9"/>
      <c r="AD1031" s="9"/>
      <c r="AE1031" s="11"/>
      <c r="AF1031" s="10"/>
      <c r="AG1031" s="11"/>
      <c r="AH1031" s="10"/>
      <c r="AI1031" s="11"/>
      <c r="AJ1031" s="10"/>
      <c r="AK1031" s="10"/>
      <c r="AL1031" s="10"/>
      <c r="AM1031" s="8"/>
      <c r="AN1031" s="8"/>
      <c r="AO1031" s="9"/>
      <c r="AP1031" s="9"/>
      <c r="AQ1031" s="9"/>
      <c r="AR1031" s="8"/>
      <c r="AS1031" s="8"/>
      <c r="AT1031" s="8"/>
      <c r="AU1031" s="8"/>
      <c r="AV1031" s="8"/>
      <c r="AW1031" s="8"/>
      <c r="AX1031" s="8"/>
      <c r="AY1031" s="8"/>
      <c r="AZ1031" s="8"/>
    </row>
    <row r="1032" spans="21:52" ht="16.899999999999999">
      <c r="U1032" s="8"/>
      <c r="W1032" s="10"/>
      <c r="X1032" s="10"/>
      <c r="Z1032" s="13"/>
      <c r="AA1032" s="13"/>
      <c r="AB1032" s="13"/>
      <c r="AC1032" s="9"/>
      <c r="AD1032" s="9"/>
      <c r="AE1032" s="11"/>
      <c r="AF1032" s="10"/>
      <c r="AG1032" s="11"/>
      <c r="AH1032" s="10"/>
      <c r="AI1032" s="11"/>
      <c r="AJ1032" s="10"/>
      <c r="AK1032" s="10"/>
      <c r="AL1032" s="10"/>
      <c r="AM1032" s="8"/>
      <c r="AN1032" s="8"/>
      <c r="AO1032" s="9"/>
      <c r="AP1032" s="9"/>
      <c r="AQ1032" s="9"/>
      <c r="AR1032" s="8"/>
      <c r="AS1032" s="8"/>
      <c r="AT1032" s="8"/>
      <c r="AU1032" s="8"/>
      <c r="AV1032" s="8"/>
      <c r="AW1032" s="8"/>
      <c r="AX1032" s="8"/>
      <c r="AY1032" s="8"/>
      <c r="AZ1032" s="8"/>
    </row>
    <row r="1033" spans="21:52" ht="16.899999999999999">
      <c r="U1033" s="8"/>
      <c r="W1033" s="10"/>
      <c r="X1033" s="10"/>
      <c r="Z1033" s="13"/>
      <c r="AA1033" s="13"/>
      <c r="AB1033" s="13"/>
      <c r="AC1033" s="9"/>
      <c r="AD1033" s="9"/>
      <c r="AE1033" s="11"/>
      <c r="AF1033" s="10"/>
      <c r="AG1033" s="11"/>
      <c r="AH1033" s="10"/>
      <c r="AI1033" s="11"/>
      <c r="AJ1033" s="10"/>
      <c r="AK1033" s="10"/>
      <c r="AL1033" s="10"/>
      <c r="AM1033" s="8"/>
      <c r="AN1033" s="8"/>
      <c r="AO1033" s="9"/>
      <c r="AP1033" s="9"/>
      <c r="AQ1033" s="9"/>
      <c r="AR1033" s="8"/>
      <c r="AS1033" s="8"/>
      <c r="AT1033" s="8"/>
      <c r="AU1033" s="8"/>
      <c r="AV1033" s="8"/>
      <c r="AW1033" s="8"/>
      <c r="AX1033" s="8"/>
      <c r="AY1033" s="8"/>
      <c r="AZ1033" s="8"/>
    </row>
    <row r="1034" spans="21:52" ht="16.899999999999999">
      <c r="U1034" s="8"/>
      <c r="W1034" s="10"/>
      <c r="X1034" s="10"/>
      <c r="Z1034" s="13"/>
      <c r="AA1034" s="13"/>
      <c r="AB1034" s="13"/>
      <c r="AC1034" s="9"/>
      <c r="AD1034" s="9"/>
      <c r="AE1034" s="11"/>
      <c r="AF1034" s="10"/>
      <c r="AG1034" s="11"/>
      <c r="AH1034" s="10"/>
      <c r="AI1034" s="11"/>
      <c r="AJ1034" s="10"/>
      <c r="AK1034" s="10"/>
      <c r="AL1034" s="10"/>
      <c r="AM1034" s="8"/>
      <c r="AN1034" s="8"/>
      <c r="AO1034" s="9"/>
      <c r="AP1034" s="9"/>
      <c r="AQ1034" s="9"/>
      <c r="AR1034" s="8"/>
      <c r="AS1034" s="8"/>
      <c r="AT1034" s="8"/>
      <c r="AU1034" s="8"/>
      <c r="AV1034" s="8"/>
      <c r="AW1034" s="8"/>
      <c r="AX1034" s="8"/>
      <c r="AY1034" s="8"/>
      <c r="AZ1034" s="8"/>
    </row>
    <row r="1035" spans="21:52" ht="16.899999999999999">
      <c r="U1035" s="8"/>
      <c r="W1035" s="10"/>
      <c r="X1035" s="10"/>
      <c r="Z1035" s="13"/>
      <c r="AA1035" s="13"/>
      <c r="AB1035" s="13"/>
      <c r="AC1035" s="9"/>
      <c r="AD1035" s="9"/>
      <c r="AE1035" s="11"/>
      <c r="AF1035" s="10"/>
      <c r="AG1035" s="11"/>
      <c r="AH1035" s="10"/>
      <c r="AI1035" s="11"/>
      <c r="AJ1035" s="10"/>
      <c r="AK1035" s="10"/>
      <c r="AL1035" s="10"/>
      <c r="AM1035" s="8"/>
      <c r="AN1035" s="8"/>
      <c r="AO1035" s="9"/>
      <c r="AP1035" s="9"/>
      <c r="AQ1035" s="9"/>
      <c r="AR1035" s="8"/>
      <c r="AS1035" s="8"/>
      <c r="AT1035" s="8"/>
      <c r="AU1035" s="8"/>
      <c r="AV1035" s="8"/>
      <c r="AW1035" s="8"/>
      <c r="AX1035" s="8"/>
      <c r="AY1035" s="8"/>
      <c r="AZ1035" s="8"/>
    </row>
    <row r="1036" spans="21:52" ht="16.899999999999999">
      <c r="U1036" s="8"/>
      <c r="W1036" s="10"/>
      <c r="X1036" s="10"/>
      <c r="Z1036" s="13"/>
      <c r="AA1036" s="13"/>
      <c r="AB1036" s="13"/>
      <c r="AC1036" s="9"/>
      <c r="AD1036" s="9"/>
      <c r="AE1036" s="11"/>
      <c r="AF1036" s="10"/>
      <c r="AG1036" s="11"/>
      <c r="AH1036" s="10"/>
      <c r="AI1036" s="11"/>
      <c r="AJ1036" s="10"/>
      <c r="AK1036" s="10"/>
      <c r="AL1036" s="10"/>
      <c r="AM1036" s="8"/>
      <c r="AN1036" s="8"/>
      <c r="AO1036" s="9"/>
      <c r="AP1036" s="9"/>
      <c r="AQ1036" s="9"/>
      <c r="AR1036" s="8"/>
      <c r="AS1036" s="8"/>
      <c r="AT1036" s="8"/>
      <c r="AU1036" s="8"/>
      <c r="AV1036" s="8"/>
      <c r="AW1036" s="8"/>
      <c r="AX1036" s="8"/>
      <c r="AY1036" s="8"/>
      <c r="AZ1036" s="8"/>
    </row>
    <row r="1037" spans="21:52" ht="16.899999999999999">
      <c r="U1037" s="8"/>
      <c r="W1037" s="10"/>
      <c r="X1037" s="10"/>
      <c r="Z1037" s="13"/>
      <c r="AA1037" s="13"/>
      <c r="AB1037" s="13"/>
      <c r="AC1037" s="9"/>
      <c r="AD1037" s="9"/>
      <c r="AE1037" s="11"/>
      <c r="AF1037" s="10"/>
      <c r="AG1037" s="11"/>
      <c r="AH1037" s="10"/>
      <c r="AI1037" s="11"/>
      <c r="AJ1037" s="10"/>
      <c r="AK1037" s="10"/>
      <c r="AL1037" s="10"/>
      <c r="AM1037" s="8"/>
      <c r="AN1037" s="8"/>
      <c r="AO1037" s="9"/>
      <c r="AP1037" s="9"/>
      <c r="AQ1037" s="9"/>
      <c r="AR1037" s="8"/>
      <c r="AS1037" s="8"/>
      <c r="AT1037" s="8"/>
      <c r="AU1037" s="8"/>
      <c r="AV1037" s="8"/>
      <c r="AW1037" s="8"/>
      <c r="AX1037" s="8"/>
      <c r="AY1037" s="8"/>
      <c r="AZ1037" s="8"/>
    </row>
    <row r="1038" spans="21:52" ht="16.899999999999999">
      <c r="U1038" s="8"/>
      <c r="W1038" s="10"/>
      <c r="X1038" s="10"/>
      <c r="Z1038" s="13"/>
      <c r="AA1038" s="13"/>
      <c r="AB1038" s="13"/>
      <c r="AC1038" s="9"/>
      <c r="AD1038" s="9"/>
      <c r="AE1038" s="11"/>
      <c r="AF1038" s="10"/>
      <c r="AG1038" s="11"/>
      <c r="AH1038" s="10"/>
      <c r="AI1038" s="11"/>
      <c r="AJ1038" s="10"/>
      <c r="AK1038" s="10"/>
      <c r="AL1038" s="10"/>
      <c r="AM1038" s="8"/>
      <c r="AN1038" s="8"/>
      <c r="AO1038" s="9"/>
      <c r="AP1038" s="9"/>
      <c r="AQ1038" s="9"/>
      <c r="AR1038" s="8"/>
      <c r="AS1038" s="8"/>
      <c r="AT1038" s="8"/>
      <c r="AU1038" s="8"/>
      <c r="AV1038" s="8"/>
      <c r="AW1038" s="8"/>
      <c r="AX1038" s="8"/>
      <c r="AY1038" s="8"/>
      <c r="AZ1038" s="8"/>
    </row>
    <row r="1039" spans="21:52" ht="16.899999999999999">
      <c r="U1039" s="8"/>
      <c r="W1039" s="10"/>
      <c r="X1039" s="10"/>
      <c r="Z1039" s="13"/>
      <c r="AA1039" s="13"/>
      <c r="AB1039" s="13"/>
      <c r="AC1039" s="9"/>
      <c r="AD1039" s="9"/>
      <c r="AE1039" s="11"/>
      <c r="AF1039" s="10"/>
      <c r="AG1039" s="11"/>
      <c r="AH1039" s="10"/>
      <c r="AI1039" s="11"/>
      <c r="AJ1039" s="10"/>
      <c r="AK1039" s="10"/>
      <c r="AL1039" s="10"/>
      <c r="AM1039" s="8"/>
      <c r="AN1039" s="8"/>
      <c r="AO1039" s="9"/>
      <c r="AP1039" s="9"/>
      <c r="AQ1039" s="9"/>
      <c r="AR1039" s="8"/>
      <c r="AS1039" s="8"/>
      <c r="AT1039" s="8"/>
      <c r="AU1039" s="8"/>
      <c r="AV1039" s="8"/>
      <c r="AW1039" s="8"/>
      <c r="AX1039" s="8"/>
      <c r="AY1039" s="8"/>
      <c r="AZ1039" s="8"/>
    </row>
    <row r="1040" spans="21:52" ht="16.899999999999999">
      <c r="U1040" s="8"/>
      <c r="W1040" s="10"/>
      <c r="X1040" s="10"/>
      <c r="Z1040" s="13"/>
      <c r="AA1040" s="13"/>
      <c r="AB1040" s="13"/>
      <c r="AC1040" s="9"/>
      <c r="AD1040" s="9"/>
      <c r="AE1040" s="11"/>
      <c r="AF1040" s="10"/>
      <c r="AG1040" s="11"/>
      <c r="AH1040" s="10"/>
      <c r="AI1040" s="11"/>
      <c r="AJ1040" s="10"/>
      <c r="AK1040" s="10"/>
      <c r="AL1040" s="10"/>
      <c r="AM1040" s="8"/>
      <c r="AN1040" s="8"/>
      <c r="AO1040" s="9"/>
      <c r="AP1040" s="9"/>
      <c r="AQ1040" s="9"/>
      <c r="AR1040" s="8"/>
      <c r="AS1040" s="8"/>
      <c r="AT1040" s="8"/>
      <c r="AU1040" s="8"/>
      <c r="AV1040" s="8"/>
      <c r="AW1040" s="8"/>
      <c r="AX1040" s="8"/>
      <c r="AY1040" s="8"/>
      <c r="AZ1040" s="8"/>
    </row>
    <row r="1041" spans="21:52" ht="16.899999999999999">
      <c r="U1041" s="8"/>
      <c r="W1041" s="10"/>
      <c r="X1041" s="10"/>
      <c r="Z1041" s="13"/>
      <c r="AA1041" s="13"/>
      <c r="AB1041" s="13"/>
      <c r="AC1041" s="9"/>
      <c r="AD1041" s="9"/>
      <c r="AE1041" s="11"/>
      <c r="AF1041" s="10"/>
      <c r="AG1041" s="11"/>
      <c r="AH1041" s="10"/>
      <c r="AI1041" s="11"/>
      <c r="AJ1041" s="10"/>
      <c r="AK1041" s="10"/>
      <c r="AL1041" s="10"/>
      <c r="AM1041" s="8"/>
      <c r="AN1041" s="8"/>
      <c r="AO1041" s="9"/>
      <c r="AP1041" s="9"/>
      <c r="AQ1041" s="9"/>
      <c r="AR1041" s="8"/>
      <c r="AS1041" s="8"/>
      <c r="AT1041" s="8"/>
      <c r="AU1041" s="8"/>
      <c r="AV1041" s="8"/>
      <c r="AW1041" s="8"/>
      <c r="AX1041" s="8"/>
      <c r="AY1041" s="8"/>
      <c r="AZ1041" s="8"/>
    </row>
    <row r="1042" spans="21:52" ht="16.899999999999999">
      <c r="U1042" s="8"/>
      <c r="W1042" s="10"/>
      <c r="X1042" s="10"/>
      <c r="Z1042" s="13"/>
      <c r="AA1042" s="13"/>
      <c r="AB1042" s="13"/>
      <c r="AC1042" s="9"/>
      <c r="AD1042" s="9"/>
      <c r="AE1042" s="11"/>
      <c r="AF1042" s="10"/>
      <c r="AG1042" s="11"/>
      <c r="AH1042" s="10"/>
      <c r="AI1042" s="11"/>
      <c r="AJ1042" s="10"/>
      <c r="AK1042" s="10"/>
      <c r="AL1042" s="10"/>
      <c r="AM1042" s="8"/>
      <c r="AN1042" s="8"/>
      <c r="AO1042" s="9"/>
      <c r="AP1042" s="9"/>
      <c r="AQ1042" s="9"/>
      <c r="AR1042" s="8"/>
      <c r="AS1042" s="8"/>
      <c r="AT1042" s="8"/>
      <c r="AU1042" s="8"/>
      <c r="AV1042" s="8"/>
      <c r="AW1042" s="8"/>
      <c r="AX1042" s="8"/>
      <c r="AY1042" s="8"/>
      <c r="AZ1042" s="8"/>
    </row>
    <row r="1043" spans="21:52" ht="16.899999999999999">
      <c r="U1043" s="8"/>
      <c r="W1043" s="10"/>
      <c r="X1043" s="10"/>
      <c r="Z1043" s="13"/>
      <c r="AA1043" s="13"/>
      <c r="AB1043" s="13"/>
      <c r="AC1043" s="9"/>
      <c r="AD1043" s="9"/>
      <c r="AE1043" s="11"/>
      <c r="AF1043" s="10"/>
      <c r="AG1043" s="11"/>
      <c r="AH1043" s="10"/>
      <c r="AI1043" s="11"/>
      <c r="AJ1043" s="10"/>
      <c r="AK1043" s="10"/>
      <c r="AL1043" s="10"/>
      <c r="AM1043" s="8"/>
      <c r="AN1043" s="8"/>
      <c r="AO1043" s="9"/>
      <c r="AP1043" s="9"/>
      <c r="AQ1043" s="9"/>
      <c r="AR1043" s="8"/>
      <c r="AS1043" s="8"/>
      <c r="AT1043" s="8"/>
      <c r="AU1043" s="8"/>
      <c r="AV1043" s="8"/>
      <c r="AW1043" s="8"/>
      <c r="AX1043" s="8"/>
      <c r="AY1043" s="8"/>
      <c r="AZ1043" s="8"/>
    </row>
    <row r="1044" spans="21:52" ht="16.899999999999999">
      <c r="U1044" s="8"/>
      <c r="W1044" s="10"/>
      <c r="X1044" s="10"/>
      <c r="Z1044" s="13"/>
      <c r="AA1044" s="13"/>
      <c r="AB1044" s="13"/>
      <c r="AC1044" s="9"/>
      <c r="AD1044" s="9"/>
      <c r="AE1044" s="11"/>
      <c r="AF1044" s="10"/>
      <c r="AG1044" s="11"/>
      <c r="AH1044" s="10"/>
      <c r="AI1044" s="11"/>
      <c r="AJ1044" s="10"/>
      <c r="AK1044" s="10"/>
      <c r="AL1044" s="10"/>
      <c r="AM1044" s="8"/>
      <c r="AN1044" s="8"/>
      <c r="AO1044" s="9"/>
      <c r="AP1044" s="9"/>
      <c r="AQ1044" s="9"/>
      <c r="AR1044" s="8"/>
      <c r="AS1044" s="8"/>
      <c r="AT1044" s="8"/>
      <c r="AU1044" s="8"/>
      <c r="AV1044" s="8"/>
      <c r="AW1044" s="8"/>
      <c r="AX1044" s="8"/>
      <c r="AY1044" s="8"/>
      <c r="AZ1044" s="8"/>
    </row>
    <row r="1045" spans="21:52" ht="16.899999999999999">
      <c r="U1045" s="8"/>
      <c r="W1045" s="10"/>
      <c r="X1045" s="10"/>
      <c r="Z1045" s="13"/>
      <c r="AA1045" s="13"/>
      <c r="AB1045" s="13"/>
      <c r="AC1045" s="9"/>
      <c r="AD1045" s="9"/>
      <c r="AE1045" s="11"/>
      <c r="AF1045" s="10"/>
      <c r="AG1045" s="11"/>
      <c r="AH1045" s="10"/>
      <c r="AI1045" s="11"/>
      <c r="AJ1045" s="10"/>
      <c r="AK1045" s="10"/>
      <c r="AL1045" s="10"/>
      <c r="AM1045" s="8"/>
      <c r="AN1045" s="8"/>
      <c r="AO1045" s="9"/>
      <c r="AP1045" s="9"/>
      <c r="AQ1045" s="9"/>
      <c r="AR1045" s="8"/>
      <c r="AS1045" s="8"/>
      <c r="AT1045" s="8"/>
      <c r="AU1045" s="8"/>
      <c r="AV1045" s="8"/>
      <c r="AW1045" s="8"/>
      <c r="AX1045" s="8"/>
      <c r="AY1045" s="8"/>
      <c r="AZ1045" s="8"/>
    </row>
    <row r="1046" spans="21:52" ht="16.899999999999999">
      <c r="U1046" s="8"/>
      <c r="W1046" s="10"/>
      <c r="X1046" s="10"/>
      <c r="Z1046" s="13"/>
      <c r="AA1046" s="13"/>
      <c r="AB1046" s="13"/>
      <c r="AC1046" s="9"/>
      <c r="AD1046" s="9"/>
      <c r="AE1046" s="11"/>
      <c r="AF1046" s="10"/>
      <c r="AG1046" s="11"/>
      <c r="AH1046" s="10"/>
      <c r="AI1046" s="11"/>
      <c r="AJ1046" s="10"/>
      <c r="AK1046" s="10"/>
      <c r="AL1046" s="10"/>
      <c r="AM1046" s="8"/>
      <c r="AN1046" s="8"/>
      <c r="AO1046" s="9"/>
      <c r="AP1046" s="9"/>
      <c r="AQ1046" s="9"/>
      <c r="AR1046" s="8"/>
      <c r="AS1046" s="8"/>
      <c r="AT1046" s="8"/>
      <c r="AU1046" s="8"/>
      <c r="AV1046" s="8"/>
      <c r="AW1046" s="8"/>
      <c r="AX1046" s="8"/>
      <c r="AY1046" s="8"/>
      <c r="AZ1046" s="8"/>
    </row>
    <row r="1047" spans="21:52" ht="16.899999999999999">
      <c r="U1047" s="8"/>
      <c r="W1047" s="10"/>
      <c r="X1047" s="10"/>
      <c r="Z1047" s="13"/>
      <c r="AA1047" s="13"/>
      <c r="AB1047" s="13"/>
      <c r="AC1047" s="9"/>
      <c r="AD1047" s="9"/>
      <c r="AE1047" s="11"/>
      <c r="AF1047" s="10"/>
      <c r="AG1047" s="11"/>
      <c r="AH1047" s="10"/>
      <c r="AI1047" s="11"/>
      <c r="AJ1047" s="10"/>
      <c r="AK1047" s="10"/>
      <c r="AL1047" s="10"/>
      <c r="AM1047" s="8"/>
      <c r="AN1047" s="8"/>
      <c r="AO1047" s="9"/>
      <c r="AP1047" s="9"/>
      <c r="AQ1047" s="9"/>
      <c r="AR1047" s="8"/>
      <c r="AS1047" s="8"/>
      <c r="AT1047" s="8"/>
      <c r="AU1047" s="8"/>
      <c r="AV1047" s="8"/>
      <c r="AW1047" s="8"/>
      <c r="AX1047" s="8"/>
      <c r="AY1047" s="8"/>
      <c r="AZ1047" s="8"/>
    </row>
    <row r="1048" spans="21:52" ht="16.899999999999999">
      <c r="U1048" s="8"/>
      <c r="W1048" s="10"/>
      <c r="X1048" s="10"/>
      <c r="Z1048" s="13"/>
      <c r="AA1048" s="13"/>
      <c r="AB1048" s="13"/>
      <c r="AC1048" s="9"/>
      <c r="AD1048" s="9"/>
      <c r="AE1048" s="11"/>
      <c r="AF1048" s="10"/>
      <c r="AG1048" s="11"/>
      <c r="AH1048" s="10"/>
      <c r="AI1048" s="11"/>
      <c r="AJ1048" s="10"/>
      <c r="AK1048" s="10"/>
      <c r="AL1048" s="10"/>
      <c r="AM1048" s="8"/>
      <c r="AN1048" s="8"/>
      <c r="AO1048" s="9"/>
      <c r="AP1048" s="9"/>
      <c r="AQ1048" s="9"/>
      <c r="AR1048" s="8"/>
      <c r="AS1048" s="8"/>
      <c r="AT1048" s="8"/>
      <c r="AU1048" s="8"/>
      <c r="AV1048" s="8"/>
      <c r="AW1048" s="8"/>
      <c r="AX1048" s="8"/>
      <c r="AY1048" s="8"/>
      <c r="AZ1048" s="8"/>
    </row>
    <row r="1049" spans="21:52" ht="16.899999999999999">
      <c r="U1049" s="8"/>
      <c r="W1049" s="10"/>
      <c r="X1049" s="10"/>
      <c r="Z1049" s="13"/>
      <c r="AA1049" s="13"/>
      <c r="AB1049" s="13"/>
      <c r="AC1049" s="9"/>
      <c r="AD1049" s="9"/>
      <c r="AE1049" s="11"/>
      <c r="AF1049" s="10"/>
      <c r="AG1049" s="11"/>
      <c r="AH1049" s="10"/>
      <c r="AI1049" s="11"/>
      <c r="AJ1049" s="10"/>
      <c r="AK1049" s="10"/>
      <c r="AL1049" s="10"/>
      <c r="AM1049" s="8"/>
      <c r="AN1049" s="8"/>
      <c r="AO1049" s="9"/>
      <c r="AP1049" s="9"/>
      <c r="AQ1049" s="9"/>
      <c r="AR1049" s="8"/>
      <c r="AS1049" s="8"/>
      <c r="AT1049" s="8"/>
      <c r="AU1049" s="8"/>
      <c r="AV1049" s="8"/>
      <c r="AW1049" s="8"/>
      <c r="AX1049" s="8"/>
      <c r="AY1049" s="8"/>
      <c r="AZ1049" s="8"/>
    </row>
    <row r="1050" spans="21:52" ht="16.899999999999999">
      <c r="U1050" s="8"/>
      <c r="W1050" s="10"/>
      <c r="X1050" s="10"/>
      <c r="Z1050" s="13"/>
      <c r="AA1050" s="13"/>
      <c r="AB1050" s="13"/>
      <c r="AC1050" s="9"/>
      <c r="AD1050" s="9"/>
      <c r="AE1050" s="11"/>
      <c r="AF1050" s="10"/>
      <c r="AG1050" s="11"/>
      <c r="AH1050" s="10"/>
      <c r="AI1050" s="11"/>
      <c r="AJ1050" s="10"/>
      <c r="AK1050" s="10"/>
      <c r="AL1050" s="10"/>
      <c r="AM1050" s="8"/>
      <c r="AN1050" s="8"/>
      <c r="AO1050" s="9"/>
      <c r="AP1050" s="9"/>
      <c r="AQ1050" s="9"/>
      <c r="AR1050" s="8"/>
      <c r="AS1050" s="8"/>
      <c r="AT1050" s="8"/>
      <c r="AU1050" s="8"/>
      <c r="AV1050" s="8"/>
      <c r="AW1050" s="8"/>
      <c r="AX1050" s="8"/>
      <c r="AY1050" s="8"/>
      <c r="AZ1050" s="8"/>
    </row>
    <row r="1051" spans="21:52" ht="16.899999999999999">
      <c r="U1051" s="8"/>
      <c r="W1051" s="10"/>
      <c r="X1051" s="10"/>
      <c r="Z1051" s="13"/>
      <c r="AA1051" s="13"/>
      <c r="AB1051" s="13"/>
      <c r="AC1051" s="9"/>
      <c r="AD1051" s="9"/>
      <c r="AE1051" s="11"/>
      <c r="AF1051" s="10"/>
      <c r="AG1051" s="11"/>
      <c r="AH1051" s="10"/>
      <c r="AI1051" s="11"/>
      <c r="AJ1051" s="10"/>
      <c r="AK1051" s="10"/>
      <c r="AL1051" s="10"/>
      <c r="AM1051" s="8"/>
      <c r="AN1051" s="8"/>
      <c r="AO1051" s="9"/>
      <c r="AP1051" s="9"/>
      <c r="AQ1051" s="9"/>
      <c r="AR1051" s="8"/>
      <c r="AS1051" s="8"/>
      <c r="AT1051" s="8"/>
      <c r="AU1051" s="8"/>
      <c r="AV1051" s="8"/>
      <c r="AW1051" s="8"/>
      <c r="AX1051" s="8"/>
      <c r="AY1051" s="8"/>
      <c r="AZ1051" s="8"/>
    </row>
    <row r="1052" spans="21:52" ht="16.899999999999999">
      <c r="U1052" s="8"/>
      <c r="W1052" s="10"/>
      <c r="X1052" s="10"/>
      <c r="Z1052" s="13"/>
      <c r="AA1052" s="13"/>
      <c r="AB1052" s="13"/>
      <c r="AC1052" s="9"/>
      <c r="AD1052" s="9"/>
      <c r="AE1052" s="11"/>
      <c r="AF1052" s="10"/>
      <c r="AG1052" s="11"/>
      <c r="AH1052" s="10"/>
      <c r="AI1052" s="11"/>
      <c r="AJ1052" s="10"/>
      <c r="AK1052" s="10"/>
      <c r="AL1052" s="10"/>
      <c r="AM1052" s="8"/>
      <c r="AN1052" s="8"/>
      <c r="AO1052" s="9"/>
      <c r="AP1052" s="9"/>
      <c r="AQ1052" s="9"/>
      <c r="AR1052" s="8"/>
      <c r="AS1052" s="8"/>
      <c r="AT1052" s="8"/>
      <c r="AU1052" s="8"/>
      <c r="AV1052" s="8"/>
      <c r="AW1052" s="8"/>
      <c r="AX1052" s="8"/>
      <c r="AY1052" s="8"/>
      <c r="AZ1052" s="8"/>
    </row>
    <row r="1053" spans="21:52" ht="16.899999999999999">
      <c r="U1053" s="8"/>
      <c r="W1053" s="10"/>
      <c r="X1053" s="10"/>
      <c r="Z1053" s="13"/>
      <c r="AA1053" s="13"/>
      <c r="AB1053" s="13"/>
      <c r="AC1053" s="9"/>
      <c r="AD1053" s="9"/>
      <c r="AE1053" s="11"/>
      <c r="AF1053" s="10"/>
      <c r="AG1053" s="11"/>
      <c r="AH1053" s="10"/>
      <c r="AI1053" s="11"/>
      <c r="AJ1053" s="10"/>
      <c r="AK1053" s="10"/>
      <c r="AL1053" s="10"/>
      <c r="AM1053" s="8"/>
      <c r="AN1053" s="8"/>
      <c r="AO1053" s="9"/>
      <c r="AP1053" s="9"/>
      <c r="AQ1053" s="9"/>
      <c r="AR1053" s="8"/>
      <c r="AS1053" s="8"/>
      <c r="AT1053" s="8"/>
      <c r="AU1053" s="8"/>
      <c r="AV1053" s="8"/>
      <c r="AW1053" s="8"/>
      <c r="AX1053" s="8"/>
      <c r="AY1053" s="8"/>
      <c r="AZ1053" s="8"/>
    </row>
    <row r="1054" spans="21:52" ht="16.899999999999999">
      <c r="U1054" s="8"/>
      <c r="W1054" s="10"/>
      <c r="X1054" s="10"/>
      <c r="Z1054" s="13"/>
      <c r="AA1054" s="13"/>
      <c r="AB1054" s="13"/>
      <c r="AC1054" s="9"/>
      <c r="AD1054" s="9"/>
      <c r="AE1054" s="11"/>
      <c r="AF1054" s="10"/>
      <c r="AG1054" s="11"/>
      <c r="AH1054" s="10"/>
      <c r="AI1054" s="11"/>
      <c r="AJ1054" s="10"/>
      <c r="AK1054" s="10"/>
      <c r="AL1054" s="10"/>
      <c r="AM1054" s="8"/>
      <c r="AN1054" s="8"/>
      <c r="AO1054" s="9"/>
      <c r="AP1054" s="9"/>
      <c r="AQ1054" s="9"/>
      <c r="AR1054" s="8"/>
      <c r="AS1054" s="8"/>
      <c r="AT1054" s="8"/>
      <c r="AU1054" s="8"/>
      <c r="AV1054" s="8"/>
      <c r="AW1054" s="8"/>
      <c r="AX1054" s="8"/>
      <c r="AY1054" s="8"/>
      <c r="AZ1054" s="8"/>
    </row>
    <row r="1055" spans="21:52" ht="16.899999999999999">
      <c r="U1055" s="8"/>
      <c r="W1055" s="10"/>
      <c r="X1055" s="10"/>
      <c r="Z1055" s="13"/>
      <c r="AA1055" s="13"/>
      <c r="AB1055" s="13"/>
      <c r="AC1055" s="9"/>
      <c r="AD1055" s="9"/>
      <c r="AE1055" s="11"/>
      <c r="AF1055" s="10"/>
      <c r="AG1055" s="11"/>
      <c r="AH1055" s="10"/>
      <c r="AI1055" s="11"/>
      <c r="AJ1055" s="10"/>
      <c r="AK1055" s="10"/>
      <c r="AL1055" s="10"/>
      <c r="AM1055" s="8"/>
      <c r="AN1055" s="8"/>
      <c r="AO1055" s="9"/>
      <c r="AP1055" s="9"/>
      <c r="AQ1055" s="9"/>
      <c r="AR1055" s="8"/>
      <c r="AS1055" s="8"/>
      <c r="AT1055" s="8"/>
      <c r="AU1055" s="8"/>
      <c r="AV1055" s="8"/>
      <c r="AW1055" s="8"/>
      <c r="AX1055" s="8"/>
      <c r="AY1055" s="8"/>
      <c r="AZ1055" s="8"/>
    </row>
    <row r="1056" spans="21:52" ht="16.899999999999999">
      <c r="U1056" s="8"/>
      <c r="W1056" s="10"/>
      <c r="X1056" s="10"/>
      <c r="Z1056" s="13"/>
      <c r="AA1056" s="13"/>
      <c r="AB1056" s="13"/>
      <c r="AC1056" s="9"/>
      <c r="AD1056" s="9"/>
      <c r="AE1056" s="11"/>
      <c r="AF1056" s="10"/>
      <c r="AG1056" s="11"/>
      <c r="AH1056" s="10"/>
      <c r="AI1056" s="11"/>
      <c r="AJ1056" s="10"/>
      <c r="AK1056" s="10"/>
      <c r="AL1056" s="10"/>
      <c r="AM1056" s="8"/>
      <c r="AN1056" s="8"/>
      <c r="AO1056" s="9"/>
      <c r="AP1056" s="9"/>
      <c r="AQ1056" s="9"/>
      <c r="AR1056" s="8"/>
      <c r="AS1056" s="8"/>
      <c r="AT1056" s="8"/>
      <c r="AU1056" s="8"/>
      <c r="AV1056" s="8"/>
      <c r="AW1056" s="8"/>
      <c r="AX1056" s="8"/>
      <c r="AY1056" s="8"/>
      <c r="AZ1056" s="8"/>
    </row>
    <row r="1057" spans="21:52" ht="16.899999999999999">
      <c r="U1057" s="8"/>
      <c r="W1057" s="10"/>
      <c r="X1057" s="10"/>
      <c r="Z1057" s="13"/>
      <c r="AA1057" s="13"/>
      <c r="AB1057" s="13"/>
      <c r="AC1057" s="9"/>
      <c r="AD1057" s="9"/>
      <c r="AE1057" s="11"/>
      <c r="AF1057" s="10"/>
      <c r="AG1057" s="11"/>
      <c r="AH1057" s="10"/>
      <c r="AI1057" s="11"/>
      <c r="AJ1057" s="10"/>
      <c r="AK1057" s="10"/>
      <c r="AL1057" s="10"/>
      <c r="AM1057" s="8"/>
      <c r="AN1057" s="8"/>
      <c r="AO1057" s="9"/>
      <c r="AP1057" s="9"/>
      <c r="AQ1057" s="9"/>
      <c r="AR1057" s="8"/>
      <c r="AS1057" s="8"/>
      <c r="AT1057" s="8"/>
      <c r="AU1057" s="8"/>
      <c r="AV1057" s="8"/>
      <c r="AW1057" s="8"/>
      <c r="AX1057" s="8"/>
      <c r="AY1057" s="8"/>
      <c r="AZ1057" s="8"/>
    </row>
    <row r="1058" spans="21:52" ht="16.899999999999999">
      <c r="U1058" s="8"/>
      <c r="W1058" s="10"/>
      <c r="X1058" s="10"/>
      <c r="Z1058" s="13"/>
      <c r="AA1058" s="13"/>
      <c r="AB1058" s="13"/>
      <c r="AC1058" s="9"/>
      <c r="AD1058" s="9"/>
      <c r="AE1058" s="11"/>
      <c r="AF1058" s="10"/>
      <c r="AG1058" s="11"/>
      <c r="AH1058" s="10"/>
      <c r="AI1058" s="11"/>
      <c r="AJ1058" s="10"/>
      <c r="AK1058" s="10"/>
      <c r="AL1058" s="10"/>
      <c r="AM1058" s="8"/>
      <c r="AN1058" s="8"/>
      <c r="AO1058" s="9"/>
      <c r="AP1058" s="9"/>
      <c r="AQ1058" s="9"/>
      <c r="AR1058" s="8"/>
      <c r="AS1058" s="8"/>
      <c r="AT1058" s="8"/>
      <c r="AU1058" s="8"/>
      <c r="AV1058" s="8"/>
      <c r="AW1058" s="8"/>
      <c r="AX1058" s="8"/>
      <c r="AY1058" s="8"/>
      <c r="AZ1058" s="8"/>
    </row>
    <row r="1059" spans="21:52" ht="16.899999999999999">
      <c r="U1059" s="8"/>
      <c r="W1059" s="10"/>
      <c r="X1059" s="10"/>
      <c r="Z1059" s="13"/>
      <c r="AA1059" s="13"/>
      <c r="AB1059" s="13"/>
      <c r="AC1059" s="9"/>
      <c r="AD1059" s="9"/>
      <c r="AE1059" s="11"/>
      <c r="AF1059" s="10"/>
      <c r="AG1059" s="11"/>
      <c r="AH1059" s="10"/>
      <c r="AI1059" s="11"/>
      <c r="AJ1059" s="10"/>
      <c r="AK1059" s="10"/>
      <c r="AL1059" s="10"/>
      <c r="AM1059" s="8"/>
      <c r="AN1059" s="8"/>
      <c r="AO1059" s="9"/>
      <c r="AP1059" s="9"/>
      <c r="AQ1059" s="9"/>
      <c r="AR1059" s="8"/>
      <c r="AS1059" s="8"/>
      <c r="AT1059" s="8"/>
      <c r="AU1059" s="8"/>
      <c r="AV1059" s="8"/>
      <c r="AW1059" s="8"/>
      <c r="AX1059" s="8"/>
      <c r="AY1059" s="8"/>
      <c r="AZ1059" s="8"/>
    </row>
    <row r="1060" spans="21:52" ht="16.899999999999999">
      <c r="U1060" s="8"/>
      <c r="W1060" s="10"/>
      <c r="X1060" s="10"/>
      <c r="Z1060" s="13"/>
      <c r="AA1060" s="13"/>
      <c r="AB1060" s="13"/>
      <c r="AC1060" s="9"/>
      <c r="AD1060" s="9"/>
      <c r="AE1060" s="11"/>
      <c r="AF1060" s="10"/>
      <c r="AG1060" s="11"/>
      <c r="AH1060" s="10"/>
      <c r="AI1060" s="11"/>
      <c r="AJ1060" s="10"/>
      <c r="AK1060" s="10"/>
      <c r="AL1060" s="10"/>
      <c r="AM1060" s="8"/>
      <c r="AN1060" s="8"/>
      <c r="AO1060" s="9"/>
      <c r="AP1060" s="9"/>
      <c r="AQ1060" s="9"/>
      <c r="AR1060" s="8"/>
      <c r="AS1060" s="8"/>
      <c r="AT1060" s="8"/>
      <c r="AU1060" s="8"/>
      <c r="AV1060" s="8"/>
      <c r="AW1060" s="8"/>
      <c r="AX1060" s="8"/>
      <c r="AY1060" s="8"/>
      <c r="AZ1060" s="8"/>
    </row>
    <row r="1061" spans="21:52" ht="16.899999999999999">
      <c r="U1061" s="8"/>
      <c r="W1061" s="10"/>
      <c r="X1061" s="10"/>
      <c r="Z1061" s="13"/>
      <c r="AA1061" s="13"/>
      <c r="AB1061" s="13"/>
      <c r="AC1061" s="9"/>
      <c r="AD1061" s="9"/>
      <c r="AE1061" s="11"/>
      <c r="AF1061" s="10"/>
      <c r="AG1061" s="11"/>
      <c r="AH1061" s="10"/>
      <c r="AI1061" s="11"/>
      <c r="AJ1061" s="10"/>
      <c r="AK1061" s="10"/>
      <c r="AL1061" s="10"/>
      <c r="AM1061" s="8"/>
      <c r="AN1061" s="8"/>
      <c r="AO1061" s="9"/>
      <c r="AP1061" s="9"/>
      <c r="AQ1061" s="9"/>
      <c r="AR1061" s="8"/>
      <c r="AS1061" s="8"/>
      <c r="AT1061" s="8"/>
      <c r="AU1061" s="8"/>
      <c r="AV1061" s="8"/>
      <c r="AW1061" s="8"/>
      <c r="AX1061" s="8"/>
      <c r="AY1061" s="8"/>
      <c r="AZ1061" s="8"/>
    </row>
    <row r="1062" spans="21:52" ht="16.899999999999999">
      <c r="U1062" s="8"/>
      <c r="W1062" s="10"/>
      <c r="X1062" s="10"/>
      <c r="Z1062" s="13"/>
      <c r="AA1062" s="13"/>
      <c r="AB1062" s="13"/>
      <c r="AC1062" s="9"/>
      <c r="AD1062" s="9"/>
      <c r="AE1062" s="11"/>
      <c r="AF1062" s="10"/>
      <c r="AG1062" s="11"/>
      <c r="AH1062" s="10"/>
      <c r="AI1062" s="11"/>
      <c r="AJ1062" s="10"/>
      <c r="AK1062" s="10"/>
      <c r="AL1062" s="10"/>
      <c r="AM1062" s="8"/>
      <c r="AN1062" s="8"/>
      <c r="AO1062" s="9"/>
      <c r="AP1062" s="9"/>
      <c r="AQ1062" s="9"/>
      <c r="AR1062" s="8"/>
      <c r="AS1062" s="8"/>
      <c r="AT1062" s="8"/>
      <c r="AU1062" s="8"/>
      <c r="AV1062" s="8"/>
      <c r="AW1062" s="8"/>
      <c r="AX1062" s="8"/>
      <c r="AY1062" s="8"/>
      <c r="AZ1062" s="8"/>
    </row>
    <row r="1063" spans="21:52" ht="16.899999999999999">
      <c r="U1063" s="8"/>
      <c r="W1063" s="10"/>
      <c r="X1063" s="10"/>
      <c r="Z1063" s="13"/>
      <c r="AA1063" s="13"/>
      <c r="AB1063" s="13"/>
      <c r="AC1063" s="9"/>
      <c r="AD1063" s="9"/>
      <c r="AE1063" s="11"/>
      <c r="AF1063" s="10"/>
      <c r="AG1063" s="11"/>
      <c r="AH1063" s="10"/>
      <c r="AI1063" s="11"/>
      <c r="AJ1063" s="10"/>
      <c r="AK1063" s="10"/>
      <c r="AL1063" s="10"/>
      <c r="AM1063" s="8"/>
      <c r="AN1063" s="8"/>
      <c r="AO1063" s="9"/>
      <c r="AP1063" s="9"/>
      <c r="AQ1063" s="9"/>
      <c r="AR1063" s="8"/>
      <c r="AS1063" s="8"/>
      <c r="AT1063" s="8"/>
      <c r="AU1063" s="8"/>
      <c r="AV1063" s="8"/>
      <c r="AW1063" s="8"/>
      <c r="AX1063" s="8"/>
      <c r="AY1063" s="8"/>
      <c r="AZ1063" s="8"/>
    </row>
    <row r="1064" spans="21:52" ht="16.899999999999999">
      <c r="U1064" s="8"/>
      <c r="W1064" s="10"/>
      <c r="X1064" s="10"/>
      <c r="Z1064" s="13"/>
      <c r="AA1064" s="13"/>
      <c r="AB1064" s="13"/>
      <c r="AC1064" s="9"/>
      <c r="AD1064" s="9"/>
      <c r="AE1064" s="11"/>
      <c r="AF1064" s="10"/>
      <c r="AG1064" s="11"/>
      <c r="AH1064" s="10"/>
      <c r="AI1064" s="11"/>
      <c r="AJ1064" s="10"/>
      <c r="AK1064" s="10"/>
      <c r="AL1064" s="10"/>
      <c r="AM1064" s="8"/>
      <c r="AN1064" s="8"/>
      <c r="AO1064" s="9"/>
      <c r="AP1064" s="9"/>
      <c r="AQ1064" s="9"/>
      <c r="AR1064" s="8"/>
      <c r="AS1064" s="8"/>
      <c r="AT1064" s="8"/>
      <c r="AU1064" s="8"/>
      <c r="AV1064" s="8"/>
      <c r="AW1064" s="8"/>
      <c r="AX1064" s="8"/>
      <c r="AY1064" s="8"/>
      <c r="AZ1064" s="8"/>
    </row>
    <row r="1065" spans="21:52" ht="16.899999999999999">
      <c r="U1065" s="8"/>
      <c r="W1065" s="10"/>
      <c r="X1065" s="10"/>
      <c r="Z1065" s="13"/>
      <c r="AA1065" s="13"/>
      <c r="AB1065" s="13"/>
      <c r="AC1065" s="9"/>
      <c r="AD1065" s="9"/>
      <c r="AE1065" s="11"/>
      <c r="AF1065" s="10"/>
      <c r="AG1065" s="11"/>
      <c r="AH1065" s="10"/>
      <c r="AI1065" s="11"/>
      <c r="AJ1065" s="10"/>
      <c r="AK1065" s="10"/>
      <c r="AL1065" s="10"/>
      <c r="AM1065" s="8"/>
      <c r="AN1065" s="8"/>
      <c r="AO1065" s="9"/>
      <c r="AP1065" s="9"/>
      <c r="AQ1065" s="9"/>
      <c r="AR1065" s="8"/>
      <c r="AS1065" s="8"/>
      <c r="AT1065" s="8"/>
      <c r="AU1065" s="8"/>
      <c r="AV1065" s="8"/>
      <c r="AW1065" s="8"/>
      <c r="AX1065" s="8"/>
      <c r="AY1065" s="8"/>
      <c r="AZ1065" s="8"/>
    </row>
    <row r="1066" spans="21:52" ht="16.899999999999999">
      <c r="U1066" s="8"/>
      <c r="W1066" s="10"/>
      <c r="X1066" s="10"/>
      <c r="Z1066" s="13"/>
      <c r="AA1066" s="13"/>
      <c r="AB1066" s="13"/>
      <c r="AC1066" s="9"/>
      <c r="AD1066" s="9"/>
      <c r="AE1066" s="11"/>
      <c r="AF1066" s="10"/>
      <c r="AG1066" s="11"/>
      <c r="AH1066" s="10"/>
      <c r="AI1066" s="11"/>
      <c r="AJ1066" s="10"/>
      <c r="AK1066" s="10"/>
      <c r="AL1066" s="10"/>
      <c r="AM1066" s="8"/>
      <c r="AN1066" s="8"/>
      <c r="AO1066" s="9"/>
      <c r="AP1066" s="9"/>
      <c r="AQ1066" s="9"/>
      <c r="AR1066" s="8"/>
      <c r="AS1066" s="8"/>
      <c r="AT1066" s="8"/>
      <c r="AU1066" s="8"/>
      <c r="AV1066" s="8"/>
      <c r="AW1066" s="8"/>
      <c r="AX1066" s="8"/>
      <c r="AY1066" s="8"/>
      <c r="AZ1066" s="8"/>
    </row>
    <row r="1067" spans="21:52" ht="16.899999999999999">
      <c r="U1067" s="8"/>
      <c r="W1067" s="10"/>
      <c r="X1067" s="10"/>
      <c r="Z1067" s="13"/>
      <c r="AA1067" s="13"/>
      <c r="AB1067" s="13"/>
      <c r="AC1067" s="9"/>
      <c r="AD1067" s="9"/>
      <c r="AE1067" s="11"/>
      <c r="AF1067" s="10"/>
      <c r="AG1067" s="11"/>
      <c r="AH1067" s="10"/>
      <c r="AI1067" s="11"/>
      <c r="AJ1067" s="10"/>
      <c r="AK1067" s="10"/>
      <c r="AL1067" s="10"/>
      <c r="AM1067" s="8"/>
      <c r="AN1067" s="8"/>
      <c r="AO1067" s="9"/>
      <c r="AP1067" s="9"/>
      <c r="AQ1067" s="9"/>
      <c r="AR1067" s="8"/>
      <c r="AS1067" s="8"/>
      <c r="AT1067" s="8"/>
      <c r="AU1067" s="8"/>
      <c r="AV1067" s="8"/>
      <c r="AW1067" s="8"/>
      <c r="AX1067" s="8"/>
      <c r="AY1067" s="8"/>
      <c r="AZ1067" s="8"/>
    </row>
    <row r="1068" spans="21:52" ht="16.899999999999999">
      <c r="U1068" s="8"/>
      <c r="W1068" s="10"/>
      <c r="X1068" s="10"/>
      <c r="Z1068" s="13"/>
      <c r="AA1068" s="13"/>
      <c r="AB1068" s="13"/>
      <c r="AC1068" s="9"/>
      <c r="AD1068" s="9"/>
      <c r="AE1068" s="11"/>
      <c r="AF1068" s="10"/>
      <c r="AG1068" s="11"/>
      <c r="AH1068" s="10"/>
      <c r="AI1068" s="11"/>
      <c r="AJ1068" s="10"/>
      <c r="AK1068" s="10"/>
      <c r="AL1068" s="10"/>
      <c r="AM1068" s="8"/>
      <c r="AN1068" s="8"/>
      <c r="AO1068" s="9"/>
      <c r="AP1068" s="9"/>
      <c r="AQ1068" s="9"/>
      <c r="AR1068" s="8"/>
      <c r="AS1068" s="8"/>
      <c r="AT1068" s="8"/>
      <c r="AU1068" s="8"/>
      <c r="AV1068" s="8"/>
      <c r="AW1068" s="8"/>
      <c r="AX1068" s="8"/>
      <c r="AY1068" s="8"/>
      <c r="AZ1068" s="8"/>
    </row>
    <row r="1069" spans="21:52" ht="16.899999999999999">
      <c r="U1069" s="8"/>
      <c r="W1069" s="10"/>
      <c r="X1069" s="10"/>
      <c r="Z1069" s="13"/>
      <c r="AA1069" s="13"/>
      <c r="AB1069" s="13"/>
      <c r="AC1069" s="9"/>
      <c r="AD1069" s="9"/>
      <c r="AE1069" s="11"/>
      <c r="AF1069" s="10"/>
      <c r="AG1069" s="11"/>
      <c r="AH1069" s="10"/>
      <c r="AI1069" s="11"/>
      <c r="AJ1069" s="10"/>
      <c r="AK1069" s="10"/>
      <c r="AL1069" s="10"/>
      <c r="AM1069" s="8"/>
      <c r="AN1069" s="8"/>
      <c r="AO1069" s="9"/>
      <c r="AP1069" s="9"/>
      <c r="AQ1069" s="9"/>
      <c r="AR1069" s="8"/>
      <c r="AS1069" s="8"/>
      <c r="AT1069" s="8"/>
      <c r="AU1069" s="8"/>
      <c r="AV1069" s="8"/>
      <c r="AW1069" s="8"/>
      <c r="AX1069" s="8"/>
      <c r="AY1069" s="8"/>
      <c r="AZ1069" s="8"/>
    </row>
    <row r="1070" spans="21:52" ht="16.899999999999999">
      <c r="U1070" s="8"/>
      <c r="W1070" s="10"/>
      <c r="X1070" s="10"/>
      <c r="Z1070" s="13"/>
      <c r="AA1070" s="13"/>
      <c r="AB1070" s="13"/>
      <c r="AC1070" s="9"/>
      <c r="AD1070" s="9"/>
      <c r="AE1070" s="11"/>
      <c r="AF1070" s="10"/>
      <c r="AG1070" s="11"/>
      <c r="AH1070" s="10"/>
      <c r="AI1070" s="11"/>
      <c r="AJ1070" s="10"/>
      <c r="AK1070" s="10"/>
      <c r="AL1070" s="10"/>
      <c r="AM1070" s="8"/>
      <c r="AN1070" s="8"/>
      <c r="AO1070" s="9"/>
      <c r="AP1070" s="9"/>
      <c r="AQ1070" s="9"/>
      <c r="AR1070" s="8"/>
      <c r="AS1070" s="8"/>
      <c r="AT1070" s="8"/>
      <c r="AU1070" s="8"/>
      <c r="AV1070" s="8"/>
      <c r="AW1070" s="8"/>
      <c r="AX1070" s="8"/>
      <c r="AY1070" s="8"/>
      <c r="AZ1070" s="8"/>
    </row>
    <row r="1071" spans="21:52" ht="16.899999999999999">
      <c r="U1071" s="8"/>
      <c r="W1071" s="10"/>
      <c r="X1071" s="10"/>
      <c r="Z1071" s="13"/>
      <c r="AA1071" s="13"/>
      <c r="AB1071" s="13"/>
      <c r="AC1071" s="9"/>
      <c r="AD1071" s="9"/>
      <c r="AE1071" s="11"/>
      <c r="AF1071" s="10"/>
      <c r="AG1071" s="11"/>
      <c r="AH1071" s="10"/>
      <c r="AI1071" s="11"/>
      <c r="AJ1071" s="10"/>
      <c r="AK1071" s="10"/>
      <c r="AL1071" s="10"/>
      <c r="AM1071" s="8"/>
      <c r="AN1071" s="8"/>
      <c r="AO1071" s="9"/>
      <c r="AP1071" s="9"/>
      <c r="AQ1071" s="9"/>
      <c r="AR1071" s="8"/>
      <c r="AS1071" s="8"/>
      <c r="AT1071" s="8"/>
      <c r="AU1071" s="8"/>
      <c r="AV1071" s="8"/>
      <c r="AW1071" s="8"/>
      <c r="AX1071" s="8"/>
      <c r="AY1071" s="8"/>
      <c r="AZ1071" s="8"/>
    </row>
    <row r="1072" spans="21:52" ht="16.899999999999999">
      <c r="U1072" s="8"/>
      <c r="W1072" s="10"/>
      <c r="X1072" s="10"/>
      <c r="Z1072" s="13"/>
      <c r="AA1072" s="13"/>
      <c r="AB1072" s="13"/>
      <c r="AC1072" s="9"/>
      <c r="AD1072" s="9"/>
      <c r="AE1072" s="11"/>
      <c r="AF1072" s="10"/>
      <c r="AG1072" s="11"/>
      <c r="AH1072" s="10"/>
      <c r="AI1072" s="11"/>
      <c r="AJ1072" s="10"/>
      <c r="AK1072" s="10"/>
      <c r="AL1072" s="10"/>
      <c r="AM1072" s="8"/>
      <c r="AN1072" s="8"/>
      <c r="AO1072" s="9"/>
      <c r="AP1072" s="9"/>
      <c r="AQ1072" s="9"/>
      <c r="AR1072" s="8"/>
      <c r="AS1072" s="8"/>
      <c r="AT1072" s="8"/>
      <c r="AU1072" s="8"/>
      <c r="AV1072" s="8"/>
      <c r="AW1072" s="8"/>
      <c r="AX1072" s="8"/>
      <c r="AY1072" s="8"/>
      <c r="AZ1072" s="8"/>
    </row>
    <row r="1073" spans="21:52" ht="16.899999999999999">
      <c r="U1073" s="8"/>
      <c r="W1073" s="10"/>
      <c r="X1073" s="10"/>
      <c r="Z1073" s="13"/>
      <c r="AA1073" s="13"/>
      <c r="AB1073" s="13"/>
      <c r="AC1073" s="9"/>
      <c r="AD1073" s="9"/>
      <c r="AE1073" s="11"/>
      <c r="AF1073" s="10"/>
      <c r="AG1073" s="11"/>
      <c r="AH1073" s="10"/>
      <c r="AI1073" s="11"/>
      <c r="AJ1073" s="10"/>
      <c r="AK1073" s="10"/>
      <c r="AL1073" s="10"/>
      <c r="AM1073" s="8"/>
      <c r="AN1073" s="8"/>
      <c r="AO1073" s="9"/>
      <c r="AP1073" s="9"/>
      <c r="AQ1073" s="9"/>
      <c r="AR1073" s="8"/>
      <c r="AS1073" s="8"/>
      <c r="AT1073" s="8"/>
      <c r="AU1073" s="8"/>
      <c r="AV1073" s="8"/>
      <c r="AW1073" s="8"/>
      <c r="AX1073" s="8"/>
      <c r="AY1073" s="8"/>
      <c r="AZ1073" s="8"/>
    </row>
    <row r="1074" spans="21:52" ht="16.899999999999999">
      <c r="U1074" s="8"/>
      <c r="W1074" s="10"/>
      <c r="X1074" s="10"/>
      <c r="Z1074" s="13"/>
      <c r="AA1074" s="13"/>
      <c r="AB1074" s="13"/>
      <c r="AC1074" s="9"/>
      <c r="AD1074" s="9"/>
      <c r="AE1074" s="11"/>
      <c r="AF1074" s="10"/>
      <c r="AG1074" s="11"/>
      <c r="AH1074" s="10"/>
      <c r="AI1074" s="11"/>
      <c r="AJ1074" s="10"/>
      <c r="AK1074" s="10"/>
      <c r="AL1074" s="10"/>
      <c r="AM1074" s="8"/>
      <c r="AN1074" s="8"/>
      <c r="AO1074" s="9"/>
      <c r="AP1074" s="9"/>
      <c r="AQ1074" s="9"/>
      <c r="AR1074" s="8"/>
      <c r="AS1074" s="8"/>
      <c r="AT1074" s="8"/>
      <c r="AU1074" s="8"/>
      <c r="AV1074" s="8"/>
      <c r="AW1074" s="8"/>
      <c r="AX1074" s="8"/>
      <c r="AY1074" s="8"/>
      <c r="AZ1074" s="8"/>
    </row>
    <row r="1075" spans="21:52" ht="16.899999999999999">
      <c r="U1075" s="8"/>
      <c r="W1075" s="10"/>
      <c r="X1075" s="10"/>
      <c r="Z1075" s="13"/>
      <c r="AA1075" s="13"/>
      <c r="AB1075" s="13"/>
      <c r="AC1075" s="9"/>
      <c r="AD1075" s="9"/>
      <c r="AE1075" s="11"/>
      <c r="AF1075" s="10"/>
      <c r="AG1075" s="11"/>
      <c r="AH1075" s="10"/>
      <c r="AI1075" s="11"/>
      <c r="AJ1075" s="10"/>
      <c r="AK1075" s="10"/>
      <c r="AL1075" s="10"/>
      <c r="AM1075" s="8"/>
      <c r="AN1075" s="8"/>
      <c r="AO1075" s="9"/>
      <c r="AP1075" s="9"/>
      <c r="AQ1075" s="9"/>
      <c r="AR1075" s="8"/>
      <c r="AS1075" s="8"/>
      <c r="AT1075" s="8"/>
      <c r="AU1075" s="8"/>
      <c r="AV1075" s="8"/>
      <c r="AW1075" s="8"/>
      <c r="AX1075" s="8"/>
      <c r="AY1075" s="8"/>
      <c r="AZ1075" s="8"/>
    </row>
    <row r="1076" spans="21:52" ht="16.899999999999999">
      <c r="U1076" s="8"/>
      <c r="W1076" s="10"/>
      <c r="X1076" s="10"/>
      <c r="Z1076" s="13"/>
      <c r="AA1076" s="13"/>
      <c r="AB1076" s="13"/>
      <c r="AC1076" s="9"/>
      <c r="AD1076" s="9"/>
      <c r="AE1076" s="11"/>
      <c r="AF1076" s="10"/>
      <c r="AG1076" s="11"/>
      <c r="AH1076" s="10"/>
      <c r="AI1076" s="11"/>
      <c r="AJ1076" s="10"/>
      <c r="AK1076" s="10"/>
      <c r="AL1076" s="10"/>
      <c r="AM1076" s="8"/>
      <c r="AN1076" s="8"/>
      <c r="AO1076" s="9"/>
      <c r="AP1076" s="9"/>
      <c r="AQ1076" s="9"/>
      <c r="AR1076" s="8"/>
      <c r="AS1076" s="8"/>
      <c r="AT1076" s="8"/>
      <c r="AU1076" s="8"/>
      <c r="AV1076" s="8"/>
      <c r="AW1076" s="8"/>
      <c r="AX1076" s="8"/>
      <c r="AY1076" s="8"/>
      <c r="AZ1076" s="8"/>
    </row>
    <row r="1077" spans="21:52" ht="16.899999999999999">
      <c r="U1077" s="8"/>
      <c r="W1077" s="10"/>
      <c r="X1077" s="10"/>
      <c r="Z1077" s="13"/>
      <c r="AA1077" s="13"/>
      <c r="AB1077" s="13"/>
      <c r="AC1077" s="9"/>
      <c r="AD1077" s="9"/>
      <c r="AE1077" s="11"/>
      <c r="AF1077" s="10"/>
      <c r="AG1077" s="11"/>
      <c r="AH1077" s="10"/>
      <c r="AI1077" s="11"/>
      <c r="AJ1077" s="10"/>
      <c r="AK1077" s="10"/>
      <c r="AL1077" s="10"/>
      <c r="AM1077" s="8"/>
      <c r="AN1077" s="8"/>
      <c r="AO1077" s="9"/>
      <c r="AP1077" s="9"/>
      <c r="AQ1077" s="9"/>
      <c r="AR1077" s="8"/>
      <c r="AS1077" s="8"/>
      <c r="AT1077" s="8"/>
      <c r="AU1077" s="8"/>
      <c r="AV1077" s="8"/>
      <c r="AW1077" s="8"/>
      <c r="AX1077" s="8"/>
      <c r="AY1077" s="8"/>
      <c r="AZ1077" s="8"/>
    </row>
    <row r="1078" spans="21:52" ht="16.899999999999999">
      <c r="U1078" s="8"/>
      <c r="W1078" s="10"/>
      <c r="X1078" s="10"/>
      <c r="Z1078" s="13"/>
      <c r="AA1078" s="13"/>
      <c r="AB1078" s="13"/>
      <c r="AC1078" s="9"/>
      <c r="AD1078" s="9"/>
      <c r="AE1078" s="11"/>
      <c r="AF1078" s="10"/>
      <c r="AG1078" s="11"/>
      <c r="AH1078" s="10"/>
      <c r="AI1078" s="11"/>
      <c r="AJ1078" s="10"/>
      <c r="AK1078" s="10"/>
      <c r="AL1078" s="10"/>
      <c r="AM1078" s="8"/>
      <c r="AN1078" s="8"/>
      <c r="AO1078" s="9"/>
      <c r="AP1078" s="9"/>
      <c r="AQ1078" s="9"/>
      <c r="AR1078" s="8"/>
      <c r="AS1078" s="8"/>
      <c r="AT1078" s="8"/>
      <c r="AU1078" s="8"/>
      <c r="AV1078" s="8"/>
      <c r="AW1078" s="8"/>
      <c r="AX1078" s="8"/>
      <c r="AY1078" s="8"/>
      <c r="AZ1078" s="8"/>
    </row>
    <row r="1079" spans="21:52" ht="16.899999999999999">
      <c r="U1079" s="8"/>
      <c r="W1079" s="10"/>
      <c r="X1079" s="10"/>
      <c r="Z1079" s="13"/>
      <c r="AA1079" s="13"/>
      <c r="AB1079" s="13"/>
      <c r="AC1079" s="9"/>
      <c r="AD1079" s="9"/>
      <c r="AE1079" s="11"/>
      <c r="AF1079" s="10"/>
      <c r="AG1079" s="11"/>
      <c r="AH1079" s="10"/>
      <c r="AI1079" s="11"/>
      <c r="AJ1079" s="10"/>
      <c r="AK1079" s="10"/>
      <c r="AL1079" s="10"/>
      <c r="AM1079" s="8"/>
      <c r="AN1079" s="8"/>
      <c r="AO1079" s="9"/>
      <c r="AP1079" s="9"/>
      <c r="AQ1079" s="9"/>
      <c r="AR1079" s="8"/>
      <c r="AS1079" s="8"/>
      <c r="AT1079" s="8"/>
      <c r="AU1079" s="8"/>
      <c r="AV1079" s="8"/>
      <c r="AW1079" s="8"/>
      <c r="AX1079" s="8"/>
      <c r="AY1079" s="8"/>
      <c r="AZ1079" s="8"/>
    </row>
    <row r="1080" spans="21:52" ht="16.899999999999999">
      <c r="U1080" s="8"/>
      <c r="W1080" s="10"/>
      <c r="X1080" s="10"/>
      <c r="Z1080" s="13"/>
      <c r="AA1080" s="13"/>
      <c r="AB1080" s="13"/>
      <c r="AC1080" s="9"/>
      <c r="AD1080" s="9"/>
      <c r="AE1080" s="11"/>
      <c r="AF1080" s="10"/>
      <c r="AG1080" s="11"/>
      <c r="AH1080" s="10"/>
      <c r="AI1080" s="11"/>
      <c r="AJ1080" s="10"/>
      <c r="AK1080" s="10"/>
      <c r="AL1080" s="10"/>
      <c r="AM1080" s="8"/>
      <c r="AN1080" s="8"/>
      <c r="AO1080" s="9"/>
      <c r="AP1080" s="9"/>
      <c r="AQ1080" s="9"/>
      <c r="AR1080" s="8"/>
      <c r="AS1080" s="8"/>
      <c r="AT1080" s="8"/>
      <c r="AU1080" s="8"/>
      <c r="AV1080" s="8"/>
      <c r="AW1080" s="8"/>
      <c r="AX1080" s="8"/>
      <c r="AY1080" s="8"/>
      <c r="AZ1080" s="8"/>
    </row>
    <row r="1081" spans="21:52" ht="16.899999999999999">
      <c r="U1081" s="8"/>
      <c r="W1081" s="10"/>
      <c r="X1081" s="10"/>
      <c r="Z1081" s="13"/>
      <c r="AA1081" s="13"/>
      <c r="AB1081" s="13"/>
      <c r="AC1081" s="9"/>
      <c r="AD1081" s="9"/>
      <c r="AE1081" s="11"/>
      <c r="AF1081" s="10"/>
      <c r="AG1081" s="11"/>
      <c r="AH1081" s="10"/>
      <c r="AI1081" s="11"/>
      <c r="AJ1081" s="10"/>
      <c r="AK1081" s="10"/>
      <c r="AL1081" s="10"/>
      <c r="AM1081" s="8"/>
      <c r="AN1081" s="8"/>
      <c r="AO1081" s="9"/>
      <c r="AP1081" s="9"/>
      <c r="AQ1081" s="9"/>
      <c r="AR1081" s="8"/>
      <c r="AS1081" s="8"/>
      <c r="AT1081" s="8"/>
      <c r="AU1081" s="8"/>
      <c r="AV1081" s="8"/>
      <c r="AW1081" s="8"/>
      <c r="AX1081" s="8"/>
      <c r="AY1081" s="8"/>
      <c r="AZ1081" s="8"/>
    </row>
    <row r="1082" spans="21:52" ht="16.899999999999999">
      <c r="U1082" s="8"/>
      <c r="W1082" s="10"/>
      <c r="X1082" s="10"/>
      <c r="Z1082" s="13"/>
      <c r="AA1082" s="13"/>
      <c r="AB1082" s="13"/>
      <c r="AC1082" s="9"/>
      <c r="AD1082" s="9"/>
      <c r="AE1082" s="11"/>
      <c r="AF1082" s="10"/>
      <c r="AG1082" s="11"/>
      <c r="AH1082" s="10"/>
      <c r="AI1082" s="11"/>
      <c r="AJ1082" s="10"/>
      <c r="AK1082" s="10"/>
      <c r="AL1082" s="10"/>
      <c r="AM1082" s="8"/>
      <c r="AN1082" s="8"/>
      <c r="AO1082" s="9"/>
      <c r="AP1082" s="9"/>
      <c r="AQ1082" s="9"/>
      <c r="AR1082" s="8"/>
      <c r="AS1082" s="8"/>
      <c r="AT1082" s="8"/>
      <c r="AU1082" s="8"/>
      <c r="AV1082" s="8"/>
      <c r="AW1082" s="8"/>
      <c r="AX1082" s="8"/>
      <c r="AY1082" s="8"/>
      <c r="AZ1082" s="8"/>
    </row>
    <row r="1083" spans="21:52" ht="16.899999999999999">
      <c r="U1083" s="8"/>
      <c r="W1083" s="10"/>
      <c r="X1083" s="10"/>
      <c r="Z1083" s="13"/>
      <c r="AA1083" s="13"/>
      <c r="AB1083" s="13"/>
      <c r="AC1083" s="9"/>
      <c r="AD1083" s="9"/>
      <c r="AE1083" s="11"/>
      <c r="AF1083" s="10"/>
      <c r="AG1083" s="11"/>
      <c r="AH1083" s="10"/>
      <c r="AI1083" s="11"/>
      <c r="AJ1083" s="10"/>
      <c r="AK1083" s="10"/>
      <c r="AL1083" s="10"/>
      <c r="AM1083" s="8"/>
      <c r="AN1083" s="8"/>
      <c r="AO1083" s="9"/>
      <c r="AP1083" s="9"/>
      <c r="AQ1083" s="9"/>
      <c r="AR1083" s="8"/>
      <c r="AS1083" s="8"/>
      <c r="AT1083" s="8"/>
      <c r="AU1083" s="8"/>
      <c r="AV1083" s="8"/>
      <c r="AW1083" s="8"/>
      <c r="AX1083" s="8"/>
      <c r="AY1083" s="8"/>
      <c r="AZ1083" s="8"/>
    </row>
    <row r="1084" spans="21:52" ht="16.899999999999999">
      <c r="U1084" s="8"/>
      <c r="W1084" s="10"/>
      <c r="X1084" s="10"/>
      <c r="Z1084" s="13"/>
      <c r="AA1084" s="13"/>
      <c r="AB1084" s="13"/>
      <c r="AC1084" s="9"/>
      <c r="AD1084" s="9"/>
      <c r="AE1084" s="11"/>
      <c r="AF1084" s="10"/>
      <c r="AG1084" s="11"/>
      <c r="AH1084" s="10"/>
      <c r="AI1084" s="11"/>
      <c r="AJ1084" s="10"/>
      <c r="AK1084" s="10"/>
      <c r="AL1084" s="10"/>
      <c r="AM1084" s="8"/>
      <c r="AN1084" s="8"/>
      <c r="AO1084" s="9"/>
      <c r="AP1084" s="9"/>
      <c r="AQ1084" s="9"/>
      <c r="AR1084" s="8"/>
      <c r="AS1084" s="8"/>
      <c r="AT1084" s="8"/>
      <c r="AU1084" s="8"/>
      <c r="AV1084" s="8"/>
      <c r="AW1084" s="8"/>
      <c r="AX1084" s="8"/>
      <c r="AY1084" s="8"/>
      <c r="AZ1084" s="8"/>
    </row>
    <row r="1085" spans="21:52" ht="16.899999999999999">
      <c r="U1085" s="8"/>
      <c r="W1085" s="10"/>
      <c r="X1085" s="10"/>
      <c r="Z1085" s="13"/>
      <c r="AA1085" s="13"/>
      <c r="AB1085" s="13"/>
      <c r="AC1085" s="9"/>
      <c r="AD1085" s="9"/>
      <c r="AE1085" s="11"/>
      <c r="AF1085" s="10"/>
      <c r="AG1085" s="11"/>
      <c r="AH1085" s="10"/>
      <c r="AI1085" s="11"/>
      <c r="AJ1085" s="10"/>
      <c r="AK1085" s="10"/>
      <c r="AL1085" s="10"/>
      <c r="AM1085" s="8"/>
      <c r="AN1085" s="8"/>
      <c r="AO1085" s="9"/>
      <c r="AP1085" s="9"/>
      <c r="AQ1085" s="9"/>
      <c r="AR1085" s="8"/>
      <c r="AS1085" s="8"/>
      <c r="AT1085" s="8"/>
      <c r="AU1085" s="8"/>
      <c r="AV1085" s="8"/>
      <c r="AW1085" s="8"/>
      <c r="AX1085" s="8"/>
      <c r="AY1085" s="8"/>
      <c r="AZ1085" s="8"/>
    </row>
    <row r="1086" spans="21:52" ht="16.899999999999999">
      <c r="U1086" s="8"/>
      <c r="W1086" s="10"/>
      <c r="X1086" s="10"/>
      <c r="Z1086" s="13"/>
      <c r="AA1086" s="13"/>
      <c r="AB1086" s="13"/>
      <c r="AC1086" s="9"/>
      <c r="AD1086" s="9"/>
      <c r="AE1086" s="11"/>
      <c r="AF1086" s="10"/>
      <c r="AG1086" s="11"/>
      <c r="AH1086" s="10"/>
      <c r="AI1086" s="11"/>
      <c r="AJ1086" s="10"/>
      <c r="AK1086" s="10"/>
      <c r="AL1086" s="10"/>
      <c r="AM1086" s="8"/>
      <c r="AN1086" s="8"/>
      <c r="AO1086" s="9"/>
      <c r="AP1086" s="9"/>
      <c r="AQ1086" s="9"/>
      <c r="AR1086" s="8"/>
      <c r="AS1086" s="8"/>
      <c r="AT1086" s="8"/>
      <c r="AU1086" s="8"/>
      <c r="AV1086" s="8"/>
      <c r="AW1086" s="8"/>
      <c r="AX1086" s="8"/>
      <c r="AY1086" s="8"/>
      <c r="AZ1086" s="8"/>
    </row>
    <row r="1087" spans="21:52" ht="16.899999999999999">
      <c r="U1087" s="8"/>
      <c r="W1087" s="10"/>
      <c r="X1087" s="10"/>
      <c r="Z1087" s="13"/>
      <c r="AA1087" s="13"/>
      <c r="AB1087" s="13"/>
      <c r="AC1087" s="9"/>
      <c r="AD1087" s="9"/>
      <c r="AE1087" s="11"/>
      <c r="AF1087" s="10"/>
      <c r="AG1087" s="11"/>
      <c r="AH1087" s="10"/>
      <c r="AI1087" s="11"/>
      <c r="AJ1087" s="10"/>
      <c r="AK1087" s="10"/>
      <c r="AL1087" s="10"/>
      <c r="AM1087" s="8"/>
      <c r="AN1087" s="8"/>
      <c r="AO1087" s="9"/>
      <c r="AP1087" s="9"/>
      <c r="AQ1087" s="9"/>
      <c r="AR1087" s="8"/>
      <c r="AS1087" s="8"/>
      <c r="AT1087" s="8"/>
      <c r="AU1087" s="8"/>
      <c r="AV1087" s="8"/>
      <c r="AW1087" s="8"/>
      <c r="AX1087" s="8"/>
      <c r="AY1087" s="8"/>
      <c r="AZ1087" s="8"/>
    </row>
    <row r="1088" spans="21:52" ht="16.899999999999999">
      <c r="U1088" s="8"/>
      <c r="W1088" s="10"/>
      <c r="X1088" s="10"/>
      <c r="Z1088" s="13"/>
      <c r="AA1088" s="13"/>
      <c r="AB1088" s="13"/>
      <c r="AC1088" s="9"/>
      <c r="AD1088" s="9"/>
      <c r="AE1088" s="11"/>
      <c r="AF1088" s="10"/>
      <c r="AG1088" s="11"/>
      <c r="AH1088" s="10"/>
      <c r="AI1088" s="11"/>
      <c r="AJ1088" s="10"/>
      <c r="AK1088" s="10"/>
      <c r="AL1088" s="10"/>
      <c r="AM1088" s="8"/>
      <c r="AN1088" s="8"/>
      <c r="AO1088" s="9"/>
      <c r="AP1088" s="9"/>
      <c r="AQ1088" s="9"/>
      <c r="AR1088" s="8"/>
      <c r="AS1088" s="8"/>
      <c r="AT1088" s="8"/>
      <c r="AU1088" s="8"/>
      <c r="AV1088" s="8"/>
      <c r="AW1088" s="8"/>
      <c r="AX1088" s="8"/>
      <c r="AY1088" s="8"/>
      <c r="AZ1088" s="8"/>
    </row>
    <row r="1089" spans="21:52" ht="16.899999999999999">
      <c r="U1089" s="8"/>
      <c r="W1089" s="10"/>
      <c r="X1089" s="10"/>
      <c r="Z1089" s="13"/>
      <c r="AA1089" s="13"/>
      <c r="AB1089" s="13"/>
      <c r="AC1089" s="9"/>
      <c r="AD1089" s="9"/>
      <c r="AE1089" s="11"/>
      <c r="AF1089" s="10"/>
      <c r="AG1089" s="11"/>
      <c r="AH1089" s="10"/>
      <c r="AI1089" s="11"/>
      <c r="AJ1089" s="10"/>
      <c r="AK1089" s="10"/>
      <c r="AL1089" s="10"/>
      <c r="AM1089" s="8"/>
      <c r="AN1089" s="8"/>
      <c r="AO1089" s="9"/>
      <c r="AP1089" s="9"/>
      <c r="AQ1089" s="9"/>
      <c r="AR1089" s="8"/>
      <c r="AS1089" s="8"/>
      <c r="AT1089" s="8"/>
      <c r="AU1089" s="8"/>
      <c r="AV1089" s="8"/>
      <c r="AW1089" s="8"/>
      <c r="AX1089" s="8"/>
      <c r="AY1089" s="8"/>
      <c r="AZ1089" s="8"/>
    </row>
    <row r="1090" spans="21:52" ht="16.899999999999999">
      <c r="U1090" s="8"/>
      <c r="W1090" s="10"/>
      <c r="X1090" s="10"/>
      <c r="Z1090" s="13"/>
      <c r="AA1090" s="13"/>
      <c r="AB1090" s="13"/>
      <c r="AC1090" s="9"/>
      <c r="AD1090" s="9"/>
      <c r="AE1090" s="11"/>
      <c r="AF1090" s="10"/>
      <c r="AG1090" s="11"/>
      <c r="AH1090" s="10"/>
      <c r="AI1090" s="11"/>
      <c r="AJ1090" s="10"/>
      <c r="AK1090" s="10"/>
      <c r="AL1090" s="10"/>
      <c r="AM1090" s="8"/>
      <c r="AN1090" s="8"/>
      <c r="AO1090" s="9"/>
      <c r="AP1090" s="9"/>
      <c r="AQ1090" s="9"/>
      <c r="AR1090" s="8"/>
      <c r="AS1090" s="8"/>
      <c r="AT1090" s="8"/>
      <c r="AU1090" s="8"/>
      <c r="AV1090" s="8"/>
      <c r="AW1090" s="8"/>
      <c r="AX1090" s="8"/>
      <c r="AY1090" s="8"/>
      <c r="AZ1090" s="8"/>
    </row>
    <row r="1091" spans="21:52" ht="16.899999999999999">
      <c r="U1091" s="8"/>
      <c r="W1091" s="10"/>
      <c r="X1091" s="10"/>
      <c r="Z1091" s="13"/>
      <c r="AA1091" s="13"/>
      <c r="AB1091" s="13"/>
      <c r="AC1091" s="9"/>
      <c r="AD1091" s="9"/>
      <c r="AE1091" s="11"/>
      <c r="AF1091" s="10"/>
      <c r="AG1091" s="11"/>
      <c r="AH1091" s="10"/>
      <c r="AI1091" s="11"/>
      <c r="AJ1091" s="10"/>
      <c r="AK1091" s="10"/>
      <c r="AL1091" s="10"/>
      <c r="AM1091" s="8"/>
      <c r="AN1091" s="8"/>
      <c r="AO1091" s="9"/>
      <c r="AP1091" s="9"/>
      <c r="AQ1091" s="9"/>
      <c r="AR1091" s="8"/>
      <c r="AS1091" s="8"/>
      <c r="AT1091" s="8"/>
      <c r="AU1091" s="8"/>
      <c r="AV1091" s="8"/>
      <c r="AW1091" s="8"/>
      <c r="AX1091" s="8"/>
      <c r="AY1091" s="8"/>
      <c r="AZ1091" s="8"/>
    </row>
    <row r="1092" spans="21:52" ht="16.899999999999999">
      <c r="U1092" s="8"/>
      <c r="W1092" s="10"/>
      <c r="X1092" s="10"/>
      <c r="Z1092" s="13"/>
      <c r="AA1092" s="13"/>
      <c r="AB1092" s="13"/>
      <c r="AC1092" s="9"/>
      <c r="AD1092" s="9"/>
      <c r="AE1092" s="11"/>
      <c r="AF1092" s="10"/>
      <c r="AG1092" s="11"/>
      <c r="AH1092" s="10"/>
      <c r="AI1092" s="11"/>
      <c r="AJ1092" s="10"/>
      <c r="AK1092" s="10"/>
      <c r="AL1092" s="10"/>
      <c r="AM1092" s="8"/>
      <c r="AN1092" s="8"/>
      <c r="AO1092" s="9"/>
      <c r="AP1092" s="9"/>
      <c r="AQ1092" s="9"/>
      <c r="AR1092" s="8"/>
      <c r="AS1092" s="8"/>
      <c r="AT1092" s="8"/>
      <c r="AU1092" s="8"/>
      <c r="AV1092" s="8"/>
      <c r="AW1092" s="8"/>
      <c r="AX1092" s="8"/>
      <c r="AY1092" s="8"/>
      <c r="AZ1092" s="8"/>
    </row>
    <row r="1093" spans="21:52" ht="16.899999999999999">
      <c r="U1093" s="8"/>
      <c r="W1093" s="10"/>
      <c r="X1093" s="10"/>
      <c r="Z1093" s="13"/>
      <c r="AA1093" s="13"/>
      <c r="AB1093" s="13"/>
      <c r="AC1093" s="9"/>
      <c r="AD1093" s="9"/>
      <c r="AE1093" s="11"/>
      <c r="AF1093" s="10"/>
      <c r="AG1093" s="11"/>
      <c r="AH1093" s="10"/>
      <c r="AI1093" s="11"/>
      <c r="AJ1093" s="10"/>
      <c r="AK1093" s="10"/>
      <c r="AL1093" s="10"/>
      <c r="AM1093" s="8"/>
      <c r="AN1093" s="8"/>
      <c r="AO1093" s="9"/>
      <c r="AP1093" s="9"/>
      <c r="AQ1093" s="9"/>
      <c r="AR1093" s="8"/>
      <c r="AS1093" s="8"/>
      <c r="AT1093" s="8"/>
      <c r="AU1093" s="8"/>
      <c r="AV1093" s="8"/>
      <c r="AW1093" s="8"/>
      <c r="AX1093" s="8"/>
      <c r="AY1093" s="8"/>
      <c r="AZ1093" s="8"/>
    </row>
    <row r="1094" spans="21:52" ht="16.899999999999999">
      <c r="U1094" s="8"/>
      <c r="W1094" s="10"/>
      <c r="X1094" s="10"/>
      <c r="Z1094" s="13"/>
      <c r="AA1094" s="13"/>
      <c r="AB1094" s="13"/>
      <c r="AC1094" s="9"/>
      <c r="AD1094" s="9"/>
      <c r="AE1094" s="11"/>
      <c r="AF1094" s="10"/>
      <c r="AG1094" s="11"/>
      <c r="AH1094" s="10"/>
      <c r="AI1094" s="11"/>
      <c r="AJ1094" s="10"/>
      <c r="AK1094" s="10"/>
      <c r="AL1094" s="10"/>
      <c r="AM1094" s="8"/>
      <c r="AN1094" s="8"/>
      <c r="AO1094" s="9"/>
      <c r="AP1094" s="9"/>
      <c r="AQ1094" s="9"/>
      <c r="AR1094" s="8"/>
      <c r="AS1094" s="8"/>
      <c r="AT1094" s="8"/>
      <c r="AU1094" s="8"/>
      <c r="AV1094" s="8"/>
      <c r="AW1094" s="8"/>
      <c r="AX1094" s="8"/>
      <c r="AY1094" s="8"/>
      <c r="AZ1094" s="8"/>
    </row>
    <row r="1095" spans="21:52" ht="16.899999999999999">
      <c r="U1095" s="8"/>
      <c r="W1095" s="10"/>
      <c r="X1095" s="10"/>
      <c r="Z1095" s="13"/>
      <c r="AA1095" s="13"/>
      <c r="AB1095" s="13"/>
      <c r="AC1095" s="9"/>
      <c r="AD1095" s="9"/>
      <c r="AE1095" s="11"/>
      <c r="AF1095" s="10"/>
      <c r="AG1095" s="11"/>
      <c r="AH1095" s="10"/>
      <c r="AI1095" s="11"/>
      <c r="AJ1095" s="10"/>
      <c r="AK1095" s="10"/>
      <c r="AL1095" s="10"/>
      <c r="AM1095" s="8"/>
      <c r="AN1095" s="8"/>
      <c r="AO1095" s="9"/>
      <c r="AP1095" s="9"/>
      <c r="AQ1095" s="9"/>
      <c r="AR1095" s="8"/>
      <c r="AS1095" s="8"/>
      <c r="AT1095" s="8"/>
      <c r="AU1095" s="8"/>
      <c r="AV1095" s="8"/>
      <c r="AW1095" s="8"/>
      <c r="AX1095" s="8"/>
      <c r="AY1095" s="8"/>
      <c r="AZ1095" s="8"/>
    </row>
    <row r="1096" spans="21:52" ht="16.899999999999999">
      <c r="U1096" s="8"/>
      <c r="W1096" s="10"/>
      <c r="X1096" s="10"/>
      <c r="Z1096" s="13"/>
      <c r="AA1096" s="13"/>
      <c r="AB1096" s="13"/>
      <c r="AC1096" s="9"/>
      <c r="AD1096" s="9"/>
      <c r="AE1096" s="11"/>
      <c r="AF1096" s="10"/>
      <c r="AG1096" s="11"/>
      <c r="AH1096" s="10"/>
      <c r="AI1096" s="11"/>
      <c r="AJ1096" s="10"/>
      <c r="AK1096" s="10"/>
      <c r="AL1096" s="10"/>
      <c r="AM1096" s="8"/>
      <c r="AN1096" s="8"/>
      <c r="AO1096" s="9"/>
      <c r="AP1096" s="9"/>
      <c r="AQ1096" s="9"/>
      <c r="AR1096" s="8"/>
      <c r="AS1096" s="8"/>
      <c r="AT1096" s="8"/>
      <c r="AU1096" s="8"/>
      <c r="AV1096" s="8"/>
      <c r="AW1096" s="8"/>
      <c r="AX1096" s="8"/>
      <c r="AY1096" s="8"/>
      <c r="AZ1096" s="8"/>
    </row>
    <row r="1097" spans="21:52" ht="16.899999999999999">
      <c r="U1097" s="8"/>
      <c r="W1097" s="10"/>
      <c r="X1097" s="10"/>
      <c r="Z1097" s="13"/>
      <c r="AA1097" s="13"/>
      <c r="AB1097" s="13"/>
      <c r="AC1097" s="9"/>
      <c r="AD1097" s="9"/>
      <c r="AE1097" s="11"/>
      <c r="AF1097" s="10"/>
      <c r="AG1097" s="11"/>
      <c r="AH1097" s="10"/>
      <c r="AI1097" s="11"/>
      <c r="AJ1097" s="10"/>
      <c r="AK1097" s="10"/>
      <c r="AL1097" s="10"/>
      <c r="AM1097" s="8"/>
      <c r="AN1097" s="8"/>
      <c r="AO1097" s="9"/>
      <c r="AP1097" s="9"/>
      <c r="AQ1097" s="9"/>
      <c r="AR1097" s="8"/>
      <c r="AS1097" s="8"/>
      <c r="AT1097" s="8"/>
      <c r="AU1097" s="8"/>
      <c r="AV1097" s="8"/>
      <c r="AW1097" s="8"/>
      <c r="AX1097" s="8"/>
      <c r="AY1097" s="8"/>
      <c r="AZ1097" s="8"/>
    </row>
    <row r="1098" spans="21:52" ht="16.899999999999999">
      <c r="U1098" s="8"/>
      <c r="W1098" s="10"/>
      <c r="X1098" s="10"/>
      <c r="Z1098" s="13"/>
      <c r="AA1098" s="13"/>
      <c r="AB1098" s="13"/>
      <c r="AC1098" s="9"/>
      <c r="AD1098" s="9"/>
      <c r="AE1098" s="11"/>
      <c r="AF1098" s="10"/>
      <c r="AG1098" s="11"/>
      <c r="AH1098" s="10"/>
      <c r="AI1098" s="11"/>
      <c r="AJ1098" s="10"/>
      <c r="AK1098" s="10"/>
      <c r="AL1098" s="10"/>
      <c r="AM1098" s="8"/>
      <c r="AN1098" s="8"/>
      <c r="AO1098" s="9"/>
      <c r="AP1098" s="9"/>
      <c r="AQ1098" s="9"/>
      <c r="AR1098" s="8"/>
      <c r="AS1098" s="8"/>
      <c r="AT1098" s="8"/>
      <c r="AU1098" s="8"/>
      <c r="AV1098" s="8"/>
      <c r="AW1098" s="8"/>
      <c r="AX1098" s="8"/>
      <c r="AY1098" s="8"/>
      <c r="AZ1098" s="8"/>
    </row>
    <row r="1099" spans="21:52" ht="16.899999999999999">
      <c r="U1099" s="8"/>
      <c r="W1099" s="10"/>
      <c r="X1099" s="10"/>
      <c r="Z1099" s="13"/>
      <c r="AA1099" s="13"/>
      <c r="AB1099" s="13"/>
      <c r="AC1099" s="9"/>
      <c r="AD1099" s="9"/>
      <c r="AE1099" s="11"/>
      <c r="AF1099" s="10"/>
      <c r="AG1099" s="11"/>
      <c r="AH1099" s="10"/>
      <c r="AI1099" s="11"/>
      <c r="AJ1099" s="10"/>
      <c r="AK1099" s="10"/>
      <c r="AL1099" s="10"/>
      <c r="AM1099" s="8"/>
      <c r="AN1099" s="8"/>
      <c r="AO1099" s="9"/>
      <c r="AP1099" s="9"/>
      <c r="AQ1099" s="9"/>
      <c r="AR1099" s="8"/>
      <c r="AS1099" s="8"/>
      <c r="AT1099" s="8"/>
      <c r="AU1099" s="8"/>
      <c r="AV1099" s="8"/>
      <c r="AW1099" s="8"/>
      <c r="AX1099" s="8"/>
      <c r="AY1099" s="8"/>
      <c r="AZ1099" s="8"/>
    </row>
    <row r="1100" spans="21:52" ht="16.899999999999999">
      <c r="U1100" s="8"/>
      <c r="W1100" s="10"/>
      <c r="X1100" s="10"/>
      <c r="Z1100" s="13"/>
      <c r="AA1100" s="13"/>
      <c r="AB1100" s="13"/>
      <c r="AC1100" s="9"/>
      <c r="AD1100" s="9"/>
      <c r="AE1100" s="11"/>
      <c r="AF1100" s="10"/>
      <c r="AG1100" s="11"/>
      <c r="AH1100" s="10"/>
      <c r="AI1100" s="11"/>
      <c r="AJ1100" s="10"/>
      <c r="AK1100" s="10"/>
      <c r="AL1100" s="10"/>
      <c r="AM1100" s="8"/>
      <c r="AN1100" s="8"/>
      <c r="AO1100" s="9"/>
      <c r="AP1100" s="9"/>
      <c r="AQ1100" s="9"/>
      <c r="AR1100" s="8"/>
      <c r="AS1100" s="8"/>
      <c r="AT1100" s="8"/>
      <c r="AU1100" s="8"/>
      <c r="AV1100" s="8"/>
      <c r="AW1100" s="8"/>
      <c r="AX1100" s="8"/>
      <c r="AY1100" s="8"/>
      <c r="AZ1100" s="8"/>
    </row>
    <row r="1101" spans="21:52" ht="16.899999999999999">
      <c r="U1101" s="8"/>
      <c r="W1101" s="10"/>
      <c r="X1101" s="10"/>
      <c r="Z1101" s="13"/>
      <c r="AA1101" s="13"/>
      <c r="AB1101" s="13"/>
      <c r="AC1101" s="9"/>
      <c r="AD1101" s="9"/>
      <c r="AE1101" s="11"/>
      <c r="AF1101" s="10"/>
      <c r="AG1101" s="11"/>
      <c r="AH1101" s="10"/>
      <c r="AI1101" s="11"/>
      <c r="AJ1101" s="10"/>
      <c r="AK1101" s="10"/>
      <c r="AL1101" s="10"/>
      <c r="AM1101" s="8"/>
      <c r="AN1101" s="8"/>
      <c r="AO1101" s="9"/>
      <c r="AP1101" s="9"/>
      <c r="AQ1101" s="9"/>
      <c r="AR1101" s="8"/>
      <c r="AS1101" s="8"/>
      <c r="AT1101" s="8"/>
      <c r="AU1101" s="8"/>
      <c r="AV1101" s="8"/>
      <c r="AW1101" s="8"/>
      <c r="AX1101" s="8"/>
      <c r="AY1101" s="8"/>
      <c r="AZ1101" s="8"/>
    </row>
    <row r="1102" spans="21:52" ht="16.899999999999999">
      <c r="U1102" s="8"/>
      <c r="W1102" s="10"/>
      <c r="X1102" s="10"/>
      <c r="Z1102" s="13"/>
      <c r="AA1102" s="13"/>
      <c r="AB1102" s="13"/>
      <c r="AC1102" s="9"/>
      <c r="AD1102" s="9"/>
      <c r="AE1102" s="11"/>
      <c r="AF1102" s="10"/>
      <c r="AG1102" s="11"/>
      <c r="AH1102" s="10"/>
      <c r="AI1102" s="11"/>
      <c r="AJ1102" s="10"/>
      <c r="AK1102" s="10"/>
      <c r="AL1102" s="10"/>
      <c r="AM1102" s="8"/>
      <c r="AN1102" s="8"/>
      <c r="AO1102" s="9"/>
      <c r="AP1102" s="9"/>
      <c r="AQ1102" s="9"/>
      <c r="AR1102" s="8"/>
      <c r="AS1102" s="8"/>
      <c r="AT1102" s="8"/>
      <c r="AU1102" s="8"/>
      <c r="AV1102" s="8"/>
      <c r="AW1102" s="8"/>
      <c r="AX1102" s="8"/>
      <c r="AY1102" s="8"/>
      <c r="AZ1102" s="8"/>
    </row>
    <row r="1103" spans="21:52" ht="16.899999999999999">
      <c r="U1103" s="8"/>
      <c r="W1103" s="10"/>
      <c r="X1103" s="10"/>
      <c r="Z1103" s="13"/>
      <c r="AA1103" s="13"/>
      <c r="AB1103" s="13"/>
      <c r="AC1103" s="9"/>
      <c r="AD1103" s="9"/>
      <c r="AE1103" s="11"/>
      <c r="AF1103" s="10"/>
      <c r="AG1103" s="11"/>
      <c r="AH1103" s="10"/>
      <c r="AI1103" s="11"/>
      <c r="AJ1103" s="10"/>
      <c r="AK1103" s="10"/>
      <c r="AL1103" s="10"/>
      <c r="AM1103" s="8"/>
      <c r="AN1103" s="8"/>
      <c r="AO1103" s="9"/>
      <c r="AP1103" s="9"/>
      <c r="AQ1103" s="9"/>
      <c r="AR1103" s="8"/>
      <c r="AS1103" s="8"/>
      <c r="AT1103" s="8"/>
      <c r="AU1103" s="8"/>
      <c r="AV1103" s="8"/>
      <c r="AW1103" s="8"/>
      <c r="AX1103" s="8"/>
      <c r="AY1103" s="8"/>
      <c r="AZ1103" s="8"/>
    </row>
    <row r="1104" spans="21:52" ht="16.899999999999999">
      <c r="U1104" s="8"/>
      <c r="W1104" s="10"/>
      <c r="X1104" s="10"/>
      <c r="Z1104" s="13"/>
      <c r="AA1104" s="13"/>
      <c r="AB1104" s="13"/>
      <c r="AC1104" s="9"/>
      <c r="AD1104" s="9"/>
      <c r="AE1104" s="11"/>
      <c r="AF1104" s="10"/>
      <c r="AG1104" s="11"/>
      <c r="AH1104" s="10"/>
      <c r="AI1104" s="11"/>
      <c r="AJ1104" s="10"/>
      <c r="AK1104" s="10"/>
      <c r="AL1104" s="10"/>
      <c r="AM1104" s="8"/>
      <c r="AN1104" s="8"/>
      <c r="AO1104" s="9"/>
      <c r="AP1104" s="9"/>
      <c r="AQ1104" s="9"/>
      <c r="AR1104" s="8"/>
      <c r="AS1104" s="8"/>
      <c r="AT1104" s="8"/>
      <c r="AU1104" s="8"/>
      <c r="AV1104" s="8"/>
      <c r="AW1104" s="8"/>
      <c r="AX1104" s="8"/>
      <c r="AY1104" s="8"/>
      <c r="AZ1104" s="8"/>
    </row>
    <row r="1105" spans="21:52" ht="16.899999999999999">
      <c r="U1105" s="8"/>
      <c r="W1105" s="10"/>
      <c r="X1105" s="10"/>
      <c r="Z1105" s="13"/>
      <c r="AA1105" s="13"/>
      <c r="AB1105" s="13"/>
      <c r="AC1105" s="9"/>
      <c r="AD1105" s="9"/>
      <c r="AE1105" s="11"/>
      <c r="AF1105" s="10"/>
      <c r="AG1105" s="11"/>
      <c r="AH1105" s="10"/>
      <c r="AI1105" s="11"/>
      <c r="AJ1105" s="10"/>
      <c r="AK1105" s="10"/>
      <c r="AL1105" s="10"/>
      <c r="AM1105" s="8"/>
      <c r="AN1105" s="8"/>
      <c r="AO1105" s="9"/>
      <c r="AP1105" s="9"/>
      <c r="AQ1105" s="9"/>
      <c r="AR1105" s="8"/>
      <c r="AS1105" s="8"/>
      <c r="AT1105" s="8"/>
      <c r="AU1105" s="8"/>
      <c r="AV1105" s="8"/>
      <c r="AW1105" s="8"/>
      <c r="AX1105" s="8"/>
      <c r="AY1105" s="8"/>
      <c r="AZ1105" s="8"/>
    </row>
    <row r="1106" spans="21:52" ht="16.899999999999999">
      <c r="U1106" s="8"/>
      <c r="W1106" s="10"/>
      <c r="X1106" s="10"/>
      <c r="Z1106" s="13"/>
      <c r="AA1106" s="13"/>
      <c r="AB1106" s="13"/>
      <c r="AC1106" s="9"/>
      <c r="AD1106" s="9"/>
      <c r="AE1106" s="11"/>
      <c r="AF1106" s="10"/>
      <c r="AG1106" s="11"/>
      <c r="AH1106" s="10"/>
      <c r="AI1106" s="11"/>
      <c r="AJ1106" s="10"/>
      <c r="AK1106" s="10"/>
      <c r="AL1106" s="10"/>
      <c r="AM1106" s="8"/>
      <c r="AN1106" s="8"/>
      <c r="AO1106" s="9"/>
      <c r="AP1106" s="9"/>
      <c r="AQ1106" s="9"/>
      <c r="AR1106" s="8"/>
      <c r="AS1106" s="8"/>
      <c r="AT1106" s="8"/>
      <c r="AU1106" s="8"/>
      <c r="AV1106" s="8"/>
      <c r="AW1106" s="8"/>
      <c r="AX1106" s="8"/>
      <c r="AY1106" s="8"/>
      <c r="AZ1106" s="8"/>
    </row>
    <row r="1107" spans="21:52" ht="16.899999999999999">
      <c r="U1107" s="8"/>
      <c r="W1107" s="10"/>
      <c r="X1107" s="10"/>
      <c r="Z1107" s="13"/>
      <c r="AA1107" s="13"/>
      <c r="AB1107" s="13"/>
      <c r="AC1107" s="9"/>
      <c r="AD1107" s="9"/>
      <c r="AE1107" s="11"/>
      <c r="AF1107" s="10"/>
      <c r="AG1107" s="11"/>
      <c r="AH1107" s="10"/>
      <c r="AI1107" s="11"/>
      <c r="AJ1107" s="10"/>
      <c r="AK1107" s="10"/>
      <c r="AL1107" s="10"/>
      <c r="AM1107" s="8"/>
      <c r="AN1107" s="8"/>
      <c r="AO1107" s="9"/>
      <c r="AP1107" s="9"/>
      <c r="AQ1107" s="9"/>
      <c r="AR1107" s="8"/>
      <c r="AS1107" s="8"/>
      <c r="AT1107" s="8"/>
      <c r="AU1107" s="8"/>
      <c r="AV1107" s="8"/>
      <c r="AW1107" s="8"/>
      <c r="AX1107" s="8"/>
      <c r="AY1107" s="8"/>
      <c r="AZ1107" s="8"/>
    </row>
    <row r="1108" spans="21:52" ht="16.899999999999999">
      <c r="U1108" s="8"/>
      <c r="W1108" s="10"/>
      <c r="X1108" s="10"/>
      <c r="Z1108" s="13"/>
      <c r="AA1108" s="13"/>
      <c r="AB1108" s="13"/>
      <c r="AC1108" s="9"/>
      <c r="AD1108" s="9"/>
      <c r="AE1108" s="11"/>
      <c r="AF1108" s="10"/>
      <c r="AG1108" s="11"/>
      <c r="AH1108" s="10"/>
      <c r="AI1108" s="11"/>
      <c r="AJ1108" s="10"/>
      <c r="AK1108" s="10"/>
      <c r="AL1108" s="10"/>
      <c r="AM1108" s="8"/>
      <c r="AN1108" s="8"/>
      <c r="AO1108" s="9"/>
      <c r="AP1108" s="9"/>
      <c r="AQ1108" s="9"/>
      <c r="AR1108" s="8"/>
      <c r="AS1108" s="8"/>
      <c r="AT1108" s="8"/>
      <c r="AU1108" s="8"/>
      <c r="AV1108" s="8"/>
      <c r="AW1108" s="8"/>
      <c r="AX1108" s="8"/>
      <c r="AY1108" s="8"/>
      <c r="AZ1108" s="8"/>
    </row>
    <row r="1109" spans="21:52" ht="16.899999999999999">
      <c r="U1109" s="8"/>
      <c r="W1109" s="10"/>
      <c r="X1109" s="10"/>
      <c r="Z1109" s="13"/>
      <c r="AA1109" s="13"/>
      <c r="AB1109" s="13"/>
      <c r="AC1109" s="9"/>
      <c r="AD1109" s="9"/>
      <c r="AE1109" s="11"/>
      <c r="AF1109" s="10"/>
      <c r="AG1109" s="11"/>
      <c r="AH1109" s="10"/>
      <c r="AI1109" s="11"/>
      <c r="AJ1109" s="10"/>
      <c r="AK1109" s="10"/>
      <c r="AL1109" s="10"/>
      <c r="AM1109" s="8"/>
      <c r="AN1109" s="8"/>
      <c r="AO1109" s="9"/>
      <c r="AP1109" s="9"/>
      <c r="AQ1109" s="9"/>
      <c r="AR1109" s="8"/>
      <c r="AS1109" s="8"/>
      <c r="AT1109" s="8"/>
      <c r="AU1109" s="8"/>
      <c r="AV1109" s="8"/>
      <c r="AW1109" s="8"/>
      <c r="AX1109" s="8"/>
      <c r="AY1109" s="8"/>
      <c r="AZ1109" s="8"/>
    </row>
    <row r="1110" spans="21:52" ht="16.899999999999999">
      <c r="U1110" s="8"/>
      <c r="W1110" s="10"/>
      <c r="X1110" s="10"/>
      <c r="Z1110" s="13"/>
      <c r="AA1110" s="13"/>
      <c r="AB1110" s="13"/>
      <c r="AC1110" s="9"/>
      <c r="AD1110" s="9"/>
      <c r="AE1110" s="11"/>
      <c r="AF1110" s="10"/>
      <c r="AG1110" s="11"/>
      <c r="AH1110" s="10"/>
      <c r="AI1110" s="11"/>
      <c r="AJ1110" s="10"/>
      <c r="AK1110" s="10"/>
      <c r="AL1110" s="10"/>
      <c r="AM1110" s="8"/>
      <c r="AN1110" s="8"/>
      <c r="AO1110" s="9"/>
      <c r="AP1110" s="9"/>
      <c r="AQ1110" s="9"/>
      <c r="AR1110" s="8"/>
      <c r="AS1110" s="8"/>
      <c r="AT1110" s="8"/>
      <c r="AU1110" s="8"/>
      <c r="AV1110" s="8"/>
      <c r="AW1110" s="8"/>
      <c r="AX1110" s="8"/>
      <c r="AY1110" s="8"/>
      <c r="AZ1110" s="8"/>
    </row>
    <row r="1111" spans="21:52" ht="16.899999999999999">
      <c r="U1111" s="8"/>
      <c r="W1111" s="10"/>
      <c r="X1111" s="10"/>
      <c r="Z1111" s="13"/>
      <c r="AA1111" s="13"/>
      <c r="AB1111" s="13"/>
      <c r="AC1111" s="9"/>
      <c r="AD1111" s="9"/>
      <c r="AE1111" s="11"/>
      <c r="AF1111" s="10"/>
      <c r="AG1111" s="11"/>
      <c r="AH1111" s="10"/>
      <c r="AI1111" s="11"/>
      <c r="AJ1111" s="10"/>
      <c r="AK1111" s="10"/>
      <c r="AL1111" s="10"/>
      <c r="AM1111" s="8"/>
      <c r="AN1111" s="8"/>
      <c r="AO1111" s="9"/>
      <c r="AP1111" s="9"/>
      <c r="AQ1111" s="9"/>
      <c r="AR1111" s="8"/>
      <c r="AS1111" s="8"/>
      <c r="AT1111" s="8"/>
      <c r="AU1111" s="8"/>
      <c r="AV1111" s="8"/>
      <c r="AW1111" s="8"/>
      <c r="AX1111" s="8"/>
      <c r="AY1111" s="8"/>
      <c r="AZ1111" s="8"/>
    </row>
    <row r="1112" spans="21:52" ht="16.899999999999999">
      <c r="U1112" s="8"/>
      <c r="W1112" s="10"/>
      <c r="X1112" s="10"/>
      <c r="Z1112" s="13"/>
      <c r="AA1112" s="13"/>
      <c r="AB1112" s="13"/>
      <c r="AC1112" s="9"/>
      <c r="AD1112" s="9"/>
      <c r="AE1112" s="11"/>
      <c r="AF1112" s="10"/>
      <c r="AG1112" s="11"/>
      <c r="AH1112" s="10"/>
      <c r="AI1112" s="11"/>
      <c r="AJ1112" s="10"/>
      <c r="AK1112" s="10"/>
      <c r="AL1112" s="10"/>
      <c r="AM1112" s="8"/>
      <c r="AN1112" s="8"/>
      <c r="AO1112" s="9"/>
      <c r="AP1112" s="9"/>
      <c r="AQ1112" s="9"/>
      <c r="AR1112" s="8"/>
      <c r="AS1112" s="8"/>
      <c r="AT1112" s="8"/>
      <c r="AU1112" s="8"/>
      <c r="AV1112" s="8"/>
      <c r="AW1112" s="8"/>
      <c r="AX1112" s="8"/>
      <c r="AY1112" s="8"/>
      <c r="AZ1112" s="8"/>
    </row>
    <row r="1113" spans="21:52" ht="16.899999999999999">
      <c r="U1113" s="8"/>
      <c r="W1113" s="10"/>
      <c r="X1113" s="10"/>
      <c r="Z1113" s="13"/>
      <c r="AA1113" s="13"/>
      <c r="AB1113" s="13"/>
      <c r="AC1113" s="9"/>
      <c r="AD1113" s="9"/>
      <c r="AE1113" s="11"/>
      <c r="AF1113" s="10"/>
      <c r="AG1113" s="11"/>
      <c r="AH1113" s="10"/>
      <c r="AI1113" s="11"/>
      <c r="AJ1113" s="10"/>
      <c r="AK1113" s="10"/>
      <c r="AL1113" s="10"/>
      <c r="AM1113" s="8"/>
      <c r="AN1113" s="8"/>
      <c r="AO1113" s="9"/>
      <c r="AP1113" s="9"/>
      <c r="AQ1113" s="9"/>
      <c r="AR1113" s="8"/>
      <c r="AS1113" s="8"/>
      <c r="AT1113" s="8"/>
      <c r="AU1113" s="8"/>
      <c r="AV1113" s="8"/>
      <c r="AW1113" s="8"/>
      <c r="AX1113" s="8"/>
      <c r="AY1113" s="8"/>
      <c r="AZ1113" s="8"/>
    </row>
    <row r="1114" spans="21:52" ht="16.899999999999999">
      <c r="U1114" s="8"/>
      <c r="W1114" s="10"/>
      <c r="X1114" s="10"/>
      <c r="Z1114" s="13"/>
      <c r="AA1114" s="13"/>
      <c r="AB1114" s="13"/>
      <c r="AC1114" s="9"/>
      <c r="AD1114" s="9"/>
      <c r="AE1114" s="11"/>
      <c r="AF1114" s="10"/>
      <c r="AG1114" s="11"/>
      <c r="AH1114" s="10"/>
      <c r="AI1114" s="11"/>
      <c r="AJ1114" s="10"/>
      <c r="AK1114" s="10"/>
      <c r="AL1114" s="10"/>
      <c r="AM1114" s="8"/>
      <c r="AN1114" s="8"/>
      <c r="AO1114" s="9"/>
      <c r="AP1114" s="9"/>
      <c r="AQ1114" s="9"/>
      <c r="AR1114" s="8"/>
      <c r="AS1114" s="8"/>
      <c r="AT1114" s="8"/>
      <c r="AU1114" s="8"/>
      <c r="AV1114" s="8"/>
      <c r="AW1114" s="8"/>
      <c r="AX1114" s="8"/>
      <c r="AY1114" s="8"/>
      <c r="AZ1114" s="8"/>
    </row>
    <row r="1115" spans="21:52" ht="16.899999999999999">
      <c r="U1115" s="8"/>
      <c r="W1115" s="10"/>
      <c r="X1115" s="10"/>
      <c r="Z1115" s="13"/>
      <c r="AA1115" s="13"/>
      <c r="AB1115" s="13"/>
      <c r="AC1115" s="9"/>
      <c r="AD1115" s="9"/>
      <c r="AE1115" s="11"/>
      <c r="AF1115" s="10"/>
      <c r="AG1115" s="11"/>
      <c r="AH1115" s="10"/>
      <c r="AI1115" s="11"/>
      <c r="AJ1115" s="10"/>
      <c r="AK1115" s="10"/>
      <c r="AL1115" s="10"/>
      <c r="AM1115" s="8"/>
      <c r="AN1115" s="8"/>
      <c r="AO1115" s="9"/>
      <c r="AP1115" s="9"/>
      <c r="AQ1115" s="9"/>
      <c r="AR1115" s="8"/>
      <c r="AS1115" s="8"/>
      <c r="AT1115" s="8"/>
      <c r="AU1115" s="8"/>
      <c r="AV1115" s="8"/>
      <c r="AW1115" s="8"/>
      <c r="AX1115" s="8"/>
      <c r="AY1115" s="8"/>
      <c r="AZ1115" s="8"/>
    </row>
    <row r="1116" spans="21:52" ht="16.899999999999999">
      <c r="U1116" s="8"/>
      <c r="W1116" s="10"/>
      <c r="X1116" s="10"/>
      <c r="Z1116" s="13"/>
      <c r="AA1116" s="13"/>
      <c r="AB1116" s="13"/>
      <c r="AC1116" s="9"/>
      <c r="AD1116" s="9"/>
      <c r="AE1116" s="11"/>
      <c r="AF1116" s="10"/>
      <c r="AG1116" s="11"/>
      <c r="AH1116" s="10"/>
      <c r="AI1116" s="11"/>
      <c r="AJ1116" s="10"/>
      <c r="AK1116" s="10"/>
      <c r="AL1116" s="10"/>
      <c r="AM1116" s="8"/>
      <c r="AN1116" s="8"/>
      <c r="AO1116" s="9"/>
      <c r="AP1116" s="9"/>
      <c r="AQ1116" s="9"/>
      <c r="AR1116" s="8"/>
      <c r="AS1116" s="8"/>
      <c r="AT1116" s="8"/>
      <c r="AU1116" s="8"/>
      <c r="AV1116" s="8"/>
      <c r="AW1116" s="8"/>
      <c r="AX1116" s="8"/>
      <c r="AY1116" s="8"/>
      <c r="AZ1116" s="8"/>
    </row>
    <row r="1117" spans="21:52" ht="16.899999999999999">
      <c r="U1117" s="8"/>
      <c r="W1117" s="10"/>
      <c r="X1117" s="10"/>
      <c r="Z1117" s="13"/>
      <c r="AA1117" s="13"/>
      <c r="AB1117" s="13"/>
      <c r="AC1117" s="9"/>
      <c r="AD1117" s="9"/>
      <c r="AE1117" s="11"/>
      <c r="AF1117" s="10"/>
      <c r="AG1117" s="11"/>
      <c r="AH1117" s="10"/>
      <c r="AI1117" s="11"/>
      <c r="AJ1117" s="10"/>
      <c r="AK1117" s="10"/>
      <c r="AL1117" s="10"/>
      <c r="AM1117" s="8"/>
      <c r="AN1117" s="8"/>
      <c r="AO1117" s="9"/>
      <c r="AP1117" s="9"/>
      <c r="AQ1117" s="9"/>
      <c r="AR1117" s="8"/>
      <c r="AS1117" s="8"/>
      <c r="AT1117" s="8"/>
      <c r="AU1117" s="8"/>
      <c r="AV1117" s="8"/>
      <c r="AW1117" s="8"/>
      <c r="AX1117" s="8"/>
      <c r="AY1117" s="8"/>
      <c r="AZ1117" s="8"/>
    </row>
    <row r="1118" spans="21:52" ht="16.899999999999999">
      <c r="U1118" s="8"/>
      <c r="W1118" s="10"/>
      <c r="X1118" s="10"/>
      <c r="Z1118" s="13"/>
      <c r="AA1118" s="13"/>
      <c r="AB1118" s="13"/>
      <c r="AC1118" s="9"/>
      <c r="AD1118" s="9"/>
      <c r="AE1118" s="11"/>
      <c r="AF1118" s="10"/>
      <c r="AG1118" s="11"/>
      <c r="AH1118" s="10"/>
      <c r="AI1118" s="11"/>
      <c r="AJ1118" s="10"/>
      <c r="AK1118" s="10"/>
      <c r="AL1118" s="10"/>
      <c r="AM1118" s="8"/>
      <c r="AN1118" s="8"/>
      <c r="AO1118" s="9"/>
      <c r="AP1118" s="9"/>
      <c r="AQ1118" s="9"/>
      <c r="AR1118" s="8"/>
      <c r="AS1118" s="8"/>
      <c r="AT1118" s="8"/>
      <c r="AU1118" s="8"/>
      <c r="AV1118" s="8"/>
      <c r="AW1118" s="8"/>
      <c r="AX1118" s="8"/>
      <c r="AY1118" s="8"/>
      <c r="AZ1118" s="8"/>
    </row>
    <row r="1119" spans="21:52" ht="16.899999999999999">
      <c r="U1119" s="8"/>
      <c r="W1119" s="10"/>
      <c r="X1119" s="10"/>
      <c r="Z1119" s="13"/>
      <c r="AA1119" s="13"/>
      <c r="AB1119" s="13"/>
      <c r="AC1119" s="9"/>
      <c r="AD1119" s="9"/>
      <c r="AE1119" s="11"/>
      <c r="AF1119" s="10"/>
      <c r="AG1119" s="11"/>
      <c r="AH1119" s="10"/>
      <c r="AI1119" s="11"/>
      <c r="AJ1119" s="10"/>
      <c r="AK1119" s="10"/>
      <c r="AL1119" s="10"/>
      <c r="AM1119" s="8"/>
      <c r="AN1119" s="8"/>
      <c r="AO1119" s="9"/>
      <c r="AP1119" s="9"/>
      <c r="AQ1119" s="9"/>
      <c r="AR1119" s="8"/>
      <c r="AS1119" s="8"/>
      <c r="AT1119" s="8"/>
      <c r="AU1119" s="8"/>
      <c r="AV1119" s="8"/>
      <c r="AW1119" s="8"/>
      <c r="AX1119" s="8"/>
      <c r="AY1119" s="8"/>
      <c r="AZ1119" s="8"/>
    </row>
    <row r="1120" spans="21:52" ht="16.899999999999999">
      <c r="U1120" s="8"/>
      <c r="W1120" s="10"/>
      <c r="X1120" s="10"/>
      <c r="Z1120" s="13"/>
      <c r="AA1120" s="13"/>
      <c r="AB1120" s="13"/>
      <c r="AC1120" s="9"/>
      <c r="AD1120" s="9"/>
      <c r="AE1120" s="11"/>
      <c r="AF1120" s="10"/>
      <c r="AG1120" s="11"/>
      <c r="AH1120" s="10"/>
      <c r="AI1120" s="11"/>
      <c r="AJ1120" s="10"/>
      <c r="AK1120" s="10"/>
      <c r="AL1120" s="10"/>
      <c r="AM1120" s="8"/>
      <c r="AN1120" s="8"/>
      <c r="AO1120" s="9"/>
      <c r="AP1120" s="9"/>
      <c r="AQ1120" s="9"/>
      <c r="AR1120" s="8"/>
      <c r="AS1120" s="8"/>
      <c r="AT1120" s="8"/>
      <c r="AU1120" s="8"/>
      <c r="AV1120" s="8"/>
      <c r="AW1120" s="8"/>
      <c r="AX1120" s="8"/>
      <c r="AY1120" s="8"/>
      <c r="AZ1120" s="8"/>
    </row>
    <row r="1121" spans="21:52" ht="16.899999999999999">
      <c r="U1121" s="8"/>
      <c r="W1121" s="10"/>
      <c r="X1121" s="10"/>
      <c r="Z1121" s="13"/>
      <c r="AA1121" s="13"/>
      <c r="AB1121" s="13"/>
      <c r="AC1121" s="9"/>
      <c r="AD1121" s="9"/>
      <c r="AE1121" s="11"/>
      <c r="AF1121" s="10"/>
      <c r="AG1121" s="11"/>
      <c r="AH1121" s="10"/>
      <c r="AI1121" s="11"/>
      <c r="AJ1121" s="10"/>
      <c r="AK1121" s="10"/>
      <c r="AL1121" s="10"/>
      <c r="AM1121" s="8"/>
      <c r="AN1121" s="8"/>
      <c r="AO1121" s="9"/>
      <c r="AP1121" s="9"/>
      <c r="AQ1121" s="9"/>
      <c r="AR1121" s="8"/>
      <c r="AS1121" s="8"/>
      <c r="AT1121" s="8"/>
      <c r="AU1121" s="8"/>
      <c r="AV1121" s="8"/>
      <c r="AW1121" s="8"/>
      <c r="AX1121" s="8"/>
      <c r="AY1121" s="8"/>
      <c r="AZ1121" s="8"/>
    </row>
    <row r="1122" spans="21:52" ht="16.899999999999999">
      <c r="U1122" s="8"/>
      <c r="W1122" s="10"/>
      <c r="X1122" s="10"/>
      <c r="Z1122" s="13"/>
      <c r="AA1122" s="13"/>
      <c r="AB1122" s="13"/>
      <c r="AC1122" s="9"/>
      <c r="AD1122" s="9"/>
      <c r="AE1122" s="11"/>
      <c r="AF1122" s="10"/>
      <c r="AG1122" s="11"/>
      <c r="AH1122" s="10"/>
      <c r="AI1122" s="11"/>
      <c r="AJ1122" s="10"/>
      <c r="AK1122" s="10"/>
      <c r="AL1122" s="10"/>
      <c r="AM1122" s="8"/>
      <c r="AN1122" s="8"/>
      <c r="AO1122" s="9"/>
      <c r="AP1122" s="9"/>
      <c r="AQ1122" s="9"/>
      <c r="AR1122" s="8"/>
      <c r="AS1122" s="8"/>
      <c r="AT1122" s="8"/>
      <c r="AU1122" s="8"/>
      <c r="AV1122" s="8"/>
      <c r="AW1122" s="8"/>
      <c r="AX1122" s="8"/>
      <c r="AY1122" s="8"/>
      <c r="AZ1122" s="8"/>
    </row>
    <row r="1123" spans="21:52" ht="16.899999999999999">
      <c r="U1123" s="8"/>
      <c r="W1123" s="10"/>
      <c r="X1123" s="10"/>
      <c r="Z1123" s="13"/>
      <c r="AA1123" s="13"/>
      <c r="AB1123" s="13"/>
      <c r="AC1123" s="9"/>
      <c r="AD1123" s="9"/>
      <c r="AE1123" s="11"/>
      <c r="AF1123" s="10"/>
      <c r="AG1123" s="11"/>
      <c r="AH1123" s="10"/>
      <c r="AI1123" s="11"/>
      <c r="AJ1123" s="10"/>
      <c r="AK1123" s="10"/>
      <c r="AL1123" s="10"/>
      <c r="AM1123" s="8"/>
      <c r="AN1123" s="8"/>
      <c r="AO1123" s="9"/>
      <c r="AP1123" s="9"/>
      <c r="AQ1123" s="9"/>
      <c r="AR1123" s="8"/>
      <c r="AS1123" s="8"/>
      <c r="AT1123" s="8"/>
      <c r="AU1123" s="8"/>
      <c r="AV1123" s="8"/>
      <c r="AW1123" s="8"/>
      <c r="AX1123" s="8"/>
      <c r="AY1123" s="8"/>
      <c r="AZ1123" s="8"/>
    </row>
    <row r="1124" spans="21:52" ht="16.899999999999999">
      <c r="U1124" s="8"/>
      <c r="W1124" s="10"/>
      <c r="X1124" s="10"/>
      <c r="Z1124" s="13"/>
      <c r="AA1124" s="13"/>
      <c r="AB1124" s="13"/>
      <c r="AC1124" s="9"/>
      <c r="AD1124" s="9"/>
      <c r="AE1124" s="11"/>
      <c r="AF1124" s="10"/>
      <c r="AG1124" s="11"/>
      <c r="AH1124" s="10"/>
      <c r="AI1124" s="11"/>
      <c r="AJ1124" s="10"/>
      <c r="AK1124" s="10"/>
      <c r="AL1124" s="10"/>
      <c r="AM1124" s="8"/>
      <c r="AN1124" s="8"/>
      <c r="AO1124" s="9"/>
      <c r="AP1124" s="9"/>
      <c r="AQ1124" s="9"/>
      <c r="AR1124" s="8"/>
      <c r="AS1124" s="8"/>
      <c r="AT1124" s="8"/>
      <c r="AU1124" s="8"/>
      <c r="AV1124" s="8"/>
      <c r="AW1124" s="8"/>
      <c r="AX1124" s="8"/>
      <c r="AY1124" s="8"/>
      <c r="AZ1124" s="8"/>
    </row>
    <row r="1125" spans="21:52" ht="16.899999999999999">
      <c r="U1125" s="8"/>
      <c r="W1125" s="10"/>
      <c r="X1125" s="10"/>
      <c r="Z1125" s="13"/>
      <c r="AA1125" s="13"/>
      <c r="AB1125" s="13"/>
      <c r="AC1125" s="9"/>
      <c r="AD1125" s="9"/>
      <c r="AE1125" s="11"/>
      <c r="AF1125" s="10"/>
      <c r="AG1125" s="11"/>
      <c r="AH1125" s="10"/>
      <c r="AI1125" s="11"/>
      <c r="AJ1125" s="10"/>
      <c r="AK1125" s="10"/>
      <c r="AL1125" s="10"/>
      <c r="AM1125" s="8"/>
      <c r="AN1125" s="8"/>
      <c r="AO1125" s="9"/>
      <c r="AP1125" s="9"/>
      <c r="AQ1125" s="9"/>
      <c r="AR1125" s="8"/>
      <c r="AS1125" s="8"/>
      <c r="AT1125" s="8"/>
      <c r="AU1125" s="8"/>
      <c r="AV1125" s="8"/>
      <c r="AW1125" s="8"/>
      <c r="AX1125" s="8"/>
      <c r="AY1125" s="8"/>
      <c r="AZ1125" s="8"/>
    </row>
    <row r="1126" spans="21:52" ht="16.899999999999999">
      <c r="U1126" s="8"/>
      <c r="W1126" s="10"/>
      <c r="X1126" s="10"/>
      <c r="Z1126" s="13"/>
      <c r="AA1126" s="13"/>
      <c r="AB1126" s="13"/>
      <c r="AC1126" s="9"/>
      <c r="AD1126" s="9"/>
      <c r="AE1126" s="11"/>
      <c r="AF1126" s="10"/>
      <c r="AG1126" s="11"/>
      <c r="AH1126" s="10"/>
      <c r="AI1126" s="11"/>
      <c r="AJ1126" s="10"/>
      <c r="AK1126" s="10"/>
      <c r="AL1126" s="10"/>
      <c r="AM1126" s="8"/>
      <c r="AN1126" s="8"/>
      <c r="AO1126" s="9"/>
      <c r="AP1126" s="9"/>
      <c r="AQ1126" s="9"/>
      <c r="AR1126" s="8"/>
      <c r="AS1126" s="8"/>
      <c r="AT1126" s="8"/>
      <c r="AU1126" s="8"/>
      <c r="AV1126" s="8"/>
      <c r="AW1126" s="8"/>
      <c r="AX1126" s="8"/>
      <c r="AY1126" s="8"/>
      <c r="AZ1126" s="8"/>
    </row>
    <row r="1127" spans="21:52" ht="16.899999999999999">
      <c r="U1127" s="8"/>
      <c r="W1127" s="10"/>
      <c r="X1127" s="10"/>
      <c r="Z1127" s="13"/>
      <c r="AA1127" s="13"/>
      <c r="AB1127" s="13"/>
      <c r="AC1127" s="9"/>
      <c r="AD1127" s="9"/>
      <c r="AE1127" s="11"/>
      <c r="AF1127" s="10"/>
      <c r="AG1127" s="11"/>
      <c r="AH1127" s="10"/>
      <c r="AI1127" s="11"/>
      <c r="AJ1127" s="10"/>
      <c r="AK1127" s="10"/>
      <c r="AL1127" s="10"/>
      <c r="AM1127" s="8"/>
      <c r="AN1127" s="8"/>
      <c r="AO1127" s="9"/>
      <c r="AP1127" s="9"/>
      <c r="AQ1127" s="9"/>
      <c r="AR1127" s="8"/>
      <c r="AS1127" s="8"/>
      <c r="AT1127" s="8"/>
      <c r="AU1127" s="8"/>
      <c r="AV1127" s="8"/>
      <c r="AW1127" s="8"/>
      <c r="AX1127" s="8"/>
      <c r="AY1127" s="8"/>
      <c r="AZ1127" s="8"/>
    </row>
    <row r="1128" spans="21:52" ht="16.899999999999999">
      <c r="U1128" s="8"/>
      <c r="W1128" s="10"/>
      <c r="X1128" s="10"/>
      <c r="Z1128" s="13"/>
      <c r="AA1128" s="13"/>
      <c r="AB1128" s="13"/>
      <c r="AC1128" s="9"/>
      <c r="AD1128" s="9"/>
      <c r="AE1128" s="11"/>
      <c r="AF1128" s="10"/>
      <c r="AG1128" s="11"/>
      <c r="AH1128" s="10"/>
      <c r="AI1128" s="11"/>
      <c r="AJ1128" s="10"/>
      <c r="AK1128" s="10"/>
      <c r="AL1128" s="10"/>
      <c r="AM1128" s="8"/>
      <c r="AN1128" s="8"/>
      <c r="AO1128" s="9"/>
      <c r="AP1128" s="9"/>
      <c r="AQ1128" s="9"/>
      <c r="AR1128" s="8"/>
      <c r="AS1128" s="8"/>
      <c r="AT1128" s="8"/>
      <c r="AU1128" s="8"/>
      <c r="AV1128" s="8"/>
      <c r="AW1128" s="8"/>
      <c r="AX1128" s="8"/>
      <c r="AY1128" s="8"/>
      <c r="AZ1128" s="8"/>
    </row>
    <row r="1129" spans="21:52" ht="16.899999999999999">
      <c r="U1129" s="8"/>
      <c r="W1129" s="10"/>
      <c r="X1129" s="10"/>
      <c r="Z1129" s="13"/>
      <c r="AA1129" s="13"/>
      <c r="AB1129" s="13"/>
      <c r="AC1129" s="9"/>
      <c r="AD1129" s="9"/>
      <c r="AE1129" s="11"/>
      <c r="AF1129" s="10"/>
      <c r="AG1129" s="11"/>
      <c r="AH1129" s="10"/>
      <c r="AI1129" s="11"/>
      <c r="AJ1129" s="10"/>
      <c r="AK1129" s="10"/>
      <c r="AL1129" s="10"/>
      <c r="AM1129" s="8"/>
      <c r="AN1129" s="8"/>
      <c r="AO1129" s="9"/>
      <c r="AP1129" s="9"/>
      <c r="AQ1129" s="9"/>
      <c r="AR1129" s="8"/>
      <c r="AS1129" s="8"/>
      <c r="AT1129" s="8"/>
      <c r="AU1129" s="8"/>
      <c r="AV1129" s="8"/>
      <c r="AW1129" s="8"/>
      <c r="AX1129" s="8"/>
      <c r="AY1129" s="8"/>
      <c r="AZ1129" s="8"/>
    </row>
    <row r="1130" spans="21:52" ht="16.899999999999999">
      <c r="U1130" s="8"/>
      <c r="W1130" s="10"/>
      <c r="X1130" s="10"/>
      <c r="Z1130" s="13"/>
      <c r="AA1130" s="13"/>
      <c r="AB1130" s="13"/>
      <c r="AC1130" s="9"/>
      <c r="AD1130" s="9"/>
      <c r="AE1130" s="11"/>
      <c r="AF1130" s="10"/>
      <c r="AG1130" s="11"/>
      <c r="AH1130" s="10"/>
      <c r="AI1130" s="11"/>
      <c r="AJ1130" s="10"/>
      <c r="AK1130" s="10"/>
      <c r="AL1130" s="10"/>
      <c r="AM1130" s="8"/>
      <c r="AN1130" s="8"/>
      <c r="AO1130" s="9"/>
      <c r="AP1130" s="9"/>
      <c r="AQ1130" s="9"/>
      <c r="AR1130" s="8"/>
      <c r="AS1130" s="8"/>
      <c r="AT1130" s="8"/>
      <c r="AU1130" s="8"/>
      <c r="AV1130" s="8"/>
      <c r="AW1130" s="8"/>
      <c r="AX1130" s="8"/>
      <c r="AY1130" s="8"/>
      <c r="AZ1130" s="8"/>
    </row>
    <row r="1131" spans="21:52" ht="16.899999999999999">
      <c r="U1131" s="8"/>
      <c r="W1131" s="10"/>
      <c r="X1131" s="10"/>
      <c r="Z1131" s="13"/>
      <c r="AA1131" s="13"/>
      <c r="AB1131" s="13"/>
      <c r="AC1131" s="9"/>
      <c r="AD1131" s="9"/>
      <c r="AE1131" s="11"/>
      <c r="AF1131" s="10"/>
      <c r="AG1131" s="11"/>
      <c r="AH1131" s="10"/>
      <c r="AI1131" s="11"/>
      <c r="AJ1131" s="10"/>
      <c r="AK1131" s="10"/>
      <c r="AL1131" s="10"/>
      <c r="AM1131" s="8"/>
      <c r="AN1131" s="8"/>
      <c r="AO1131" s="9"/>
      <c r="AP1131" s="9"/>
      <c r="AQ1131" s="9"/>
      <c r="AR1131" s="8"/>
      <c r="AS1131" s="8"/>
      <c r="AT1131" s="8"/>
      <c r="AU1131" s="8"/>
      <c r="AV1131" s="8"/>
      <c r="AW1131" s="8"/>
      <c r="AX1131" s="8"/>
      <c r="AY1131" s="8"/>
      <c r="AZ1131" s="8"/>
    </row>
    <row r="1132" spans="21:52" ht="16.899999999999999">
      <c r="U1132" s="8"/>
      <c r="W1132" s="10"/>
      <c r="X1132" s="10"/>
      <c r="Z1132" s="13"/>
      <c r="AA1132" s="13"/>
      <c r="AB1132" s="13"/>
      <c r="AC1132" s="9"/>
      <c r="AD1132" s="9"/>
      <c r="AE1132" s="11"/>
      <c r="AF1132" s="10"/>
      <c r="AG1132" s="11"/>
      <c r="AH1132" s="10"/>
      <c r="AI1132" s="11"/>
      <c r="AJ1132" s="10"/>
      <c r="AK1132" s="10"/>
      <c r="AL1132" s="10"/>
      <c r="AM1132" s="8"/>
      <c r="AN1132" s="8"/>
      <c r="AO1132" s="9"/>
      <c r="AP1132" s="9"/>
      <c r="AQ1132" s="9"/>
      <c r="AR1132" s="8"/>
      <c r="AS1132" s="8"/>
      <c r="AT1132" s="8"/>
      <c r="AU1132" s="8"/>
      <c r="AV1132" s="8"/>
      <c r="AW1132" s="8"/>
      <c r="AX1132" s="8"/>
      <c r="AY1132" s="8"/>
      <c r="AZ1132" s="8"/>
    </row>
    <row r="1133" spans="21:52" ht="16.899999999999999">
      <c r="U1133" s="8"/>
      <c r="W1133" s="10"/>
      <c r="X1133" s="10"/>
      <c r="Z1133" s="13"/>
      <c r="AA1133" s="13"/>
      <c r="AB1133" s="13"/>
      <c r="AC1133" s="9"/>
      <c r="AD1133" s="9"/>
      <c r="AE1133" s="11"/>
      <c r="AF1133" s="10"/>
      <c r="AG1133" s="11"/>
      <c r="AH1133" s="10"/>
      <c r="AI1133" s="11"/>
      <c r="AJ1133" s="10"/>
      <c r="AK1133" s="10"/>
      <c r="AL1133" s="10"/>
      <c r="AM1133" s="8"/>
      <c r="AN1133" s="8"/>
      <c r="AO1133" s="9"/>
      <c r="AP1133" s="9"/>
      <c r="AQ1133" s="9"/>
      <c r="AR1133" s="8"/>
      <c r="AS1133" s="8"/>
      <c r="AT1133" s="8"/>
      <c r="AU1133" s="8"/>
      <c r="AV1133" s="8"/>
      <c r="AW1133" s="8"/>
      <c r="AX1133" s="8"/>
      <c r="AY1133" s="8"/>
      <c r="AZ1133" s="8"/>
    </row>
    <row r="1134" spans="21:52" ht="16.899999999999999">
      <c r="U1134" s="8"/>
      <c r="W1134" s="10"/>
      <c r="X1134" s="10"/>
      <c r="Z1134" s="13"/>
      <c r="AA1134" s="13"/>
      <c r="AB1134" s="13"/>
      <c r="AC1134" s="9"/>
      <c r="AD1134" s="9"/>
      <c r="AE1134" s="11"/>
      <c r="AF1134" s="10"/>
      <c r="AG1134" s="11"/>
      <c r="AH1134" s="10"/>
      <c r="AI1134" s="11"/>
      <c r="AJ1134" s="10"/>
      <c r="AK1134" s="10"/>
      <c r="AL1134" s="10"/>
      <c r="AM1134" s="8"/>
      <c r="AN1134" s="8"/>
      <c r="AO1134" s="9"/>
      <c r="AP1134" s="9"/>
      <c r="AQ1134" s="9"/>
      <c r="AR1134" s="8"/>
      <c r="AS1134" s="8"/>
      <c r="AT1134" s="8"/>
      <c r="AU1134" s="8"/>
      <c r="AV1134" s="8"/>
      <c r="AW1134" s="8"/>
      <c r="AX1134" s="8"/>
      <c r="AY1134" s="8"/>
      <c r="AZ1134" s="8"/>
    </row>
    <row r="1135" spans="21:52" ht="16.899999999999999">
      <c r="U1135" s="8"/>
      <c r="W1135" s="10"/>
      <c r="X1135" s="10"/>
      <c r="Z1135" s="13"/>
      <c r="AA1135" s="13"/>
      <c r="AB1135" s="13"/>
      <c r="AC1135" s="9"/>
      <c r="AD1135" s="9"/>
      <c r="AE1135" s="11"/>
      <c r="AF1135" s="10"/>
      <c r="AG1135" s="11"/>
      <c r="AH1135" s="10"/>
      <c r="AI1135" s="11"/>
      <c r="AJ1135" s="10"/>
      <c r="AK1135" s="10"/>
      <c r="AL1135" s="10"/>
      <c r="AM1135" s="8"/>
      <c r="AN1135" s="8"/>
      <c r="AO1135" s="9"/>
      <c r="AP1135" s="9"/>
      <c r="AQ1135" s="9"/>
      <c r="AR1135" s="8"/>
      <c r="AS1135" s="8"/>
      <c r="AT1135" s="8"/>
      <c r="AU1135" s="8"/>
      <c r="AV1135" s="8"/>
      <c r="AW1135" s="8"/>
      <c r="AX1135" s="8"/>
      <c r="AY1135" s="8"/>
      <c r="AZ1135" s="8"/>
    </row>
    <row r="1136" spans="21:52" ht="16.899999999999999">
      <c r="U1136" s="8"/>
      <c r="W1136" s="10"/>
      <c r="X1136" s="10"/>
      <c r="Z1136" s="13"/>
      <c r="AA1136" s="13"/>
      <c r="AB1136" s="13"/>
      <c r="AC1136" s="9"/>
      <c r="AD1136" s="9"/>
      <c r="AE1136" s="11"/>
      <c r="AF1136" s="10"/>
      <c r="AG1136" s="11"/>
      <c r="AH1136" s="10"/>
      <c r="AI1136" s="11"/>
      <c r="AJ1136" s="10"/>
      <c r="AK1136" s="10"/>
      <c r="AL1136" s="10"/>
      <c r="AM1136" s="8"/>
      <c r="AN1136" s="8"/>
      <c r="AO1136" s="9"/>
      <c r="AP1136" s="9"/>
      <c r="AQ1136" s="9"/>
      <c r="AR1136" s="8"/>
      <c r="AS1136" s="8"/>
      <c r="AT1136" s="8"/>
      <c r="AU1136" s="8"/>
      <c r="AV1136" s="8"/>
      <c r="AW1136" s="8"/>
      <c r="AX1136" s="8"/>
      <c r="AY1136" s="8"/>
      <c r="AZ1136" s="8"/>
    </row>
    <row r="1137" spans="21:52" ht="16.899999999999999">
      <c r="U1137" s="8"/>
      <c r="W1137" s="10"/>
      <c r="X1137" s="10"/>
      <c r="Z1137" s="13"/>
      <c r="AA1137" s="13"/>
      <c r="AB1137" s="13"/>
      <c r="AC1137" s="9"/>
      <c r="AD1137" s="9"/>
      <c r="AE1137" s="11"/>
      <c r="AF1137" s="10"/>
      <c r="AG1137" s="11"/>
      <c r="AH1137" s="10"/>
      <c r="AI1137" s="11"/>
      <c r="AJ1137" s="10"/>
      <c r="AK1137" s="10"/>
      <c r="AL1137" s="10"/>
      <c r="AM1137" s="8"/>
      <c r="AN1137" s="8"/>
      <c r="AO1137" s="9"/>
      <c r="AP1137" s="9"/>
      <c r="AQ1137" s="9"/>
      <c r="AR1137" s="8"/>
      <c r="AS1137" s="8"/>
      <c r="AT1137" s="8"/>
      <c r="AU1137" s="8"/>
      <c r="AV1137" s="8"/>
      <c r="AW1137" s="8"/>
      <c r="AX1137" s="8"/>
      <c r="AY1137" s="8"/>
      <c r="AZ1137" s="8"/>
    </row>
    <row r="1138" spans="21:52" ht="16.899999999999999">
      <c r="U1138" s="8"/>
      <c r="W1138" s="10"/>
      <c r="X1138" s="10"/>
      <c r="Z1138" s="13"/>
      <c r="AA1138" s="13"/>
      <c r="AB1138" s="13"/>
      <c r="AC1138" s="9"/>
      <c r="AD1138" s="9"/>
      <c r="AE1138" s="11"/>
      <c r="AF1138" s="10"/>
      <c r="AG1138" s="11"/>
      <c r="AH1138" s="10"/>
      <c r="AI1138" s="11"/>
      <c r="AJ1138" s="10"/>
      <c r="AK1138" s="10"/>
      <c r="AL1138" s="10"/>
      <c r="AM1138" s="8"/>
      <c r="AN1138" s="8"/>
      <c r="AO1138" s="9"/>
      <c r="AP1138" s="9"/>
      <c r="AQ1138" s="9"/>
      <c r="AR1138" s="8"/>
      <c r="AS1138" s="8"/>
      <c r="AT1138" s="8"/>
      <c r="AU1138" s="8"/>
      <c r="AV1138" s="8"/>
      <c r="AW1138" s="8"/>
      <c r="AX1138" s="8"/>
      <c r="AY1138" s="8"/>
      <c r="AZ1138" s="8"/>
    </row>
    <row r="1139" spans="21:52" ht="16.899999999999999">
      <c r="U1139" s="8"/>
      <c r="W1139" s="10"/>
      <c r="X1139" s="10"/>
      <c r="Z1139" s="13"/>
      <c r="AA1139" s="13"/>
      <c r="AB1139" s="13"/>
      <c r="AC1139" s="9"/>
      <c r="AD1139" s="9"/>
      <c r="AE1139" s="11"/>
      <c r="AF1139" s="10"/>
      <c r="AG1139" s="11"/>
      <c r="AH1139" s="10"/>
      <c r="AI1139" s="11"/>
      <c r="AJ1139" s="10"/>
      <c r="AK1139" s="10"/>
      <c r="AL1139" s="10"/>
      <c r="AM1139" s="8"/>
      <c r="AN1139" s="8"/>
      <c r="AO1139" s="9"/>
      <c r="AP1139" s="9"/>
      <c r="AQ1139" s="9"/>
      <c r="AR1139" s="8"/>
      <c r="AS1139" s="8"/>
      <c r="AT1139" s="8"/>
      <c r="AU1139" s="8"/>
      <c r="AV1139" s="8"/>
      <c r="AW1139" s="8"/>
      <c r="AX1139" s="8"/>
      <c r="AY1139" s="8"/>
      <c r="AZ1139" s="8"/>
    </row>
    <row r="1140" spans="21:52" ht="16.899999999999999">
      <c r="U1140" s="8"/>
      <c r="W1140" s="10"/>
      <c r="X1140" s="10"/>
      <c r="Z1140" s="13"/>
      <c r="AA1140" s="13"/>
      <c r="AB1140" s="13"/>
      <c r="AC1140" s="9"/>
      <c r="AD1140" s="9"/>
      <c r="AE1140" s="11"/>
      <c r="AF1140" s="10"/>
      <c r="AG1140" s="11"/>
      <c r="AH1140" s="10"/>
      <c r="AI1140" s="11"/>
      <c r="AJ1140" s="10"/>
      <c r="AK1140" s="10"/>
      <c r="AL1140" s="10"/>
      <c r="AM1140" s="8"/>
      <c r="AN1140" s="8"/>
      <c r="AO1140" s="9"/>
      <c r="AP1140" s="9"/>
      <c r="AQ1140" s="9"/>
      <c r="AR1140" s="8"/>
      <c r="AS1140" s="8"/>
      <c r="AT1140" s="8"/>
      <c r="AU1140" s="8"/>
      <c r="AV1140" s="8"/>
      <c r="AW1140" s="8"/>
      <c r="AX1140" s="8"/>
      <c r="AY1140" s="8"/>
      <c r="AZ1140" s="8"/>
    </row>
    <row r="1141" spans="21:52" ht="16.899999999999999">
      <c r="U1141" s="8"/>
      <c r="W1141" s="10"/>
      <c r="X1141" s="10"/>
      <c r="Z1141" s="13"/>
      <c r="AA1141" s="13"/>
      <c r="AB1141" s="13"/>
      <c r="AC1141" s="9"/>
      <c r="AD1141" s="9"/>
      <c r="AE1141" s="11"/>
      <c r="AF1141" s="10"/>
      <c r="AG1141" s="11"/>
      <c r="AH1141" s="10"/>
      <c r="AI1141" s="11"/>
      <c r="AJ1141" s="10"/>
      <c r="AK1141" s="10"/>
      <c r="AL1141" s="10"/>
      <c r="AM1141" s="8"/>
      <c r="AN1141" s="8"/>
      <c r="AO1141" s="9"/>
      <c r="AP1141" s="9"/>
      <c r="AQ1141" s="9"/>
      <c r="AR1141" s="8"/>
      <c r="AS1141" s="8"/>
      <c r="AT1141" s="8"/>
      <c r="AU1141" s="8"/>
      <c r="AV1141" s="8"/>
      <c r="AW1141" s="8"/>
      <c r="AX1141" s="8"/>
      <c r="AY1141" s="8"/>
      <c r="AZ1141" s="8"/>
    </row>
    <row r="1142" spans="21:52" ht="16.899999999999999">
      <c r="U1142" s="8"/>
      <c r="W1142" s="10"/>
      <c r="X1142" s="10"/>
      <c r="Z1142" s="13"/>
      <c r="AA1142" s="13"/>
      <c r="AB1142" s="13"/>
      <c r="AC1142" s="9"/>
      <c r="AD1142" s="9"/>
      <c r="AE1142" s="11"/>
      <c r="AF1142" s="10"/>
      <c r="AG1142" s="11"/>
      <c r="AH1142" s="10"/>
      <c r="AI1142" s="11"/>
      <c r="AJ1142" s="10"/>
      <c r="AK1142" s="10"/>
      <c r="AL1142" s="10"/>
      <c r="AM1142" s="8"/>
      <c r="AN1142" s="8"/>
      <c r="AO1142" s="9"/>
      <c r="AP1142" s="9"/>
      <c r="AQ1142" s="9"/>
      <c r="AR1142" s="8"/>
      <c r="AS1142" s="8"/>
      <c r="AT1142" s="8"/>
      <c r="AU1142" s="8"/>
      <c r="AV1142" s="8"/>
      <c r="AW1142" s="8"/>
      <c r="AX1142" s="8"/>
      <c r="AY1142" s="8"/>
      <c r="AZ1142" s="8"/>
    </row>
    <row r="1143" spans="21:52" ht="16.899999999999999">
      <c r="U1143" s="8"/>
      <c r="W1143" s="10"/>
      <c r="X1143" s="10"/>
      <c r="Z1143" s="13"/>
      <c r="AA1143" s="13"/>
      <c r="AB1143" s="13"/>
      <c r="AC1143" s="9"/>
      <c r="AD1143" s="9"/>
      <c r="AE1143" s="11"/>
      <c r="AF1143" s="10"/>
      <c r="AG1143" s="11"/>
      <c r="AH1143" s="10"/>
      <c r="AI1143" s="11"/>
      <c r="AJ1143" s="10"/>
      <c r="AK1143" s="10"/>
      <c r="AL1143" s="10"/>
      <c r="AM1143" s="8"/>
      <c r="AN1143" s="8"/>
      <c r="AO1143" s="9"/>
      <c r="AP1143" s="9"/>
      <c r="AQ1143" s="9"/>
      <c r="AR1143" s="8"/>
      <c r="AS1143" s="8"/>
      <c r="AT1143" s="8"/>
      <c r="AU1143" s="8"/>
      <c r="AV1143" s="8"/>
      <c r="AW1143" s="8"/>
      <c r="AX1143" s="8"/>
      <c r="AY1143" s="8"/>
      <c r="AZ1143" s="8"/>
    </row>
    <row r="1144" spans="21:52" ht="16.899999999999999">
      <c r="U1144" s="8"/>
      <c r="W1144" s="10"/>
      <c r="X1144" s="10"/>
      <c r="Z1144" s="13"/>
      <c r="AA1144" s="13"/>
      <c r="AB1144" s="13"/>
      <c r="AC1144" s="9"/>
      <c r="AD1144" s="9"/>
      <c r="AE1144" s="11"/>
      <c r="AF1144" s="10"/>
      <c r="AG1144" s="11"/>
      <c r="AH1144" s="10"/>
      <c r="AI1144" s="11"/>
      <c r="AJ1144" s="10"/>
      <c r="AK1144" s="10"/>
      <c r="AL1144" s="10"/>
      <c r="AM1144" s="8"/>
      <c r="AN1144" s="8"/>
      <c r="AO1144" s="9"/>
      <c r="AP1144" s="9"/>
      <c r="AQ1144" s="9"/>
      <c r="AR1144" s="8"/>
      <c r="AS1144" s="8"/>
      <c r="AT1144" s="8"/>
      <c r="AU1144" s="8"/>
      <c r="AV1144" s="8"/>
      <c r="AW1144" s="8"/>
      <c r="AX1144" s="8"/>
      <c r="AY1144" s="8"/>
      <c r="AZ1144" s="8"/>
    </row>
    <row r="1145" spans="21:52" ht="16.899999999999999">
      <c r="U1145" s="8"/>
      <c r="W1145" s="10"/>
      <c r="X1145" s="10"/>
      <c r="Z1145" s="13"/>
      <c r="AA1145" s="13"/>
      <c r="AB1145" s="13"/>
      <c r="AC1145" s="9"/>
      <c r="AD1145" s="9"/>
      <c r="AE1145" s="11"/>
      <c r="AF1145" s="10"/>
      <c r="AG1145" s="11"/>
      <c r="AH1145" s="10"/>
      <c r="AI1145" s="11"/>
      <c r="AJ1145" s="10"/>
      <c r="AK1145" s="10"/>
      <c r="AL1145" s="10"/>
      <c r="AM1145" s="8"/>
      <c r="AN1145" s="8"/>
      <c r="AO1145" s="9"/>
      <c r="AP1145" s="9"/>
      <c r="AQ1145" s="9"/>
      <c r="AR1145" s="8"/>
      <c r="AS1145" s="8"/>
      <c r="AT1145" s="8"/>
      <c r="AU1145" s="8"/>
      <c r="AV1145" s="8"/>
      <c r="AW1145" s="8"/>
      <c r="AX1145" s="8"/>
      <c r="AY1145" s="8"/>
      <c r="AZ1145" s="8"/>
    </row>
    <row r="1146" spans="21:52" ht="16.899999999999999">
      <c r="U1146" s="8"/>
      <c r="W1146" s="10"/>
      <c r="X1146" s="10"/>
      <c r="Z1146" s="13"/>
      <c r="AA1146" s="13"/>
      <c r="AB1146" s="13"/>
      <c r="AC1146" s="9"/>
      <c r="AD1146" s="9"/>
      <c r="AE1146" s="11"/>
      <c r="AF1146" s="10"/>
      <c r="AG1146" s="11"/>
      <c r="AH1146" s="10"/>
      <c r="AI1146" s="11"/>
      <c r="AJ1146" s="10"/>
      <c r="AK1146" s="10"/>
      <c r="AL1146" s="10"/>
      <c r="AM1146" s="8"/>
      <c r="AN1146" s="8"/>
      <c r="AO1146" s="9"/>
      <c r="AP1146" s="9"/>
      <c r="AQ1146" s="9"/>
      <c r="AR1146" s="8"/>
      <c r="AS1146" s="8"/>
      <c r="AT1146" s="8"/>
      <c r="AU1146" s="8"/>
      <c r="AV1146" s="8"/>
      <c r="AW1146" s="8"/>
      <c r="AX1146" s="8"/>
      <c r="AY1146" s="8"/>
      <c r="AZ1146" s="8"/>
    </row>
    <row r="1147" spans="21:52" ht="16.899999999999999">
      <c r="U1147" s="8"/>
      <c r="W1147" s="10"/>
      <c r="X1147" s="10"/>
      <c r="Z1147" s="13"/>
      <c r="AA1147" s="13"/>
      <c r="AB1147" s="13"/>
      <c r="AC1147" s="9"/>
      <c r="AD1147" s="9"/>
      <c r="AE1147" s="11"/>
      <c r="AF1147" s="10"/>
      <c r="AG1147" s="11"/>
      <c r="AH1147" s="10"/>
      <c r="AI1147" s="11"/>
      <c r="AJ1147" s="10"/>
      <c r="AK1147" s="10"/>
      <c r="AL1147" s="10"/>
      <c r="AM1147" s="8"/>
      <c r="AN1147" s="8"/>
      <c r="AO1147" s="9"/>
      <c r="AP1147" s="9"/>
      <c r="AQ1147" s="9"/>
      <c r="AR1147" s="8"/>
      <c r="AS1147" s="8"/>
      <c r="AT1147" s="8"/>
      <c r="AU1147" s="8"/>
      <c r="AV1147" s="8"/>
      <c r="AW1147" s="8"/>
      <c r="AX1147" s="8"/>
      <c r="AY1147" s="8"/>
      <c r="AZ1147" s="8"/>
    </row>
    <row r="1148" spans="21:52" ht="16.899999999999999">
      <c r="U1148" s="8"/>
      <c r="W1148" s="10"/>
      <c r="X1148" s="10"/>
      <c r="Z1148" s="13"/>
      <c r="AA1148" s="13"/>
      <c r="AB1148" s="13"/>
      <c r="AC1148" s="9"/>
      <c r="AD1148" s="9"/>
      <c r="AE1148" s="11"/>
      <c r="AF1148" s="10"/>
      <c r="AG1148" s="11"/>
      <c r="AH1148" s="10"/>
      <c r="AI1148" s="11"/>
      <c r="AJ1148" s="10"/>
      <c r="AK1148" s="10"/>
      <c r="AL1148" s="10"/>
      <c r="AM1148" s="8"/>
      <c r="AN1148" s="8"/>
      <c r="AO1148" s="9"/>
      <c r="AP1148" s="9"/>
      <c r="AQ1148" s="9"/>
      <c r="AR1148" s="8"/>
      <c r="AS1148" s="8"/>
      <c r="AT1148" s="8"/>
      <c r="AU1148" s="8"/>
      <c r="AV1148" s="8"/>
      <c r="AW1148" s="8"/>
      <c r="AX1148" s="8"/>
      <c r="AY1148" s="8"/>
      <c r="AZ1148" s="8"/>
    </row>
    <row r="1149" spans="21:52" ht="16.899999999999999">
      <c r="U1149" s="8"/>
      <c r="W1149" s="10"/>
      <c r="X1149" s="10"/>
      <c r="Z1149" s="13"/>
      <c r="AA1149" s="13"/>
      <c r="AB1149" s="13"/>
      <c r="AC1149" s="9"/>
      <c r="AD1149" s="9"/>
      <c r="AE1149" s="11"/>
      <c r="AF1149" s="10"/>
      <c r="AG1149" s="11"/>
      <c r="AH1149" s="10"/>
      <c r="AI1149" s="11"/>
      <c r="AJ1149" s="10"/>
      <c r="AK1149" s="10"/>
      <c r="AL1149" s="10"/>
      <c r="AM1149" s="8"/>
      <c r="AN1149" s="8"/>
      <c r="AO1149" s="9"/>
      <c r="AP1149" s="9"/>
      <c r="AQ1149" s="9"/>
      <c r="AR1149" s="8"/>
      <c r="AS1149" s="8"/>
      <c r="AT1149" s="8"/>
      <c r="AU1149" s="8"/>
      <c r="AV1149" s="8"/>
      <c r="AW1149" s="8"/>
      <c r="AX1149" s="8"/>
      <c r="AY1149" s="8"/>
      <c r="AZ1149" s="8"/>
    </row>
    <row r="1150" spans="21:52" ht="16.899999999999999">
      <c r="U1150" s="8"/>
      <c r="W1150" s="10"/>
      <c r="X1150" s="10"/>
      <c r="Z1150" s="13"/>
      <c r="AA1150" s="13"/>
      <c r="AB1150" s="13"/>
      <c r="AC1150" s="9"/>
      <c r="AD1150" s="9"/>
      <c r="AE1150" s="11"/>
      <c r="AF1150" s="10"/>
      <c r="AG1150" s="11"/>
      <c r="AH1150" s="10"/>
      <c r="AI1150" s="11"/>
      <c r="AJ1150" s="10"/>
      <c r="AK1150" s="10"/>
      <c r="AL1150" s="10"/>
      <c r="AM1150" s="8"/>
      <c r="AN1150" s="8"/>
      <c r="AO1150" s="9"/>
      <c r="AP1150" s="9"/>
      <c r="AQ1150" s="9"/>
      <c r="AR1150" s="8"/>
      <c r="AS1150" s="8"/>
      <c r="AT1150" s="8"/>
      <c r="AU1150" s="8"/>
      <c r="AV1150" s="8"/>
      <c r="AW1150" s="8"/>
      <c r="AX1150" s="8"/>
      <c r="AY1150" s="8"/>
      <c r="AZ1150" s="8"/>
    </row>
    <row r="1151" spans="21:52" ht="16.899999999999999">
      <c r="U1151" s="8"/>
      <c r="W1151" s="10"/>
      <c r="X1151" s="10"/>
      <c r="Z1151" s="13"/>
      <c r="AA1151" s="13"/>
      <c r="AB1151" s="13"/>
      <c r="AC1151" s="9"/>
      <c r="AD1151" s="9"/>
      <c r="AE1151" s="11"/>
      <c r="AF1151" s="10"/>
      <c r="AG1151" s="11"/>
      <c r="AH1151" s="10"/>
      <c r="AI1151" s="11"/>
      <c r="AJ1151" s="10"/>
      <c r="AK1151" s="10"/>
      <c r="AL1151" s="10"/>
      <c r="AM1151" s="8"/>
      <c r="AN1151" s="8"/>
      <c r="AO1151" s="9"/>
      <c r="AP1151" s="9"/>
      <c r="AQ1151" s="9"/>
      <c r="AR1151" s="8"/>
      <c r="AS1151" s="8"/>
      <c r="AT1151" s="8"/>
      <c r="AU1151" s="8"/>
      <c r="AV1151" s="8"/>
      <c r="AW1151" s="8"/>
      <c r="AX1151" s="8"/>
      <c r="AY1151" s="8"/>
      <c r="AZ1151" s="8"/>
    </row>
    <row r="1152" spans="21:52" ht="16.899999999999999">
      <c r="U1152" s="8"/>
      <c r="W1152" s="10"/>
      <c r="X1152" s="10"/>
      <c r="Z1152" s="13"/>
      <c r="AA1152" s="13"/>
      <c r="AB1152" s="13"/>
      <c r="AC1152" s="9"/>
      <c r="AD1152" s="9"/>
      <c r="AE1152" s="11"/>
      <c r="AF1152" s="10"/>
      <c r="AG1152" s="11"/>
      <c r="AH1152" s="10"/>
      <c r="AI1152" s="11"/>
      <c r="AJ1152" s="10"/>
      <c r="AK1152" s="10"/>
      <c r="AL1152" s="10"/>
      <c r="AM1152" s="8"/>
      <c r="AN1152" s="8"/>
      <c r="AO1152" s="9"/>
      <c r="AP1152" s="9"/>
      <c r="AQ1152" s="9"/>
      <c r="AR1152" s="8"/>
      <c r="AS1152" s="8"/>
      <c r="AT1152" s="8"/>
      <c r="AU1152" s="8"/>
      <c r="AV1152" s="8"/>
      <c r="AW1152" s="8"/>
      <c r="AX1152" s="8"/>
      <c r="AY1152" s="8"/>
      <c r="AZ1152" s="8"/>
    </row>
    <row r="1153" spans="21:52" ht="16.899999999999999">
      <c r="U1153" s="8"/>
      <c r="W1153" s="10"/>
      <c r="X1153" s="10"/>
      <c r="Z1153" s="13"/>
      <c r="AA1153" s="13"/>
      <c r="AB1153" s="13"/>
      <c r="AC1153" s="9"/>
      <c r="AD1153" s="9"/>
      <c r="AE1153" s="11"/>
      <c r="AF1153" s="10"/>
      <c r="AG1153" s="11"/>
      <c r="AH1153" s="10"/>
      <c r="AI1153" s="11"/>
      <c r="AJ1153" s="10"/>
      <c r="AK1153" s="10"/>
      <c r="AL1153" s="10"/>
      <c r="AM1153" s="8"/>
      <c r="AN1153" s="8"/>
      <c r="AO1153" s="9"/>
      <c r="AP1153" s="9"/>
      <c r="AQ1153" s="9"/>
      <c r="AR1153" s="8"/>
      <c r="AS1153" s="8"/>
      <c r="AT1153" s="8"/>
      <c r="AU1153" s="8"/>
      <c r="AV1153" s="8"/>
      <c r="AW1153" s="8"/>
      <c r="AX1153" s="8"/>
      <c r="AY1153" s="8"/>
      <c r="AZ1153" s="8"/>
    </row>
    <row r="1154" spans="21:52" ht="16.899999999999999">
      <c r="U1154" s="8"/>
      <c r="W1154" s="10"/>
      <c r="X1154" s="10"/>
      <c r="Z1154" s="13"/>
      <c r="AA1154" s="13"/>
      <c r="AB1154" s="13"/>
      <c r="AC1154" s="9"/>
      <c r="AD1154" s="9"/>
      <c r="AE1154" s="11"/>
      <c r="AF1154" s="10"/>
      <c r="AG1154" s="11"/>
      <c r="AH1154" s="10"/>
      <c r="AI1154" s="11"/>
      <c r="AJ1154" s="10"/>
      <c r="AK1154" s="10"/>
      <c r="AL1154" s="10"/>
      <c r="AM1154" s="8"/>
      <c r="AN1154" s="8"/>
      <c r="AO1154" s="9"/>
      <c r="AP1154" s="9"/>
      <c r="AQ1154" s="9"/>
      <c r="AR1154" s="8"/>
      <c r="AS1154" s="8"/>
      <c r="AT1154" s="8"/>
      <c r="AU1154" s="8"/>
      <c r="AV1154" s="8"/>
      <c r="AW1154" s="8"/>
      <c r="AX1154" s="8"/>
      <c r="AY1154" s="8"/>
      <c r="AZ1154" s="8"/>
    </row>
    <row r="1155" spans="21:52" ht="16.899999999999999">
      <c r="U1155" s="8"/>
      <c r="W1155" s="10"/>
      <c r="X1155" s="10"/>
      <c r="Z1155" s="13"/>
      <c r="AA1155" s="13"/>
      <c r="AB1155" s="13"/>
      <c r="AC1155" s="9"/>
      <c r="AD1155" s="9"/>
      <c r="AE1155" s="11"/>
      <c r="AF1155" s="10"/>
      <c r="AG1155" s="11"/>
      <c r="AH1155" s="10"/>
      <c r="AI1155" s="11"/>
      <c r="AJ1155" s="10"/>
      <c r="AK1155" s="10"/>
      <c r="AL1155" s="10"/>
      <c r="AM1155" s="8"/>
      <c r="AN1155" s="8"/>
      <c r="AO1155" s="9"/>
      <c r="AP1155" s="9"/>
      <c r="AQ1155" s="9"/>
      <c r="AR1155" s="8"/>
      <c r="AS1155" s="8"/>
      <c r="AT1155" s="8"/>
      <c r="AU1155" s="8"/>
      <c r="AV1155" s="8"/>
      <c r="AW1155" s="8"/>
      <c r="AX1155" s="8"/>
      <c r="AY1155" s="8"/>
      <c r="AZ1155" s="8"/>
    </row>
    <row r="1156" spans="21:52" ht="16.899999999999999">
      <c r="U1156" s="8"/>
      <c r="W1156" s="10"/>
      <c r="X1156" s="10"/>
      <c r="Z1156" s="13"/>
      <c r="AA1156" s="13"/>
      <c r="AB1156" s="13"/>
      <c r="AC1156" s="9"/>
      <c r="AD1156" s="9"/>
      <c r="AE1156" s="11"/>
      <c r="AF1156" s="10"/>
      <c r="AG1156" s="11"/>
      <c r="AH1156" s="10"/>
      <c r="AI1156" s="11"/>
      <c r="AJ1156" s="10"/>
      <c r="AK1156" s="10"/>
      <c r="AL1156" s="10"/>
      <c r="AM1156" s="8"/>
      <c r="AN1156" s="8"/>
      <c r="AO1156" s="9"/>
      <c r="AP1156" s="9"/>
      <c r="AQ1156" s="9"/>
      <c r="AR1156" s="8"/>
      <c r="AS1156" s="8"/>
      <c r="AT1156" s="8"/>
      <c r="AU1156" s="8"/>
      <c r="AV1156" s="8"/>
      <c r="AW1156" s="8"/>
      <c r="AX1156" s="8"/>
      <c r="AY1156" s="8"/>
      <c r="AZ1156" s="8"/>
    </row>
    <row r="1157" spans="21:52" ht="16.899999999999999">
      <c r="U1157" s="8"/>
      <c r="W1157" s="10"/>
      <c r="X1157" s="10"/>
      <c r="Z1157" s="13"/>
      <c r="AA1157" s="13"/>
      <c r="AB1157" s="13"/>
      <c r="AC1157" s="9"/>
      <c r="AD1157" s="9"/>
      <c r="AE1157" s="11"/>
      <c r="AF1157" s="10"/>
      <c r="AG1157" s="11"/>
      <c r="AH1157" s="10"/>
      <c r="AI1157" s="11"/>
      <c r="AJ1157" s="10"/>
      <c r="AK1157" s="10"/>
      <c r="AL1157" s="10"/>
      <c r="AM1157" s="8"/>
      <c r="AN1157" s="8"/>
      <c r="AO1157" s="9"/>
      <c r="AP1157" s="9"/>
      <c r="AQ1157" s="9"/>
      <c r="AR1157" s="8"/>
      <c r="AS1157" s="8"/>
      <c r="AT1157" s="8"/>
      <c r="AU1157" s="8"/>
      <c r="AV1157" s="8"/>
      <c r="AW1157" s="8"/>
      <c r="AX1157" s="8"/>
      <c r="AY1157" s="8"/>
      <c r="AZ1157" s="8"/>
    </row>
    <row r="1158" spans="21:52" ht="16.899999999999999">
      <c r="U1158" s="8"/>
      <c r="W1158" s="10"/>
      <c r="X1158" s="10"/>
      <c r="Z1158" s="13"/>
      <c r="AA1158" s="13"/>
      <c r="AB1158" s="13"/>
      <c r="AC1158" s="9"/>
      <c r="AD1158" s="9"/>
      <c r="AE1158" s="11"/>
      <c r="AF1158" s="10"/>
      <c r="AG1158" s="11"/>
      <c r="AH1158" s="10"/>
      <c r="AI1158" s="11"/>
      <c r="AJ1158" s="10"/>
      <c r="AK1158" s="10"/>
      <c r="AL1158" s="10"/>
      <c r="AM1158" s="8"/>
      <c r="AN1158" s="8"/>
      <c r="AO1158" s="9"/>
      <c r="AP1158" s="9"/>
      <c r="AQ1158" s="9"/>
      <c r="AR1158" s="8"/>
      <c r="AS1158" s="8"/>
      <c r="AT1158" s="8"/>
      <c r="AU1158" s="8"/>
      <c r="AV1158" s="8"/>
      <c r="AW1158" s="8"/>
      <c r="AX1158" s="8"/>
      <c r="AY1158" s="8"/>
      <c r="AZ1158" s="8"/>
    </row>
    <row r="1159" spans="21:52" ht="16.899999999999999">
      <c r="U1159" s="8"/>
      <c r="W1159" s="10"/>
      <c r="X1159" s="10"/>
      <c r="Z1159" s="13"/>
      <c r="AA1159" s="13"/>
      <c r="AB1159" s="13"/>
      <c r="AC1159" s="9"/>
      <c r="AD1159" s="9"/>
      <c r="AE1159" s="11"/>
      <c r="AF1159" s="10"/>
      <c r="AG1159" s="11"/>
      <c r="AH1159" s="10"/>
      <c r="AI1159" s="11"/>
      <c r="AJ1159" s="10"/>
      <c r="AK1159" s="10"/>
      <c r="AL1159" s="10"/>
      <c r="AM1159" s="8"/>
      <c r="AN1159" s="8"/>
      <c r="AO1159" s="9"/>
      <c r="AP1159" s="9"/>
      <c r="AQ1159" s="9"/>
      <c r="AR1159" s="8"/>
      <c r="AS1159" s="8"/>
      <c r="AT1159" s="8"/>
      <c r="AU1159" s="8"/>
      <c r="AV1159" s="8"/>
      <c r="AW1159" s="8"/>
      <c r="AX1159" s="8"/>
      <c r="AY1159" s="8"/>
      <c r="AZ1159" s="8"/>
    </row>
    <row r="1160" spans="21:52" ht="16.899999999999999">
      <c r="U1160" s="8"/>
      <c r="W1160" s="10"/>
      <c r="X1160" s="10"/>
      <c r="Z1160" s="13"/>
      <c r="AA1160" s="13"/>
      <c r="AB1160" s="13"/>
      <c r="AC1160" s="9"/>
      <c r="AD1160" s="9"/>
      <c r="AE1160" s="11"/>
      <c r="AF1160" s="10"/>
      <c r="AG1160" s="11"/>
      <c r="AH1160" s="10"/>
      <c r="AI1160" s="11"/>
      <c r="AJ1160" s="10"/>
      <c r="AK1160" s="10"/>
      <c r="AL1160" s="10"/>
      <c r="AM1160" s="8"/>
      <c r="AN1160" s="8"/>
      <c r="AO1160" s="9"/>
      <c r="AP1160" s="9"/>
      <c r="AQ1160" s="9"/>
      <c r="AR1160" s="8"/>
      <c r="AS1160" s="8"/>
      <c r="AT1160" s="8"/>
      <c r="AU1160" s="8"/>
      <c r="AV1160" s="8"/>
      <c r="AW1160" s="8"/>
      <c r="AX1160" s="8"/>
      <c r="AY1160" s="8"/>
      <c r="AZ1160" s="8"/>
    </row>
    <row r="1161" spans="21:52" ht="16.899999999999999">
      <c r="U1161" s="8"/>
      <c r="W1161" s="10"/>
      <c r="X1161" s="10"/>
      <c r="Z1161" s="13"/>
      <c r="AA1161" s="13"/>
      <c r="AB1161" s="13"/>
      <c r="AC1161" s="9"/>
      <c r="AD1161" s="9"/>
      <c r="AE1161" s="11"/>
      <c r="AF1161" s="10"/>
      <c r="AG1161" s="11"/>
      <c r="AH1161" s="10"/>
      <c r="AI1161" s="11"/>
      <c r="AJ1161" s="10"/>
      <c r="AK1161" s="10"/>
      <c r="AL1161" s="10"/>
      <c r="AM1161" s="8"/>
      <c r="AN1161" s="8"/>
      <c r="AO1161" s="9"/>
      <c r="AP1161" s="9"/>
      <c r="AQ1161" s="9"/>
      <c r="AR1161" s="8"/>
      <c r="AS1161" s="8"/>
      <c r="AT1161" s="8"/>
      <c r="AU1161" s="8"/>
      <c r="AV1161" s="8"/>
      <c r="AW1161" s="8"/>
      <c r="AX1161" s="8"/>
      <c r="AY1161" s="8"/>
      <c r="AZ1161" s="8"/>
    </row>
    <row r="1162" spans="21:52" ht="16.899999999999999">
      <c r="U1162" s="8"/>
      <c r="W1162" s="10"/>
      <c r="X1162" s="10"/>
      <c r="Z1162" s="13"/>
      <c r="AA1162" s="13"/>
      <c r="AB1162" s="13"/>
      <c r="AC1162" s="9"/>
      <c r="AD1162" s="9"/>
      <c r="AE1162" s="11"/>
      <c r="AF1162" s="10"/>
      <c r="AG1162" s="11"/>
      <c r="AH1162" s="10"/>
      <c r="AI1162" s="11"/>
      <c r="AJ1162" s="10"/>
      <c r="AK1162" s="10"/>
      <c r="AL1162" s="10"/>
      <c r="AM1162" s="8"/>
      <c r="AN1162" s="8"/>
      <c r="AO1162" s="9"/>
      <c r="AP1162" s="9"/>
      <c r="AQ1162" s="9"/>
      <c r="AR1162" s="8"/>
      <c r="AS1162" s="8"/>
      <c r="AT1162" s="8"/>
      <c r="AU1162" s="8"/>
      <c r="AV1162" s="8"/>
      <c r="AW1162" s="8"/>
      <c r="AX1162" s="8"/>
      <c r="AY1162" s="8"/>
      <c r="AZ1162" s="8"/>
    </row>
    <row r="1163" spans="21:52" ht="16.899999999999999">
      <c r="U1163" s="8"/>
      <c r="W1163" s="10"/>
      <c r="X1163" s="10"/>
      <c r="Z1163" s="13"/>
      <c r="AA1163" s="13"/>
      <c r="AB1163" s="13"/>
      <c r="AC1163" s="9"/>
      <c r="AD1163" s="9"/>
      <c r="AE1163" s="11"/>
      <c r="AF1163" s="10"/>
      <c r="AG1163" s="11"/>
      <c r="AH1163" s="10"/>
      <c r="AI1163" s="11"/>
      <c r="AJ1163" s="10"/>
      <c r="AK1163" s="10"/>
      <c r="AL1163" s="10"/>
      <c r="AM1163" s="8"/>
      <c r="AN1163" s="8"/>
      <c r="AO1163" s="9"/>
      <c r="AP1163" s="9"/>
      <c r="AQ1163" s="9"/>
      <c r="AR1163" s="8"/>
      <c r="AS1163" s="8"/>
      <c r="AT1163" s="8"/>
      <c r="AU1163" s="8"/>
      <c r="AV1163" s="8"/>
      <c r="AW1163" s="8"/>
      <c r="AX1163" s="8"/>
      <c r="AY1163" s="8"/>
      <c r="AZ1163" s="8"/>
    </row>
    <row r="1164" spans="21:52" ht="16.899999999999999">
      <c r="U1164" s="8"/>
      <c r="W1164" s="10"/>
      <c r="X1164" s="10"/>
      <c r="Z1164" s="13"/>
      <c r="AA1164" s="13"/>
      <c r="AB1164" s="13"/>
      <c r="AC1164" s="9"/>
      <c r="AD1164" s="9"/>
      <c r="AE1164" s="11"/>
      <c r="AF1164" s="10"/>
      <c r="AG1164" s="11"/>
      <c r="AH1164" s="10"/>
      <c r="AI1164" s="11"/>
      <c r="AJ1164" s="10"/>
      <c r="AK1164" s="10"/>
      <c r="AL1164" s="10"/>
      <c r="AM1164" s="8"/>
      <c r="AN1164" s="8"/>
      <c r="AO1164" s="9"/>
      <c r="AP1164" s="9"/>
      <c r="AQ1164" s="9"/>
      <c r="AR1164" s="8"/>
      <c r="AS1164" s="8"/>
      <c r="AT1164" s="8"/>
      <c r="AU1164" s="8"/>
      <c r="AV1164" s="8"/>
      <c r="AW1164" s="8"/>
      <c r="AX1164" s="8"/>
      <c r="AY1164" s="8"/>
      <c r="AZ1164" s="8"/>
    </row>
    <row r="1165" spans="21:52" ht="16.899999999999999">
      <c r="U1165" s="8"/>
      <c r="W1165" s="10"/>
      <c r="X1165" s="10"/>
      <c r="Z1165" s="13"/>
      <c r="AA1165" s="13"/>
      <c r="AB1165" s="13"/>
      <c r="AC1165" s="9"/>
      <c r="AD1165" s="9"/>
      <c r="AE1165" s="11"/>
      <c r="AF1165" s="10"/>
      <c r="AG1165" s="11"/>
      <c r="AH1165" s="10"/>
      <c r="AI1165" s="11"/>
      <c r="AJ1165" s="10"/>
      <c r="AK1165" s="10"/>
      <c r="AL1165" s="10"/>
      <c r="AM1165" s="8"/>
      <c r="AN1165" s="8"/>
      <c r="AO1165" s="9"/>
      <c r="AP1165" s="9"/>
      <c r="AQ1165" s="9"/>
      <c r="AR1165" s="8"/>
      <c r="AS1165" s="8"/>
      <c r="AT1165" s="8"/>
      <c r="AU1165" s="8"/>
      <c r="AV1165" s="8"/>
      <c r="AW1165" s="8"/>
      <c r="AX1165" s="8"/>
      <c r="AY1165" s="8"/>
      <c r="AZ1165" s="8"/>
    </row>
    <row r="1166" spans="21:52" ht="16.899999999999999">
      <c r="U1166" s="8"/>
      <c r="W1166" s="10"/>
      <c r="X1166" s="10"/>
      <c r="Z1166" s="13"/>
      <c r="AA1166" s="13"/>
      <c r="AB1166" s="13"/>
      <c r="AC1166" s="9"/>
      <c r="AD1166" s="9"/>
      <c r="AE1166" s="11"/>
      <c r="AF1166" s="10"/>
      <c r="AG1166" s="11"/>
      <c r="AH1166" s="10"/>
      <c r="AI1166" s="11"/>
      <c r="AJ1166" s="10"/>
      <c r="AK1166" s="10"/>
      <c r="AL1166" s="10"/>
      <c r="AM1166" s="8"/>
      <c r="AN1166" s="8"/>
      <c r="AO1166" s="9"/>
      <c r="AP1166" s="9"/>
      <c r="AQ1166" s="9"/>
      <c r="AR1166" s="8"/>
      <c r="AS1166" s="8"/>
      <c r="AT1166" s="8"/>
      <c r="AU1166" s="8"/>
      <c r="AV1166" s="8"/>
      <c r="AW1166" s="8"/>
      <c r="AX1166" s="8"/>
      <c r="AY1166" s="8"/>
      <c r="AZ1166" s="8"/>
    </row>
    <row r="1167" spans="21:52" ht="16.899999999999999">
      <c r="U1167" s="8"/>
      <c r="W1167" s="10"/>
      <c r="X1167" s="10"/>
      <c r="Z1167" s="13"/>
      <c r="AA1167" s="13"/>
      <c r="AB1167" s="13"/>
      <c r="AC1167" s="9"/>
      <c r="AD1167" s="9"/>
      <c r="AE1167" s="11"/>
      <c r="AF1167" s="10"/>
      <c r="AG1167" s="11"/>
      <c r="AH1167" s="10"/>
      <c r="AI1167" s="11"/>
      <c r="AJ1167" s="10"/>
      <c r="AK1167" s="10"/>
      <c r="AL1167" s="10"/>
      <c r="AM1167" s="8"/>
      <c r="AN1167" s="8"/>
      <c r="AO1167" s="9"/>
      <c r="AP1167" s="9"/>
      <c r="AQ1167" s="9"/>
      <c r="AR1167" s="8"/>
      <c r="AS1167" s="8"/>
      <c r="AT1167" s="8"/>
      <c r="AU1167" s="8"/>
      <c r="AV1167" s="8"/>
      <c r="AW1167" s="8"/>
      <c r="AX1167" s="8"/>
      <c r="AY1167" s="8"/>
      <c r="AZ1167" s="8"/>
    </row>
    <row r="1168" spans="21:52" ht="16.899999999999999">
      <c r="U1168" s="8"/>
      <c r="W1168" s="10"/>
      <c r="X1168" s="10"/>
      <c r="Z1168" s="13"/>
      <c r="AA1168" s="13"/>
      <c r="AB1168" s="13"/>
      <c r="AC1168" s="9"/>
      <c r="AD1168" s="9"/>
      <c r="AE1168" s="11"/>
      <c r="AF1168" s="10"/>
      <c r="AG1168" s="11"/>
      <c r="AH1168" s="10"/>
      <c r="AI1168" s="11"/>
      <c r="AJ1168" s="10"/>
      <c r="AK1168" s="10"/>
      <c r="AL1168" s="10"/>
      <c r="AM1168" s="8"/>
      <c r="AN1168" s="8"/>
      <c r="AO1168" s="9"/>
      <c r="AP1168" s="9"/>
      <c r="AQ1168" s="9"/>
      <c r="AR1168" s="8"/>
      <c r="AS1168" s="8"/>
      <c r="AT1168" s="8"/>
      <c r="AU1168" s="8"/>
      <c r="AV1168" s="8"/>
      <c r="AW1168" s="8"/>
      <c r="AX1168" s="8"/>
      <c r="AY1168" s="8"/>
      <c r="AZ1168" s="8"/>
    </row>
    <row r="1169" spans="21:52" ht="16.899999999999999">
      <c r="U1169" s="8"/>
      <c r="W1169" s="10"/>
      <c r="X1169" s="10"/>
      <c r="Z1169" s="13"/>
      <c r="AA1169" s="13"/>
      <c r="AB1169" s="13"/>
      <c r="AC1169" s="9"/>
      <c r="AD1169" s="9"/>
      <c r="AE1169" s="11"/>
      <c r="AF1169" s="10"/>
      <c r="AG1169" s="11"/>
      <c r="AH1169" s="10"/>
      <c r="AI1169" s="11"/>
      <c r="AJ1169" s="10"/>
      <c r="AK1169" s="10"/>
      <c r="AL1169" s="10"/>
      <c r="AM1169" s="8"/>
      <c r="AN1169" s="8"/>
      <c r="AO1169" s="9"/>
      <c r="AP1169" s="9"/>
      <c r="AQ1169" s="9"/>
      <c r="AR1169" s="8"/>
      <c r="AS1169" s="8"/>
      <c r="AT1169" s="8"/>
      <c r="AU1169" s="8"/>
      <c r="AV1169" s="8"/>
      <c r="AW1169" s="8"/>
      <c r="AX1169" s="8"/>
      <c r="AY1169" s="8"/>
      <c r="AZ1169" s="8"/>
    </row>
    <row r="1170" spans="21:52" ht="16.899999999999999">
      <c r="U1170" s="8"/>
      <c r="W1170" s="10"/>
      <c r="X1170" s="10"/>
      <c r="Z1170" s="13"/>
      <c r="AA1170" s="13"/>
      <c r="AB1170" s="13"/>
      <c r="AC1170" s="9"/>
      <c r="AD1170" s="9"/>
      <c r="AE1170" s="11"/>
      <c r="AF1170" s="10"/>
      <c r="AG1170" s="11"/>
      <c r="AH1170" s="10"/>
      <c r="AI1170" s="11"/>
      <c r="AJ1170" s="10"/>
      <c r="AK1170" s="10"/>
      <c r="AL1170" s="10"/>
      <c r="AM1170" s="8"/>
      <c r="AN1170" s="8"/>
      <c r="AO1170" s="9"/>
      <c r="AP1170" s="9"/>
      <c r="AQ1170" s="9"/>
      <c r="AR1170" s="8"/>
      <c r="AS1170" s="8"/>
      <c r="AT1170" s="8"/>
      <c r="AU1170" s="8"/>
      <c r="AV1170" s="8"/>
      <c r="AW1170" s="8"/>
      <c r="AX1170" s="8"/>
      <c r="AY1170" s="8"/>
      <c r="AZ1170" s="8"/>
    </row>
    <row r="1171" spans="21:52" ht="16.899999999999999">
      <c r="U1171" s="8"/>
      <c r="W1171" s="10"/>
      <c r="X1171" s="10"/>
      <c r="Z1171" s="13"/>
      <c r="AA1171" s="13"/>
      <c r="AB1171" s="13"/>
      <c r="AC1171" s="9"/>
      <c r="AD1171" s="9"/>
      <c r="AE1171" s="11"/>
      <c r="AF1171" s="10"/>
      <c r="AG1171" s="11"/>
      <c r="AH1171" s="10"/>
      <c r="AI1171" s="11"/>
      <c r="AJ1171" s="10"/>
      <c r="AK1171" s="10"/>
      <c r="AL1171" s="10"/>
      <c r="AM1171" s="8"/>
      <c r="AN1171" s="8"/>
      <c r="AO1171" s="9"/>
      <c r="AP1171" s="9"/>
      <c r="AQ1171" s="9"/>
      <c r="AR1171" s="8"/>
      <c r="AS1171" s="8"/>
      <c r="AT1171" s="8"/>
      <c r="AU1171" s="8"/>
      <c r="AV1171" s="8"/>
      <c r="AW1171" s="8"/>
      <c r="AX1171" s="8"/>
      <c r="AY1171" s="8"/>
      <c r="AZ1171" s="8"/>
    </row>
    <row r="1172" spans="21:52" ht="16.899999999999999">
      <c r="U1172" s="8"/>
      <c r="W1172" s="10"/>
      <c r="X1172" s="10"/>
      <c r="Z1172" s="13"/>
      <c r="AA1172" s="13"/>
      <c r="AB1172" s="13"/>
      <c r="AC1172" s="9"/>
      <c r="AD1172" s="9"/>
      <c r="AE1172" s="11"/>
      <c r="AF1172" s="10"/>
      <c r="AG1172" s="11"/>
      <c r="AH1172" s="10"/>
      <c r="AI1172" s="11"/>
      <c r="AJ1172" s="10"/>
      <c r="AK1172" s="10"/>
      <c r="AL1172" s="10"/>
      <c r="AM1172" s="8"/>
      <c r="AN1172" s="8"/>
      <c r="AO1172" s="9"/>
      <c r="AP1172" s="9"/>
      <c r="AQ1172" s="9"/>
      <c r="AR1172" s="8"/>
      <c r="AS1172" s="8"/>
      <c r="AT1172" s="8"/>
      <c r="AU1172" s="8"/>
      <c r="AV1172" s="8"/>
      <c r="AW1172" s="8"/>
      <c r="AX1172" s="8"/>
      <c r="AY1172" s="8"/>
      <c r="AZ1172" s="8"/>
    </row>
    <row r="1173" spans="21:52" ht="16.899999999999999">
      <c r="U1173" s="8"/>
      <c r="W1173" s="10"/>
      <c r="X1173" s="10"/>
      <c r="Z1173" s="13"/>
      <c r="AA1173" s="13"/>
      <c r="AB1173" s="13"/>
      <c r="AC1173" s="9"/>
      <c r="AD1173" s="9"/>
      <c r="AE1173" s="11"/>
      <c r="AF1173" s="10"/>
      <c r="AG1173" s="11"/>
      <c r="AH1173" s="10"/>
      <c r="AI1173" s="11"/>
      <c r="AJ1173" s="10"/>
      <c r="AK1173" s="10"/>
      <c r="AL1173" s="10"/>
      <c r="AM1173" s="8"/>
      <c r="AN1173" s="8"/>
      <c r="AO1173" s="9"/>
      <c r="AP1173" s="9"/>
      <c r="AQ1173" s="9"/>
      <c r="AR1173" s="8"/>
      <c r="AS1173" s="8"/>
      <c r="AT1173" s="8"/>
      <c r="AU1173" s="8"/>
      <c r="AV1173" s="8"/>
      <c r="AW1173" s="8"/>
      <c r="AX1173" s="8"/>
      <c r="AY1173" s="8"/>
      <c r="AZ1173" s="8"/>
    </row>
    <row r="1174" spans="21:52" ht="16.899999999999999">
      <c r="U1174" s="8"/>
      <c r="W1174" s="10"/>
      <c r="X1174" s="10"/>
      <c r="Z1174" s="13"/>
      <c r="AA1174" s="13"/>
      <c r="AB1174" s="13"/>
      <c r="AC1174" s="9"/>
      <c r="AD1174" s="9"/>
      <c r="AE1174" s="11"/>
      <c r="AF1174" s="10"/>
      <c r="AG1174" s="11"/>
      <c r="AH1174" s="10"/>
      <c r="AI1174" s="11"/>
      <c r="AJ1174" s="10"/>
      <c r="AK1174" s="10"/>
      <c r="AL1174" s="10"/>
      <c r="AM1174" s="8"/>
      <c r="AN1174" s="8"/>
      <c r="AO1174" s="9"/>
      <c r="AP1174" s="9"/>
      <c r="AQ1174" s="9"/>
      <c r="AR1174" s="8"/>
      <c r="AS1174" s="8"/>
      <c r="AT1174" s="8"/>
      <c r="AU1174" s="8"/>
      <c r="AV1174" s="8"/>
      <c r="AW1174" s="8"/>
      <c r="AX1174" s="8"/>
      <c r="AY1174" s="8"/>
      <c r="AZ1174" s="8"/>
    </row>
    <row r="1175" spans="21:52" ht="16.899999999999999">
      <c r="U1175" s="8"/>
      <c r="W1175" s="10"/>
      <c r="X1175" s="10"/>
      <c r="Z1175" s="13"/>
      <c r="AA1175" s="13"/>
      <c r="AB1175" s="13"/>
      <c r="AC1175" s="9"/>
      <c r="AD1175" s="9"/>
      <c r="AE1175" s="11"/>
      <c r="AF1175" s="10"/>
      <c r="AG1175" s="11"/>
      <c r="AH1175" s="10"/>
      <c r="AI1175" s="11"/>
      <c r="AJ1175" s="10"/>
      <c r="AK1175" s="10"/>
      <c r="AL1175" s="10"/>
      <c r="AM1175" s="8"/>
      <c r="AN1175" s="8"/>
      <c r="AO1175" s="9"/>
      <c r="AP1175" s="9"/>
      <c r="AQ1175" s="9"/>
      <c r="AR1175" s="8"/>
      <c r="AS1175" s="8"/>
      <c r="AT1175" s="8"/>
      <c r="AU1175" s="8"/>
      <c r="AV1175" s="8"/>
      <c r="AW1175" s="8"/>
      <c r="AX1175" s="8"/>
      <c r="AY1175" s="8"/>
      <c r="AZ1175" s="8"/>
    </row>
    <row r="1176" spans="21:52" ht="16.899999999999999">
      <c r="U1176" s="8"/>
      <c r="W1176" s="10"/>
      <c r="X1176" s="10"/>
      <c r="Z1176" s="13"/>
      <c r="AA1176" s="13"/>
      <c r="AB1176" s="13"/>
      <c r="AC1176" s="9"/>
      <c r="AD1176" s="9"/>
      <c r="AE1176" s="11"/>
      <c r="AF1176" s="10"/>
      <c r="AG1176" s="11"/>
      <c r="AH1176" s="10"/>
      <c r="AI1176" s="11"/>
      <c r="AJ1176" s="10"/>
      <c r="AK1176" s="10"/>
      <c r="AL1176" s="10"/>
      <c r="AM1176" s="8"/>
      <c r="AN1176" s="8"/>
      <c r="AO1176" s="9"/>
      <c r="AP1176" s="9"/>
      <c r="AQ1176" s="9"/>
      <c r="AR1176" s="8"/>
      <c r="AS1176" s="8"/>
      <c r="AT1176" s="8"/>
      <c r="AU1176" s="8"/>
      <c r="AV1176" s="8"/>
      <c r="AW1176" s="8"/>
      <c r="AX1176" s="8"/>
      <c r="AY1176" s="8"/>
      <c r="AZ1176" s="8"/>
    </row>
    <row r="1177" spans="21:52" ht="16.899999999999999">
      <c r="U1177" s="8"/>
      <c r="W1177" s="10"/>
      <c r="X1177" s="10"/>
      <c r="Z1177" s="13"/>
      <c r="AA1177" s="13"/>
      <c r="AB1177" s="13"/>
      <c r="AC1177" s="9"/>
      <c r="AD1177" s="9"/>
      <c r="AE1177" s="11"/>
      <c r="AF1177" s="10"/>
      <c r="AG1177" s="11"/>
      <c r="AH1177" s="10"/>
      <c r="AI1177" s="11"/>
      <c r="AJ1177" s="10"/>
      <c r="AK1177" s="10"/>
      <c r="AL1177" s="10"/>
      <c r="AM1177" s="8"/>
      <c r="AN1177" s="8"/>
      <c r="AO1177" s="9"/>
      <c r="AP1177" s="9"/>
      <c r="AQ1177" s="9"/>
      <c r="AR1177" s="8"/>
      <c r="AS1177" s="8"/>
      <c r="AT1177" s="8"/>
      <c r="AU1177" s="8"/>
      <c r="AV1177" s="8"/>
      <c r="AW1177" s="8"/>
      <c r="AX1177" s="8"/>
      <c r="AY1177" s="8"/>
      <c r="AZ1177" s="8"/>
    </row>
    <row r="1178" spans="21:52" ht="16.899999999999999">
      <c r="U1178" s="8"/>
      <c r="W1178" s="10"/>
      <c r="X1178" s="10"/>
      <c r="Z1178" s="13"/>
      <c r="AA1178" s="13"/>
      <c r="AB1178" s="13"/>
      <c r="AC1178" s="9"/>
      <c r="AD1178" s="9"/>
      <c r="AE1178" s="11"/>
      <c r="AF1178" s="10"/>
      <c r="AG1178" s="11"/>
      <c r="AH1178" s="10"/>
      <c r="AI1178" s="11"/>
      <c r="AJ1178" s="10"/>
      <c r="AK1178" s="10"/>
      <c r="AL1178" s="10"/>
      <c r="AM1178" s="8"/>
      <c r="AN1178" s="8"/>
      <c r="AO1178" s="9"/>
      <c r="AP1178" s="9"/>
      <c r="AQ1178" s="9"/>
      <c r="AR1178" s="8"/>
      <c r="AS1178" s="8"/>
      <c r="AT1178" s="8"/>
      <c r="AU1178" s="8"/>
      <c r="AV1178" s="8"/>
      <c r="AW1178" s="8"/>
      <c r="AX1178" s="8"/>
      <c r="AY1178" s="8"/>
      <c r="AZ1178" s="8"/>
    </row>
    <row r="1179" spans="21:52" ht="16.899999999999999">
      <c r="U1179" s="8"/>
      <c r="W1179" s="10"/>
      <c r="X1179" s="10"/>
      <c r="Z1179" s="13"/>
      <c r="AA1179" s="13"/>
      <c r="AB1179" s="13"/>
      <c r="AC1179" s="9"/>
      <c r="AD1179" s="9"/>
      <c r="AE1179" s="11"/>
      <c r="AF1179" s="10"/>
      <c r="AG1179" s="11"/>
      <c r="AH1179" s="10"/>
      <c r="AI1179" s="11"/>
      <c r="AJ1179" s="10"/>
      <c r="AK1179" s="10"/>
      <c r="AL1179" s="10"/>
      <c r="AM1179" s="8"/>
      <c r="AN1179" s="8"/>
      <c r="AO1179" s="9"/>
      <c r="AP1179" s="9"/>
      <c r="AQ1179" s="9"/>
      <c r="AR1179" s="8"/>
      <c r="AS1179" s="8"/>
      <c r="AT1179" s="8"/>
      <c r="AU1179" s="8"/>
      <c r="AV1179" s="8"/>
      <c r="AW1179" s="8"/>
      <c r="AX1179" s="8"/>
      <c r="AY1179" s="8"/>
      <c r="AZ1179" s="8"/>
    </row>
    <row r="1180" spans="21:52" ht="16.899999999999999">
      <c r="U1180" s="8"/>
      <c r="W1180" s="10"/>
      <c r="X1180" s="10"/>
      <c r="Z1180" s="13"/>
      <c r="AA1180" s="13"/>
      <c r="AB1180" s="13"/>
      <c r="AC1180" s="9"/>
      <c r="AD1180" s="9"/>
      <c r="AE1180" s="11"/>
      <c r="AF1180" s="10"/>
      <c r="AG1180" s="11"/>
      <c r="AH1180" s="10"/>
      <c r="AI1180" s="11"/>
      <c r="AJ1180" s="10"/>
      <c r="AK1180" s="10"/>
      <c r="AL1180" s="10"/>
      <c r="AM1180" s="8"/>
      <c r="AN1180" s="8"/>
      <c r="AO1180" s="9"/>
      <c r="AP1180" s="9"/>
      <c r="AQ1180" s="9"/>
      <c r="AR1180" s="8"/>
      <c r="AS1180" s="8"/>
      <c r="AT1180" s="8"/>
      <c r="AU1180" s="8"/>
      <c r="AV1180" s="8"/>
      <c r="AW1180" s="8"/>
      <c r="AX1180" s="8"/>
      <c r="AY1180" s="8"/>
      <c r="AZ1180" s="8"/>
    </row>
    <row r="1181" spans="21:52" ht="16.899999999999999">
      <c r="U1181" s="8"/>
      <c r="W1181" s="10"/>
      <c r="X1181" s="10"/>
      <c r="Z1181" s="13"/>
      <c r="AA1181" s="13"/>
      <c r="AB1181" s="13"/>
      <c r="AC1181" s="9"/>
      <c r="AD1181" s="9"/>
      <c r="AE1181" s="11"/>
      <c r="AF1181" s="10"/>
      <c r="AG1181" s="11"/>
      <c r="AH1181" s="10"/>
      <c r="AI1181" s="11"/>
      <c r="AJ1181" s="10"/>
      <c r="AK1181" s="10"/>
      <c r="AL1181" s="10"/>
      <c r="AM1181" s="8"/>
      <c r="AN1181" s="8"/>
      <c r="AO1181" s="9"/>
      <c r="AP1181" s="9"/>
      <c r="AQ1181" s="9"/>
      <c r="AR1181" s="8"/>
      <c r="AS1181" s="8"/>
      <c r="AT1181" s="8"/>
      <c r="AU1181" s="8"/>
      <c r="AV1181" s="8"/>
      <c r="AW1181" s="8"/>
      <c r="AX1181" s="8"/>
      <c r="AY1181" s="8"/>
      <c r="AZ1181" s="8"/>
    </row>
    <row r="1182" spans="21:52" ht="16.899999999999999">
      <c r="U1182" s="8"/>
      <c r="W1182" s="10"/>
      <c r="X1182" s="10"/>
      <c r="Z1182" s="13"/>
      <c r="AA1182" s="13"/>
      <c r="AB1182" s="13"/>
      <c r="AC1182" s="9"/>
      <c r="AD1182" s="9"/>
      <c r="AE1182" s="11"/>
      <c r="AF1182" s="10"/>
      <c r="AG1182" s="11"/>
      <c r="AH1182" s="10"/>
      <c r="AI1182" s="11"/>
      <c r="AJ1182" s="10"/>
      <c r="AK1182" s="10"/>
      <c r="AL1182" s="10"/>
      <c r="AM1182" s="8"/>
      <c r="AN1182" s="8"/>
      <c r="AO1182" s="9"/>
      <c r="AP1182" s="9"/>
      <c r="AQ1182" s="9"/>
      <c r="AR1182" s="8"/>
      <c r="AS1182" s="8"/>
      <c r="AT1182" s="8"/>
      <c r="AU1182" s="8"/>
      <c r="AV1182" s="8"/>
      <c r="AW1182" s="8"/>
      <c r="AX1182" s="8"/>
      <c r="AY1182" s="8"/>
      <c r="AZ1182" s="8"/>
    </row>
    <row r="1183" spans="21:52" ht="16.899999999999999">
      <c r="U1183" s="8"/>
      <c r="W1183" s="10"/>
      <c r="X1183" s="10"/>
      <c r="Z1183" s="13"/>
      <c r="AA1183" s="13"/>
      <c r="AB1183" s="13"/>
      <c r="AC1183" s="9"/>
      <c r="AD1183" s="9"/>
      <c r="AE1183" s="11"/>
      <c r="AF1183" s="10"/>
      <c r="AG1183" s="11"/>
      <c r="AH1183" s="10"/>
      <c r="AI1183" s="11"/>
      <c r="AJ1183" s="10"/>
      <c r="AK1183" s="10"/>
      <c r="AL1183" s="10"/>
      <c r="AM1183" s="8"/>
      <c r="AN1183" s="8"/>
      <c r="AO1183" s="9"/>
      <c r="AP1183" s="9"/>
      <c r="AQ1183" s="9"/>
      <c r="AR1183" s="8"/>
      <c r="AS1183" s="8"/>
      <c r="AT1183" s="8"/>
      <c r="AU1183" s="8"/>
      <c r="AV1183" s="8"/>
      <c r="AW1183" s="8"/>
      <c r="AX1183" s="8"/>
      <c r="AY1183" s="8"/>
      <c r="AZ1183" s="8"/>
    </row>
    <row r="1184" spans="21:52" ht="16.899999999999999">
      <c r="U1184" s="8"/>
      <c r="W1184" s="10"/>
      <c r="X1184" s="10"/>
      <c r="Z1184" s="13"/>
      <c r="AA1184" s="13"/>
      <c r="AB1184" s="13"/>
      <c r="AC1184" s="9"/>
      <c r="AD1184" s="9"/>
      <c r="AE1184" s="11"/>
      <c r="AF1184" s="10"/>
      <c r="AG1184" s="11"/>
      <c r="AH1184" s="10"/>
      <c r="AI1184" s="11"/>
      <c r="AJ1184" s="10"/>
      <c r="AK1184" s="10"/>
      <c r="AL1184" s="10"/>
      <c r="AM1184" s="8"/>
      <c r="AN1184" s="8"/>
      <c r="AO1184" s="9"/>
      <c r="AP1184" s="9"/>
      <c r="AQ1184" s="9"/>
      <c r="AR1184" s="8"/>
      <c r="AS1184" s="8"/>
      <c r="AT1184" s="8"/>
      <c r="AU1184" s="8"/>
      <c r="AV1184" s="8"/>
      <c r="AW1184" s="8"/>
      <c r="AX1184" s="8"/>
      <c r="AY1184" s="8"/>
      <c r="AZ1184" s="8"/>
    </row>
    <row r="1185" spans="21:52" ht="16.899999999999999">
      <c r="U1185" s="8"/>
      <c r="W1185" s="10"/>
      <c r="X1185" s="10"/>
      <c r="Z1185" s="13"/>
      <c r="AA1185" s="13"/>
      <c r="AB1185" s="13"/>
      <c r="AC1185" s="9"/>
      <c r="AD1185" s="9"/>
      <c r="AE1185" s="11"/>
      <c r="AF1185" s="10"/>
      <c r="AG1185" s="11"/>
      <c r="AH1185" s="10"/>
      <c r="AI1185" s="11"/>
      <c r="AJ1185" s="10"/>
      <c r="AK1185" s="10"/>
      <c r="AL1185" s="10"/>
      <c r="AM1185" s="8"/>
      <c r="AN1185" s="8"/>
      <c r="AO1185" s="9"/>
      <c r="AP1185" s="9"/>
      <c r="AQ1185" s="9"/>
      <c r="AR1185" s="8"/>
      <c r="AS1185" s="8"/>
      <c r="AT1185" s="8"/>
      <c r="AU1185" s="8"/>
      <c r="AV1185" s="8"/>
      <c r="AW1185" s="8"/>
      <c r="AX1185" s="8"/>
      <c r="AY1185" s="8"/>
      <c r="AZ1185" s="8"/>
    </row>
    <row r="1186" spans="21:52" ht="16.899999999999999">
      <c r="U1186" s="8"/>
      <c r="W1186" s="10"/>
      <c r="X1186" s="10"/>
      <c r="Z1186" s="13"/>
      <c r="AA1186" s="13"/>
      <c r="AB1186" s="13"/>
      <c r="AC1186" s="9"/>
      <c r="AD1186" s="9"/>
      <c r="AE1186" s="11"/>
      <c r="AF1186" s="10"/>
      <c r="AG1186" s="11"/>
      <c r="AH1186" s="10"/>
      <c r="AI1186" s="11"/>
      <c r="AJ1186" s="10"/>
      <c r="AK1186" s="10"/>
      <c r="AL1186" s="10"/>
      <c r="AM1186" s="8"/>
      <c r="AN1186" s="8"/>
      <c r="AO1186" s="9"/>
      <c r="AP1186" s="9"/>
      <c r="AQ1186" s="9"/>
      <c r="AR1186" s="8"/>
      <c r="AS1186" s="8"/>
      <c r="AT1186" s="8"/>
      <c r="AU1186" s="8"/>
      <c r="AV1186" s="8"/>
      <c r="AW1186" s="8"/>
      <c r="AX1186" s="8"/>
      <c r="AY1186" s="8"/>
      <c r="AZ1186" s="8"/>
    </row>
    <row r="1187" spans="21:52" ht="16.899999999999999">
      <c r="U1187" s="8"/>
      <c r="W1187" s="10"/>
      <c r="X1187" s="10"/>
      <c r="Z1187" s="13"/>
      <c r="AA1187" s="13"/>
      <c r="AB1187" s="13"/>
      <c r="AC1187" s="9"/>
      <c r="AD1187" s="9"/>
      <c r="AE1187" s="11"/>
      <c r="AF1187" s="10"/>
      <c r="AG1187" s="11"/>
      <c r="AH1187" s="10"/>
      <c r="AI1187" s="11"/>
      <c r="AJ1187" s="10"/>
      <c r="AK1187" s="10"/>
      <c r="AL1187" s="10"/>
      <c r="AM1187" s="8"/>
      <c r="AN1187" s="8"/>
      <c r="AO1187" s="9"/>
      <c r="AP1187" s="9"/>
      <c r="AQ1187" s="9"/>
      <c r="AR1187" s="8"/>
      <c r="AS1187" s="8"/>
      <c r="AT1187" s="8"/>
      <c r="AU1187" s="8"/>
      <c r="AV1187" s="8"/>
      <c r="AW1187" s="8"/>
      <c r="AX1187" s="8"/>
      <c r="AY1187" s="8"/>
      <c r="AZ1187" s="8"/>
    </row>
    <row r="1188" spans="21:52" ht="16.899999999999999">
      <c r="U1188" s="8"/>
      <c r="W1188" s="10"/>
      <c r="X1188" s="10"/>
      <c r="Z1188" s="13"/>
      <c r="AA1188" s="13"/>
      <c r="AB1188" s="13"/>
      <c r="AC1188" s="9"/>
      <c r="AD1188" s="9"/>
      <c r="AE1188" s="11"/>
      <c r="AF1188" s="10"/>
      <c r="AG1188" s="11"/>
      <c r="AH1188" s="10"/>
      <c r="AI1188" s="11"/>
      <c r="AJ1188" s="10"/>
      <c r="AK1188" s="10"/>
      <c r="AL1188" s="10"/>
      <c r="AM1188" s="8"/>
      <c r="AN1188" s="8"/>
      <c r="AO1188" s="9"/>
      <c r="AP1188" s="9"/>
      <c r="AQ1188" s="9"/>
      <c r="AR1188" s="8"/>
      <c r="AS1188" s="8"/>
      <c r="AT1188" s="8"/>
      <c r="AU1188" s="8"/>
      <c r="AV1188" s="8"/>
      <c r="AW1188" s="8"/>
      <c r="AX1188" s="8"/>
      <c r="AY1188" s="8"/>
      <c r="AZ1188" s="8"/>
    </row>
    <row r="1189" spans="21:52" ht="16.899999999999999">
      <c r="U1189" s="8"/>
      <c r="W1189" s="10"/>
      <c r="X1189" s="10"/>
      <c r="Z1189" s="13"/>
      <c r="AA1189" s="13"/>
      <c r="AB1189" s="13"/>
      <c r="AC1189" s="9"/>
      <c r="AD1189" s="9"/>
      <c r="AE1189" s="11"/>
      <c r="AF1189" s="10"/>
      <c r="AG1189" s="11"/>
      <c r="AH1189" s="10"/>
      <c r="AI1189" s="11"/>
      <c r="AJ1189" s="10"/>
      <c r="AK1189" s="10"/>
      <c r="AL1189" s="10"/>
      <c r="AM1189" s="8"/>
      <c r="AN1189" s="8"/>
      <c r="AO1189" s="9"/>
      <c r="AP1189" s="9"/>
      <c r="AQ1189" s="9"/>
      <c r="AR1189" s="8"/>
      <c r="AS1189" s="8"/>
      <c r="AT1189" s="8"/>
      <c r="AU1189" s="8"/>
      <c r="AV1189" s="8"/>
      <c r="AW1189" s="8"/>
      <c r="AX1189" s="8"/>
      <c r="AY1189" s="8"/>
      <c r="AZ1189" s="8"/>
    </row>
    <row r="1190" spans="21:52" ht="16.899999999999999">
      <c r="U1190" s="8"/>
      <c r="W1190" s="10"/>
      <c r="X1190" s="10"/>
      <c r="Z1190" s="13"/>
      <c r="AA1190" s="13"/>
      <c r="AB1190" s="13"/>
      <c r="AC1190" s="9"/>
      <c r="AD1190" s="9"/>
      <c r="AE1190" s="11"/>
      <c r="AF1190" s="10"/>
      <c r="AG1190" s="11"/>
      <c r="AH1190" s="10"/>
      <c r="AI1190" s="11"/>
      <c r="AJ1190" s="10"/>
      <c r="AK1190" s="10"/>
      <c r="AL1190" s="10"/>
      <c r="AM1190" s="8"/>
      <c r="AN1190" s="8"/>
      <c r="AO1190" s="9"/>
      <c r="AP1190" s="9"/>
      <c r="AQ1190" s="9"/>
      <c r="AR1190" s="8"/>
      <c r="AS1190" s="8"/>
      <c r="AT1190" s="8"/>
      <c r="AU1190" s="8"/>
      <c r="AV1190" s="8"/>
      <c r="AW1190" s="8"/>
      <c r="AX1190" s="8"/>
      <c r="AY1190" s="8"/>
      <c r="AZ1190" s="8"/>
    </row>
    <row r="1191" spans="21:52" ht="16.899999999999999">
      <c r="U1191" s="8"/>
      <c r="W1191" s="10"/>
      <c r="X1191" s="10"/>
      <c r="Z1191" s="13"/>
      <c r="AA1191" s="13"/>
      <c r="AB1191" s="13"/>
      <c r="AC1191" s="9"/>
      <c r="AD1191" s="9"/>
      <c r="AE1191" s="11"/>
      <c r="AF1191" s="10"/>
      <c r="AG1191" s="11"/>
      <c r="AH1191" s="10"/>
      <c r="AI1191" s="11"/>
      <c r="AJ1191" s="10"/>
      <c r="AK1191" s="10"/>
      <c r="AL1191" s="10"/>
      <c r="AM1191" s="8"/>
      <c r="AN1191" s="8"/>
      <c r="AO1191" s="9"/>
      <c r="AP1191" s="9"/>
      <c r="AQ1191" s="9"/>
      <c r="AR1191" s="8"/>
      <c r="AS1191" s="8"/>
      <c r="AT1191" s="8"/>
      <c r="AU1191" s="8"/>
      <c r="AV1191" s="8"/>
      <c r="AW1191" s="8"/>
      <c r="AX1191" s="8"/>
      <c r="AY1191" s="8"/>
      <c r="AZ1191" s="8"/>
    </row>
    <row r="1192" spans="21:52" ht="16.899999999999999">
      <c r="U1192" s="8"/>
      <c r="W1192" s="10"/>
      <c r="X1192" s="10"/>
      <c r="Z1192" s="13"/>
      <c r="AA1192" s="13"/>
      <c r="AB1192" s="13"/>
      <c r="AC1192" s="9"/>
      <c r="AD1192" s="9"/>
      <c r="AE1192" s="11"/>
      <c r="AF1192" s="10"/>
      <c r="AG1192" s="11"/>
      <c r="AH1192" s="10"/>
      <c r="AI1192" s="11"/>
      <c r="AJ1192" s="10"/>
      <c r="AK1192" s="10"/>
      <c r="AL1192" s="10"/>
      <c r="AM1192" s="8"/>
      <c r="AN1192" s="8"/>
      <c r="AO1192" s="9"/>
      <c r="AP1192" s="9"/>
      <c r="AQ1192" s="9"/>
      <c r="AR1192" s="8"/>
      <c r="AS1192" s="8"/>
      <c r="AT1192" s="8"/>
      <c r="AU1192" s="8"/>
      <c r="AV1192" s="8"/>
      <c r="AW1192" s="8"/>
      <c r="AX1192" s="8"/>
      <c r="AY1192" s="8"/>
      <c r="AZ1192" s="8"/>
    </row>
    <row r="1193" spans="21:52" ht="16.899999999999999">
      <c r="U1193" s="8"/>
      <c r="W1193" s="10"/>
      <c r="X1193" s="10"/>
      <c r="Z1193" s="13"/>
      <c r="AA1193" s="13"/>
      <c r="AB1193" s="13"/>
      <c r="AC1193" s="9"/>
      <c r="AD1193" s="9"/>
      <c r="AE1193" s="11"/>
      <c r="AF1193" s="10"/>
      <c r="AG1193" s="11"/>
      <c r="AH1193" s="10"/>
      <c r="AI1193" s="11"/>
      <c r="AJ1193" s="10"/>
      <c r="AK1193" s="10"/>
      <c r="AL1193" s="10"/>
      <c r="AM1193" s="8"/>
      <c r="AN1193" s="8"/>
      <c r="AO1193" s="9"/>
      <c r="AP1193" s="9"/>
      <c r="AQ1193" s="9"/>
      <c r="AR1193" s="8"/>
      <c r="AS1193" s="8"/>
      <c r="AT1193" s="8"/>
      <c r="AU1193" s="8"/>
      <c r="AV1193" s="8"/>
      <c r="AW1193" s="8"/>
      <c r="AX1193" s="8"/>
      <c r="AY1193" s="8"/>
      <c r="AZ1193" s="8"/>
    </row>
    <row r="1194" spans="21:52" ht="16.899999999999999">
      <c r="U1194" s="8"/>
      <c r="W1194" s="10"/>
      <c r="X1194" s="10"/>
      <c r="Z1194" s="13"/>
      <c r="AA1194" s="13"/>
      <c r="AB1194" s="13"/>
      <c r="AC1194" s="9"/>
      <c r="AD1194" s="9"/>
      <c r="AE1194" s="11"/>
      <c r="AF1194" s="10"/>
      <c r="AG1194" s="11"/>
      <c r="AH1194" s="10"/>
      <c r="AI1194" s="11"/>
      <c r="AJ1194" s="10"/>
      <c r="AK1194" s="10"/>
      <c r="AL1194" s="10"/>
      <c r="AM1194" s="8"/>
      <c r="AN1194" s="8"/>
      <c r="AO1194" s="9"/>
      <c r="AP1194" s="9"/>
      <c r="AQ1194" s="9"/>
      <c r="AR1194" s="8"/>
      <c r="AS1194" s="8"/>
      <c r="AT1194" s="8"/>
      <c r="AU1194" s="8"/>
      <c r="AV1194" s="8"/>
      <c r="AW1194" s="8"/>
      <c r="AX1194" s="8"/>
      <c r="AY1194" s="8"/>
      <c r="AZ1194" s="8"/>
    </row>
    <row r="1195" spans="21:52" ht="16.899999999999999">
      <c r="U1195" s="8"/>
      <c r="W1195" s="10"/>
      <c r="X1195" s="10"/>
      <c r="Z1195" s="13"/>
      <c r="AA1195" s="13"/>
      <c r="AB1195" s="13"/>
      <c r="AC1195" s="9"/>
      <c r="AD1195" s="9"/>
      <c r="AE1195" s="11"/>
      <c r="AF1195" s="10"/>
      <c r="AG1195" s="11"/>
      <c r="AH1195" s="10"/>
      <c r="AI1195" s="11"/>
      <c r="AJ1195" s="10"/>
      <c r="AK1195" s="10"/>
      <c r="AL1195" s="10"/>
      <c r="AM1195" s="8"/>
      <c r="AN1195" s="8"/>
      <c r="AO1195" s="9"/>
      <c r="AP1195" s="9"/>
      <c r="AQ1195" s="9"/>
      <c r="AR1195" s="8"/>
      <c r="AS1195" s="8"/>
      <c r="AT1195" s="8"/>
      <c r="AU1195" s="8"/>
      <c r="AV1195" s="8"/>
      <c r="AW1195" s="8"/>
      <c r="AX1195" s="8"/>
      <c r="AY1195" s="8"/>
      <c r="AZ1195" s="8"/>
    </row>
    <row r="1196" spans="21:52" ht="16.899999999999999">
      <c r="U1196" s="8"/>
      <c r="W1196" s="10"/>
      <c r="X1196" s="10"/>
      <c r="Z1196" s="13"/>
      <c r="AA1196" s="13"/>
      <c r="AB1196" s="13"/>
      <c r="AC1196" s="9"/>
      <c r="AD1196" s="9"/>
      <c r="AE1196" s="11"/>
      <c r="AF1196" s="10"/>
      <c r="AG1196" s="11"/>
      <c r="AH1196" s="10"/>
      <c r="AI1196" s="11"/>
      <c r="AJ1196" s="10"/>
      <c r="AK1196" s="10"/>
      <c r="AL1196" s="10"/>
      <c r="AM1196" s="8"/>
      <c r="AN1196" s="8"/>
      <c r="AO1196" s="9"/>
      <c r="AP1196" s="9"/>
      <c r="AQ1196" s="9"/>
      <c r="AR1196" s="8"/>
      <c r="AS1196" s="8"/>
      <c r="AT1196" s="8"/>
      <c r="AU1196" s="8"/>
      <c r="AV1196" s="8"/>
      <c r="AW1196" s="8"/>
      <c r="AX1196" s="8"/>
      <c r="AY1196" s="8"/>
      <c r="AZ1196" s="8"/>
    </row>
    <row r="1197" spans="21:52" ht="16.899999999999999">
      <c r="U1197" s="8"/>
      <c r="W1197" s="10"/>
      <c r="X1197" s="10"/>
      <c r="Z1197" s="13"/>
      <c r="AA1197" s="13"/>
      <c r="AB1197" s="13"/>
      <c r="AC1197" s="9"/>
      <c r="AD1197" s="9"/>
      <c r="AE1197" s="11"/>
      <c r="AF1197" s="10"/>
      <c r="AG1197" s="11"/>
      <c r="AH1197" s="10"/>
      <c r="AI1197" s="11"/>
      <c r="AJ1197" s="10"/>
      <c r="AK1197" s="10"/>
      <c r="AL1197" s="10"/>
      <c r="AM1197" s="8"/>
      <c r="AN1197" s="8"/>
      <c r="AO1197" s="9"/>
      <c r="AP1197" s="9"/>
      <c r="AQ1197" s="9"/>
      <c r="AR1197" s="8"/>
      <c r="AS1197" s="8"/>
      <c r="AT1197" s="8"/>
      <c r="AU1197" s="8"/>
      <c r="AV1197" s="8"/>
      <c r="AW1197" s="8"/>
      <c r="AX1197" s="8"/>
      <c r="AY1197" s="8"/>
      <c r="AZ1197" s="8"/>
    </row>
    <row r="1198" spans="21:52" ht="16.899999999999999">
      <c r="U1198" s="8"/>
      <c r="W1198" s="10"/>
      <c r="X1198" s="10"/>
      <c r="Z1198" s="13"/>
      <c r="AA1198" s="13"/>
      <c r="AB1198" s="13"/>
      <c r="AC1198" s="9"/>
      <c r="AD1198" s="9"/>
      <c r="AE1198" s="11"/>
      <c r="AF1198" s="10"/>
      <c r="AG1198" s="11"/>
      <c r="AH1198" s="10"/>
      <c r="AI1198" s="11"/>
      <c r="AJ1198" s="10"/>
      <c r="AK1198" s="10"/>
      <c r="AL1198" s="10"/>
      <c r="AM1198" s="8"/>
      <c r="AN1198" s="8"/>
      <c r="AO1198" s="9"/>
      <c r="AP1198" s="9"/>
      <c r="AQ1198" s="9"/>
      <c r="AR1198" s="8"/>
      <c r="AS1198" s="8"/>
      <c r="AT1198" s="8"/>
      <c r="AU1198" s="8"/>
      <c r="AV1198" s="8"/>
      <c r="AW1198" s="8"/>
      <c r="AX1198" s="8"/>
      <c r="AY1198" s="8"/>
      <c r="AZ1198" s="8"/>
    </row>
    <row r="1199" spans="21:52" ht="16.899999999999999">
      <c r="U1199" s="8"/>
      <c r="W1199" s="10"/>
      <c r="X1199" s="10"/>
      <c r="Z1199" s="13"/>
      <c r="AA1199" s="13"/>
      <c r="AB1199" s="13"/>
      <c r="AC1199" s="9"/>
      <c r="AD1199" s="9"/>
      <c r="AE1199" s="11"/>
      <c r="AF1199" s="10"/>
      <c r="AG1199" s="11"/>
      <c r="AH1199" s="10"/>
      <c r="AI1199" s="11"/>
      <c r="AJ1199" s="10"/>
      <c r="AK1199" s="10"/>
      <c r="AL1199" s="10"/>
      <c r="AM1199" s="8"/>
      <c r="AN1199" s="8"/>
      <c r="AO1199" s="9"/>
      <c r="AP1199" s="9"/>
      <c r="AQ1199" s="9"/>
      <c r="AR1199" s="8"/>
      <c r="AS1199" s="8"/>
      <c r="AT1199" s="8"/>
      <c r="AU1199" s="8"/>
      <c r="AV1199" s="8"/>
      <c r="AW1199" s="8"/>
      <c r="AX1199" s="8"/>
      <c r="AY1199" s="8"/>
      <c r="AZ1199" s="8"/>
    </row>
    <row r="1200" spans="21:52" ht="16.899999999999999">
      <c r="U1200" s="8"/>
      <c r="W1200" s="10"/>
      <c r="X1200" s="10"/>
      <c r="Z1200" s="13"/>
      <c r="AA1200" s="13"/>
      <c r="AB1200" s="13"/>
      <c r="AC1200" s="9"/>
      <c r="AD1200" s="9"/>
      <c r="AE1200" s="11"/>
      <c r="AF1200" s="10"/>
      <c r="AG1200" s="11"/>
      <c r="AH1200" s="10"/>
      <c r="AI1200" s="11"/>
      <c r="AJ1200" s="10"/>
      <c r="AK1200" s="10"/>
      <c r="AL1200" s="10"/>
      <c r="AM1200" s="8"/>
      <c r="AN1200" s="8"/>
      <c r="AO1200" s="9"/>
      <c r="AP1200" s="9"/>
      <c r="AQ1200" s="9"/>
      <c r="AR1200" s="8"/>
      <c r="AS1200" s="8"/>
      <c r="AT1200" s="8"/>
      <c r="AU1200" s="8"/>
      <c r="AV1200" s="8"/>
      <c r="AW1200" s="8"/>
      <c r="AX1200" s="8"/>
      <c r="AY1200" s="8"/>
      <c r="AZ1200" s="8"/>
    </row>
    <row r="1201" spans="21:52" ht="16.899999999999999">
      <c r="U1201" s="8"/>
      <c r="W1201" s="10"/>
      <c r="X1201" s="10"/>
      <c r="Z1201" s="13"/>
      <c r="AA1201" s="13"/>
      <c r="AB1201" s="13"/>
      <c r="AC1201" s="9"/>
      <c r="AD1201" s="9"/>
      <c r="AE1201" s="11"/>
      <c r="AF1201" s="10"/>
      <c r="AG1201" s="11"/>
      <c r="AH1201" s="10"/>
      <c r="AI1201" s="11"/>
      <c r="AJ1201" s="10"/>
      <c r="AK1201" s="10"/>
      <c r="AL1201" s="10"/>
      <c r="AM1201" s="8"/>
      <c r="AN1201" s="8"/>
      <c r="AO1201" s="9"/>
      <c r="AP1201" s="9"/>
      <c r="AQ1201" s="9"/>
      <c r="AR1201" s="8"/>
      <c r="AS1201" s="8"/>
      <c r="AT1201" s="8"/>
      <c r="AU1201" s="8"/>
      <c r="AV1201" s="8"/>
      <c r="AW1201" s="8"/>
      <c r="AX1201" s="8"/>
      <c r="AY1201" s="8"/>
      <c r="AZ1201" s="8"/>
    </row>
    <row r="1202" spans="21:52" ht="16.899999999999999">
      <c r="U1202" s="8"/>
      <c r="W1202" s="10"/>
      <c r="X1202" s="10"/>
      <c r="Z1202" s="13"/>
      <c r="AA1202" s="13"/>
      <c r="AB1202" s="13"/>
      <c r="AC1202" s="9"/>
      <c r="AD1202" s="9"/>
      <c r="AE1202" s="11"/>
      <c r="AF1202" s="10"/>
      <c r="AG1202" s="11"/>
      <c r="AH1202" s="10"/>
      <c r="AI1202" s="11"/>
      <c r="AJ1202" s="10"/>
      <c r="AK1202" s="10"/>
      <c r="AL1202" s="10"/>
      <c r="AM1202" s="8"/>
      <c r="AN1202" s="8"/>
      <c r="AO1202" s="9"/>
      <c r="AP1202" s="9"/>
      <c r="AQ1202" s="9"/>
      <c r="AR1202" s="8"/>
      <c r="AS1202" s="8"/>
      <c r="AT1202" s="8"/>
      <c r="AU1202" s="8"/>
      <c r="AV1202" s="8"/>
      <c r="AW1202" s="8"/>
      <c r="AX1202" s="8"/>
      <c r="AY1202" s="8"/>
      <c r="AZ1202" s="8"/>
    </row>
    <row r="1203" spans="21:52" ht="16.899999999999999">
      <c r="U1203" s="8"/>
      <c r="W1203" s="10"/>
      <c r="X1203" s="10"/>
      <c r="Z1203" s="13"/>
      <c r="AA1203" s="13"/>
      <c r="AB1203" s="13"/>
      <c r="AC1203" s="9"/>
      <c r="AD1203" s="9"/>
      <c r="AE1203" s="11"/>
      <c r="AF1203" s="10"/>
      <c r="AG1203" s="11"/>
      <c r="AH1203" s="10"/>
      <c r="AI1203" s="11"/>
      <c r="AJ1203" s="10"/>
      <c r="AK1203" s="10"/>
      <c r="AL1203" s="10"/>
      <c r="AM1203" s="8"/>
      <c r="AN1203" s="8"/>
      <c r="AO1203" s="9"/>
      <c r="AP1203" s="9"/>
      <c r="AQ1203" s="9"/>
      <c r="AR1203" s="8"/>
      <c r="AS1203" s="8"/>
      <c r="AT1203" s="8"/>
      <c r="AU1203" s="8"/>
      <c r="AV1203" s="8"/>
      <c r="AW1203" s="8"/>
      <c r="AX1203" s="8"/>
      <c r="AY1203" s="8"/>
      <c r="AZ1203" s="8"/>
    </row>
    <row r="1204" spans="21:52" ht="16.899999999999999">
      <c r="U1204" s="8"/>
      <c r="W1204" s="10"/>
      <c r="X1204" s="10"/>
      <c r="Z1204" s="13"/>
      <c r="AA1204" s="13"/>
      <c r="AB1204" s="13"/>
      <c r="AC1204" s="9"/>
      <c r="AD1204" s="9"/>
      <c r="AE1204" s="11"/>
      <c r="AF1204" s="10"/>
      <c r="AG1204" s="11"/>
      <c r="AH1204" s="10"/>
      <c r="AI1204" s="11"/>
      <c r="AJ1204" s="10"/>
      <c r="AK1204" s="10"/>
      <c r="AL1204" s="10"/>
      <c r="AM1204" s="8"/>
      <c r="AN1204" s="8"/>
      <c r="AO1204" s="9"/>
      <c r="AP1204" s="9"/>
      <c r="AQ1204" s="9"/>
      <c r="AR1204" s="8"/>
      <c r="AS1204" s="8"/>
      <c r="AT1204" s="8"/>
      <c r="AU1204" s="8"/>
      <c r="AV1204" s="8"/>
      <c r="AW1204" s="8"/>
      <c r="AX1204" s="8"/>
      <c r="AY1204" s="8"/>
      <c r="AZ1204" s="8"/>
    </row>
    <row r="1205" spans="21:52" ht="16.899999999999999">
      <c r="U1205" s="8"/>
      <c r="W1205" s="10"/>
      <c r="X1205" s="10"/>
      <c r="Z1205" s="13"/>
      <c r="AA1205" s="13"/>
      <c r="AB1205" s="13"/>
      <c r="AC1205" s="9"/>
      <c r="AD1205" s="9"/>
      <c r="AE1205" s="11"/>
      <c r="AF1205" s="10"/>
      <c r="AG1205" s="11"/>
      <c r="AH1205" s="10"/>
      <c r="AI1205" s="11"/>
      <c r="AJ1205" s="10"/>
      <c r="AK1205" s="10"/>
      <c r="AL1205" s="10"/>
      <c r="AM1205" s="8"/>
      <c r="AN1205" s="8"/>
      <c r="AO1205" s="9"/>
      <c r="AP1205" s="9"/>
      <c r="AQ1205" s="9"/>
      <c r="AR1205" s="8"/>
      <c r="AS1205" s="8"/>
      <c r="AT1205" s="8"/>
      <c r="AU1205" s="8"/>
      <c r="AV1205" s="8"/>
      <c r="AW1205" s="8"/>
      <c r="AX1205" s="8"/>
      <c r="AY1205" s="8"/>
      <c r="AZ1205" s="8"/>
    </row>
    <row r="1206" spans="21:52" ht="16.899999999999999">
      <c r="U1206" s="8"/>
      <c r="W1206" s="10"/>
      <c r="X1206" s="10"/>
      <c r="Z1206" s="13"/>
      <c r="AA1206" s="13"/>
      <c r="AB1206" s="13"/>
      <c r="AC1206" s="9"/>
      <c r="AD1206" s="9"/>
      <c r="AE1206" s="11"/>
      <c r="AF1206" s="10"/>
      <c r="AG1206" s="11"/>
      <c r="AH1206" s="10"/>
      <c r="AI1206" s="11"/>
      <c r="AJ1206" s="10"/>
      <c r="AK1206" s="10"/>
      <c r="AL1206" s="10"/>
      <c r="AM1206" s="8"/>
      <c r="AN1206" s="8"/>
      <c r="AO1206" s="9"/>
      <c r="AP1206" s="9"/>
      <c r="AQ1206" s="9"/>
      <c r="AR1206" s="8"/>
      <c r="AS1206" s="8"/>
      <c r="AT1206" s="8"/>
      <c r="AU1206" s="8"/>
      <c r="AV1206" s="8"/>
      <c r="AW1206" s="8"/>
      <c r="AX1206" s="8"/>
      <c r="AY1206" s="8"/>
      <c r="AZ1206" s="8"/>
    </row>
    <row r="1207" spans="21:52" ht="16.899999999999999">
      <c r="U1207" s="8"/>
      <c r="W1207" s="10"/>
      <c r="X1207" s="10"/>
      <c r="Z1207" s="13"/>
      <c r="AA1207" s="13"/>
      <c r="AB1207" s="13"/>
      <c r="AC1207" s="9"/>
      <c r="AD1207" s="9"/>
      <c r="AE1207" s="11"/>
      <c r="AF1207" s="10"/>
      <c r="AG1207" s="11"/>
      <c r="AH1207" s="10"/>
      <c r="AI1207" s="11"/>
      <c r="AJ1207" s="10"/>
      <c r="AK1207" s="10"/>
      <c r="AL1207" s="10"/>
      <c r="AM1207" s="8"/>
      <c r="AN1207" s="8"/>
      <c r="AO1207" s="9"/>
      <c r="AP1207" s="9"/>
      <c r="AQ1207" s="9"/>
      <c r="AR1207" s="8"/>
      <c r="AS1207" s="8"/>
      <c r="AT1207" s="8"/>
      <c r="AU1207" s="8"/>
      <c r="AV1207" s="8"/>
      <c r="AW1207" s="8"/>
      <c r="AX1207" s="8"/>
      <c r="AY1207" s="8"/>
      <c r="AZ1207" s="8"/>
    </row>
    <row r="1208" spans="21:52" ht="16.899999999999999">
      <c r="U1208" s="8"/>
      <c r="W1208" s="10"/>
      <c r="X1208" s="10"/>
      <c r="Z1208" s="13"/>
      <c r="AA1208" s="13"/>
      <c r="AB1208" s="13"/>
      <c r="AC1208" s="9"/>
      <c r="AD1208" s="9"/>
      <c r="AE1208" s="11"/>
      <c r="AF1208" s="10"/>
      <c r="AG1208" s="11"/>
      <c r="AH1208" s="10"/>
      <c r="AI1208" s="11"/>
      <c r="AJ1208" s="10"/>
      <c r="AK1208" s="10"/>
      <c r="AL1208" s="10"/>
      <c r="AM1208" s="8"/>
      <c r="AN1208" s="8"/>
      <c r="AO1208" s="9"/>
      <c r="AP1208" s="9"/>
      <c r="AQ1208" s="9"/>
      <c r="AR1208" s="8"/>
      <c r="AS1208" s="8"/>
      <c r="AT1208" s="8"/>
      <c r="AU1208" s="8"/>
      <c r="AV1208" s="8"/>
      <c r="AW1208" s="8"/>
      <c r="AX1208" s="8"/>
      <c r="AY1208" s="8"/>
      <c r="AZ1208" s="8"/>
    </row>
    <row r="1209" spans="21:52" ht="16.899999999999999">
      <c r="U1209" s="8"/>
      <c r="W1209" s="10"/>
      <c r="X1209" s="10"/>
      <c r="Z1209" s="13"/>
      <c r="AA1209" s="13"/>
      <c r="AB1209" s="13"/>
      <c r="AC1209" s="9"/>
      <c r="AD1209" s="9"/>
      <c r="AE1209" s="11"/>
      <c r="AF1209" s="10"/>
      <c r="AG1209" s="11"/>
      <c r="AH1209" s="10"/>
      <c r="AI1209" s="11"/>
      <c r="AJ1209" s="10"/>
      <c r="AK1209" s="10"/>
      <c r="AL1209" s="10"/>
      <c r="AM1209" s="8"/>
      <c r="AN1209" s="8"/>
      <c r="AO1209" s="9"/>
      <c r="AP1209" s="9"/>
      <c r="AQ1209" s="9"/>
      <c r="AR1209" s="8"/>
      <c r="AS1209" s="8"/>
      <c r="AT1209" s="8"/>
      <c r="AU1209" s="8"/>
      <c r="AV1209" s="8"/>
      <c r="AW1209" s="8"/>
      <c r="AX1209" s="8"/>
      <c r="AY1209" s="8"/>
      <c r="AZ1209" s="8"/>
    </row>
    <row r="1210" spans="21:52" ht="16.899999999999999">
      <c r="U1210" s="8"/>
      <c r="W1210" s="10"/>
      <c r="X1210" s="10"/>
      <c r="Z1210" s="13"/>
      <c r="AA1210" s="13"/>
      <c r="AB1210" s="13"/>
      <c r="AC1210" s="9"/>
      <c r="AD1210" s="9"/>
      <c r="AE1210" s="11"/>
      <c r="AF1210" s="10"/>
      <c r="AG1210" s="11"/>
      <c r="AH1210" s="10"/>
      <c r="AI1210" s="11"/>
      <c r="AJ1210" s="10"/>
      <c r="AK1210" s="10"/>
      <c r="AL1210" s="10"/>
      <c r="AM1210" s="8"/>
      <c r="AN1210" s="8"/>
      <c r="AO1210" s="9"/>
      <c r="AP1210" s="9"/>
      <c r="AQ1210" s="9"/>
      <c r="AR1210" s="8"/>
      <c r="AS1210" s="8"/>
      <c r="AT1210" s="8"/>
      <c r="AU1210" s="8"/>
      <c r="AV1210" s="8"/>
      <c r="AW1210" s="8"/>
      <c r="AX1210" s="8"/>
      <c r="AY1210" s="8"/>
      <c r="AZ1210" s="8"/>
    </row>
    <row r="1211" spans="21:52" ht="16.899999999999999">
      <c r="U1211" s="8"/>
      <c r="W1211" s="10"/>
      <c r="X1211" s="10"/>
      <c r="Z1211" s="13"/>
      <c r="AA1211" s="13"/>
      <c r="AB1211" s="13"/>
      <c r="AC1211" s="9"/>
      <c r="AD1211" s="9"/>
      <c r="AE1211" s="11"/>
      <c r="AF1211" s="10"/>
      <c r="AG1211" s="11"/>
      <c r="AH1211" s="10"/>
      <c r="AI1211" s="11"/>
      <c r="AJ1211" s="10"/>
      <c r="AK1211" s="10"/>
      <c r="AL1211" s="10"/>
      <c r="AM1211" s="8"/>
      <c r="AN1211" s="8"/>
      <c r="AO1211" s="9"/>
      <c r="AP1211" s="9"/>
      <c r="AQ1211" s="9"/>
      <c r="AR1211" s="8"/>
      <c r="AS1211" s="8"/>
      <c r="AT1211" s="8"/>
      <c r="AU1211" s="8"/>
      <c r="AV1211" s="8"/>
      <c r="AW1211" s="8"/>
      <c r="AX1211" s="8"/>
      <c r="AY1211" s="8"/>
      <c r="AZ1211" s="8"/>
    </row>
    <row r="1212" spans="21:52" ht="16.899999999999999">
      <c r="U1212" s="8"/>
      <c r="W1212" s="10"/>
      <c r="X1212" s="10"/>
      <c r="Z1212" s="13"/>
      <c r="AA1212" s="13"/>
      <c r="AB1212" s="13"/>
      <c r="AC1212" s="9"/>
      <c r="AD1212" s="9"/>
      <c r="AE1212" s="11"/>
      <c r="AF1212" s="10"/>
      <c r="AG1212" s="11"/>
      <c r="AH1212" s="10"/>
      <c r="AI1212" s="11"/>
      <c r="AJ1212" s="10"/>
      <c r="AK1212" s="10"/>
      <c r="AL1212" s="10"/>
      <c r="AM1212" s="8"/>
      <c r="AN1212" s="8"/>
      <c r="AO1212" s="9"/>
      <c r="AP1212" s="9"/>
      <c r="AQ1212" s="9"/>
      <c r="AR1212" s="8"/>
      <c r="AS1212" s="8"/>
      <c r="AT1212" s="8"/>
      <c r="AU1212" s="8"/>
      <c r="AV1212" s="8"/>
      <c r="AW1212" s="8"/>
      <c r="AX1212" s="8"/>
      <c r="AY1212" s="8"/>
      <c r="AZ1212" s="8"/>
    </row>
    <row r="1213" spans="21:52" ht="16.899999999999999">
      <c r="U1213" s="8"/>
      <c r="W1213" s="10"/>
      <c r="X1213" s="10"/>
      <c r="Z1213" s="13"/>
      <c r="AA1213" s="13"/>
      <c r="AB1213" s="13"/>
      <c r="AC1213" s="9"/>
      <c r="AD1213" s="9"/>
      <c r="AE1213" s="11"/>
      <c r="AF1213" s="10"/>
      <c r="AG1213" s="11"/>
      <c r="AH1213" s="10"/>
      <c r="AI1213" s="11"/>
      <c r="AJ1213" s="10"/>
      <c r="AK1213" s="10"/>
      <c r="AL1213" s="10"/>
      <c r="AM1213" s="8"/>
      <c r="AN1213" s="8"/>
      <c r="AO1213" s="9"/>
      <c r="AP1213" s="9"/>
      <c r="AQ1213" s="9"/>
      <c r="AR1213" s="8"/>
      <c r="AS1213" s="8"/>
      <c r="AT1213" s="8"/>
      <c r="AU1213" s="8"/>
      <c r="AV1213" s="8"/>
      <c r="AW1213" s="8"/>
      <c r="AX1213" s="8"/>
      <c r="AY1213" s="8"/>
      <c r="AZ1213" s="8"/>
    </row>
    <row r="1214" spans="21:52" ht="16.899999999999999">
      <c r="U1214" s="8"/>
      <c r="W1214" s="10"/>
      <c r="X1214" s="10"/>
      <c r="Z1214" s="13"/>
      <c r="AA1214" s="13"/>
      <c r="AB1214" s="13"/>
      <c r="AC1214" s="9"/>
      <c r="AD1214" s="9"/>
      <c r="AE1214" s="11"/>
      <c r="AF1214" s="10"/>
      <c r="AG1214" s="11"/>
      <c r="AH1214" s="10"/>
      <c r="AI1214" s="11"/>
      <c r="AJ1214" s="10"/>
      <c r="AK1214" s="10"/>
      <c r="AL1214" s="10"/>
      <c r="AM1214" s="8"/>
      <c r="AN1214" s="8"/>
      <c r="AO1214" s="9"/>
      <c r="AP1214" s="9"/>
      <c r="AQ1214" s="9"/>
      <c r="AR1214" s="8"/>
      <c r="AS1214" s="8"/>
      <c r="AT1214" s="8"/>
      <c r="AU1214" s="8"/>
      <c r="AV1214" s="8"/>
      <c r="AW1214" s="8"/>
      <c r="AX1214" s="8"/>
      <c r="AY1214" s="8"/>
      <c r="AZ1214" s="8"/>
    </row>
    <row r="1215" spans="21:52" ht="16.899999999999999">
      <c r="U1215" s="8"/>
      <c r="W1215" s="10"/>
      <c r="X1215" s="10"/>
      <c r="Z1215" s="13"/>
      <c r="AA1215" s="13"/>
      <c r="AB1215" s="13"/>
      <c r="AC1215" s="9"/>
      <c r="AD1215" s="9"/>
      <c r="AE1215" s="11"/>
      <c r="AF1215" s="10"/>
      <c r="AG1215" s="11"/>
      <c r="AH1215" s="10"/>
      <c r="AI1215" s="11"/>
      <c r="AJ1215" s="10"/>
      <c r="AK1215" s="10"/>
      <c r="AL1215" s="10"/>
      <c r="AM1215" s="8"/>
      <c r="AN1215" s="8"/>
      <c r="AO1215" s="9"/>
      <c r="AP1215" s="9"/>
      <c r="AQ1215" s="9"/>
      <c r="AR1215" s="8"/>
      <c r="AS1215" s="8"/>
      <c r="AT1215" s="8"/>
      <c r="AU1215" s="8"/>
      <c r="AV1215" s="8"/>
      <c r="AW1215" s="8"/>
      <c r="AX1215" s="8"/>
      <c r="AY1215" s="8"/>
      <c r="AZ1215" s="8"/>
    </row>
    <row r="1216" spans="21:52" ht="16.899999999999999">
      <c r="U1216" s="8"/>
      <c r="W1216" s="10"/>
      <c r="X1216" s="10"/>
      <c r="Z1216" s="13"/>
      <c r="AA1216" s="13"/>
      <c r="AB1216" s="13"/>
      <c r="AC1216" s="9"/>
      <c r="AD1216" s="9"/>
      <c r="AE1216" s="11"/>
      <c r="AF1216" s="10"/>
      <c r="AG1216" s="11"/>
      <c r="AH1216" s="10"/>
      <c r="AI1216" s="11"/>
      <c r="AJ1216" s="10"/>
      <c r="AK1216" s="10"/>
      <c r="AL1216" s="10"/>
      <c r="AM1216" s="8"/>
      <c r="AN1216" s="8"/>
      <c r="AO1216" s="9"/>
      <c r="AP1216" s="9"/>
      <c r="AQ1216" s="9"/>
      <c r="AR1216" s="8"/>
      <c r="AS1216" s="8"/>
      <c r="AT1216" s="8"/>
      <c r="AU1216" s="8"/>
      <c r="AV1216" s="8"/>
      <c r="AW1216" s="8"/>
      <c r="AX1216" s="8"/>
      <c r="AY1216" s="8"/>
      <c r="AZ1216" s="8"/>
    </row>
    <row r="1217" spans="21:52" ht="16.899999999999999">
      <c r="U1217" s="8"/>
      <c r="W1217" s="10"/>
      <c r="X1217" s="10"/>
      <c r="Z1217" s="13"/>
      <c r="AA1217" s="13"/>
      <c r="AB1217" s="13"/>
      <c r="AC1217" s="9"/>
      <c r="AD1217" s="9"/>
      <c r="AE1217" s="11"/>
      <c r="AF1217" s="10"/>
      <c r="AG1217" s="11"/>
      <c r="AH1217" s="10"/>
      <c r="AI1217" s="11"/>
      <c r="AJ1217" s="10"/>
      <c r="AK1217" s="10"/>
      <c r="AL1217" s="10"/>
      <c r="AM1217" s="8"/>
      <c r="AN1217" s="8"/>
      <c r="AO1217" s="9"/>
      <c r="AP1217" s="9"/>
      <c r="AQ1217" s="9"/>
      <c r="AR1217" s="8"/>
      <c r="AS1217" s="8"/>
      <c r="AT1217" s="8"/>
      <c r="AU1217" s="8"/>
      <c r="AV1217" s="8"/>
      <c r="AW1217" s="8"/>
      <c r="AX1217" s="8"/>
      <c r="AY1217" s="8"/>
      <c r="AZ1217" s="8"/>
    </row>
    <row r="1218" spans="21:52" ht="16.899999999999999">
      <c r="U1218" s="8"/>
      <c r="W1218" s="10"/>
      <c r="X1218" s="10"/>
      <c r="Z1218" s="13"/>
      <c r="AA1218" s="13"/>
      <c r="AB1218" s="13"/>
      <c r="AC1218" s="9"/>
      <c r="AD1218" s="9"/>
      <c r="AE1218" s="11"/>
      <c r="AF1218" s="10"/>
      <c r="AG1218" s="11"/>
      <c r="AH1218" s="10"/>
      <c r="AI1218" s="11"/>
      <c r="AJ1218" s="10"/>
      <c r="AK1218" s="10"/>
      <c r="AL1218" s="10"/>
      <c r="AM1218" s="8"/>
      <c r="AN1218" s="8"/>
      <c r="AO1218" s="9"/>
      <c r="AP1218" s="9"/>
      <c r="AQ1218" s="9"/>
      <c r="AR1218" s="8"/>
      <c r="AS1218" s="8"/>
      <c r="AT1218" s="8"/>
      <c r="AU1218" s="8"/>
      <c r="AV1218" s="8"/>
      <c r="AW1218" s="8"/>
      <c r="AX1218" s="8"/>
      <c r="AY1218" s="8"/>
      <c r="AZ1218" s="8"/>
    </row>
    <row r="1219" spans="21:52" ht="16.899999999999999">
      <c r="U1219" s="8"/>
      <c r="W1219" s="10"/>
      <c r="X1219" s="10"/>
      <c r="Z1219" s="13"/>
      <c r="AA1219" s="13"/>
      <c r="AB1219" s="13"/>
      <c r="AC1219" s="9"/>
      <c r="AD1219" s="9"/>
      <c r="AE1219" s="11"/>
      <c r="AF1219" s="10"/>
      <c r="AG1219" s="11"/>
      <c r="AH1219" s="10"/>
      <c r="AI1219" s="11"/>
      <c r="AJ1219" s="10"/>
      <c r="AK1219" s="10"/>
      <c r="AL1219" s="10"/>
      <c r="AM1219" s="8"/>
      <c r="AN1219" s="8"/>
      <c r="AO1219" s="9"/>
      <c r="AP1219" s="9"/>
      <c r="AQ1219" s="9"/>
      <c r="AR1219" s="8"/>
      <c r="AS1219" s="8"/>
      <c r="AT1219" s="8"/>
      <c r="AU1219" s="8"/>
      <c r="AV1219" s="8"/>
      <c r="AW1219" s="8"/>
      <c r="AX1219" s="8"/>
      <c r="AY1219" s="8"/>
      <c r="AZ1219" s="8"/>
    </row>
    <row r="1220" spans="21:52" ht="16.899999999999999">
      <c r="U1220" s="8"/>
      <c r="W1220" s="10"/>
      <c r="X1220" s="10"/>
      <c r="Z1220" s="13"/>
      <c r="AA1220" s="13"/>
      <c r="AB1220" s="13"/>
      <c r="AC1220" s="9"/>
      <c r="AD1220" s="9"/>
      <c r="AE1220" s="11"/>
      <c r="AF1220" s="10"/>
      <c r="AG1220" s="11"/>
      <c r="AH1220" s="10"/>
      <c r="AI1220" s="11"/>
      <c r="AJ1220" s="10"/>
      <c r="AK1220" s="10"/>
      <c r="AL1220" s="10"/>
      <c r="AM1220" s="8"/>
      <c r="AN1220" s="8"/>
      <c r="AO1220" s="9"/>
      <c r="AP1220" s="9"/>
      <c r="AQ1220" s="9"/>
      <c r="AR1220" s="8"/>
      <c r="AS1220" s="8"/>
      <c r="AT1220" s="8"/>
      <c r="AU1220" s="8"/>
      <c r="AV1220" s="8"/>
      <c r="AW1220" s="8"/>
      <c r="AX1220" s="8"/>
      <c r="AY1220" s="8"/>
      <c r="AZ1220" s="8"/>
    </row>
    <row r="1221" spans="21:52" ht="16.899999999999999">
      <c r="U1221" s="8"/>
      <c r="W1221" s="10"/>
      <c r="X1221" s="10"/>
      <c r="Z1221" s="13"/>
      <c r="AA1221" s="13"/>
      <c r="AB1221" s="13"/>
      <c r="AC1221" s="9"/>
      <c r="AD1221" s="9"/>
      <c r="AE1221" s="11"/>
      <c r="AF1221" s="10"/>
      <c r="AG1221" s="11"/>
      <c r="AH1221" s="10"/>
      <c r="AI1221" s="11"/>
      <c r="AJ1221" s="10"/>
      <c r="AK1221" s="10"/>
      <c r="AL1221" s="10"/>
      <c r="AM1221" s="8"/>
      <c r="AN1221" s="8"/>
      <c r="AO1221" s="9"/>
      <c r="AP1221" s="9"/>
      <c r="AQ1221" s="9"/>
      <c r="AR1221" s="8"/>
      <c r="AS1221" s="8"/>
      <c r="AT1221" s="8"/>
      <c r="AU1221" s="8"/>
      <c r="AV1221" s="8"/>
      <c r="AW1221" s="8"/>
      <c r="AX1221" s="8"/>
      <c r="AY1221" s="8"/>
      <c r="AZ1221" s="8"/>
    </row>
    <row r="1222" spans="21:52" ht="16.899999999999999">
      <c r="U1222" s="8"/>
      <c r="W1222" s="10"/>
      <c r="X1222" s="10"/>
      <c r="Z1222" s="13"/>
      <c r="AA1222" s="13"/>
      <c r="AB1222" s="13"/>
      <c r="AC1222" s="9"/>
      <c r="AD1222" s="9"/>
      <c r="AE1222" s="11"/>
      <c r="AF1222" s="10"/>
      <c r="AG1222" s="11"/>
      <c r="AH1222" s="10"/>
      <c r="AI1222" s="11"/>
      <c r="AJ1222" s="10"/>
      <c r="AK1222" s="10"/>
      <c r="AL1222" s="10"/>
      <c r="AM1222" s="8"/>
      <c r="AN1222" s="8"/>
      <c r="AO1222" s="9"/>
      <c r="AP1222" s="9"/>
      <c r="AQ1222" s="9"/>
      <c r="AR1222" s="8"/>
      <c r="AS1222" s="8"/>
      <c r="AT1222" s="8"/>
      <c r="AU1222" s="8"/>
      <c r="AV1222" s="8"/>
      <c r="AW1222" s="8"/>
      <c r="AX1222" s="8"/>
      <c r="AY1222" s="8"/>
      <c r="AZ1222" s="8"/>
    </row>
    <row r="1223" spans="21:52" ht="16.899999999999999">
      <c r="U1223" s="8"/>
      <c r="W1223" s="10"/>
      <c r="X1223" s="10"/>
      <c r="Z1223" s="13"/>
      <c r="AA1223" s="13"/>
      <c r="AB1223" s="13"/>
      <c r="AC1223" s="9"/>
      <c r="AD1223" s="9"/>
      <c r="AE1223" s="11"/>
      <c r="AF1223" s="10"/>
      <c r="AG1223" s="11"/>
      <c r="AH1223" s="10"/>
      <c r="AI1223" s="11"/>
      <c r="AJ1223" s="10"/>
      <c r="AK1223" s="10"/>
      <c r="AL1223" s="10"/>
      <c r="AM1223" s="8"/>
      <c r="AN1223" s="8"/>
      <c r="AO1223" s="9"/>
      <c r="AP1223" s="9"/>
      <c r="AQ1223" s="9"/>
      <c r="AR1223" s="8"/>
      <c r="AS1223" s="8"/>
      <c r="AT1223" s="8"/>
      <c r="AU1223" s="8"/>
      <c r="AV1223" s="8"/>
      <c r="AW1223" s="8"/>
      <c r="AX1223" s="8"/>
      <c r="AY1223" s="8"/>
      <c r="AZ1223" s="8"/>
    </row>
    <row r="1224" spans="21:52" ht="16.899999999999999">
      <c r="U1224" s="8"/>
      <c r="W1224" s="10"/>
      <c r="X1224" s="10"/>
      <c r="Z1224" s="13"/>
      <c r="AA1224" s="13"/>
      <c r="AB1224" s="13"/>
      <c r="AC1224" s="9"/>
      <c r="AD1224" s="9"/>
      <c r="AE1224" s="11"/>
      <c r="AF1224" s="10"/>
      <c r="AG1224" s="11"/>
      <c r="AH1224" s="10"/>
      <c r="AI1224" s="11"/>
      <c r="AJ1224" s="10"/>
      <c r="AK1224" s="10"/>
      <c r="AL1224" s="10"/>
      <c r="AM1224" s="8"/>
      <c r="AN1224" s="8"/>
      <c r="AO1224" s="9"/>
      <c r="AP1224" s="9"/>
      <c r="AQ1224" s="9"/>
      <c r="AR1224" s="8"/>
      <c r="AS1224" s="8"/>
      <c r="AT1224" s="8"/>
      <c r="AU1224" s="8"/>
      <c r="AV1224" s="8"/>
      <c r="AW1224" s="8"/>
      <c r="AX1224" s="8"/>
      <c r="AY1224" s="8"/>
      <c r="AZ1224" s="8"/>
    </row>
    <row r="1225" spans="21:52" ht="16.899999999999999">
      <c r="U1225" s="8"/>
      <c r="W1225" s="10"/>
      <c r="X1225" s="10"/>
      <c r="Z1225" s="13"/>
      <c r="AA1225" s="13"/>
      <c r="AB1225" s="13"/>
      <c r="AC1225" s="9"/>
      <c r="AD1225" s="9"/>
      <c r="AE1225" s="11"/>
      <c r="AF1225" s="10"/>
      <c r="AG1225" s="11"/>
      <c r="AH1225" s="10"/>
      <c r="AI1225" s="11"/>
      <c r="AJ1225" s="10"/>
      <c r="AK1225" s="10"/>
      <c r="AL1225" s="10"/>
      <c r="AM1225" s="8"/>
      <c r="AN1225" s="8"/>
      <c r="AO1225" s="9"/>
      <c r="AP1225" s="9"/>
      <c r="AQ1225" s="9"/>
      <c r="AR1225" s="8"/>
      <c r="AS1225" s="8"/>
      <c r="AT1225" s="8"/>
      <c r="AU1225" s="8"/>
      <c r="AV1225" s="8"/>
      <c r="AW1225" s="8"/>
      <c r="AX1225" s="8"/>
      <c r="AY1225" s="8"/>
      <c r="AZ1225" s="8"/>
    </row>
    <row r="1226" spans="21:52" ht="16.899999999999999">
      <c r="U1226" s="8"/>
      <c r="W1226" s="10"/>
      <c r="X1226" s="10"/>
      <c r="Z1226" s="13"/>
      <c r="AA1226" s="13"/>
      <c r="AB1226" s="13"/>
      <c r="AC1226" s="9"/>
      <c r="AD1226" s="9"/>
      <c r="AE1226" s="11"/>
      <c r="AF1226" s="10"/>
      <c r="AG1226" s="11"/>
      <c r="AH1226" s="10"/>
      <c r="AI1226" s="11"/>
      <c r="AJ1226" s="10"/>
      <c r="AK1226" s="10"/>
      <c r="AL1226" s="10"/>
      <c r="AM1226" s="8"/>
      <c r="AN1226" s="8"/>
      <c r="AO1226" s="9"/>
      <c r="AP1226" s="9"/>
      <c r="AQ1226" s="9"/>
      <c r="AR1226" s="8"/>
      <c r="AS1226" s="8"/>
      <c r="AT1226" s="8"/>
      <c r="AU1226" s="8"/>
      <c r="AV1226" s="8"/>
      <c r="AW1226" s="8"/>
      <c r="AX1226" s="8"/>
      <c r="AY1226" s="8"/>
      <c r="AZ1226" s="8"/>
    </row>
    <row r="1227" spans="21:52" ht="16.899999999999999">
      <c r="U1227" s="8"/>
      <c r="W1227" s="10"/>
      <c r="X1227" s="10"/>
      <c r="Z1227" s="13"/>
      <c r="AA1227" s="13"/>
      <c r="AB1227" s="13"/>
      <c r="AC1227" s="9"/>
      <c r="AD1227" s="9"/>
      <c r="AE1227" s="11"/>
      <c r="AF1227" s="10"/>
      <c r="AG1227" s="11"/>
      <c r="AH1227" s="10"/>
      <c r="AI1227" s="11"/>
      <c r="AJ1227" s="10"/>
      <c r="AK1227" s="10"/>
      <c r="AL1227" s="10"/>
      <c r="AM1227" s="8"/>
      <c r="AN1227" s="8"/>
      <c r="AO1227" s="9"/>
      <c r="AP1227" s="9"/>
      <c r="AQ1227" s="9"/>
      <c r="AR1227" s="8"/>
      <c r="AS1227" s="8"/>
      <c r="AT1227" s="8"/>
      <c r="AU1227" s="8"/>
      <c r="AV1227" s="8"/>
      <c r="AW1227" s="8"/>
      <c r="AX1227" s="8"/>
      <c r="AY1227" s="8"/>
      <c r="AZ1227" s="8"/>
    </row>
    <row r="1228" spans="21:52" ht="16.899999999999999">
      <c r="U1228" s="8"/>
      <c r="W1228" s="10"/>
      <c r="X1228" s="10"/>
      <c r="Z1228" s="13"/>
      <c r="AA1228" s="13"/>
      <c r="AB1228" s="13"/>
      <c r="AC1228" s="9"/>
      <c r="AD1228" s="9"/>
      <c r="AE1228" s="11"/>
      <c r="AF1228" s="10"/>
      <c r="AG1228" s="11"/>
      <c r="AH1228" s="10"/>
      <c r="AI1228" s="11"/>
      <c r="AJ1228" s="10"/>
      <c r="AK1228" s="10"/>
      <c r="AL1228" s="10"/>
      <c r="AM1228" s="8"/>
      <c r="AN1228" s="8"/>
      <c r="AO1228" s="9"/>
      <c r="AP1228" s="9"/>
      <c r="AQ1228" s="9"/>
      <c r="AR1228" s="8"/>
      <c r="AS1228" s="8"/>
      <c r="AT1228" s="8"/>
      <c r="AU1228" s="8"/>
      <c r="AV1228" s="8"/>
      <c r="AW1228" s="8"/>
      <c r="AX1228" s="8"/>
      <c r="AY1228" s="8"/>
      <c r="AZ1228" s="8"/>
    </row>
    <row r="1229" spans="21:52" ht="16.899999999999999">
      <c r="U1229" s="8"/>
      <c r="W1229" s="10"/>
      <c r="X1229" s="10"/>
      <c r="Z1229" s="13"/>
      <c r="AA1229" s="13"/>
      <c r="AB1229" s="13"/>
      <c r="AC1229" s="9"/>
      <c r="AD1229" s="9"/>
      <c r="AE1229" s="11"/>
      <c r="AF1229" s="10"/>
      <c r="AG1229" s="11"/>
      <c r="AH1229" s="10"/>
      <c r="AI1229" s="11"/>
      <c r="AJ1229" s="10"/>
      <c r="AK1229" s="10"/>
      <c r="AL1229" s="10"/>
      <c r="AM1229" s="8"/>
      <c r="AN1229" s="8"/>
      <c r="AO1229" s="9"/>
      <c r="AP1229" s="9"/>
      <c r="AQ1229" s="9"/>
      <c r="AR1229" s="8"/>
      <c r="AS1229" s="8"/>
      <c r="AT1229" s="8"/>
      <c r="AU1229" s="8"/>
      <c r="AV1229" s="8"/>
      <c r="AW1229" s="8"/>
      <c r="AX1229" s="8"/>
      <c r="AY1229" s="8"/>
      <c r="AZ1229" s="8"/>
    </row>
    <row r="1230" spans="21:52" ht="16.899999999999999">
      <c r="U1230" s="8"/>
      <c r="W1230" s="10"/>
      <c r="X1230" s="10"/>
      <c r="Z1230" s="13"/>
      <c r="AA1230" s="13"/>
      <c r="AB1230" s="13"/>
      <c r="AC1230" s="9"/>
      <c r="AD1230" s="9"/>
      <c r="AE1230" s="11"/>
      <c r="AF1230" s="10"/>
      <c r="AG1230" s="11"/>
      <c r="AH1230" s="10"/>
      <c r="AI1230" s="11"/>
      <c r="AJ1230" s="10"/>
      <c r="AK1230" s="10"/>
      <c r="AL1230" s="10"/>
      <c r="AM1230" s="8"/>
      <c r="AN1230" s="8"/>
      <c r="AO1230" s="9"/>
      <c r="AP1230" s="9"/>
      <c r="AQ1230" s="9"/>
      <c r="AR1230" s="8"/>
      <c r="AS1230" s="8"/>
      <c r="AT1230" s="8"/>
      <c r="AU1230" s="8"/>
      <c r="AV1230" s="8"/>
      <c r="AW1230" s="8"/>
      <c r="AX1230" s="8"/>
      <c r="AY1230" s="8"/>
      <c r="AZ1230" s="8"/>
    </row>
    <row r="1231" spans="21:52" ht="16.899999999999999">
      <c r="U1231" s="8"/>
      <c r="W1231" s="10"/>
      <c r="X1231" s="10"/>
      <c r="Z1231" s="13"/>
      <c r="AA1231" s="13"/>
      <c r="AB1231" s="13"/>
      <c r="AC1231" s="9"/>
      <c r="AD1231" s="9"/>
      <c r="AE1231" s="11"/>
      <c r="AF1231" s="10"/>
      <c r="AG1231" s="11"/>
      <c r="AH1231" s="10"/>
      <c r="AI1231" s="11"/>
      <c r="AJ1231" s="10"/>
      <c r="AK1231" s="10"/>
      <c r="AL1231" s="10"/>
      <c r="AM1231" s="8"/>
      <c r="AN1231" s="8"/>
      <c r="AO1231" s="9"/>
      <c r="AP1231" s="9"/>
      <c r="AQ1231" s="9"/>
      <c r="AR1231" s="8"/>
      <c r="AS1231" s="8"/>
      <c r="AT1231" s="8"/>
      <c r="AU1231" s="8"/>
      <c r="AV1231" s="8"/>
      <c r="AW1231" s="8"/>
      <c r="AX1231" s="8"/>
      <c r="AY1231" s="8"/>
      <c r="AZ1231" s="8"/>
    </row>
    <row r="1232" spans="21:52" ht="16.899999999999999">
      <c r="U1232" s="8"/>
      <c r="W1232" s="10"/>
      <c r="X1232" s="10"/>
      <c r="Z1232" s="13"/>
      <c r="AA1232" s="13"/>
      <c r="AB1232" s="13"/>
      <c r="AC1232" s="9"/>
      <c r="AD1232" s="9"/>
      <c r="AE1232" s="11"/>
      <c r="AF1232" s="10"/>
      <c r="AG1232" s="11"/>
      <c r="AH1232" s="10"/>
      <c r="AI1232" s="11"/>
      <c r="AJ1232" s="10"/>
      <c r="AK1232" s="10"/>
      <c r="AL1232" s="10"/>
      <c r="AM1232" s="8"/>
      <c r="AN1232" s="8"/>
      <c r="AO1232" s="9"/>
      <c r="AP1232" s="9"/>
      <c r="AQ1232" s="9"/>
      <c r="AR1232" s="8"/>
      <c r="AS1232" s="8"/>
      <c r="AT1232" s="8"/>
      <c r="AU1232" s="8"/>
      <c r="AV1232" s="8"/>
      <c r="AW1232" s="8"/>
      <c r="AX1232" s="8"/>
      <c r="AY1232" s="8"/>
      <c r="AZ1232" s="8"/>
    </row>
    <row r="1233" spans="21:52" ht="16.899999999999999">
      <c r="U1233" s="8"/>
      <c r="W1233" s="10"/>
      <c r="X1233" s="10"/>
      <c r="Z1233" s="13"/>
      <c r="AA1233" s="13"/>
      <c r="AB1233" s="13"/>
      <c r="AC1233" s="9"/>
      <c r="AD1233" s="9"/>
      <c r="AE1233" s="11"/>
      <c r="AF1233" s="10"/>
      <c r="AG1233" s="11"/>
      <c r="AH1233" s="10"/>
      <c r="AI1233" s="11"/>
      <c r="AJ1233" s="10"/>
      <c r="AK1233" s="10"/>
      <c r="AL1233" s="10"/>
      <c r="AM1233" s="8"/>
      <c r="AN1233" s="8"/>
      <c r="AO1233" s="9"/>
      <c r="AP1233" s="9"/>
      <c r="AQ1233" s="9"/>
      <c r="AR1233" s="8"/>
      <c r="AS1233" s="8"/>
      <c r="AT1233" s="8"/>
      <c r="AU1233" s="8"/>
      <c r="AV1233" s="8"/>
      <c r="AW1233" s="8"/>
      <c r="AX1233" s="8"/>
      <c r="AY1233" s="8"/>
      <c r="AZ1233" s="8"/>
    </row>
    <row r="1234" spans="21:52" ht="16.899999999999999">
      <c r="U1234" s="8"/>
      <c r="W1234" s="10"/>
      <c r="X1234" s="10"/>
      <c r="Z1234" s="13"/>
      <c r="AA1234" s="13"/>
      <c r="AB1234" s="13"/>
      <c r="AC1234" s="9"/>
      <c r="AD1234" s="9"/>
      <c r="AE1234" s="11"/>
      <c r="AF1234" s="10"/>
      <c r="AG1234" s="11"/>
      <c r="AH1234" s="10"/>
      <c r="AI1234" s="11"/>
      <c r="AJ1234" s="10"/>
      <c r="AK1234" s="10"/>
      <c r="AL1234" s="10"/>
      <c r="AM1234" s="8"/>
      <c r="AN1234" s="8"/>
      <c r="AO1234" s="9"/>
      <c r="AP1234" s="9"/>
      <c r="AQ1234" s="9"/>
      <c r="AR1234" s="8"/>
      <c r="AS1234" s="8"/>
      <c r="AT1234" s="8"/>
      <c r="AU1234" s="8"/>
      <c r="AV1234" s="8"/>
      <c r="AW1234" s="8"/>
      <c r="AX1234" s="8"/>
      <c r="AY1234" s="8"/>
      <c r="AZ1234" s="8"/>
    </row>
    <row r="1235" spans="21:52" ht="16.899999999999999">
      <c r="U1235" s="8"/>
      <c r="W1235" s="10"/>
      <c r="X1235" s="10"/>
      <c r="Z1235" s="13"/>
      <c r="AA1235" s="13"/>
      <c r="AB1235" s="13"/>
      <c r="AC1235" s="9"/>
      <c r="AD1235" s="9"/>
      <c r="AE1235" s="11"/>
      <c r="AF1235" s="10"/>
      <c r="AG1235" s="11"/>
      <c r="AH1235" s="10"/>
      <c r="AI1235" s="11"/>
      <c r="AJ1235" s="10"/>
      <c r="AK1235" s="10"/>
      <c r="AL1235" s="10"/>
      <c r="AM1235" s="8"/>
      <c r="AN1235" s="8"/>
      <c r="AO1235" s="9"/>
      <c r="AP1235" s="9"/>
      <c r="AQ1235" s="9"/>
      <c r="AR1235" s="8"/>
      <c r="AS1235" s="8"/>
      <c r="AT1235" s="8"/>
      <c r="AU1235" s="8"/>
      <c r="AV1235" s="8"/>
      <c r="AW1235" s="8"/>
      <c r="AX1235" s="8"/>
      <c r="AY1235" s="8"/>
      <c r="AZ1235" s="8"/>
    </row>
    <row r="1236" spans="21:52" ht="16.899999999999999">
      <c r="U1236" s="8"/>
      <c r="W1236" s="10"/>
      <c r="X1236" s="10"/>
      <c r="Z1236" s="13"/>
      <c r="AA1236" s="13"/>
      <c r="AB1236" s="13"/>
      <c r="AC1236" s="9"/>
      <c r="AD1236" s="9"/>
      <c r="AE1236" s="11"/>
      <c r="AF1236" s="10"/>
      <c r="AG1236" s="11"/>
      <c r="AH1236" s="10"/>
      <c r="AI1236" s="11"/>
      <c r="AJ1236" s="10"/>
      <c r="AK1236" s="10"/>
      <c r="AL1236" s="10"/>
      <c r="AM1236" s="8"/>
      <c r="AN1236" s="8"/>
      <c r="AO1236" s="9"/>
      <c r="AP1236" s="9"/>
      <c r="AQ1236" s="9"/>
      <c r="AR1236" s="8"/>
      <c r="AS1236" s="8"/>
      <c r="AT1236" s="8"/>
      <c r="AU1236" s="8"/>
      <c r="AV1236" s="8"/>
      <c r="AW1236" s="8"/>
      <c r="AX1236" s="8"/>
      <c r="AY1236" s="8"/>
      <c r="AZ1236" s="8"/>
    </row>
    <row r="1237" spans="21:52" ht="16.899999999999999">
      <c r="U1237" s="8"/>
      <c r="W1237" s="10"/>
      <c r="X1237" s="10"/>
      <c r="Z1237" s="13"/>
      <c r="AA1237" s="13"/>
      <c r="AB1237" s="13"/>
      <c r="AC1237" s="9"/>
      <c r="AD1237" s="9"/>
      <c r="AE1237" s="11"/>
      <c r="AF1237" s="10"/>
      <c r="AG1237" s="11"/>
      <c r="AH1237" s="10"/>
      <c r="AI1237" s="11"/>
      <c r="AJ1237" s="10"/>
      <c r="AK1237" s="10"/>
      <c r="AL1237" s="10"/>
      <c r="AM1237" s="8"/>
      <c r="AN1237" s="8"/>
      <c r="AO1237" s="9"/>
      <c r="AP1237" s="9"/>
      <c r="AQ1237" s="9"/>
      <c r="AR1237" s="8"/>
      <c r="AS1237" s="8"/>
      <c r="AT1237" s="8"/>
      <c r="AU1237" s="8"/>
      <c r="AV1237" s="8"/>
      <c r="AW1237" s="8"/>
      <c r="AX1237" s="8"/>
      <c r="AY1237" s="8"/>
      <c r="AZ1237" s="8"/>
    </row>
    <row r="1238" spans="21:52" ht="16.899999999999999">
      <c r="U1238" s="8"/>
      <c r="W1238" s="10"/>
      <c r="X1238" s="10"/>
      <c r="Z1238" s="13"/>
      <c r="AA1238" s="13"/>
      <c r="AB1238" s="13"/>
      <c r="AC1238" s="9"/>
      <c r="AD1238" s="9"/>
      <c r="AE1238" s="11"/>
      <c r="AF1238" s="10"/>
      <c r="AG1238" s="11"/>
      <c r="AH1238" s="10"/>
      <c r="AI1238" s="11"/>
      <c r="AJ1238" s="10"/>
      <c r="AK1238" s="10"/>
      <c r="AL1238" s="10"/>
      <c r="AM1238" s="8"/>
      <c r="AN1238" s="8"/>
      <c r="AO1238" s="9"/>
      <c r="AP1238" s="9"/>
      <c r="AQ1238" s="9"/>
      <c r="AR1238" s="8"/>
      <c r="AS1238" s="8"/>
      <c r="AT1238" s="8"/>
      <c r="AU1238" s="8"/>
      <c r="AV1238" s="8"/>
      <c r="AW1238" s="8"/>
      <c r="AX1238" s="8"/>
      <c r="AY1238" s="8"/>
      <c r="AZ1238" s="8"/>
    </row>
    <row r="1239" spans="21:52" ht="16.899999999999999">
      <c r="U1239" s="8"/>
      <c r="W1239" s="10"/>
      <c r="X1239" s="10"/>
      <c r="Z1239" s="13"/>
      <c r="AA1239" s="13"/>
      <c r="AB1239" s="13"/>
      <c r="AC1239" s="9"/>
      <c r="AD1239" s="9"/>
      <c r="AE1239" s="11"/>
      <c r="AF1239" s="10"/>
      <c r="AG1239" s="11"/>
      <c r="AH1239" s="10"/>
      <c r="AI1239" s="11"/>
      <c r="AJ1239" s="10"/>
      <c r="AK1239" s="10"/>
      <c r="AL1239" s="10"/>
      <c r="AM1239" s="8"/>
      <c r="AN1239" s="8"/>
      <c r="AO1239" s="9"/>
      <c r="AP1239" s="9"/>
      <c r="AQ1239" s="9"/>
      <c r="AR1239" s="8"/>
      <c r="AS1239" s="8"/>
      <c r="AT1239" s="8"/>
      <c r="AU1239" s="8"/>
      <c r="AV1239" s="8"/>
      <c r="AW1239" s="8"/>
      <c r="AX1239" s="8"/>
      <c r="AY1239" s="8"/>
      <c r="AZ1239" s="8"/>
    </row>
    <row r="1240" spans="21:52" ht="16.899999999999999">
      <c r="U1240" s="8"/>
      <c r="W1240" s="10"/>
      <c r="X1240" s="10"/>
      <c r="Z1240" s="13"/>
      <c r="AA1240" s="13"/>
      <c r="AB1240" s="13"/>
      <c r="AC1240" s="9"/>
      <c r="AD1240" s="9"/>
      <c r="AE1240" s="11"/>
      <c r="AF1240" s="10"/>
      <c r="AG1240" s="11"/>
      <c r="AH1240" s="10"/>
      <c r="AI1240" s="11"/>
      <c r="AJ1240" s="10"/>
      <c r="AK1240" s="10"/>
      <c r="AL1240" s="10"/>
      <c r="AM1240" s="8"/>
      <c r="AN1240" s="8"/>
      <c r="AO1240" s="9"/>
      <c r="AP1240" s="9"/>
      <c r="AQ1240" s="9"/>
      <c r="AR1240" s="8"/>
      <c r="AS1240" s="8"/>
      <c r="AT1240" s="8"/>
      <c r="AU1240" s="8"/>
      <c r="AV1240" s="8"/>
      <c r="AW1240" s="8"/>
      <c r="AX1240" s="8"/>
      <c r="AY1240" s="8"/>
      <c r="AZ1240" s="8"/>
    </row>
    <row r="1241" spans="21:52" ht="16.899999999999999">
      <c r="U1241" s="8"/>
      <c r="W1241" s="10"/>
      <c r="X1241" s="10"/>
      <c r="Z1241" s="13"/>
      <c r="AA1241" s="13"/>
      <c r="AB1241" s="13"/>
      <c r="AC1241" s="9"/>
      <c r="AD1241" s="9"/>
      <c r="AE1241" s="11"/>
      <c r="AF1241" s="10"/>
      <c r="AG1241" s="11"/>
      <c r="AH1241" s="10"/>
      <c r="AI1241" s="11"/>
      <c r="AJ1241" s="10"/>
      <c r="AK1241" s="10"/>
      <c r="AL1241" s="10"/>
      <c r="AM1241" s="8"/>
      <c r="AN1241" s="8"/>
      <c r="AO1241" s="9"/>
      <c r="AP1241" s="9"/>
      <c r="AQ1241" s="9"/>
      <c r="AR1241" s="8"/>
      <c r="AS1241" s="8"/>
      <c r="AT1241" s="8"/>
      <c r="AU1241" s="8"/>
      <c r="AV1241" s="8"/>
      <c r="AW1241" s="8"/>
      <c r="AX1241" s="8"/>
      <c r="AY1241" s="8"/>
      <c r="AZ1241" s="8"/>
    </row>
    <row r="1242" spans="21:52" ht="16.899999999999999">
      <c r="U1242" s="8"/>
      <c r="W1242" s="10"/>
      <c r="X1242" s="10"/>
      <c r="Z1242" s="13"/>
      <c r="AA1242" s="13"/>
      <c r="AB1242" s="13"/>
      <c r="AC1242" s="9"/>
      <c r="AD1242" s="9"/>
      <c r="AE1242" s="11"/>
      <c r="AF1242" s="10"/>
      <c r="AG1242" s="11"/>
      <c r="AH1242" s="10"/>
      <c r="AI1242" s="11"/>
      <c r="AJ1242" s="10"/>
      <c r="AK1242" s="10"/>
      <c r="AL1242" s="10"/>
      <c r="AM1242" s="8"/>
      <c r="AN1242" s="8"/>
      <c r="AO1242" s="9"/>
      <c r="AP1242" s="9"/>
      <c r="AQ1242" s="9"/>
      <c r="AR1242" s="8"/>
      <c r="AS1242" s="8"/>
      <c r="AT1242" s="8"/>
      <c r="AU1242" s="8"/>
      <c r="AV1242" s="8"/>
      <c r="AW1242" s="8"/>
      <c r="AX1242" s="8"/>
      <c r="AY1242" s="8"/>
      <c r="AZ1242" s="8"/>
    </row>
    <row r="1243" spans="21:52" ht="16.899999999999999">
      <c r="U1243" s="8"/>
      <c r="W1243" s="10"/>
      <c r="X1243" s="10"/>
      <c r="Z1243" s="13"/>
      <c r="AA1243" s="13"/>
      <c r="AB1243" s="13"/>
      <c r="AC1243" s="9"/>
      <c r="AD1243" s="9"/>
      <c r="AE1243" s="11"/>
      <c r="AF1243" s="10"/>
      <c r="AG1243" s="11"/>
      <c r="AH1243" s="10"/>
      <c r="AI1243" s="11"/>
      <c r="AJ1243" s="10"/>
      <c r="AK1243" s="10"/>
      <c r="AL1243" s="10"/>
      <c r="AM1243" s="8"/>
      <c r="AN1243" s="8"/>
      <c r="AO1243" s="9"/>
      <c r="AP1243" s="9"/>
      <c r="AQ1243" s="9"/>
      <c r="AR1243" s="8"/>
      <c r="AS1243" s="8"/>
      <c r="AT1243" s="8"/>
      <c r="AU1243" s="8"/>
      <c r="AV1243" s="8"/>
      <c r="AW1243" s="8"/>
      <c r="AX1243" s="8"/>
      <c r="AY1243" s="8"/>
      <c r="AZ1243" s="8"/>
    </row>
    <row r="1244" spans="21:52" ht="16.899999999999999">
      <c r="U1244" s="8"/>
      <c r="W1244" s="10"/>
      <c r="X1244" s="10"/>
      <c r="Z1244" s="13"/>
      <c r="AA1244" s="13"/>
      <c r="AB1244" s="13"/>
      <c r="AC1244" s="9"/>
      <c r="AD1244" s="9"/>
      <c r="AE1244" s="11"/>
      <c r="AF1244" s="10"/>
      <c r="AG1244" s="11"/>
      <c r="AH1244" s="10"/>
      <c r="AI1244" s="11"/>
      <c r="AJ1244" s="10"/>
      <c r="AK1244" s="10"/>
      <c r="AL1244" s="10"/>
      <c r="AM1244" s="8"/>
      <c r="AN1244" s="8"/>
      <c r="AO1244" s="9"/>
      <c r="AP1244" s="9"/>
      <c r="AQ1244" s="9"/>
      <c r="AR1244" s="8"/>
      <c r="AS1244" s="8"/>
      <c r="AT1244" s="8"/>
      <c r="AU1244" s="8"/>
      <c r="AV1244" s="8"/>
      <c r="AW1244" s="8"/>
      <c r="AX1244" s="8"/>
      <c r="AY1244" s="8"/>
      <c r="AZ1244" s="8"/>
    </row>
    <row r="1245" spans="21:52" ht="16.899999999999999">
      <c r="U1245" s="8"/>
      <c r="W1245" s="10"/>
      <c r="X1245" s="10"/>
      <c r="Z1245" s="13"/>
      <c r="AA1245" s="13"/>
      <c r="AB1245" s="13"/>
      <c r="AC1245" s="9"/>
      <c r="AD1245" s="9"/>
      <c r="AE1245" s="11"/>
      <c r="AF1245" s="10"/>
      <c r="AG1245" s="11"/>
      <c r="AH1245" s="10"/>
      <c r="AI1245" s="11"/>
      <c r="AJ1245" s="10"/>
      <c r="AK1245" s="10"/>
      <c r="AL1245" s="10"/>
      <c r="AM1245" s="8"/>
      <c r="AN1245" s="8"/>
      <c r="AO1245" s="9"/>
      <c r="AP1245" s="9"/>
      <c r="AQ1245" s="9"/>
      <c r="AR1245" s="8"/>
      <c r="AS1245" s="8"/>
      <c r="AT1245" s="8"/>
      <c r="AU1245" s="8"/>
      <c r="AV1245" s="8"/>
      <c r="AW1245" s="8"/>
      <c r="AX1245" s="8"/>
      <c r="AY1245" s="8"/>
      <c r="AZ1245" s="8"/>
    </row>
    <row r="1246" spans="21:52" ht="16.899999999999999">
      <c r="U1246" s="8"/>
      <c r="W1246" s="10"/>
      <c r="X1246" s="10"/>
      <c r="Z1246" s="13"/>
      <c r="AA1246" s="13"/>
      <c r="AB1246" s="13"/>
      <c r="AC1246" s="9"/>
      <c r="AD1246" s="9"/>
      <c r="AE1246" s="11"/>
      <c r="AF1246" s="10"/>
      <c r="AG1246" s="11"/>
      <c r="AH1246" s="10"/>
      <c r="AI1246" s="11"/>
      <c r="AJ1246" s="10"/>
      <c r="AK1246" s="10"/>
      <c r="AL1246" s="10"/>
      <c r="AM1246" s="8"/>
      <c r="AN1246" s="8"/>
      <c r="AO1246" s="9"/>
      <c r="AP1246" s="9"/>
      <c r="AQ1246" s="9"/>
      <c r="AR1246" s="8"/>
      <c r="AS1246" s="8"/>
      <c r="AT1246" s="8"/>
      <c r="AU1246" s="8"/>
      <c r="AV1246" s="8"/>
      <c r="AW1246" s="8"/>
      <c r="AX1246" s="8"/>
      <c r="AY1246" s="8"/>
      <c r="AZ1246" s="8"/>
    </row>
    <row r="1247" spans="21:52" ht="16.899999999999999">
      <c r="U1247" s="8"/>
      <c r="W1247" s="10"/>
      <c r="X1247" s="10"/>
      <c r="Z1247" s="13"/>
      <c r="AA1247" s="13"/>
      <c r="AB1247" s="13"/>
      <c r="AC1247" s="9"/>
      <c r="AD1247" s="9"/>
      <c r="AE1247" s="11"/>
      <c r="AF1247" s="10"/>
      <c r="AG1247" s="11"/>
      <c r="AH1247" s="10"/>
      <c r="AI1247" s="11"/>
      <c r="AJ1247" s="10"/>
      <c r="AK1247" s="10"/>
      <c r="AL1247" s="10"/>
      <c r="AM1247" s="8"/>
      <c r="AN1247" s="8"/>
      <c r="AO1247" s="9"/>
      <c r="AP1247" s="9"/>
      <c r="AQ1247" s="9"/>
      <c r="AR1247" s="8"/>
      <c r="AS1247" s="8"/>
      <c r="AT1247" s="8"/>
      <c r="AU1247" s="8"/>
      <c r="AV1247" s="8"/>
      <c r="AW1247" s="8"/>
      <c r="AX1247" s="8"/>
      <c r="AY1247" s="8"/>
      <c r="AZ1247" s="8"/>
    </row>
    <row r="1248" spans="21:52" ht="16.899999999999999">
      <c r="U1248" s="8"/>
      <c r="W1248" s="10"/>
      <c r="X1248" s="10"/>
      <c r="Z1248" s="13"/>
      <c r="AA1248" s="13"/>
      <c r="AB1248" s="13"/>
      <c r="AC1248" s="9"/>
      <c r="AD1248" s="9"/>
      <c r="AE1248" s="11"/>
      <c r="AF1248" s="10"/>
      <c r="AG1248" s="11"/>
      <c r="AH1248" s="10"/>
      <c r="AI1248" s="11"/>
      <c r="AJ1248" s="10"/>
      <c r="AK1248" s="10"/>
      <c r="AL1248" s="10"/>
      <c r="AM1248" s="8"/>
      <c r="AN1248" s="8"/>
      <c r="AO1248" s="9"/>
      <c r="AP1248" s="9"/>
      <c r="AQ1248" s="9"/>
      <c r="AR1248" s="8"/>
      <c r="AS1248" s="8"/>
      <c r="AT1248" s="8"/>
      <c r="AU1248" s="8"/>
      <c r="AV1248" s="8"/>
      <c r="AW1248" s="8"/>
      <c r="AX1248" s="8"/>
      <c r="AY1248" s="8"/>
      <c r="AZ1248" s="8"/>
    </row>
    <row r="1249" spans="21:52" ht="16.899999999999999">
      <c r="U1249" s="8"/>
      <c r="W1249" s="10"/>
      <c r="X1249" s="10"/>
      <c r="Z1249" s="13"/>
      <c r="AA1249" s="13"/>
      <c r="AB1249" s="13"/>
      <c r="AC1249" s="9"/>
      <c r="AD1249" s="9"/>
      <c r="AE1249" s="11"/>
      <c r="AF1249" s="10"/>
      <c r="AG1249" s="11"/>
      <c r="AH1249" s="10"/>
      <c r="AI1249" s="11"/>
      <c r="AJ1249" s="10"/>
      <c r="AK1249" s="10"/>
      <c r="AL1249" s="10"/>
      <c r="AM1249" s="8"/>
      <c r="AN1249" s="8"/>
      <c r="AO1249" s="9"/>
      <c r="AP1249" s="9"/>
      <c r="AQ1249" s="9"/>
      <c r="AR1249" s="8"/>
      <c r="AS1249" s="8"/>
      <c r="AT1249" s="8"/>
      <c r="AU1249" s="8"/>
      <c r="AV1249" s="8"/>
      <c r="AW1249" s="8"/>
      <c r="AX1249" s="8"/>
      <c r="AY1249" s="8"/>
      <c r="AZ1249" s="8"/>
    </row>
    <row r="1250" spans="21:52" ht="16.899999999999999">
      <c r="U1250" s="8"/>
      <c r="W1250" s="10"/>
      <c r="X1250" s="10"/>
      <c r="Z1250" s="13"/>
      <c r="AA1250" s="13"/>
      <c r="AB1250" s="13"/>
      <c r="AC1250" s="9"/>
      <c r="AD1250" s="9"/>
      <c r="AE1250" s="11"/>
      <c r="AF1250" s="10"/>
      <c r="AG1250" s="11"/>
      <c r="AH1250" s="10"/>
      <c r="AI1250" s="11"/>
      <c r="AJ1250" s="10"/>
      <c r="AK1250" s="10"/>
      <c r="AL1250" s="10"/>
      <c r="AM1250" s="8"/>
      <c r="AN1250" s="8"/>
      <c r="AO1250" s="9"/>
      <c r="AP1250" s="9"/>
      <c r="AQ1250" s="9"/>
      <c r="AR1250" s="8"/>
      <c r="AS1250" s="8"/>
      <c r="AT1250" s="8"/>
      <c r="AU1250" s="8"/>
      <c r="AV1250" s="8"/>
      <c r="AW1250" s="8"/>
      <c r="AX1250" s="8"/>
      <c r="AY1250" s="8"/>
      <c r="AZ1250" s="8"/>
    </row>
    <row r="1251" spans="21:52" ht="16.899999999999999">
      <c r="U1251" s="8"/>
      <c r="W1251" s="10"/>
      <c r="X1251" s="10"/>
      <c r="Z1251" s="13"/>
      <c r="AA1251" s="13"/>
      <c r="AB1251" s="13"/>
      <c r="AC1251" s="9"/>
      <c r="AD1251" s="9"/>
      <c r="AE1251" s="11"/>
      <c r="AF1251" s="10"/>
      <c r="AG1251" s="11"/>
      <c r="AH1251" s="10"/>
      <c r="AI1251" s="11"/>
      <c r="AJ1251" s="10"/>
      <c r="AK1251" s="10"/>
      <c r="AL1251" s="10"/>
      <c r="AM1251" s="8"/>
      <c r="AN1251" s="8"/>
      <c r="AO1251" s="9"/>
      <c r="AP1251" s="9"/>
      <c r="AQ1251" s="9"/>
      <c r="AR1251" s="8"/>
      <c r="AS1251" s="8"/>
      <c r="AT1251" s="8"/>
      <c r="AU1251" s="8"/>
      <c r="AV1251" s="8"/>
      <c r="AW1251" s="8"/>
      <c r="AX1251" s="8"/>
      <c r="AY1251" s="8"/>
      <c r="AZ1251" s="8"/>
    </row>
    <row r="1252" spans="21:52" ht="16.899999999999999">
      <c r="U1252" s="8"/>
      <c r="W1252" s="10"/>
      <c r="X1252" s="10"/>
      <c r="Z1252" s="13"/>
      <c r="AA1252" s="13"/>
      <c r="AB1252" s="13"/>
      <c r="AC1252" s="9"/>
      <c r="AD1252" s="9"/>
      <c r="AE1252" s="11"/>
      <c r="AF1252" s="10"/>
      <c r="AG1252" s="11"/>
      <c r="AH1252" s="10"/>
      <c r="AI1252" s="11"/>
      <c r="AJ1252" s="10"/>
      <c r="AK1252" s="10"/>
      <c r="AL1252" s="10"/>
      <c r="AM1252" s="8"/>
      <c r="AN1252" s="8"/>
      <c r="AO1252" s="9"/>
      <c r="AP1252" s="9"/>
      <c r="AQ1252" s="9"/>
      <c r="AR1252" s="8"/>
      <c r="AS1252" s="8"/>
      <c r="AT1252" s="8"/>
      <c r="AU1252" s="8"/>
      <c r="AV1252" s="8"/>
      <c r="AW1252" s="8"/>
      <c r="AX1252" s="8"/>
      <c r="AY1252" s="8"/>
      <c r="AZ1252" s="8"/>
    </row>
    <row r="1253" spans="21:52" ht="16.899999999999999">
      <c r="U1253" s="8"/>
      <c r="W1253" s="10"/>
      <c r="X1253" s="10"/>
      <c r="Z1253" s="13"/>
      <c r="AA1253" s="13"/>
      <c r="AB1253" s="13"/>
      <c r="AC1253" s="9"/>
      <c r="AD1253" s="9"/>
      <c r="AE1253" s="11"/>
      <c r="AF1253" s="10"/>
      <c r="AG1253" s="11"/>
      <c r="AH1253" s="10"/>
      <c r="AI1253" s="11"/>
      <c r="AJ1253" s="10"/>
      <c r="AK1253" s="10"/>
      <c r="AL1253" s="10"/>
      <c r="AM1253" s="8"/>
      <c r="AN1253" s="8"/>
      <c r="AO1253" s="9"/>
      <c r="AP1253" s="9"/>
      <c r="AQ1253" s="9"/>
      <c r="AR1253" s="8"/>
      <c r="AS1253" s="8"/>
      <c r="AT1253" s="8"/>
      <c r="AU1253" s="8"/>
      <c r="AV1253" s="8"/>
      <c r="AW1253" s="8"/>
      <c r="AX1253" s="8"/>
      <c r="AY1253" s="8"/>
      <c r="AZ1253" s="8"/>
    </row>
    <row r="1254" spans="21:52" ht="16.899999999999999">
      <c r="U1254" s="8"/>
      <c r="W1254" s="10"/>
      <c r="X1254" s="10"/>
      <c r="Z1254" s="13"/>
      <c r="AA1254" s="13"/>
      <c r="AB1254" s="13"/>
      <c r="AC1254" s="9"/>
      <c r="AD1254" s="9"/>
      <c r="AE1254" s="11"/>
      <c r="AF1254" s="10"/>
      <c r="AG1254" s="11"/>
      <c r="AH1254" s="10"/>
      <c r="AI1254" s="11"/>
      <c r="AJ1254" s="10"/>
      <c r="AK1254" s="10"/>
      <c r="AL1254" s="10"/>
      <c r="AM1254" s="8"/>
      <c r="AN1254" s="8"/>
      <c r="AO1254" s="9"/>
      <c r="AP1254" s="9"/>
      <c r="AQ1254" s="9"/>
      <c r="AR1254" s="8"/>
      <c r="AS1254" s="8"/>
      <c r="AT1254" s="8"/>
      <c r="AU1254" s="8"/>
      <c r="AV1254" s="8"/>
      <c r="AW1254" s="8"/>
      <c r="AX1254" s="8"/>
      <c r="AY1254" s="8"/>
      <c r="AZ1254" s="8"/>
    </row>
    <row r="1255" spans="21:52" ht="16.899999999999999">
      <c r="U1255" s="8"/>
      <c r="W1255" s="10"/>
      <c r="X1255" s="10"/>
      <c r="Z1255" s="13"/>
      <c r="AA1255" s="13"/>
      <c r="AB1255" s="13"/>
      <c r="AC1255" s="9"/>
      <c r="AD1255" s="9"/>
      <c r="AE1255" s="11"/>
      <c r="AF1255" s="10"/>
      <c r="AG1255" s="11"/>
      <c r="AH1255" s="10"/>
      <c r="AI1255" s="11"/>
      <c r="AJ1255" s="10"/>
      <c r="AK1255" s="10"/>
      <c r="AL1255" s="10"/>
      <c r="AM1255" s="8"/>
      <c r="AN1255" s="8"/>
      <c r="AO1255" s="9"/>
      <c r="AP1255" s="9"/>
      <c r="AQ1255" s="9"/>
      <c r="AR1255" s="8"/>
      <c r="AS1255" s="8"/>
      <c r="AT1255" s="8"/>
      <c r="AU1255" s="8"/>
      <c r="AV1255" s="8"/>
      <c r="AW1255" s="8"/>
      <c r="AX1255" s="8"/>
      <c r="AY1255" s="8"/>
      <c r="AZ1255" s="8"/>
    </row>
    <row r="1256" spans="21:52" ht="16.899999999999999">
      <c r="U1256" s="8"/>
      <c r="W1256" s="10"/>
      <c r="X1256" s="10"/>
      <c r="Z1256" s="13"/>
      <c r="AA1256" s="13"/>
      <c r="AB1256" s="13"/>
      <c r="AC1256" s="9"/>
      <c r="AD1256" s="9"/>
      <c r="AE1256" s="11"/>
      <c r="AF1256" s="10"/>
      <c r="AG1256" s="11"/>
      <c r="AH1256" s="10"/>
      <c r="AI1256" s="11"/>
      <c r="AJ1256" s="10"/>
      <c r="AK1256" s="10"/>
      <c r="AL1256" s="10"/>
      <c r="AM1256" s="8"/>
      <c r="AN1256" s="8"/>
      <c r="AO1256" s="9"/>
      <c r="AP1256" s="9"/>
      <c r="AQ1256" s="9"/>
      <c r="AR1256" s="8"/>
      <c r="AS1256" s="8"/>
      <c r="AT1256" s="8"/>
      <c r="AU1256" s="8"/>
      <c r="AV1256" s="8"/>
      <c r="AW1256" s="8"/>
      <c r="AX1256" s="8"/>
      <c r="AY1256" s="8"/>
      <c r="AZ1256" s="8"/>
    </row>
    <row r="1257" spans="21:52" ht="16.899999999999999">
      <c r="U1257" s="8"/>
      <c r="W1257" s="10"/>
      <c r="X1257" s="10"/>
      <c r="Z1257" s="13"/>
      <c r="AA1257" s="13"/>
      <c r="AB1257" s="13"/>
      <c r="AC1257" s="9"/>
      <c r="AD1257" s="9"/>
      <c r="AE1257" s="11"/>
      <c r="AF1257" s="10"/>
      <c r="AG1257" s="11"/>
      <c r="AH1257" s="10"/>
      <c r="AI1257" s="11"/>
      <c r="AJ1257" s="10"/>
      <c r="AK1257" s="10"/>
      <c r="AL1257" s="10"/>
      <c r="AM1257" s="8"/>
      <c r="AN1257" s="8"/>
      <c r="AO1257" s="9"/>
      <c r="AP1257" s="9"/>
      <c r="AQ1257" s="9"/>
      <c r="AR1257" s="8"/>
      <c r="AS1257" s="8"/>
      <c r="AT1257" s="8"/>
      <c r="AU1257" s="8"/>
      <c r="AV1257" s="8"/>
      <c r="AW1257" s="8"/>
      <c r="AX1257" s="8"/>
      <c r="AY1257" s="8"/>
      <c r="AZ1257" s="8"/>
    </row>
    <row r="1258" spans="21:52" ht="16.899999999999999">
      <c r="U1258" s="8"/>
      <c r="W1258" s="10"/>
      <c r="X1258" s="10"/>
      <c r="Z1258" s="13"/>
      <c r="AA1258" s="13"/>
      <c r="AB1258" s="13"/>
      <c r="AC1258" s="9"/>
      <c r="AD1258" s="9"/>
      <c r="AE1258" s="11"/>
      <c r="AF1258" s="10"/>
      <c r="AG1258" s="11"/>
      <c r="AH1258" s="10"/>
      <c r="AI1258" s="11"/>
      <c r="AJ1258" s="10"/>
      <c r="AK1258" s="10"/>
      <c r="AL1258" s="10"/>
      <c r="AM1258" s="8"/>
      <c r="AN1258" s="8"/>
      <c r="AO1258" s="9"/>
      <c r="AP1258" s="9"/>
      <c r="AQ1258" s="9"/>
      <c r="AR1258" s="8"/>
      <c r="AS1258" s="8"/>
      <c r="AT1258" s="8"/>
      <c r="AU1258" s="8"/>
      <c r="AV1258" s="8"/>
      <c r="AW1258" s="8"/>
      <c r="AX1258" s="8"/>
      <c r="AY1258" s="8"/>
      <c r="AZ1258" s="8"/>
    </row>
    <row r="1259" spans="21:52" ht="16.899999999999999">
      <c r="U1259" s="8"/>
      <c r="W1259" s="10"/>
      <c r="X1259" s="10"/>
      <c r="Z1259" s="13"/>
      <c r="AA1259" s="13"/>
      <c r="AB1259" s="13"/>
      <c r="AC1259" s="9"/>
      <c r="AD1259" s="9"/>
      <c r="AE1259" s="11"/>
      <c r="AF1259" s="10"/>
      <c r="AG1259" s="11"/>
      <c r="AH1259" s="10"/>
      <c r="AI1259" s="11"/>
      <c r="AJ1259" s="10"/>
      <c r="AK1259" s="10"/>
      <c r="AL1259" s="10"/>
      <c r="AM1259" s="8"/>
      <c r="AN1259" s="8"/>
      <c r="AO1259" s="9"/>
      <c r="AP1259" s="9"/>
      <c r="AQ1259" s="9"/>
      <c r="AR1259" s="8"/>
      <c r="AS1259" s="8"/>
      <c r="AT1259" s="8"/>
      <c r="AU1259" s="8"/>
      <c r="AV1259" s="8"/>
      <c r="AW1259" s="8"/>
      <c r="AX1259" s="8"/>
      <c r="AY1259" s="8"/>
      <c r="AZ1259" s="8"/>
    </row>
    <row r="1260" spans="21:52" ht="16.899999999999999">
      <c r="U1260" s="8"/>
      <c r="W1260" s="10"/>
      <c r="X1260" s="10"/>
      <c r="Z1260" s="13"/>
      <c r="AA1260" s="13"/>
      <c r="AB1260" s="13"/>
      <c r="AC1260" s="9"/>
      <c r="AD1260" s="9"/>
      <c r="AE1260" s="11"/>
      <c r="AF1260" s="10"/>
      <c r="AG1260" s="11"/>
      <c r="AH1260" s="10"/>
      <c r="AI1260" s="11"/>
      <c r="AJ1260" s="10"/>
      <c r="AK1260" s="10"/>
      <c r="AL1260" s="10"/>
      <c r="AM1260" s="8"/>
      <c r="AN1260" s="8"/>
      <c r="AO1260" s="9"/>
      <c r="AP1260" s="9"/>
      <c r="AQ1260" s="9"/>
      <c r="AR1260" s="8"/>
      <c r="AS1260" s="8"/>
      <c r="AT1260" s="8"/>
      <c r="AU1260" s="8"/>
      <c r="AV1260" s="8"/>
      <c r="AW1260" s="8"/>
      <c r="AX1260" s="8"/>
      <c r="AY1260" s="8"/>
      <c r="AZ1260" s="8"/>
    </row>
    <row r="1261" spans="21:52" ht="16.899999999999999">
      <c r="U1261" s="8"/>
      <c r="W1261" s="10"/>
      <c r="X1261" s="10"/>
      <c r="Z1261" s="13"/>
      <c r="AA1261" s="13"/>
      <c r="AB1261" s="13"/>
      <c r="AC1261" s="9"/>
      <c r="AD1261" s="9"/>
      <c r="AE1261" s="11"/>
      <c r="AF1261" s="10"/>
      <c r="AG1261" s="11"/>
      <c r="AH1261" s="10"/>
      <c r="AI1261" s="11"/>
      <c r="AJ1261" s="10"/>
      <c r="AK1261" s="10"/>
      <c r="AL1261" s="10"/>
      <c r="AM1261" s="8"/>
      <c r="AN1261" s="8"/>
      <c r="AO1261" s="9"/>
      <c r="AP1261" s="9"/>
      <c r="AQ1261" s="9"/>
      <c r="AR1261" s="8"/>
      <c r="AS1261" s="8"/>
      <c r="AT1261" s="8"/>
      <c r="AU1261" s="8"/>
      <c r="AV1261" s="8"/>
      <c r="AW1261" s="8"/>
      <c r="AX1261" s="8"/>
      <c r="AY1261" s="8"/>
      <c r="AZ1261" s="8"/>
    </row>
    <row r="1262" spans="21:52" ht="16.899999999999999">
      <c r="U1262" s="8"/>
      <c r="W1262" s="10"/>
      <c r="X1262" s="10"/>
      <c r="Z1262" s="13"/>
      <c r="AA1262" s="13"/>
      <c r="AB1262" s="13"/>
      <c r="AC1262" s="9"/>
      <c r="AD1262" s="9"/>
      <c r="AE1262" s="11"/>
      <c r="AF1262" s="10"/>
      <c r="AG1262" s="11"/>
      <c r="AH1262" s="10"/>
      <c r="AI1262" s="11"/>
      <c r="AJ1262" s="10"/>
      <c r="AK1262" s="10"/>
      <c r="AL1262" s="10"/>
      <c r="AM1262" s="8"/>
      <c r="AN1262" s="8"/>
      <c r="AO1262" s="9"/>
      <c r="AP1262" s="9"/>
      <c r="AQ1262" s="9"/>
      <c r="AR1262" s="8"/>
      <c r="AS1262" s="8"/>
      <c r="AT1262" s="8"/>
      <c r="AU1262" s="8"/>
      <c r="AV1262" s="8"/>
      <c r="AW1262" s="8"/>
      <c r="AX1262" s="8"/>
      <c r="AY1262" s="8"/>
      <c r="AZ1262" s="8"/>
    </row>
    <row r="1263" spans="21:52" ht="16.899999999999999">
      <c r="U1263" s="8"/>
      <c r="W1263" s="10"/>
      <c r="X1263" s="10"/>
      <c r="Z1263" s="13"/>
      <c r="AA1263" s="13"/>
      <c r="AB1263" s="13"/>
      <c r="AC1263" s="9"/>
      <c r="AD1263" s="9"/>
      <c r="AE1263" s="11"/>
      <c r="AF1263" s="10"/>
      <c r="AG1263" s="11"/>
      <c r="AH1263" s="10"/>
      <c r="AI1263" s="11"/>
      <c r="AJ1263" s="10"/>
      <c r="AK1263" s="10"/>
      <c r="AL1263" s="10"/>
      <c r="AM1263" s="8"/>
      <c r="AN1263" s="8"/>
      <c r="AO1263" s="9"/>
      <c r="AP1263" s="9"/>
      <c r="AQ1263" s="9"/>
      <c r="AR1263" s="8"/>
      <c r="AS1263" s="8"/>
      <c r="AT1263" s="8"/>
      <c r="AU1263" s="8"/>
      <c r="AV1263" s="8"/>
      <c r="AW1263" s="8"/>
      <c r="AX1263" s="8"/>
      <c r="AY1263" s="8"/>
      <c r="AZ1263" s="8"/>
    </row>
    <row r="1264" spans="21:52" ht="16.899999999999999">
      <c r="U1264" s="8"/>
      <c r="W1264" s="10"/>
      <c r="X1264" s="10"/>
      <c r="Z1264" s="13"/>
      <c r="AA1264" s="13"/>
      <c r="AB1264" s="13"/>
      <c r="AC1264" s="9"/>
      <c r="AD1264" s="9"/>
      <c r="AE1264" s="11"/>
      <c r="AF1264" s="10"/>
      <c r="AG1264" s="11"/>
      <c r="AH1264" s="10"/>
      <c r="AI1264" s="11"/>
      <c r="AJ1264" s="10"/>
      <c r="AK1264" s="10"/>
      <c r="AL1264" s="10"/>
      <c r="AM1264" s="8"/>
      <c r="AN1264" s="8"/>
      <c r="AO1264" s="9"/>
      <c r="AP1264" s="9"/>
      <c r="AQ1264" s="9"/>
      <c r="AR1264" s="8"/>
      <c r="AS1264" s="8"/>
      <c r="AT1264" s="8"/>
      <c r="AU1264" s="8"/>
      <c r="AV1264" s="8"/>
      <c r="AW1264" s="8"/>
      <c r="AX1264" s="8"/>
      <c r="AY1264" s="8"/>
      <c r="AZ1264" s="8"/>
    </row>
    <row r="1265" spans="21:52" ht="16.899999999999999">
      <c r="U1265" s="8"/>
      <c r="W1265" s="10"/>
      <c r="X1265" s="10"/>
      <c r="Z1265" s="13"/>
      <c r="AA1265" s="13"/>
      <c r="AB1265" s="13"/>
      <c r="AC1265" s="9"/>
      <c r="AD1265" s="9"/>
      <c r="AE1265" s="11"/>
      <c r="AF1265" s="10"/>
      <c r="AG1265" s="11"/>
      <c r="AH1265" s="10"/>
      <c r="AI1265" s="11"/>
      <c r="AJ1265" s="10"/>
      <c r="AK1265" s="10"/>
      <c r="AL1265" s="10"/>
      <c r="AM1265" s="8"/>
      <c r="AN1265" s="8"/>
      <c r="AO1265" s="9"/>
      <c r="AP1265" s="9"/>
      <c r="AQ1265" s="9"/>
      <c r="AR1265" s="8"/>
      <c r="AS1265" s="8"/>
      <c r="AT1265" s="8"/>
      <c r="AU1265" s="8"/>
      <c r="AV1265" s="8"/>
      <c r="AW1265" s="8"/>
      <c r="AX1265" s="8"/>
      <c r="AY1265" s="8"/>
      <c r="AZ1265" s="8"/>
    </row>
    <row r="1266" spans="21:52" ht="16.899999999999999">
      <c r="U1266" s="8"/>
      <c r="W1266" s="10"/>
      <c r="X1266" s="10"/>
      <c r="Z1266" s="13"/>
      <c r="AA1266" s="13"/>
      <c r="AB1266" s="13"/>
      <c r="AC1266" s="9"/>
      <c r="AD1266" s="9"/>
      <c r="AE1266" s="11"/>
      <c r="AF1266" s="10"/>
      <c r="AG1266" s="11"/>
      <c r="AH1266" s="10"/>
      <c r="AI1266" s="11"/>
      <c r="AJ1266" s="10"/>
      <c r="AK1266" s="10"/>
      <c r="AL1266" s="10"/>
      <c r="AM1266" s="8"/>
      <c r="AN1266" s="8"/>
      <c r="AO1266" s="9"/>
      <c r="AP1266" s="9"/>
      <c r="AQ1266" s="9"/>
      <c r="AR1266" s="8"/>
      <c r="AS1266" s="8"/>
      <c r="AT1266" s="8"/>
      <c r="AU1266" s="8"/>
      <c r="AV1266" s="8"/>
      <c r="AW1266" s="8"/>
      <c r="AX1266" s="8"/>
      <c r="AY1266" s="8"/>
      <c r="AZ1266" s="8"/>
    </row>
    <row r="1267" spans="21:52" ht="16.899999999999999">
      <c r="U1267" s="8"/>
      <c r="W1267" s="10"/>
      <c r="X1267" s="10"/>
      <c r="Z1267" s="13"/>
      <c r="AA1267" s="13"/>
      <c r="AB1267" s="13"/>
      <c r="AC1267" s="9"/>
      <c r="AD1267" s="9"/>
      <c r="AE1267" s="11"/>
      <c r="AF1267" s="10"/>
      <c r="AG1267" s="11"/>
      <c r="AH1267" s="10"/>
      <c r="AI1267" s="11"/>
      <c r="AJ1267" s="10"/>
      <c r="AK1267" s="10"/>
      <c r="AL1267" s="10"/>
      <c r="AM1267" s="8"/>
      <c r="AN1267" s="8"/>
      <c r="AO1267" s="9"/>
      <c r="AP1267" s="9"/>
      <c r="AQ1267" s="9"/>
      <c r="AR1267" s="8"/>
      <c r="AS1267" s="8"/>
      <c r="AT1267" s="8"/>
      <c r="AU1267" s="8"/>
      <c r="AV1267" s="8"/>
      <c r="AW1267" s="8"/>
      <c r="AX1267" s="8"/>
      <c r="AY1267" s="8"/>
      <c r="AZ1267" s="8"/>
    </row>
    <row r="1268" spans="21:52" ht="16.899999999999999">
      <c r="U1268" s="8"/>
      <c r="W1268" s="10"/>
      <c r="X1268" s="10"/>
      <c r="Z1268" s="13"/>
      <c r="AA1268" s="13"/>
      <c r="AB1268" s="13"/>
      <c r="AC1268" s="9"/>
      <c r="AD1268" s="9"/>
      <c r="AE1268" s="11"/>
      <c r="AF1268" s="10"/>
      <c r="AG1268" s="11"/>
      <c r="AH1268" s="10"/>
      <c r="AI1268" s="11"/>
      <c r="AJ1268" s="10"/>
      <c r="AK1268" s="10"/>
      <c r="AL1268" s="10"/>
      <c r="AM1268" s="8"/>
      <c r="AN1268" s="8"/>
      <c r="AO1268" s="9"/>
      <c r="AP1268" s="9"/>
      <c r="AQ1268" s="9"/>
      <c r="AR1268" s="8"/>
      <c r="AS1268" s="8"/>
      <c r="AT1268" s="8"/>
      <c r="AU1268" s="8"/>
      <c r="AV1268" s="8"/>
      <c r="AW1268" s="8"/>
      <c r="AX1268" s="8"/>
      <c r="AY1268" s="8"/>
      <c r="AZ1268" s="8"/>
    </row>
    <row r="1269" spans="21:52" ht="16.899999999999999">
      <c r="U1269" s="8"/>
      <c r="W1269" s="10"/>
      <c r="X1269" s="10"/>
      <c r="Z1269" s="13"/>
      <c r="AA1269" s="13"/>
      <c r="AB1269" s="13"/>
      <c r="AC1269" s="9"/>
      <c r="AD1269" s="9"/>
      <c r="AE1269" s="11"/>
      <c r="AF1269" s="10"/>
      <c r="AG1269" s="11"/>
      <c r="AH1269" s="10"/>
      <c r="AI1269" s="11"/>
      <c r="AJ1269" s="10"/>
      <c r="AK1269" s="10"/>
      <c r="AL1269" s="10"/>
      <c r="AM1269" s="8"/>
      <c r="AN1269" s="8"/>
      <c r="AO1269" s="9"/>
      <c r="AP1269" s="9"/>
      <c r="AQ1269" s="9"/>
      <c r="AR1269" s="8"/>
      <c r="AS1269" s="8"/>
      <c r="AT1269" s="8"/>
      <c r="AU1269" s="8"/>
      <c r="AV1269" s="8"/>
      <c r="AW1269" s="8"/>
      <c r="AX1269" s="8"/>
      <c r="AY1269" s="8"/>
      <c r="AZ1269" s="8"/>
    </row>
    <row r="1270" spans="21:52" ht="16.899999999999999">
      <c r="U1270" s="8"/>
      <c r="W1270" s="10"/>
      <c r="X1270" s="10"/>
      <c r="Z1270" s="13"/>
      <c r="AA1270" s="13"/>
      <c r="AB1270" s="13"/>
      <c r="AC1270" s="9"/>
      <c r="AD1270" s="9"/>
      <c r="AE1270" s="11"/>
      <c r="AF1270" s="10"/>
      <c r="AG1270" s="11"/>
      <c r="AH1270" s="10"/>
      <c r="AI1270" s="11"/>
      <c r="AJ1270" s="10"/>
      <c r="AK1270" s="10"/>
      <c r="AL1270" s="10"/>
      <c r="AM1270" s="8"/>
      <c r="AN1270" s="8"/>
      <c r="AO1270" s="9"/>
      <c r="AP1270" s="9"/>
      <c r="AQ1270" s="9"/>
      <c r="AR1270" s="8"/>
      <c r="AS1270" s="8"/>
      <c r="AT1270" s="8"/>
      <c r="AU1270" s="8"/>
      <c r="AV1270" s="8"/>
      <c r="AW1270" s="8"/>
      <c r="AX1270" s="8"/>
      <c r="AY1270" s="8"/>
      <c r="AZ1270" s="8"/>
    </row>
    <row r="1271" spans="21:52" ht="16.899999999999999">
      <c r="U1271" s="8"/>
      <c r="W1271" s="10"/>
      <c r="X1271" s="10"/>
      <c r="Z1271" s="13"/>
      <c r="AA1271" s="13"/>
      <c r="AB1271" s="13"/>
      <c r="AC1271" s="9"/>
      <c r="AD1271" s="9"/>
      <c r="AE1271" s="11"/>
      <c r="AF1271" s="10"/>
      <c r="AG1271" s="11"/>
      <c r="AH1271" s="10"/>
      <c r="AI1271" s="11"/>
      <c r="AJ1271" s="10"/>
      <c r="AK1271" s="10"/>
      <c r="AL1271" s="10"/>
      <c r="AM1271" s="8"/>
      <c r="AN1271" s="8"/>
      <c r="AO1271" s="9"/>
      <c r="AP1271" s="9"/>
      <c r="AQ1271" s="9"/>
      <c r="AR1271" s="8"/>
      <c r="AS1271" s="8"/>
      <c r="AT1271" s="8"/>
      <c r="AU1271" s="8"/>
      <c r="AV1271" s="8"/>
      <c r="AW1271" s="8"/>
      <c r="AX1271" s="8"/>
      <c r="AY1271" s="8"/>
      <c r="AZ1271" s="8"/>
    </row>
    <row r="1272" spans="21:52" ht="16.899999999999999">
      <c r="U1272" s="8"/>
      <c r="W1272" s="10"/>
      <c r="X1272" s="10"/>
      <c r="Z1272" s="13"/>
      <c r="AA1272" s="13"/>
      <c r="AB1272" s="13"/>
      <c r="AC1272" s="9"/>
      <c r="AD1272" s="9"/>
      <c r="AE1272" s="11"/>
      <c r="AF1272" s="10"/>
      <c r="AG1272" s="11"/>
      <c r="AH1272" s="10"/>
      <c r="AI1272" s="11"/>
      <c r="AJ1272" s="10"/>
      <c r="AK1272" s="10"/>
      <c r="AL1272" s="10"/>
      <c r="AM1272" s="8"/>
      <c r="AN1272" s="8"/>
      <c r="AO1272" s="9"/>
      <c r="AP1272" s="9"/>
      <c r="AQ1272" s="9"/>
      <c r="AR1272" s="8"/>
      <c r="AS1272" s="8"/>
      <c r="AT1272" s="8"/>
      <c r="AU1272" s="8"/>
      <c r="AV1272" s="8"/>
      <c r="AW1272" s="8"/>
      <c r="AX1272" s="8"/>
      <c r="AY1272" s="8"/>
      <c r="AZ1272" s="8"/>
    </row>
    <row r="1273" spans="21:52" ht="16.899999999999999">
      <c r="U1273" s="8"/>
      <c r="W1273" s="10"/>
      <c r="X1273" s="10"/>
      <c r="Z1273" s="13"/>
      <c r="AA1273" s="13"/>
      <c r="AB1273" s="13"/>
      <c r="AC1273" s="9"/>
      <c r="AD1273" s="9"/>
      <c r="AE1273" s="11"/>
      <c r="AF1273" s="10"/>
      <c r="AG1273" s="11"/>
      <c r="AH1273" s="10"/>
      <c r="AI1273" s="11"/>
      <c r="AJ1273" s="10"/>
      <c r="AK1273" s="10"/>
      <c r="AL1273" s="10"/>
      <c r="AM1273" s="8"/>
      <c r="AN1273" s="8"/>
      <c r="AO1273" s="9"/>
      <c r="AP1273" s="9"/>
      <c r="AQ1273" s="9"/>
      <c r="AR1273" s="8"/>
      <c r="AS1273" s="8"/>
      <c r="AT1273" s="8"/>
      <c r="AU1273" s="8"/>
      <c r="AV1273" s="8"/>
      <c r="AW1273" s="8"/>
      <c r="AX1273" s="8"/>
      <c r="AY1273" s="8"/>
      <c r="AZ1273" s="8"/>
    </row>
    <row r="1274" spans="21:52" ht="16.899999999999999">
      <c r="U1274" s="8"/>
      <c r="W1274" s="10"/>
      <c r="X1274" s="10"/>
      <c r="Z1274" s="13"/>
      <c r="AA1274" s="13"/>
      <c r="AB1274" s="13"/>
      <c r="AC1274" s="9"/>
      <c r="AD1274" s="9"/>
      <c r="AE1274" s="11"/>
      <c r="AF1274" s="10"/>
      <c r="AG1274" s="11"/>
      <c r="AH1274" s="10"/>
      <c r="AI1274" s="11"/>
      <c r="AJ1274" s="10"/>
      <c r="AK1274" s="10"/>
      <c r="AL1274" s="10"/>
      <c r="AM1274" s="8"/>
      <c r="AN1274" s="8"/>
      <c r="AO1274" s="9"/>
      <c r="AP1274" s="9"/>
      <c r="AQ1274" s="9"/>
      <c r="AR1274" s="8"/>
      <c r="AS1274" s="8"/>
      <c r="AT1274" s="8"/>
      <c r="AU1274" s="8"/>
      <c r="AV1274" s="8"/>
      <c r="AW1274" s="8"/>
      <c r="AX1274" s="8"/>
      <c r="AY1274" s="8"/>
      <c r="AZ1274" s="8"/>
    </row>
    <row r="1275" spans="21:52" ht="16.899999999999999">
      <c r="U1275" s="8"/>
      <c r="W1275" s="10"/>
      <c r="X1275" s="10"/>
      <c r="Z1275" s="13"/>
      <c r="AA1275" s="13"/>
      <c r="AB1275" s="13"/>
      <c r="AC1275" s="9"/>
      <c r="AD1275" s="9"/>
      <c r="AE1275" s="11"/>
      <c r="AF1275" s="10"/>
      <c r="AG1275" s="11"/>
      <c r="AH1275" s="10"/>
      <c r="AI1275" s="11"/>
      <c r="AJ1275" s="10"/>
      <c r="AK1275" s="10"/>
      <c r="AL1275" s="10"/>
      <c r="AM1275" s="8"/>
      <c r="AN1275" s="8"/>
      <c r="AO1275" s="9"/>
      <c r="AP1275" s="9"/>
      <c r="AQ1275" s="9"/>
      <c r="AR1275" s="8"/>
      <c r="AS1275" s="8"/>
      <c r="AT1275" s="8"/>
      <c r="AU1275" s="8"/>
      <c r="AV1275" s="8"/>
      <c r="AW1275" s="8"/>
      <c r="AX1275" s="8"/>
      <c r="AY1275" s="8"/>
      <c r="AZ1275" s="8"/>
    </row>
    <row r="1276" spans="21:52" ht="16.899999999999999">
      <c r="U1276" s="8"/>
      <c r="W1276" s="10"/>
      <c r="X1276" s="10"/>
      <c r="Z1276" s="13"/>
      <c r="AA1276" s="13"/>
      <c r="AB1276" s="13"/>
      <c r="AC1276" s="9"/>
      <c r="AD1276" s="9"/>
      <c r="AE1276" s="11"/>
      <c r="AF1276" s="10"/>
      <c r="AG1276" s="11"/>
      <c r="AH1276" s="10"/>
      <c r="AI1276" s="11"/>
      <c r="AJ1276" s="10"/>
      <c r="AK1276" s="10"/>
      <c r="AL1276" s="10"/>
      <c r="AM1276" s="8"/>
      <c r="AN1276" s="8"/>
      <c r="AO1276" s="9"/>
      <c r="AP1276" s="9"/>
      <c r="AQ1276" s="9"/>
      <c r="AR1276" s="8"/>
      <c r="AS1276" s="8"/>
      <c r="AT1276" s="8"/>
      <c r="AU1276" s="8"/>
      <c r="AV1276" s="8"/>
      <c r="AW1276" s="8"/>
      <c r="AX1276" s="8"/>
      <c r="AY1276" s="8"/>
      <c r="AZ1276" s="8"/>
    </row>
    <row r="1277" spans="21:52" ht="16.899999999999999">
      <c r="U1277" s="8"/>
      <c r="W1277" s="10"/>
      <c r="X1277" s="10"/>
      <c r="Z1277" s="13"/>
      <c r="AA1277" s="13"/>
      <c r="AB1277" s="13"/>
      <c r="AC1277" s="9"/>
      <c r="AD1277" s="9"/>
      <c r="AE1277" s="11"/>
      <c r="AF1277" s="10"/>
      <c r="AG1277" s="11"/>
      <c r="AH1277" s="10"/>
      <c r="AI1277" s="11"/>
      <c r="AJ1277" s="10"/>
      <c r="AK1277" s="10"/>
      <c r="AL1277" s="10"/>
      <c r="AM1277" s="8"/>
      <c r="AN1277" s="8"/>
      <c r="AO1277" s="9"/>
      <c r="AP1277" s="9"/>
      <c r="AQ1277" s="9"/>
      <c r="AR1277" s="8"/>
      <c r="AS1277" s="8"/>
      <c r="AT1277" s="8"/>
      <c r="AU1277" s="8"/>
      <c r="AV1277" s="8"/>
      <c r="AW1277" s="8"/>
      <c r="AX1277" s="8"/>
      <c r="AY1277" s="8"/>
      <c r="AZ1277" s="8"/>
    </row>
    <row r="1278" spans="21:52" ht="16.899999999999999">
      <c r="U1278" s="8"/>
      <c r="W1278" s="10"/>
      <c r="X1278" s="10"/>
      <c r="Z1278" s="13"/>
      <c r="AA1278" s="13"/>
      <c r="AB1278" s="13"/>
      <c r="AC1278" s="9"/>
      <c r="AD1278" s="9"/>
      <c r="AE1278" s="11"/>
      <c r="AF1278" s="10"/>
      <c r="AG1278" s="11"/>
      <c r="AH1278" s="10"/>
      <c r="AI1278" s="11"/>
      <c r="AJ1278" s="10"/>
      <c r="AK1278" s="10"/>
      <c r="AL1278" s="10"/>
      <c r="AM1278" s="8"/>
      <c r="AN1278" s="8"/>
      <c r="AO1278" s="9"/>
      <c r="AP1278" s="9"/>
      <c r="AQ1278" s="9"/>
      <c r="AR1278" s="8"/>
      <c r="AS1278" s="8"/>
      <c r="AT1278" s="8"/>
      <c r="AU1278" s="8"/>
      <c r="AV1278" s="8"/>
      <c r="AW1278" s="8"/>
      <c r="AX1278" s="8"/>
      <c r="AY1278" s="8"/>
      <c r="AZ1278" s="8"/>
    </row>
    <row r="1279" spans="21:52" ht="16.899999999999999">
      <c r="U1279" s="8"/>
      <c r="W1279" s="10"/>
      <c r="X1279" s="10"/>
      <c r="Z1279" s="13"/>
      <c r="AA1279" s="13"/>
      <c r="AB1279" s="13"/>
      <c r="AC1279" s="9"/>
      <c r="AD1279" s="9"/>
      <c r="AE1279" s="11"/>
      <c r="AF1279" s="10"/>
      <c r="AG1279" s="11"/>
      <c r="AH1279" s="10"/>
      <c r="AI1279" s="11"/>
      <c r="AJ1279" s="10"/>
      <c r="AK1279" s="10"/>
      <c r="AL1279" s="10"/>
      <c r="AM1279" s="8"/>
      <c r="AN1279" s="8"/>
      <c r="AO1279" s="9"/>
      <c r="AP1279" s="9"/>
      <c r="AQ1279" s="9"/>
      <c r="AR1279" s="8"/>
      <c r="AS1279" s="8"/>
      <c r="AT1279" s="8"/>
      <c r="AU1279" s="8"/>
      <c r="AV1279" s="8"/>
      <c r="AW1279" s="8"/>
      <c r="AX1279" s="8"/>
      <c r="AY1279" s="8"/>
      <c r="AZ1279" s="8"/>
    </row>
    <row r="1280" spans="21:52" ht="16.899999999999999">
      <c r="U1280" s="8"/>
      <c r="W1280" s="10"/>
      <c r="X1280" s="10"/>
      <c r="Z1280" s="13"/>
      <c r="AA1280" s="13"/>
      <c r="AB1280" s="13"/>
      <c r="AC1280" s="9"/>
      <c r="AD1280" s="9"/>
      <c r="AE1280" s="11"/>
      <c r="AF1280" s="10"/>
      <c r="AG1280" s="11"/>
      <c r="AH1280" s="10"/>
      <c r="AI1280" s="11"/>
      <c r="AJ1280" s="10"/>
      <c r="AK1280" s="10"/>
      <c r="AL1280" s="10"/>
      <c r="AM1280" s="8"/>
      <c r="AN1280" s="8"/>
      <c r="AO1280" s="9"/>
      <c r="AP1280" s="9"/>
      <c r="AQ1280" s="9"/>
      <c r="AR1280" s="8"/>
      <c r="AS1280" s="8"/>
      <c r="AT1280" s="8"/>
      <c r="AU1280" s="8"/>
      <c r="AV1280" s="8"/>
      <c r="AW1280" s="8"/>
      <c r="AX1280" s="8"/>
      <c r="AY1280" s="8"/>
      <c r="AZ1280" s="8"/>
    </row>
    <row r="1281" spans="21:52" ht="16.899999999999999">
      <c r="U1281" s="8"/>
      <c r="W1281" s="10"/>
      <c r="X1281" s="10"/>
      <c r="Z1281" s="13"/>
      <c r="AA1281" s="13"/>
      <c r="AB1281" s="13"/>
      <c r="AC1281" s="9"/>
      <c r="AD1281" s="9"/>
      <c r="AE1281" s="11"/>
      <c r="AF1281" s="10"/>
      <c r="AG1281" s="11"/>
      <c r="AH1281" s="10"/>
      <c r="AI1281" s="11"/>
      <c r="AJ1281" s="10"/>
      <c r="AK1281" s="10"/>
      <c r="AL1281" s="10"/>
      <c r="AM1281" s="8"/>
      <c r="AN1281" s="8"/>
      <c r="AO1281" s="9"/>
      <c r="AP1281" s="9"/>
      <c r="AQ1281" s="9"/>
      <c r="AR1281" s="8"/>
      <c r="AS1281" s="8"/>
      <c r="AT1281" s="8"/>
      <c r="AU1281" s="8"/>
      <c r="AV1281" s="8"/>
      <c r="AW1281" s="8"/>
      <c r="AX1281" s="8"/>
      <c r="AY1281" s="8"/>
      <c r="AZ1281" s="8"/>
    </row>
    <row r="1282" spans="21:52" ht="16.899999999999999">
      <c r="U1282" s="8"/>
      <c r="W1282" s="10"/>
      <c r="X1282" s="10"/>
      <c r="Z1282" s="13"/>
      <c r="AA1282" s="13"/>
      <c r="AB1282" s="13"/>
      <c r="AC1282" s="9"/>
      <c r="AD1282" s="9"/>
      <c r="AE1282" s="11"/>
      <c r="AF1282" s="10"/>
      <c r="AG1282" s="11"/>
      <c r="AH1282" s="10"/>
      <c r="AI1282" s="11"/>
      <c r="AJ1282" s="10"/>
      <c r="AK1282" s="10"/>
      <c r="AL1282" s="10"/>
      <c r="AM1282" s="8"/>
      <c r="AN1282" s="8"/>
      <c r="AO1282" s="9"/>
      <c r="AP1282" s="9"/>
      <c r="AQ1282" s="9"/>
      <c r="AR1282" s="8"/>
      <c r="AS1282" s="8"/>
      <c r="AT1282" s="8"/>
      <c r="AU1282" s="8"/>
      <c r="AV1282" s="8"/>
      <c r="AW1282" s="8"/>
      <c r="AX1282" s="8"/>
      <c r="AY1282" s="8"/>
      <c r="AZ1282" s="8"/>
    </row>
    <row r="1283" spans="21:52" ht="16.899999999999999">
      <c r="U1283" s="8"/>
      <c r="W1283" s="10"/>
      <c r="X1283" s="10"/>
      <c r="Z1283" s="13"/>
      <c r="AA1283" s="13"/>
      <c r="AB1283" s="13"/>
      <c r="AC1283" s="9"/>
      <c r="AD1283" s="9"/>
      <c r="AE1283" s="11"/>
      <c r="AF1283" s="10"/>
      <c r="AG1283" s="11"/>
      <c r="AH1283" s="10"/>
      <c r="AI1283" s="11"/>
      <c r="AJ1283" s="10"/>
      <c r="AK1283" s="10"/>
      <c r="AL1283" s="10"/>
      <c r="AM1283" s="8"/>
      <c r="AN1283" s="8"/>
      <c r="AO1283" s="9"/>
      <c r="AP1283" s="9"/>
      <c r="AQ1283" s="9"/>
      <c r="AR1283" s="8"/>
      <c r="AS1283" s="8"/>
      <c r="AT1283" s="8"/>
      <c r="AU1283" s="8"/>
      <c r="AV1283" s="8"/>
      <c r="AW1283" s="8"/>
      <c r="AX1283" s="8"/>
      <c r="AY1283" s="8"/>
      <c r="AZ1283" s="8"/>
    </row>
    <row r="1284" spans="21:52" ht="16.899999999999999">
      <c r="U1284" s="8"/>
      <c r="W1284" s="10"/>
      <c r="X1284" s="10"/>
      <c r="Z1284" s="13"/>
      <c r="AA1284" s="13"/>
      <c r="AB1284" s="13"/>
      <c r="AC1284" s="9"/>
      <c r="AD1284" s="9"/>
      <c r="AE1284" s="11"/>
      <c r="AF1284" s="10"/>
      <c r="AG1284" s="11"/>
      <c r="AH1284" s="10"/>
      <c r="AI1284" s="11"/>
      <c r="AJ1284" s="10"/>
      <c r="AK1284" s="10"/>
      <c r="AL1284" s="10"/>
      <c r="AM1284" s="8"/>
      <c r="AN1284" s="8"/>
      <c r="AO1284" s="9"/>
      <c r="AP1284" s="9"/>
      <c r="AQ1284" s="9"/>
      <c r="AR1284" s="8"/>
      <c r="AS1284" s="8"/>
      <c r="AT1284" s="8"/>
      <c r="AU1284" s="8"/>
      <c r="AV1284" s="8"/>
      <c r="AW1284" s="8"/>
      <c r="AX1284" s="8"/>
      <c r="AY1284" s="8"/>
      <c r="AZ1284" s="8"/>
    </row>
    <row r="1285" spans="21:52" ht="16.899999999999999">
      <c r="U1285" s="8"/>
      <c r="W1285" s="10"/>
      <c r="X1285" s="10"/>
      <c r="Z1285" s="13"/>
      <c r="AA1285" s="13"/>
      <c r="AB1285" s="13"/>
      <c r="AC1285" s="9"/>
      <c r="AD1285" s="9"/>
      <c r="AE1285" s="11"/>
      <c r="AF1285" s="10"/>
      <c r="AG1285" s="11"/>
      <c r="AH1285" s="10"/>
      <c r="AI1285" s="11"/>
      <c r="AJ1285" s="10"/>
      <c r="AK1285" s="10"/>
      <c r="AL1285" s="10"/>
      <c r="AM1285" s="8"/>
      <c r="AN1285" s="8"/>
      <c r="AO1285" s="9"/>
      <c r="AP1285" s="9"/>
      <c r="AQ1285" s="9"/>
      <c r="AR1285" s="8"/>
      <c r="AS1285" s="8"/>
      <c r="AT1285" s="8"/>
      <c r="AU1285" s="8"/>
      <c r="AV1285" s="8"/>
      <c r="AW1285" s="8"/>
      <c r="AX1285" s="8"/>
      <c r="AY1285" s="8"/>
      <c r="AZ1285" s="8"/>
    </row>
    <row r="1286" spans="21:52" ht="16.899999999999999">
      <c r="U1286" s="8"/>
      <c r="W1286" s="10"/>
      <c r="X1286" s="10"/>
      <c r="Z1286" s="13"/>
      <c r="AA1286" s="13"/>
      <c r="AB1286" s="13"/>
      <c r="AC1286" s="9"/>
      <c r="AD1286" s="9"/>
      <c r="AE1286" s="11"/>
      <c r="AF1286" s="10"/>
      <c r="AG1286" s="11"/>
      <c r="AH1286" s="10"/>
      <c r="AI1286" s="11"/>
      <c r="AJ1286" s="10"/>
      <c r="AK1286" s="10"/>
      <c r="AL1286" s="10"/>
      <c r="AM1286" s="8"/>
      <c r="AN1286" s="8"/>
      <c r="AO1286" s="9"/>
      <c r="AP1286" s="9"/>
      <c r="AQ1286" s="9"/>
      <c r="AR1286" s="8"/>
      <c r="AS1286" s="8"/>
      <c r="AT1286" s="8"/>
      <c r="AU1286" s="8"/>
      <c r="AV1286" s="8"/>
      <c r="AW1286" s="8"/>
      <c r="AX1286" s="8"/>
      <c r="AY1286" s="8"/>
      <c r="AZ1286" s="8"/>
    </row>
    <row r="1287" spans="21:52" ht="16.899999999999999">
      <c r="U1287" s="8"/>
      <c r="W1287" s="10"/>
      <c r="X1287" s="10"/>
      <c r="Z1287" s="13"/>
      <c r="AA1287" s="13"/>
      <c r="AB1287" s="13"/>
      <c r="AC1287" s="9"/>
      <c r="AD1287" s="9"/>
      <c r="AE1287" s="11"/>
      <c r="AF1287" s="10"/>
      <c r="AG1287" s="11"/>
      <c r="AH1287" s="10"/>
      <c r="AI1287" s="11"/>
      <c r="AJ1287" s="10"/>
      <c r="AK1287" s="10"/>
      <c r="AL1287" s="10"/>
      <c r="AM1287" s="8"/>
      <c r="AN1287" s="8"/>
      <c r="AO1287" s="9"/>
      <c r="AP1287" s="9"/>
      <c r="AQ1287" s="9"/>
      <c r="AR1287" s="8"/>
      <c r="AS1287" s="8"/>
      <c r="AT1287" s="8"/>
      <c r="AU1287" s="8"/>
      <c r="AV1287" s="8"/>
      <c r="AW1287" s="8"/>
      <c r="AX1287" s="8"/>
      <c r="AY1287" s="8"/>
      <c r="AZ1287" s="8"/>
    </row>
    <row r="1288" spans="21:52" ht="16.899999999999999">
      <c r="U1288" s="8"/>
      <c r="W1288" s="10"/>
      <c r="X1288" s="10"/>
      <c r="Z1288" s="13"/>
      <c r="AA1288" s="13"/>
      <c r="AB1288" s="13"/>
      <c r="AC1288" s="9"/>
      <c r="AD1288" s="9"/>
      <c r="AE1288" s="11"/>
      <c r="AF1288" s="10"/>
      <c r="AG1288" s="11"/>
      <c r="AH1288" s="10"/>
      <c r="AI1288" s="11"/>
      <c r="AJ1288" s="10"/>
      <c r="AK1288" s="10"/>
      <c r="AL1288" s="10"/>
      <c r="AM1288" s="8"/>
      <c r="AN1288" s="8"/>
      <c r="AO1288" s="9"/>
      <c r="AP1288" s="9"/>
      <c r="AQ1288" s="9"/>
      <c r="AR1288" s="8"/>
      <c r="AS1288" s="8"/>
      <c r="AT1288" s="8"/>
      <c r="AU1288" s="8"/>
      <c r="AV1288" s="8"/>
      <c r="AW1288" s="8"/>
      <c r="AX1288" s="8"/>
      <c r="AY1288" s="8"/>
      <c r="AZ1288" s="8"/>
    </row>
    <row r="1289" spans="21:52" ht="16.899999999999999">
      <c r="U1289" s="8"/>
      <c r="W1289" s="10"/>
      <c r="X1289" s="10"/>
      <c r="Z1289" s="13"/>
      <c r="AA1289" s="13"/>
      <c r="AB1289" s="13"/>
      <c r="AC1289" s="9"/>
      <c r="AD1289" s="9"/>
      <c r="AE1289" s="11"/>
      <c r="AF1289" s="10"/>
      <c r="AG1289" s="11"/>
      <c r="AH1289" s="10"/>
      <c r="AI1289" s="11"/>
      <c r="AJ1289" s="10"/>
      <c r="AK1289" s="10"/>
      <c r="AL1289" s="10"/>
      <c r="AM1289" s="8"/>
      <c r="AN1289" s="8"/>
      <c r="AO1289" s="9"/>
      <c r="AP1289" s="9"/>
      <c r="AQ1289" s="9"/>
      <c r="AR1289" s="8"/>
      <c r="AS1289" s="8"/>
      <c r="AT1289" s="8"/>
      <c r="AU1289" s="8"/>
      <c r="AV1289" s="8"/>
      <c r="AW1289" s="8"/>
      <c r="AX1289" s="8"/>
      <c r="AY1289" s="8"/>
      <c r="AZ1289" s="8"/>
    </row>
    <row r="1290" spans="21:52" ht="16.899999999999999">
      <c r="U1290" s="8"/>
      <c r="W1290" s="10"/>
      <c r="X1290" s="10"/>
      <c r="Z1290" s="13"/>
      <c r="AA1290" s="13"/>
      <c r="AB1290" s="13"/>
      <c r="AC1290" s="9"/>
      <c r="AD1290" s="9"/>
      <c r="AE1290" s="11"/>
      <c r="AF1290" s="10"/>
      <c r="AG1290" s="11"/>
      <c r="AH1290" s="10"/>
      <c r="AI1290" s="11"/>
      <c r="AJ1290" s="10"/>
      <c r="AK1290" s="10"/>
      <c r="AL1290" s="10"/>
      <c r="AM1290" s="8"/>
      <c r="AN1290" s="8"/>
      <c r="AO1290" s="9"/>
      <c r="AP1290" s="9"/>
      <c r="AQ1290" s="9"/>
      <c r="AR1290" s="8"/>
      <c r="AS1290" s="8"/>
      <c r="AT1290" s="8"/>
      <c r="AU1290" s="8"/>
      <c r="AV1290" s="8"/>
      <c r="AW1290" s="8"/>
      <c r="AX1290" s="8"/>
      <c r="AY1290" s="8"/>
      <c r="AZ1290" s="8"/>
    </row>
    <row r="1291" spans="21:52" ht="16.899999999999999">
      <c r="U1291" s="8"/>
      <c r="W1291" s="10"/>
      <c r="X1291" s="10"/>
      <c r="Z1291" s="13"/>
      <c r="AA1291" s="13"/>
      <c r="AB1291" s="13"/>
      <c r="AC1291" s="9"/>
      <c r="AD1291" s="9"/>
      <c r="AE1291" s="11"/>
      <c r="AF1291" s="10"/>
      <c r="AG1291" s="11"/>
      <c r="AH1291" s="10"/>
      <c r="AI1291" s="11"/>
      <c r="AJ1291" s="10"/>
      <c r="AK1291" s="10"/>
      <c r="AL1291" s="10"/>
      <c r="AM1291" s="8"/>
      <c r="AN1291" s="8"/>
      <c r="AO1291" s="9"/>
      <c r="AP1291" s="9"/>
      <c r="AQ1291" s="9"/>
      <c r="AR1291" s="8"/>
      <c r="AS1291" s="8"/>
      <c r="AT1291" s="8"/>
      <c r="AU1291" s="8"/>
      <c r="AV1291" s="8"/>
      <c r="AW1291" s="8"/>
      <c r="AX1291" s="8"/>
      <c r="AY1291" s="8"/>
      <c r="AZ1291" s="8"/>
    </row>
    <row r="1292" spans="21:52" ht="16.899999999999999">
      <c r="U1292" s="8"/>
      <c r="W1292" s="10"/>
      <c r="X1292" s="10"/>
      <c r="Z1292" s="13"/>
      <c r="AA1292" s="13"/>
      <c r="AB1292" s="13"/>
      <c r="AC1292" s="9"/>
      <c r="AD1292" s="9"/>
      <c r="AE1292" s="11"/>
      <c r="AF1292" s="10"/>
      <c r="AG1292" s="11"/>
      <c r="AH1292" s="10"/>
      <c r="AI1292" s="11"/>
      <c r="AJ1292" s="10"/>
      <c r="AK1292" s="10"/>
      <c r="AL1292" s="10"/>
      <c r="AM1292" s="8"/>
      <c r="AN1292" s="8"/>
      <c r="AO1292" s="9"/>
      <c r="AP1292" s="9"/>
      <c r="AQ1292" s="9"/>
      <c r="AR1292" s="8"/>
      <c r="AS1292" s="8"/>
      <c r="AT1292" s="8"/>
      <c r="AU1292" s="8"/>
      <c r="AV1292" s="8"/>
      <c r="AW1292" s="8"/>
      <c r="AX1292" s="8"/>
      <c r="AY1292" s="8"/>
      <c r="AZ1292" s="8"/>
    </row>
    <row r="1293" spans="21:52" ht="16.899999999999999">
      <c r="U1293" s="8"/>
      <c r="W1293" s="10"/>
      <c r="X1293" s="10"/>
      <c r="Z1293" s="13"/>
      <c r="AA1293" s="13"/>
      <c r="AB1293" s="13"/>
      <c r="AC1293" s="9"/>
      <c r="AD1293" s="9"/>
      <c r="AE1293" s="11"/>
      <c r="AF1293" s="10"/>
      <c r="AG1293" s="11"/>
      <c r="AH1293" s="10"/>
      <c r="AI1293" s="11"/>
      <c r="AJ1293" s="10"/>
      <c r="AK1293" s="10"/>
      <c r="AL1293" s="10"/>
      <c r="AM1293" s="8"/>
      <c r="AN1293" s="8"/>
      <c r="AO1293" s="9"/>
      <c r="AP1293" s="9"/>
      <c r="AQ1293" s="9"/>
      <c r="AR1293" s="8"/>
      <c r="AS1293" s="8"/>
      <c r="AT1293" s="8"/>
      <c r="AU1293" s="8"/>
      <c r="AV1293" s="8"/>
      <c r="AW1293" s="8"/>
      <c r="AX1293" s="8"/>
      <c r="AY1293" s="8"/>
      <c r="AZ1293" s="8"/>
    </row>
    <row r="1294" spans="21:52" ht="16.899999999999999">
      <c r="U1294" s="8"/>
      <c r="W1294" s="10"/>
      <c r="X1294" s="10"/>
      <c r="Z1294" s="13"/>
      <c r="AA1294" s="13"/>
      <c r="AB1294" s="13"/>
      <c r="AC1294" s="9"/>
      <c r="AD1294" s="9"/>
      <c r="AE1294" s="11"/>
      <c r="AF1294" s="10"/>
      <c r="AG1294" s="11"/>
      <c r="AH1294" s="10"/>
      <c r="AI1294" s="11"/>
      <c r="AJ1294" s="10"/>
      <c r="AK1294" s="10"/>
      <c r="AL1294" s="10"/>
      <c r="AM1294" s="8"/>
      <c r="AN1294" s="8"/>
      <c r="AO1294" s="9"/>
      <c r="AP1294" s="9"/>
      <c r="AQ1294" s="9"/>
      <c r="AR1294" s="8"/>
      <c r="AS1294" s="8"/>
      <c r="AT1294" s="8"/>
      <c r="AU1294" s="8"/>
      <c r="AV1294" s="8"/>
      <c r="AW1294" s="8"/>
      <c r="AX1294" s="8"/>
      <c r="AY1294" s="8"/>
      <c r="AZ1294" s="8"/>
    </row>
    <row r="1295" spans="21:52" ht="16.899999999999999">
      <c r="U1295" s="8"/>
      <c r="W1295" s="10"/>
      <c r="X1295" s="10"/>
      <c r="Z1295" s="13"/>
      <c r="AA1295" s="13"/>
      <c r="AB1295" s="13"/>
      <c r="AC1295" s="9"/>
      <c r="AD1295" s="9"/>
      <c r="AE1295" s="11"/>
      <c r="AF1295" s="10"/>
      <c r="AG1295" s="11"/>
      <c r="AH1295" s="10"/>
      <c r="AI1295" s="11"/>
      <c r="AJ1295" s="10"/>
      <c r="AK1295" s="10"/>
      <c r="AL1295" s="10"/>
      <c r="AM1295" s="8"/>
      <c r="AN1295" s="8"/>
      <c r="AO1295" s="9"/>
      <c r="AP1295" s="9"/>
      <c r="AQ1295" s="9"/>
      <c r="AR1295" s="8"/>
      <c r="AS1295" s="8"/>
      <c r="AT1295" s="8"/>
      <c r="AU1295" s="8"/>
      <c r="AV1295" s="8"/>
      <c r="AW1295" s="8"/>
      <c r="AX1295" s="8"/>
      <c r="AY1295" s="8"/>
      <c r="AZ1295" s="8"/>
    </row>
    <row r="1296" spans="21:52" ht="16.899999999999999">
      <c r="U1296" s="8"/>
      <c r="W1296" s="10"/>
      <c r="X1296" s="10"/>
      <c r="Z1296" s="13"/>
      <c r="AA1296" s="13"/>
      <c r="AB1296" s="13"/>
      <c r="AC1296" s="9"/>
      <c r="AD1296" s="9"/>
      <c r="AE1296" s="11"/>
      <c r="AF1296" s="10"/>
      <c r="AG1296" s="11"/>
      <c r="AH1296" s="10"/>
      <c r="AI1296" s="11"/>
      <c r="AJ1296" s="10"/>
      <c r="AK1296" s="10"/>
      <c r="AL1296" s="10"/>
      <c r="AM1296" s="8"/>
      <c r="AN1296" s="8"/>
      <c r="AO1296" s="9"/>
      <c r="AP1296" s="9"/>
      <c r="AQ1296" s="9"/>
      <c r="AR1296" s="8"/>
      <c r="AS1296" s="8"/>
      <c r="AT1296" s="8"/>
      <c r="AU1296" s="8"/>
      <c r="AV1296" s="8"/>
      <c r="AW1296" s="8"/>
      <c r="AX1296" s="8"/>
      <c r="AY1296" s="8"/>
      <c r="AZ1296" s="8"/>
    </row>
    <row r="1297" spans="21:52" ht="16.899999999999999">
      <c r="U1297" s="8"/>
      <c r="W1297" s="10"/>
      <c r="X1297" s="10"/>
      <c r="Z1297" s="13"/>
      <c r="AA1297" s="13"/>
      <c r="AB1297" s="13"/>
      <c r="AC1297" s="9"/>
      <c r="AD1297" s="9"/>
      <c r="AE1297" s="11"/>
      <c r="AF1297" s="10"/>
      <c r="AG1297" s="11"/>
      <c r="AH1297" s="10"/>
      <c r="AI1297" s="11"/>
      <c r="AJ1297" s="10"/>
      <c r="AK1297" s="10"/>
      <c r="AL1297" s="10"/>
      <c r="AM1297" s="8"/>
      <c r="AN1297" s="8"/>
      <c r="AO1297" s="9"/>
      <c r="AP1297" s="9"/>
      <c r="AQ1297" s="9"/>
      <c r="AR1297" s="8"/>
      <c r="AS1297" s="8"/>
      <c r="AT1297" s="8"/>
      <c r="AU1297" s="8"/>
      <c r="AV1297" s="8"/>
      <c r="AW1297" s="8"/>
      <c r="AX1297" s="8"/>
      <c r="AY1297" s="8"/>
      <c r="AZ1297" s="8"/>
    </row>
    <row r="1298" spans="21:52" ht="16.899999999999999">
      <c r="U1298" s="8"/>
      <c r="W1298" s="10"/>
      <c r="X1298" s="10"/>
      <c r="Z1298" s="13"/>
      <c r="AA1298" s="13"/>
      <c r="AB1298" s="13"/>
      <c r="AC1298" s="9"/>
      <c r="AD1298" s="9"/>
      <c r="AE1298" s="11"/>
      <c r="AF1298" s="10"/>
      <c r="AG1298" s="11"/>
      <c r="AH1298" s="10"/>
      <c r="AI1298" s="11"/>
      <c r="AJ1298" s="10"/>
      <c r="AK1298" s="10"/>
      <c r="AL1298" s="10"/>
      <c r="AM1298" s="8"/>
      <c r="AN1298" s="8"/>
      <c r="AO1298" s="9"/>
      <c r="AP1298" s="9"/>
      <c r="AQ1298" s="9"/>
      <c r="AR1298" s="8"/>
      <c r="AS1298" s="8"/>
      <c r="AT1298" s="8"/>
      <c r="AU1298" s="8"/>
      <c r="AV1298" s="8"/>
      <c r="AW1298" s="8"/>
      <c r="AX1298" s="8"/>
      <c r="AY1298" s="8"/>
      <c r="AZ1298" s="8"/>
    </row>
    <row r="1299" spans="21:52" ht="16.899999999999999">
      <c r="U1299" s="8"/>
      <c r="W1299" s="10"/>
      <c r="X1299" s="10"/>
      <c r="Z1299" s="13"/>
      <c r="AA1299" s="13"/>
      <c r="AB1299" s="13"/>
      <c r="AC1299" s="9"/>
      <c r="AD1299" s="9"/>
      <c r="AE1299" s="11"/>
      <c r="AF1299" s="10"/>
      <c r="AG1299" s="11"/>
      <c r="AH1299" s="10"/>
      <c r="AI1299" s="11"/>
      <c r="AJ1299" s="10"/>
      <c r="AK1299" s="10"/>
      <c r="AL1299" s="10"/>
      <c r="AM1299" s="8"/>
      <c r="AN1299" s="8"/>
      <c r="AO1299" s="9"/>
      <c r="AP1299" s="9"/>
      <c r="AQ1299" s="9"/>
      <c r="AR1299" s="8"/>
      <c r="AS1299" s="8"/>
      <c r="AT1299" s="8"/>
      <c r="AU1299" s="8"/>
      <c r="AV1299" s="8"/>
      <c r="AW1299" s="8"/>
      <c r="AX1299" s="8"/>
      <c r="AY1299" s="8"/>
      <c r="AZ1299" s="8"/>
    </row>
    <row r="1300" spans="21:52" ht="16.899999999999999">
      <c r="U1300" s="8"/>
      <c r="W1300" s="10"/>
      <c r="X1300" s="10"/>
      <c r="Z1300" s="13"/>
      <c r="AA1300" s="13"/>
      <c r="AB1300" s="13"/>
      <c r="AC1300" s="9"/>
      <c r="AD1300" s="9"/>
      <c r="AE1300" s="11"/>
      <c r="AF1300" s="10"/>
      <c r="AG1300" s="11"/>
      <c r="AH1300" s="10"/>
      <c r="AI1300" s="11"/>
      <c r="AJ1300" s="10"/>
      <c r="AK1300" s="10"/>
      <c r="AL1300" s="10"/>
      <c r="AM1300" s="8"/>
      <c r="AN1300" s="8"/>
      <c r="AO1300" s="9"/>
      <c r="AP1300" s="9"/>
      <c r="AQ1300" s="9"/>
      <c r="AR1300" s="8"/>
      <c r="AS1300" s="8"/>
      <c r="AT1300" s="8"/>
      <c r="AU1300" s="8"/>
      <c r="AV1300" s="8"/>
      <c r="AW1300" s="8"/>
      <c r="AX1300" s="8"/>
      <c r="AY1300" s="8"/>
      <c r="AZ1300" s="8"/>
    </row>
    <row r="1301" spans="21:52" ht="16.899999999999999">
      <c r="U1301" s="8"/>
      <c r="W1301" s="10"/>
      <c r="X1301" s="10"/>
      <c r="Z1301" s="13"/>
      <c r="AA1301" s="13"/>
      <c r="AB1301" s="13"/>
      <c r="AC1301" s="9"/>
      <c r="AD1301" s="9"/>
      <c r="AE1301" s="11"/>
      <c r="AF1301" s="10"/>
      <c r="AG1301" s="11"/>
      <c r="AH1301" s="10"/>
      <c r="AI1301" s="11"/>
      <c r="AJ1301" s="10"/>
      <c r="AK1301" s="10"/>
      <c r="AL1301" s="10"/>
      <c r="AM1301" s="8"/>
      <c r="AN1301" s="8"/>
      <c r="AO1301" s="9"/>
      <c r="AP1301" s="9"/>
      <c r="AQ1301" s="9"/>
      <c r="AR1301" s="8"/>
      <c r="AS1301" s="8"/>
      <c r="AT1301" s="8"/>
      <c r="AU1301" s="8"/>
      <c r="AV1301" s="8"/>
      <c r="AW1301" s="8"/>
      <c r="AX1301" s="8"/>
      <c r="AY1301" s="8"/>
      <c r="AZ1301" s="8"/>
    </row>
    <row r="1302" spans="21:52" ht="16.899999999999999">
      <c r="U1302" s="8"/>
      <c r="W1302" s="10"/>
      <c r="X1302" s="10"/>
      <c r="Z1302" s="13"/>
      <c r="AA1302" s="13"/>
      <c r="AB1302" s="13"/>
      <c r="AC1302" s="9"/>
      <c r="AD1302" s="9"/>
      <c r="AE1302" s="11"/>
      <c r="AF1302" s="10"/>
      <c r="AG1302" s="11"/>
      <c r="AH1302" s="10"/>
      <c r="AI1302" s="11"/>
      <c r="AJ1302" s="10"/>
      <c r="AK1302" s="10"/>
      <c r="AL1302" s="10"/>
      <c r="AM1302" s="8"/>
      <c r="AN1302" s="8"/>
      <c r="AO1302" s="9"/>
      <c r="AP1302" s="9"/>
      <c r="AQ1302" s="9"/>
      <c r="AR1302" s="8"/>
      <c r="AS1302" s="8"/>
      <c r="AT1302" s="8"/>
      <c r="AU1302" s="8"/>
      <c r="AV1302" s="8"/>
      <c r="AW1302" s="8"/>
      <c r="AX1302" s="8"/>
      <c r="AY1302" s="8"/>
      <c r="AZ1302" s="8"/>
    </row>
    <row r="1303" spans="21:52" ht="16.899999999999999">
      <c r="U1303" s="8"/>
      <c r="W1303" s="10"/>
      <c r="X1303" s="10"/>
      <c r="Z1303" s="13"/>
      <c r="AA1303" s="13"/>
      <c r="AB1303" s="13"/>
      <c r="AC1303" s="9"/>
      <c r="AD1303" s="9"/>
      <c r="AE1303" s="11"/>
      <c r="AF1303" s="10"/>
      <c r="AG1303" s="11"/>
      <c r="AH1303" s="10"/>
      <c r="AI1303" s="11"/>
      <c r="AJ1303" s="10"/>
      <c r="AK1303" s="10"/>
      <c r="AL1303" s="10"/>
      <c r="AM1303" s="8"/>
      <c r="AN1303" s="8"/>
      <c r="AO1303" s="9"/>
      <c r="AP1303" s="9"/>
      <c r="AQ1303" s="9"/>
      <c r="AR1303" s="8"/>
      <c r="AS1303" s="8"/>
      <c r="AT1303" s="8"/>
      <c r="AU1303" s="8"/>
      <c r="AV1303" s="8"/>
      <c r="AW1303" s="8"/>
      <c r="AX1303" s="8"/>
      <c r="AY1303" s="8"/>
      <c r="AZ1303" s="8"/>
    </row>
    <row r="1304" spans="21:52" ht="16.899999999999999">
      <c r="U1304" s="8"/>
      <c r="W1304" s="10"/>
      <c r="X1304" s="10"/>
      <c r="Z1304" s="13"/>
      <c r="AA1304" s="13"/>
      <c r="AB1304" s="13"/>
      <c r="AC1304" s="9"/>
      <c r="AD1304" s="9"/>
      <c r="AE1304" s="11"/>
      <c r="AF1304" s="10"/>
      <c r="AG1304" s="11"/>
      <c r="AH1304" s="10"/>
      <c r="AI1304" s="11"/>
      <c r="AJ1304" s="10"/>
      <c r="AK1304" s="10"/>
      <c r="AL1304" s="10"/>
      <c r="AM1304" s="8"/>
      <c r="AN1304" s="8"/>
      <c r="AO1304" s="9"/>
      <c r="AP1304" s="9"/>
      <c r="AQ1304" s="9"/>
      <c r="AR1304" s="8"/>
      <c r="AS1304" s="8"/>
      <c r="AT1304" s="8"/>
      <c r="AU1304" s="8"/>
      <c r="AV1304" s="8"/>
      <c r="AW1304" s="8"/>
      <c r="AX1304" s="8"/>
      <c r="AY1304" s="8"/>
      <c r="AZ1304" s="8"/>
    </row>
    <row r="1305" spans="21:52" ht="16.899999999999999">
      <c r="U1305" s="8"/>
      <c r="W1305" s="10"/>
      <c r="X1305" s="10"/>
      <c r="Z1305" s="13"/>
      <c r="AA1305" s="13"/>
      <c r="AB1305" s="13"/>
      <c r="AC1305" s="9"/>
      <c r="AD1305" s="9"/>
      <c r="AE1305" s="11"/>
      <c r="AF1305" s="10"/>
      <c r="AG1305" s="11"/>
      <c r="AH1305" s="10"/>
      <c r="AI1305" s="11"/>
      <c r="AJ1305" s="10"/>
      <c r="AK1305" s="10"/>
      <c r="AL1305" s="10"/>
      <c r="AM1305" s="8"/>
      <c r="AN1305" s="8"/>
      <c r="AO1305" s="9"/>
      <c r="AP1305" s="9"/>
      <c r="AQ1305" s="9"/>
      <c r="AR1305" s="8"/>
      <c r="AS1305" s="8"/>
      <c r="AT1305" s="8"/>
      <c r="AU1305" s="8"/>
      <c r="AV1305" s="8"/>
      <c r="AW1305" s="8"/>
      <c r="AX1305" s="8"/>
      <c r="AY1305" s="8"/>
      <c r="AZ1305" s="8"/>
    </row>
    <row r="1306" spans="21:52" ht="16.899999999999999">
      <c r="U1306" s="8"/>
      <c r="W1306" s="10"/>
      <c r="X1306" s="10"/>
      <c r="Z1306" s="13"/>
      <c r="AA1306" s="13"/>
      <c r="AB1306" s="13"/>
      <c r="AC1306" s="9"/>
      <c r="AD1306" s="9"/>
      <c r="AE1306" s="11"/>
      <c r="AF1306" s="10"/>
      <c r="AG1306" s="11"/>
      <c r="AH1306" s="10"/>
      <c r="AI1306" s="11"/>
      <c r="AJ1306" s="10"/>
      <c r="AK1306" s="10"/>
      <c r="AL1306" s="10"/>
      <c r="AM1306" s="8"/>
      <c r="AN1306" s="8"/>
      <c r="AO1306" s="9"/>
      <c r="AP1306" s="9"/>
      <c r="AQ1306" s="9"/>
      <c r="AR1306" s="8"/>
      <c r="AS1306" s="8"/>
      <c r="AT1306" s="8"/>
      <c r="AU1306" s="8"/>
      <c r="AV1306" s="8"/>
      <c r="AW1306" s="8"/>
      <c r="AX1306" s="8"/>
      <c r="AY1306" s="8"/>
      <c r="AZ1306" s="8"/>
    </row>
    <row r="1307" spans="21:52" ht="16.899999999999999">
      <c r="U1307" s="8"/>
      <c r="W1307" s="10"/>
      <c r="X1307" s="10"/>
      <c r="Z1307" s="13"/>
      <c r="AA1307" s="13"/>
      <c r="AB1307" s="13"/>
      <c r="AC1307" s="9"/>
      <c r="AD1307" s="9"/>
      <c r="AE1307" s="11"/>
      <c r="AF1307" s="10"/>
      <c r="AG1307" s="11"/>
      <c r="AH1307" s="10"/>
      <c r="AI1307" s="11"/>
      <c r="AJ1307" s="10"/>
      <c r="AK1307" s="10"/>
      <c r="AL1307" s="10"/>
      <c r="AM1307" s="8"/>
      <c r="AN1307" s="8"/>
      <c r="AO1307" s="9"/>
      <c r="AP1307" s="9"/>
      <c r="AQ1307" s="9"/>
      <c r="AR1307" s="8"/>
      <c r="AS1307" s="8"/>
      <c r="AT1307" s="8"/>
      <c r="AU1307" s="8"/>
      <c r="AV1307" s="8"/>
      <c r="AW1307" s="8"/>
      <c r="AX1307" s="8"/>
      <c r="AY1307" s="8"/>
      <c r="AZ1307" s="8"/>
    </row>
    <row r="1308" spans="21:52" ht="16.899999999999999">
      <c r="U1308" s="8"/>
      <c r="W1308" s="10"/>
      <c r="X1308" s="10"/>
      <c r="Z1308" s="13"/>
      <c r="AA1308" s="13"/>
      <c r="AB1308" s="13"/>
      <c r="AC1308" s="9"/>
      <c r="AD1308" s="9"/>
      <c r="AE1308" s="11"/>
      <c r="AF1308" s="10"/>
      <c r="AG1308" s="11"/>
      <c r="AH1308" s="10"/>
      <c r="AI1308" s="11"/>
      <c r="AJ1308" s="10"/>
      <c r="AK1308" s="10"/>
      <c r="AL1308" s="10"/>
      <c r="AM1308" s="8"/>
      <c r="AN1308" s="8"/>
      <c r="AO1308" s="9"/>
      <c r="AP1308" s="9"/>
      <c r="AQ1308" s="9"/>
      <c r="AR1308" s="8"/>
      <c r="AS1308" s="8"/>
      <c r="AT1308" s="8"/>
      <c r="AU1308" s="8"/>
      <c r="AV1308" s="8"/>
      <c r="AW1308" s="8"/>
      <c r="AX1308" s="8"/>
      <c r="AY1308" s="8"/>
      <c r="AZ1308" s="8"/>
    </row>
    <row r="1309" spans="21:52" ht="16.899999999999999">
      <c r="U1309" s="8"/>
      <c r="W1309" s="10"/>
      <c r="X1309" s="10"/>
      <c r="Z1309" s="13"/>
      <c r="AA1309" s="13"/>
      <c r="AB1309" s="13"/>
      <c r="AC1309" s="9"/>
      <c r="AD1309" s="9"/>
      <c r="AE1309" s="11"/>
      <c r="AF1309" s="10"/>
      <c r="AG1309" s="11"/>
      <c r="AH1309" s="10"/>
      <c r="AI1309" s="11"/>
      <c r="AJ1309" s="10"/>
      <c r="AK1309" s="10"/>
      <c r="AL1309" s="10"/>
      <c r="AM1309" s="8"/>
      <c r="AN1309" s="8"/>
      <c r="AO1309" s="9"/>
      <c r="AP1309" s="9"/>
      <c r="AQ1309" s="9"/>
      <c r="AR1309" s="8"/>
      <c r="AS1309" s="8"/>
      <c r="AT1309" s="8"/>
      <c r="AU1309" s="8"/>
      <c r="AV1309" s="8"/>
      <c r="AW1309" s="8"/>
      <c r="AX1309" s="8"/>
      <c r="AY1309" s="8"/>
      <c r="AZ1309" s="8"/>
    </row>
    <row r="1310" spans="21:52" ht="16.899999999999999">
      <c r="U1310" s="8"/>
      <c r="W1310" s="10"/>
      <c r="X1310" s="10"/>
      <c r="Z1310" s="13"/>
      <c r="AA1310" s="13"/>
      <c r="AB1310" s="13"/>
      <c r="AC1310" s="9"/>
      <c r="AD1310" s="9"/>
      <c r="AE1310" s="11"/>
      <c r="AF1310" s="10"/>
      <c r="AG1310" s="11"/>
      <c r="AH1310" s="10"/>
      <c r="AI1310" s="11"/>
      <c r="AJ1310" s="10"/>
      <c r="AK1310" s="10"/>
      <c r="AL1310" s="10"/>
      <c r="AM1310" s="8"/>
      <c r="AN1310" s="8"/>
      <c r="AO1310" s="9"/>
      <c r="AP1310" s="9"/>
      <c r="AQ1310" s="9"/>
      <c r="AR1310" s="8"/>
      <c r="AS1310" s="8"/>
      <c r="AT1310" s="8"/>
      <c r="AU1310" s="8"/>
      <c r="AV1310" s="8"/>
      <c r="AW1310" s="8"/>
      <c r="AX1310" s="8"/>
      <c r="AY1310" s="8"/>
      <c r="AZ1310" s="8"/>
    </row>
    <row r="1311" spans="21:52" ht="16.899999999999999">
      <c r="U1311" s="8"/>
      <c r="W1311" s="10"/>
      <c r="X1311" s="10"/>
      <c r="Z1311" s="13"/>
      <c r="AA1311" s="13"/>
      <c r="AB1311" s="13"/>
      <c r="AC1311" s="9"/>
      <c r="AD1311" s="9"/>
      <c r="AE1311" s="11"/>
      <c r="AF1311" s="10"/>
      <c r="AG1311" s="11"/>
      <c r="AH1311" s="10"/>
      <c r="AI1311" s="11"/>
      <c r="AJ1311" s="10"/>
      <c r="AK1311" s="10"/>
      <c r="AL1311" s="10"/>
      <c r="AM1311" s="8"/>
      <c r="AN1311" s="8"/>
      <c r="AO1311" s="9"/>
      <c r="AP1311" s="9"/>
      <c r="AQ1311" s="9"/>
      <c r="AR1311" s="8"/>
      <c r="AS1311" s="8"/>
      <c r="AT1311" s="8"/>
      <c r="AU1311" s="8"/>
      <c r="AV1311" s="8"/>
      <c r="AW1311" s="8"/>
      <c r="AX1311" s="8"/>
      <c r="AY1311" s="8"/>
      <c r="AZ1311" s="8"/>
    </row>
    <row r="1312" spans="21:52" ht="16.899999999999999">
      <c r="U1312" s="8"/>
      <c r="W1312" s="10"/>
      <c r="X1312" s="10"/>
      <c r="Z1312" s="13"/>
      <c r="AA1312" s="13"/>
      <c r="AB1312" s="13"/>
      <c r="AC1312" s="9"/>
      <c r="AD1312" s="9"/>
      <c r="AE1312" s="11"/>
      <c r="AF1312" s="10"/>
      <c r="AG1312" s="11"/>
      <c r="AH1312" s="10"/>
      <c r="AI1312" s="11"/>
      <c r="AJ1312" s="10"/>
      <c r="AK1312" s="10"/>
      <c r="AL1312" s="10"/>
      <c r="AM1312" s="8"/>
      <c r="AN1312" s="8"/>
      <c r="AO1312" s="9"/>
      <c r="AP1312" s="9"/>
      <c r="AQ1312" s="9"/>
      <c r="AR1312" s="8"/>
      <c r="AS1312" s="8"/>
      <c r="AT1312" s="8"/>
      <c r="AU1312" s="8"/>
      <c r="AV1312" s="8"/>
      <c r="AW1312" s="8"/>
      <c r="AX1312" s="8"/>
      <c r="AY1312" s="8"/>
      <c r="AZ1312" s="8"/>
    </row>
    <row r="1313" spans="21:52" ht="16.899999999999999">
      <c r="U1313" s="8"/>
      <c r="W1313" s="10"/>
      <c r="X1313" s="10"/>
      <c r="Z1313" s="13"/>
      <c r="AA1313" s="13"/>
      <c r="AB1313" s="13"/>
      <c r="AC1313" s="9"/>
      <c r="AD1313" s="9"/>
      <c r="AE1313" s="11"/>
      <c r="AF1313" s="10"/>
      <c r="AG1313" s="11"/>
      <c r="AH1313" s="10"/>
      <c r="AI1313" s="11"/>
      <c r="AJ1313" s="10"/>
      <c r="AK1313" s="10"/>
      <c r="AL1313" s="10"/>
      <c r="AM1313" s="8"/>
      <c r="AN1313" s="8"/>
      <c r="AO1313" s="9"/>
      <c r="AP1313" s="9"/>
      <c r="AQ1313" s="9"/>
      <c r="AR1313" s="8"/>
      <c r="AS1313" s="8"/>
      <c r="AT1313" s="8"/>
      <c r="AU1313" s="8"/>
      <c r="AV1313" s="8"/>
      <c r="AW1313" s="8"/>
      <c r="AX1313" s="8"/>
      <c r="AY1313" s="8"/>
      <c r="AZ1313" s="8"/>
    </row>
    <row r="1314" spans="21:52" ht="16.899999999999999">
      <c r="U1314" s="8"/>
      <c r="W1314" s="10"/>
      <c r="X1314" s="10"/>
      <c r="Z1314" s="13"/>
      <c r="AA1314" s="13"/>
      <c r="AB1314" s="13"/>
      <c r="AC1314" s="9"/>
      <c r="AD1314" s="9"/>
      <c r="AE1314" s="11"/>
      <c r="AF1314" s="10"/>
      <c r="AG1314" s="11"/>
      <c r="AH1314" s="10"/>
      <c r="AI1314" s="11"/>
      <c r="AJ1314" s="10"/>
      <c r="AK1314" s="10"/>
      <c r="AL1314" s="10"/>
      <c r="AM1314" s="8"/>
      <c r="AN1314" s="8"/>
      <c r="AO1314" s="9"/>
      <c r="AP1314" s="9"/>
      <c r="AQ1314" s="9"/>
      <c r="AR1314" s="8"/>
      <c r="AS1314" s="8"/>
      <c r="AT1314" s="8"/>
      <c r="AU1314" s="8"/>
      <c r="AV1314" s="8"/>
      <c r="AW1314" s="8"/>
      <c r="AX1314" s="8"/>
      <c r="AY1314" s="8"/>
      <c r="AZ1314" s="8"/>
    </row>
    <row r="1315" spans="21:52" ht="16.899999999999999">
      <c r="U1315" s="8"/>
      <c r="W1315" s="10"/>
      <c r="X1315" s="10"/>
      <c r="Z1315" s="13"/>
      <c r="AA1315" s="13"/>
      <c r="AB1315" s="13"/>
      <c r="AC1315" s="9"/>
      <c r="AD1315" s="9"/>
      <c r="AE1315" s="11"/>
      <c r="AF1315" s="10"/>
      <c r="AG1315" s="11"/>
      <c r="AH1315" s="10"/>
      <c r="AI1315" s="11"/>
      <c r="AJ1315" s="10"/>
      <c r="AK1315" s="10"/>
      <c r="AL1315" s="10"/>
      <c r="AM1315" s="8"/>
      <c r="AN1315" s="8"/>
      <c r="AO1315" s="9"/>
      <c r="AP1315" s="9"/>
      <c r="AQ1315" s="9"/>
      <c r="AR1315" s="8"/>
      <c r="AS1315" s="8"/>
      <c r="AT1315" s="8"/>
      <c r="AU1315" s="8"/>
      <c r="AV1315" s="8"/>
      <c r="AW1315" s="8"/>
      <c r="AX1315" s="8"/>
      <c r="AY1315" s="8"/>
      <c r="AZ1315" s="8"/>
    </row>
    <row r="1316" spans="21:52" ht="16.899999999999999">
      <c r="U1316" s="8"/>
      <c r="W1316" s="10"/>
      <c r="X1316" s="10"/>
      <c r="Z1316" s="13"/>
      <c r="AA1316" s="13"/>
      <c r="AB1316" s="13"/>
      <c r="AC1316" s="9"/>
      <c r="AD1316" s="9"/>
      <c r="AE1316" s="11"/>
      <c r="AF1316" s="10"/>
      <c r="AG1316" s="11"/>
      <c r="AH1316" s="10"/>
      <c r="AI1316" s="11"/>
      <c r="AJ1316" s="10"/>
      <c r="AK1316" s="10"/>
      <c r="AL1316" s="10"/>
      <c r="AM1316" s="8"/>
      <c r="AN1316" s="8"/>
      <c r="AO1316" s="9"/>
      <c r="AP1316" s="9"/>
      <c r="AQ1316" s="9"/>
      <c r="AR1316" s="8"/>
      <c r="AS1316" s="8"/>
      <c r="AT1316" s="8"/>
      <c r="AU1316" s="8"/>
      <c r="AV1316" s="8"/>
      <c r="AW1316" s="8"/>
      <c r="AX1316" s="8"/>
      <c r="AY1316" s="8"/>
      <c r="AZ1316" s="8"/>
    </row>
    <row r="1317" spans="21:52" ht="16.899999999999999">
      <c r="U1317" s="8"/>
      <c r="W1317" s="10"/>
      <c r="X1317" s="10"/>
      <c r="Z1317" s="13"/>
      <c r="AA1317" s="13"/>
      <c r="AB1317" s="13"/>
      <c r="AC1317" s="9"/>
      <c r="AD1317" s="9"/>
      <c r="AE1317" s="11"/>
      <c r="AF1317" s="10"/>
      <c r="AG1317" s="11"/>
      <c r="AH1317" s="10"/>
      <c r="AI1317" s="11"/>
      <c r="AJ1317" s="10"/>
      <c r="AK1317" s="10"/>
      <c r="AL1317" s="10"/>
      <c r="AM1317" s="8"/>
      <c r="AN1317" s="8"/>
      <c r="AO1317" s="9"/>
      <c r="AP1317" s="9"/>
      <c r="AQ1317" s="9"/>
      <c r="AR1317" s="8"/>
      <c r="AS1317" s="8"/>
      <c r="AT1317" s="8"/>
      <c r="AU1317" s="8"/>
      <c r="AV1317" s="8"/>
      <c r="AW1317" s="8"/>
      <c r="AX1317" s="8"/>
      <c r="AY1317" s="8"/>
      <c r="AZ1317" s="8"/>
    </row>
    <row r="1318" spans="21:52" ht="16.899999999999999">
      <c r="U1318" s="8"/>
      <c r="W1318" s="10"/>
      <c r="X1318" s="10"/>
      <c r="Z1318" s="13"/>
      <c r="AA1318" s="13"/>
      <c r="AB1318" s="13"/>
      <c r="AC1318" s="9"/>
      <c r="AD1318" s="9"/>
      <c r="AE1318" s="11"/>
      <c r="AF1318" s="10"/>
      <c r="AG1318" s="11"/>
      <c r="AH1318" s="10"/>
      <c r="AI1318" s="11"/>
      <c r="AJ1318" s="10"/>
      <c r="AK1318" s="10"/>
      <c r="AL1318" s="10"/>
      <c r="AM1318" s="8"/>
      <c r="AN1318" s="8"/>
      <c r="AO1318" s="9"/>
      <c r="AP1318" s="9"/>
      <c r="AQ1318" s="9"/>
      <c r="AR1318" s="8"/>
      <c r="AS1318" s="8"/>
      <c r="AT1318" s="8"/>
      <c r="AU1318" s="8"/>
      <c r="AV1318" s="8"/>
      <c r="AW1318" s="8"/>
      <c r="AX1318" s="8"/>
      <c r="AY1318" s="8"/>
      <c r="AZ1318" s="8"/>
    </row>
    <row r="1319" spans="21:52" ht="16.899999999999999">
      <c r="U1319" s="8"/>
      <c r="W1319" s="10"/>
      <c r="X1319" s="10"/>
      <c r="Z1319" s="13"/>
      <c r="AA1319" s="13"/>
      <c r="AB1319" s="13"/>
      <c r="AC1319" s="9"/>
      <c r="AD1319" s="9"/>
      <c r="AE1319" s="11"/>
      <c r="AF1319" s="10"/>
      <c r="AG1319" s="11"/>
      <c r="AH1319" s="10"/>
      <c r="AI1319" s="11"/>
      <c r="AJ1319" s="10"/>
      <c r="AK1319" s="10"/>
      <c r="AL1319" s="10"/>
      <c r="AM1319" s="8"/>
      <c r="AN1319" s="8"/>
      <c r="AO1319" s="9"/>
      <c r="AP1319" s="9"/>
      <c r="AQ1319" s="9"/>
      <c r="AR1319" s="8"/>
      <c r="AS1319" s="8"/>
      <c r="AT1319" s="8"/>
      <c r="AU1319" s="8"/>
      <c r="AV1319" s="8"/>
      <c r="AW1319" s="8"/>
      <c r="AX1319" s="8"/>
      <c r="AY1319" s="8"/>
      <c r="AZ1319" s="8"/>
    </row>
    <row r="1320" spans="21:52" ht="16.899999999999999">
      <c r="U1320" s="8"/>
      <c r="W1320" s="10"/>
      <c r="X1320" s="10"/>
      <c r="Z1320" s="13"/>
      <c r="AA1320" s="13"/>
      <c r="AB1320" s="13"/>
      <c r="AC1320" s="9"/>
      <c r="AD1320" s="9"/>
      <c r="AE1320" s="11"/>
      <c r="AF1320" s="10"/>
      <c r="AG1320" s="11"/>
      <c r="AH1320" s="10"/>
      <c r="AI1320" s="11"/>
      <c r="AJ1320" s="10"/>
      <c r="AK1320" s="10"/>
      <c r="AL1320" s="10"/>
      <c r="AM1320" s="8"/>
      <c r="AN1320" s="8"/>
      <c r="AO1320" s="9"/>
      <c r="AP1320" s="9"/>
      <c r="AQ1320" s="9"/>
      <c r="AR1320" s="8"/>
      <c r="AS1320" s="8"/>
      <c r="AT1320" s="8"/>
      <c r="AU1320" s="8"/>
      <c r="AV1320" s="8"/>
      <c r="AW1320" s="8"/>
      <c r="AX1320" s="8"/>
      <c r="AY1320" s="8"/>
      <c r="AZ1320" s="8"/>
    </row>
    <row r="1321" spans="21:52" ht="16.899999999999999">
      <c r="U1321" s="8"/>
      <c r="W1321" s="10"/>
      <c r="X1321" s="10"/>
      <c r="Z1321" s="13"/>
      <c r="AA1321" s="13"/>
      <c r="AB1321" s="13"/>
      <c r="AC1321" s="9"/>
      <c r="AD1321" s="9"/>
      <c r="AE1321" s="11"/>
      <c r="AF1321" s="10"/>
      <c r="AG1321" s="11"/>
      <c r="AH1321" s="10"/>
      <c r="AI1321" s="11"/>
      <c r="AJ1321" s="10"/>
      <c r="AK1321" s="10"/>
      <c r="AL1321" s="10"/>
      <c r="AM1321" s="8"/>
      <c r="AN1321" s="8"/>
      <c r="AO1321" s="9"/>
      <c r="AP1321" s="9"/>
      <c r="AQ1321" s="9"/>
      <c r="AR1321" s="8"/>
      <c r="AS1321" s="8"/>
      <c r="AT1321" s="8"/>
      <c r="AU1321" s="8"/>
      <c r="AV1321" s="8"/>
      <c r="AW1321" s="8"/>
      <c r="AX1321" s="8"/>
      <c r="AY1321" s="8"/>
      <c r="AZ1321" s="8"/>
    </row>
    <row r="1322" spans="21:52" ht="16.899999999999999">
      <c r="U1322" s="8"/>
      <c r="W1322" s="10"/>
      <c r="X1322" s="10"/>
      <c r="Z1322" s="13"/>
      <c r="AA1322" s="13"/>
      <c r="AB1322" s="13"/>
      <c r="AC1322" s="9"/>
      <c r="AD1322" s="9"/>
      <c r="AE1322" s="11"/>
      <c r="AF1322" s="10"/>
      <c r="AG1322" s="11"/>
      <c r="AH1322" s="10"/>
      <c r="AI1322" s="11"/>
      <c r="AJ1322" s="10"/>
      <c r="AK1322" s="10"/>
      <c r="AL1322" s="10"/>
      <c r="AM1322" s="8"/>
      <c r="AN1322" s="8"/>
      <c r="AO1322" s="9"/>
      <c r="AP1322" s="9"/>
      <c r="AQ1322" s="9"/>
      <c r="AR1322" s="8"/>
      <c r="AS1322" s="8"/>
      <c r="AT1322" s="8"/>
      <c r="AU1322" s="8"/>
      <c r="AV1322" s="8"/>
      <c r="AW1322" s="8"/>
      <c r="AX1322" s="8"/>
      <c r="AY1322" s="8"/>
      <c r="AZ1322" s="8"/>
    </row>
    <row r="1323" spans="21:52" ht="16.899999999999999">
      <c r="U1323" s="8"/>
      <c r="W1323" s="10"/>
      <c r="X1323" s="10"/>
      <c r="Z1323" s="13"/>
      <c r="AA1323" s="13"/>
      <c r="AB1323" s="13"/>
      <c r="AC1323" s="9"/>
      <c r="AD1323" s="9"/>
      <c r="AE1323" s="11"/>
      <c r="AF1323" s="10"/>
      <c r="AG1323" s="11"/>
      <c r="AH1323" s="10"/>
      <c r="AI1323" s="11"/>
      <c r="AJ1323" s="10"/>
      <c r="AK1323" s="10"/>
      <c r="AL1323" s="10"/>
      <c r="AM1323" s="8"/>
      <c r="AN1323" s="8"/>
      <c r="AO1323" s="9"/>
      <c r="AP1323" s="9"/>
      <c r="AQ1323" s="9"/>
      <c r="AR1323" s="8"/>
      <c r="AS1323" s="8"/>
      <c r="AT1323" s="8"/>
      <c r="AU1323" s="8"/>
      <c r="AV1323" s="8"/>
      <c r="AW1323" s="8"/>
      <c r="AX1323" s="8"/>
      <c r="AY1323" s="8"/>
      <c r="AZ1323" s="8"/>
    </row>
    <row r="1324" spans="21:52" ht="16.899999999999999">
      <c r="U1324" s="8"/>
      <c r="W1324" s="10"/>
      <c r="X1324" s="10"/>
      <c r="Z1324" s="13"/>
      <c r="AA1324" s="13"/>
      <c r="AB1324" s="13"/>
      <c r="AC1324" s="9"/>
      <c r="AD1324" s="9"/>
      <c r="AE1324" s="11"/>
      <c r="AF1324" s="10"/>
      <c r="AG1324" s="11"/>
      <c r="AH1324" s="10"/>
      <c r="AI1324" s="11"/>
      <c r="AJ1324" s="10"/>
      <c r="AK1324" s="10"/>
      <c r="AL1324" s="10"/>
      <c r="AM1324" s="8"/>
      <c r="AN1324" s="8"/>
      <c r="AO1324" s="9"/>
      <c r="AP1324" s="9"/>
      <c r="AQ1324" s="9"/>
      <c r="AR1324" s="8"/>
      <c r="AS1324" s="8"/>
      <c r="AT1324" s="8"/>
      <c r="AU1324" s="8"/>
      <c r="AV1324" s="8"/>
      <c r="AW1324" s="8"/>
      <c r="AX1324" s="8"/>
      <c r="AY1324" s="8"/>
      <c r="AZ1324" s="8"/>
    </row>
    <row r="1325" spans="21:52" ht="16.899999999999999">
      <c r="U1325" s="8"/>
      <c r="W1325" s="10"/>
      <c r="X1325" s="10"/>
      <c r="Z1325" s="13"/>
      <c r="AA1325" s="13"/>
      <c r="AB1325" s="13"/>
      <c r="AC1325" s="9"/>
      <c r="AD1325" s="9"/>
      <c r="AE1325" s="11"/>
      <c r="AF1325" s="10"/>
      <c r="AG1325" s="11"/>
      <c r="AH1325" s="10"/>
      <c r="AI1325" s="11"/>
      <c r="AJ1325" s="10"/>
      <c r="AK1325" s="10"/>
      <c r="AL1325" s="10"/>
      <c r="AM1325" s="8"/>
      <c r="AN1325" s="8"/>
      <c r="AO1325" s="9"/>
      <c r="AP1325" s="9"/>
      <c r="AQ1325" s="9"/>
      <c r="AR1325" s="8"/>
      <c r="AS1325" s="8"/>
      <c r="AT1325" s="8"/>
      <c r="AU1325" s="8"/>
      <c r="AV1325" s="8"/>
      <c r="AW1325" s="8"/>
      <c r="AX1325" s="8"/>
      <c r="AY1325" s="8"/>
      <c r="AZ1325" s="8"/>
    </row>
    <row r="1326" spans="21:52" ht="16.899999999999999">
      <c r="U1326" s="8"/>
      <c r="W1326" s="10"/>
      <c r="X1326" s="10"/>
      <c r="Z1326" s="13"/>
      <c r="AA1326" s="13"/>
      <c r="AB1326" s="13"/>
      <c r="AC1326" s="9"/>
      <c r="AD1326" s="9"/>
      <c r="AE1326" s="11"/>
      <c r="AF1326" s="10"/>
      <c r="AG1326" s="11"/>
      <c r="AH1326" s="10"/>
      <c r="AI1326" s="11"/>
      <c r="AJ1326" s="10"/>
      <c r="AK1326" s="10"/>
      <c r="AL1326" s="10"/>
      <c r="AM1326" s="8"/>
      <c r="AN1326" s="8"/>
      <c r="AO1326" s="9"/>
      <c r="AP1326" s="9"/>
      <c r="AQ1326" s="9"/>
      <c r="AR1326" s="8"/>
      <c r="AS1326" s="8"/>
      <c r="AT1326" s="8"/>
      <c r="AU1326" s="8"/>
      <c r="AV1326" s="8"/>
      <c r="AW1326" s="8"/>
      <c r="AX1326" s="8"/>
      <c r="AY1326" s="8"/>
      <c r="AZ1326" s="8"/>
    </row>
    <row r="1327" spans="21:52" ht="16.899999999999999">
      <c r="U1327" s="8"/>
      <c r="W1327" s="10"/>
      <c r="X1327" s="10"/>
      <c r="Z1327" s="13"/>
      <c r="AA1327" s="13"/>
      <c r="AB1327" s="13"/>
      <c r="AC1327" s="9"/>
      <c r="AD1327" s="9"/>
      <c r="AE1327" s="11"/>
      <c r="AF1327" s="10"/>
      <c r="AG1327" s="11"/>
      <c r="AH1327" s="10"/>
      <c r="AI1327" s="11"/>
      <c r="AJ1327" s="10"/>
      <c r="AK1327" s="10"/>
      <c r="AL1327" s="10"/>
      <c r="AM1327" s="8"/>
      <c r="AN1327" s="8"/>
      <c r="AO1327" s="9"/>
      <c r="AP1327" s="9"/>
      <c r="AQ1327" s="9"/>
      <c r="AR1327" s="8"/>
      <c r="AS1327" s="8"/>
      <c r="AT1327" s="8"/>
      <c r="AU1327" s="8"/>
      <c r="AV1327" s="8"/>
      <c r="AW1327" s="8"/>
      <c r="AX1327" s="8"/>
      <c r="AY1327" s="8"/>
      <c r="AZ1327" s="8"/>
    </row>
    <row r="1328" spans="21:52" ht="16.899999999999999">
      <c r="U1328" s="8"/>
      <c r="W1328" s="10"/>
      <c r="X1328" s="10"/>
      <c r="Z1328" s="13"/>
      <c r="AA1328" s="13"/>
      <c r="AB1328" s="13"/>
      <c r="AC1328" s="9"/>
      <c r="AD1328" s="9"/>
      <c r="AE1328" s="11"/>
      <c r="AF1328" s="10"/>
      <c r="AG1328" s="11"/>
      <c r="AH1328" s="10"/>
      <c r="AI1328" s="11"/>
      <c r="AJ1328" s="10"/>
      <c r="AK1328" s="10"/>
      <c r="AL1328" s="10"/>
      <c r="AM1328" s="8"/>
      <c r="AN1328" s="8"/>
      <c r="AO1328" s="9"/>
      <c r="AP1328" s="9"/>
      <c r="AQ1328" s="9"/>
      <c r="AR1328" s="8"/>
      <c r="AS1328" s="8"/>
      <c r="AT1328" s="8"/>
      <c r="AU1328" s="8"/>
      <c r="AV1328" s="8"/>
      <c r="AW1328" s="8"/>
      <c r="AX1328" s="8"/>
      <c r="AY1328" s="8"/>
      <c r="AZ1328" s="8"/>
    </row>
    <row r="1329" spans="21:52" ht="16.899999999999999">
      <c r="U1329" s="8"/>
      <c r="W1329" s="10"/>
      <c r="X1329" s="10"/>
      <c r="Z1329" s="13"/>
      <c r="AA1329" s="13"/>
      <c r="AB1329" s="13"/>
      <c r="AC1329" s="9"/>
      <c r="AD1329" s="9"/>
      <c r="AE1329" s="11"/>
      <c r="AF1329" s="10"/>
      <c r="AG1329" s="11"/>
      <c r="AH1329" s="10"/>
      <c r="AI1329" s="11"/>
      <c r="AJ1329" s="10"/>
      <c r="AK1329" s="10"/>
      <c r="AL1329" s="10"/>
      <c r="AM1329" s="8"/>
      <c r="AN1329" s="8"/>
      <c r="AO1329" s="9"/>
      <c r="AP1329" s="9"/>
      <c r="AQ1329" s="9"/>
      <c r="AR1329" s="8"/>
      <c r="AS1329" s="8"/>
      <c r="AT1329" s="8"/>
      <c r="AU1329" s="8"/>
      <c r="AV1329" s="8"/>
      <c r="AW1329" s="8"/>
      <c r="AX1329" s="8"/>
      <c r="AY1329" s="8"/>
      <c r="AZ1329" s="8"/>
    </row>
    <row r="1330" spans="21:52" ht="16.899999999999999">
      <c r="U1330" s="8"/>
      <c r="W1330" s="10"/>
      <c r="X1330" s="10"/>
      <c r="Z1330" s="13"/>
      <c r="AA1330" s="13"/>
      <c r="AB1330" s="13"/>
      <c r="AC1330" s="9"/>
      <c r="AD1330" s="9"/>
      <c r="AE1330" s="11"/>
      <c r="AF1330" s="10"/>
      <c r="AG1330" s="11"/>
      <c r="AH1330" s="10"/>
      <c r="AI1330" s="11"/>
      <c r="AJ1330" s="10"/>
      <c r="AK1330" s="10"/>
      <c r="AL1330" s="10"/>
      <c r="AM1330" s="8"/>
      <c r="AN1330" s="8"/>
      <c r="AO1330" s="9"/>
      <c r="AP1330" s="9"/>
      <c r="AQ1330" s="9"/>
      <c r="AR1330" s="8"/>
      <c r="AS1330" s="8"/>
      <c r="AT1330" s="8"/>
      <c r="AU1330" s="8"/>
      <c r="AV1330" s="8"/>
      <c r="AW1330" s="8"/>
      <c r="AX1330" s="8"/>
      <c r="AY1330" s="8"/>
      <c r="AZ1330" s="8"/>
    </row>
    <row r="1331" spans="21:52" ht="16.899999999999999">
      <c r="U1331" s="8"/>
      <c r="W1331" s="10"/>
      <c r="X1331" s="10"/>
      <c r="Z1331" s="13"/>
      <c r="AA1331" s="13"/>
      <c r="AB1331" s="13"/>
      <c r="AC1331" s="9"/>
      <c r="AD1331" s="9"/>
      <c r="AE1331" s="11"/>
      <c r="AF1331" s="10"/>
      <c r="AG1331" s="11"/>
      <c r="AH1331" s="10"/>
      <c r="AI1331" s="11"/>
      <c r="AJ1331" s="10"/>
      <c r="AK1331" s="10"/>
      <c r="AL1331" s="10"/>
      <c r="AM1331" s="8"/>
      <c r="AN1331" s="8"/>
      <c r="AO1331" s="9"/>
      <c r="AP1331" s="9"/>
      <c r="AQ1331" s="9"/>
      <c r="AR1331" s="8"/>
      <c r="AS1331" s="8"/>
      <c r="AT1331" s="8"/>
      <c r="AU1331" s="8"/>
      <c r="AV1331" s="8"/>
      <c r="AW1331" s="8"/>
      <c r="AX1331" s="8"/>
      <c r="AY1331" s="8"/>
      <c r="AZ1331" s="8"/>
    </row>
    <row r="1332" spans="21:52" ht="16.899999999999999">
      <c r="U1332" s="8"/>
      <c r="W1332" s="10"/>
      <c r="X1332" s="10"/>
      <c r="Z1332" s="13"/>
      <c r="AA1332" s="13"/>
      <c r="AB1332" s="13"/>
      <c r="AC1332" s="9"/>
      <c r="AD1332" s="9"/>
      <c r="AE1332" s="11"/>
      <c r="AF1332" s="10"/>
      <c r="AG1332" s="11"/>
      <c r="AH1332" s="10"/>
      <c r="AI1332" s="11"/>
      <c r="AJ1332" s="10"/>
      <c r="AK1332" s="10"/>
      <c r="AL1332" s="10"/>
      <c r="AM1332" s="8"/>
      <c r="AN1332" s="8"/>
      <c r="AO1332" s="9"/>
      <c r="AP1332" s="9"/>
      <c r="AQ1332" s="9"/>
      <c r="AR1332" s="8"/>
      <c r="AS1332" s="8"/>
      <c r="AT1332" s="8"/>
      <c r="AU1332" s="8"/>
      <c r="AV1332" s="8"/>
      <c r="AW1332" s="8"/>
      <c r="AX1332" s="8"/>
      <c r="AY1332" s="8"/>
      <c r="AZ1332" s="8"/>
    </row>
    <row r="1333" spans="21:52" ht="16.899999999999999">
      <c r="U1333" s="8"/>
      <c r="W1333" s="10"/>
      <c r="X1333" s="10"/>
      <c r="Z1333" s="13"/>
      <c r="AA1333" s="13"/>
      <c r="AB1333" s="13"/>
      <c r="AC1333" s="9"/>
      <c r="AD1333" s="9"/>
      <c r="AE1333" s="11"/>
      <c r="AF1333" s="10"/>
      <c r="AG1333" s="11"/>
      <c r="AH1333" s="10"/>
      <c r="AI1333" s="11"/>
      <c r="AJ1333" s="10"/>
      <c r="AK1333" s="10"/>
      <c r="AL1333" s="10"/>
      <c r="AM1333" s="8"/>
      <c r="AN1333" s="8"/>
      <c r="AO1333" s="9"/>
      <c r="AP1333" s="9"/>
      <c r="AQ1333" s="9"/>
      <c r="AR1333" s="8"/>
      <c r="AS1333" s="8"/>
      <c r="AT1333" s="8"/>
      <c r="AU1333" s="8"/>
      <c r="AV1333" s="8"/>
      <c r="AW1333" s="8"/>
      <c r="AX1333" s="8"/>
      <c r="AY1333" s="8"/>
      <c r="AZ1333" s="8"/>
    </row>
    <row r="1334" spans="21:52" ht="16.899999999999999">
      <c r="U1334" s="8"/>
      <c r="W1334" s="10"/>
      <c r="X1334" s="10"/>
      <c r="Z1334" s="13"/>
      <c r="AA1334" s="13"/>
      <c r="AB1334" s="13"/>
      <c r="AC1334" s="9"/>
      <c r="AD1334" s="9"/>
      <c r="AE1334" s="11"/>
      <c r="AF1334" s="10"/>
      <c r="AG1334" s="11"/>
      <c r="AH1334" s="10"/>
      <c r="AI1334" s="11"/>
      <c r="AJ1334" s="10"/>
      <c r="AK1334" s="10"/>
      <c r="AL1334" s="10"/>
      <c r="AM1334" s="8"/>
      <c r="AN1334" s="8"/>
      <c r="AO1334" s="9"/>
      <c r="AP1334" s="9"/>
      <c r="AQ1334" s="9"/>
      <c r="AR1334" s="8"/>
      <c r="AS1334" s="8"/>
      <c r="AT1334" s="8"/>
      <c r="AU1334" s="8"/>
      <c r="AV1334" s="8"/>
      <c r="AW1334" s="8"/>
      <c r="AX1334" s="8"/>
      <c r="AY1334" s="8"/>
      <c r="AZ1334" s="8"/>
    </row>
    <row r="1335" spans="21:52" ht="16.899999999999999">
      <c r="U1335" s="8"/>
      <c r="W1335" s="10"/>
      <c r="X1335" s="10"/>
      <c r="Z1335" s="13"/>
      <c r="AA1335" s="13"/>
      <c r="AB1335" s="13"/>
      <c r="AC1335" s="9"/>
      <c r="AD1335" s="9"/>
      <c r="AE1335" s="11"/>
      <c r="AF1335" s="10"/>
      <c r="AG1335" s="11"/>
      <c r="AH1335" s="10"/>
      <c r="AI1335" s="11"/>
      <c r="AJ1335" s="10"/>
      <c r="AK1335" s="10"/>
      <c r="AL1335" s="10"/>
      <c r="AM1335" s="8"/>
      <c r="AN1335" s="8"/>
      <c r="AO1335" s="9"/>
      <c r="AP1335" s="9"/>
      <c r="AQ1335" s="9"/>
      <c r="AR1335" s="8"/>
      <c r="AS1335" s="8"/>
      <c r="AT1335" s="8"/>
      <c r="AU1335" s="8"/>
      <c r="AV1335" s="8"/>
      <c r="AW1335" s="8"/>
      <c r="AX1335" s="8"/>
      <c r="AY1335" s="8"/>
      <c r="AZ1335" s="8"/>
    </row>
    <row r="1336" spans="21:52" ht="16.899999999999999">
      <c r="U1336" s="8"/>
      <c r="W1336" s="10"/>
      <c r="X1336" s="10"/>
      <c r="Z1336" s="13"/>
      <c r="AA1336" s="13"/>
      <c r="AB1336" s="13"/>
      <c r="AC1336" s="9"/>
      <c r="AD1336" s="9"/>
      <c r="AE1336" s="11"/>
      <c r="AF1336" s="10"/>
      <c r="AG1336" s="11"/>
      <c r="AH1336" s="10"/>
      <c r="AI1336" s="11"/>
      <c r="AJ1336" s="10"/>
      <c r="AK1336" s="10"/>
      <c r="AL1336" s="10"/>
      <c r="AM1336" s="8"/>
      <c r="AN1336" s="8"/>
      <c r="AO1336" s="9"/>
      <c r="AP1336" s="9"/>
      <c r="AQ1336" s="9"/>
      <c r="AR1336" s="8"/>
      <c r="AS1336" s="8"/>
      <c r="AT1336" s="8"/>
      <c r="AU1336" s="8"/>
      <c r="AV1336" s="8"/>
      <c r="AW1336" s="8"/>
      <c r="AX1336" s="8"/>
      <c r="AY1336" s="8"/>
      <c r="AZ1336" s="8"/>
    </row>
    <row r="1337" spans="21:52" ht="16.899999999999999">
      <c r="U1337" s="8"/>
      <c r="W1337" s="10"/>
      <c r="X1337" s="10"/>
      <c r="Z1337" s="13"/>
      <c r="AA1337" s="13"/>
      <c r="AB1337" s="13"/>
      <c r="AC1337" s="9"/>
      <c r="AD1337" s="9"/>
      <c r="AE1337" s="11"/>
      <c r="AF1337" s="10"/>
      <c r="AG1337" s="11"/>
      <c r="AH1337" s="10"/>
      <c r="AI1337" s="11"/>
      <c r="AJ1337" s="10"/>
      <c r="AK1337" s="10"/>
      <c r="AL1337" s="10"/>
      <c r="AM1337" s="8"/>
      <c r="AN1337" s="8"/>
      <c r="AO1337" s="9"/>
      <c r="AP1337" s="9"/>
      <c r="AQ1337" s="9"/>
      <c r="AR1337" s="8"/>
      <c r="AS1337" s="8"/>
      <c r="AT1337" s="8"/>
      <c r="AU1337" s="8"/>
      <c r="AV1337" s="8"/>
      <c r="AW1337" s="8"/>
      <c r="AX1337" s="8"/>
      <c r="AY1337" s="8"/>
      <c r="AZ1337" s="8"/>
    </row>
    <row r="1338" spans="21:52" ht="16.899999999999999">
      <c r="U1338" s="8"/>
      <c r="W1338" s="10"/>
      <c r="X1338" s="10"/>
      <c r="Z1338" s="13"/>
      <c r="AA1338" s="13"/>
      <c r="AB1338" s="13"/>
      <c r="AC1338" s="9"/>
      <c r="AD1338" s="9"/>
      <c r="AE1338" s="11"/>
      <c r="AF1338" s="10"/>
      <c r="AG1338" s="11"/>
      <c r="AH1338" s="10"/>
      <c r="AI1338" s="11"/>
      <c r="AJ1338" s="10"/>
      <c r="AK1338" s="10"/>
      <c r="AL1338" s="10"/>
      <c r="AM1338" s="8"/>
      <c r="AN1338" s="8"/>
      <c r="AO1338" s="9"/>
      <c r="AP1338" s="9"/>
      <c r="AQ1338" s="9"/>
      <c r="AR1338" s="8"/>
      <c r="AS1338" s="8"/>
      <c r="AT1338" s="8"/>
      <c r="AU1338" s="8"/>
      <c r="AV1338" s="8"/>
      <c r="AW1338" s="8"/>
      <c r="AX1338" s="8"/>
      <c r="AY1338" s="8"/>
      <c r="AZ1338" s="8"/>
    </row>
    <row r="1339" spans="21:52" ht="16.899999999999999">
      <c r="U1339" s="8"/>
      <c r="W1339" s="10"/>
      <c r="X1339" s="10"/>
      <c r="Z1339" s="13"/>
      <c r="AA1339" s="13"/>
      <c r="AB1339" s="13"/>
      <c r="AC1339" s="9"/>
      <c r="AD1339" s="9"/>
      <c r="AE1339" s="11"/>
      <c r="AF1339" s="10"/>
      <c r="AG1339" s="11"/>
      <c r="AH1339" s="10"/>
      <c r="AI1339" s="11"/>
      <c r="AJ1339" s="10"/>
      <c r="AK1339" s="10"/>
      <c r="AL1339" s="10"/>
      <c r="AM1339" s="8"/>
      <c r="AN1339" s="8"/>
      <c r="AO1339" s="9"/>
      <c r="AP1339" s="9"/>
      <c r="AQ1339" s="9"/>
      <c r="AR1339" s="8"/>
      <c r="AS1339" s="8"/>
      <c r="AT1339" s="8"/>
      <c r="AU1339" s="8"/>
      <c r="AV1339" s="8"/>
      <c r="AW1339" s="8"/>
      <c r="AX1339" s="8"/>
      <c r="AY1339" s="8"/>
      <c r="AZ1339" s="8"/>
    </row>
    <row r="1340" spans="21:52" ht="16.899999999999999">
      <c r="U1340" s="8"/>
      <c r="W1340" s="10"/>
      <c r="X1340" s="10"/>
      <c r="Z1340" s="13"/>
      <c r="AA1340" s="13"/>
      <c r="AB1340" s="13"/>
      <c r="AC1340" s="9"/>
      <c r="AD1340" s="9"/>
      <c r="AE1340" s="11"/>
      <c r="AF1340" s="10"/>
      <c r="AG1340" s="11"/>
      <c r="AH1340" s="10"/>
      <c r="AI1340" s="11"/>
      <c r="AJ1340" s="10"/>
      <c r="AK1340" s="10"/>
      <c r="AL1340" s="10"/>
      <c r="AM1340" s="8"/>
      <c r="AN1340" s="8"/>
      <c r="AO1340" s="9"/>
      <c r="AP1340" s="9"/>
      <c r="AQ1340" s="9"/>
      <c r="AR1340" s="8"/>
      <c r="AS1340" s="8"/>
      <c r="AT1340" s="8"/>
      <c r="AU1340" s="8"/>
      <c r="AV1340" s="8"/>
      <c r="AW1340" s="8"/>
      <c r="AX1340" s="8"/>
      <c r="AY1340" s="8"/>
      <c r="AZ1340" s="8"/>
    </row>
    <row r="1341" spans="21:52" ht="16.899999999999999">
      <c r="U1341" s="8"/>
      <c r="W1341" s="10"/>
      <c r="X1341" s="10"/>
      <c r="Z1341" s="13"/>
      <c r="AA1341" s="13"/>
      <c r="AB1341" s="13"/>
      <c r="AC1341" s="9"/>
      <c r="AD1341" s="9"/>
      <c r="AE1341" s="11"/>
      <c r="AF1341" s="10"/>
      <c r="AG1341" s="11"/>
      <c r="AH1341" s="10"/>
      <c r="AI1341" s="11"/>
      <c r="AJ1341" s="10"/>
      <c r="AK1341" s="10"/>
      <c r="AL1341" s="10"/>
      <c r="AM1341" s="8"/>
      <c r="AN1341" s="8"/>
      <c r="AO1341" s="9"/>
      <c r="AP1341" s="9"/>
      <c r="AQ1341" s="9"/>
      <c r="AR1341" s="8"/>
      <c r="AS1341" s="8"/>
      <c r="AT1341" s="8"/>
      <c r="AU1341" s="8"/>
      <c r="AV1341" s="8"/>
      <c r="AW1341" s="8"/>
      <c r="AX1341" s="8"/>
      <c r="AY1341" s="8"/>
      <c r="AZ1341" s="8"/>
    </row>
    <row r="1342" spans="21:52" ht="16.899999999999999">
      <c r="U1342" s="8"/>
      <c r="W1342" s="10"/>
      <c r="X1342" s="10"/>
      <c r="Z1342" s="13"/>
      <c r="AA1342" s="13"/>
      <c r="AB1342" s="13"/>
      <c r="AC1342" s="9"/>
      <c r="AD1342" s="9"/>
      <c r="AE1342" s="11"/>
      <c r="AF1342" s="10"/>
      <c r="AG1342" s="11"/>
      <c r="AH1342" s="10"/>
      <c r="AI1342" s="11"/>
      <c r="AJ1342" s="10"/>
      <c r="AK1342" s="10"/>
      <c r="AL1342" s="10"/>
      <c r="AM1342" s="8"/>
      <c r="AN1342" s="8"/>
      <c r="AO1342" s="9"/>
      <c r="AP1342" s="9"/>
      <c r="AQ1342" s="9"/>
      <c r="AR1342" s="8"/>
      <c r="AS1342" s="8"/>
      <c r="AT1342" s="8"/>
      <c r="AU1342" s="8"/>
      <c r="AV1342" s="8"/>
      <c r="AW1342" s="8"/>
      <c r="AX1342" s="8"/>
      <c r="AY1342" s="8"/>
      <c r="AZ1342" s="8"/>
    </row>
    <row r="1343" spans="21:52" ht="16.899999999999999">
      <c r="U1343" s="8"/>
      <c r="W1343" s="10"/>
      <c r="X1343" s="10"/>
      <c r="Z1343" s="13"/>
      <c r="AA1343" s="13"/>
      <c r="AB1343" s="13"/>
      <c r="AC1343" s="9"/>
      <c r="AD1343" s="9"/>
      <c r="AE1343" s="11"/>
      <c r="AF1343" s="10"/>
      <c r="AG1343" s="11"/>
      <c r="AH1343" s="10"/>
      <c r="AI1343" s="11"/>
      <c r="AJ1343" s="10"/>
      <c r="AK1343" s="10"/>
      <c r="AL1343" s="10"/>
      <c r="AM1343" s="8"/>
      <c r="AN1343" s="8"/>
      <c r="AO1343" s="9"/>
      <c r="AP1343" s="9"/>
      <c r="AQ1343" s="9"/>
      <c r="AR1343" s="8"/>
      <c r="AS1343" s="8"/>
      <c r="AT1343" s="8"/>
      <c r="AU1343" s="8"/>
      <c r="AV1343" s="8"/>
      <c r="AW1343" s="8"/>
      <c r="AX1343" s="8"/>
      <c r="AY1343" s="8"/>
      <c r="AZ1343" s="8"/>
    </row>
    <row r="1344" spans="21:52" ht="16.899999999999999">
      <c r="U1344" s="8"/>
      <c r="W1344" s="10"/>
      <c r="X1344" s="10"/>
      <c r="Z1344" s="13"/>
      <c r="AA1344" s="13"/>
      <c r="AB1344" s="13"/>
      <c r="AC1344" s="9"/>
      <c r="AD1344" s="9"/>
      <c r="AE1344" s="11"/>
      <c r="AF1344" s="10"/>
      <c r="AG1344" s="11"/>
      <c r="AH1344" s="10"/>
      <c r="AI1344" s="11"/>
      <c r="AJ1344" s="10"/>
      <c r="AK1344" s="10"/>
      <c r="AL1344" s="10"/>
      <c r="AM1344" s="8"/>
      <c r="AN1344" s="8"/>
      <c r="AO1344" s="9"/>
      <c r="AP1344" s="9"/>
      <c r="AQ1344" s="9"/>
      <c r="AR1344" s="8"/>
      <c r="AS1344" s="8"/>
      <c r="AT1344" s="8"/>
      <c r="AU1344" s="8"/>
      <c r="AV1344" s="8"/>
      <c r="AW1344" s="8"/>
      <c r="AX1344" s="8"/>
      <c r="AY1344" s="8"/>
      <c r="AZ1344" s="8"/>
    </row>
    <row r="1345" spans="21:52" ht="16.899999999999999">
      <c r="U1345" s="8"/>
      <c r="W1345" s="10"/>
      <c r="X1345" s="10"/>
      <c r="Z1345" s="13"/>
      <c r="AA1345" s="13"/>
      <c r="AB1345" s="13"/>
      <c r="AC1345" s="9"/>
      <c r="AD1345" s="9"/>
      <c r="AE1345" s="11"/>
      <c r="AF1345" s="10"/>
      <c r="AG1345" s="11"/>
      <c r="AH1345" s="10"/>
      <c r="AI1345" s="11"/>
      <c r="AJ1345" s="10"/>
      <c r="AK1345" s="10"/>
      <c r="AL1345" s="10"/>
      <c r="AM1345" s="8"/>
      <c r="AN1345" s="8"/>
      <c r="AO1345" s="9"/>
      <c r="AP1345" s="9"/>
      <c r="AQ1345" s="9"/>
      <c r="AR1345" s="8"/>
      <c r="AS1345" s="8"/>
      <c r="AT1345" s="8"/>
      <c r="AU1345" s="8"/>
      <c r="AV1345" s="8"/>
      <c r="AW1345" s="8"/>
      <c r="AX1345" s="8"/>
      <c r="AY1345" s="8"/>
      <c r="AZ1345" s="8"/>
    </row>
    <row r="1346" spans="21:52" ht="16.899999999999999">
      <c r="U1346" s="8"/>
      <c r="W1346" s="10"/>
      <c r="X1346" s="10"/>
      <c r="Z1346" s="13"/>
      <c r="AA1346" s="13"/>
      <c r="AB1346" s="13"/>
      <c r="AC1346" s="9"/>
      <c r="AD1346" s="9"/>
      <c r="AE1346" s="11"/>
      <c r="AF1346" s="10"/>
      <c r="AG1346" s="11"/>
      <c r="AH1346" s="10"/>
      <c r="AI1346" s="11"/>
      <c r="AJ1346" s="10"/>
      <c r="AK1346" s="10"/>
      <c r="AL1346" s="10"/>
      <c r="AM1346" s="8"/>
      <c r="AN1346" s="8"/>
      <c r="AO1346" s="9"/>
      <c r="AP1346" s="9"/>
      <c r="AQ1346" s="9"/>
      <c r="AR1346" s="8"/>
      <c r="AS1346" s="8"/>
      <c r="AT1346" s="8"/>
      <c r="AU1346" s="8"/>
      <c r="AV1346" s="8"/>
      <c r="AW1346" s="8"/>
      <c r="AX1346" s="8"/>
      <c r="AY1346" s="8"/>
      <c r="AZ1346" s="8"/>
    </row>
    <row r="1347" spans="21:52" ht="16.899999999999999">
      <c r="U1347" s="8"/>
      <c r="W1347" s="10"/>
      <c r="X1347" s="10"/>
      <c r="Z1347" s="13"/>
      <c r="AA1347" s="13"/>
      <c r="AB1347" s="13"/>
      <c r="AC1347" s="9"/>
      <c r="AD1347" s="9"/>
      <c r="AE1347" s="11"/>
      <c r="AF1347" s="10"/>
      <c r="AG1347" s="11"/>
      <c r="AH1347" s="10"/>
      <c r="AI1347" s="11"/>
      <c r="AJ1347" s="10"/>
      <c r="AK1347" s="10"/>
      <c r="AL1347" s="10"/>
      <c r="AM1347" s="8"/>
      <c r="AN1347" s="8"/>
      <c r="AO1347" s="9"/>
      <c r="AP1347" s="9"/>
      <c r="AQ1347" s="9"/>
      <c r="AR1347" s="8"/>
      <c r="AS1347" s="8"/>
      <c r="AT1347" s="8"/>
      <c r="AU1347" s="8"/>
      <c r="AV1347" s="8"/>
      <c r="AW1347" s="8"/>
      <c r="AX1347" s="8"/>
      <c r="AY1347" s="8"/>
      <c r="AZ1347" s="8"/>
    </row>
    <row r="1348" spans="21:52" ht="16.899999999999999">
      <c r="U1348" s="8"/>
      <c r="W1348" s="10"/>
      <c r="X1348" s="10"/>
      <c r="Z1348" s="13"/>
      <c r="AA1348" s="13"/>
      <c r="AB1348" s="13"/>
      <c r="AC1348" s="9"/>
      <c r="AD1348" s="9"/>
      <c r="AE1348" s="11"/>
      <c r="AF1348" s="10"/>
      <c r="AG1348" s="11"/>
      <c r="AH1348" s="10"/>
      <c r="AI1348" s="11"/>
      <c r="AJ1348" s="10"/>
      <c r="AK1348" s="10"/>
      <c r="AL1348" s="10"/>
      <c r="AM1348" s="8"/>
      <c r="AN1348" s="8"/>
      <c r="AO1348" s="9"/>
      <c r="AP1348" s="9"/>
      <c r="AQ1348" s="9"/>
      <c r="AR1348" s="8"/>
      <c r="AS1348" s="8"/>
      <c r="AT1348" s="8"/>
      <c r="AU1348" s="8"/>
      <c r="AV1348" s="8"/>
      <c r="AW1348" s="8"/>
      <c r="AX1348" s="8"/>
      <c r="AY1348" s="8"/>
      <c r="AZ1348" s="8"/>
    </row>
    <row r="1349" spans="21:52" ht="16.899999999999999">
      <c r="U1349" s="8"/>
      <c r="W1349" s="10"/>
      <c r="X1349" s="10"/>
      <c r="Z1349" s="13"/>
      <c r="AA1349" s="13"/>
      <c r="AB1349" s="13"/>
      <c r="AC1349" s="9"/>
      <c r="AD1349" s="9"/>
      <c r="AE1349" s="11"/>
      <c r="AF1349" s="10"/>
      <c r="AG1349" s="11"/>
      <c r="AH1349" s="10"/>
      <c r="AI1349" s="11"/>
      <c r="AJ1349" s="10"/>
      <c r="AK1349" s="10"/>
      <c r="AL1349" s="10"/>
      <c r="AM1349" s="8"/>
      <c r="AN1349" s="8"/>
      <c r="AO1349" s="9"/>
      <c r="AP1349" s="9"/>
      <c r="AQ1349" s="9"/>
      <c r="AR1349" s="8"/>
      <c r="AS1349" s="8"/>
      <c r="AT1349" s="8"/>
      <c r="AU1349" s="8"/>
      <c r="AV1349" s="8"/>
      <c r="AW1349" s="8"/>
      <c r="AX1349" s="8"/>
      <c r="AY1349" s="8"/>
      <c r="AZ1349" s="8"/>
    </row>
    <row r="1350" spans="21:52" ht="16.899999999999999">
      <c r="U1350" s="8"/>
      <c r="W1350" s="10"/>
      <c r="X1350" s="10"/>
      <c r="Z1350" s="13"/>
      <c r="AA1350" s="13"/>
      <c r="AB1350" s="13"/>
      <c r="AC1350" s="9"/>
      <c r="AD1350" s="9"/>
      <c r="AE1350" s="11"/>
      <c r="AF1350" s="10"/>
      <c r="AG1350" s="11"/>
      <c r="AH1350" s="10"/>
      <c r="AI1350" s="11"/>
      <c r="AJ1350" s="10"/>
      <c r="AK1350" s="10"/>
      <c r="AL1350" s="10"/>
      <c r="AM1350" s="8"/>
      <c r="AN1350" s="8"/>
      <c r="AO1350" s="9"/>
      <c r="AP1350" s="9"/>
      <c r="AQ1350" s="9"/>
      <c r="AR1350" s="8"/>
      <c r="AS1350" s="8"/>
      <c r="AT1350" s="8"/>
      <c r="AU1350" s="8"/>
      <c r="AV1350" s="8"/>
      <c r="AW1350" s="8"/>
      <c r="AX1350" s="8"/>
      <c r="AY1350" s="8"/>
      <c r="AZ1350" s="8"/>
    </row>
    <row r="1351" spans="21:52" ht="16.899999999999999">
      <c r="U1351" s="8"/>
      <c r="W1351" s="10"/>
      <c r="X1351" s="10"/>
      <c r="Z1351" s="13"/>
      <c r="AA1351" s="13"/>
      <c r="AB1351" s="13"/>
      <c r="AC1351" s="9"/>
      <c r="AD1351" s="9"/>
      <c r="AE1351" s="11"/>
      <c r="AF1351" s="10"/>
      <c r="AG1351" s="11"/>
      <c r="AH1351" s="10"/>
      <c r="AI1351" s="11"/>
      <c r="AJ1351" s="10"/>
      <c r="AK1351" s="10"/>
      <c r="AL1351" s="10"/>
      <c r="AM1351" s="8"/>
      <c r="AN1351" s="8"/>
      <c r="AO1351" s="9"/>
      <c r="AP1351" s="9"/>
      <c r="AQ1351" s="9"/>
      <c r="AR1351" s="8"/>
      <c r="AS1351" s="8"/>
      <c r="AT1351" s="8"/>
      <c r="AU1351" s="8"/>
      <c r="AV1351" s="8"/>
      <c r="AW1351" s="8"/>
      <c r="AX1351" s="8"/>
      <c r="AY1351" s="8"/>
      <c r="AZ1351" s="8"/>
    </row>
    <row r="1352" spans="21:52" ht="16.899999999999999">
      <c r="U1352" s="8"/>
      <c r="W1352" s="10"/>
      <c r="X1352" s="10"/>
      <c r="Z1352" s="13"/>
      <c r="AA1352" s="13"/>
      <c r="AB1352" s="13"/>
      <c r="AC1352" s="9"/>
      <c r="AD1352" s="9"/>
      <c r="AE1352" s="11"/>
      <c r="AF1352" s="10"/>
      <c r="AG1352" s="11"/>
      <c r="AH1352" s="10"/>
      <c r="AI1352" s="11"/>
      <c r="AJ1352" s="10"/>
      <c r="AK1352" s="10"/>
      <c r="AL1352" s="10"/>
      <c r="AM1352" s="8"/>
      <c r="AN1352" s="8"/>
      <c r="AO1352" s="9"/>
      <c r="AP1352" s="9"/>
      <c r="AQ1352" s="9"/>
      <c r="AR1352" s="8"/>
      <c r="AS1352" s="8"/>
      <c r="AT1352" s="8"/>
      <c r="AU1352" s="8"/>
      <c r="AV1352" s="8"/>
      <c r="AW1352" s="8"/>
      <c r="AX1352" s="8"/>
      <c r="AY1352" s="8"/>
      <c r="AZ1352" s="8"/>
    </row>
    <row r="1353" spans="21:52" ht="16.899999999999999">
      <c r="U1353" s="8"/>
      <c r="W1353" s="10"/>
      <c r="X1353" s="10"/>
      <c r="Z1353" s="13"/>
      <c r="AA1353" s="13"/>
      <c r="AB1353" s="13"/>
      <c r="AC1353" s="9"/>
      <c r="AD1353" s="9"/>
      <c r="AE1353" s="11"/>
      <c r="AF1353" s="10"/>
      <c r="AG1353" s="11"/>
      <c r="AH1353" s="10"/>
      <c r="AI1353" s="11"/>
      <c r="AJ1353" s="10"/>
      <c r="AK1353" s="10"/>
      <c r="AL1353" s="10"/>
      <c r="AM1353" s="8"/>
      <c r="AN1353" s="8"/>
      <c r="AO1353" s="9"/>
      <c r="AP1353" s="9"/>
      <c r="AQ1353" s="9"/>
      <c r="AR1353" s="8"/>
      <c r="AS1353" s="8"/>
      <c r="AT1353" s="8"/>
      <c r="AU1353" s="8"/>
      <c r="AV1353" s="8"/>
      <c r="AW1353" s="8"/>
      <c r="AX1353" s="8"/>
      <c r="AY1353" s="8"/>
      <c r="AZ1353" s="8"/>
    </row>
    <row r="1354" spans="21:52" ht="16.899999999999999">
      <c r="U1354" s="8"/>
      <c r="W1354" s="10"/>
      <c r="X1354" s="10"/>
      <c r="Z1354" s="13"/>
      <c r="AA1354" s="13"/>
      <c r="AB1354" s="13"/>
      <c r="AC1354" s="9"/>
      <c r="AD1354" s="9"/>
      <c r="AE1354" s="11"/>
      <c r="AF1354" s="10"/>
      <c r="AG1354" s="11"/>
      <c r="AH1354" s="10"/>
      <c r="AI1354" s="11"/>
      <c r="AJ1354" s="10"/>
      <c r="AK1354" s="10"/>
      <c r="AL1354" s="10"/>
      <c r="AM1354" s="8"/>
      <c r="AN1354" s="8"/>
      <c r="AO1354" s="9"/>
      <c r="AP1354" s="9"/>
      <c r="AQ1354" s="9"/>
      <c r="AR1354" s="8"/>
      <c r="AS1354" s="8"/>
      <c r="AT1354" s="8"/>
      <c r="AU1354" s="8"/>
      <c r="AV1354" s="8"/>
      <c r="AW1354" s="8"/>
      <c r="AX1354" s="8"/>
      <c r="AY1354" s="8"/>
      <c r="AZ1354" s="8"/>
    </row>
    <row r="1355" spans="21:52" ht="16.899999999999999">
      <c r="U1355" s="8"/>
      <c r="W1355" s="10"/>
      <c r="X1355" s="10"/>
      <c r="Z1355" s="13"/>
      <c r="AA1355" s="13"/>
      <c r="AB1355" s="13"/>
      <c r="AC1355" s="9"/>
      <c r="AD1355" s="9"/>
      <c r="AE1355" s="11"/>
      <c r="AF1355" s="10"/>
      <c r="AG1355" s="11"/>
      <c r="AH1355" s="10"/>
      <c r="AI1355" s="11"/>
      <c r="AJ1355" s="10"/>
      <c r="AK1355" s="10"/>
      <c r="AL1355" s="10"/>
      <c r="AM1355" s="8"/>
      <c r="AN1355" s="8"/>
      <c r="AO1355" s="9"/>
      <c r="AP1355" s="9"/>
      <c r="AQ1355" s="9"/>
      <c r="AR1355" s="8"/>
      <c r="AS1355" s="8"/>
      <c r="AT1355" s="8"/>
      <c r="AU1355" s="8"/>
      <c r="AV1355" s="8"/>
      <c r="AW1355" s="8"/>
      <c r="AX1355" s="8"/>
      <c r="AY1355" s="8"/>
      <c r="AZ1355" s="8"/>
    </row>
    <row r="1356" spans="21:52" ht="16.899999999999999">
      <c r="U1356" s="8"/>
      <c r="W1356" s="10"/>
      <c r="X1356" s="10"/>
      <c r="Z1356" s="13"/>
      <c r="AA1356" s="13"/>
      <c r="AB1356" s="13"/>
      <c r="AC1356" s="9"/>
      <c r="AD1356" s="9"/>
      <c r="AE1356" s="11"/>
      <c r="AF1356" s="10"/>
      <c r="AG1356" s="11"/>
      <c r="AH1356" s="10"/>
      <c r="AI1356" s="11"/>
      <c r="AJ1356" s="10"/>
      <c r="AK1356" s="10"/>
      <c r="AL1356" s="10"/>
      <c r="AM1356" s="8"/>
      <c r="AN1356" s="8"/>
      <c r="AO1356" s="9"/>
      <c r="AP1356" s="9"/>
      <c r="AQ1356" s="9"/>
      <c r="AR1356" s="8"/>
      <c r="AS1356" s="8"/>
      <c r="AT1356" s="8"/>
      <c r="AU1356" s="8"/>
      <c r="AV1356" s="8"/>
      <c r="AW1356" s="8"/>
      <c r="AX1356" s="8"/>
      <c r="AY1356" s="8"/>
      <c r="AZ1356" s="8"/>
    </row>
    <row r="1357" spans="21:52" ht="16.899999999999999">
      <c r="U1357" s="8"/>
      <c r="W1357" s="10"/>
      <c r="X1357" s="10"/>
      <c r="Z1357" s="13"/>
      <c r="AA1357" s="13"/>
      <c r="AB1357" s="13"/>
      <c r="AC1357" s="9"/>
      <c r="AD1357" s="9"/>
      <c r="AE1357" s="11"/>
      <c r="AF1357" s="10"/>
      <c r="AG1357" s="11"/>
      <c r="AH1357" s="10"/>
      <c r="AI1357" s="11"/>
      <c r="AJ1357" s="10"/>
      <c r="AK1357" s="10"/>
      <c r="AL1357" s="10"/>
      <c r="AM1357" s="8"/>
      <c r="AN1357" s="8"/>
      <c r="AO1357" s="9"/>
      <c r="AP1357" s="9"/>
      <c r="AQ1357" s="9"/>
      <c r="AR1357" s="8"/>
      <c r="AS1357" s="8"/>
      <c r="AT1357" s="8"/>
      <c r="AU1357" s="8"/>
      <c r="AV1357" s="8"/>
      <c r="AW1357" s="8"/>
      <c r="AX1357" s="8"/>
      <c r="AY1357" s="8"/>
      <c r="AZ1357" s="8"/>
    </row>
    <row r="1358" spans="21:52" ht="16.899999999999999">
      <c r="U1358" s="8"/>
      <c r="W1358" s="10"/>
      <c r="X1358" s="10"/>
      <c r="Z1358" s="13"/>
      <c r="AA1358" s="13"/>
      <c r="AB1358" s="13"/>
      <c r="AC1358" s="9"/>
      <c r="AD1358" s="9"/>
      <c r="AE1358" s="11"/>
      <c r="AF1358" s="10"/>
      <c r="AG1358" s="11"/>
      <c r="AH1358" s="10"/>
      <c r="AI1358" s="11"/>
      <c r="AJ1358" s="10"/>
      <c r="AK1358" s="10"/>
      <c r="AL1358" s="10"/>
      <c r="AM1358" s="8"/>
      <c r="AN1358" s="8"/>
      <c r="AO1358" s="9"/>
      <c r="AP1358" s="9"/>
      <c r="AQ1358" s="9"/>
      <c r="AR1358" s="8"/>
      <c r="AS1358" s="8"/>
      <c r="AT1358" s="8"/>
      <c r="AU1358" s="8"/>
      <c r="AV1358" s="8"/>
      <c r="AW1358" s="8"/>
      <c r="AX1358" s="8"/>
      <c r="AY1358" s="8"/>
      <c r="AZ1358" s="8"/>
    </row>
    <row r="1359" spans="21:52" ht="16.899999999999999">
      <c r="U1359" s="8"/>
      <c r="W1359" s="10"/>
      <c r="X1359" s="10"/>
      <c r="Z1359" s="13"/>
      <c r="AA1359" s="13"/>
      <c r="AB1359" s="13"/>
      <c r="AC1359" s="9"/>
      <c r="AD1359" s="9"/>
      <c r="AE1359" s="11"/>
      <c r="AF1359" s="10"/>
      <c r="AG1359" s="11"/>
      <c r="AH1359" s="10"/>
      <c r="AI1359" s="11"/>
      <c r="AJ1359" s="10"/>
      <c r="AK1359" s="10"/>
      <c r="AL1359" s="10"/>
      <c r="AM1359" s="8"/>
      <c r="AN1359" s="8"/>
      <c r="AO1359" s="9"/>
      <c r="AP1359" s="9"/>
      <c r="AQ1359" s="9"/>
      <c r="AR1359" s="8"/>
      <c r="AS1359" s="8"/>
      <c r="AT1359" s="8"/>
      <c r="AU1359" s="8"/>
      <c r="AV1359" s="8"/>
      <c r="AW1359" s="8"/>
      <c r="AX1359" s="8"/>
      <c r="AY1359" s="8"/>
      <c r="AZ1359" s="8"/>
    </row>
    <row r="1360" spans="21:52" ht="16.899999999999999">
      <c r="U1360" s="8"/>
      <c r="W1360" s="10"/>
      <c r="X1360" s="10"/>
      <c r="Z1360" s="13"/>
      <c r="AA1360" s="13"/>
      <c r="AB1360" s="13"/>
      <c r="AC1360" s="9"/>
      <c r="AD1360" s="9"/>
      <c r="AE1360" s="11"/>
      <c r="AF1360" s="10"/>
      <c r="AG1360" s="11"/>
      <c r="AH1360" s="10"/>
      <c r="AI1360" s="11"/>
      <c r="AJ1360" s="10"/>
      <c r="AK1360" s="10"/>
      <c r="AL1360" s="10"/>
      <c r="AM1360" s="8"/>
      <c r="AN1360" s="8"/>
      <c r="AO1360" s="9"/>
      <c r="AP1360" s="9"/>
      <c r="AQ1360" s="9"/>
      <c r="AR1360" s="8"/>
      <c r="AS1360" s="8"/>
      <c r="AT1360" s="8"/>
      <c r="AU1360" s="8"/>
      <c r="AV1360" s="8"/>
      <c r="AW1360" s="8"/>
      <c r="AX1360" s="8"/>
      <c r="AY1360" s="8"/>
      <c r="AZ1360" s="8"/>
    </row>
    <row r="1361" spans="21:52" ht="16.899999999999999">
      <c r="U1361" s="8"/>
      <c r="W1361" s="10"/>
      <c r="X1361" s="10"/>
      <c r="Z1361" s="13"/>
      <c r="AA1361" s="13"/>
      <c r="AB1361" s="13"/>
      <c r="AC1361" s="9"/>
      <c r="AD1361" s="9"/>
      <c r="AE1361" s="11"/>
      <c r="AF1361" s="10"/>
      <c r="AG1361" s="11"/>
      <c r="AH1361" s="10"/>
      <c r="AI1361" s="11"/>
      <c r="AJ1361" s="10"/>
      <c r="AK1361" s="10"/>
      <c r="AL1361" s="10"/>
      <c r="AM1361" s="8"/>
      <c r="AN1361" s="8"/>
      <c r="AO1361" s="9"/>
      <c r="AP1361" s="9"/>
      <c r="AQ1361" s="9"/>
      <c r="AR1361" s="8"/>
      <c r="AS1361" s="8"/>
      <c r="AT1361" s="8"/>
      <c r="AU1361" s="8"/>
      <c r="AV1361" s="8"/>
      <c r="AW1361" s="8"/>
      <c r="AX1361" s="8"/>
      <c r="AY1361" s="8"/>
      <c r="AZ1361" s="8"/>
    </row>
    <row r="1362" spans="21:52" ht="16.899999999999999">
      <c r="U1362" s="8"/>
      <c r="W1362" s="10"/>
      <c r="X1362" s="10"/>
      <c r="Z1362" s="13"/>
      <c r="AA1362" s="13"/>
      <c r="AB1362" s="13"/>
      <c r="AC1362" s="9"/>
      <c r="AD1362" s="9"/>
      <c r="AE1362" s="11"/>
      <c r="AF1362" s="10"/>
      <c r="AG1362" s="11"/>
      <c r="AH1362" s="10"/>
      <c r="AI1362" s="11"/>
      <c r="AJ1362" s="10"/>
      <c r="AK1362" s="10"/>
      <c r="AL1362" s="10"/>
      <c r="AM1362" s="8"/>
      <c r="AN1362" s="8"/>
      <c r="AO1362" s="9"/>
      <c r="AP1362" s="9"/>
      <c r="AQ1362" s="9"/>
      <c r="AR1362" s="8"/>
      <c r="AS1362" s="8"/>
      <c r="AT1362" s="8"/>
      <c r="AU1362" s="8"/>
      <c r="AV1362" s="8"/>
      <c r="AW1362" s="8"/>
      <c r="AX1362" s="8"/>
      <c r="AY1362" s="8"/>
      <c r="AZ1362" s="8"/>
    </row>
    <row r="1363" spans="21:52" ht="16.899999999999999">
      <c r="U1363" s="8"/>
      <c r="W1363" s="10"/>
      <c r="X1363" s="10"/>
      <c r="Z1363" s="13"/>
      <c r="AA1363" s="13"/>
      <c r="AB1363" s="13"/>
      <c r="AC1363" s="9"/>
      <c r="AD1363" s="9"/>
      <c r="AE1363" s="11"/>
      <c r="AF1363" s="10"/>
      <c r="AG1363" s="11"/>
      <c r="AH1363" s="10"/>
      <c r="AI1363" s="11"/>
      <c r="AJ1363" s="10"/>
      <c r="AK1363" s="10"/>
      <c r="AL1363" s="10"/>
      <c r="AM1363" s="8"/>
      <c r="AN1363" s="8"/>
      <c r="AO1363" s="9"/>
      <c r="AP1363" s="9"/>
      <c r="AQ1363" s="9"/>
      <c r="AR1363" s="8"/>
      <c r="AS1363" s="8"/>
      <c r="AT1363" s="8"/>
      <c r="AU1363" s="8"/>
      <c r="AV1363" s="8"/>
      <c r="AW1363" s="8"/>
      <c r="AX1363" s="8"/>
      <c r="AY1363" s="8"/>
      <c r="AZ1363" s="8"/>
    </row>
    <row r="1364" spans="21:52" ht="16.899999999999999">
      <c r="U1364" s="8"/>
      <c r="W1364" s="10"/>
      <c r="X1364" s="10"/>
      <c r="Z1364" s="13"/>
      <c r="AA1364" s="13"/>
      <c r="AB1364" s="13"/>
      <c r="AC1364" s="9"/>
      <c r="AD1364" s="9"/>
      <c r="AE1364" s="11"/>
      <c r="AF1364" s="10"/>
      <c r="AG1364" s="11"/>
      <c r="AH1364" s="10"/>
      <c r="AI1364" s="11"/>
      <c r="AJ1364" s="10"/>
      <c r="AK1364" s="10"/>
      <c r="AL1364" s="10"/>
      <c r="AM1364" s="8"/>
      <c r="AN1364" s="8"/>
      <c r="AO1364" s="9"/>
      <c r="AP1364" s="9"/>
      <c r="AQ1364" s="9"/>
      <c r="AR1364" s="8"/>
      <c r="AS1364" s="8"/>
      <c r="AT1364" s="8"/>
      <c r="AU1364" s="8"/>
      <c r="AV1364" s="8"/>
      <c r="AW1364" s="8"/>
      <c r="AX1364" s="8"/>
      <c r="AY1364" s="8"/>
      <c r="AZ1364" s="8"/>
    </row>
    <row r="1365" spans="21:52" ht="16.899999999999999">
      <c r="U1365" s="8"/>
      <c r="W1365" s="10"/>
      <c r="X1365" s="10"/>
      <c r="Z1365" s="13"/>
      <c r="AA1365" s="13"/>
      <c r="AB1365" s="13"/>
      <c r="AC1365" s="9"/>
      <c r="AD1365" s="9"/>
      <c r="AE1365" s="11"/>
      <c r="AF1365" s="10"/>
      <c r="AG1365" s="11"/>
      <c r="AH1365" s="10"/>
      <c r="AI1365" s="11"/>
      <c r="AJ1365" s="10"/>
      <c r="AK1365" s="10"/>
      <c r="AL1365" s="10"/>
      <c r="AM1365" s="8"/>
      <c r="AN1365" s="8"/>
      <c r="AO1365" s="9"/>
      <c r="AP1365" s="9"/>
      <c r="AQ1365" s="9"/>
      <c r="AR1365" s="8"/>
      <c r="AS1365" s="8"/>
      <c r="AT1365" s="8"/>
      <c r="AU1365" s="8"/>
      <c r="AV1365" s="8"/>
      <c r="AW1365" s="8"/>
      <c r="AX1365" s="8"/>
      <c r="AY1365" s="8"/>
      <c r="AZ1365" s="8"/>
    </row>
    <row r="1366" spans="21:52" ht="16.899999999999999">
      <c r="U1366" s="8"/>
      <c r="W1366" s="10"/>
      <c r="X1366" s="10"/>
      <c r="Z1366" s="13"/>
      <c r="AA1366" s="13"/>
      <c r="AB1366" s="13"/>
      <c r="AC1366" s="9"/>
      <c r="AD1366" s="9"/>
      <c r="AE1366" s="11"/>
      <c r="AF1366" s="10"/>
      <c r="AG1366" s="11"/>
      <c r="AH1366" s="10"/>
      <c r="AI1366" s="11"/>
      <c r="AJ1366" s="10"/>
      <c r="AK1366" s="10"/>
      <c r="AL1366" s="10"/>
      <c r="AM1366" s="8"/>
      <c r="AN1366" s="8"/>
      <c r="AO1366" s="9"/>
      <c r="AP1366" s="9"/>
      <c r="AQ1366" s="9"/>
      <c r="AR1366" s="8"/>
      <c r="AS1366" s="8"/>
      <c r="AT1366" s="8"/>
      <c r="AU1366" s="8"/>
      <c r="AV1366" s="8"/>
      <c r="AW1366" s="8"/>
      <c r="AX1366" s="8"/>
      <c r="AY1366" s="8"/>
      <c r="AZ1366" s="8"/>
    </row>
    <row r="1367" spans="21:52" ht="16.899999999999999">
      <c r="U1367" s="8"/>
      <c r="W1367" s="10"/>
      <c r="X1367" s="10"/>
      <c r="Z1367" s="13"/>
      <c r="AA1367" s="13"/>
      <c r="AB1367" s="13"/>
      <c r="AC1367" s="9"/>
      <c r="AD1367" s="9"/>
      <c r="AE1367" s="11"/>
      <c r="AF1367" s="10"/>
      <c r="AG1367" s="11"/>
      <c r="AH1367" s="10"/>
      <c r="AI1367" s="11"/>
      <c r="AJ1367" s="10"/>
      <c r="AK1367" s="10"/>
      <c r="AL1367" s="10"/>
      <c r="AM1367" s="8"/>
      <c r="AN1367" s="8"/>
      <c r="AO1367" s="9"/>
      <c r="AP1367" s="9"/>
      <c r="AQ1367" s="9"/>
      <c r="AR1367" s="8"/>
      <c r="AS1367" s="8"/>
      <c r="AT1367" s="8"/>
      <c r="AU1367" s="8"/>
      <c r="AV1367" s="8"/>
      <c r="AW1367" s="8"/>
      <c r="AX1367" s="8"/>
      <c r="AY1367" s="8"/>
      <c r="AZ1367" s="8"/>
    </row>
    <row r="1368" spans="21:52" ht="16.899999999999999">
      <c r="U1368" s="8"/>
      <c r="W1368" s="10"/>
      <c r="X1368" s="10"/>
      <c r="Z1368" s="13"/>
      <c r="AA1368" s="13"/>
      <c r="AB1368" s="13"/>
      <c r="AC1368" s="9"/>
      <c r="AD1368" s="9"/>
      <c r="AE1368" s="11"/>
      <c r="AF1368" s="10"/>
      <c r="AG1368" s="11"/>
      <c r="AH1368" s="10"/>
      <c r="AI1368" s="11"/>
      <c r="AJ1368" s="10"/>
      <c r="AK1368" s="10"/>
      <c r="AL1368" s="10"/>
      <c r="AM1368" s="8"/>
      <c r="AN1368" s="8"/>
      <c r="AO1368" s="9"/>
      <c r="AP1368" s="9"/>
      <c r="AQ1368" s="9"/>
      <c r="AR1368" s="8"/>
      <c r="AS1368" s="8"/>
      <c r="AT1368" s="8"/>
      <c r="AU1368" s="8"/>
      <c r="AV1368" s="8"/>
      <c r="AW1368" s="8"/>
      <c r="AX1368" s="8"/>
      <c r="AY1368" s="8"/>
      <c r="AZ1368" s="8"/>
    </row>
    <row r="1369" spans="21:52" ht="16.899999999999999">
      <c r="U1369" s="8"/>
      <c r="W1369" s="10"/>
      <c r="X1369" s="10"/>
      <c r="Z1369" s="13"/>
      <c r="AA1369" s="13"/>
      <c r="AB1369" s="13"/>
      <c r="AC1369" s="9"/>
      <c r="AD1369" s="9"/>
      <c r="AE1369" s="11"/>
      <c r="AF1369" s="10"/>
      <c r="AG1369" s="11"/>
      <c r="AH1369" s="10"/>
      <c r="AI1369" s="11"/>
      <c r="AJ1369" s="10"/>
      <c r="AK1369" s="10"/>
      <c r="AL1369" s="10"/>
      <c r="AM1369" s="8"/>
      <c r="AN1369" s="8"/>
      <c r="AO1369" s="9"/>
      <c r="AP1369" s="9"/>
      <c r="AQ1369" s="9"/>
      <c r="AR1369" s="8"/>
      <c r="AS1369" s="8"/>
      <c r="AT1369" s="8"/>
      <c r="AU1369" s="8"/>
      <c r="AV1369" s="8"/>
      <c r="AW1369" s="8"/>
      <c r="AX1369" s="8"/>
      <c r="AY1369" s="8"/>
      <c r="AZ1369" s="8"/>
    </row>
    <row r="1370" spans="21:52" ht="16.899999999999999">
      <c r="U1370" s="8"/>
      <c r="W1370" s="10"/>
      <c r="X1370" s="10"/>
      <c r="Z1370" s="13"/>
      <c r="AA1370" s="13"/>
      <c r="AB1370" s="13"/>
      <c r="AC1370" s="9"/>
      <c r="AD1370" s="9"/>
      <c r="AE1370" s="11"/>
      <c r="AF1370" s="10"/>
      <c r="AG1370" s="11"/>
      <c r="AH1370" s="10"/>
      <c r="AI1370" s="11"/>
      <c r="AJ1370" s="10"/>
      <c r="AK1370" s="10"/>
      <c r="AL1370" s="10"/>
      <c r="AM1370" s="8"/>
      <c r="AN1370" s="8"/>
      <c r="AO1370" s="9"/>
      <c r="AP1370" s="9"/>
      <c r="AQ1370" s="9"/>
      <c r="AR1370" s="8"/>
      <c r="AS1370" s="8"/>
      <c r="AT1370" s="8"/>
      <c r="AU1370" s="8"/>
      <c r="AV1370" s="8"/>
      <c r="AW1370" s="8"/>
      <c r="AX1370" s="8"/>
      <c r="AY1370" s="8"/>
      <c r="AZ1370" s="8"/>
    </row>
    <row r="1371" spans="21:52" ht="16.899999999999999">
      <c r="U1371" s="8"/>
      <c r="W1371" s="10"/>
      <c r="X1371" s="10"/>
      <c r="Z1371" s="13"/>
      <c r="AA1371" s="13"/>
      <c r="AB1371" s="13"/>
      <c r="AC1371" s="9"/>
      <c r="AD1371" s="9"/>
      <c r="AE1371" s="11"/>
      <c r="AF1371" s="10"/>
      <c r="AG1371" s="11"/>
      <c r="AH1371" s="10"/>
      <c r="AI1371" s="11"/>
      <c r="AJ1371" s="10"/>
      <c r="AK1371" s="10"/>
      <c r="AL1371" s="10"/>
      <c r="AM1371" s="8"/>
      <c r="AN1371" s="8"/>
      <c r="AO1371" s="9"/>
      <c r="AP1371" s="9"/>
      <c r="AQ1371" s="9"/>
      <c r="AR1371" s="8"/>
      <c r="AS1371" s="8"/>
      <c r="AT1371" s="8"/>
      <c r="AU1371" s="8"/>
      <c r="AV1371" s="8"/>
      <c r="AW1371" s="8"/>
      <c r="AX1371" s="8"/>
      <c r="AY1371" s="8"/>
      <c r="AZ1371" s="8"/>
    </row>
    <row r="1372" spans="21:52" ht="16.899999999999999">
      <c r="U1372" s="8"/>
      <c r="W1372" s="10"/>
      <c r="X1372" s="10"/>
      <c r="Z1372" s="13"/>
      <c r="AA1372" s="13"/>
      <c r="AB1372" s="13"/>
      <c r="AC1372" s="9"/>
      <c r="AD1372" s="9"/>
      <c r="AE1372" s="11"/>
      <c r="AF1372" s="10"/>
      <c r="AG1372" s="11"/>
      <c r="AH1372" s="10"/>
      <c r="AI1372" s="11"/>
      <c r="AJ1372" s="10"/>
      <c r="AK1372" s="10"/>
      <c r="AL1372" s="10"/>
      <c r="AM1372" s="8"/>
      <c r="AN1372" s="8"/>
      <c r="AO1372" s="9"/>
      <c r="AP1372" s="9"/>
      <c r="AQ1372" s="9"/>
      <c r="AR1372" s="8"/>
      <c r="AS1372" s="8"/>
      <c r="AT1372" s="8"/>
      <c r="AU1372" s="8"/>
      <c r="AV1372" s="8"/>
      <c r="AW1372" s="8"/>
      <c r="AX1372" s="8"/>
      <c r="AY1372" s="8"/>
      <c r="AZ1372" s="8"/>
    </row>
    <row r="1373" spans="21:52" ht="16.899999999999999">
      <c r="U1373" s="8"/>
      <c r="W1373" s="10"/>
      <c r="X1373" s="10"/>
      <c r="Z1373" s="13"/>
      <c r="AA1373" s="13"/>
      <c r="AB1373" s="13"/>
      <c r="AC1373" s="9"/>
      <c r="AD1373" s="9"/>
      <c r="AE1373" s="11"/>
      <c r="AF1373" s="10"/>
      <c r="AG1373" s="11"/>
      <c r="AH1373" s="10"/>
      <c r="AI1373" s="11"/>
      <c r="AJ1373" s="10"/>
      <c r="AK1373" s="10"/>
      <c r="AL1373" s="10"/>
      <c r="AM1373" s="8"/>
      <c r="AN1373" s="8"/>
      <c r="AO1373" s="9"/>
      <c r="AP1373" s="9"/>
      <c r="AQ1373" s="9"/>
      <c r="AR1373" s="8"/>
      <c r="AS1373" s="8"/>
      <c r="AT1373" s="8"/>
      <c r="AU1373" s="8"/>
      <c r="AV1373" s="8"/>
      <c r="AW1373" s="8"/>
      <c r="AX1373" s="8"/>
      <c r="AY1373" s="8"/>
      <c r="AZ1373" s="8"/>
    </row>
    <row r="1374" spans="21:52" ht="16.899999999999999">
      <c r="U1374" s="8"/>
      <c r="W1374" s="10"/>
      <c r="X1374" s="10"/>
      <c r="Z1374" s="13"/>
      <c r="AA1374" s="13"/>
      <c r="AB1374" s="13"/>
      <c r="AC1374" s="9"/>
      <c r="AD1374" s="9"/>
      <c r="AE1374" s="11"/>
      <c r="AF1374" s="10"/>
      <c r="AG1374" s="11"/>
      <c r="AH1374" s="10"/>
      <c r="AI1374" s="11"/>
      <c r="AJ1374" s="10"/>
      <c r="AK1374" s="10"/>
      <c r="AL1374" s="10"/>
      <c r="AM1374" s="8"/>
      <c r="AN1374" s="8"/>
      <c r="AO1374" s="9"/>
      <c r="AP1374" s="9"/>
      <c r="AQ1374" s="9"/>
      <c r="AR1374" s="8"/>
      <c r="AS1374" s="8"/>
      <c r="AT1374" s="8"/>
      <c r="AU1374" s="8"/>
      <c r="AV1374" s="8"/>
      <c r="AW1374" s="8"/>
      <c r="AX1374" s="8"/>
      <c r="AY1374" s="8"/>
      <c r="AZ1374" s="8"/>
    </row>
    <row r="1375" spans="21:52" ht="16.899999999999999">
      <c r="U1375" s="8"/>
      <c r="W1375" s="10"/>
      <c r="X1375" s="10"/>
      <c r="Z1375" s="13"/>
      <c r="AA1375" s="13"/>
      <c r="AB1375" s="13"/>
      <c r="AC1375" s="9"/>
      <c r="AD1375" s="9"/>
      <c r="AE1375" s="11"/>
      <c r="AF1375" s="10"/>
      <c r="AG1375" s="11"/>
      <c r="AH1375" s="10"/>
      <c r="AI1375" s="11"/>
      <c r="AJ1375" s="10"/>
      <c r="AK1375" s="10"/>
      <c r="AL1375" s="10"/>
      <c r="AM1375" s="8"/>
      <c r="AN1375" s="8"/>
      <c r="AO1375" s="9"/>
      <c r="AP1375" s="9"/>
      <c r="AQ1375" s="9"/>
      <c r="AR1375" s="8"/>
      <c r="AS1375" s="8"/>
      <c r="AT1375" s="8"/>
      <c r="AU1375" s="8"/>
      <c r="AV1375" s="8"/>
      <c r="AW1375" s="8"/>
      <c r="AX1375" s="8"/>
      <c r="AY1375" s="8"/>
      <c r="AZ1375" s="8"/>
    </row>
    <row r="1376" spans="21:52" ht="16.899999999999999">
      <c r="U1376" s="8"/>
      <c r="W1376" s="10"/>
      <c r="X1376" s="10"/>
      <c r="Z1376" s="13"/>
      <c r="AA1376" s="13"/>
      <c r="AB1376" s="13"/>
      <c r="AC1376" s="9"/>
      <c r="AD1376" s="9"/>
      <c r="AE1376" s="11"/>
      <c r="AF1376" s="10"/>
      <c r="AG1376" s="11"/>
      <c r="AH1376" s="10"/>
      <c r="AI1376" s="11"/>
      <c r="AJ1376" s="10"/>
      <c r="AK1376" s="10"/>
      <c r="AL1376" s="10"/>
      <c r="AM1376" s="8"/>
      <c r="AN1376" s="8"/>
      <c r="AO1376" s="9"/>
      <c r="AP1376" s="9"/>
      <c r="AQ1376" s="9"/>
      <c r="AR1376" s="8"/>
      <c r="AS1376" s="8"/>
      <c r="AT1376" s="8"/>
      <c r="AU1376" s="8"/>
      <c r="AV1376" s="8"/>
      <c r="AW1376" s="8"/>
      <c r="AX1376" s="8"/>
      <c r="AY1376" s="8"/>
      <c r="AZ1376" s="8"/>
    </row>
    <row r="1377" spans="21:52" ht="16.899999999999999">
      <c r="U1377" s="8"/>
      <c r="W1377" s="10"/>
      <c r="X1377" s="10"/>
      <c r="Z1377" s="13"/>
      <c r="AA1377" s="13"/>
      <c r="AB1377" s="13"/>
      <c r="AC1377" s="9"/>
      <c r="AD1377" s="9"/>
      <c r="AE1377" s="11"/>
      <c r="AF1377" s="10"/>
      <c r="AG1377" s="11"/>
      <c r="AH1377" s="10"/>
      <c r="AI1377" s="11"/>
      <c r="AJ1377" s="10"/>
      <c r="AK1377" s="10"/>
      <c r="AL1377" s="10"/>
      <c r="AM1377" s="8"/>
      <c r="AN1377" s="8"/>
      <c r="AO1377" s="9"/>
      <c r="AP1377" s="9"/>
      <c r="AQ1377" s="9"/>
      <c r="AR1377" s="8"/>
      <c r="AS1377" s="8"/>
      <c r="AT1377" s="8"/>
      <c r="AU1377" s="8"/>
      <c r="AV1377" s="8"/>
      <c r="AW1377" s="8"/>
      <c r="AX1377" s="8"/>
      <c r="AY1377" s="8"/>
      <c r="AZ1377" s="8"/>
    </row>
    <row r="1378" spans="21:52" ht="16.899999999999999">
      <c r="U1378" s="8"/>
      <c r="W1378" s="10"/>
      <c r="X1378" s="10"/>
      <c r="Z1378" s="13"/>
      <c r="AA1378" s="13"/>
      <c r="AB1378" s="13"/>
      <c r="AC1378" s="9"/>
      <c r="AD1378" s="9"/>
      <c r="AE1378" s="11"/>
      <c r="AF1378" s="10"/>
      <c r="AG1378" s="11"/>
      <c r="AH1378" s="10"/>
      <c r="AI1378" s="11"/>
      <c r="AJ1378" s="10"/>
      <c r="AK1378" s="10"/>
      <c r="AL1378" s="10"/>
      <c r="AM1378" s="8"/>
      <c r="AN1378" s="8"/>
      <c r="AO1378" s="9"/>
      <c r="AP1378" s="9"/>
      <c r="AQ1378" s="9"/>
      <c r="AR1378" s="8"/>
      <c r="AS1378" s="8"/>
      <c r="AT1378" s="8"/>
      <c r="AU1378" s="8"/>
      <c r="AV1378" s="8"/>
      <c r="AW1378" s="8"/>
      <c r="AX1378" s="8"/>
      <c r="AY1378" s="8"/>
      <c r="AZ1378" s="8"/>
    </row>
    <row r="1379" spans="21:52" ht="16.899999999999999">
      <c r="U1379" s="8"/>
      <c r="W1379" s="10"/>
      <c r="X1379" s="10"/>
      <c r="Z1379" s="13"/>
      <c r="AA1379" s="13"/>
      <c r="AB1379" s="13"/>
      <c r="AC1379" s="9"/>
      <c r="AD1379" s="9"/>
      <c r="AE1379" s="11"/>
      <c r="AF1379" s="10"/>
      <c r="AG1379" s="11"/>
      <c r="AH1379" s="10"/>
      <c r="AI1379" s="11"/>
      <c r="AJ1379" s="10"/>
      <c r="AK1379" s="10"/>
      <c r="AL1379" s="10"/>
      <c r="AM1379" s="8"/>
      <c r="AN1379" s="8"/>
      <c r="AO1379" s="9"/>
      <c r="AP1379" s="9"/>
      <c r="AQ1379" s="9"/>
      <c r="AR1379" s="8"/>
      <c r="AS1379" s="8"/>
      <c r="AT1379" s="8"/>
      <c r="AU1379" s="8"/>
      <c r="AV1379" s="8"/>
      <c r="AW1379" s="8"/>
      <c r="AX1379" s="8"/>
      <c r="AY1379" s="8"/>
      <c r="AZ1379" s="8"/>
    </row>
    <row r="1380" spans="21:52" ht="16.899999999999999">
      <c r="U1380" s="8"/>
      <c r="W1380" s="10"/>
      <c r="X1380" s="10"/>
      <c r="Z1380" s="13"/>
      <c r="AA1380" s="13"/>
      <c r="AB1380" s="13"/>
      <c r="AC1380" s="9"/>
      <c r="AD1380" s="9"/>
      <c r="AE1380" s="11"/>
      <c r="AF1380" s="10"/>
      <c r="AG1380" s="11"/>
      <c r="AH1380" s="10"/>
      <c r="AI1380" s="11"/>
      <c r="AJ1380" s="10"/>
      <c r="AK1380" s="10"/>
      <c r="AL1380" s="10"/>
      <c r="AM1380" s="8"/>
      <c r="AN1380" s="8"/>
      <c r="AO1380" s="9"/>
      <c r="AP1380" s="9"/>
      <c r="AQ1380" s="9"/>
      <c r="AR1380" s="8"/>
      <c r="AS1380" s="8"/>
      <c r="AT1380" s="8"/>
      <c r="AU1380" s="8"/>
      <c r="AV1380" s="8"/>
      <c r="AW1380" s="8"/>
      <c r="AX1380" s="8"/>
      <c r="AY1380" s="8"/>
      <c r="AZ1380" s="8"/>
    </row>
    <row r="1381" spans="21:52" ht="16.899999999999999">
      <c r="U1381" s="8"/>
      <c r="W1381" s="10"/>
      <c r="X1381" s="10"/>
      <c r="Z1381" s="13"/>
      <c r="AA1381" s="13"/>
      <c r="AB1381" s="13"/>
      <c r="AC1381" s="9"/>
      <c r="AD1381" s="9"/>
      <c r="AE1381" s="11"/>
      <c r="AF1381" s="10"/>
      <c r="AG1381" s="11"/>
      <c r="AH1381" s="10"/>
      <c r="AI1381" s="11"/>
      <c r="AJ1381" s="10"/>
      <c r="AK1381" s="10"/>
      <c r="AL1381" s="10"/>
      <c r="AM1381" s="8"/>
      <c r="AN1381" s="8"/>
      <c r="AO1381" s="9"/>
      <c r="AP1381" s="9"/>
      <c r="AQ1381" s="9"/>
      <c r="AR1381" s="8"/>
      <c r="AS1381" s="8"/>
      <c r="AT1381" s="8"/>
      <c r="AU1381" s="8"/>
      <c r="AV1381" s="8"/>
      <c r="AW1381" s="8"/>
      <c r="AX1381" s="8"/>
      <c r="AY1381" s="8"/>
      <c r="AZ1381" s="8"/>
    </row>
    <row r="1382" spans="21:52" ht="16.899999999999999">
      <c r="U1382" s="8"/>
      <c r="W1382" s="10"/>
      <c r="X1382" s="10"/>
      <c r="Z1382" s="13"/>
      <c r="AA1382" s="13"/>
      <c r="AB1382" s="13"/>
      <c r="AC1382" s="9"/>
      <c r="AD1382" s="9"/>
      <c r="AE1382" s="11"/>
      <c r="AF1382" s="10"/>
      <c r="AG1382" s="11"/>
      <c r="AH1382" s="10"/>
      <c r="AI1382" s="11"/>
      <c r="AJ1382" s="10"/>
      <c r="AK1382" s="10"/>
      <c r="AL1382" s="10"/>
      <c r="AM1382" s="8"/>
      <c r="AN1382" s="8"/>
      <c r="AO1382" s="9"/>
      <c r="AP1382" s="9"/>
      <c r="AQ1382" s="9"/>
      <c r="AR1382" s="8"/>
      <c r="AS1382" s="8"/>
      <c r="AT1382" s="8"/>
      <c r="AU1382" s="8"/>
      <c r="AV1382" s="8"/>
      <c r="AW1382" s="8"/>
      <c r="AX1382" s="8"/>
      <c r="AY1382" s="8"/>
      <c r="AZ1382" s="8"/>
    </row>
    <row r="1383" spans="21:52" ht="16.899999999999999">
      <c r="U1383" s="8"/>
      <c r="W1383" s="10"/>
      <c r="X1383" s="10"/>
      <c r="Z1383" s="13"/>
      <c r="AA1383" s="13"/>
      <c r="AB1383" s="13"/>
      <c r="AC1383" s="9"/>
      <c r="AD1383" s="9"/>
      <c r="AE1383" s="11"/>
      <c r="AF1383" s="10"/>
      <c r="AG1383" s="11"/>
      <c r="AH1383" s="10"/>
      <c r="AI1383" s="11"/>
      <c r="AJ1383" s="10"/>
      <c r="AK1383" s="10"/>
      <c r="AL1383" s="10"/>
      <c r="AM1383" s="8"/>
      <c r="AN1383" s="8"/>
      <c r="AO1383" s="9"/>
      <c r="AP1383" s="9"/>
      <c r="AQ1383" s="9"/>
      <c r="AR1383" s="8"/>
      <c r="AS1383" s="8"/>
      <c r="AT1383" s="8"/>
      <c r="AU1383" s="8"/>
      <c r="AV1383" s="8"/>
      <c r="AW1383" s="8"/>
      <c r="AX1383" s="8"/>
      <c r="AY1383" s="8"/>
      <c r="AZ1383" s="8"/>
    </row>
    <row r="1384" spans="21:52" ht="16.899999999999999">
      <c r="U1384" s="8"/>
      <c r="W1384" s="10"/>
      <c r="X1384" s="10"/>
      <c r="Z1384" s="13"/>
      <c r="AA1384" s="13"/>
      <c r="AB1384" s="13"/>
      <c r="AC1384" s="9"/>
      <c r="AD1384" s="9"/>
      <c r="AE1384" s="11"/>
      <c r="AF1384" s="10"/>
      <c r="AG1384" s="11"/>
      <c r="AH1384" s="10"/>
      <c r="AI1384" s="11"/>
      <c r="AJ1384" s="10"/>
      <c r="AK1384" s="10"/>
      <c r="AL1384" s="10"/>
      <c r="AM1384" s="8"/>
      <c r="AN1384" s="8"/>
      <c r="AO1384" s="9"/>
      <c r="AP1384" s="9"/>
      <c r="AQ1384" s="9"/>
      <c r="AR1384" s="8"/>
      <c r="AS1384" s="8"/>
      <c r="AT1384" s="8"/>
      <c r="AU1384" s="8"/>
      <c r="AV1384" s="8"/>
      <c r="AW1384" s="8"/>
      <c r="AX1384" s="8"/>
      <c r="AY1384" s="8"/>
      <c r="AZ1384" s="8"/>
    </row>
    <row r="1385" spans="21:52" ht="16.899999999999999">
      <c r="U1385" s="8"/>
      <c r="W1385" s="10"/>
      <c r="X1385" s="10"/>
      <c r="Z1385" s="13"/>
      <c r="AA1385" s="13"/>
      <c r="AB1385" s="13"/>
      <c r="AC1385" s="9"/>
      <c r="AD1385" s="9"/>
      <c r="AE1385" s="11"/>
      <c r="AF1385" s="10"/>
      <c r="AG1385" s="11"/>
      <c r="AH1385" s="10"/>
      <c r="AI1385" s="11"/>
      <c r="AJ1385" s="10"/>
      <c r="AK1385" s="10"/>
      <c r="AL1385" s="10"/>
      <c r="AM1385" s="8"/>
      <c r="AN1385" s="8"/>
      <c r="AO1385" s="9"/>
      <c r="AP1385" s="9"/>
      <c r="AQ1385" s="9"/>
      <c r="AR1385" s="8"/>
      <c r="AS1385" s="8"/>
      <c r="AT1385" s="8"/>
      <c r="AU1385" s="8"/>
      <c r="AV1385" s="8"/>
      <c r="AW1385" s="8"/>
      <c r="AX1385" s="8"/>
      <c r="AY1385" s="8"/>
      <c r="AZ1385" s="8"/>
    </row>
    <row r="1386" spans="21:52" ht="16.899999999999999">
      <c r="U1386" s="8"/>
      <c r="W1386" s="10"/>
      <c r="X1386" s="10"/>
      <c r="Z1386" s="13"/>
      <c r="AA1386" s="13"/>
      <c r="AB1386" s="13"/>
      <c r="AC1386" s="9"/>
      <c r="AD1386" s="9"/>
      <c r="AE1386" s="11"/>
      <c r="AF1386" s="10"/>
      <c r="AG1386" s="11"/>
      <c r="AH1386" s="10"/>
      <c r="AI1386" s="11"/>
      <c r="AJ1386" s="10"/>
      <c r="AK1386" s="10"/>
      <c r="AL1386" s="10"/>
      <c r="AM1386" s="8"/>
      <c r="AN1386" s="8"/>
      <c r="AO1386" s="9"/>
      <c r="AP1386" s="9"/>
      <c r="AQ1386" s="9"/>
      <c r="AR1386" s="8"/>
      <c r="AS1386" s="8"/>
      <c r="AT1386" s="8"/>
      <c r="AU1386" s="8"/>
      <c r="AV1386" s="8"/>
      <c r="AW1386" s="8"/>
      <c r="AX1386" s="8"/>
      <c r="AY1386" s="8"/>
      <c r="AZ1386" s="8"/>
    </row>
    <row r="1387" spans="21:52" ht="16.899999999999999">
      <c r="U1387" s="8"/>
      <c r="W1387" s="10"/>
      <c r="X1387" s="10"/>
      <c r="Z1387" s="13"/>
      <c r="AA1387" s="13"/>
      <c r="AB1387" s="13"/>
      <c r="AC1387" s="9"/>
      <c r="AD1387" s="9"/>
      <c r="AE1387" s="11"/>
      <c r="AF1387" s="10"/>
      <c r="AG1387" s="11"/>
      <c r="AH1387" s="10"/>
      <c r="AI1387" s="11"/>
      <c r="AJ1387" s="10"/>
      <c r="AK1387" s="10"/>
      <c r="AL1387" s="10"/>
      <c r="AM1387" s="8"/>
      <c r="AN1387" s="8"/>
      <c r="AO1387" s="9"/>
      <c r="AP1387" s="9"/>
      <c r="AQ1387" s="9"/>
      <c r="AR1387" s="8"/>
      <c r="AS1387" s="8"/>
      <c r="AT1387" s="8"/>
      <c r="AU1387" s="8"/>
      <c r="AV1387" s="8"/>
      <c r="AW1387" s="8"/>
      <c r="AX1387" s="8"/>
      <c r="AY1387" s="8"/>
      <c r="AZ1387" s="8"/>
    </row>
    <row r="1388" spans="21:52" ht="16.899999999999999">
      <c r="U1388" s="8"/>
      <c r="W1388" s="10"/>
      <c r="X1388" s="10"/>
      <c r="Z1388" s="13"/>
      <c r="AA1388" s="13"/>
      <c r="AB1388" s="13"/>
      <c r="AC1388" s="9"/>
      <c r="AD1388" s="9"/>
      <c r="AE1388" s="11"/>
      <c r="AF1388" s="10"/>
      <c r="AG1388" s="11"/>
      <c r="AH1388" s="10"/>
      <c r="AI1388" s="11"/>
      <c r="AJ1388" s="10"/>
      <c r="AK1388" s="10"/>
      <c r="AL1388" s="10"/>
      <c r="AM1388" s="8"/>
      <c r="AN1388" s="8"/>
      <c r="AO1388" s="9"/>
      <c r="AP1388" s="9"/>
      <c r="AQ1388" s="9"/>
      <c r="AR1388" s="8"/>
      <c r="AS1388" s="8"/>
      <c r="AT1388" s="8"/>
      <c r="AU1388" s="8"/>
      <c r="AV1388" s="8"/>
      <c r="AW1388" s="8"/>
      <c r="AX1388" s="8"/>
      <c r="AY1388" s="8"/>
      <c r="AZ1388" s="8"/>
    </row>
    <row r="1389" spans="21:52" ht="16.899999999999999">
      <c r="U1389" s="8"/>
      <c r="W1389" s="10"/>
      <c r="X1389" s="10"/>
      <c r="Z1389" s="13"/>
      <c r="AA1389" s="13"/>
      <c r="AB1389" s="13"/>
      <c r="AC1389" s="9"/>
      <c r="AD1389" s="9"/>
      <c r="AE1389" s="11"/>
      <c r="AF1389" s="10"/>
      <c r="AG1389" s="11"/>
      <c r="AH1389" s="10"/>
      <c r="AI1389" s="11"/>
      <c r="AJ1389" s="10"/>
      <c r="AK1389" s="10"/>
      <c r="AL1389" s="10"/>
      <c r="AM1389" s="8"/>
      <c r="AN1389" s="8"/>
      <c r="AO1389" s="9"/>
      <c r="AP1389" s="9"/>
      <c r="AQ1389" s="9"/>
      <c r="AR1389" s="8"/>
      <c r="AS1389" s="8"/>
      <c r="AT1389" s="8"/>
      <c r="AU1389" s="8"/>
      <c r="AV1389" s="8"/>
      <c r="AW1389" s="8"/>
      <c r="AX1389" s="8"/>
      <c r="AY1389" s="8"/>
      <c r="AZ1389" s="8"/>
    </row>
    <row r="1390" spans="21:52" ht="16.899999999999999">
      <c r="U1390" s="8"/>
      <c r="W1390" s="10"/>
      <c r="X1390" s="10"/>
      <c r="Z1390" s="13"/>
      <c r="AA1390" s="13"/>
      <c r="AB1390" s="13"/>
      <c r="AC1390" s="9"/>
      <c r="AD1390" s="9"/>
      <c r="AE1390" s="11"/>
      <c r="AF1390" s="10"/>
      <c r="AG1390" s="11"/>
      <c r="AH1390" s="10"/>
      <c r="AI1390" s="11"/>
      <c r="AJ1390" s="10"/>
      <c r="AK1390" s="10"/>
      <c r="AL1390" s="10"/>
      <c r="AM1390" s="8"/>
      <c r="AN1390" s="8"/>
      <c r="AO1390" s="9"/>
      <c r="AP1390" s="9"/>
      <c r="AQ1390" s="9"/>
      <c r="AR1390" s="8"/>
      <c r="AS1390" s="8"/>
      <c r="AT1390" s="8"/>
      <c r="AU1390" s="8"/>
      <c r="AV1390" s="8"/>
      <c r="AW1390" s="8"/>
      <c r="AX1390" s="8"/>
      <c r="AY1390" s="8"/>
      <c r="AZ1390" s="8"/>
    </row>
    <row r="1391" spans="21:52" ht="16.899999999999999">
      <c r="U1391" s="8"/>
      <c r="W1391" s="10"/>
      <c r="X1391" s="10"/>
      <c r="Z1391" s="13"/>
      <c r="AA1391" s="13"/>
      <c r="AB1391" s="13"/>
      <c r="AC1391" s="9"/>
      <c r="AD1391" s="9"/>
      <c r="AE1391" s="11"/>
      <c r="AF1391" s="10"/>
      <c r="AG1391" s="11"/>
      <c r="AH1391" s="10"/>
      <c r="AI1391" s="11"/>
      <c r="AJ1391" s="10"/>
      <c r="AK1391" s="10"/>
      <c r="AL1391" s="10"/>
      <c r="AM1391" s="8"/>
      <c r="AN1391" s="8"/>
      <c r="AO1391" s="9"/>
      <c r="AP1391" s="9"/>
      <c r="AQ1391" s="9"/>
      <c r="AR1391" s="8"/>
      <c r="AS1391" s="8"/>
      <c r="AT1391" s="8"/>
      <c r="AU1391" s="8"/>
      <c r="AV1391" s="8"/>
      <c r="AW1391" s="8"/>
      <c r="AX1391" s="8"/>
      <c r="AY1391" s="8"/>
      <c r="AZ1391" s="8"/>
    </row>
    <row r="1392" spans="21:52" ht="16.899999999999999">
      <c r="U1392" s="8"/>
      <c r="W1392" s="10"/>
      <c r="X1392" s="10"/>
      <c r="Z1392" s="13"/>
      <c r="AA1392" s="13"/>
      <c r="AB1392" s="13"/>
      <c r="AC1392" s="9"/>
      <c r="AD1392" s="9"/>
      <c r="AE1392" s="11"/>
      <c r="AF1392" s="10"/>
      <c r="AG1392" s="11"/>
      <c r="AH1392" s="10"/>
      <c r="AI1392" s="11"/>
      <c r="AJ1392" s="10"/>
      <c r="AK1392" s="10"/>
      <c r="AL1392" s="10"/>
      <c r="AM1392" s="8"/>
      <c r="AN1392" s="8"/>
      <c r="AO1392" s="9"/>
      <c r="AP1392" s="9"/>
      <c r="AQ1392" s="9"/>
      <c r="AR1392" s="8"/>
      <c r="AS1392" s="8"/>
      <c r="AT1392" s="8"/>
      <c r="AU1392" s="8"/>
      <c r="AV1392" s="8"/>
      <c r="AW1392" s="8"/>
      <c r="AX1392" s="8"/>
      <c r="AY1392" s="8"/>
      <c r="AZ1392" s="8"/>
    </row>
    <row r="1393" spans="21:52" ht="16.899999999999999">
      <c r="U1393" s="8"/>
      <c r="W1393" s="10"/>
      <c r="X1393" s="10"/>
      <c r="Z1393" s="13"/>
      <c r="AA1393" s="13"/>
      <c r="AB1393" s="13"/>
      <c r="AC1393" s="9"/>
      <c r="AD1393" s="9"/>
      <c r="AE1393" s="11"/>
      <c r="AF1393" s="10"/>
      <c r="AG1393" s="11"/>
      <c r="AH1393" s="10"/>
      <c r="AI1393" s="11"/>
      <c r="AJ1393" s="10"/>
      <c r="AK1393" s="10"/>
      <c r="AL1393" s="10"/>
      <c r="AM1393" s="8"/>
      <c r="AN1393" s="8"/>
      <c r="AO1393" s="9"/>
      <c r="AP1393" s="9"/>
      <c r="AQ1393" s="9"/>
      <c r="AR1393" s="8"/>
      <c r="AS1393" s="8"/>
      <c r="AT1393" s="8"/>
      <c r="AU1393" s="8"/>
      <c r="AV1393" s="8"/>
      <c r="AW1393" s="8"/>
      <c r="AX1393" s="8"/>
      <c r="AY1393" s="8"/>
      <c r="AZ1393" s="8"/>
    </row>
    <row r="1394" spans="21:52" ht="16.899999999999999">
      <c r="U1394" s="8"/>
      <c r="W1394" s="10"/>
      <c r="X1394" s="10"/>
      <c r="Z1394" s="13"/>
      <c r="AA1394" s="13"/>
      <c r="AB1394" s="13"/>
      <c r="AC1394" s="9"/>
      <c r="AD1394" s="9"/>
      <c r="AE1394" s="11"/>
      <c r="AF1394" s="10"/>
      <c r="AG1394" s="11"/>
      <c r="AH1394" s="10"/>
      <c r="AI1394" s="11"/>
      <c r="AJ1394" s="10"/>
      <c r="AK1394" s="10"/>
      <c r="AL1394" s="10"/>
      <c r="AM1394" s="8"/>
      <c r="AN1394" s="8"/>
      <c r="AO1394" s="9"/>
      <c r="AP1394" s="9"/>
      <c r="AQ1394" s="9"/>
      <c r="AR1394" s="8"/>
      <c r="AS1394" s="8"/>
      <c r="AT1394" s="8"/>
      <c r="AU1394" s="8"/>
      <c r="AV1394" s="8"/>
      <c r="AW1394" s="8"/>
      <c r="AX1394" s="8"/>
      <c r="AY1394" s="8"/>
      <c r="AZ1394" s="8"/>
    </row>
    <row r="1395" spans="21:52" ht="16.899999999999999">
      <c r="U1395" s="8"/>
      <c r="W1395" s="10"/>
      <c r="X1395" s="10"/>
      <c r="Z1395" s="13"/>
      <c r="AA1395" s="13"/>
      <c r="AB1395" s="13"/>
      <c r="AC1395" s="9"/>
      <c r="AD1395" s="9"/>
      <c r="AE1395" s="11"/>
      <c r="AF1395" s="10"/>
      <c r="AG1395" s="11"/>
      <c r="AH1395" s="10"/>
      <c r="AI1395" s="11"/>
      <c r="AJ1395" s="10"/>
      <c r="AK1395" s="10"/>
      <c r="AL1395" s="10"/>
      <c r="AM1395" s="8"/>
      <c r="AN1395" s="8"/>
      <c r="AO1395" s="9"/>
      <c r="AP1395" s="9"/>
      <c r="AQ1395" s="9"/>
      <c r="AR1395" s="8"/>
      <c r="AS1395" s="8"/>
      <c r="AT1395" s="8"/>
      <c r="AU1395" s="8"/>
      <c r="AV1395" s="8"/>
      <c r="AW1395" s="8"/>
      <c r="AX1395" s="8"/>
      <c r="AY1395" s="8"/>
      <c r="AZ1395" s="8"/>
    </row>
    <row r="1396" spans="21:52" ht="16.899999999999999">
      <c r="U1396" s="8"/>
      <c r="W1396" s="10"/>
      <c r="X1396" s="10"/>
      <c r="Z1396" s="13"/>
      <c r="AA1396" s="13"/>
      <c r="AB1396" s="13"/>
      <c r="AC1396" s="9"/>
      <c r="AD1396" s="9"/>
      <c r="AE1396" s="11"/>
      <c r="AF1396" s="10"/>
      <c r="AG1396" s="11"/>
      <c r="AH1396" s="10"/>
      <c r="AI1396" s="11"/>
      <c r="AJ1396" s="10"/>
      <c r="AK1396" s="10"/>
      <c r="AL1396" s="10"/>
      <c r="AM1396" s="8"/>
      <c r="AN1396" s="8"/>
      <c r="AO1396" s="9"/>
      <c r="AP1396" s="9"/>
      <c r="AQ1396" s="9"/>
      <c r="AR1396" s="8"/>
      <c r="AS1396" s="8"/>
      <c r="AT1396" s="8"/>
      <c r="AU1396" s="8"/>
      <c r="AV1396" s="8"/>
      <c r="AW1396" s="8"/>
      <c r="AX1396" s="8"/>
      <c r="AY1396" s="8"/>
      <c r="AZ1396" s="8"/>
    </row>
    <row r="1397" spans="21:52" ht="16.899999999999999">
      <c r="U1397" s="8"/>
      <c r="W1397" s="10"/>
      <c r="X1397" s="10"/>
      <c r="Z1397" s="13"/>
      <c r="AA1397" s="13"/>
      <c r="AB1397" s="13"/>
      <c r="AC1397" s="9"/>
      <c r="AD1397" s="9"/>
      <c r="AE1397" s="11"/>
      <c r="AF1397" s="10"/>
      <c r="AG1397" s="11"/>
      <c r="AH1397" s="10"/>
      <c r="AI1397" s="11"/>
      <c r="AJ1397" s="10"/>
      <c r="AK1397" s="10"/>
      <c r="AL1397" s="10"/>
      <c r="AM1397" s="8"/>
      <c r="AN1397" s="8"/>
      <c r="AO1397" s="9"/>
      <c r="AP1397" s="9"/>
      <c r="AQ1397" s="9"/>
      <c r="AR1397" s="8"/>
      <c r="AS1397" s="8"/>
      <c r="AT1397" s="8"/>
      <c r="AU1397" s="8"/>
      <c r="AV1397" s="8"/>
      <c r="AW1397" s="8"/>
      <c r="AX1397" s="8"/>
      <c r="AY1397" s="8"/>
      <c r="AZ1397" s="8"/>
    </row>
    <row r="1398" spans="21:52" ht="16.899999999999999">
      <c r="U1398" s="8"/>
      <c r="W1398" s="10"/>
      <c r="X1398" s="10"/>
      <c r="Z1398" s="13"/>
      <c r="AA1398" s="13"/>
      <c r="AB1398" s="13"/>
      <c r="AC1398" s="9"/>
      <c r="AD1398" s="9"/>
      <c r="AE1398" s="11"/>
      <c r="AF1398" s="10"/>
      <c r="AG1398" s="11"/>
      <c r="AH1398" s="10"/>
      <c r="AI1398" s="11"/>
      <c r="AJ1398" s="10"/>
      <c r="AK1398" s="10"/>
      <c r="AL1398" s="10"/>
      <c r="AM1398" s="8"/>
      <c r="AN1398" s="8"/>
      <c r="AO1398" s="9"/>
      <c r="AP1398" s="9"/>
      <c r="AQ1398" s="9"/>
      <c r="AR1398" s="8"/>
      <c r="AS1398" s="8"/>
      <c r="AT1398" s="8"/>
      <c r="AU1398" s="8"/>
      <c r="AV1398" s="8"/>
      <c r="AW1398" s="8"/>
      <c r="AX1398" s="8"/>
      <c r="AY1398" s="8"/>
      <c r="AZ1398" s="8"/>
    </row>
    <row r="1399" spans="21:52" ht="16.899999999999999">
      <c r="U1399" s="8"/>
      <c r="W1399" s="10"/>
      <c r="X1399" s="10"/>
      <c r="Z1399" s="13"/>
      <c r="AA1399" s="13"/>
      <c r="AB1399" s="13"/>
      <c r="AC1399" s="9"/>
      <c r="AD1399" s="9"/>
      <c r="AE1399" s="11"/>
      <c r="AF1399" s="10"/>
      <c r="AG1399" s="11"/>
      <c r="AH1399" s="10"/>
      <c r="AI1399" s="11"/>
      <c r="AJ1399" s="10"/>
      <c r="AK1399" s="10"/>
      <c r="AL1399" s="10"/>
      <c r="AM1399" s="8"/>
      <c r="AN1399" s="8"/>
      <c r="AO1399" s="9"/>
      <c r="AP1399" s="9"/>
      <c r="AQ1399" s="9"/>
      <c r="AR1399" s="8"/>
      <c r="AS1399" s="8"/>
      <c r="AT1399" s="8"/>
      <c r="AU1399" s="8"/>
      <c r="AV1399" s="8"/>
      <c r="AW1399" s="8"/>
      <c r="AX1399" s="8"/>
      <c r="AY1399" s="8"/>
      <c r="AZ1399" s="8"/>
    </row>
    <row r="1400" spans="21:52" ht="16.899999999999999">
      <c r="U1400" s="8"/>
      <c r="W1400" s="10"/>
      <c r="X1400" s="10"/>
      <c r="Z1400" s="13"/>
      <c r="AA1400" s="13"/>
      <c r="AB1400" s="13"/>
      <c r="AC1400" s="9"/>
      <c r="AD1400" s="9"/>
      <c r="AE1400" s="11"/>
      <c r="AF1400" s="10"/>
      <c r="AG1400" s="11"/>
      <c r="AH1400" s="10"/>
      <c r="AI1400" s="11"/>
      <c r="AJ1400" s="10"/>
      <c r="AK1400" s="10"/>
      <c r="AL1400" s="10"/>
      <c r="AM1400" s="8"/>
      <c r="AN1400" s="8"/>
      <c r="AO1400" s="9"/>
      <c r="AP1400" s="9"/>
      <c r="AQ1400" s="9"/>
      <c r="AR1400" s="8"/>
      <c r="AS1400" s="8"/>
      <c r="AT1400" s="8"/>
      <c r="AU1400" s="8"/>
      <c r="AV1400" s="8"/>
      <c r="AW1400" s="8"/>
      <c r="AX1400" s="8"/>
      <c r="AY1400" s="8"/>
      <c r="AZ1400" s="8"/>
    </row>
    <row r="1401" spans="21:52" ht="16.899999999999999">
      <c r="U1401" s="8"/>
      <c r="W1401" s="10"/>
      <c r="X1401" s="10"/>
      <c r="Z1401" s="13"/>
      <c r="AA1401" s="13"/>
      <c r="AB1401" s="13"/>
      <c r="AC1401" s="9"/>
      <c r="AD1401" s="9"/>
      <c r="AE1401" s="11"/>
      <c r="AF1401" s="10"/>
      <c r="AG1401" s="11"/>
      <c r="AH1401" s="10"/>
      <c r="AI1401" s="11"/>
      <c r="AJ1401" s="10"/>
      <c r="AK1401" s="10"/>
      <c r="AL1401" s="10"/>
      <c r="AM1401" s="8"/>
      <c r="AN1401" s="8"/>
      <c r="AO1401" s="9"/>
      <c r="AP1401" s="9"/>
      <c r="AQ1401" s="9"/>
      <c r="AR1401" s="8"/>
      <c r="AS1401" s="8"/>
      <c r="AT1401" s="8"/>
      <c r="AU1401" s="8"/>
      <c r="AV1401" s="8"/>
      <c r="AW1401" s="8"/>
      <c r="AX1401" s="8"/>
      <c r="AY1401" s="8"/>
      <c r="AZ1401" s="8"/>
    </row>
    <row r="1402" spans="21:52" ht="16.899999999999999">
      <c r="U1402" s="8"/>
      <c r="W1402" s="10"/>
      <c r="X1402" s="10"/>
      <c r="Z1402" s="13"/>
      <c r="AA1402" s="13"/>
      <c r="AB1402" s="13"/>
      <c r="AC1402" s="9"/>
      <c r="AD1402" s="9"/>
      <c r="AE1402" s="11"/>
      <c r="AF1402" s="10"/>
      <c r="AG1402" s="11"/>
      <c r="AH1402" s="10"/>
      <c r="AI1402" s="11"/>
      <c r="AJ1402" s="10"/>
      <c r="AK1402" s="10"/>
      <c r="AL1402" s="10"/>
      <c r="AM1402" s="8"/>
      <c r="AN1402" s="8"/>
      <c r="AO1402" s="9"/>
      <c r="AP1402" s="9"/>
      <c r="AQ1402" s="9"/>
      <c r="AR1402" s="8"/>
      <c r="AS1402" s="8"/>
      <c r="AT1402" s="8"/>
      <c r="AU1402" s="8"/>
      <c r="AV1402" s="8"/>
      <c r="AW1402" s="8"/>
      <c r="AX1402" s="8"/>
      <c r="AY1402" s="8"/>
      <c r="AZ1402" s="8"/>
    </row>
    <row r="1403" spans="21:52" ht="16.899999999999999">
      <c r="U1403" s="8"/>
      <c r="W1403" s="10"/>
      <c r="X1403" s="10"/>
      <c r="Z1403" s="13"/>
      <c r="AA1403" s="13"/>
      <c r="AB1403" s="13"/>
      <c r="AC1403" s="9"/>
      <c r="AD1403" s="9"/>
      <c r="AE1403" s="11"/>
      <c r="AF1403" s="10"/>
      <c r="AG1403" s="11"/>
      <c r="AH1403" s="10"/>
      <c r="AI1403" s="11"/>
      <c r="AJ1403" s="10"/>
      <c r="AK1403" s="10"/>
      <c r="AL1403" s="10"/>
      <c r="AM1403" s="8"/>
      <c r="AN1403" s="8"/>
      <c r="AO1403" s="9"/>
      <c r="AP1403" s="9"/>
      <c r="AQ1403" s="9"/>
      <c r="AR1403" s="8"/>
      <c r="AS1403" s="8"/>
      <c r="AT1403" s="8"/>
      <c r="AU1403" s="8"/>
      <c r="AV1403" s="8"/>
      <c r="AW1403" s="8"/>
      <c r="AX1403" s="8"/>
      <c r="AY1403" s="8"/>
      <c r="AZ1403" s="8"/>
    </row>
    <row r="1404" spans="21:52" ht="16.899999999999999">
      <c r="U1404" s="8"/>
      <c r="W1404" s="10"/>
      <c r="X1404" s="10"/>
      <c r="Z1404" s="13"/>
      <c r="AA1404" s="13"/>
      <c r="AB1404" s="13"/>
      <c r="AC1404" s="9"/>
      <c r="AD1404" s="9"/>
      <c r="AE1404" s="11"/>
      <c r="AF1404" s="10"/>
      <c r="AG1404" s="11"/>
      <c r="AH1404" s="10"/>
      <c r="AI1404" s="11"/>
      <c r="AJ1404" s="10"/>
      <c r="AK1404" s="10"/>
      <c r="AL1404" s="10"/>
      <c r="AM1404" s="8"/>
      <c r="AN1404" s="8"/>
      <c r="AO1404" s="9"/>
      <c r="AP1404" s="9"/>
      <c r="AQ1404" s="9"/>
      <c r="AR1404" s="8"/>
      <c r="AS1404" s="8"/>
      <c r="AT1404" s="8"/>
      <c r="AU1404" s="8"/>
      <c r="AV1404" s="8"/>
      <c r="AW1404" s="8"/>
      <c r="AX1404" s="8"/>
      <c r="AY1404" s="8"/>
      <c r="AZ1404" s="8"/>
    </row>
    <row r="1405" spans="21:52" ht="16.899999999999999">
      <c r="U1405" s="8"/>
      <c r="W1405" s="10"/>
      <c r="X1405" s="10"/>
      <c r="Z1405" s="13"/>
      <c r="AA1405" s="13"/>
      <c r="AB1405" s="13"/>
      <c r="AC1405" s="9"/>
      <c r="AD1405" s="9"/>
      <c r="AE1405" s="11"/>
      <c r="AF1405" s="10"/>
      <c r="AG1405" s="11"/>
      <c r="AH1405" s="10"/>
      <c r="AI1405" s="11"/>
      <c r="AJ1405" s="10"/>
      <c r="AK1405" s="10"/>
      <c r="AL1405" s="10"/>
      <c r="AM1405" s="8"/>
      <c r="AN1405" s="8"/>
      <c r="AO1405" s="9"/>
      <c r="AP1405" s="9"/>
      <c r="AQ1405" s="9"/>
      <c r="AR1405" s="8"/>
      <c r="AS1405" s="8"/>
      <c r="AT1405" s="8"/>
      <c r="AU1405" s="8"/>
      <c r="AV1405" s="8"/>
      <c r="AW1405" s="8"/>
      <c r="AX1405" s="8"/>
      <c r="AY1405" s="8"/>
      <c r="AZ1405" s="8"/>
    </row>
    <row r="1406" spans="21:52" ht="16.899999999999999">
      <c r="U1406" s="8"/>
      <c r="W1406" s="10"/>
      <c r="X1406" s="10"/>
      <c r="Z1406" s="13"/>
      <c r="AA1406" s="13"/>
      <c r="AB1406" s="13"/>
      <c r="AC1406" s="9"/>
      <c r="AD1406" s="9"/>
      <c r="AE1406" s="11"/>
      <c r="AF1406" s="10"/>
      <c r="AG1406" s="11"/>
      <c r="AH1406" s="10"/>
      <c r="AI1406" s="11"/>
      <c r="AJ1406" s="10"/>
      <c r="AK1406" s="10"/>
      <c r="AL1406" s="10"/>
      <c r="AM1406" s="8"/>
      <c r="AN1406" s="8"/>
      <c r="AO1406" s="9"/>
      <c r="AP1406" s="9"/>
      <c r="AQ1406" s="9"/>
      <c r="AR1406" s="8"/>
      <c r="AS1406" s="8"/>
      <c r="AT1406" s="8"/>
      <c r="AU1406" s="8"/>
      <c r="AV1406" s="8"/>
      <c r="AW1406" s="8"/>
      <c r="AX1406" s="8"/>
      <c r="AY1406" s="8"/>
      <c r="AZ1406" s="8"/>
    </row>
    <row r="1407" spans="21:52" ht="16.899999999999999">
      <c r="U1407" s="8"/>
      <c r="W1407" s="10"/>
      <c r="X1407" s="10"/>
      <c r="Z1407" s="13"/>
      <c r="AA1407" s="13"/>
      <c r="AB1407" s="13"/>
      <c r="AC1407" s="9"/>
      <c r="AD1407" s="9"/>
      <c r="AE1407" s="11"/>
      <c r="AF1407" s="10"/>
      <c r="AG1407" s="11"/>
      <c r="AH1407" s="10"/>
      <c r="AI1407" s="11"/>
      <c r="AJ1407" s="10"/>
      <c r="AK1407" s="10"/>
      <c r="AL1407" s="10"/>
      <c r="AM1407" s="8"/>
      <c r="AN1407" s="8"/>
      <c r="AO1407" s="9"/>
      <c r="AP1407" s="9"/>
      <c r="AQ1407" s="9"/>
      <c r="AR1407" s="8"/>
      <c r="AS1407" s="8"/>
      <c r="AT1407" s="8"/>
      <c r="AU1407" s="8"/>
      <c r="AV1407" s="8"/>
      <c r="AW1407" s="8"/>
      <c r="AX1407" s="8"/>
      <c r="AY1407" s="8"/>
      <c r="AZ1407" s="8"/>
    </row>
    <row r="1408" spans="21:52" ht="16.899999999999999">
      <c r="U1408" s="8"/>
      <c r="W1408" s="10"/>
      <c r="X1408" s="10"/>
      <c r="Z1408" s="13"/>
      <c r="AA1408" s="13"/>
      <c r="AB1408" s="13"/>
      <c r="AC1408" s="9"/>
      <c r="AD1408" s="9"/>
      <c r="AE1408" s="11"/>
      <c r="AF1408" s="10"/>
      <c r="AG1408" s="11"/>
      <c r="AH1408" s="10"/>
      <c r="AI1408" s="11"/>
      <c r="AJ1408" s="10"/>
      <c r="AK1408" s="10"/>
      <c r="AL1408" s="10"/>
      <c r="AM1408" s="8"/>
      <c r="AN1408" s="8"/>
      <c r="AO1408" s="9"/>
      <c r="AP1408" s="9"/>
      <c r="AQ1408" s="9"/>
      <c r="AR1408" s="8"/>
      <c r="AS1408" s="8"/>
      <c r="AT1408" s="8"/>
      <c r="AU1408" s="8"/>
      <c r="AV1408" s="8"/>
      <c r="AW1408" s="8"/>
      <c r="AX1408" s="8"/>
      <c r="AY1408" s="8"/>
      <c r="AZ1408" s="8"/>
    </row>
    <row r="1409" spans="21:52" ht="16.899999999999999">
      <c r="U1409" s="8"/>
      <c r="W1409" s="10"/>
      <c r="X1409" s="10"/>
      <c r="Z1409" s="13"/>
      <c r="AA1409" s="13"/>
      <c r="AB1409" s="13"/>
      <c r="AC1409" s="9"/>
      <c r="AD1409" s="9"/>
      <c r="AE1409" s="11"/>
      <c r="AF1409" s="10"/>
      <c r="AG1409" s="11"/>
      <c r="AH1409" s="10"/>
      <c r="AI1409" s="11"/>
      <c r="AJ1409" s="10"/>
      <c r="AK1409" s="10"/>
      <c r="AL1409" s="10"/>
      <c r="AM1409" s="8"/>
      <c r="AN1409" s="8"/>
      <c r="AO1409" s="9"/>
      <c r="AP1409" s="9"/>
      <c r="AQ1409" s="9"/>
      <c r="AR1409" s="8"/>
      <c r="AS1409" s="8"/>
      <c r="AT1409" s="8"/>
      <c r="AU1409" s="8"/>
      <c r="AV1409" s="8"/>
      <c r="AW1409" s="8"/>
      <c r="AX1409" s="8"/>
      <c r="AY1409" s="8"/>
      <c r="AZ1409" s="8"/>
    </row>
    <row r="1410" spans="21:52" ht="16.899999999999999">
      <c r="U1410" s="8"/>
      <c r="W1410" s="10"/>
      <c r="X1410" s="10"/>
      <c r="Z1410" s="13"/>
      <c r="AA1410" s="13"/>
      <c r="AB1410" s="13"/>
      <c r="AC1410" s="9"/>
      <c r="AD1410" s="9"/>
      <c r="AE1410" s="11"/>
      <c r="AF1410" s="10"/>
      <c r="AG1410" s="11"/>
      <c r="AH1410" s="10"/>
      <c r="AI1410" s="11"/>
      <c r="AJ1410" s="10"/>
      <c r="AK1410" s="10"/>
      <c r="AL1410" s="10"/>
      <c r="AM1410" s="8"/>
      <c r="AN1410" s="8"/>
      <c r="AO1410" s="9"/>
      <c r="AP1410" s="9"/>
      <c r="AQ1410" s="9"/>
      <c r="AR1410" s="8"/>
      <c r="AS1410" s="8"/>
      <c r="AT1410" s="8"/>
      <c r="AU1410" s="8"/>
      <c r="AV1410" s="8"/>
      <c r="AW1410" s="8"/>
      <c r="AX1410" s="8"/>
      <c r="AY1410" s="8"/>
      <c r="AZ1410" s="8"/>
    </row>
    <row r="1411" spans="21:52" ht="16.899999999999999">
      <c r="U1411" s="8"/>
      <c r="W1411" s="10"/>
      <c r="X1411" s="10"/>
      <c r="Z1411" s="13"/>
      <c r="AA1411" s="13"/>
      <c r="AB1411" s="13"/>
      <c r="AC1411" s="9"/>
      <c r="AD1411" s="9"/>
      <c r="AE1411" s="11"/>
      <c r="AF1411" s="10"/>
      <c r="AG1411" s="11"/>
      <c r="AH1411" s="10"/>
      <c r="AI1411" s="11"/>
      <c r="AJ1411" s="10"/>
      <c r="AK1411" s="10"/>
      <c r="AL1411" s="10"/>
      <c r="AM1411" s="8"/>
      <c r="AN1411" s="8"/>
      <c r="AO1411" s="9"/>
      <c r="AP1411" s="9"/>
      <c r="AQ1411" s="9"/>
      <c r="AR1411" s="8"/>
      <c r="AS1411" s="8"/>
      <c r="AT1411" s="8"/>
      <c r="AU1411" s="8"/>
      <c r="AV1411" s="8"/>
      <c r="AW1411" s="8"/>
      <c r="AX1411" s="8"/>
      <c r="AY1411" s="8"/>
      <c r="AZ1411" s="8"/>
    </row>
    <row r="1412" spans="21:52" ht="16.899999999999999">
      <c r="U1412" s="8"/>
      <c r="W1412" s="10"/>
      <c r="X1412" s="10"/>
      <c r="Z1412" s="13"/>
      <c r="AA1412" s="13"/>
      <c r="AB1412" s="13"/>
      <c r="AC1412" s="9"/>
      <c r="AD1412" s="9"/>
      <c r="AE1412" s="11"/>
      <c r="AF1412" s="10"/>
      <c r="AG1412" s="11"/>
      <c r="AH1412" s="10"/>
      <c r="AI1412" s="11"/>
      <c r="AJ1412" s="10"/>
      <c r="AK1412" s="10"/>
      <c r="AL1412" s="10"/>
      <c r="AM1412" s="8"/>
      <c r="AN1412" s="8"/>
      <c r="AO1412" s="9"/>
      <c r="AP1412" s="9"/>
      <c r="AQ1412" s="9"/>
      <c r="AR1412" s="8"/>
      <c r="AS1412" s="8"/>
      <c r="AT1412" s="8"/>
      <c r="AU1412" s="8"/>
      <c r="AV1412" s="8"/>
      <c r="AW1412" s="8"/>
      <c r="AX1412" s="8"/>
      <c r="AY1412" s="8"/>
      <c r="AZ1412" s="8"/>
    </row>
    <row r="1413" spans="21:52" ht="16.899999999999999">
      <c r="U1413" s="8"/>
      <c r="W1413" s="10"/>
      <c r="X1413" s="10"/>
      <c r="Z1413" s="13"/>
      <c r="AA1413" s="13"/>
      <c r="AB1413" s="13"/>
      <c r="AC1413" s="9"/>
      <c r="AD1413" s="9"/>
      <c r="AE1413" s="11"/>
      <c r="AF1413" s="10"/>
      <c r="AG1413" s="11"/>
      <c r="AH1413" s="10"/>
      <c r="AI1413" s="11"/>
      <c r="AJ1413" s="10"/>
      <c r="AK1413" s="10"/>
      <c r="AL1413" s="10"/>
      <c r="AM1413" s="8"/>
      <c r="AN1413" s="8"/>
      <c r="AO1413" s="9"/>
      <c r="AP1413" s="9"/>
      <c r="AQ1413" s="9"/>
      <c r="AR1413" s="8"/>
      <c r="AS1413" s="8"/>
      <c r="AT1413" s="8"/>
      <c r="AU1413" s="8"/>
      <c r="AV1413" s="8"/>
      <c r="AW1413" s="8"/>
      <c r="AX1413" s="8"/>
      <c r="AY1413" s="8"/>
      <c r="AZ1413" s="8"/>
    </row>
    <row r="1414" spans="21:52" ht="16.899999999999999">
      <c r="U1414" s="8"/>
      <c r="W1414" s="10"/>
      <c r="X1414" s="10"/>
      <c r="Z1414" s="13"/>
      <c r="AA1414" s="13"/>
      <c r="AB1414" s="13"/>
      <c r="AC1414" s="9"/>
      <c r="AD1414" s="9"/>
      <c r="AE1414" s="11"/>
      <c r="AF1414" s="10"/>
      <c r="AG1414" s="11"/>
      <c r="AH1414" s="10"/>
      <c r="AI1414" s="11"/>
      <c r="AJ1414" s="10"/>
      <c r="AK1414" s="10"/>
      <c r="AL1414" s="10"/>
      <c r="AM1414" s="8"/>
      <c r="AN1414" s="8"/>
      <c r="AO1414" s="9"/>
      <c r="AP1414" s="9"/>
      <c r="AQ1414" s="9"/>
      <c r="AR1414" s="8"/>
      <c r="AS1414" s="8"/>
      <c r="AT1414" s="8"/>
      <c r="AU1414" s="8"/>
      <c r="AV1414" s="8"/>
      <c r="AW1414" s="8"/>
      <c r="AX1414" s="8"/>
      <c r="AY1414" s="8"/>
      <c r="AZ1414" s="8"/>
    </row>
    <row r="1415" spans="21:52" ht="16.899999999999999">
      <c r="U1415" s="8"/>
      <c r="W1415" s="10"/>
      <c r="X1415" s="10"/>
      <c r="Z1415" s="13"/>
      <c r="AA1415" s="13"/>
      <c r="AB1415" s="13"/>
      <c r="AC1415" s="9"/>
      <c r="AD1415" s="9"/>
      <c r="AE1415" s="11"/>
      <c r="AF1415" s="10"/>
      <c r="AG1415" s="11"/>
      <c r="AH1415" s="10"/>
      <c r="AI1415" s="11"/>
      <c r="AJ1415" s="10"/>
      <c r="AK1415" s="10"/>
      <c r="AL1415" s="10"/>
      <c r="AM1415" s="8"/>
      <c r="AN1415" s="8"/>
      <c r="AO1415" s="9"/>
      <c r="AP1415" s="9"/>
      <c r="AQ1415" s="9"/>
      <c r="AR1415" s="8"/>
      <c r="AS1415" s="8"/>
      <c r="AT1415" s="8"/>
      <c r="AU1415" s="8"/>
      <c r="AV1415" s="8"/>
      <c r="AW1415" s="8"/>
      <c r="AX1415" s="8"/>
      <c r="AY1415" s="8"/>
      <c r="AZ1415" s="8"/>
    </row>
    <row r="1416" spans="21:52" ht="16.899999999999999">
      <c r="U1416" s="8"/>
      <c r="W1416" s="10"/>
      <c r="X1416" s="10"/>
      <c r="Z1416" s="13"/>
      <c r="AA1416" s="13"/>
      <c r="AB1416" s="13"/>
      <c r="AC1416" s="9"/>
      <c r="AD1416" s="9"/>
      <c r="AE1416" s="11"/>
      <c r="AF1416" s="10"/>
      <c r="AG1416" s="11"/>
      <c r="AH1416" s="10"/>
      <c r="AI1416" s="11"/>
      <c r="AJ1416" s="10"/>
      <c r="AK1416" s="10"/>
      <c r="AL1416" s="10"/>
      <c r="AM1416" s="8"/>
      <c r="AN1416" s="8"/>
      <c r="AO1416" s="9"/>
      <c r="AP1416" s="9"/>
      <c r="AQ1416" s="9"/>
      <c r="AR1416" s="8"/>
      <c r="AS1416" s="8"/>
      <c r="AT1416" s="8"/>
      <c r="AU1416" s="8"/>
      <c r="AV1416" s="8"/>
      <c r="AW1416" s="8"/>
      <c r="AX1416" s="8"/>
      <c r="AY1416" s="8"/>
      <c r="AZ1416" s="8"/>
    </row>
    <row r="1417" spans="21:52" ht="16.899999999999999">
      <c r="U1417" s="8"/>
      <c r="W1417" s="10"/>
      <c r="X1417" s="10"/>
      <c r="Z1417" s="13"/>
      <c r="AA1417" s="13"/>
      <c r="AB1417" s="13"/>
      <c r="AC1417" s="9"/>
      <c r="AD1417" s="9"/>
      <c r="AE1417" s="11"/>
      <c r="AF1417" s="10"/>
      <c r="AG1417" s="11"/>
      <c r="AH1417" s="10"/>
      <c r="AI1417" s="11"/>
      <c r="AJ1417" s="10"/>
      <c r="AK1417" s="10"/>
      <c r="AL1417" s="10"/>
      <c r="AM1417" s="8"/>
      <c r="AN1417" s="8"/>
      <c r="AO1417" s="9"/>
      <c r="AP1417" s="9"/>
      <c r="AQ1417" s="9"/>
      <c r="AR1417" s="8"/>
      <c r="AS1417" s="8"/>
      <c r="AT1417" s="8"/>
      <c r="AU1417" s="8"/>
      <c r="AV1417" s="8"/>
      <c r="AW1417" s="8"/>
      <c r="AX1417" s="8"/>
      <c r="AY1417" s="8"/>
      <c r="AZ1417" s="8"/>
    </row>
    <row r="1418" spans="21:52" ht="16.899999999999999">
      <c r="U1418" s="8"/>
      <c r="W1418" s="10"/>
      <c r="X1418" s="10"/>
      <c r="Z1418" s="13"/>
      <c r="AA1418" s="13"/>
      <c r="AB1418" s="13"/>
      <c r="AC1418" s="9"/>
      <c r="AD1418" s="9"/>
      <c r="AE1418" s="11"/>
      <c r="AF1418" s="10"/>
      <c r="AG1418" s="11"/>
      <c r="AH1418" s="10"/>
      <c r="AI1418" s="11"/>
      <c r="AJ1418" s="10"/>
      <c r="AK1418" s="10"/>
      <c r="AL1418" s="10"/>
      <c r="AM1418" s="8"/>
      <c r="AN1418" s="8"/>
      <c r="AO1418" s="9"/>
      <c r="AP1418" s="9"/>
      <c r="AQ1418" s="9"/>
      <c r="AR1418" s="8"/>
      <c r="AS1418" s="8"/>
      <c r="AT1418" s="8"/>
      <c r="AU1418" s="8"/>
      <c r="AV1418" s="8"/>
      <c r="AW1418" s="8"/>
      <c r="AX1418" s="8"/>
      <c r="AY1418" s="8"/>
      <c r="AZ1418" s="8"/>
    </row>
    <row r="1419" spans="21:52" ht="16.899999999999999">
      <c r="U1419" s="8"/>
      <c r="W1419" s="10"/>
      <c r="X1419" s="10"/>
      <c r="Z1419" s="13"/>
      <c r="AA1419" s="13"/>
      <c r="AB1419" s="13"/>
      <c r="AC1419" s="9"/>
      <c r="AD1419" s="9"/>
      <c r="AE1419" s="11"/>
      <c r="AF1419" s="10"/>
      <c r="AG1419" s="11"/>
      <c r="AH1419" s="10"/>
      <c r="AI1419" s="11"/>
      <c r="AJ1419" s="10"/>
      <c r="AK1419" s="10"/>
      <c r="AL1419" s="10"/>
      <c r="AM1419" s="8"/>
      <c r="AN1419" s="8"/>
      <c r="AO1419" s="9"/>
      <c r="AP1419" s="9"/>
      <c r="AQ1419" s="9"/>
      <c r="AR1419" s="8"/>
      <c r="AS1419" s="8"/>
      <c r="AT1419" s="8"/>
      <c r="AU1419" s="8"/>
      <c r="AV1419" s="8"/>
      <c r="AW1419" s="8"/>
      <c r="AX1419" s="8"/>
      <c r="AY1419" s="8"/>
      <c r="AZ1419" s="8"/>
    </row>
    <row r="1420" spans="21:52" ht="16.899999999999999">
      <c r="U1420" s="8"/>
      <c r="W1420" s="10"/>
      <c r="X1420" s="10"/>
      <c r="Z1420" s="13"/>
      <c r="AA1420" s="13"/>
      <c r="AB1420" s="13"/>
      <c r="AC1420" s="9"/>
      <c r="AD1420" s="9"/>
      <c r="AE1420" s="11"/>
      <c r="AF1420" s="10"/>
      <c r="AG1420" s="11"/>
      <c r="AH1420" s="10"/>
      <c r="AI1420" s="11"/>
      <c r="AJ1420" s="10"/>
      <c r="AK1420" s="10"/>
      <c r="AL1420" s="10"/>
      <c r="AM1420" s="8"/>
      <c r="AN1420" s="8"/>
      <c r="AO1420" s="9"/>
      <c r="AP1420" s="9"/>
      <c r="AQ1420" s="9"/>
      <c r="AR1420" s="8"/>
      <c r="AS1420" s="8"/>
      <c r="AT1420" s="8"/>
      <c r="AU1420" s="8"/>
      <c r="AV1420" s="8"/>
      <c r="AW1420" s="8"/>
      <c r="AX1420" s="8"/>
      <c r="AY1420" s="8"/>
      <c r="AZ1420" s="8"/>
    </row>
  </sheetData>
  <autoFilter ref="A1:AM475" xr:uid="{00000000-0001-0000-0500-000000000000}"/>
  <phoneticPr fontId="3" type="noConversion"/>
  <conditionalFormatting sqref="A2:N82 A85:N440">
    <cfRule type="expression" dxfId="61" priority="3">
      <formula>$Q2="야드"</formula>
    </cfRule>
    <cfRule type="expression" dxfId="60" priority="4">
      <formula>$Q2="출고"</formula>
    </cfRule>
  </conditionalFormatting>
  <conditionalFormatting sqref="A83:N83">
    <cfRule type="expression" dxfId="59" priority="103">
      <formula>#REF!="야드"</formula>
    </cfRule>
    <cfRule type="expression" dxfId="58" priority="104">
      <formula>#REF!="출고"</formula>
    </cfRule>
  </conditionalFormatting>
  <conditionalFormatting sqref="A84:G84 M84:N84">
    <cfRule type="expression" dxfId="57" priority="101">
      <formula>$Q83="야드"</formula>
    </cfRule>
    <cfRule type="expression" dxfId="56" priority="102">
      <formula>$Q83="출고"</formula>
    </cfRule>
  </conditionalFormatting>
  <conditionalFormatting sqref="T2:AZ440">
    <cfRule type="expression" dxfId="55" priority="10">
      <formula>$R2="완"</formula>
    </cfRule>
  </conditionalFormatting>
  <conditionalFormatting sqref="H84:L84">
    <cfRule type="expression" dxfId="3" priority="1">
      <formula>#REF!="야드"</formula>
    </cfRule>
    <cfRule type="expression" dxfId="2" priority="2">
      <formula>#REF!="출고"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N42"/>
  <sheetViews>
    <sheetView showGridLines="0" zoomScale="70" zoomScaleNormal="70" zoomScaleSheetLayoutView="100" workbookViewId="0">
      <selection activeCell="I2" sqref="I2:I16"/>
    </sheetView>
  </sheetViews>
  <sheetFormatPr defaultColWidth="9" defaultRowHeight="12.75"/>
  <cols>
    <col min="1" max="1" width="11.25" style="1" customWidth="1"/>
    <col min="2" max="2" width="20.125" style="1" customWidth="1"/>
    <col min="3" max="3" width="26.375" style="1" customWidth="1"/>
    <col min="4" max="4" width="13.375" style="1" customWidth="1"/>
    <col min="5" max="5" width="14.625" style="1" customWidth="1"/>
    <col min="6" max="6" width="18" style="1" customWidth="1"/>
    <col min="7" max="7" width="15.25" style="1" customWidth="1"/>
    <col min="8" max="8" width="18" style="1" bestFit="1" customWidth="1"/>
    <col min="9" max="9" width="41.625" style="71" customWidth="1"/>
    <col min="10" max="16384" width="9" style="1"/>
  </cols>
  <sheetData>
    <row r="1" spans="1:14" ht="84" customHeight="1">
      <c r="A1" s="96"/>
      <c r="B1" s="97"/>
      <c r="C1" s="48"/>
      <c r="D1" s="48"/>
      <c r="E1" s="350" t="s">
        <v>20</v>
      </c>
      <c r="F1" s="350"/>
      <c r="G1" s="351"/>
      <c r="H1" s="73">
        <v>83</v>
      </c>
      <c r="I1" s="75" t="s">
        <v>168</v>
      </c>
    </row>
    <row r="2" spans="1:14" ht="23.25" customHeight="1">
      <c r="A2" s="357" t="s">
        <v>19</v>
      </c>
      <c r="B2" s="358"/>
      <c r="C2" s="358"/>
      <c r="D2" s="49"/>
      <c r="G2" s="50"/>
      <c r="I2" s="76" t="s">
        <v>167</v>
      </c>
    </row>
    <row r="3" spans="1:14" ht="27.95" customHeight="1" thickBot="1">
      <c r="A3" s="357"/>
      <c r="B3" s="358"/>
      <c r="C3" s="358"/>
      <c r="D3" s="49"/>
      <c r="E3" s="51" t="s">
        <v>18</v>
      </c>
      <c r="F3" s="363">
        <f>VLOOKUP($H$1,'달러 판매현황'!A2:BA241,2,FALSE)</f>
        <v>46190</v>
      </c>
      <c r="G3" s="364"/>
      <c r="I3" s="77" t="str">
        <f>"차량명 : " &amp; VLOOKUP($H$1,'달러 판매현황'!A2:BA241,3,FALSE)</f>
        <v>차량명 : E-CLASS</v>
      </c>
    </row>
    <row r="4" spans="1:14" ht="27.95" customHeight="1" thickTop="1" thickBot="1">
      <c r="A4" s="52"/>
      <c r="B4" s="53"/>
      <c r="C4" s="53"/>
      <c r="D4" s="53"/>
      <c r="E4" s="51" t="s">
        <v>17</v>
      </c>
      <c r="F4" s="361" t="str">
        <f>"YB"&amp;RIGHT(C18,6)</f>
        <v>YB093089</v>
      </c>
      <c r="G4" s="362"/>
      <c r="I4" s="78" t="str">
        <f>"차량번호 : " &amp; TEXT(VLOOKUP($H$1,'달러 판매현황'!A1:BA240,4,FALSE),"#,##0")</f>
        <v>차량번호 : 190머9766</v>
      </c>
    </row>
    <row r="5" spans="1:14" ht="27.95" customHeight="1" thickTop="1" thickBot="1">
      <c r="A5" s="54"/>
      <c r="B5" s="55"/>
      <c r="E5" s="51" t="s">
        <v>16</v>
      </c>
      <c r="F5" s="361" t="str">
        <f>VLOOKUP($H$1,'달러 판매현황'!A2:BA241,9,FALSE)</f>
        <v xml:space="preserve"> Faturat Net Sh.p.k</v>
      </c>
      <c r="G5" s="362"/>
      <c r="I5" s="78" t="str">
        <f>"차대번호 : " &amp; TEXT(VLOOKUP($H$1,'달러 판매현황'!A2:BA241,5,FALSE),"#,##0")</f>
        <v>차대번호 : WDDZ0EB5HA093089</v>
      </c>
    </row>
    <row r="6" spans="1:14" ht="27.95" customHeight="1" thickTop="1" thickBot="1">
      <c r="A6" s="54"/>
      <c r="B6" s="55"/>
      <c r="E6" s="51" t="s">
        <v>149</v>
      </c>
      <c r="F6" s="361">
        <f>VLOOKUP($H$1,'달러 판매현황'!A2:BA242,10,FALSE)</f>
        <v>811577636</v>
      </c>
      <c r="G6" s="362"/>
      <c r="I6" s="79" t="str">
        <f>"차량대금 : " &amp; TEXT(VLOOKUP($H$1,'달러 판매현황'!A2:BA241,13,FALSE),"#,##0") &amp; "원"</f>
        <v>차량대금 : 17,500,000원</v>
      </c>
    </row>
    <row r="7" spans="1:14" ht="27.95" customHeight="1" thickTop="1" thickBot="1">
      <c r="A7" s="355"/>
      <c r="B7" s="356"/>
      <c r="E7" s="51" t="s">
        <v>529</v>
      </c>
      <c r="F7" s="361" t="str">
        <f>VLOOKUP($H$1,'달러 판매현황'!A2:BA243,12,FALSE)</f>
        <v>Kosovo</v>
      </c>
      <c r="G7" s="362"/>
      <c r="I7" s="231" t="str">
        <f>"매도비 : "&amp;VLOOKUP($H$1,'달러 판매현황'!A3:BA242,14,FALSE)&amp;"원"</f>
        <v>매도비 : 0원</v>
      </c>
      <c r="N7" s="72"/>
    </row>
    <row r="8" spans="1:14" ht="27.95" customHeight="1" thickTop="1" thickBot="1">
      <c r="A8" s="355"/>
      <c r="B8" s="356"/>
      <c r="E8" s="51" t="s">
        <v>14</v>
      </c>
      <c r="F8" s="361" t="str">
        <f>VLOOKUP($H$1,'달러 판매현황'!A2:BA241,12,FALSE)</f>
        <v>Kosovo</v>
      </c>
      <c r="G8" s="362"/>
      <c r="I8" s="80" t="s">
        <v>166</v>
      </c>
    </row>
    <row r="9" spans="1:14" ht="27.95" customHeight="1" thickTop="1" thickBot="1">
      <c r="A9" s="54"/>
      <c r="B9" s="55"/>
      <c r="E9" s="51" t="s">
        <v>13</v>
      </c>
      <c r="F9" s="361" t="str">
        <f>VLOOKUP($H$1,'달러 판매현황'!A2:BA245,11,FALSE)</f>
        <v>+38349930085, +38344371274</v>
      </c>
      <c r="G9" s="362"/>
      <c r="I9" s="78" t="str">
        <f>"판매처 : " &amp; VLOOKUP($H$1,'달러 판매현황'!A5:BA244,6,FALSE)</f>
        <v>판매처 : 세이프티중고차 / 장순주</v>
      </c>
    </row>
    <row r="10" spans="1:14" ht="27.95" customHeight="1" thickTop="1">
      <c r="A10" s="359"/>
      <c r="B10" s="360"/>
      <c r="E10" s="51" t="s">
        <v>148</v>
      </c>
      <c r="F10" s="365">
        <f>VLOOKUP($H$1,'달러 판매현황'!A2:BA241,21,FALSE)</f>
        <v>1505</v>
      </c>
      <c r="G10" s="366"/>
      <c r="I10" s="81" t="str">
        <f>"바이어 : " &amp; VLOOKUP($H$1,'달러 판매현황'!A5:BA244,8,FALSE)</f>
        <v>바이어 : Faturat Net Sh.p.k</v>
      </c>
    </row>
    <row r="11" spans="1:14" ht="27.95" customHeight="1">
      <c r="A11" s="359"/>
      <c r="B11" s="360"/>
      <c r="C11" s="56"/>
      <c r="D11" s="56"/>
      <c r="E11" s="57"/>
      <c r="G11" s="50"/>
      <c r="I11" s="82" t="str">
        <f>"판매금액 : $" &amp; TEXT(VLOOKUP($H$1,'달러 판매현황'!A2:BA245,20,FALSE),"#,##0")</f>
        <v>판매금액 : $11,410</v>
      </c>
    </row>
    <row r="12" spans="1:14" ht="23.25" customHeight="1">
      <c r="A12" s="352" t="s">
        <v>12</v>
      </c>
      <c r="B12" s="353"/>
      <c r="C12" s="353"/>
      <c r="D12" s="353"/>
      <c r="E12" s="353"/>
      <c r="F12" s="353"/>
      <c r="G12" s="354"/>
      <c r="I12" s="83" t="s">
        <v>165</v>
      </c>
    </row>
    <row r="13" spans="1:14" ht="21.75" customHeight="1">
      <c r="A13" s="369" t="s">
        <v>11</v>
      </c>
      <c r="B13" s="370"/>
      <c r="C13" s="367" t="s">
        <v>21</v>
      </c>
      <c r="D13" s="368"/>
      <c r="E13" s="4" t="s">
        <v>10</v>
      </c>
      <c r="F13" s="375" t="s">
        <v>24</v>
      </c>
      <c r="G13" s="376"/>
      <c r="I13" s="84" t="str">
        <f>"환율 : $" &amp; VLOOKUP($H$1,'달러 판매현황'!A2:BA245,21,FALSE)</f>
        <v>환율 : $1505</v>
      </c>
    </row>
    <row r="14" spans="1:14" ht="21.75" customHeight="1">
      <c r="A14" s="369" t="s">
        <v>9</v>
      </c>
      <c r="B14" s="370"/>
      <c r="C14" s="367" t="s">
        <v>22</v>
      </c>
      <c r="D14" s="368"/>
      <c r="E14" s="4" t="s">
        <v>8</v>
      </c>
      <c r="F14" s="377" t="s">
        <v>25</v>
      </c>
      <c r="G14" s="376"/>
      <c r="I14" s="82" t="str">
        <f>"운임비 : $" &amp; TEXT(VLOOKUP($H$1,'달러 판매현황'!A2:BA245,22,FALSE),"#,##0")</f>
        <v>운임비 : $1,640</v>
      </c>
    </row>
    <row r="15" spans="1:14" ht="21.75" customHeight="1">
      <c r="A15" s="369" t="s">
        <v>7</v>
      </c>
      <c r="B15" s="370"/>
      <c r="C15" s="367" t="s">
        <v>23</v>
      </c>
      <c r="D15" s="368"/>
      <c r="E15" s="4" t="s">
        <v>6</v>
      </c>
      <c r="F15" s="371" t="s">
        <v>26</v>
      </c>
      <c r="G15" s="372"/>
      <c r="I15" s="85" t="str">
        <f>"토탈 입금 받을금액 : $" &amp; TEXT(VLOOKUP($H$1,'달러 판매현황'!A2:BA245,26,FALSE),"#,##0")</f>
        <v>토탈 입금 받을금액 : $13,050</v>
      </c>
    </row>
    <row r="16" spans="1:14" ht="23.25" customHeight="1" thickBot="1">
      <c r="A16" s="58"/>
      <c r="C16" s="56"/>
      <c r="D16" s="56"/>
      <c r="E16" s="57"/>
      <c r="G16" s="50"/>
      <c r="I16" s="86" t="str">
        <f>"계약금" &amp; TEXT(VLOOKUP($H$1,'달러 판매현황'!A2:BA245,7,FALSE),"#,##0")</f>
        <v>계약금회사100</v>
      </c>
    </row>
    <row r="17" spans="1:10" ht="25.5" customHeight="1">
      <c r="A17" s="68" t="s">
        <v>5</v>
      </c>
      <c r="B17" s="69" t="s">
        <v>4</v>
      </c>
      <c r="C17" s="69" t="s">
        <v>3</v>
      </c>
      <c r="D17" s="69" t="s">
        <v>153</v>
      </c>
      <c r="E17" s="69" t="s">
        <v>147</v>
      </c>
      <c r="F17" s="382" t="s">
        <v>2</v>
      </c>
      <c r="G17" s="383"/>
      <c r="I17" s="74"/>
      <c r="J17" s="2"/>
    </row>
    <row r="18" spans="1:10" s="2" customFormat="1" ht="20.100000000000001" customHeight="1">
      <c r="A18" s="59" t="str">
        <f>VLOOKUP($H$1,'달러 판매현황'!A2:BA242,4,FALSE)</f>
        <v>190머9766</v>
      </c>
      <c r="B18" s="98" t="str">
        <f>VLOOKUP($H$1,'달러 판매현황'!A2:BA242,3,FALSE)</f>
        <v>E-CLASS</v>
      </c>
      <c r="C18" s="3" t="str">
        <f>VLOOKUP($H$1,'달러 판매현황'!A2:BA242,5,FALSE)</f>
        <v>WDDZ0EB5HA093089</v>
      </c>
      <c r="D18" s="99">
        <f>VLOOKUP($H$1,'달러 판매현황'!A2:BA241,20,FALSE)</f>
        <v>11410</v>
      </c>
      <c r="E18" s="100">
        <f>VLOOKUP($H$1,'달러 판매현황'!A2:BA241,22,FALSE)</f>
        <v>1640</v>
      </c>
      <c r="F18" s="344">
        <f>SUM(D18:E18)</f>
        <v>13050</v>
      </c>
      <c r="G18" s="345"/>
      <c r="I18"/>
    </row>
    <row r="19" spans="1:10" s="2" customFormat="1" ht="20.100000000000001" customHeight="1">
      <c r="A19" s="59"/>
      <c r="B19" s="3"/>
      <c r="C19" s="3"/>
      <c r="D19" s="99"/>
      <c r="E19" s="100"/>
      <c r="F19" s="344"/>
      <c r="G19" s="345"/>
    </row>
    <row r="20" spans="1:10" s="2" customFormat="1" ht="20.100000000000001" customHeight="1">
      <c r="A20" s="59"/>
      <c r="B20" s="3"/>
      <c r="C20" s="3"/>
      <c r="D20" s="99"/>
      <c r="E20" s="100"/>
      <c r="F20" s="344"/>
      <c r="G20" s="345"/>
      <c r="I20"/>
    </row>
    <row r="21" spans="1:10" s="2" customFormat="1" ht="20.100000000000001" customHeight="1">
      <c r="A21" s="59"/>
      <c r="B21" s="3"/>
      <c r="C21" s="3"/>
      <c r="D21" s="99"/>
      <c r="E21" s="100"/>
      <c r="F21" s="344"/>
      <c r="G21" s="345"/>
      <c r="I21"/>
    </row>
    <row r="22" spans="1:10" s="2" customFormat="1" ht="20.100000000000001" customHeight="1">
      <c r="A22" s="59"/>
      <c r="B22" s="3"/>
      <c r="C22" s="3"/>
      <c r="D22" s="46"/>
      <c r="E22" s="46"/>
      <c r="F22" s="346"/>
      <c r="G22" s="347"/>
      <c r="I22"/>
    </row>
    <row r="23" spans="1:10" s="2" customFormat="1" ht="20.100000000000001" customHeight="1">
      <c r="A23" s="59"/>
      <c r="B23" s="3"/>
      <c r="C23" s="3"/>
      <c r="D23" s="45"/>
      <c r="E23" s="45"/>
      <c r="F23" s="346"/>
      <c r="G23" s="347"/>
      <c r="I23"/>
    </row>
    <row r="24" spans="1:10" s="2" customFormat="1" ht="20.100000000000001" customHeight="1">
      <c r="A24" s="59"/>
      <c r="B24" s="3"/>
      <c r="C24" s="3"/>
      <c r="D24" s="45"/>
      <c r="E24" s="45"/>
      <c r="F24" s="346"/>
      <c r="G24" s="347"/>
      <c r="I24"/>
    </row>
    <row r="25" spans="1:10" s="2" customFormat="1" ht="20.100000000000001" customHeight="1">
      <c r="A25" s="59"/>
      <c r="B25" s="3"/>
      <c r="C25" s="3"/>
      <c r="D25" s="46"/>
      <c r="E25" s="46"/>
      <c r="F25" s="346"/>
      <c r="G25" s="347"/>
      <c r="I25"/>
    </row>
    <row r="26" spans="1:10" s="2" customFormat="1" ht="20.100000000000001" customHeight="1">
      <c r="A26" s="59"/>
      <c r="B26" s="3"/>
      <c r="C26" s="3"/>
      <c r="D26" s="45"/>
      <c r="E26" s="45"/>
      <c r="F26" s="346"/>
      <c r="G26" s="347"/>
      <c r="I26"/>
    </row>
    <row r="27" spans="1:10" s="2" customFormat="1" ht="20.100000000000001" customHeight="1">
      <c r="A27" s="59"/>
      <c r="B27" s="3"/>
      <c r="C27" s="3"/>
      <c r="D27" s="45"/>
      <c r="E27" s="45"/>
      <c r="F27" s="346"/>
      <c r="G27" s="347"/>
      <c r="I27"/>
    </row>
    <row r="28" spans="1:10" s="2" customFormat="1" ht="20.100000000000001" customHeight="1">
      <c r="A28" s="59"/>
      <c r="B28" s="3"/>
      <c r="C28" s="3"/>
      <c r="D28" s="46"/>
      <c r="E28" s="46"/>
      <c r="F28" s="346"/>
      <c r="G28" s="347"/>
      <c r="I28"/>
    </row>
    <row r="29" spans="1:10" s="2" customFormat="1" ht="20.100000000000001" customHeight="1">
      <c r="A29" s="59"/>
      <c r="B29" s="3"/>
      <c r="C29" s="3"/>
      <c r="D29" s="45"/>
      <c r="E29" s="45"/>
      <c r="F29" s="346"/>
      <c r="G29" s="347"/>
      <c r="I29"/>
    </row>
    <row r="30" spans="1:10" s="2" customFormat="1" ht="20.100000000000001" customHeight="1">
      <c r="A30" s="59"/>
      <c r="B30" s="3"/>
      <c r="C30" s="3"/>
      <c r="D30" s="45"/>
      <c r="E30" s="45"/>
      <c r="F30" s="346"/>
      <c r="G30" s="347"/>
      <c r="I30"/>
    </row>
    <row r="31" spans="1:10" ht="30" customHeight="1">
      <c r="A31" s="58"/>
      <c r="E31" s="69" t="s">
        <v>1</v>
      </c>
      <c r="F31" s="380">
        <f>SUM(F18:G30)</f>
        <v>13050</v>
      </c>
      <c r="G31" s="381"/>
      <c r="I31"/>
    </row>
    <row r="32" spans="1:10" ht="30" customHeight="1">
      <c r="A32" s="58"/>
      <c r="C32" s="61"/>
      <c r="D32" s="61"/>
      <c r="E32" s="70" t="s">
        <v>154</v>
      </c>
      <c r="F32" s="378" t="s">
        <v>155</v>
      </c>
      <c r="G32" s="379"/>
      <c r="I32"/>
    </row>
    <row r="33" spans="1:9" ht="30" customHeight="1">
      <c r="A33" s="58"/>
      <c r="C33" s="62"/>
      <c r="D33" s="62"/>
      <c r="E33" s="70" t="s">
        <v>158</v>
      </c>
      <c r="F33" s="348" t="s">
        <v>155</v>
      </c>
      <c r="G33" s="349"/>
      <c r="I33"/>
    </row>
    <row r="34" spans="1:9" ht="30" customHeight="1">
      <c r="A34" s="63"/>
      <c r="E34" s="70"/>
      <c r="F34" s="378"/>
      <c r="G34" s="379"/>
    </row>
    <row r="35" spans="1:9" ht="30" customHeight="1">
      <c r="A35" s="58"/>
      <c r="E35" s="69" t="s">
        <v>0</v>
      </c>
      <c r="F35" s="373">
        <f>SUM(F31:G34)</f>
        <v>13050</v>
      </c>
      <c r="G35" s="374"/>
    </row>
    <row r="36" spans="1:9">
      <c r="A36" s="58"/>
      <c r="F36" s="61"/>
      <c r="G36" s="64"/>
    </row>
    <row r="37" spans="1:9">
      <c r="A37" s="58"/>
      <c r="F37" s="61"/>
      <c r="G37" s="64"/>
    </row>
    <row r="38" spans="1:9">
      <c r="A38" s="58"/>
      <c r="F38" s="61"/>
      <c r="G38" s="64"/>
    </row>
    <row r="39" spans="1:9">
      <c r="A39" s="58"/>
      <c r="G39" s="50"/>
    </row>
    <row r="40" spans="1:9">
      <c r="A40" s="58"/>
      <c r="G40" s="50"/>
    </row>
    <row r="41" spans="1:9">
      <c r="A41" s="58"/>
      <c r="G41" s="50"/>
    </row>
    <row r="42" spans="1:9" ht="13.15" thickBot="1">
      <c r="A42" s="65"/>
      <c r="B42" s="66"/>
      <c r="C42" s="66"/>
      <c r="D42" s="66"/>
      <c r="E42" s="66"/>
      <c r="F42" s="66"/>
      <c r="G42" s="67"/>
    </row>
  </sheetData>
  <mergeCells count="43">
    <mergeCell ref="F15:G15"/>
    <mergeCell ref="F8:G8"/>
    <mergeCell ref="F30:G30"/>
    <mergeCell ref="F5:G5"/>
    <mergeCell ref="F35:G35"/>
    <mergeCell ref="F13:G13"/>
    <mergeCell ref="F14:G14"/>
    <mergeCell ref="F29:G29"/>
    <mergeCell ref="F28:G28"/>
    <mergeCell ref="F18:G18"/>
    <mergeCell ref="F32:G32"/>
    <mergeCell ref="F31:G31"/>
    <mergeCell ref="F17:G17"/>
    <mergeCell ref="F34:G34"/>
    <mergeCell ref="F19:G19"/>
    <mergeCell ref="F20:G20"/>
    <mergeCell ref="C15:D15"/>
    <mergeCell ref="C14:D14"/>
    <mergeCell ref="C13:D13"/>
    <mergeCell ref="A13:B13"/>
    <mergeCell ref="A15:B15"/>
    <mergeCell ref="A14:B14"/>
    <mergeCell ref="E1:G1"/>
    <mergeCell ref="A12:G12"/>
    <mergeCell ref="A8:B8"/>
    <mergeCell ref="A2:C3"/>
    <mergeCell ref="A11:B11"/>
    <mergeCell ref="A10:B10"/>
    <mergeCell ref="F6:G6"/>
    <mergeCell ref="F4:G4"/>
    <mergeCell ref="F3:G3"/>
    <mergeCell ref="F10:G10"/>
    <mergeCell ref="F9:G9"/>
    <mergeCell ref="F7:G7"/>
    <mergeCell ref="A7:B7"/>
    <mergeCell ref="F21:G21"/>
    <mergeCell ref="F22:G22"/>
    <mergeCell ref="F33:G33"/>
    <mergeCell ref="F25:G25"/>
    <mergeCell ref="F26:G26"/>
    <mergeCell ref="F27:G27"/>
    <mergeCell ref="F23:G23"/>
    <mergeCell ref="F24:G24"/>
  </mergeCells>
  <phoneticPr fontId="3" type="noConversion"/>
  <printOptions horizontalCentered="1"/>
  <pageMargins left="0.31" right="0.18" top="0.66" bottom="0.45" header="0.61" footer="0.51181102362204722"/>
  <pageSetup paperSize="9" scale="7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8922-D792-47B5-976C-D11789DD3777}">
  <sheetPr filterMode="1">
    <tabColor rgb="FFFF0000"/>
    <outlinePr summaryBelow="0"/>
  </sheetPr>
  <dimension ref="A1:BD1452"/>
  <sheetViews>
    <sheetView tabSelected="1" zoomScale="41" zoomScaleNormal="70" zoomScaleSheetLayoutView="70" workbookViewId="0">
      <pane xSplit="5" ySplit="1" topLeftCell="F96" activePane="bottomRight" state="frozen"/>
      <selection pane="topRight" activeCell="F1" sqref="F1"/>
      <selection pane="bottomLeft" activeCell="A2" sqref="A2"/>
      <selection pane="bottomRight" activeCell="Q111" sqref="Q111"/>
    </sheetView>
  </sheetViews>
  <sheetFormatPr defaultColWidth="12.625" defaultRowHeight="15" customHeight="1" outlineLevelCol="1"/>
  <cols>
    <col min="1" max="1" width="7" style="5" customWidth="1"/>
    <col min="2" max="2" width="9.375" style="217" customWidth="1"/>
    <col min="3" max="3" width="17.75" style="5" customWidth="1"/>
    <col min="4" max="4" width="10.625" style="217" customWidth="1"/>
    <col min="5" max="5" width="21.25" style="5" customWidth="1"/>
    <col min="6" max="6" width="13.875" style="217" customWidth="1" outlineLevel="1"/>
    <col min="7" max="7" width="20.125" style="217" customWidth="1"/>
    <col min="8" max="8" width="13.75" style="5" customWidth="1"/>
    <col min="9" max="10" width="10.625" style="5" customWidth="1"/>
    <col min="11" max="11" width="13" style="101" customWidth="1"/>
    <col min="12" max="12" width="11.375" style="101" customWidth="1"/>
    <col min="13" max="13" width="24.1875" style="341" customWidth="1" outlineLevel="1"/>
    <col min="14" max="14" width="14" style="5" customWidth="1" outlineLevel="1"/>
    <col min="15" max="15" width="15.875" style="5" customWidth="1" outlineLevel="1"/>
    <col min="16" max="16" width="14" style="101" customWidth="1" outlineLevel="1"/>
    <col min="17" max="17" width="14" style="5" customWidth="1" outlineLevel="1"/>
    <col min="18" max="18" width="14" style="101" customWidth="1" outlineLevel="1"/>
    <col min="19" max="19" width="26.875" style="7" customWidth="1"/>
    <col min="20" max="20" width="10.25" style="102" customWidth="1"/>
    <col min="21" max="21" width="7.25" style="102" customWidth="1"/>
    <col min="22" max="22" width="8.75" style="203" customWidth="1"/>
    <col min="23" max="23" width="9.875" style="235" customWidth="1"/>
    <col min="24" max="24" width="13.8125" style="102" customWidth="1"/>
    <col min="25" max="25" width="8.375" style="102" hidden="1" customWidth="1"/>
    <col min="26" max="26" width="9.375" style="102" hidden="1" customWidth="1"/>
    <col min="27" max="27" width="11.375" style="102" hidden="1" customWidth="1"/>
    <col min="28" max="28" width="10.625" style="5" hidden="1" customWidth="1"/>
    <col min="29" max="29" width="12.625" style="246" hidden="1" customWidth="1"/>
    <col min="30" max="31" width="30.125" style="5" hidden="1" customWidth="1"/>
    <col min="32" max="32" width="10.75" style="5" hidden="1" customWidth="1"/>
    <col min="33" max="33" width="10.625" style="5" hidden="1" customWidth="1"/>
    <col min="34" max="34" width="10.75" style="5" hidden="1" customWidth="1"/>
    <col min="35" max="35" width="10.625" style="5" hidden="1" customWidth="1"/>
    <col min="36" max="36" width="11" style="5" hidden="1" customWidth="1"/>
    <col min="37" max="37" width="10.625" style="5" hidden="1" customWidth="1"/>
    <col min="38" max="39" width="8.375" style="5" hidden="1" customWidth="1"/>
    <col min="40" max="45" width="10.125" style="5" hidden="1" customWidth="1" outlineLevel="1"/>
    <col min="46" max="48" width="12.625" style="5" hidden="1" customWidth="1" outlineLevel="1"/>
    <col min="49" max="49" width="13.375" style="5" hidden="1" customWidth="1" outlineLevel="1"/>
    <col min="50" max="50" width="12.625" style="5" hidden="1" customWidth="1" outlineLevel="1"/>
    <col min="51" max="52" width="10.125" style="5" hidden="1" customWidth="1" outlineLevel="1"/>
    <col min="53" max="53" width="12.625" style="5" customWidth="1" outlineLevel="1"/>
    <col min="54" max="54" width="16.25" style="5" customWidth="1"/>
    <col min="55" max="56" width="15.375" style="5" customWidth="1"/>
    <col min="57" max="16384" width="12.625" style="5"/>
  </cols>
  <sheetData>
    <row r="1" spans="1:56" ht="46.5" customHeight="1">
      <c r="A1" s="257" t="s">
        <v>144</v>
      </c>
      <c r="B1" s="257" t="s">
        <v>143</v>
      </c>
      <c r="C1" s="257" t="s">
        <v>346</v>
      </c>
      <c r="D1" s="257" t="s">
        <v>170</v>
      </c>
      <c r="E1" s="257" t="s">
        <v>846</v>
      </c>
      <c r="F1" s="257" t="s">
        <v>177</v>
      </c>
      <c r="G1" s="257" t="s">
        <v>484</v>
      </c>
      <c r="H1" s="258" t="s">
        <v>138</v>
      </c>
      <c r="I1" s="258" t="s">
        <v>137</v>
      </c>
      <c r="J1" s="259" t="s">
        <v>136</v>
      </c>
      <c r="K1" s="260" t="s">
        <v>691</v>
      </c>
      <c r="L1" s="260" t="s">
        <v>133</v>
      </c>
      <c r="M1" s="338" t="s">
        <v>152</v>
      </c>
      <c r="N1" s="257" t="s">
        <v>145</v>
      </c>
      <c r="O1" s="257" t="s">
        <v>146</v>
      </c>
      <c r="P1" s="261" t="s">
        <v>151</v>
      </c>
      <c r="Q1" s="257" t="s">
        <v>150</v>
      </c>
      <c r="R1" s="257" t="s">
        <v>142</v>
      </c>
      <c r="S1" s="331" t="s">
        <v>132</v>
      </c>
      <c r="T1" s="262" t="s">
        <v>131</v>
      </c>
      <c r="U1" s="263" t="s">
        <v>1214</v>
      </c>
      <c r="V1" s="264" t="s">
        <v>513</v>
      </c>
      <c r="W1" s="265" t="s">
        <v>129</v>
      </c>
      <c r="X1" s="266" t="s">
        <v>1143</v>
      </c>
      <c r="Y1" s="266" t="s">
        <v>127</v>
      </c>
      <c r="Z1" s="266" t="s">
        <v>530</v>
      </c>
      <c r="AA1" s="267" t="s">
        <v>125</v>
      </c>
      <c r="AB1" s="268" t="s">
        <v>124</v>
      </c>
      <c r="AC1" s="269" t="s">
        <v>531</v>
      </c>
      <c r="AD1" s="270" t="s">
        <v>122</v>
      </c>
      <c r="AE1" s="270" t="s">
        <v>122</v>
      </c>
      <c r="AF1" s="271" t="s">
        <v>121</v>
      </c>
      <c r="AG1" s="272" t="s">
        <v>120</v>
      </c>
      <c r="AH1" s="273" t="s">
        <v>119</v>
      </c>
      <c r="AI1" s="272" t="s">
        <v>118</v>
      </c>
      <c r="AJ1" s="273" t="s">
        <v>117</v>
      </c>
      <c r="AK1" s="272" t="s">
        <v>116</v>
      </c>
      <c r="AL1" s="272" t="s">
        <v>115</v>
      </c>
      <c r="AM1" s="272" t="s">
        <v>114</v>
      </c>
      <c r="AN1" s="274" t="s">
        <v>113</v>
      </c>
      <c r="AO1" s="274" t="s">
        <v>112</v>
      </c>
      <c r="AP1" s="275" t="s">
        <v>111</v>
      </c>
      <c r="AQ1" s="275" t="s">
        <v>110</v>
      </c>
      <c r="AR1" s="275" t="s">
        <v>109</v>
      </c>
      <c r="AS1" s="274" t="s">
        <v>108</v>
      </c>
      <c r="AT1" s="258" t="s">
        <v>514</v>
      </c>
      <c r="AU1" s="258" t="s">
        <v>106</v>
      </c>
      <c r="AV1" s="258" t="s">
        <v>105</v>
      </c>
      <c r="AW1" s="276" t="s">
        <v>104</v>
      </c>
      <c r="AX1" s="276" t="s">
        <v>103</v>
      </c>
      <c r="AY1" s="274" t="s">
        <v>102</v>
      </c>
      <c r="AZ1" s="274" t="s">
        <v>101</v>
      </c>
      <c r="BA1" s="276" t="s">
        <v>100</v>
      </c>
      <c r="BB1" s="260" t="s">
        <v>99</v>
      </c>
      <c r="BC1" s="42"/>
      <c r="BD1" s="42"/>
    </row>
    <row r="2" spans="1:56" s="256" customFormat="1" ht="20" hidden="1" customHeight="1">
      <c r="A2" s="260">
        <v>2</v>
      </c>
      <c r="B2" s="277">
        <v>46113</v>
      </c>
      <c r="C2" s="278" t="s">
        <v>237</v>
      </c>
      <c r="D2" s="278" t="s">
        <v>393</v>
      </c>
      <c r="E2" s="278" t="s">
        <v>392</v>
      </c>
      <c r="F2" s="278" t="s">
        <v>280</v>
      </c>
      <c r="G2" s="279" t="e">
        <f>"YB"&amp;RIGHT(#REF!,6)</f>
        <v>#REF!</v>
      </c>
      <c r="H2" s="280">
        <v>6000000</v>
      </c>
      <c r="I2" s="280">
        <v>165000</v>
      </c>
      <c r="J2" s="281">
        <f t="shared" ref="J2:J45" si="0">H2+I2</f>
        <v>6165000</v>
      </c>
      <c r="K2" s="282" t="s">
        <v>1212</v>
      </c>
      <c r="L2" s="282" t="s">
        <v>508</v>
      </c>
      <c r="M2" s="339" t="s">
        <v>281</v>
      </c>
      <c r="N2" s="278" t="s">
        <v>416</v>
      </c>
      <c r="O2" s="278" t="s">
        <v>417</v>
      </c>
      <c r="P2" s="283" t="s">
        <v>283</v>
      </c>
      <c r="Q2" s="278" t="s">
        <v>284</v>
      </c>
      <c r="R2" s="284" t="s">
        <v>29</v>
      </c>
      <c r="S2" s="282" t="s">
        <v>1127</v>
      </c>
      <c r="T2" s="285">
        <v>3580</v>
      </c>
      <c r="U2" s="286">
        <v>1738</v>
      </c>
      <c r="V2" s="287">
        <v>1499</v>
      </c>
      <c r="W2" s="288">
        <v>0</v>
      </c>
      <c r="X2" s="286"/>
      <c r="Y2" s="289"/>
      <c r="Z2" s="289"/>
      <c r="AA2" s="290">
        <f t="shared" ref="AA2:AA33" si="1">SUM(T2,W2:Z2)</f>
        <v>3580</v>
      </c>
      <c r="AB2" s="291">
        <f t="shared" ref="AB2:AB11" si="2">SUM(AG2+AI2+AK2+AL2-AM2)</f>
        <v>0</v>
      </c>
      <c r="AC2" s="292">
        <f t="shared" ref="AC2:AC30" si="3">SUM(AB2-AA2)</f>
        <v>-3580</v>
      </c>
      <c r="AD2" s="293"/>
      <c r="AE2" s="293"/>
      <c r="AF2" s="294"/>
      <c r="AG2" s="291"/>
      <c r="AH2" s="295"/>
      <c r="AI2" s="291"/>
      <c r="AJ2" s="295"/>
      <c r="AK2" s="291"/>
      <c r="AL2" s="291"/>
      <c r="AM2" s="291"/>
      <c r="AN2" s="296">
        <v>35000</v>
      </c>
      <c r="AO2" s="296">
        <v>30000</v>
      </c>
      <c r="AP2" s="296"/>
      <c r="AQ2" s="296"/>
      <c r="AR2" s="296"/>
      <c r="AS2" s="296">
        <f t="shared" ref="AS2:AS65" si="4">SUM(AN2:AR2)</f>
        <v>65000</v>
      </c>
      <c r="AT2" s="297">
        <f t="shared" ref="AT2:AT65" si="5">SUM(AA2-W2)*U2-AS2</f>
        <v>6157040</v>
      </c>
      <c r="AU2" s="297">
        <f t="shared" ref="AU2:AU65" si="6">SUM(AT2-J2)</f>
        <v>-7960</v>
      </c>
      <c r="AV2" s="297">
        <f t="shared" ref="AV2:AV65" si="7">SUM(0.09*H2)</f>
        <v>540000</v>
      </c>
      <c r="AW2" s="297">
        <f t="shared" ref="AW2:AW65" si="8">SUM(AU2:AV2)/2</f>
        <v>266020</v>
      </c>
      <c r="AX2" s="297">
        <f t="shared" ref="AX2:AX65" si="9">AW2-(AW2*10%)</f>
        <v>239418</v>
      </c>
      <c r="AY2" s="298">
        <v>50000</v>
      </c>
      <c r="AZ2" s="298"/>
      <c r="BA2" s="297">
        <f t="shared" ref="BA2:BA65" si="10">SUM(AX2-AY2-AZ2)</f>
        <v>189418</v>
      </c>
      <c r="BB2" s="278"/>
      <c r="BC2" s="255"/>
      <c r="BD2" s="255"/>
    </row>
    <row r="3" spans="1:56" s="256" customFormat="1" ht="20" hidden="1" customHeight="1">
      <c r="A3" s="260">
        <v>3</v>
      </c>
      <c r="B3" s="277">
        <v>46113</v>
      </c>
      <c r="C3" s="278" t="s">
        <v>255</v>
      </c>
      <c r="D3" s="278" t="s">
        <v>395</v>
      </c>
      <c r="E3" s="278" t="s">
        <v>394</v>
      </c>
      <c r="F3" s="278" t="s">
        <v>280</v>
      </c>
      <c r="G3" s="279" t="e">
        <f>"YB"&amp;RIGHT(#REF!,6)</f>
        <v>#REF!</v>
      </c>
      <c r="H3" s="280">
        <v>6450000</v>
      </c>
      <c r="I3" s="280">
        <v>166730</v>
      </c>
      <c r="J3" s="281">
        <f t="shared" si="0"/>
        <v>6616730</v>
      </c>
      <c r="K3" s="282" t="s">
        <v>1212</v>
      </c>
      <c r="L3" s="282" t="s">
        <v>508</v>
      </c>
      <c r="M3" s="339" t="s">
        <v>281</v>
      </c>
      <c r="N3" s="278" t="s">
        <v>490</v>
      </c>
      <c r="O3" s="278" t="s">
        <v>489</v>
      </c>
      <c r="P3" s="283" t="s">
        <v>283</v>
      </c>
      <c r="Q3" s="278" t="s">
        <v>494</v>
      </c>
      <c r="R3" s="284" t="s">
        <v>29</v>
      </c>
      <c r="S3" s="282" t="s">
        <v>1127</v>
      </c>
      <c r="T3" s="285">
        <v>3830</v>
      </c>
      <c r="U3" s="286">
        <v>1738</v>
      </c>
      <c r="V3" s="287">
        <v>1499</v>
      </c>
      <c r="W3" s="288">
        <v>0</v>
      </c>
      <c r="X3" s="286"/>
      <c r="Y3" s="289"/>
      <c r="Z3" s="289"/>
      <c r="AA3" s="290">
        <f t="shared" si="1"/>
        <v>3830</v>
      </c>
      <c r="AB3" s="291">
        <f t="shared" si="2"/>
        <v>0</v>
      </c>
      <c r="AC3" s="292">
        <f t="shared" si="3"/>
        <v>-3830</v>
      </c>
      <c r="AD3" s="293"/>
      <c r="AE3" s="293"/>
      <c r="AF3" s="294"/>
      <c r="AG3" s="291"/>
      <c r="AH3" s="295"/>
      <c r="AI3" s="291"/>
      <c r="AJ3" s="295"/>
      <c r="AK3" s="291"/>
      <c r="AL3" s="291"/>
      <c r="AM3" s="291"/>
      <c r="AN3" s="296">
        <v>35000</v>
      </c>
      <c r="AO3" s="296">
        <v>30000</v>
      </c>
      <c r="AP3" s="296"/>
      <c r="AQ3" s="296"/>
      <c r="AR3" s="296"/>
      <c r="AS3" s="296">
        <f t="shared" si="4"/>
        <v>65000</v>
      </c>
      <c r="AT3" s="297">
        <f t="shared" si="5"/>
        <v>6591540</v>
      </c>
      <c r="AU3" s="297">
        <f t="shared" si="6"/>
        <v>-25190</v>
      </c>
      <c r="AV3" s="297">
        <f t="shared" si="7"/>
        <v>580500</v>
      </c>
      <c r="AW3" s="297">
        <f t="shared" si="8"/>
        <v>277655</v>
      </c>
      <c r="AX3" s="297">
        <f t="shared" si="9"/>
        <v>249889.5</v>
      </c>
      <c r="AY3" s="298">
        <v>50000</v>
      </c>
      <c r="AZ3" s="298"/>
      <c r="BA3" s="297">
        <f t="shared" si="10"/>
        <v>199889.5</v>
      </c>
      <c r="BB3" s="278"/>
      <c r="BC3" s="255"/>
      <c r="BD3" s="255"/>
    </row>
    <row r="4" spans="1:56" s="256" customFormat="1" ht="20" hidden="1" customHeight="1">
      <c r="A4" s="260">
        <v>4</v>
      </c>
      <c r="B4" s="277">
        <v>46113</v>
      </c>
      <c r="C4" s="278" t="s">
        <v>237</v>
      </c>
      <c r="D4" s="278" t="s">
        <v>397</v>
      </c>
      <c r="E4" s="278" t="s">
        <v>396</v>
      </c>
      <c r="F4" s="278" t="s">
        <v>280</v>
      </c>
      <c r="G4" s="279" t="e">
        <f>"YB"&amp;RIGHT(#REF!,6)</f>
        <v>#REF!</v>
      </c>
      <c r="H4" s="280">
        <v>6600000</v>
      </c>
      <c r="I4" s="280">
        <v>17610</v>
      </c>
      <c r="J4" s="281">
        <f t="shared" si="0"/>
        <v>6617610</v>
      </c>
      <c r="K4" s="282" t="s">
        <v>1212</v>
      </c>
      <c r="L4" s="282" t="s">
        <v>508</v>
      </c>
      <c r="M4" s="339" t="s">
        <v>281</v>
      </c>
      <c r="N4" s="278" t="s">
        <v>282</v>
      </c>
      <c r="O4" s="278" t="s">
        <v>285</v>
      </c>
      <c r="P4" s="283" t="s">
        <v>283</v>
      </c>
      <c r="Q4" s="278" t="s">
        <v>284</v>
      </c>
      <c r="R4" s="284" t="s">
        <v>29</v>
      </c>
      <c r="S4" s="282" t="s">
        <v>1127</v>
      </c>
      <c r="T4" s="285">
        <v>3930</v>
      </c>
      <c r="U4" s="286">
        <v>1738</v>
      </c>
      <c r="V4" s="287">
        <v>1499</v>
      </c>
      <c r="W4" s="288">
        <v>0</v>
      </c>
      <c r="X4" s="286"/>
      <c r="Y4" s="289"/>
      <c r="Z4" s="289"/>
      <c r="AA4" s="290">
        <f t="shared" si="1"/>
        <v>3930</v>
      </c>
      <c r="AB4" s="291">
        <f t="shared" si="2"/>
        <v>0</v>
      </c>
      <c r="AC4" s="292">
        <f t="shared" si="3"/>
        <v>-3930</v>
      </c>
      <c r="AD4" s="293"/>
      <c r="AE4" s="293"/>
      <c r="AF4" s="294"/>
      <c r="AG4" s="291"/>
      <c r="AH4" s="295"/>
      <c r="AI4" s="291"/>
      <c r="AJ4" s="295"/>
      <c r="AK4" s="291"/>
      <c r="AL4" s="291"/>
      <c r="AM4" s="291"/>
      <c r="AN4" s="296">
        <v>35000</v>
      </c>
      <c r="AO4" s="296">
        <v>30000</v>
      </c>
      <c r="AP4" s="296"/>
      <c r="AQ4" s="296"/>
      <c r="AR4" s="296"/>
      <c r="AS4" s="296">
        <f t="shared" si="4"/>
        <v>65000</v>
      </c>
      <c r="AT4" s="297">
        <f t="shared" si="5"/>
        <v>6765340</v>
      </c>
      <c r="AU4" s="297">
        <f t="shared" si="6"/>
        <v>147730</v>
      </c>
      <c r="AV4" s="297">
        <f t="shared" si="7"/>
        <v>594000</v>
      </c>
      <c r="AW4" s="297">
        <f t="shared" si="8"/>
        <v>370865</v>
      </c>
      <c r="AX4" s="297">
        <f t="shared" si="9"/>
        <v>333778.5</v>
      </c>
      <c r="AY4" s="298">
        <v>50000</v>
      </c>
      <c r="AZ4" s="298"/>
      <c r="BA4" s="297">
        <f t="shared" si="10"/>
        <v>283778.5</v>
      </c>
      <c r="BB4" s="278"/>
      <c r="BC4" s="255"/>
      <c r="BD4" s="255"/>
    </row>
    <row r="5" spans="1:56" s="256" customFormat="1" ht="20" hidden="1" customHeight="1">
      <c r="A5" s="260">
        <v>5</v>
      </c>
      <c r="B5" s="277">
        <v>46114</v>
      </c>
      <c r="C5" s="278" t="s">
        <v>400</v>
      </c>
      <c r="D5" s="278" t="s">
        <v>399</v>
      </c>
      <c r="E5" s="278" t="s">
        <v>401</v>
      </c>
      <c r="F5" s="278" t="s">
        <v>398</v>
      </c>
      <c r="G5" s="279" t="e">
        <f>"YB"&amp;RIGHT(#REF!,6)</f>
        <v>#REF!</v>
      </c>
      <c r="H5" s="280">
        <v>24500000</v>
      </c>
      <c r="I5" s="280">
        <v>0</v>
      </c>
      <c r="J5" s="281">
        <f t="shared" si="0"/>
        <v>24500000</v>
      </c>
      <c r="K5" s="282" t="s">
        <v>1212</v>
      </c>
      <c r="L5" s="282" t="s">
        <v>508</v>
      </c>
      <c r="M5" s="339" t="s">
        <v>30</v>
      </c>
      <c r="N5" s="278" t="s">
        <v>933</v>
      </c>
      <c r="O5" s="278" t="s">
        <v>173</v>
      </c>
      <c r="P5" s="283" t="s">
        <v>174</v>
      </c>
      <c r="Q5" s="278" t="s">
        <v>172</v>
      </c>
      <c r="R5" s="284" t="s">
        <v>29</v>
      </c>
      <c r="S5" s="282" t="s">
        <v>572</v>
      </c>
      <c r="T5" s="285">
        <v>13370</v>
      </c>
      <c r="U5" s="286">
        <v>1738</v>
      </c>
      <c r="V5" s="287">
        <v>1499</v>
      </c>
      <c r="W5" s="288">
        <v>1380</v>
      </c>
      <c r="X5" s="286"/>
      <c r="Y5" s="289"/>
      <c r="Z5" s="289"/>
      <c r="AA5" s="290">
        <f t="shared" si="1"/>
        <v>14750</v>
      </c>
      <c r="AB5" s="291">
        <f t="shared" si="2"/>
        <v>0</v>
      </c>
      <c r="AC5" s="292">
        <f t="shared" si="3"/>
        <v>-14750</v>
      </c>
      <c r="AD5" s="293"/>
      <c r="AE5" s="293"/>
      <c r="AF5" s="294"/>
      <c r="AG5" s="291"/>
      <c r="AH5" s="295"/>
      <c r="AI5" s="291"/>
      <c r="AJ5" s="295"/>
      <c r="AK5" s="291"/>
      <c r="AL5" s="291"/>
      <c r="AM5" s="291"/>
      <c r="AN5" s="296">
        <v>35000</v>
      </c>
      <c r="AO5" s="296">
        <v>30000</v>
      </c>
      <c r="AP5" s="296"/>
      <c r="AQ5" s="296"/>
      <c r="AR5" s="296"/>
      <c r="AS5" s="296">
        <f t="shared" si="4"/>
        <v>65000</v>
      </c>
      <c r="AT5" s="297">
        <f t="shared" si="5"/>
        <v>23172060</v>
      </c>
      <c r="AU5" s="297">
        <f t="shared" si="6"/>
        <v>-1327940</v>
      </c>
      <c r="AV5" s="297">
        <f t="shared" si="7"/>
        <v>2205000</v>
      </c>
      <c r="AW5" s="297">
        <f t="shared" si="8"/>
        <v>438530</v>
      </c>
      <c r="AX5" s="297">
        <f t="shared" si="9"/>
        <v>394677</v>
      </c>
      <c r="AY5" s="298">
        <v>50000</v>
      </c>
      <c r="AZ5" s="298"/>
      <c r="BA5" s="297">
        <f t="shared" si="10"/>
        <v>344677</v>
      </c>
      <c r="BB5" s="278"/>
      <c r="BC5" s="255"/>
      <c r="BD5" s="255"/>
    </row>
    <row r="6" spans="1:56" s="256" customFormat="1" ht="20" hidden="1" customHeight="1">
      <c r="A6" s="260">
        <v>6</v>
      </c>
      <c r="B6" s="277">
        <v>46114</v>
      </c>
      <c r="C6" s="278" t="s">
        <v>345</v>
      </c>
      <c r="D6" s="278" t="s">
        <v>402</v>
      </c>
      <c r="E6" s="278" t="s">
        <v>403</v>
      </c>
      <c r="F6" s="278" t="s">
        <v>404</v>
      </c>
      <c r="G6" s="279" t="e">
        <f>"YB"&amp;RIGHT(#REF!,6)</f>
        <v>#REF!</v>
      </c>
      <c r="H6" s="280">
        <v>4500000</v>
      </c>
      <c r="I6" s="280">
        <v>0</v>
      </c>
      <c r="J6" s="281">
        <f t="shared" si="0"/>
        <v>4500000</v>
      </c>
      <c r="K6" s="282" t="s">
        <v>1212</v>
      </c>
      <c r="L6" s="282" t="s">
        <v>508</v>
      </c>
      <c r="M6" s="339" t="s">
        <v>30</v>
      </c>
      <c r="N6" s="278" t="s">
        <v>933</v>
      </c>
      <c r="O6" s="278" t="s">
        <v>173</v>
      </c>
      <c r="P6" s="283" t="s">
        <v>174</v>
      </c>
      <c r="Q6" s="278" t="s">
        <v>172</v>
      </c>
      <c r="R6" s="284" t="s">
        <v>29</v>
      </c>
      <c r="S6" s="282" t="s">
        <v>572</v>
      </c>
      <c r="T6" s="285">
        <v>2600</v>
      </c>
      <c r="U6" s="286">
        <v>1738</v>
      </c>
      <c r="V6" s="287">
        <v>1499</v>
      </c>
      <c r="W6" s="288">
        <v>1300</v>
      </c>
      <c r="X6" s="286"/>
      <c r="Y6" s="289"/>
      <c r="Z6" s="289"/>
      <c r="AA6" s="290">
        <f t="shared" si="1"/>
        <v>3900</v>
      </c>
      <c r="AB6" s="291">
        <f t="shared" si="2"/>
        <v>0</v>
      </c>
      <c r="AC6" s="292">
        <f t="shared" si="3"/>
        <v>-3900</v>
      </c>
      <c r="AD6" s="293"/>
      <c r="AE6" s="293"/>
      <c r="AF6" s="294"/>
      <c r="AG6" s="291"/>
      <c r="AH6" s="295"/>
      <c r="AI6" s="291"/>
      <c r="AJ6" s="295"/>
      <c r="AK6" s="291"/>
      <c r="AL6" s="291"/>
      <c r="AM6" s="291"/>
      <c r="AN6" s="296">
        <v>35000</v>
      </c>
      <c r="AO6" s="296">
        <v>30000</v>
      </c>
      <c r="AP6" s="296"/>
      <c r="AQ6" s="296"/>
      <c r="AR6" s="296"/>
      <c r="AS6" s="296">
        <f t="shared" si="4"/>
        <v>65000</v>
      </c>
      <c r="AT6" s="297">
        <f t="shared" si="5"/>
        <v>4453800</v>
      </c>
      <c r="AU6" s="297">
        <f t="shared" si="6"/>
        <v>-46200</v>
      </c>
      <c r="AV6" s="297">
        <f t="shared" si="7"/>
        <v>405000</v>
      </c>
      <c r="AW6" s="297">
        <f t="shared" si="8"/>
        <v>179400</v>
      </c>
      <c r="AX6" s="297">
        <f t="shared" si="9"/>
        <v>161460</v>
      </c>
      <c r="AY6" s="298">
        <v>50000</v>
      </c>
      <c r="AZ6" s="298"/>
      <c r="BA6" s="297">
        <f t="shared" si="10"/>
        <v>111460</v>
      </c>
      <c r="BB6" s="278"/>
      <c r="BC6" s="255"/>
      <c r="BD6" s="255"/>
    </row>
    <row r="7" spans="1:56" s="256" customFormat="1" ht="20" hidden="1" customHeight="1">
      <c r="A7" s="260">
        <v>7</v>
      </c>
      <c r="B7" s="277">
        <v>46114</v>
      </c>
      <c r="C7" s="278" t="s">
        <v>912</v>
      </c>
      <c r="D7" s="278" t="s">
        <v>412</v>
      </c>
      <c r="E7" s="278" t="s">
        <v>413</v>
      </c>
      <c r="F7" s="278" t="s">
        <v>405</v>
      </c>
      <c r="G7" s="279" t="e">
        <f>"YB"&amp;RIGHT(#REF!,6)</f>
        <v>#REF!</v>
      </c>
      <c r="H7" s="280">
        <v>13340000</v>
      </c>
      <c r="I7" s="280">
        <v>0</v>
      </c>
      <c r="J7" s="281">
        <f t="shared" si="0"/>
        <v>13340000</v>
      </c>
      <c r="K7" s="282" t="s">
        <v>1212</v>
      </c>
      <c r="L7" s="282" t="s">
        <v>508</v>
      </c>
      <c r="M7" s="339" t="s">
        <v>52</v>
      </c>
      <c r="N7" s="278" t="s">
        <v>181</v>
      </c>
      <c r="O7" s="278">
        <v>811054999</v>
      </c>
      <c r="P7" s="283" t="s">
        <v>182</v>
      </c>
      <c r="Q7" s="278" t="s">
        <v>172</v>
      </c>
      <c r="R7" s="284" t="s">
        <v>28</v>
      </c>
      <c r="S7" s="282" t="s">
        <v>80</v>
      </c>
      <c r="T7" s="285">
        <v>7550</v>
      </c>
      <c r="U7" s="286">
        <v>1738</v>
      </c>
      <c r="V7" s="287">
        <v>1499</v>
      </c>
      <c r="W7" s="288">
        <v>1300</v>
      </c>
      <c r="X7" s="286"/>
      <c r="Y7" s="289"/>
      <c r="Z7" s="289"/>
      <c r="AA7" s="290">
        <f t="shared" si="1"/>
        <v>8850</v>
      </c>
      <c r="AB7" s="291">
        <f t="shared" si="2"/>
        <v>0</v>
      </c>
      <c r="AC7" s="292">
        <f t="shared" si="3"/>
        <v>-8850</v>
      </c>
      <c r="AD7" s="293"/>
      <c r="AE7" s="293"/>
      <c r="AF7" s="294"/>
      <c r="AG7" s="291"/>
      <c r="AH7" s="295"/>
      <c r="AI7" s="291"/>
      <c r="AJ7" s="295"/>
      <c r="AK7" s="291"/>
      <c r="AL7" s="291"/>
      <c r="AM7" s="291"/>
      <c r="AN7" s="296">
        <v>35000</v>
      </c>
      <c r="AO7" s="296">
        <v>30000</v>
      </c>
      <c r="AP7" s="296"/>
      <c r="AQ7" s="296"/>
      <c r="AR7" s="296"/>
      <c r="AS7" s="296">
        <f t="shared" si="4"/>
        <v>65000</v>
      </c>
      <c r="AT7" s="297">
        <f t="shared" si="5"/>
        <v>13056900</v>
      </c>
      <c r="AU7" s="297">
        <f t="shared" si="6"/>
        <v>-283100</v>
      </c>
      <c r="AV7" s="297">
        <f t="shared" si="7"/>
        <v>1200600</v>
      </c>
      <c r="AW7" s="297">
        <f t="shared" si="8"/>
        <v>458750</v>
      </c>
      <c r="AX7" s="297">
        <f t="shared" si="9"/>
        <v>412875</v>
      </c>
      <c r="AY7" s="298">
        <v>50000</v>
      </c>
      <c r="AZ7" s="298"/>
      <c r="BA7" s="297">
        <f t="shared" si="10"/>
        <v>362875</v>
      </c>
      <c r="BB7" s="278"/>
      <c r="BC7" s="255"/>
      <c r="BD7" s="255"/>
    </row>
    <row r="8" spans="1:56" s="256" customFormat="1" ht="20" hidden="1" customHeight="1">
      <c r="A8" s="260">
        <v>8</v>
      </c>
      <c r="B8" s="277">
        <v>46114</v>
      </c>
      <c r="C8" s="278" t="s">
        <v>407</v>
      </c>
      <c r="D8" s="278" t="s">
        <v>408</v>
      </c>
      <c r="E8" s="278" t="s">
        <v>406</v>
      </c>
      <c r="F8" s="278" t="s">
        <v>409</v>
      </c>
      <c r="G8" s="279" t="e">
        <f>"YB"&amp;RIGHT(#REF!,6)</f>
        <v>#REF!</v>
      </c>
      <c r="H8" s="280">
        <v>8640000</v>
      </c>
      <c r="I8" s="280">
        <v>0</v>
      </c>
      <c r="J8" s="281">
        <f t="shared" si="0"/>
        <v>8640000</v>
      </c>
      <c r="K8" s="282" t="s">
        <v>1212</v>
      </c>
      <c r="L8" s="282" t="s">
        <v>508</v>
      </c>
      <c r="M8" s="339" t="s">
        <v>30</v>
      </c>
      <c r="N8" s="278" t="s">
        <v>933</v>
      </c>
      <c r="O8" s="278" t="s">
        <v>173</v>
      </c>
      <c r="P8" s="283" t="s">
        <v>174</v>
      </c>
      <c r="Q8" s="278" t="s">
        <v>172</v>
      </c>
      <c r="R8" s="284" t="s">
        <v>29</v>
      </c>
      <c r="S8" s="282" t="s">
        <v>572</v>
      </c>
      <c r="T8" s="285">
        <v>4800</v>
      </c>
      <c r="U8" s="286">
        <v>1738</v>
      </c>
      <c r="V8" s="287">
        <v>1499</v>
      </c>
      <c r="W8" s="288">
        <v>1300</v>
      </c>
      <c r="X8" s="286"/>
      <c r="Y8" s="289"/>
      <c r="Z8" s="289"/>
      <c r="AA8" s="290">
        <f t="shared" si="1"/>
        <v>6100</v>
      </c>
      <c r="AB8" s="291">
        <f t="shared" si="2"/>
        <v>0</v>
      </c>
      <c r="AC8" s="292">
        <f t="shared" si="3"/>
        <v>-6100</v>
      </c>
      <c r="AD8" s="293"/>
      <c r="AE8" s="293"/>
      <c r="AF8" s="294"/>
      <c r="AG8" s="291"/>
      <c r="AH8" s="295"/>
      <c r="AI8" s="291"/>
      <c r="AJ8" s="295"/>
      <c r="AK8" s="291"/>
      <c r="AL8" s="291"/>
      <c r="AM8" s="291"/>
      <c r="AN8" s="296">
        <v>35000</v>
      </c>
      <c r="AO8" s="296">
        <v>30000</v>
      </c>
      <c r="AP8" s="296"/>
      <c r="AQ8" s="296"/>
      <c r="AR8" s="296"/>
      <c r="AS8" s="296">
        <f t="shared" si="4"/>
        <v>65000</v>
      </c>
      <c r="AT8" s="297">
        <f t="shared" si="5"/>
        <v>8277400</v>
      </c>
      <c r="AU8" s="297">
        <f t="shared" si="6"/>
        <v>-362600</v>
      </c>
      <c r="AV8" s="297">
        <f t="shared" si="7"/>
        <v>777600</v>
      </c>
      <c r="AW8" s="297">
        <f t="shared" si="8"/>
        <v>207500</v>
      </c>
      <c r="AX8" s="297">
        <f t="shared" si="9"/>
        <v>186750</v>
      </c>
      <c r="AY8" s="298">
        <v>50000</v>
      </c>
      <c r="AZ8" s="298"/>
      <c r="BA8" s="297">
        <f t="shared" si="10"/>
        <v>136750</v>
      </c>
      <c r="BB8" s="278"/>
      <c r="BC8" s="255"/>
      <c r="BD8" s="255"/>
    </row>
    <row r="9" spans="1:56" s="256" customFormat="1" ht="20" hidden="1" customHeight="1">
      <c r="A9" s="260">
        <v>9</v>
      </c>
      <c r="B9" s="277">
        <v>46114</v>
      </c>
      <c r="C9" s="278" t="s">
        <v>240</v>
      </c>
      <c r="D9" s="278" t="s">
        <v>410</v>
      </c>
      <c r="E9" s="278" t="s">
        <v>411</v>
      </c>
      <c r="F9" s="278" t="s">
        <v>280</v>
      </c>
      <c r="G9" s="279" t="e">
        <f>"YB"&amp;RIGHT(#REF!,6)</f>
        <v>#REF!</v>
      </c>
      <c r="H9" s="280">
        <v>2800000</v>
      </c>
      <c r="I9" s="280">
        <v>165000</v>
      </c>
      <c r="J9" s="281">
        <f t="shared" si="0"/>
        <v>2965000</v>
      </c>
      <c r="K9" s="282" t="s">
        <v>1212</v>
      </c>
      <c r="L9" s="282" t="s">
        <v>508</v>
      </c>
      <c r="M9" s="339" t="s">
        <v>30</v>
      </c>
      <c r="N9" s="278" t="s">
        <v>933</v>
      </c>
      <c r="O9" s="278" t="s">
        <v>173</v>
      </c>
      <c r="P9" s="283" t="s">
        <v>174</v>
      </c>
      <c r="Q9" s="278" t="s">
        <v>172</v>
      </c>
      <c r="R9" s="284" t="s">
        <v>29</v>
      </c>
      <c r="S9" s="282" t="s">
        <v>572</v>
      </c>
      <c r="T9" s="285">
        <v>2170</v>
      </c>
      <c r="U9" s="286">
        <v>1738</v>
      </c>
      <c r="V9" s="287">
        <v>1499</v>
      </c>
      <c r="W9" s="288">
        <v>1380</v>
      </c>
      <c r="X9" s="286"/>
      <c r="Y9" s="289"/>
      <c r="Z9" s="289"/>
      <c r="AA9" s="290">
        <f t="shared" si="1"/>
        <v>3550</v>
      </c>
      <c r="AB9" s="291">
        <f t="shared" si="2"/>
        <v>0</v>
      </c>
      <c r="AC9" s="292">
        <f t="shared" si="3"/>
        <v>-3550</v>
      </c>
      <c r="AD9" s="293"/>
      <c r="AE9" s="293"/>
      <c r="AF9" s="294"/>
      <c r="AG9" s="291"/>
      <c r="AH9" s="295"/>
      <c r="AI9" s="291"/>
      <c r="AJ9" s="295"/>
      <c r="AK9" s="291"/>
      <c r="AL9" s="291"/>
      <c r="AM9" s="291"/>
      <c r="AN9" s="296">
        <v>35000</v>
      </c>
      <c r="AO9" s="296">
        <v>30000</v>
      </c>
      <c r="AP9" s="296"/>
      <c r="AQ9" s="296"/>
      <c r="AR9" s="296"/>
      <c r="AS9" s="296">
        <f t="shared" si="4"/>
        <v>65000</v>
      </c>
      <c r="AT9" s="297">
        <f t="shared" si="5"/>
        <v>3706460</v>
      </c>
      <c r="AU9" s="297">
        <f t="shared" si="6"/>
        <v>741460</v>
      </c>
      <c r="AV9" s="297">
        <f t="shared" si="7"/>
        <v>252000</v>
      </c>
      <c r="AW9" s="297">
        <f t="shared" si="8"/>
        <v>496730</v>
      </c>
      <c r="AX9" s="297">
        <f t="shared" si="9"/>
        <v>447057</v>
      </c>
      <c r="AY9" s="298">
        <v>50000</v>
      </c>
      <c r="AZ9" s="298"/>
      <c r="BA9" s="297">
        <f t="shared" si="10"/>
        <v>397057</v>
      </c>
      <c r="BB9" s="278"/>
      <c r="BC9" s="255"/>
      <c r="BD9" s="255"/>
    </row>
    <row r="10" spans="1:56" s="256" customFormat="1" ht="20" hidden="1" customHeight="1">
      <c r="A10" s="260">
        <v>10</v>
      </c>
      <c r="B10" s="277">
        <v>46114</v>
      </c>
      <c r="C10" s="278" t="s">
        <v>237</v>
      </c>
      <c r="D10" s="278" t="s">
        <v>415</v>
      </c>
      <c r="E10" s="278" t="s">
        <v>414</v>
      </c>
      <c r="F10" s="278" t="s">
        <v>372</v>
      </c>
      <c r="G10" s="279" t="e">
        <f>"YB"&amp;RIGHT(#REF!,6)</f>
        <v>#REF!</v>
      </c>
      <c r="H10" s="280">
        <v>7300000</v>
      </c>
      <c r="I10" s="280">
        <v>165000</v>
      </c>
      <c r="J10" s="281">
        <f t="shared" si="0"/>
        <v>7465000</v>
      </c>
      <c r="K10" s="282" t="s">
        <v>1212</v>
      </c>
      <c r="L10" s="282" t="s">
        <v>508</v>
      </c>
      <c r="M10" s="339" t="s">
        <v>30</v>
      </c>
      <c r="N10" s="278" t="s">
        <v>933</v>
      </c>
      <c r="O10" s="278" t="s">
        <v>173</v>
      </c>
      <c r="P10" s="283" t="s">
        <v>174</v>
      </c>
      <c r="Q10" s="278" t="s">
        <v>172</v>
      </c>
      <c r="R10" s="284" t="s">
        <v>29</v>
      </c>
      <c r="S10" s="282"/>
      <c r="T10" s="285">
        <f>6500-1285</f>
        <v>5215</v>
      </c>
      <c r="U10" s="286">
        <v>1738</v>
      </c>
      <c r="V10" s="287">
        <v>1499</v>
      </c>
      <c r="W10" s="288">
        <v>1285</v>
      </c>
      <c r="X10" s="286"/>
      <c r="Y10" s="289"/>
      <c r="Z10" s="289"/>
      <c r="AA10" s="290">
        <f t="shared" si="1"/>
        <v>6500</v>
      </c>
      <c r="AB10" s="291">
        <f t="shared" si="2"/>
        <v>0</v>
      </c>
      <c r="AC10" s="292">
        <f t="shared" si="3"/>
        <v>-6500</v>
      </c>
      <c r="AD10" s="293"/>
      <c r="AE10" s="293"/>
      <c r="AF10" s="294"/>
      <c r="AG10" s="291"/>
      <c r="AH10" s="295"/>
      <c r="AI10" s="291"/>
      <c r="AJ10" s="295"/>
      <c r="AK10" s="291"/>
      <c r="AL10" s="291"/>
      <c r="AM10" s="291"/>
      <c r="AN10" s="296">
        <v>35000</v>
      </c>
      <c r="AO10" s="296">
        <v>30000</v>
      </c>
      <c r="AP10" s="296"/>
      <c r="AQ10" s="296"/>
      <c r="AR10" s="296"/>
      <c r="AS10" s="296">
        <f t="shared" si="4"/>
        <v>65000</v>
      </c>
      <c r="AT10" s="297">
        <f t="shared" si="5"/>
        <v>8998670</v>
      </c>
      <c r="AU10" s="297">
        <f t="shared" si="6"/>
        <v>1533670</v>
      </c>
      <c r="AV10" s="297">
        <f t="shared" si="7"/>
        <v>657000</v>
      </c>
      <c r="AW10" s="297">
        <f t="shared" si="8"/>
        <v>1095335</v>
      </c>
      <c r="AX10" s="297">
        <f t="shared" si="9"/>
        <v>985801.5</v>
      </c>
      <c r="AY10" s="298">
        <v>50000</v>
      </c>
      <c r="AZ10" s="298"/>
      <c r="BA10" s="297">
        <f t="shared" si="10"/>
        <v>935801.5</v>
      </c>
      <c r="BB10" s="278"/>
      <c r="BC10" s="255"/>
      <c r="BD10" s="255"/>
    </row>
    <row r="11" spans="1:56" s="256" customFormat="1" ht="20" hidden="1" customHeight="1">
      <c r="A11" s="260">
        <v>11</v>
      </c>
      <c r="B11" s="277">
        <v>46118</v>
      </c>
      <c r="C11" s="278" t="s">
        <v>422</v>
      </c>
      <c r="D11" s="278" t="s">
        <v>421</v>
      </c>
      <c r="E11" s="278" t="s">
        <v>420</v>
      </c>
      <c r="F11" s="278" t="s">
        <v>270</v>
      </c>
      <c r="G11" s="279" t="e">
        <f>"YB"&amp;RIGHT(#REF!,6)</f>
        <v>#REF!</v>
      </c>
      <c r="H11" s="280">
        <v>15000000</v>
      </c>
      <c r="I11" s="280">
        <v>0</v>
      </c>
      <c r="J11" s="281">
        <f t="shared" si="0"/>
        <v>15000000</v>
      </c>
      <c r="K11" s="282" t="s">
        <v>1212</v>
      </c>
      <c r="L11" s="282" t="s">
        <v>508</v>
      </c>
      <c r="M11" s="339" t="s">
        <v>30</v>
      </c>
      <c r="N11" s="278" t="s">
        <v>933</v>
      </c>
      <c r="O11" s="278" t="s">
        <v>173</v>
      </c>
      <c r="P11" s="283" t="s">
        <v>174</v>
      </c>
      <c r="Q11" s="278" t="s">
        <v>172</v>
      </c>
      <c r="R11" s="284" t="s">
        <v>29</v>
      </c>
      <c r="S11" s="282" t="s">
        <v>572</v>
      </c>
      <c r="T11" s="285">
        <v>8200</v>
      </c>
      <c r="U11" s="286">
        <v>1722</v>
      </c>
      <c r="V11" s="287">
        <v>1495</v>
      </c>
      <c r="W11" s="288">
        <v>1300</v>
      </c>
      <c r="X11" s="286"/>
      <c r="Y11" s="289"/>
      <c r="Z11" s="289"/>
      <c r="AA11" s="290">
        <f t="shared" si="1"/>
        <v>9500</v>
      </c>
      <c r="AB11" s="291">
        <f t="shared" si="2"/>
        <v>0</v>
      </c>
      <c r="AC11" s="292">
        <f t="shared" si="3"/>
        <v>-9500</v>
      </c>
      <c r="AD11" s="293"/>
      <c r="AE11" s="293"/>
      <c r="AF11" s="294"/>
      <c r="AG11" s="291"/>
      <c r="AH11" s="295"/>
      <c r="AI11" s="291"/>
      <c r="AJ11" s="295"/>
      <c r="AK11" s="291"/>
      <c r="AL11" s="291"/>
      <c r="AM11" s="291"/>
      <c r="AN11" s="296">
        <v>35000</v>
      </c>
      <c r="AO11" s="296">
        <v>30000</v>
      </c>
      <c r="AP11" s="296"/>
      <c r="AQ11" s="296"/>
      <c r="AR11" s="296"/>
      <c r="AS11" s="296">
        <f t="shared" si="4"/>
        <v>65000</v>
      </c>
      <c r="AT11" s="297">
        <f t="shared" si="5"/>
        <v>14055400</v>
      </c>
      <c r="AU11" s="297">
        <f t="shared" si="6"/>
        <v>-944600</v>
      </c>
      <c r="AV11" s="297">
        <f t="shared" si="7"/>
        <v>1350000</v>
      </c>
      <c r="AW11" s="297">
        <f t="shared" si="8"/>
        <v>202700</v>
      </c>
      <c r="AX11" s="297">
        <f t="shared" si="9"/>
        <v>182430</v>
      </c>
      <c r="AY11" s="298">
        <v>50000</v>
      </c>
      <c r="AZ11" s="298"/>
      <c r="BA11" s="297">
        <f t="shared" si="10"/>
        <v>132430</v>
      </c>
      <c r="BB11" s="278"/>
      <c r="BC11" s="255"/>
      <c r="BD11" s="255"/>
    </row>
    <row r="12" spans="1:56" s="256" customFormat="1" ht="20" hidden="1" customHeight="1">
      <c r="A12" s="260">
        <v>12</v>
      </c>
      <c r="B12" s="277">
        <v>46118</v>
      </c>
      <c r="C12" s="278" t="s">
        <v>913</v>
      </c>
      <c r="D12" s="278" t="s">
        <v>423</v>
      </c>
      <c r="E12" s="278" t="s">
        <v>424</v>
      </c>
      <c r="F12" s="278" t="s">
        <v>425</v>
      </c>
      <c r="G12" s="279" t="e">
        <f>"YB"&amp;RIGHT(#REF!,6)</f>
        <v>#REF!</v>
      </c>
      <c r="H12" s="280">
        <v>12800000</v>
      </c>
      <c r="I12" s="280">
        <v>0</v>
      </c>
      <c r="J12" s="281">
        <f t="shared" si="0"/>
        <v>12800000</v>
      </c>
      <c r="K12" s="282" t="s">
        <v>1212</v>
      </c>
      <c r="L12" s="282" t="s">
        <v>508</v>
      </c>
      <c r="M12" s="339" t="s">
        <v>30</v>
      </c>
      <c r="N12" s="278" t="s">
        <v>522</v>
      </c>
      <c r="O12" s="278" t="s">
        <v>523</v>
      </c>
      <c r="P12" s="283" t="s">
        <v>174</v>
      </c>
      <c r="Q12" s="278" t="s">
        <v>172</v>
      </c>
      <c r="R12" s="284" t="s">
        <v>29</v>
      </c>
      <c r="S12" s="282" t="s">
        <v>572</v>
      </c>
      <c r="T12" s="285">
        <v>7020</v>
      </c>
      <c r="U12" s="286">
        <v>1722</v>
      </c>
      <c r="V12" s="287">
        <v>1495</v>
      </c>
      <c r="W12" s="288">
        <v>1380</v>
      </c>
      <c r="X12" s="286"/>
      <c r="Y12" s="289"/>
      <c r="Z12" s="289"/>
      <c r="AA12" s="290">
        <f t="shared" si="1"/>
        <v>8400</v>
      </c>
      <c r="AB12" s="291">
        <v>8400</v>
      </c>
      <c r="AC12" s="292">
        <f t="shared" si="3"/>
        <v>0</v>
      </c>
      <c r="AD12" s="293"/>
      <c r="AE12" s="293"/>
      <c r="AF12" s="294"/>
      <c r="AG12" s="291"/>
      <c r="AH12" s="295"/>
      <c r="AI12" s="291"/>
      <c r="AJ12" s="295"/>
      <c r="AK12" s="291"/>
      <c r="AL12" s="291"/>
      <c r="AM12" s="291"/>
      <c r="AN12" s="296">
        <v>35000</v>
      </c>
      <c r="AO12" s="296">
        <v>30000</v>
      </c>
      <c r="AP12" s="296"/>
      <c r="AQ12" s="296"/>
      <c r="AR12" s="296"/>
      <c r="AS12" s="296">
        <f t="shared" si="4"/>
        <v>65000</v>
      </c>
      <c r="AT12" s="297">
        <f t="shared" si="5"/>
        <v>12023440</v>
      </c>
      <c r="AU12" s="297">
        <f t="shared" si="6"/>
        <v>-776560</v>
      </c>
      <c r="AV12" s="297">
        <f t="shared" si="7"/>
        <v>1152000</v>
      </c>
      <c r="AW12" s="297">
        <f t="shared" si="8"/>
        <v>187720</v>
      </c>
      <c r="AX12" s="297">
        <f t="shared" si="9"/>
        <v>168948</v>
      </c>
      <c r="AY12" s="298">
        <v>50000</v>
      </c>
      <c r="AZ12" s="298"/>
      <c r="BA12" s="297">
        <f t="shared" si="10"/>
        <v>118948</v>
      </c>
      <c r="BB12" s="278"/>
      <c r="BC12" s="255"/>
      <c r="BD12" s="255"/>
    </row>
    <row r="13" spans="1:56" s="256" customFormat="1" ht="20" hidden="1" customHeight="1">
      <c r="A13" s="260">
        <v>13</v>
      </c>
      <c r="B13" s="277">
        <v>46118</v>
      </c>
      <c r="C13" s="278" t="s">
        <v>240</v>
      </c>
      <c r="D13" s="278" t="s">
        <v>427</v>
      </c>
      <c r="E13" s="278" t="s">
        <v>426</v>
      </c>
      <c r="F13" s="278" t="s">
        <v>428</v>
      </c>
      <c r="G13" s="279" t="s">
        <v>1221</v>
      </c>
      <c r="H13" s="280">
        <v>17700000</v>
      </c>
      <c r="I13" s="280">
        <v>440000</v>
      </c>
      <c r="J13" s="281">
        <f t="shared" si="0"/>
        <v>18140000</v>
      </c>
      <c r="K13" s="282" t="s">
        <v>1212</v>
      </c>
      <c r="L13" s="282" t="s">
        <v>508</v>
      </c>
      <c r="M13" s="339" t="s">
        <v>178</v>
      </c>
      <c r="N13" s="278" t="s">
        <v>429</v>
      </c>
      <c r="O13" s="278">
        <v>1011135761</v>
      </c>
      <c r="P13" s="283" t="s">
        <v>431</v>
      </c>
      <c r="Q13" s="278" t="s">
        <v>430</v>
      </c>
      <c r="R13" s="284" t="s">
        <v>28</v>
      </c>
      <c r="S13" s="282" t="s">
        <v>1258</v>
      </c>
      <c r="T13" s="285">
        <v>10220</v>
      </c>
      <c r="U13" s="286">
        <v>1722</v>
      </c>
      <c r="V13" s="287">
        <v>1495</v>
      </c>
      <c r="W13" s="288">
        <v>1380</v>
      </c>
      <c r="X13" s="286"/>
      <c r="Y13" s="289"/>
      <c r="Z13" s="289"/>
      <c r="AA13" s="290">
        <f t="shared" si="1"/>
        <v>11600</v>
      </c>
      <c r="AB13" s="291">
        <f t="shared" ref="AB13:AB28" si="11">SUM(AG13+AI13+AK13+AL13-AM13)</f>
        <v>0</v>
      </c>
      <c r="AC13" s="292">
        <f t="shared" si="3"/>
        <v>-11600</v>
      </c>
      <c r="AD13" s="293"/>
      <c r="AE13" s="293"/>
      <c r="AF13" s="294"/>
      <c r="AG13" s="291"/>
      <c r="AH13" s="295"/>
      <c r="AI13" s="291"/>
      <c r="AJ13" s="295"/>
      <c r="AK13" s="291"/>
      <c r="AL13" s="291"/>
      <c r="AM13" s="291"/>
      <c r="AN13" s="296">
        <v>35000</v>
      </c>
      <c r="AO13" s="296">
        <v>30000</v>
      </c>
      <c r="AP13" s="296"/>
      <c r="AQ13" s="296"/>
      <c r="AR13" s="296"/>
      <c r="AS13" s="296">
        <f t="shared" si="4"/>
        <v>65000</v>
      </c>
      <c r="AT13" s="297">
        <f t="shared" si="5"/>
        <v>17533840</v>
      </c>
      <c r="AU13" s="297">
        <f t="shared" si="6"/>
        <v>-606160</v>
      </c>
      <c r="AV13" s="297">
        <f t="shared" si="7"/>
        <v>1593000</v>
      </c>
      <c r="AW13" s="297">
        <f t="shared" si="8"/>
        <v>493420</v>
      </c>
      <c r="AX13" s="297">
        <f t="shared" si="9"/>
        <v>444078</v>
      </c>
      <c r="AY13" s="298">
        <v>50000</v>
      </c>
      <c r="AZ13" s="298"/>
      <c r="BA13" s="297">
        <f t="shared" si="10"/>
        <v>394078</v>
      </c>
      <c r="BB13" s="278">
        <v>0</v>
      </c>
      <c r="BC13" s="255"/>
      <c r="BD13" s="255"/>
    </row>
    <row r="14" spans="1:56" s="256" customFormat="1" ht="20" hidden="1" customHeight="1">
      <c r="A14" s="260">
        <v>14</v>
      </c>
      <c r="B14" s="277">
        <v>46118</v>
      </c>
      <c r="C14" s="278" t="s">
        <v>440</v>
      </c>
      <c r="D14" s="278" t="s">
        <v>438</v>
      </c>
      <c r="E14" s="278" t="s">
        <v>441</v>
      </c>
      <c r="F14" s="278" t="s">
        <v>439</v>
      </c>
      <c r="G14" s="279" t="e">
        <f>"YB"&amp;RIGHT(#REF!,6)</f>
        <v>#REF!</v>
      </c>
      <c r="H14" s="280">
        <v>18900000</v>
      </c>
      <c r="I14" s="280">
        <v>0</v>
      </c>
      <c r="J14" s="281">
        <f t="shared" si="0"/>
        <v>18900000</v>
      </c>
      <c r="K14" s="282" t="s">
        <v>1212</v>
      </c>
      <c r="L14" s="282" t="s">
        <v>508</v>
      </c>
      <c r="M14" s="339" t="s">
        <v>30</v>
      </c>
      <c r="N14" s="278" t="s">
        <v>933</v>
      </c>
      <c r="O14" s="278" t="s">
        <v>173</v>
      </c>
      <c r="P14" s="283" t="s">
        <v>174</v>
      </c>
      <c r="Q14" s="278" t="s">
        <v>172</v>
      </c>
      <c r="R14" s="284" t="s">
        <v>29</v>
      </c>
      <c r="S14" s="282" t="s">
        <v>572</v>
      </c>
      <c r="T14" s="285">
        <v>10520</v>
      </c>
      <c r="U14" s="286">
        <v>1722</v>
      </c>
      <c r="V14" s="287">
        <v>1495</v>
      </c>
      <c r="W14" s="288">
        <v>1380</v>
      </c>
      <c r="X14" s="286"/>
      <c r="Y14" s="289"/>
      <c r="Z14" s="289"/>
      <c r="AA14" s="290">
        <f t="shared" si="1"/>
        <v>11900</v>
      </c>
      <c r="AB14" s="291">
        <f t="shared" si="11"/>
        <v>0</v>
      </c>
      <c r="AC14" s="292">
        <f t="shared" si="3"/>
        <v>-11900</v>
      </c>
      <c r="AD14" s="293"/>
      <c r="AE14" s="293"/>
      <c r="AF14" s="294"/>
      <c r="AG14" s="291"/>
      <c r="AH14" s="295"/>
      <c r="AI14" s="291"/>
      <c r="AJ14" s="295"/>
      <c r="AK14" s="291"/>
      <c r="AL14" s="291"/>
      <c r="AM14" s="291"/>
      <c r="AN14" s="296">
        <v>35000</v>
      </c>
      <c r="AO14" s="296">
        <v>30000</v>
      </c>
      <c r="AP14" s="296"/>
      <c r="AQ14" s="296"/>
      <c r="AR14" s="296"/>
      <c r="AS14" s="296">
        <f t="shared" si="4"/>
        <v>65000</v>
      </c>
      <c r="AT14" s="297">
        <f t="shared" si="5"/>
        <v>18050440</v>
      </c>
      <c r="AU14" s="297">
        <f t="shared" si="6"/>
        <v>-849560</v>
      </c>
      <c r="AV14" s="297">
        <f t="shared" si="7"/>
        <v>1701000</v>
      </c>
      <c r="AW14" s="297">
        <f t="shared" si="8"/>
        <v>425720</v>
      </c>
      <c r="AX14" s="297">
        <f t="shared" si="9"/>
        <v>383148</v>
      </c>
      <c r="AY14" s="298">
        <v>50000</v>
      </c>
      <c r="AZ14" s="298"/>
      <c r="BA14" s="297">
        <f t="shared" si="10"/>
        <v>333148</v>
      </c>
      <c r="BB14" s="278"/>
      <c r="BC14" s="255"/>
      <c r="BD14" s="255"/>
    </row>
    <row r="15" spans="1:56" s="256" customFormat="1" ht="20" hidden="1" customHeight="1">
      <c r="A15" s="260">
        <v>15</v>
      </c>
      <c r="B15" s="277">
        <v>46118</v>
      </c>
      <c r="C15" s="278" t="s">
        <v>224</v>
      </c>
      <c r="D15" s="278" t="s">
        <v>443</v>
      </c>
      <c r="E15" s="278" t="s">
        <v>444</v>
      </c>
      <c r="F15" s="278" t="s">
        <v>442</v>
      </c>
      <c r="G15" s="279" t="e">
        <f>"YB"&amp;RIGHT(#REF!,6)</f>
        <v>#REF!</v>
      </c>
      <c r="H15" s="280">
        <v>6600000</v>
      </c>
      <c r="I15" s="280">
        <v>0</v>
      </c>
      <c r="J15" s="281">
        <f t="shared" si="0"/>
        <v>6600000</v>
      </c>
      <c r="K15" s="282" t="s">
        <v>1212</v>
      </c>
      <c r="L15" s="282" t="s">
        <v>508</v>
      </c>
      <c r="M15" s="339" t="s">
        <v>281</v>
      </c>
      <c r="N15" s="278" t="s">
        <v>418</v>
      </c>
      <c r="O15" s="278" t="s">
        <v>419</v>
      </c>
      <c r="P15" s="283" t="s">
        <v>283</v>
      </c>
      <c r="Q15" s="278" t="s">
        <v>284</v>
      </c>
      <c r="R15" s="284" t="s">
        <v>29</v>
      </c>
      <c r="S15" s="282" t="s">
        <v>1127</v>
      </c>
      <c r="T15" s="285">
        <v>3800</v>
      </c>
      <c r="U15" s="286">
        <v>1722</v>
      </c>
      <c r="V15" s="287">
        <v>1495</v>
      </c>
      <c r="W15" s="288">
        <v>1380</v>
      </c>
      <c r="X15" s="286"/>
      <c r="Y15" s="289"/>
      <c r="Z15" s="289"/>
      <c r="AA15" s="290">
        <f t="shared" si="1"/>
        <v>5180</v>
      </c>
      <c r="AB15" s="291">
        <f t="shared" si="11"/>
        <v>0</v>
      </c>
      <c r="AC15" s="292">
        <f t="shared" si="3"/>
        <v>-5180</v>
      </c>
      <c r="AD15" s="293"/>
      <c r="AE15" s="293"/>
      <c r="AF15" s="294"/>
      <c r="AG15" s="291"/>
      <c r="AH15" s="295"/>
      <c r="AI15" s="291"/>
      <c r="AJ15" s="295"/>
      <c r="AK15" s="291"/>
      <c r="AL15" s="291"/>
      <c r="AM15" s="291"/>
      <c r="AN15" s="296">
        <v>35000</v>
      </c>
      <c r="AO15" s="296">
        <v>30000</v>
      </c>
      <c r="AP15" s="296"/>
      <c r="AQ15" s="296"/>
      <c r="AR15" s="296"/>
      <c r="AS15" s="296">
        <f t="shared" si="4"/>
        <v>65000</v>
      </c>
      <c r="AT15" s="297">
        <f t="shared" si="5"/>
        <v>6478600</v>
      </c>
      <c r="AU15" s="297">
        <f t="shared" si="6"/>
        <v>-121400</v>
      </c>
      <c r="AV15" s="297">
        <f t="shared" si="7"/>
        <v>594000</v>
      </c>
      <c r="AW15" s="297">
        <f t="shared" si="8"/>
        <v>236300</v>
      </c>
      <c r="AX15" s="297">
        <f t="shared" si="9"/>
        <v>212670</v>
      </c>
      <c r="AY15" s="298">
        <v>50000</v>
      </c>
      <c r="AZ15" s="298"/>
      <c r="BA15" s="297">
        <f t="shared" si="10"/>
        <v>162670</v>
      </c>
      <c r="BB15" s="278"/>
      <c r="BC15" s="255"/>
      <c r="BD15" s="255"/>
    </row>
    <row r="16" spans="1:56" s="256" customFormat="1" ht="20" hidden="1" customHeight="1">
      <c r="A16" s="260">
        <v>16</v>
      </c>
      <c r="B16" s="277">
        <v>46118</v>
      </c>
      <c r="C16" s="278" t="s">
        <v>345</v>
      </c>
      <c r="D16" s="278" t="s">
        <v>445</v>
      </c>
      <c r="E16" s="278" t="s">
        <v>446</v>
      </c>
      <c r="F16" s="278" t="s">
        <v>267</v>
      </c>
      <c r="G16" s="279" t="e">
        <f>"YB"&amp;RIGHT(#REF!,6)</f>
        <v>#REF!</v>
      </c>
      <c r="H16" s="280">
        <v>6300000</v>
      </c>
      <c r="I16" s="280">
        <v>165000</v>
      </c>
      <c r="J16" s="281">
        <f t="shared" si="0"/>
        <v>6465000</v>
      </c>
      <c r="K16" s="282" t="s">
        <v>1212</v>
      </c>
      <c r="L16" s="282" t="s">
        <v>508</v>
      </c>
      <c r="M16" s="339" t="s">
        <v>281</v>
      </c>
      <c r="N16" s="278" t="s">
        <v>418</v>
      </c>
      <c r="O16" s="278" t="s">
        <v>419</v>
      </c>
      <c r="P16" s="283" t="s">
        <v>283</v>
      </c>
      <c r="Q16" s="278" t="s">
        <v>284</v>
      </c>
      <c r="R16" s="284" t="s">
        <v>29</v>
      </c>
      <c r="S16" s="282" t="s">
        <v>1127</v>
      </c>
      <c r="T16" s="285">
        <v>3800</v>
      </c>
      <c r="U16" s="286">
        <v>1722</v>
      </c>
      <c r="V16" s="287">
        <v>1495</v>
      </c>
      <c r="W16" s="288"/>
      <c r="X16" s="286"/>
      <c r="Y16" s="289"/>
      <c r="Z16" s="289"/>
      <c r="AA16" s="290">
        <f t="shared" si="1"/>
        <v>3800</v>
      </c>
      <c r="AB16" s="291">
        <f t="shared" si="11"/>
        <v>0</v>
      </c>
      <c r="AC16" s="292">
        <f t="shared" si="3"/>
        <v>-3800</v>
      </c>
      <c r="AD16" s="293"/>
      <c r="AE16" s="293"/>
      <c r="AF16" s="294"/>
      <c r="AG16" s="291"/>
      <c r="AH16" s="295"/>
      <c r="AI16" s="291"/>
      <c r="AJ16" s="295"/>
      <c r="AK16" s="291"/>
      <c r="AL16" s="291"/>
      <c r="AM16" s="291"/>
      <c r="AN16" s="296">
        <v>35000</v>
      </c>
      <c r="AO16" s="296">
        <v>30000</v>
      </c>
      <c r="AP16" s="296"/>
      <c r="AQ16" s="296"/>
      <c r="AR16" s="296"/>
      <c r="AS16" s="296">
        <f t="shared" si="4"/>
        <v>65000</v>
      </c>
      <c r="AT16" s="297">
        <f t="shared" si="5"/>
        <v>6478600</v>
      </c>
      <c r="AU16" s="297">
        <f t="shared" si="6"/>
        <v>13600</v>
      </c>
      <c r="AV16" s="297">
        <f t="shared" si="7"/>
        <v>567000</v>
      </c>
      <c r="AW16" s="297">
        <f t="shared" si="8"/>
        <v>290300</v>
      </c>
      <c r="AX16" s="297">
        <f t="shared" si="9"/>
        <v>261270</v>
      </c>
      <c r="AY16" s="298">
        <v>50000</v>
      </c>
      <c r="AZ16" s="298"/>
      <c r="BA16" s="297">
        <f t="shared" si="10"/>
        <v>211270</v>
      </c>
      <c r="BB16" s="278">
        <v>0</v>
      </c>
      <c r="BC16" s="255"/>
      <c r="BD16" s="255"/>
    </row>
    <row r="17" spans="1:56" s="256" customFormat="1" ht="20" hidden="1" customHeight="1">
      <c r="A17" s="260">
        <v>17</v>
      </c>
      <c r="B17" s="277">
        <v>46120</v>
      </c>
      <c r="C17" s="278" t="s">
        <v>371</v>
      </c>
      <c r="D17" s="278" t="s">
        <v>448</v>
      </c>
      <c r="E17" s="278" t="s">
        <v>452</v>
      </c>
      <c r="F17" s="278" t="s">
        <v>280</v>
      </c>
      <c r="G17" s="279" t="s">
        <v>649</v>
      </c>
      <c r="H17" s="280">
        <v>9750000</v>
      </c>
      <c r="I17" s="280">
        <v>252030</v>
      </c>
      <c r="J17" s="281">
        <f t="shared" si="0"/>
        <v>10002030</v>
      </c>
      <c r="K17" s="282" t="s">
        <v>1212</v>
      </c>
      <c r="L17" s="282" t="s">
        <v>508</v>
      </c>
      <c r="M17" s="339" t="s">
        <v>281</v>
      </c>
      <c r="N17" s="278" t="s">
        <v>282</v>
      </c>
      <c r="O17" s="278" t="s">
        <v>285</v>
      </c>
      <c r="P17" s="283" t="s">
        <v>283</v>
      </c>
      <c r="Q17" s="278" t="s">
        <v>284</v>
      </c>
      <c r="R17" s="284" t="s">
        <v>29</v>
      </c>
      <c r="S17" s="282" t="s">
        <v>1127</v>
      </c>
      <c r="T17" s="285">
        <v>5650</v>
      </c>
      <c r="U17" s="286">
        <v>1713</v>
      </c>
      <c r="V17" s="287">
        <v>1465</v>
      </c>
      <c r="W17" s="288"/>
      <c r="X17" s="286"/>
      <c r="Y17" s="289"/>
      <c r="Z17" s="289"/>
      <c r="AA17" s="290">
        <f t="shared" si="1"/>
        <v>5650</v>
      </c>
      <c r="AB17" s="291">
        <f t="shared" si="11"/>
        <v>0</v>
      </c>
      <c r="AC17" s="292">
        <f t="shared" si="3"/>
        <v>-5650</v>
      </c>
      <c r="AD17" s="293"/>
      <c r="AE17" s="293"/>
      <c r="AF17" s="294"/>
      <c r="AG17" s="291"/>
      <c r="AH17" s="295"/>
      <c r="AI17" s="291"/>
      <c r="AJ17" s="295"/>
      <c r="AK17" s="291"/>
      <c r="AL17" s="291"/>
      <c r="AM17" s="291"/>
      <c r="AN17" s="296">
        <v>35000</v>
      </c>
      <c r="AO17" s="296">
        <v>30000</v>
      </c>
      <c r="AP17" s="296"/>
      <c r="AQ17" s="296"/>
      <c r="AR17" s="296"/>
      <c r="AS17" s="296">
        <f t="shared" si="4"/>
        <v>65000</v>
      </c>
      <c r="AT17" s="297">
        <f t="shared" si="5"/>
        <v>9613450</v>
      </c>
      <c r="AU17" s="297">
        <f t="shared" si="6"/>
        <v>-388580</v>
      </c>
      <c r="AV17" s="297">
        <f t="shared" si="7"/>
        <v>877500</v>
      </c>
      <c r="AW17" s="297">
        <f t="shared" si="8"/>
        <v>244460</v>
      </c>
      <c r="AX17" s="297">
        <f t="shared" si="9"/>
        <v>220014</v>
      </c>
      <c r="AY17" s="298">
        <v>50000</v>
      </c>
      <c r="AZ17" s="298"/>
      <c r="BA17" s="297">
        <f t="shared" si="10"/>
        <v>170014</v>
      </c>
      <c r="BB17" s="278"/>
      <c r="BC17" s="255"/>
      <c r="BD17" s="255"/>
    </row>
    <row r="18" spans="1:56" s="256" customFormat="1" ht="20" hidden="1" customHeight="1">
      <c r="A18" s="260">
        <v>18</v>
      </c>
      <c r="B18" s="277">
        <v>46120</v>
      </c>
      <c r="C18" s="278" t="s">
        <v>345</v>
      </c>
      <c r="D18" s="278" t="s">
        <v>449</v>
      </c>
      <c r="E18" s="278" t="s">
        <v>453</v>
      </c>
      <c r="F18" s="278" t="s">
        <v>280</v>
      </c>
      <c r="G18" s="279" t="s">
        <v>649</v>
      </c>
      <c r="H18" s="280">
        <v>5800000</v>
      </c>
      <c r="I18" s="280">
        <v>165000</v>
      </c>
      <c r="J18" s="281">
        <f t="shared" si="0"/>
        <v>5965000</v>
      </c>
      <c r="K18" s="282" t="s">
        <v>1212</v>
      </c>
      <c r="L18" s="282" t="s">
        <v>508</v>
      </c>
      <c r="M18" s="339" t="s">
        <v>281</v>
      </c>
      <c r="N18" s="278" t="s">
        <v>734</v>
      </c>
      <c r="O18" s="278" t="s">
        <v>735</v>
      </c>
      <c r="P18" s="283" t="s">
        <v>283</v>
      </c>
      <c r="Q18" s="278" t="s">
        <v>284</v>
      </c>
      <c r="R18" s="284" t="s">
        <v>29</v>
      </c>
      <c r="S18" s="282" t="s">
        <v>1127</v>
      </c>
      <c r="T18" s="285">
        <v>3480</v>
      </c>
      <c r="U18" s="286">
        <v>1713</v>
      </c>
      <c r="V18" s="287">
        <v>1465</v>
      </c>
      <c r="W18" s="288"/>
      <c r="X18" s="286"/>
      <c r="Y18" s="289"/>
      <c r="Z18" s="289"/>
      <c r="AA18" s="290">
        <f t="shared" si="1"/>
        <v>3480</v>
      </c>
      <c r="AB18" s="291">
        <f t="shared" si="11"/>
        <v>0</v>
      </c>
      <c r="AC18" s="292">
        <f t="shared" si="3"/>
        <v>-3480</v>
      </c>
      <c r="AD18" s="293"/>
      <c r="AE18" s="293"/>
      <c r="AF18" s="294"/>
      <c r="AG18" s="291"/>
      <c r="AH18" s="295"/>
      <c r="AI18" s="291"/>
      <c r="AJ18" s="295"/>
      <c r="AK18" s="291"/>
      <c r="AL18" s="291"/>
      <c r="AM18" s="291"/>
      <c r="AN18" s="296">
        <v>35000</v>
      </c>
      <c r="AO18" s="296">
        <v>30000</v>
      </c>
      <c r="AP18" s="296"/>
      <c r="AQ18" s="296"/>
      <c r="AR18" s="296"/>
      <c r="AS18" s="296">
        <f t="shared" si="4"/>
        <v>65000</v>
      </c>
      <c r="AT18" s="297">
        <f t="shared" si="5"/>
        <v>5896240</v>
      </c>
      <c r="AU18" s="297">
        <f t="shared" si="6"/>
        <v>-68760</v>
      </c>
      <c r="AV18" s="297">
        <f t="shared" si="7"/>
        <v>522000</v>
      </c>
      <c r="AW18" s="297">
        <f t="shared" si="8"/>
        <v>226620</v>
      </c>
      <c r="AX18" s="297">
        <f t="shared" si="9"/>
        <v>203958</v>
      </c>
      <c r="AY18" s="298">
        <v>50000</v>
      </c>
      <c r="AZ18" s="298"/>
      <c r="BA18" s="297">
        <f t="shared" si="10"/>
        <v>153958</v>
      </c>
      <c r="BB18" s="278"/>
      <c r="BC18" s="255"/>
      <c r="BD18" s="255"/>
    </row>
    <row r="19" spans="1:56" s="256" customFormat="1" ht="20" hidden="1" customHeight="1">
      <c r="A19" s="260">
        <v>19</v>
      </c>
      <c r="B19" s="277">
        <v>46120</v>
      </c>
      <c r="C19" s="278" t="s">
        <v>345</v>
      </c>
      <c r="D19" s="278" t="s">
        <v>450</v>
      </c>
      <c r="E19" s="278" t="s">
        <v>454</v>
      </c>
      <c r="F19" s="278" t="s">
        <v>280</v>
      </c>
      <c r="G19" s="279" t="s">
        <v>649</v>
      </c>
      <c r="H19" s="280">
        <v>6550000</v>
      </c>
      <c r="I19" s="280">
        <v>169310</v>
      </c>
      <c r="J19" s="281">
        <f t="shared" si="0"/>
        <v>6719310</v>
      </c>
      <c r="K19" s="282" t="s">
        <v>1212</v>
      </c>
      <c r="L19" s="282" t="s">
        <v>508</v>
      </c>
      <c r="M19" s="339" t="s">
        <v>281</v>
      </c>
      <c r="N19" s="278" t="s">
        <v>651</v>
      </c>
      <c r="O19" s="278" t="s">
        <v>652</v>
      </c>
      <c r="P19" s="283" t="s">
        <v>283</v>
      </c>
      <c r="Q19" s="278" t="s">
        <v>653</v>
      </c>
      <c r="R19" s="284" t="s">
        <v>29</v>
      </c>
      <c r="S19" s="282" t="s">
        <v>1127</v>
      </c>
      <c r="T19" s="285">
        <v>3900</v>
      </c>
      <c r="U19" s="286">
        <v>1713</v>
      </c>
      <c r="V19" s="287">
        <v>1465</v>
      </c>
      <c r="W19" s="288"/>
      <c r="X19" s="286"/>
      <c r="Y19" s="289"/>
      <c r="Z19" s="289"/>
      <c r="AA19" s="290">
        <f t="shared" si="1"/>
        <v>3900</v>
      </c>
      <c r="AB19" s="291">
        <f t="shared" si="11"/>
        <v>0</v>
      </c>
      <c r="AC19" s="292">
        <f t="shared" si="3"/>
        <v>-3900</v>
      </c>
      <c r="AD19" s="293"/>
      <c r="AE19" s="293"/>
      <c r="AF19" s="294"/>
      <c r="AG19" s="291"/>
      <c r="AH19" s="295"/>
      <c r="AI19" s="291"/>
      <c r="AJ19" s="295"/>
      <c r="AK19" s="291"/>
      <c r="AL19" s="291"/>
      <c r="AM19" s="291"/>
      <c r="AN19" s="296">
        <v>35000</v>
      </c>
      <c r="AO19" s="296">
        <v>30000</v>
      </c>
      <c r="AP19" s="296"/>
      <c r="AQ19" s="296"/>
      <c r="AR19" s="296"/>
      <c r="AS19" s="296">
        <f t="shared" si="4"/>
        <v>65000</v>
      </c>
      <c r="AT19" s="297">
        <f t="shared" si="5"/>
        <v>6615700</v>
      </c>
      <c r="AU19" s="297">
        <f t="shared" si="6"/>
        <v>-103610</v>
      </c>
      <c r="AV19" s="297">
        <f t="shared" si="7"/>
        <v>589500</v>
      </c>
      <c r="AW19" s="297">
        <f t="shared" si="8"/>
        <v>242945</v>
      </c>
      <c r="AX19" s="297">
        <f t="shared" si="9"/>
        <v>218650.5</v>
      </c>
      <c r="AY19" s="298">
        <v>50000</v>
      </c>
      <c r="AZ19" s="298"/>
      <c r="BA19" s="297">
        <f t="shared" si="10"/>
        <v>168650.5</v>
      </c>
      <c r="BB19" s="278"/>
      <c r="BC19" s="255"/>
      <c r="BD19" s="255"/>
    </row>
    <row r="20" spans="1:56" s="256" customFormat="1" ht="20" hidden="1" customHeight="1">
      <c r="A20" s="260">
        <v>20</v>
      </c>
      <c r="B20" s="277">
        <v>46120</v>
      </c>
      <c r="C20" s="278" t="s">
        <v>447</v>
      </c>
      <c r="D20" s="278" t="s">
        <v>451</v>
      </c>
      <c r="E20" s="278" t="s">
        <v>455</v>
      </c>
      <c r="F20" s="278" t="s">
        <v>280</v>
      </c>
      <c r="G20" s="279" t="s">
        <v>650</v>
      </c>
      <c r="H20" s="280">
        <v>8000000</v>
      </c>
      <c r="I20" s="280">
        <v>200000</v>
      </c>
      <c r="J20" s="281">
        <f t="shared" si="0"/>
        <v>8200000</v>
      </c>
      <c r="K20" s="282" t="s">
        <v>1212</v>
      </c>
      <c r="L20" s="282" t="s">
        <v>508</v>
      </c>
      <c r="M20" s="339" t="s">
        <v>281</v>
      </c>
      <c r="N20" s="278" t="s">
        <v>282</v>
      </c>
      <c r="O20" s="278" t="s">
        <v>285</v>
      </c>
      <c r="P20" s="283" t="s">
        <v>283</v>
      </c>
      <c r="Q20" s="278" t="s">
        <v>284</v>
      </c>
      <c r="R20" s="284" t="s">
        <v>29</v>
      </c>
      <c r="S20" s="282" t="s">
        <v>1127</v>
      </c>
      <c r="T20" s="285">
        <v>4750</v>
      </c>
      <c r="U20" s="286">
        <v>1713</v>
      </c>
      <c r="V20" s="287">
        <v>1465</v>
      </c>
      <c r="W20" s="288"/>
      <c r="X20" s="286"/>
      <c r="Y20" s="289"/>
      <c r="Z20" s="289"/>
      <c r="AA20" s="290">
        <f t="shared" si="1"/>
        <v>4750</v>
      </c>
      <c r="AB20" s="291">
        <f t="shared" si="11"/>
        <v>0</v>
      </c>
      <c r="AC20" s="292">
        <f t="shared" si="3"/>
        <v>-4750</v>
      </c>
      <c r="AD20" s="293"/>
      <c r="AE20" s="293"/>
      <c r="AF20" s="294"/>
      <c r="AG20" s="291"/>
      <c r="AH20" s="295"/>
      <c r="AI20" s="291"/>
      <c r="AJ20" s="295"/>
      <c r="AK20" s="291"/>
      <c r="AL20" s="291"/>
      <c r="AM20" s="291"/>
      <c r="AN20" s="296">
        <v>35000</v>
      </c>
      <c r="AO20" s="296">
        <v>30000</v>
      </c>
      <c r="AP20" s="296"/>
      <c r="AQ20" s="296"/>
      <c r="AR20" s="296"/>
      <c r="AS20" s="296">
        <f t="shared" si="4"/>
        <v>65000</v>
      </c>
      <c r="AT20" s="297">
        <f t="shared" si="5"/>
        <v>8071750</v>
      </c>
      <c r="AU20" s="297">
        <f t="shared" si="6"/>
        <v>-128250</v>
      </c>
      <c r="AV20" s="297">
        <f t="shared" si="7"/>
        <v>720000</v>
      </c>
      <c r="AW20" s="297">
        <f t="shared" si="8"/>
        <v>295875</v>
      </c>
      <c r="AX20" s="297">
        <f t="shared" si="9"/>
        <v>266287.5</v>
      </c>
      <c r="AY20" s="298">
        <v>50000</v>
      </c>
      <c r="AZ20" s="298"/>
      <c r="BA20" s="297">
        <f t="shared" si="10"/>
        <v>216287.5</v>
      </c>
      <c r="BB20" s="278"/>
      <c r="BC20" s="255"/>
      <c r="BD20" s="255"/>
    </row>
    <row r="21" spans="1:56" s="256" customFormat="1" ht="20" hidden="1" customHeight="1">
      <c r="A21" s="260">
        <v>21</v>
      </c>
      <c r="B21" s="277">
        <v>46121</v>
      </c>
      <c r="C21" s="278" t="s">
        <v>457</v>
      </c>
      <c r="D21" s="278" t="s">
        <v>456</v>
      </c>
      <c r="E21" s="278" t="s">
        <v>466</v>
      </c>
      <c r="F21" s="278" t="s">
        <v>372</v>
      </c>
      <c r="G21" s="279" t="s">
        <v>504</v>
      </c>
      <c r="H21" s="280">
        <v>3600000</v>
      </c>
      <c r="I21" s="280">
        <v>165000</v>
      </c>
      <c r="J21" s="281">
        <f t="shared" si="0"/>
        <v>3765000</v>
      </c>
      <c r="K21" s="282" t="s">
        <v>1212</v>
      </c>
      <c r="L21" s="282" t="s">
        <v>508</v>
      </c>
      <c r="M21" s="339" t="s">
        <v>281</v>
      </c>
      <c r="N21" s="278" t="s">
        <v>282</v>
      </c>
      <c r="O21" s="278" t="s">
        <v>285</v>
      </c>
      <c r="P21" s="283" t="s">
        <v>283</v>
      </c>
      <c r="Q21" s="278" t="s">
        <v>284</v>
      </c>
      <c r="R21" s="284" t="s">
        <v>29</v>
      </c>
      <c r="S21" s="282" t="s">
        <v>1127</v>
      </c>
      <c r="T21" s="285">
        <v>2200</v>
      </c>
      <c r="U21" s="286">
        <v>1725</v>
      </c>
      <c r="V21" s="287">
        <v>1472</v>
      </c>
      <c r="W21" s="288"/>
      <c r="X21" s="286"/>
      <c r="Y21" s="289"/>
      <c r="Z21" s="289"/>
      <c r="AA21" s="290">
        <f t="shared" si="1"/>
        <v>2200</v>
      </c>
      <c r="AB21" s="291">
        <f t="shared" si="11"/>
        <v>0</v>
      </c>
      <c r="AC21" s="292">
        <f t="shared" si="3"/>
        <v>-2200</v>
      </c>
      <c r="AD21" s="293"/>
      <c r="AE21" s="293"/>
      <c r="AF21" s="294"/>
      <c r="AG21" s="291"/>
      <c r="AH21" s="295"/>
      <c r="AI21" s="291"/>
      <c r="AJ21" s="295"/>
      <c r="AK21" s="291"/>
      <c r="AL21" s="291"/>
      <c r="AM21" s="291"/>
      <c r="AN21" s="296">
        <v>35000</v>
      </c>
      <c r="AO21" s="296">
        <v>30000</v>
      </c>
      <c r="AP21" s="296"/>
      <c r="AQ21" s="296"/>
      <c r="AR21" s="296"/>
      <c r="AS21" s="296">
        <f t="shared" si="4"/>
        <v>65000</v>
      </c>
      <c r="AT21" s="297">
        <f t="shared" si="5"/>
        <v>3730000</v>
      </c>
      <c r="AU21" s="297">
        <f t="shared" si="6"/>
        <v>-35000</v>
      </c>
      <c r="AV21" s="297">
        <f t="shared" si="7"/>
        <v>324000</v>
      </c>
      <c r="AW21" s="297">
        <f t="shared" si="8"/>
        <v>144500</v>
      </c>
      <c r="AX21" s="297">
        <f t="shared" si="9"/>
        <v>130050</v>
      </c>
      <c r="AY21" s="298">
        <v>50000</v>
      </c>
      <c r="AZ21" s="298"/>
      <c r="BA21" s="297">
        <f t="shared" si="10"/>
        <v>80050</v>
      </c>
      <c r="BB21" s="278"/>
      <c r="BC21" s="255"/>
      <c r="BD21" s="255"/>
    </row>
    <row r="22" spans="1:56" s="256" customFormat="1" ht="20" hidden="1" customHeight="1">
      <c r="A22" s="260">
        <v>22</v>
      </c>
      <c r="B22" s="277">
        <v>46121</v>
      </c>
      <c r="C22" s="278" t="s">
        <v>458</v>
      </c>
      <c r="D22" s="278" t="s">
        <v>591</v>
      </c>
      <c r="E22" s="278" t="s">
        <v>592</v>
      </c>
      <c r="F22" s="278" t="s">
        <v>372</v>
      </c>
      <c r="G22" s="279" t="s">
        <v>650</v>
      </c>
      <c r="H22" s="280">
        <v>3900000</v>
      </c>
      <c r="I22" s="280">
        <v>165000</v>
      </c>
      <c r="J22" s="281">
        <f t="shared" si="0"/>
        <v>4065000</v>
      </c>
      <c r="K22" s="282" t="s">
        <v>1212</v>
      </c>
      <c r="L22" s="282" t="s">
        <v>508</v>
      </c>
      <c r="M22" s="339" t="s">
        <v>281</v>
      </c>
      <c r="N22" s="278" t="s">
        <v>495</v>
      </c>
      <c r="O22" s="278" t="s">
        <v>496</v>
      </c>
      <c r="P22" s="283" t="s">
        <v>283</v>
      </c>
      <c r="Q22" s="278" t="s">
        <v>497</v>
      </c>
      <c r="R22" s="284" t="s">
        <v>29</v>
      </c>
      <c r="S22" s="282" t="s">
        <v>1127</v>
      </c>
      <c r="T22" s="285">
        <v>2400</v>
      </c>
      <c r="U22" s="286">
        <v>1725</v>
      </c>
      <c r="V22" s="287">
        <v>1472</v>
      </c>
      <c r="W22" s="288"/>
      <c r="X22" s="286"/>
      <c r="Y22" s="289"/>
      <c r="Z22" s="289"/>
      <c r="AA22" s="290">
        <f t="shared" si="1"/>
        <v>2400</v>
      </c>
      <c r="AB22" s="291">
        <f t="shared" si="11"/>
        <v>0</v>
      </c>
      <c r="AC22" s="292">
        <f t="shared" si="3"/>
        <v>-2400</v>
      </c>
      <c r="AD22" s="293"/>
      <c r="AE22" s="293"/>
      <c r="AF22" s="294"/>
      <c r="AG22" s="291"/>
      <c r="AH22" s="295"/>
      <c r="AI22" s="291"/>
      <c r="AJ22" s="295"/>
      <c r="AK22" s="291"/>
      <c r="AL22" s="291"/>
      <c r="AM22" s="291"/>
      <c r="AN22" s="296">
        <v>35000</v>
      </c>
      <c r="AO22" s="296">
        <v>30000</v>
      </c>
      <c r="AP22" s="296"/>
      <c r="AQ22" s="296"/>
      <c r="AR22" s="296"/>
      <c r="AS22" s="296">
        <f t="shared" si="4"/>
        <v>65000</v>
      </c>
      <c r="AT22" s="297">
        <f t="shared" si="5"/>
        <v>4075000</v>
      </c>
      <c r="AU22" s="297">
        <f t="shared" si="6"/>
        <v>10000</v>
      </c>
      <c r="AV22" s="297">
        <f t="shared" si="7"/>
        <v>351000</v>
      </c>
      <c r="AW22" s="297">
        <f t="shared" si="8"/>
        <v>180500</v>
      </c>
      <c r="AX22" s="297">
        <f t="shared" si="9"/>
        <v>162450</v>
      </c>
      <c r="AY22" s="298">
        <v>50000</v>
      </c>
      <c r="AZ22" s="298"/>
      <c r="BA22" s="297">
        <f t="shared" si="10"/>
        <v>112450</v>
      </c>
      <c r="BB22" s="278"/>
      <c r="BC22" s="255"/>
      <c r="BD22" s="255"/>
    </row>
    <row r="23" spans="1:56" s="256" customFormat="1" ht="20" hidden="1" customHeight="1">
      <c r="A23" s="260">
        <v>23</v>
      </c>
      <c r="B23" s="277">
        <v>46121</v>
      </c>
      <c r="C23" s="278" t="s">
        <v>458</v>
      </c>
      <c r="D23" s="278" t="s">
        <v>459</v>
      </c>
      <c r="E23" s="278" t="s">
        <v>467</v>
      </c>
      <c r="F23" s="278" t="s">
        <v>372</v>
      </c>
      <c r="G23" s="279" t="s">
        <v>650</v>
      </c>
      <c r="H23" s="280">
        <v>4300000</v>
      </c>
      <c r="I23" s="280">
        <v>165000</v>
      </c>
      <c r="J23" s="281">
        <f t="shared" si="0"/>
        <v>4465000</v>
      </c>
      <c r="K23" s="282" t="s">
        <v>1212</v>
      </c>
      <c r="L23" s="282" t="s">
        <v>508</v>
      </c>
      <c r="M23" s="339" t="s">
        <v>281</v>
      </c>
      <c r="N23" s="278" t="s">
        <v>495</v>
      </c>
      <c r="O23" s="278" t="s">
        <v>496</v>
      </c>
      <c r="P23" s="283" t="s">
        <v>283</v>
      </c>
      <c r="Q23" s="278" t="s">
        <v>497</v>
      </c>
      <c r="R23" s="284" t="s">
        <v>29</v>
      </c>
      <c r="S23" s="282" t="s">
        <v>1127</v>
      </c>
      <c r="T23" s="285">
        <v>2610</v>
      </c>
      <c r="U23" s="286">
        <v>1725</v>
      </c>
      <c r="V23" s="287">
        <v>1472</v>
      </c>
      <c r="W23" s="288"/>
      <c r="X23" s="286"/>
      <c r="Y23" s="289"/>
      <c r="Z23" s="289"/>
      <c r="AA23" s="290">
        <f t="shared" si="1"/>
        <v>2610</v>
      </c>
      <c r="AB23" s="291">
        <f t="shared" si="11"/>
        <v>0</v>
      </c>
      <c r="AC23" s="292">
        <f t="shared" si="3"/>
        <v>-2610</v>
      </c>
      <c r="AD23" s="293"/>
      <c r="AE23" s="293"/>
      <c r="AF23" s="294"/>
      <c r="AG23" s="291"/>
      <c r="AH23" s="295"/>
      <c r="AI23" s="291"/>
      <c r="AJ23" s="295"/>
      <c r="AK23" s="291"/>
      <c r="AL23" s="291"/>
      <c r="AM23" s="291"/>
      <c r="AN23" s="296">
        <v>35000</v>
      </c>
      <c r="AO23" s="296">
        <v>30000</v>
      </c>
      <c r="AP23" s="296"/>
      <c r="AQ23" s="296"/>
      <c r="AR23" s="296"/>
      <c r="AS23" s="296">
        <f t="shared" si="4"/>
        <v>65000</v>
      </c>
      <c r="AT23" s="297">
        <f t="shared" si="5"/>
        <v>4437250</v>
      </c>
      <c r="AU23" s="297">
        <f t="shared" si="6"/>
        <v>-27750</v>
      </c>
      <c r="AV23" s="297">
        <f t="shared" si="7"/>
        <v>387000</v>
      </c>
      <c r="AW23" s="297">
        <f t="shared" si="8"/>
        <v>179625</v>
      </c>
      <c r="AX23" s="297">
        <f t="shared" si="9"/>
        <v>161662.5</v>
      </c>
      <c r="AY23" s="298">
        <v>50000</v>
      </c>
      <c r="AZ23" s="298"/>
      <c r="BA23" s="297">
        <f t="shared" si="10"/>
        <v>111662.5</v>
      </c>
      <c r="BB23" s="278"/>
      <c r="BC23" s="255"/>
      <c r="BD23" s="255"/>
    </row>
    <row r="24" spans="1:56" s="256" customFormat="1" ht="20" hidden="1" customHeight="1">
      <c r="A24" s="260">
        <v>24</v>
      </c>
      <c r="B24" s="277">
        <v>46121</v>
      </c>
      <c r="C24" s="278" t="s">
        <v>461</v>
      </c>
      <c r="D24" s="278" t="s">
        <v>460</v>
      </c>
      <c r="E24" s="278" t="s">
        <v>468</v>
      </c>
      <c r="F24" s="278" t="s">
        <v>372</v>
      </c>
      <c r="G24" s="279" t="s">
        <v>504</v>
      </c>
      <c r="H24" s="280">
        <v>5000000</v>
      </c>
      <c r="I24" s="280">
        <v>165000</v>
      </c>
      <c r="J24" s="281">
        <f t="shared" si="0"/>
        <v>5165000</v>
      </c>
      <c r="K24" s="282" t="s">
        <v>1212</v>
      </c>
      <c r="L24" s="282" t="s">
        <v>508</v>
      </c>
      <c r="M24" s="339" t="s">
        <v>31</v>
      </c>
      <c r="N24" s="278" t="s">
        <v>934</v>
      </c>
      <c r="O24" s="278">
        <v>1174897090</v>
      </c>
      <c r="P24" s="283" t="s">
        <v>175</v>
      </c>
      <c r="Q24" s="278" t="s">
        <v>176</v>
      </c>
      <c r="R24" s="284" t="s">
        <v>28</v>
      </c>
      <c r="S24" s="282" t="s">
        <v>508</v>
      </c>
      <c r="T24" s="285">
        <f>AA24-W24</f>
        <v>3488</v>
      </c>
      <c r="U24" s="286">
        <v>1725</v>
      </c>
      <c r="V24" s="287">
        <v>1472</v>
      </c>
      <c r="W24" s="288">
        <v>1272</v>
      </c>
      <c r="X24" s="286"/>
      <c r="Y24" s="289"/>
      <c r="Z24" s="289"/>
      <c r="AA24" s="290">
        <v>4760</v>
      </c>
      <c r="AB24" s="291">
        <f t="shared" si="11"/>
        <v>0</v>
      </c>
      <c r="AC24" s="292">
        <f t="shared" si="3"/>
        <v>-4760</v>
      </c>
      <c r="AD24" s="293"/>
      <c r="AE24" s="293"/>
      <c r="AF24" s="294"/>
      <c r="AG24" s="291"/>
      <c r="AH24" s="295"/>
      <c r="AI24" s="291"/>
      <c r="AJ24" s="295"/>
      <c r="AK24" s="291"/>
      <c r="AL24" s="291"/>
      <c r="AM24" s="291"/>
      <c r="AN24" s="296">
        <v>35000</v>
      </c>
      <c r="AO24" s="296">
        <v>30000</v>
      </c>
      <c r="AP24" s="296"/>
      <c r="AQ24" s="296"/>
      <c r="AR24" s="296"/>
      <c r="AS24" s="296">
        <f t="shared" si="4"/>
        <v>65000</v>
      </c>
      <c r="AT24" s="297">
        <f t="shared" si="5"/>
        <v>5951800</v>
      </c>
      <c r="AU24" s="297">
        <f t="shared" si="6"/>
        <v>786800</v>
      </c>
      <c r="AV24" s="297">
        <f t="shared" si="7"/>
        <v>450000</v>
      </c>
      <c r="AW24" s="297">
        <f t="shared" si="8"/>
        <v>618400</v>
      </c>
      <c r="AX24" s="297">
        <f t="shared" si="9"/>
        <v>556560</v>
      </c>
      <c r="AY24" s="298">
        <v>50000</v>
      </c>
      <c r="AZ24" s="298"/>
      <c r="BA24" s="297">
        <f t="shared" si="10"/>
        <v>506560</v>
      </c>
      <c r="BB24" s="278"/>
      <c r="BC24" s="255"/>
      <c r="BD24" s="255"/>
    </row>
    <row r="25" spans="1:56" s="256" customFormat="1" ht="20" hidden="1" customHeight="1">
      <c r="A25" s="260">
        <v>25</v>
      </c>
      <c r="B25" s="277">
        <v>46121</v>
      </c>
      <c r="C25" s="278" t="s">
        <v>471</v>
      </c>
      <c r="D25" s="278" t="s">
        <v>462</v>
      </c>
      <c r="E25" s="278" t="s">
        <v>469</v>
      </c>
      <c r="F25" s="278"/>
      <c r="G25" s="279" t="e">
        <f>"YB"&amp;RIGHT(#REF!,6)</f>
        <v>#REF!</v>
      </c>
      <c r="H25" s="280">
        <v>51300000</v>
      </c>
      <c r="I25" s="280"/>
      <c r="J25" s="281">
        <f t="shared" si="0"/>
        <v>51300000</v>
      </c>
      <c r="K25" s="282" t="s">
        <v>1212</v>
      </c>
      <c r="L25" s="282" t="s">
        <v>508</v>
      </c>
      <c r="M25" s="339" t="s">
        <v>51</v>
      </c>
      <c r="N25" s="278" t="s">
        <v>935</v>
      </c>
      <c r="O25" s="278">
        <v>812063709</v>
      </c>
      <c r="P25" s="283" t="s">
        <v>171</v>
      </c>
      <c r="Q25" s="278" t="s">
        <v>936</v>
      </c>
      <c r="R25" s="284" t="s">
        <v>28</v>
      </c>
      <c r="S25" s="334" t="s">
        <v>1155</v>
      </c>
      <c r="T25" s="285">
        <v>28385</v>
      </c>
      <c r="U25" s="286">
        <v>1712</v>
      </c>
      <c r="V25" s="287">
        <v>1470</v>
      </c>
      <c r="W25" s="288">
        <v>1365</v>
      </c>
      <c r="X25" s="286"/>
      <c r="Y25" s="289"/>
      <c r="Z25" s="289"/>
      <c r="AA25" s="290">
        <f t="shared" si="1"/>
        <v>29750</v>
      </c>
      <c r="AB25" s="291">
        <f t="shared" si="11"/>
        <v>0</v>
      </c>
      <c r="AC25" s="292">
        <f t="shared" si="3"/>
        <v>-29750</v>
      </c>
      <c r="AD25" s="293" t="s">
        <v>568</v>
      </c>
      <c r="AE25" s="293"/>
      <c r="AF25" s="294"/>
      <c r="AG25" s="291"/>
      <c r="AH25" s="295"/>
      <c r="AI25" s="291"/>
      <c r="AJ25" s="295"/>
      <c r="AK25" s="291"/>
      <c r="AL25" s="291"/>
      <c r="AM25" s="291"/>
      <c r="AN25" s="296">
        <v>35000</v>
      </c>
      <c r="AO25" s="296">
        <v>30000</v>
      </c>
      <c r="AP25" s="296"/>
      <c r="AQ25" s="296"/>
      <c r="AR25" s="296"/>
      <c r="AS25" s="296">
        <f t="shared" si="4"/>
        <v>65000</v>
      </c>
      <c r="AT25" s="297">
        <f t="shared" si="5"/>
        <v>48530120</v>
      </c>
      <c r="AU25" s="297">
        <f t="shared" si="6"/>
        <v>-2769880</v>
      </c>
      <c r="AV25" s="297">
        <f t="shared" si="7"/>
        <v>4617000</v>
      </c>
      <c r="AW25" s="297">
        <f t="shared" si="8"/>
        <v>923560</v>
      </c>
      <c r="AX25" s="297">
        <f t="shared" si="9"/>
        <v>831204</v>
      </c>
      <c r="AY25" s="298">
        <v>50000</v>
      </c>
      <c r="AZ25" s="298"/>
      <c r="BA25" s="297">
        <f t="shared" si="10"/>
        <v>781204</v>
      </c>
      <c r="BB25" s="278"/>
      <c r="BC25" s="255"/>
      <c r="BD25" s="255"/>
    </row>
    <row r="26" spans="1:56" s="256" customFormat="1" ht="20" hidden="1" customHeight="1">
      <c r="A26" s="260">
        <v>26</v>
      </c>
      <c r="B26" s="277">
        <v>46121</v>
      </c>
      <c r="C26" s="278" t="s">
        <v>465</v>
      </c>
      <c r="D26" s="278" t="s">
        <v>463</v>
      </c>
      <c r="E26" s="278" t="s">
        <v>470</v>
      </c>
      <c r="F26" s="278"/>
      <c r="G26" s="279" t="s">
        <v>486</v>
      </c>
      <c r="H26" s="280">
        <v>10700000</v>
      </c>
      <c r="I26" s="280">
        <v>440000</v>
      </c>
      <c r="J26" s="281">
        <f t="shared" si="0"/>
        <v>11140000</v>
      </c>
      <c r="K26" s="282" t="s">
        <v>1212</v>
      </c>
      <c r="L26" s="282" t="s">
        <v>508</v>
      </c>
      <c r="M26" s="339" t="s">
        <v>464</v>
      </c>
      <c r="N26" s="278" t="s">
        <v>502</v>
      </c>
      <c r="O26" s="278">
        <v>6501030966</v>
      </c>
      <c r="P26" s="283" t="s">
        <v>391</v>
      </c>
      <c r="Q26" s="278" t="s">
        <v>503</v>
      </c>
      <c r="R26" s="284" t="s">
        <v>937</v>
      </c>
      <c r="S26" s="334" t="s">
        <v>1155</v>
      </c>
      <c r="T26" s="285">
        <v>6650</v>
      </c>
      <c r="U26" s="286">
        <v>1712</v>
      </c>
      <c r="V26" s="287">
        <v>1470</v>
      </c>
      <c r="W26" s="288"/>
      <c r="X26" s="286" t="s">
        <v>1218</v>
      </c>
      <c r="Y26" s="289"/>
      <c r="Z26" s="289"/>
      <c r="AA26" s="290">
        <f t="shared" si="1"/>
        <v>6650</v>
      </c>
      <c r="AB26" s="291">
        <f t="shared" si="11"/>
        <v>0</v>
      </c>
      <c r="AC26" s="292">
        <f t="shared" si="3"/>
        <v>-6650</v>
      </c>
      <c r="AD26" s="293"/>
      <c r="AE26" s="293"/>
      <c r="AF26" s="294"/>
      <c r="AG26" s="291"/>
      <c r="AH26" s="295"/>
      <c r="AI26" s="291"/>
      <c r="AJ26" s="295"/>
      <c r="AK26" s="291"/>
      <c r="AL26" s="291"/>
      <c r="AM26" s="291"/>
      <c r="AN26" s="296">
        <v>35000</v>
      </c>
      <c r="AO26" s="296">
        <v>30000</v>
      </c>
      <c r="AP26" s="296"/>
      <c r="AQ26" s="296"/>
      <c r="AR26" s="296"/>
      <c r="AS26" s="296">
        <f t="shared" si="4"/>
        <v>65000</v>
      </c>
      <c r="AT26" s="297">
        <f t="shared" si="5"/>
        <v>11319800</v>
      </c>
      <c r="AU26" s="297">
        <f t="shared" si="6"/>
        <v>179800</v>
      </c>
      <c r="AV26" s="297">
        <f t="shared" si="7"/>
        <v>963000</v>
      </c>
      <c r="AW26" s="297">
        <f t="shared" si="8"/>
        <v>571400</v>
      </c>
      <c r="AX26" s="297">
        <f t="shared" si="9"/>
        <v>514260</v>
      </c>
      <c r="AY26" s="298">
        <v>50000</v>
      </c>
      <c r="AZ26" s="298"/>
      <c r="BA26" s="297">
        <f t="shared" si="10"/>
        <v>464260</v>
      </c>
      <c r="BB26" s="278"/>
      <c r="BC26" s="255"/>
      <c r="BD26" s="255"/>
    </row>
    <row r="27" spans="1:56" s="256" customFormat="1" ht="20" hidden="1" customHeight="1">
      <c r="A27" s="260">
        <v>27</v>
      </c>
      <c r="B27" s="277">
        <v>46121</v>
      </c>
      <c r="C27" s="278" t="s">
        <v>473</v>
      </c>
      <c r="D27" s="278" t="s">
        <v>472</v>
      </c>
      <c r="E27" s="278" t="s">
        <v>474</v>
      </c>
      <c r="F27" s="278" t="s">
        <v>475</v>
      </c>
      <c r="G27" s="279" t="s">
        <v>507</v>
      </c>
      <c r="H27" s="280">
        <v>44000000</v>
      </c>
      <c r="I27" s="280"/>
      <c r="J27" s="281">
        <f t="shared" si="0"/>
        <v>44000000</v>
      </c>
      <c r="K27" s="282" t="s">
        <v>1212</v>
      </c>
      <c r="L27" s="282" t="s">
        <v>508</v>
      </c>
      <c r="M27" s="339" t="s">
        <v>238</v>
      </c>
      <c r="N27" s="278" t="s">
        <v>245</v>
      </c>
      <c r="O27" s="278">
        <v>810209868</v>
      </c>
      <c r="P27" s="283" t="s">
        <v>244</v>
      </c>
      <c r="Q27" s="278" t="s">
        <v>246</v>
      </c>
      <c r="R27" s="284" t="s">
        <v>28</v>
      </c>
      <c r="S27" s="335" t="s">
        <v>80</v>
      </c>
      <c r="T27" s="285">
        <v>23833</v>
      </c>
      <c r="U27" s="286">
        <v>1722</v>
      </c>
      <c r="V27" s="287">
        <v>1495</v>
      </c>
      <c r="W27" s="288">
        <v>1467</v>
      </c>
      <c r="X27" s="286"/>
      <c r="Y27" s="289"/>
      <c r="Z27" s="289"/>
      <c r="AA27" s="290">
        <f t="shared" si="1"/>
        <v>25300</v>
      </c>
      <c r="AB27" s="291">
        <f t="shared" si="11"/>
        <v>0</v>
      </c>
      <c r="AC27" s="292">
        <f t="shared" si="3"/>
        <v>-25300</v>
      </c>
      <c r="AD27" s="293"/>
      <c r="AE27" s="293"/>
      <c r="AF27" s="294"/>
      <c r="AG27" s="291"/>
      <c r="AH27" s="295"/>
      <c r="AI27" s="291"/>
      <c r="AJ27" s="295"/>
      <c r="AK27" s="291"/>
      <c r="AL27" s="291"/>
      <c r="AM27" s="291"/>
      <c r="AN27" s="296">
        <v>35000</v>
      </c>
      <c r="AO27" s="296">
        <v>30000</v>
      </c>
      <c r="AP27" s="296"/>
      <c r="AQ27" s="296"/>
      <c r="AR27" s="296"/>
      <c r="AS27" s="296">
        <f t="shared" si="4"/>
        <v>65000</v>
      </c>
      <c r="AT27" s="297">
        <f t="shared" si="5"/>
        <v>40975426</v>
      </c>
      <c r="AU27" s="297">
        <f t="shared" si="6"/>
        <v>-3024574</v>
      </c>
      <c r="AV27" s="297">
        <f t="shared" si="7"/>
        <v>3960000</v>
      </c>
      <c r="AW27" s="297">
        <f t="shared" si="8"/>
        <v>467713</v>
      </c>
      <c r="AX27" s="297">
        <f t="shared" si="9"/>
        <v>420941.7</v>
      </c>
      <c r="AY27" s="298">
        <v>50000</v>
      </c>
      <c r="AZ27" s="298"/>
      <c r="BA27" s="297">
        <f t="shared" si="10"/>
        <v>370941.7</v>
      </c>
      <c r="BB27" s="278"/>
      <c r="BC27" s="255"/>
      <c r="BD27" s="255"/>
    </row>
    <row r="28" spans="1:56" s="256" customFormat="1" ht="20" hidden="1" customHeight="1">
      <c r="A28" s="260">
        <v>28</v>
      </c>
      <c r="B28" s="277">
        <v>46121</v>
      </c>
      <c r="C28" s="278" t="s">
        <v>479</v>
      </c>
      <c r="D28" s="278" t="s">
        <v>478</v>
      </c>
      <c r="E28" s="278" t="s">
        <v>501</v>
      </c>
      <c r="F28" s="278" t="s">
        <v>480</v>
      </c>
      <c r="G28" s="279" t="s">
        <v>486</v>
      </c>
      <c r="H28" s="280">
        <v>18100000</v>
      </c>
      <c r="I28" s="280">
        <v>440000</v>
      </c>
      <c r="J28" s="281">
        <f t="shared" si="0"/>
        <v>18540000</v>
      </c>
      <c r="K28" s="282" t="s">
        <v>1212</v>
      </c>
      <c r="L28" s="282" t="s">
        <v>508</v>
      </c>
      <c r="M28" s="339" t="s">
        <v>464</v>
      </c>
      <c r="N28" s="278" t="s">
        <v>499</v>
      </c>
      <c r="O28" s="278">
        <v>9702098726</v>
      </c>
      <c r="P28" s="283" t="s">
        <v>391</v>
      </c>
      <c r="Q28" s="278" t="s">
        <v>500</v>
      </c>
      <c r="R28" s="284" t="s">
        <v>937</v>
      </c>
      <c r="S28" s="334" t="s">
        <v>1155</v>
      </c>
      <c r="T28" s="285">
        <v>11000</v>
      </c>
      <c r="U28" s="286">
        <v>1712</v>
      </c>
      <c r="V28" s="287">
        <v>1470</v>
      </c>
      <c r="W28" s="288"/>
      <c r="X28" s="286" t="s">
        <v>1218</v>
      </c>
      <c r="Y28" s="289"/>
      <c r="Z28" s="289"/>
      <c r="AA28" s="290">
        <f t="shared" si="1"/>
        <v>11000</v>
      </c>
      <c r="AB28" s="291">
        <f t="shared" si="11"/>
        <v>0</v>
      </c>
      <c r="AC28" s="292">
        <f t="shared" si="3"/>
        <v>-11000</v>
      </c>
      <c r="AD28" s="293"/>
      <c r="AE28" s="293"/>
      <c r="AF28" s="294"/>
      <c r="AG28" s="291"/>
      <c r="AH28" s="295"/>
      <c r="AI28" s="291"/>
      <c r="AJ28" s="295"/>
      <c r="AK28" s="291"/>
      <c r="AL28" s="291"/>
      <c r="AM28" s="291"/>
      <c r="AN28" s="296">
        <v>35000</v>
      </c>
      <c r="AO28" s="296">
        <v>30000</v>
      </c>
      <c r="AP28" s="296"/>
      <c r="AQ28" s="296"/>
      <c r="AR28" s="296"/>
      <c r="AS28" s="296">
        <f t="shared" si="4"/>
        <v>65000</v>
      </c>
      <c r="AT28" s="297">
        <f t="shared" si="5"/>
        <v>18767000</v>
      </c>
      <c r="AU28" s="297">
        <f t="shared" si="6"/>
        <v>227000</v>
      </c>
      <c r="AV28" s="297">
        <f t="shared" si="7"/>
        <v>1629000</v>
      </c>
      <c r="AW28" s="297">
        <f t="shared" si="8"/>
        <v>928000</v>
      </c>
      <c r="AX28" s="297">
        <f t="shared" si="9"/>
        <v>835200</v>
      </c>
      <c r="AY28" s="298">
        <v>50000</v>
      </c>
      <c r="AZ28" s="298"/>
      <c r="BA28" s="297">
        <f t="shared" si="10"/>
        <v>785200</v>
      </c>
      <c r="BB28" s="278"/>
      <c r="BC28" s="255"/>
      <c r="BD28" s="255"/>
    </row>
    <row r="29" spans="1:56" s="256" customFormat="1" ht="20" hidden="1" customHeight="1">
      <c r="A29" s="260">
        <v>29</v>
      </c>
      <c r="B29" s="277">
        <v>46121</v>
      </c>
      <c r="C29" s="278" t="s">
        <v>482</v>
      </c>
      <c r="D29" s="278" t="s">
        <v>481</v>
      </c>
      <c r="E29" s="278" t="s">
        <v>498</v>
      </c>
      <c r="F29" s="278" t="s">
        <v>483</v>
      </c>
      <c r="G29" s="279" t="s">
        <v>485</v>
      </c>
      <c r="H29" s="280">
        <v>10700000</v>
      </c>
      <c r="I29" s="280">
        <v>440000</v>
      </c>
      <c r="J29" s="281">
        <f t="shared" si="0"/>
        <v>11140000</v>
      </c>
      <c r="K29" s="282" t="s">
        <v>1212</v>
      </c>
      <c r="L29" s="282" t="s">
        <v>508</v>
      </c>
      <c r="M29" s="339" t="s">
        <v>493</v>
      </c>
      <c r="N29" s="278" t="s">
        <v>491</v>
      </c>
      <c r="O29" s="278" t="s">
        <v>492</v>
      </c>
      <c r="P29" s="283" t="s">
        <v>174</v>
      </c>
      <c r="Q29" s="278" t="s">
        <v>172</v>
      </c>
      <c r="R29" s="284" t="s">
        <v>29</v>
      </c>
      <c r="S29" s="282" t="s">
        <v>521</v>
      </c>
      <c r="T29" s="285">
        <v>6220</v>
      </c>
      <c r="U29" s="286">
        <v>1712</v>
      </c>
      <c r="V29" s="287">
        <v>1470</v>
      </c>
      <c r="W29" s="288">
        <v>1280</v>
      </c>
      <c r="X29" s="286"/>
      <c r="Y29" s="289"/>
      <c r="Z29" s="289"/>
      <c r="AA29" s="290">
        <f t="shared" si="1"/>
        <v>7500</v>
      </c>
      <c r="AB29" s="291">
        <v>8100</v>
      </c>
      <c r="AC29" s="292">
        <f t="shared" si="3"/>
        <v>600</v>
      </c>
      <c r="AD29" s="293" t="s">
        <v>524</v>
      </c>
      <c r="AE29" s="293" t="s">
        <v>525</v>
      </c>
      <c r="AF29" s="294"/>
      <c r="AG29" s="291"/>
      <c r="AH29" s="295"/>
      <c r="AI29" s="291"/>
      <c r="AJ29" s="295"/>
      <c r="AK29" s="291"/>
      <c r="AL29" s="291"/>
      <c r="AM29" s="291"/>
      <c r="AN29" s="296">
        <v>35000</v>
      </c>
      <c r="AO29" s="296">
        <v>30000</v>
      </c>
      <c r="AP29" s="296"/>
      <c r="AQ29" s="296"/>
      <c r="AR29" s="296"/>
      <c r="AS29" s="296">
        <f t="shared" si="4"/>
        <v>65000</v>
      </c>
      <c r="AT29" s="297">
        <f t="shared" si="5"/>
        <v>10583640</v>
      </c>
      <c r="AU29" s="297">
        <f t="shared" si="6"/>
        <v>-556360</v>
      </c>
      <c r="AV29" s="297">
        <f t="shared" si="7"/>
        <v>963000</v>
      </c>
      <c r="AW29" s="297">
        <f t="shared" si="8"/>
        <v>203320</v>
      </c>
      <c r="AX29" s="297">
        <f t="shared" si="9"/>
        <v>182988</v>
      </c>
      <c r="AY29" s="298">
        <v>50000</v>
      </c>
      <c r="AZ29" s="298"/>
      <c r="BA29" s="297">
        <f t="shared" si="10"/>
        <v>132988</v>
      </c>
      <c r="BB29" s="278"/>
      <c r="BC29" s="255"/>
      <c r="BD29" s="255"/>
    </row>
    <row r="30" spans="1:56" s="256" customFormat="1" ht="20" hidden="1" customHeight="1">
      <c r="A30" s="260">
        <v>30</v>
      </c>
      <c r="B30" s="277">
        <v>46127</v>
      </c>
      <c r="C30" s="278" t="s">
        <v>255</v>
      </c>
      <c r="D30" s="278" t="s">
        <v>552</v>
      </c>
      <c r="E30" s="278" t="s">
        <v>559</v>
      </c>
      <c r="F30" s="278" t="s">
        <v>553</v>
      </c>
      <c r="G30" s="279" t="s">
        <v>507</v>
      </c>
      <c r="H30" s="280">
        <f>13500000-I29</f>
        <v>13060000</v>
      </c>
      <c r="I30" s="280">
        <v>440000</v>
      </c>
      <c r="J30" s="281">
        <f t="shared" si="0"/>
        <v>13500000</v>
      </c>
      <c r="K30" s="282" t="s">
        <v>1212</v>
      </c>
      <c r="L30" s="282" t="s">
        <v>508</v>
      </c>
      <c r="M30" s="339" t="s">
        <v>52</v>
      </c>
      <c r="N30" s="278" t="s">
        <v>181</v>
      </c>
      <c r="O30" s="278">
        <v>811054999</v>
      </c>
      <c r="P30" s="283" t="s">
        <v>182</v>
      </c>
      <c r="Q30" s="278" t="s">
        <v>172</v>
      </c>
      <c r="R30" s="284" t="s">
        <v>28</v>
      </c>
      <c r="S30" s="282" t="s">
        <v>657</v>
      </c>
      <c r="T30" s="285">
        <f>9000-W30</f>
        <v>7733</v>
      </c>
      <c r="U30" s="286">
        <v>1723</v>
      </c>
      <c r="V30" s="287">
        <v>1465</v>
      </c>
      <c r="W30" s="288">
        <v>1267</v>
      </c>
      <c r="X30" s="286"/>
      <c r="Y30" s="289"/>
      <c r="Z30" s="289"/>
      <c r="AA30" s="290">
        <f t="shared" si="1"/>
        <v>9000</v>
      </c>
      <c r="AB30" s="291">
        <f t="shared" ref="AB30:AB93" si="12">SUM(AG30+AI30+AK30+AL30-AM30)</f>
        <v>0</v>
      </c>
      <c r="AC30" s="292">
        <f t="shared" si="3"/>
        <v>-9000</v>
      </c>
      <c r="AD30" s="293"/>
      <c r="AE30" s="293"/>
      <c r="AF30" s="294"/>
      <c r="AG30" s="291"/>
      <c r="AH30" s="295"/>
      <c r="AI30" s="291"/>
      <c r="AJ30" s="295"/>
      <c r="AK30" s="291"/>
      <c r="AL30" s="291"/>
      <c r="AM30" s="291"/>
      <c r="AN30" s="296">
        <v>35000</v>
      </c>
      <c r="AO30" s="296">
        <v>30000</v>
      </c>
      <c r="AP30" s="296"/>
      <c r="AQ30" s="296"/>
      <c r="AR30" s="296"/>
      <c r="AS30" s="296">
        <f t="shared" si="4"/>
        <v>65000</v>
      </c>
      <c r="AT30" s="297">
        <f t="shared" si="5"/>
        <v>13258959</v>
      </c>
      <c r="AU30" s="297">
        <f t="shared" si="6"/>
        <v>-241041</v>
      </c>
      <c r="AV30" s="297">
        <f t="shared" si="7"/>
        <v>1175400</v>
      </c>
      <c r="AW30" s="297">
        <f t="shared" si="8"/>
        <v>467179.5</v>
      </c>
      <c r="AX30" s="297">
        <f t="shared" si="9"/>
        <v>420461.55</v>
      </c>
      <c r="AY30" s="298">
        <v>50000</v>
      </c>
      <c r="AZ30" s="298"/>
      <c r="BA30" s="297">
        <f t="shared" si="10"/>
        <v>370461.55</v>
      </c>
      <c r="BB30" s="278"/>
      <c r="BC30" s="255"/>
      <c r="BD30" s="255"/>
    </row>
    <row r="31" spans="1:56" s="256" customFormat="1" ht="20" hidden="1" customHeight="1">
      <c r="A31" s="260">
        <v>31</v>
      </c>
      <c r="B31" s="277">
        <v>46127</v>
      </c>
      <c r="C31" s="278" t="s">
        <v>914</v>
      </c>
      <c r="D31" s="278" t="s">
        <v>558</v>
      </c>
      <c r="E31" s="278" t="s">
        <v>560</v>
      </c>
      <c r="F31" s="278" t="s">
        <v>554</v>
      </c>
      <c r="G31" s="279" t="s">
        <v>485</v>
      </c>
      <c r="H31" s="280">
        <f>12700000-I31</f>
        <v>12260000</v>
      </c>
      <c r="I31" s="280">
        <v>440000</v>
      </c>
      <c r="J31" s="281">
        <f t="shared" si="0"/>
        <v>12700000</v>
      </c>
      <c r="K31" s="282" t="s">
        <v>1212</v>
      </c>
      <c r="L31" s="282" t="s">
        <v>508</v>
      </c>
      <c r="M31" s="339" t="s">
        <v>30</v>
      </c>
      <c r="N31" s="278" t="s">
        <v>1256</v>
      </c>
      <c r="O31" s="278" t="s">
        <v>1257</v>
      </c>
      <c r="P31" s="283" t="s">
        <v>174</v>
      </c>
      <c r="Q31" s="278" t="s">
        <v>172</v>
      </c>
      <c r="R31" s="284" t="s">
        <v>29</v>
      </c>
      <c r="S31" s="282" t="s">
        <v>572</v>
      </c>
      <c r="T31" s="285">
        <v>7733</v>
      </c>
      <c r="U31" s="286">
        <v>1723</v>
      </c>
      <c r="V31" s="287">
        <v>1465</v>
      </c>
      <c r="W31" s="288">
        <v>1267</v>
      </c>
      <c r="X31" s="286"/>
      <c r="Y31" s="289"/>
      <c r="Z31" s="289"/>
      <c r="AA31" s="290">
        <f t="shared" si="1"/>
        <v>9000</v>
      </c>
      <c r="AB31" s="291">
        <f t="shared" si="12"/>
        <v>0</v>
      </c>
      <c r="AC31" s="292"/>
      <c r="AD31" s="293"/>
      <c r="AE31" s="293"/>
      <c r="AF31" s="294"/>
      <c r="AG31" s="291"/>
      <c r="AH31" s="295"/>
      <c r="AI31" s="291"/>
      <c r="AJ31" s="295"/>
      <c r="AK31" s="291"/>
      <c r="AL31" s="291"/>
      <c r="AM31" s="291"/>
      <c r="AN31" s="296">
        <v>35000</v>
      </c>
      <c r="AO31" s="296">
        <v>30000</v>
      </c>
      <c r="AP31" s="296"/>
      <c r="AQ31" s="296"/>
      <c r="AR31" s="296"/>
      <c r="AS31" s="296">
        <f t="shared" si="4"/>
        <v>65000</v>
      </c>
      <c r="AT31" s="297">
        <f t="shared" si="5"/>
        <v>13258959</v>
      </c>
      <c r="AU31" s="297">
        <f t="shared" si="6"/>
        <v>558959</v>
      </c>
      <c r="AV31" s="297">
        <f t="shared" si="7"/>
        <v>1103400</v>
      </c>
      <c r="AW31" s="297">
        <f t="shared" si="8"/>
        <v>831179.5</v>
      </c>
      <c r="AX31" s="297">
        <f t="shared" si="9"/>
        <v>748061.55</v>
      </c>
      <c r="AY31" s="298">
        <v>50000</v>
      </c>
      <c r="AZ31" s="298"/>
      <c r="BA31" s="297">
        <f t="shared" si="10"/>
        <v>698061.55</v>
      </c>
      <c r="BB31" s="278"/>
      <c r="BC31" s="255"/>
      <c r="BD31" s="255"/>
    </row>
    <row r="32" spans="1:56" s="256" customFormat="1" ht="20" hidden="1" customHeight="1">
      <c r="A32" s="260">
        <v>32</v>
      </c>
      <c r="B32" s="277">
        <v>46127</v>
      </c>
      <c r="C32" s="278" t="s">
        <v>556</v>
      </c>
      <c r="D32" s="278" t="s">
        <v>555</v>
      </c>
      <c r="E32" s="278" t="s">
        <v>561</v>
      </c>
      <c r="F32" s="278" t="s">
        <v>557</v>
      </c>
      <c r="G32" s="279" t="s">
        <v>507</v>
      </c>
      <c r="H32" s="280">
        <f>18000000-I31</f>
        <v>17560000</v>
      </c>
      <c r="I32" s="280">
        <v>440000</v>
      </c>
      <c r="J32" s="281">
        <f t="shared" si="0"/>
        <v>18000000</v>
      </c>
      <c r="K32" s="282" t="s">
        <v>1212</v>
      </c>
      <c r="L32" s="282" t="s">
        <v>508</v>
      </c>
      <c r="M32" s="339" t="s">
        <v>51</v>
      </c>
      <c r="N32" s="278" t="s">
        <v>623</v>
      </c>
      <c r="O32" s="278">
        <v>1232286519</v>
      </c>
      <c r="P32" s="283" t="s">
        <v>171</v>
      </c>
      <c r="Q32" s="278" t="s">
        <v>938</v>
      </c>
      <c r="R32" s="284" t="s">
        <v>28</v>
      </c>
      <c r="S32" s="334" t="s">
        <v>1254</v>
      </c>
      <c r="T32" s="285">
        <f>11450-W32</f>
        <v>10098</v>
      </c>
      <c r="U32" s="286">
        <v>1723</v>
      </c>
      <c r="V32" s="287">
        <v>1465</v>
      </c>
      <c r="W32" s="288">
        <v>1352</v>
      </c>
      <c r="X32" s="286"/>
      <c r="Y32" s="289"/>
      <c r="Z32" s="289"/>
      <c r="AA32" s="290">
        <f t="shared" si="1"/>
        <v>11450</v>
      </c>
      <c r="AB32" s="291">
        <f t="shared" si="12"/>
        <v>0</v>
      </c>
      <c r="AC32" s="292"/>
      <c r="AD32" s="293" t="s">
        <v>568</v>
      </c>
      <c r="AE32" s="293"/>
      <c r="AF32" s="294"/>
      <c r="AG32" s="291"/>
      <c r="AH32" s="295"/>
      <c r="AI32" s="291"/>
      <c r="AJ32" s="295"/>
      <c r="AK32" s="291"/>
      <c r="AL32" s="291"/>
      <c r="AM32" s="291"/>
      <c r="AN32" s="296">
        <v>35000</v>
      </c>
      <c r="AO32" s="296">
        <v>30000</v>
      </c>
      <c r="AP32" s="296"/>
      <c r="AQ32" s="296"/>
      <c r="AR32" s="296"/>
      <c r="AS32" s="296">
        <f t="shared" si="4"/>
        <v>65000</v>
      </c>
      <c r="AT32" s="297">
        <f t="shared" si="5"/>
        <v>17333854</v>
      </c>
      <c r="AU32" s="297">
        <f t="shared" si="6"/>
        <v>-666146</v>
      </c>
      <c r="AV32" s="297">
        <f t="shared" si="7"/>
        <v>1580400</v>
      </c>
      <c r="AW32" s="297">
        <f t="shared" si="8"/>
        <v>457127</v>
      </c>
      <c r="AX32" s="297">
        <f t="shared" si="9"/>
        <v>411414.3</v>
      </c>
      <c r="AY32" s="298">
        <v>50000</v>
      </c>
      <c r="AZ32" s="298"/>
      <c r="BA32" s="297">
        <f t="shared" si="10"/>
        <v>361414.3</v>
      </c>
      <c r="BB32" s="278"/>
      <c r="BC32" s="255"/>
      <c r="BD32" s="255"/>
    </row>
    <row r="33" spans="1:56" s="256" customFormat="1" ht="20" hidden="1" customHeight="1">
      <c r="A33" s="260">
        <v>33</v>
      </c>
      <c r="B33" s="277">
        <v>46127</v>
      </c>
      <c r="C33" s="278" t="s">
        <v>345</v>
      </c>
      <c r="D33" s="278" t="s">
        <v>566</v>
      </c>
      <c r="E33" s="278" t="s">
        <v>567</v>
      </c>
      <c r="F33" s="278" t="s">
        <v>280</v>
      </c>
      <c r="G33" s="279" t="s">
        <v>650</v>
      </c>
      <c r="H33" s="280">
        <v>6100000</v>
      </c>
      <c r="I33" s="280">
        <v>165000</v>
      </c>
      <c r="J33" s="281">
        <f t="shared" si="0"/>
        <v>6265000</v>
      </c>
      <c r="K33" s="282" t="s">
        <v>1212</v>
      </c>
      <c r="L33" s="282" t="s">
        <v>508</v>
      </c>
      <c r="M33" s="339" t="s">
        <v>281</v>
      </c>
      <c r="N33" s="278" t="s">
        <v>282</v>
      </c>
      <c r="O33" s="278" t="s">
        <v>285</v>
      </c>
      <c r="P33" s="283" t="s">
        <v>283</v>
      </c>
      <c r="Q33" s="278" t="s">
        <v>284</v>
      </c>
      <c r="R33" s="284" t="s">
        <v>29</v>
      </c>
      <c r="S33" s="282" t="s">
        <v>1127</v>
      </c>
      <c r="T33" s="285">
        <v>3600</v>
      </c>
      <c r="U33" s="286">
        <v>1723</v>
      </c>
      <c r="V33" s="287">
        <v>1465</v>
      </c>
      <c r="W33" s="288"/>
      <c r="X33" s="286"/>
      <c r="Y33" s="289"/>
      <c r="Z33" s="289"/>
      <c r="AA33" s="290">
        <f t="shared" si="1"/>
        <v>3600</v>
      </c>
      <c r="AB33" s="291">
        <f t="shared" si="12"/>
        <v>0</v>
      </c>
      <c r="AC33" s="292"/>
      <c r="AD33" s="293"/>
      <c r="AE33" s="293"/>
      <c r="AF33" s="294"/>
      <c r="AG33" s="291"/>
      <c r="AH33" s="295"/>
      <c r="AI33" s="291"/>
      <c r="AJ33" s="295"/>
      <c r="AK33" s="291"/>
      <c r="AL33" s="291"/>
      <c r="AM33" s="291"/>
      <c r="AN33" s="296">
        <v>35000</v>
      </c>
      <c r="AO33" s="296">
        <v>30000</v>
      </c>
      <c r="AP33" s="296"/>
      <c r="AQ33" s="296"/>
      <c r="AR33" s="296"/>
      <c r="AS33" s="296">
        <f t="shared" si="4"/>
        <v>65000</v>
      </c>
      <c r="AT33" s="297">
        <f t="shared" si="5"/>
        <v>6137800</v>
      </c>
      <c r="AU33" s="297">
        <f t="shared" si="6"/>
        <v>-127200</v>
      </c>
      <c r="AV33" s="297">
        <f t="shared" si="7"/>
        <v>549000</v>
      </c>
      <c r="AW33" s="297">
        <f t="shared" si="8"/>
        <v>210900</v>
      </c>
      <c r="AX33" s="297">
        <f t="shared" si="9"/>
        <v>189810</v>
      </c>
      <c r="AY33" s="298">
        <v>50000</v>
      </c>
      <c r="AZ33" s="298"/>
      <c r="BA33" s="297">
        <f t="shared" si="10"/>
        <v>139810</v>
      </c>
      <c r="BB33" s="278"/>
      <c r="BC33" s="255"/>
      <c r="BD33" s="255"/>
    </row>
    <row r="34" spans="1:56" s="256" customFormat="1" ht="20" hidden="1" customHeight="1">
      <c r="A34" s="260">
        <v>34</v>
      </c>
      <c r="B34" s="277">
        <v>46131</v>
      </c>
      <c r="C34" s="278" t="s">
        <v>255</v>
      </c>
      <c r="D34" s="278" t="s">
        <v>576</v>
      </c>
      <c r="E34" s="278" t="s">
        <v>582</v>
      </c>
      <c r="F34" s="278" t="s">
        <v>577</v>
      </c>
      <c r="G34" s="279" t="s">
        <v>580</v>
      </c>
      <c r="H34" s="280">
        <v>26000000</v>
      </c>
      <c r="I34" s="280">
        <v>440000</v>
      </c>
      <c r="J34" s="281">
        <f t="shared" si="0"/>
        <v>26440000</v>
      </c>
      <c r="K34" s="282" t="s">
        <v>1212</v>
      </c>
      <c r="L34" s="282" t="s">
        <v>508</v>
      </c>
      <c r="M34" s="339" t="s">
        <v>51</v>
      </c>
      <c r="N34" s="278" t="s">
        <v>939</v>
      </c>
      <c r="O34" s="278">
        <v>12311427734</v>
      </c>
      <c r="P34" s="283" t="s">
        <v>940</v>
      </c>
      <c r="Q34" s="278" t="s">
        <v>941</v>
      </c>
      <c r="R34" s="284" t="s">
        <v>28</v>
      </c>
      <c r="S34" s="334" t="s">
        <v>1222</v>
      </c>
      <c r="T34" s="285">
        <f>16100-W34</f>
        <v>14833</v>
      </c>
      <c r="U34" s="286">
        <v>1711</v>
      </c>
      <c r="V34" s="287">
        <v>1455</v>
      </c>
      <c r="W34" s="288">
        <v>1267</v>
      </c>
      <c r="X34" s="286"/>
      <c r="Y34" s="289"/>
      <c r="Z34" s="289"/>
      <c r="AA34" s="290">
        <v>16100</v>
      </c>
      <c r="AB34" s="291">
        <f t="shared" si="12"/>
        <v>0</v>
      </c>
      <c r="AC34" s="292"/>
      <c r="AD34" s="293" t="s">
        <v>568</v>
      </c>
      <c r="AE34" s="293"/>
      <c r="AF34" s="294"/>
      <c r="AG34" s="291"/>
      <c r="AH34" s="295"/>
      <c r="AI34" s="291"/>
      <c r="AJ34" s="295"/>
      <c r="AK34" s="291"/>
      <c r="AL34" s="291"/>
      <c r="AM34" s="291"/>
      <c r="AN34" s="296">
        <v>35000</v>
      </c>
      <c r="AO34" s="296">
        <v>30000</v>
      </c>
      <c r="AP34" s="296"/>
      <c r="AQ34" s="296"/>
      <c r="AR34" s="296"/>
      <c r="AS34" s="296">
        <f t="shared" si="4"/>
        <v>65000</v>
      </c>
      <c r="AT34" s="297">
        <f t="shared" si="5"/>
        <v>25314263</v>
      </c>
      <c r="AU34" s="297">
        <f t="shared" si="6"/>
        <v>-1125737</v>
      </c>
      <c r="AV34" s="297">
        <f t="shared" si="7"/>
        <v>2340000</v>
      </c>
      <c r="AW34" s="297">
        <f t="shared" si="8"/>
        <v>607131.5</v>
      </c>
      <c r="AX34" s="297">
        <f t="shared" si="9"/>
        <v>546418.35</v>
      </c>
      <c r="AY34" s="298">
        <v>50000</v>
      </c>
      <c r="AZ34" s="298"/>
      <c r="BA34" s="297">
        <f t="shared" si="10"/>
        <v>496418.35</v>
      </c>
      <c r="BB34" s="278"/>
      <c r="BC34" s="255"/>
      <c r="BD34" s="255"/>
    </row>
    <row r="35" spans="1:56" s="256" customFormat="1" ht="20" hidden="1" customHeight="1">
      <c r="A35" s="260">
        <v>35</v>
      </c>
      <c r="B35" s="277">
        <v>46129</v>
      </c>
      <c r="C35" s="278" t="s">
        <v>240</v>
      </c>
      <c r="D35" s="278" t="s">
        <v>569</v>
      </c>
      <c r="E35" s="278" t="s">
        <v>570</v>
      </c>
      <c r="F35" s="278" t="s">
        <v>571</v>
      </c>
      <c r="G35" s="279" t="s">
        <v>507</v>
      </c>
      <c r="H35" s="280">
        <f>8300000-I35</f>
        <v>7860000</v>
      </c>
      <c r="I35" s="280">
        <v>440000</v>
      </c>
      <c r="J35" s="281">
        <f t="shared" si="0"/>
        <v>8300000</v>
      </c>
      <c r="K35" s="282" t="s">
        <v>1212</v>
      </c>
      <c r="L35" s="282" t="s">
        <v>508</v>
      </c>
      <c r="M35" s="339" t="s">
        <v>30</v>
      </c>
      <c r="N35" s="278" t="s">
        <v>522</v>
      </c>
      <c r="O35" s="278" t="s">
        <v>523</v>
      </c>
      <c r="P35" s="283" t="s">
        <v>174</v>
      </c>
      <c r="Q35" s="278" t="s">
        <v>172</v>
      </c>
      <c r="R35" s="284" t="s">
        <v>29</v>
      </c>
      <c r="S35" s="282" t="s">
        <v>605</v>
      </c>
      <c r="T35" s="285">
        <v>2850</v>
      </c>
      <c r="U35" s="286">
        <v>1711</v>
      </c>
      <c r="V35" s="287">
        <v>1455</v>
      </c>
      <c r="W35" s="288">
        <v>1350</v>
      </c>
      <c r="X35" s="286"/>
      <c r="Y35" s="289"/>
      <c r="Z35" s="289"/>
      <c r="AA35" s="290">
        <f t="shared" ref="AA35:AA98" si="13">SUM(T35,W35:Z35)</f>
        <v>4200</v>
      </c>
      <c r="AB35" s="291">
        <f t="shared" si="12"/>
        <v>0</v>
      </c>
      <c r="AC35" s="292">
        <f>6550-6050</f>
        <v>500</v>
      </c>
      <c r="AD35" s="293">
        <v>6550</v>
      </c>
      <c r="AE35" s="293" t="s">
        <v>606</v>
      </c>
      <c r="AF35" s="294"/>
      <c r="AG35" s="291"/>
      <c r="AH35" s="295"/>
      <c r="AI35" s="291"/>
      <c r="AJ35" s="295"/>
      <c r="AK35" s="291"/>
      <c r="AL35" s="291"/>
      <c r="AM35" s="291"/>
      <c r="AN35" s="296">
        <v>35000</v>
      </c>
      <c r="AO35" s="296">
        <v>30000</v>
      </c>
      <c r="AP35" s="296"/>
      <c r="AQ35" s="296"/>
      <c r="AR35" s="296"/>
      <c r="AS35" s="296">
        <f t="shared" si="4"/>
        <v>65000</v>
      </c>
      <c r="AT35" s="297">
        <f t="shared" si="5"/>
        <v>4811350</v>
      </c>
      <c r="AU35" s="297">
        <f t="shared" si="6"/>
        <v>-3488650</v>
      </c>
      <c r="AV35" s="297">
        <f t="shared" si="7"/>
        <v>707400</v>
      </c>
      <c r="AW35" s="297">
        <f t="shared" si="8"/>
        <v>-1390625</v>
      </c>
      <c r="AX35" s="297">
        <f t="shared" si="9"/>
        <v>-1251562.5</v>
      </c>
      <c r="AY35" s="298">
        <v>50000</v>
      </c>
      <c r="AZ35" s="298"/>
      <c r="BA35" s="297">
        <f t="shared" si="10"/>
        <v>-1301562.5</v>
      </c>
      <c r="BB35" s="278"/>
      <c r="BC35" s="255"/>
      <c r="BD35" s="255"/>
    </row>
    <row r="36" spans="1:56" s="256" customFormat="1" ht="20" hidden="1" customHeight="1">
      <c r="A36" s="260">
        <v>36</v>
      </c>
      <c r="B36" s="277">
        <v>46121</v>
      </c>
      <c r="C36" s="278" t="s">
        <v>374</v>
      </c>
      <c r="D36" s="278" t="s">
        <v>593</v>
      </c>
      <c r="E36" s="278" t="s">
        <v>594</v>
      </c>
      <c r="F36" s="278" t="s">
        <v>372</v>
      </c>
      <c r="G36" s="279" t="s">
        <v>649</v>
      </c>
      <c r="H36" s="280">
        <v>3050000</v>
      </c>
      <c r="I36" s="280">
        <v>165000</v>
      </c>
      <c r="J36" s="281">
        <f t="shared" si="0"/>
        <v>3215000</v>
      </c>
      <c r="K36" s="282" t="s">
        <v>1212</v>
      </c>
      <c r="L36" s="282" t="s">
        <v>508</v>
      </c>
      <c r="M36" s="339" t="s">
        <v>281</v>
      </c>
      <c r="N36" s="278" t="s">
        <v>607</v>
      </c>
      <c r="O36" s="278" t="s">
        <v>608</v>
      </c>
      <c r="P36" s="283" t="s">
        <v>283</v>
      </c>
      <c r="Q36" s="278" t="s">
        <v>609</v>
      </c>
      <c r="R36" s="284" t="s">
        <v>29</v>
      </c>
      <c r="S36" s="282" t="s">
        <v>1127</v>
      </c>
      <c r="T36" s="285">
        <v>2000</v>
      </c>
      <c r="U36" s="286">
        <v>1725</v>
      </c>
      <c r="V36" s="287">
        <v>1472</v>
      </c>
      <c r="W36" s="288"/>
      <c r="X36" s="286"/>
      <c r="Y36" s="289"/>
      <c r="Z36" s="289"/>
      <c r="AA36" s="290">
        <f t="shared" si="13"/>
        <v>2000</v>
      </c>
      <c r="AB36" s="291">
        <f t="shared" si="12"/>
        <v>0</v>
      </c>
      <c r="AC36" s="292"/>
      <c r="AD36" s="293"/>
      <c r="AE36" s="293"/>
      <c r="AF36" s="294"/>
      <c r="AG36" s="291"/>
      <c r="AH36" s="295"/>
      <c r="AI36" s="291"/>
      <c r="AJ36" s="295"/>
      <c r="AK36" s="291"/>
      <c r="AL36" s="291"/>
      <c r="AM36" s="291"/>
      <c r="AN36" s="296">
        <v>35000</v>
      </c>
      <c r="AO36" s="296">
        <v>30000</v>
      </c>
      <c r="AP36" s="296"/>
      <c r="AQ36" s="296"/>
      <c r="AR36" s="296"/>
      <c r="AS36" s="296">
        <f t="shared" si="4"/>
        <v>65000</v>
      </c>
      <c r="AT36" s="297">
        <f t="shared" si="5"/>
        <v>3385000</v>
      </c>
      <c r="AU36" s="297">
        <f t="shared" si="6"/>
        <v>170000</v>
      </c>
      <c r="AV36" s="297">
        <f t="shared" si="7"/>
        <v>274500</v>
      </c>
      <c r="AW36" s="297">
        <f t="shared" si="8"/>
        <v>222250</v>
      </c>
      <c r="AX36" s="297">
        <f t="shared" si="9"/>
        <v>200025</v>
      </c>
      <c r="AY36" s="298">
        <v>50000</v>
      </c>
      <c r="AZ36" s="298"/>
      <c r="BA36" s="297">
        <f t="shared" si="10"/>
        <v>150025</v>
      </c>
      <c r="BB36" s="278"/>
      <c r="BC36" s="255"/>
      <c r="BD36" s="255"/>
    </row>
    <row r="37" spans="1:56" s="256" customFormat="1" ht="20" hidden="1" customHeight="1">
      <c r="A37" s="260">
        <v>37</v>
      </c>
      <c r="B37" s="277">
        <v>46129</v>
      </c>
      <c r="C37" s="278" t="s">
        <v>574</v>
      </c>
      <c r="D37" s="278" t="s">
        <v>573</v>
      </c>
      <c r="E37" s="278" t="s">
        <v>581</v>
      </c>
      <c r="F37" s="278" t="s">
        <v>575</v>
      </c>
      <c r="G37" s="279" t="s">
        <v>580</v>
      </c>
      <c r="H37" s="280">
        <v>69000000</v>
      </c>
      <c r="I37" s="280">
        <v>440000</v>
      </c>
      <c r="J37" s="281">
        <f t="shared" si="0"/>
        <v>69440000</v>
      </c>
      <c r="K37" s="282" t="s">
        <v>1212</v>
      </c>
      <c r="L37" s="282" t="s">
        <v>508</v>
      </c>
      <c r="M37" s="339" t="s">
        <v>464</v>
      </c>
      <c r="N37" s="278" t="s">
        <v>598</v>
      </c>
      <c r="O37" s="278">
        <v>8805166045</v>
      </c>
      <c r="P37" s="283" t="s">
        <v>391</v>
      </c>
      <c r="Q37" s="278" t="s">
        <v>599</v>
      </c>
      <c r="R37" s="284" t="s">
        <v>937</v>
      </c>
      <c r="S37" s="334" t="s">
        <v>1155</v>
      </c>
      <c r="T37" s="285">
        <v>39900</v>
      </c>
      <c r="U37" s="286">
        <v>1711</v>
      </c>
      <c r="V37" s="287">
        <v>1455</v>
      </c>
      <c r="W37" s="288"/>
      <c r="X37" s="286" t="s">
        <v>1218</v>
      </c>
      <c r="Y37" s="289"/>
      <c r="Z37" s="289"/>
      <c r="AA37" s="290">
        <f t="shared" si="13"/>
        <v>39900</v>
      </c>
      <c r="AB37" s="291">
        <f t="shared" si="12"/>
        <v>0</v>
      </c>
      <c r="AC37" s="292"/>
      <c r="AD37" s="293"/>
      <c r="AE37" s="293"/>
      <c r="AF37" s="294"/>
      <c r="AG37" s="291"/>
      <c r="AH37" s="295"/>
      <c r="AI37" s="291"/>
      <c r="AJ37" s="295"/>
      <c r="AK37" s="291"/>
      <c r="AL37" s="291"/>
      <c r="AM37" s="291"/>
      <c r="AN37" s="296">
        <v>35000</v>
      </c>
      <c r="AO37" s="296">
        <v>30000</v>
      </c>
      <c r="AP37" s="296"/>
      <c r="AQ37" s="296"/>
      <c r="AR37" s="296"/>
      <c r="AS37" s="296">
        <f t="shared" si="4"/>
        <v>65000</v>
      </c>
      <c r="AT37" s="297">
        <f t="shared" si="5"/>
        <v>68203900</v>
      </c>
      <c r="AU37" s="297">
        <f t="shared" si="6"/>
        <v>-1236100</v>
      </c>
      <c r="AV37" s="297">
        <f t="shared" si="7"/>
        <v>6210000</v>
      </c>
      <c r="AW37" s="297">
        <f t="shared" si="8"/>
        <v>2486950</v>
      </c>
      <c r="AX37" s="297">
        <f t="shared" si="9"/>
        <v>2238255</v>
      </c>
      <c r="AY37" s="298">
        <v>50000</v>
      </c>
      <c r="AZ37" s="298"/>
      <c r="BA37" s="297">
        <f t="shared" si="10"/>
        <v>2188255</v>
      </c>
      <c r="BB37" s="278"/>
      <c r="BC37" s="255"/>
      <c r="BD37" s="255"/>
    </row>
    <row r="38" spans="1:56" s="256" customFormat="1" ht="20" hidden="1" customHeight="1">
      <c r="A38" s="260">
        <v>38</v>
      </c>
      <c r="B38" s="277">
        <v>46131</v>
      </c>
      <c r="C38" s="278" t="s">
        <v>240</v>
      </c>
      <c r="D38" s="278" t="s">
        <v>583</v>
      </c>
      <c r="E38" s="278" t="s">
        <v>588</v>
      </c>
      <c r="F38" s="278" t="s">
        <v>584</v>
      </c>
      <c r="G38" s="279"/>
      <c r="H38" s="280">
        <v>23000000</v>
      </c>
      <c r="I38" s="280">
        <v>440000</v>
      </c>
      <c r="J38" s="281">
        <f t="shared" si="0"/>
        <v>23440000</v>
      </c>
      <c r="K38" s="282" t="s">
        <v>1212</v>
      </c>
      <c r="L38" s="282" t="s">
        <v>508</v>
      </c>
      <c r="M38" s="339" t="s">
        <v>238</v>
      </c>
      <c r="N38" s="278" t="s">
        <v>658</v>
      </c>
      <c r="O38" s="278">
        <v>810356271</v>
      </c>
      <c r="P38" s="283" t="s">
        <v>244</v>
      </c>
      <c r="Q38" s="278" t="s">
        <v>949</v>
      </c>
      <c r="R38" s="284" t="s">
        <v>28</v>
      </c>
      <c r="S38" s="335" t="s">
        <v>1264</v>
      </c>
      <c r="T38" s="285">
        <v>12548</v>
      </c>
      <c r="U38" s="286">
        <v>1711</v>
      </c>
      <c r="V38" s="287">
        <v>1455</v>
      </c>
      <c r="W38" s="288">
        <v>1352</v>
      </c>
      <c r="X38" s="286"/>
      <c r="Y38" s="289"/>
      <c r="Z38" s="289"/>
      <c r="AA38" s="290">
        <f t="shared" si="13"/>
        <v>13900</v>
      </c>
      <c r="AB38" s="291">
        <f t="shared" si="12"/>
        <v>0</v>
      </c>
      <c r="AC38" s="292"/>
      <c r="AD38" s="293"/>
      <c r="AE38" s="293"/>
      <c r="AF38" s="294"/>
      <c r="AG38" s="291"/>
      <c r="AH38" s="295"/>
      <c r="AI38" s="291"/>
      <c r="AJ38" s="295"/>
      <c r="AK38" s="291"/>
      <c r="AL38" s="291"/>
      <c r="AM38" s="291"/>
      <c r="AN38" s="296">
        <v>35000</v>
      </c>
      <c r="AO38" s="296">
        <v>30000</v>
      </c>
      <c r="AP38" s="296"/>
      <c r="AQ38" s="296"/>
      <c r="AR38" s="296"/>
      <c r="AS38" s="296">
        <f t="shared" si="4"/>
        <v>65000</v>
      </c>
      <c r="AT38" s="297">
        <f t="shared" si="5"/>
        <v>21404628</v>
      </c>
      <c r="AU38" s="297">
        <f t="shared" si="6"/>
        <v>-2035372</v>
      </c>
      <c r="AV38" s="297">
        <f t="shared" si="7"/>
        <v>2070000</v>
      </c>
      <c r="AW38" s="297">
        <f t="shared" si="8"/>
        <v>17314</v>
      </c>
      <c r="AX38" s="297">
        <f t="shared" si="9"/>
        <v>15582.6</v>
      </c>
      <c r="AY38" s="298">
        <v>50000</v>
      </c>
      <c r="AZ38" s="298"/>
      <c r="BA38" s="297">
        <f t="shared" si="10"/>
        <v>-34417.4</v>
      </c>
      <c r="BB38" s="278"/>
      <c r="BC38" s="255"/>
      <c r="BD38" s="255"/>
    </row>
    <row r="39" spans="1:56" s="256" customFormat="1" ht="20" hidden="1" customHeight="1">
      <c r="A39" s="260">
        <v>39</v>
      </c>
      <c r="B39" s="277">
        <v>46131</v>
      </c>
      <c r="C39" s="278" t="s">
        <v>345</v>
      </c>
      <c r="D39" s="278" t="s">
        <v>578</v>
      </c>
      <c r="E39" s="278" t="s">
        <v>589</v>
      </c>
      <c r="F39" s="278" t="s">
        <v>579</v>
      </c>
      <c r="G39" s="279" t="s">
        <v>507</v>
      </c>
      <c r="H39" s="280">
        <f>6600000-I38</f>
        <v>6160000</v>
      </c>
      <c r="I39" s="280">
        <v>440000</v>
      </c>
      <c r="J39" s="281">
        <f t="shared" si="0"/>
        <v>6600000</v>
      </c>
      <c r="K39" s="282" t="s">
        <v>1212</v>
      </c>
      <c r="L39" s="282" t="s">
        <v>508</v>
      </c>
      <c r="M39" s="339" t="s">
        <v>30</v>
      </c>
      <c r="N39" s="278" t="s">
        <v>617</v>
      </c>
      <c r="O39" s="278" t="s">
        <v>618</v>
      </c>
      <c r="P39" s="283" t="s">
        <v>174</v>
      </c>
      <c r="Q39" s="278" t="s">
        <v>172</v>
      </c>
      <c r="R39" s="284" t="s">
        <v>29</v>
      </c>
      <c r="S39" s="282" t="s">
        <v>619</v>
      </c>
      <c r="T39" s="285">
        <f>5050-W39</f>
        <v>3783</v>
      </c>
      <c r="U39" s="286">
        <v>1711</v>
      </c>
      <c r="V39" s="287">
        <v>1455</v>
      </c>
      <c r="W39" s="288">
        <v>1267</v>
      </c>
      <c r="X39" s="286"/>
      <c r="Y39" s="289"/>
      <c r="Z39" s="289"/>
      <c r="AA39" s="290">
        <f t="shared" si="13"/>
        <v>5050</v>
      </c>
      <c r="AB39" s="291">
        <f t="shared" si="12"/>
        <v>0</v>
      </c>
      <c r="AC39" s="292"/>
      <c r="AD39" s="293"/>
      <c r="AE39" s="293"/>
      <c r="AF39" s="294"/>
      <c r="AG39" s="291"/>
      <c r="AH39" s="295"/>
      <c r="AI39" s="291"/>
      <c r="AJ39" s="295"/>
      <c r="AK39" s="291"/>
      <c r="AL39" s="291"/>
      <c r="AM39" s="291"/>
      <c r="AN39" s="296">
        <v>35000</v>
      </c>
      <c r="AO39" s="296">
        <v>30000</v>
      </c>
      <c r="AP39" s="296"/>
      <c r="AQ39" s="296"/>
      <c r="AR39" s="296"/>
      <c r="AS39" s="296">
        <f t="shared" si="4"/>
        <v>65000</v>
      </c>
      <c r="AT39" s="297">
        <f t="shared" si="5"/>
        <v>6407713</v>
      </c>
      <c r="AU39" s="297">
        <f t="shared" si="6"/>
        <v>-192287</v>
      </c>
      <c r="AV39" s="297">
        <f t="shared" si="7"/>
        <v>554400</v>
      </c>
      <c r="AW39" s="297">
        <f t="shared" si="8"/>
        <v>181056.5</v>
      </c>
      <c r="AX39" s="297">
        <f t="shared" si="9"/>
        <v>162950.85</v>
      </c>
      <c r="AY39" s="298">
        <v>50000</v>
      </c>
      <c r="AZ39" s="298"/>
      <c r="BA39" s="297">
        <f t="shared" si="10"/>
        <v>112950.85</v>
      </c>
      <c r="BB39" s="278"/>
      <c r="BC39" s="255"/>
      <c r="BD39" s="255"/>
    </row>
    <row r="40" spans="1:56" s="256" customFormat="1" ht="20" hidden="1" customHeight="1">
      <c r="A40" s="260">
        <v>40</v>
      </c>
      <c r="B40" s="277">
        <v>46131</v>
      </c>
      <c r="C40" s="278" t="s">
        <v>587</v>
      </c>
      <c r="D40" s="278" t="s">
        <v>585</v>
      </c>
      <c r="E40" s="278" t="s">
        <v>590</v>
      </c>
      <c r="F40" s="278" t="s">
        <v>586</v>
      </c>
      <c r="G40" s="279" t="s">
        <v>580</v>
      </c>
      <c r="H40" s="280">
        <f>7240000-440000</f>
        <v>6800000</v>
      </c>
      <c r="I40" s="280">
        <v>440000</v>
      </c>
      <c r="J40" s="281">
        <f t="shared" si="0"/>
        <v>7240000</v>
      </c>
      <c r="K40" s="282" t="s">
        <v>1212</v>
      </c>
      <c r="L40" s="282" t="s">
        <v>508</v>
      </c>
      <c r="M40" s="339" t="s">
        <v>51</v>
      </c>
      <c r="N40" s="278" t="s">
        <v>632</v>
      </c>
      <c r="O40" s="278">
        <v>1240722395</v>
      </c>
      <c r="P40" s="283" t="s">
        <v>942</v>
      </c>
      <c r="Q40" s="278" t="s">
        <v>943</v>
      </c>
      <c r="R40" s="284" t="s">
        <v>28</v>
      </c>
      <c r="S40" s="334" t="s">
        <v>1155</v>
      </c>
      <c r="T40" s="285">
        <f>5500-W40</f>
        <v>4233</v>
      </c>
      <c r="U40" s="286">
        <v>1711</v>
      </c>
      <c r="V40" s="287">
        <v>1455</v>
      </c>
      <c r="W40" s="288">
        <v>1267</v>
      </c>
      <c r="X40" s="286"/>
      <c r="Y40" s="289"/>
      <c r="Z40" s="289"/>
      <c r="AA40" s="290">
        <f t="shared" si="13"/>
        <v>5500</v>
      </c>
      <c r="AB40" s="291">
        <f t="shared" si="12"/>
        <v>0</v>
      </c>
      <c r="AC40" s="292"/>
      <c r="AD40" s="293"/>
      <c r="AE40" s="293"/>
      <c r="AF40" s="294"/>
      <c r="AG40" s="291"/>
      <c r="AH40" s="295"/>
      <c r="AI40" s="291"/>
      <c r="AJ40" s="295"/>
      <c r="AK40" s="291"/>
      <c r="AL40" s="291"/>
      <c r="AM40" s="291"/>
      <c r="AN40" s="296">
        <v>35000</v>
      </c>
      <c r="AO40" s="296">
        <v>30000</v>
      </c>
      <c r="AP40" s="296"/>
      <c r="AQ40" s="296"/>
      <c r="AR40" s="296"/>
      <c r="AS40" s="296">
        <f t="shared" si="4"/>
        <v>65000</v>
      </c>
      <c r="AT40" s="297">
        <f t="shared" si="5"/>
        <v>7177663</v>
      </c>
      <c r="AU40" s="297">
        <f t="shared" si="6"/>
        <v>-62337</v>
      </c>
      <c r="AV40" s="297">
        <f t="shared" si="7"/>
        <v>612000</v>
      </c>
      <c r="AW40" s="297">
        <f t="shared" si="8"/>
        <v>274831.5</v>
      </c>
      <c r="AX40" s="297">
        <f t="shared" si="9"/>
        <v>247348.35</v>
      </c>
      <c r="AY40" s="298">
        <v>50000</v>
      </c>
      <c r="AZ40" s="298"/>
      <c r="BA40" s="297">
        <f t="shared" si="10"/>
        <v>197348.35</v>
      </c>
      <c r="BB40" s="278"/>
      <c r="BC40" s="255"/>
      <c r="BD40" s="255"/>
    </row>
    <row r="41" spans="1:56" s="256" customFormat="1" ht="20" hidden="1" customHeight="1">
      <c r="A41" s="260">
        <v>41</v>
      </c>
      <c r="B41" s="277">
        <v>46132</v>
      </c>
      <c r="C41" s="278" t="s">
        <v>239</v>
      </c>
      <c r="D41" s="278" t="s">
        <v>602</v>
      </c>
      <c r="E41" s="278" t="s">
        <v>603</v>
      </c>
      <c r="F41" s="278" t="s">
        <v>601</v>
      </c>
      <c r="G41" s="279" t="s">
        <v>538</v>
      </c>
      <c r="H41" s="280">
        <f>12700000-I41</f>
        <v>12260000</v>
      </c>
      <c r="I41" s="280">
        <v>440000</v>
      </c>
      <c r="J41" s="281">
        <f t="shared" si="0"/>
        <v>12700000</v>
      </c>
      <c r="K41" s="282" t="s">
        <v>1212</v>
      </c>
      <c r="L41" s="282" t="s">
        <v>508</v>
      </c>
      <c r="M41" s="339" t="s">
        <v>178</v>
      </c>
      <c r="N41" s="278" t="s">
        <v>236</v>
      </c>
      <c r="O41" s="278">
        <v>810056003</v>
      </c>
      <c r="P41" s="283" t="s">
        <v>180</v>
      </c>
      <c r="Q41" s="278" t="s">
        <v>179</v>
      </c>
      <c r="R41" s="284" t="s">
        <v>28</v>
      </c>
      <c r="S41" s="334" t="s">
        <v>1156</v>
      </c>
      <c r="T41" s="285">
        <f>8400-W41</f>
        <v>7131</v>
      </c>
      <c r="U41" s="286">
        <v>1718</v>
      </c>
      <c r="V41" s="287">
        <v>1463</v>
      </c>
      <c r="W41" s="288">
        <v>1269</v>
      </c>
      <c r="X41" s="286"/>
      <c r="Y41" s="289"/>
      <c r="Z41" s="289"/>
      <c r="AA41" s="290">
        <f t="shared" si="13"/>
        <v>8400</v>
      </c>
      <c r="AB41" s="291">
        <f t="shared" si="12"/>
        <v>0</v>
      </c>
      <c r="AC41" s="292"/>
      <c r="AD41" s="293"/>
      <c r="AE41" s="293"/>
      <c r="AF41" s="294"/>
      <c r="AG41" s="291"/>
      <c r="AH41" s="295"/>
      <c r="AI41" s="291"/>
      <c r="AJ41" s="295"/>
      <c r="AK41" s="291"/>
      <c r="AL41" s="291"/>
      <c r="AM41" s="291"/>
      <c r="AN41" s="296">
        <v>35000</v>
      </c>
      <c r="AO41" s="296">
        <v>30000</v>
      </c>
      <c r="AP41" s="296"/>
      <c r="AQ41" s="296"/>
      <c r="AR41" s="296"/>
      <c r="AS41" s="296">
        <f t="shared" si="4"/>
        <v>65000</v>
      </c>
      <c r="AT41" s="297">
        <f t="shared" si="5"/>
        <v>12186058</v>
      </c>
      <c r="AU41" s="297">
        <f t="shared" si="6"/>
        <v>-513942</v>
      </c>
      <c r="AV41" s="297">
        <f t="shared" si="7"/>
        <v>1103400</v>
      </c>
      <c r="AW41" s="297">
        <f t="shared" si="8"/>
        <v>294729</v>
      </c>
      <c r="AX41" s="297">
        <f t="shared" si="9"/>
        <v>265256.09999999998</v>
      </c>
      <c r="AY41" s="298">
        <v>50000</v>
      </c>
      <c r="AZ41" s="298"/>
      <c r="BA41" s="297">
        <f t="shared" si="10"/>
        <v>215256.09999999998</v>
      </c>
      <c r="BB41" s="278"/>
      <c r="BC41" s="255"/>
      <c r="BD41" s="255"/>
    </row>
    <row r="42" spans="1:56" s="256" customFormat="1" ht="20" hidden="1" customHeight="1">
      <c r="A42" s="260">
        <v>42</v>
      </c>
      <c r="B42" s="277">
        <v>46132</v>
      </c>
      <c r="C42" s="278" t="s">
        <v>239</v>
      </c>
      <c r="D42" s="278" t="s">
        <v>600</v>
      </c>
      <c r="E42" s="278" t="s">
        <v>604</v>
      </c>
      <c r="F42" s="278" t="s">
        <v>601</v>
      </c>
      <c r="G42" s="279" t="s">
        <v>507</v>
      </c>
      <c r="H42" s="280">
        <f>21000000-I42</f>
        <v>20560000</v>
      </c>
      <c r="I42" s="280">
        <v>440000</v>
      </c>
      <c r="J42" s="281">
        <f t="shared" si="0"/>
        <v>21000000</v>
      </c>
      <c r="K42" s="282" t="s">
        <v>1212</v>
      </c>
      <c r="L42" s="282" t="s">
        <v>508</v>
      </c>
      <c r="M42" s="339" t="s">
        <v>52</v>
      </c>
      <c r="N42" s="278" t="s">
        <v>181</v>
      </c>
      <c r="O42" s="278">
        <v>811054999</v>
      </c>
      <c r="P42" s="283" t="s">
        <v>182</v>
      </c>
      <c r="Q42" s="278" t="s">
        <v>172</v>
      </c>
      <c r="R42" s="284" t="s">
        <v>28</v>
      </c>
      <c r="S42" s="282" t="s">
        <v>572</v>
      </c>
      <c r="T42" s="285">
        <f>13400-W42</f>
        <v>12132</v>
      </c>
      <c r="U42" s="286">
        <v>1718</v>
      </c>
      <c r="V42" s="287">
        <v>1463</v>
      </c>
      <c r="W42" s="288">
        <v>1268</v>
      </c>
      <c r="X42" s="286"/>
      <c r="Y42" s="289"/>
      <c r="Z42" s="289"/>
      <c r="AA42" s="290">
        <f t="shared" si="13"/>
        <v>13400</v>
      </c>
      <c r="AB42" s="291">
        <f t="shared" si="12"/>
        <v>0</v>
      </c>
      <c r="AC42" s="292"/>
      <c r="AD42" s="293"/>
      <c r="AE42" s="293"/>
      <c r="AF42" s="294"/>
      <c r="AG42" s="291"/>
      <c r="AH42" s="295"/>
      <c r="AI42" s="291"/>
      <c r="AJ42" s="295"/>
      <c r="AK42" s="291"/>
      <c r="AL42" s="291"/>
      <c r="AM42" s="291"/>
      <c r="AN42" s="296">
        <v>35000</v>
      </c>
      <c r="AO42" s="296">
        <v>30000</v>
      </c>
      <c r="AP42" s="296"/>
      <c r="AQ42" s="296"/>
      <c r="AR42" s="296"/>
      <c r="AS42" s="296">
        <f t="shared" si="4"/>
        <v>65000</v>
      </c>
      <c r="AT42" s="297">
        <f t="shared" si="5"/>
        <v>20777776</v>
      </c>
      <c r="AU42" s="297">
        <f t="shared" si="6"/>
        <v>-222224</v>
      </c>
      <c r="AV42" s="297">
        <f t="shared" si="7"/>
        <v>1850400</v>
      </c>
      <c r="AW42" s="297">
        <f t="shared" si="8"/>
        <v>814088</v>
      </c>
      <c r="AX42" s="297">
        <f t="shared" si="9"/>
        <v>732679.2</v>
      </c>
      <c r="AY42" s="298">
        <v>50000</v>
      </c>
      <c r="AZ42" s="298"/>
      <c r="BA42" s="297">
        <f t="shared" si="10"/>
        <v>682679.2</v>
      </c>
      <c r="BB42" s="278"/>
      <c r="BC42" s="255"/>
      <c r="BD42" s="255"/>
    </row>
    <row r="43" spans="1:56" s="256" customFormat="1" ht="20" hidden="1" customHeight="1">
      <c r="A43" s="260">
        <v>43</v>
      </c>
      <c r="B43" s="277">
        <v>46134</v>
      </c>
      <c r="C43" s="278" t="s">
        <v>612</v>
      </c>
      <c r="D43" s="278" t="s">
        <v>611</v>
      </c>
      <c r="E43" s="278" t="s">
        <v>616</v>
      </c>
      <c r="F43" s="278" t="s">
        <v>613</v>
      </c>
      <c r="G43" s="279" t="s">
        <v>610</v>
      </c>
      <c r="H43" s="280">
        <f>18700000-I43</f>
        <v>18260000</v>
      </c>
      <c r="I43" s="280">
        <v>440000</v>
      </c>
      <c r="J43" s="281">
        <f t="shared" si="0"/>
        <v>18700000</v>
      </c>
      <c r="K43" s="282" t="s">
        <v>1212</v>
      </c>
      <c r="L43" s="282" t="s">
        <v>508</v>
      </c>
      <c r="M43" s="339" t="s">
        <v>51</v>
      </c>
      <c r="N43" s="278" t="s">
        <v>944</v>
      </c>
      <c r="O43" s="278">
        <v>1014801851</v>
      </c>
      <c r="P43" s="283" t="s">
        <v>631</v>
      </c>
      <c r="Q43" s="278" t="s">
        <v>945</v>
      </c>
      <c r="R43" s="284" t="s">
        <v>28</v>
      </c>
      <c r="S43" s="334" t="s">
        <v>1155</v>
      </c>
      <c r="T43" s="285">
        <f>11900-W43</f>
        <v>10635</v>
      </c>
      <c r="U43" s="286">
        <v>1718</v>
      </c>
      <c r="V43" s="287">
        <v>1458</v>
      </c>
      <c r="W43" s="288">
        <v>1265</v>
      </c>
      <c r="X43" s="286"/>
      <c r="Y43" s="289"/>
      <c r="Z43" s="289"/>
      <c r="AA43" s="290">
        <f t="shared" si="13"/>
        <v>11900</v>
      </c>
      <c r="AB43" s="291">
        <f t="shared" si="12"/>
        <v>0</v>
      </c>
      <c r="AC43" s="292"/>
      <c r="AD43" s="293"/>
      <c r="AE43" s="293"/>
      <c r="AF43" s="294"/>
      <c r="AG43" s="291"/>
      <c r="AH43" s="295"/>
      <c r="AI43" s="291"/>
      <c r="AJ43" s="295"/>
      <c r="AK43" s="291"/>
      <c r="AL43" s="291"/>
      <c r="AM43" s="291"/>
      <c r="AN43" s="296">
        <v>35000</v>
      </c>
      <c r="AO43" s="296">
        <v>30000</v>
      </c>
      <c r="AP43" s="296"/>
      <c r="AQ43" s="296"/>
      <c r="AR43" s="296"/>
      <c r="AS43" s="296">
        <f t="shared" si="4"/>
        <v>65000</v>
      </c>
      <c r="AT43" s="297">
        <f t="shared" si="5"/>
        <v>18205930</v>
      </c>
      <c r="AU43" s="297">
        <f t="shared" si="6"/>
        <v>-494070</v>
      </c>
      <c r="AV43" s="297">
        <f t="shared" si="7"/>
        <v>1643400</v>
      </c>
      <c r="AW43" s="297">
        <f t="shared" si="8"/>
        <v>574665</v>
      </c>
      <c r="AX43" s="297">
        <f t="shared" si="9"/>
        <v>517198.5</v>
      </c>
      <c r="AY43" s="298">
        <v>50000</v>
      </c>
      <c r="AZ43" s="298"/>
      <c r="BA43" s="297">
        <f t="shared" si="10"/>
        <v>467198.5</v>
      </c>
      <c r="BB43" s="278"/>
      <c r="BC43" s="255"/>
      <c r="BD43" s="255"/>
    </row>
    <row r="44" spans="1:56" s="256" customFormat="1" ht="20" hidden="1" customHeight="1">
      <c r="A44" s="260">
        <v>44</v>
      </c>
      <c r="B44" s="277">
        <v>46132</v>
      </c>
      <c r="C44" s="278" t="s">
        <v>259</v>
      </c>
      <c r="D44" s="278" t="s">
        <v>614</v>
      </c>
      <c r="E44" s="278" t="s">
        <v>615</v>
      </c>
      <c r="F44" s="278" t="s">
        <v>267</v>
      </c>
      <c r="G44" s="279"/>
      <c r="H44" s="280">
        <v>4320000</v>
      </c>
      <c r="I44" s="280"/>
      <c r="J44" s="281">
        <f t="shared" si="0"/>
        <v>4320000</v>
      </c>
      <c r="K44" s="282" t="s">
        <v>1212</v>
      </c>
      <c r="L44" s="282" t="s">
        <v>508</v>
      </c>
      <c r="M44" s="339" t="s">
        <v>31</v>
      </c>
      <c r="N44" s="278" t="s">
        <v>630</v>
      </c>
      <c r="O44" s="278">
        <v>1001063509</v>
      </c>
      <c r="P44" s="283" t="s">
        <v>175</v>
      </c>
      <c r="Q44" s="278" t="s">
        <v>176</v>
      </c>
      <c r="R44" s="284" t="s">
        <v>28</v>
      </c>
      <c r="S44" s="282" t="s">
        <v>508</v>
      </c>
      <c r="T44" s="285">
        <f>AA44-W44</f>
        <v>2774</v>
      </c>
      <c r="U44" s="286">
        <v>1735</v>
      </c>
      <c r="V44" s="287">
        <v>1463</v>
      </c>
      <c r="W44" s="288">
        <v>1256</v>
      </c>
      <c r="X44" s="286"/>
      <c r="Y44" s="289"/>
      <c r="Z44" s="289"/>
      <c r="AA44" s="290">
        <v>4030</v>
      </c>
      <c r="AB44" s="291">
        <f t="shared" si="12"/>
        <v>0</v>
      </c>
      <c r="AC44" s="292"/>
      <c r="AD44" s="293"/>
      <c r="AE44" s="293"/>
      <c r="AF44" s="294"/>
      <c r="AG44" s="291"/>
      <c r="AH44" s="295"/>
      <c r="AI44" s="291"/>
      <c r="AJ44" s="295"/>
      <c r="AK44" s="291"/>
      <c r="AL44" s="291"/>
      <c r="AM44" s="291"/>
      <c r="AN44" s="296">
        <v>35000</v>
      </c>
      <c r="AO44" s="296">
        <v>30000</v>
      </c>
      <c r="AP44" s="296"/>
      <c r="AQ44" s="296"/>
      <c r="AR44" s="296"/>
      <c r="AS44" s="296">
        <f t="shared" si="4"/>
        <v>65000</v>
      </c>
      <c r="AT44" s="297">
        <f t="shared" si="5"/>
        <v>4747890</v>
      </c>
      <c r="AU44" s="297">
        <f t="shared" si="6"/>
        <v>427890</v>
      </c>
      <c r="AV44" s="297">
        <f t="shared" si="7"/>
        <v>388800</v>
      </c>
      <c r="AW44" s="297">
        <f t="shared" si="8"/>
        <v>408345</v>
      </c>
      <c r="AX44" s="297">
        <f t="shared" si="9"/>
        <v>367510.5</v>
      </c>
      <c r="AY44" s="298">
        <v>50000</v>
      </c>
      <c r="AZ44" s="298"/>
      <c r="BA44" s="297">
        <f t="shared" si="10"/>
        <v>317510.5</v>
      </c>
      <c r="BB44" s="278"/>
      <c r="BC44" s="255"/>
      <c r="BD44" s="255"/>
    </row>
    <row r="45" spans="1:56" s="256" customFormat="1" ht="20" hidden="1" customHeight="1">
      <c r="A45" s="260">
        <v>45</v>
      </c>
      <c r="B45" s="277">
        <v>46134</v>
      </c>
      <c r="C45" s="278" t="s">
        <v>259</v>
      </c>
      <c r="D45" s="278" t="s">
        <v>620</v>
      </c>
      <c r="E45" s="278" t="s">
        <v>621</v>
      </c>
      <c r="F45" s="278" t="s">
        <v>622</v>
      </c>
      <c r="G45" s="279" t="s">
        <v>507</v>
      </c>
      <c r="H45" s="280">
        <f>6000000-I45</f>
        <v>5560000</v>
      </c>
      <c r="I45" s="280">
        <v>440000</v>
      </c>
      <c r="J45" s="281">
        <f t="shared" si="0"/>
        <v>6000000</v>
      </c>
      <c r="K45" s="282" t="s">
        <v>1212</v>
      </c>
      <c r="L45" s="282" t="s">
        <v>508</v>
      </c>
      <c r="M45" s="339" t="s">
        <v>178</v>
      </c>
      <c r="N45" s="278" t="s">
        <v>946</v>
      </c>
      <c r="O45" s="278">
        <v>810854085</v>
      </c>
      <c r="P45" s="283" t="s">
        <v>431</v>
      </c>
      <c r="Q45" s="278">
        <v>38344179964</v>
      </c>
      <c r="R45" s="284" t="s">
        <v>28</v>
      </c>
      <c r="S45" s="476" t="s">
        <v>1262</v>
      </c>
      <c r="T45" s="285">
        <f>5000-W45</f>
        <v>3744</v>
      </c>
      <c r="U45" s="286">
        <v>1735</v>
      </c>
      <c r="V45" s="287">
        <v>1463</v>
      </c>
      <c r="W45" s="288">
        <v>1256</v>
      </c>
      <c r="X45" s="286"/>
      <c r="Y45" s="289"/>
      <c r="Z45" s="289"/>
      <c r="AA45" s="290">
        <f t="shared" si="13"/>
        <v>5000</v>
      </c>
      <c r="AB45" s="291">
        <f t="shared" si="12"/>
        <v>0</v>
      </c>
      <c r="AC45" s="292"/>
      <c r="AD45" s="293"/>
      <c r="AE45" s="293"/>
      <c r="AF45" s="294"/>
      <c r="AG45" s="291"/>
      <c r="AH45" s="295"/>
      <c r="AI45" s="291"/>
      <c r="AJ45" s="295"/>
      <c r="AK45" s="291"/>
      <c r="AL45" s="291"/>
      <c r="AM45" s="291"/>
      <c r="AN45" s="296">
        <v>35000</v>
      </c>
      <c r="AO45" s="296">
        <v>30000</v>
      </c>
      <c r="AP45" s="296"/>
      <c r="AQ45" s="296"/>
      <c r="AR45" s="296"/>
      <c r="AS45" s="296">
        <f t="shared" si="4"/>
        <v>65000</v>
      </c>
      <c r="AT45" s="297">
        <f t="shared" si="5"/>
        <v>6430840</v>
      </c>
      <c r="AU45" s="297">
        <f t="shared" si="6"/>
        <v>430840</v>
      </c>
      <c r="AV45" s="297">
        <f t="shared" si="7"/>
        <v>500400</v>
      </c>
      <c r="AW45" s="297">
        <f t="shared" si="8"/>
        <v>465620</v>
      </c>
      <c r="AX45" s="297">
        <f t="shared" si="9"/>
        <v>419058</v>
      </c>
      <c r="AY45" s="298">
        <v>50000</v>
      </c>
      <c r="AZ45" s="298"/>
      <c r="BA45" s="297">
        <f t="shared" si="10"/>
        <v>369058</v>
      </c>
      <c r="BB45" s="278"/>
      <c r="BC45" s="255"/>
      <c r="BD45" s="255"/>
    </row>
    <row r="46" spans="1:56" s="256" customFormat="1" ht="20" hidden="1" customHeight="1">
      <c r="A46" s="260">
        <v>46</v>
      </c>
      <c r="B46" s="277">
        <v>46134</v>
      </c>
      <c r="C46" s="278" t="s">
        <v>273</v>
      </c>
      <c r="D46" s="278" t="s">
        <v>625</v>
      </c>
      <c r="E46" s="278" t="s">
        <v>629</v>
      </c>
      <c r="F46" s="278" t="s">
        <v>626</v>
      </c>
      <c r="G46" s="279" t="s">
        <v>627</v>
      </c>
      <c r="H46" s="280">
        <f>40400000-I45</f>
        <v>39960000</v>
      </c>
      <c r="I46" s="280">
        <v>440000</v>
      </c>
      <c r="J46" s="281">
        <f>I46+H46</f>
        <v>40400000</v>
      </c>
      <c r="K46" s="282" t="s">
        <v>1212</v>
      </c>
      <c r="L46" s="282" t="s">
        <v>508</v>
      </c>
      <c r="M46" s="339" t="s">
        <v>464</v>
      </c>
      <c r="N46" s="278" t="s">
        <v>947</v>
      </c>
      <c r="O46" s="278">
        <v>7812295785</v>
      </c>
      <c r="P46" s="283" t="s">
        <v>391</v>
      </c>
      <c r="Q46" s="278" t="s">
        <v>948</v>
      </c>
      <c r="R46" s="284" t="s">
        <v>937</v>
      </c>
      <c r="S46" s="334" t="s">
        <v>1155</v>
      </c>
      <c r="T46" s="285">
        <v>23220</v>
      </c>
      <c r="U46" s="286">
        <v>1718</v>
      </c>
      <c r="V46" s="287">
        <v>1458</v>
      </c>
      <c r="W46" s="288"/>
      <c r="X46" s="286" t="s">
        <v>1217</v>
      </c>
      <c r="Y46" s="289"/>
      <c r="Z46" s="289"/>
      <c r="AA46" s="290">
        <f t="shared" si="13"/>
        <v>23220</v>
      </c>
      <c r="AB46" s="291">
        <f t="shared" si="12"/>
        <v>0</v>
      </c>
      <c r="AC46" s="292"/>
      <c r="AD46" s="293"/>
      <c r="AE46" s="293"/>
      <c r="AF46" s="294"/>
      <c r="AG46" s="291"/>
      <c r="AH46" s="295"/>
      <c r="AI46" s="291"/>
      <c r="AJ46" s="295"/>
      <c r="AK46" s="291"/>
      <c r="AL46" s="291"/>
      <c r="AM46" s="291"/>
      <c r="AN46" s="296">
        <v>35000</v>
      </c>
      <c r="AO46" s="296">
        <v>30000</v>
      </c>
      <c r="AP46" s="296"/>
      <c r="AQ46" s="296"/>
      <c r="AR46" s="296"/>
      <c r="AS46" s="296">
        <f t="shared" si="4"/>
        <v>65000</v>
      </c>
      <c r="AT46" s="297">
        <f t="shared" si="5"/>
        <v>39826960</v>
      </c>
      <c r="AU46" s="297">
        <f t="shared" si="6"/>
        <v>-573040</v>
      </c>
      <c r="AV46" s="297">
        <f t="shared" si="7"/>
        <v>3596400</v>
      </c>
      <c r="AW46" s="297">
        <f t="shared" si="8"/>
        <v>1511680</v>
      </c>
      <c r="AX46" s="297">
        <f t="shared" si="9"/>
        <v>1360512</v>
      </c>
      <c r="AY46" s="298">
        <v>50000</v>
      </c>
      <c r="AZ46" s="298"/>
      <c r="BA46" s="297">
        <f t="shared" si="10"/>
        <v>1310512</v>
      </c>
      <c r="BB46" s="278"/>
      <c r="BC46" s="255"/>
      <c r="BD46" s="255"/>
    </row>
    <row r="47" spans="1:56" s="256" customFormat="1" ht="20" hidden="1" customHeight="1">
      <c r="A47" s="260">
        <v>47</v>
      </c>
      <c r="B47" s="277">
        <v>46140</v>
      </c>
      <c r="C47" s="278" t="s">
        <v>638</v>
      </c>
      <c r="D47" s="278" t="s">
        <v>637</v>
      </c>
      <c r="E47" s="278" t="s">
        <v>642</v>
      </c>
      <c r="F47" s="278" t="s">
        <v>624</v>
      </c>
      <c r="G47" s="279" t="s">
        <v>507</v>
      </c>
      <c r="H47" s="280">
        <f>10000000</f>
        <v>10000000</v>
      </c>
      <c r="I47" s="280">
        <v>440000</v>
      </c>
      <c r="J47" s="281">
        <f t="shared" ref="J47:J110" si="14">H47+I47</f>
        <v>10440000</v>
      </c>
      <c r="K47" s="282" t="s">
        <v>1212</v>
      </c>
      <c r="L47" s="282" t="s">
        <v>508</v>
      </c>
      <c r="M47" s="339" t="s">
        <v>178</v>
      </c>
      <c r="N47" s="278" t="s">
        <v>236</v>
      </c>
      <c r="O47" s="278">
        <v>810056003</v>
      </c>
      <c r="P47" s="283" t="s">
        <v>180</v>
      </c>
      <c r="Q47" s="278" t="s">
        <v>179</v>
      </c>
      <c r="R47" s="284" t="s">
        <v>28</v>
      </c>
      <c r="S47" s="334" t="s">
        <v>1259</v>
      </c>
      <c r="T47" s="285">
        <f>7000-W47</f>
        <v>5728</v>
      </c>
      <c r="U47" s="286">
        <v>1708</v>
      </c>
      <c r="V47" s="287">
        <v>1458</v>
      </c>
      <c r="W47" s="288">
        <v>1272</v>
      </c>
      <c r="X47" s="286"/>
      <c r="Y47" s="289"/>
      <c r="Z47" s="289"/>
      <c r="AA47" s="290">
        <f t="shared" si="13"/>
        <v>7000</v>
      </c>
      <c r="AB47" s="291">
        <f t="shared" si="12"/>
        <v>0</v>
      </c>
      <c r="AC47" s="292">
        <f t="shared" ref="AC47:AC110" si="15">SUM(AB47-AA47)</f>
        <v>-7000</v>
      </c>
      <c r="AD47" s="293"/>
      <c r="AE47" s="293"/>
      <c r="AF47" s="294"/>
      <c r="AG47" s="291"/>
      <c r="AH47" s="295"/>
      <c r="AI47" s="291"/>
      <c r="AJ47" s="295"/>
      <c r="AK47" s="291"/>
      <c r="AL47" s="291"/>
      <c r="AM47" s="291"/>
      <c r="AN47" s="296">
        <v>35000</v>
      </c>
      <c r="AO47" s="296">
        <v>30000</v>
      </c>
      <c r="AP47" s="296"/>
      <c r="AQ47" s="296"/>
      <c r="AR47" s="296"/>
      <c r="AS47" s="296">
        <f t="shared" si="4"/>
        <v>65000</v>
      </c>
      <c r="AT47" s="297">
        <f t="shared" si="5"/>
        <v>9718424</v>
      </c>
      <c r="AU47" s="297">
        <f t="shared" si="6"/>
        <v>-721576</v>
      </c>
      <c r="AV47" s="297">
        <f t="shared" si="7"/>
        <v>900000</v>
      </c>
      <c r="AW47" s="297">
        <f t="shared" si="8"/>
        <v>89212</v>
      </c>
      <c r="AX47" s="297">
        <f t="shared" si="9"/>
        <v>80290.8</v>
      </c>
      <c r="AY47" s="298">
        <v>50000</v>
      </c>
      <c r="AZ47" s="298"/>
      <c r="BA47" s="297">
        <f t="shared" si="10"/>
        <v>30290.800000000003</v>
      </c>
      <c r="BB47" s="278"/>
      <c r="BC47" s="255"/>
      <c r="BD47" s="255"/>
    </row>
    <row r="48" spans="1:56" s="256" customFormat="1" ht="20" hidden="1" customHeight="1">
      <c r="A48" s="260">
        <v>48</v>
      </c>
      <c r="B48" s="277">
        <v>46140</v>
      </c>
      <c r="C48" s="278" t="s">
        <v>255</v>
      </c>
      <c r="D48" s="278" t="s">
        <v>915</v>
      </c>
      <c r="E48" s="278" t="s">
        <v>643</v>
      </c>
      <c r="F48" s="278" t="s">
        <v>916</v>
      </c>
      <c r="G48" s="279" t="s">
        <v>580</v>
      </c>
      <c r="H48" s="280">
        <v>32760000</v>
      </c>
      <c r="I48" s="280">
        <v>440000</v>
      </c>
      <c r="J48" s="281">
        <v>33200000</v>
      </c>
      <c r="K48" s="282" t="s">
        <v>1212</v>
      </c>
      <c r="L48" s="282" t="s">
        <v>508</v>
      </c>
      <c r="M48" s="339" t="s">
        <v>52</v>
      </c>
      <c r="N48" s="278" t="s">
        <v>181</v>
      </c>
      <c r="O48" s="278">
        <v>811054999</v>
      </c>
      <c r="P48" s="283" t="s">
        <v>182</v>
      </c>
      <c r="Q48" s="278" t="s">
        <v>172</v>
      </c>
      <c r="R48" s="284" t="s">
        <v>28</v>
      </c>
      <c r="S48" s="282" t="s">
        <v>657</v>
      </c>
      <c r="T48" s="285">
        <f>20050-W48</f>
        <v>18778</v>
      </c>
      <c r="U48" s="286">
        <v>1708</v>
      </c>
      <c r="V48" s="287">
        <v>1458</v>
      </c>
      <c r="W48" s="288">
        <v>1272</v>
      </c>
      <c r="X48" s="286"/>
      <c r="Y48" s="289"/>
      <c r="Z48" s="289"/>
      <c r="AA48" s="290">
        <f t="shared" si="13"/>
        <v>20050</v>
      </c>
      <c r="AB48" s="291">
        <f t="shared" si="12"/>
        <v>0</v>
      </c>
      <c r="AC48" s="292">
        <f t="shared" si="15"/>
        <v>-20050</v>
      </c>
      <c r="AD48" s="293"/>
      <c r="AE48" s="293"/>
      <c r="AF48" s="294"/>
      <c r="AG48" s="291"/>
      <c r="AH48" s="295"/>
      <c r="AI48" s="291"/>
      <c r="AJ48" s="295"/>
      <c r="AK48" s="291"/>
      <c r="AL48" s="291"/>
      <c r="AM48" s="291"/>
      <c r="AN48" s="296">
        <v>35000</v>
      </c>
      <c r="AO48" s="296">
        <v>30000</v>
      </c>
      <c r="AP48" s="296"/>
      <c r="AQ48" s="296"/>
      <c r="AR48" s="296"/>
      <c r="AS48" s="296">
        <f t="shared" si="4"/>
        <v>65000</v>
      </c>
      <c r="AT48" s="297">
        <f t="shared" si="5"/>
        <v>32007824</v>
      </c>
      <c r="AU48" s="297">
        <f t="shared" si="6"/>
        <v>-1192176</v>
      </c>
      <c r="AV48" s="297">
        <f t="shared" si="7"/>
        <v>2948400</v>
      </c>
      <c r="AW48" s="297">
        <f t="shared" si="8"/>
        <v>878112</v>
      </c>
      <c r="AX48" s="297">
        <f t="shared" si="9"/>
        <v>790300.8</v>
      </c>
      <c r="AY48" s="298">
        <v>50000</v>
      </c>
      <c r="AZ48" s="298"/>
      <c r="BA48" s="297">
        <f t="shared" si="10"/>
        <v>740300.80000000005</v>
      </c>
      <c r="BB48" s="278"/>
      <c r="BC48" s="255"/>
      <c r="BD48" s="255"/>
    </row>
    <row r="49" spans="1:56" s="256" customFormat="1" ht="20" hidden="1" customHeight="1">
      <c r="A49" s="260">
        <v>49</v>
      </c>
      <c r="B49" s="277">
        <v>46140</v>
      </c>
      <c r="C49" s="278" t="s">
        <v>914</v>
      </c>
      <c r="D49" s="278" t="s">
        <v>636</v>
      </c>
      <c r="E49" s="278" t="s">
        <v>644</v>
      </c>
      <c r="F49" s="278" t="s">
        <v>628</v>
      </c>
      <c r="G49" s="279" t="s">
        <v>507</v>
      </c>
      <c r="H49" s="280">
        <f>15540000-I49</f>
        <v>15100000</v>
      </c>
      <c r="I49" s="280">
        <v>440000</v>
      </c>
      <c r="J49" s="281">
        <f t="shared" si="14"/>
        <v>15540000</v>
      </c>
      <c r="K49" s="282" t="s">
        <v>1212</v>
      </c>
      <c r="L49" s="282" t="s">
        <v>508</v>
      </c>
      <c r="M49" s="339" t="s">
        <v>238</v>
      </c>
      <c r="N49" s="278" t="s">
        <v>659</v>
      </c>
      <c r="O49" s="278" t="s">
        <v>660</v>
      </c>
      <c r="P49" s="283" t="s">
        <v>648</v>
      </c>
      <c r="Q49" s="278" t="s">
        <v>949</v>
      </c>
      <c r="R49" s="284" t="s">
        <v>28</v>
      </c>
      <c r="S49" s="299" t="s">
        <v>1265</v>
      </c>
      <c r="T49" s="285">
        <f>10100-W49</f>
        <v>8828.0913348946142</v>
      </c>
      <c r="U49" s="286">
        <v>1708</v>
      </c>
      <c r="V49" s="287">
        <v>1458</v>
      </c>
      <c r="W49" s="288">
        <f>1490*V49/U49</f>
        <v>1271.9086651053865</v>
      </c>
      <c r="X49" s="286"/>
      <c r="Y49" s="289"/>
      <c r="Z49" s="289"/>
      <c r="AA49" s="290">
        <f t="shared" si="13"/>
        <v>10100</v>
      </c>
      <c r="AB49" s="291">
        <f t="shared" si="12"/>
        <v>0</v>
      </c>
      <c r="AC49" s="292">
        <f t="shared" si="15"/>
        <v>-10100</v>
      </c>
      <c r="AD49" s="293"/>
      <c r="AE49" s="293"/>
      <c r="AF49" s="294"/>
      <c r="AG49" s="291"/>
      <c r="AH49" s="295"/>
      <c r="AI49" s="291"/>
      <c r="AJ49" s="295"/>
      <c r="AK49" s="291"/>
      <c r="AL49" s="291"/>
      <c r="AM49" s="291"/>
      <c r="AN49" s="296">
        <v>35000</v>
      </c>
      <c r="AO49" s="296">
        <v>30000</v>
      </c>
      <c r="AP49" s="296"/>
      <c r="AQ49" s="296"/>
      <c r="AR49" s="296"/>
      <c r="AS49" s="296">
        <f t="shared" si="4"/>
        <v>65000</v>
      </c>
      <c r="AT49" s="297">
        <f t="shared" si="5"/>
        <v>15013380.000000002</v>
      </c>
      <c r="AU49" s="297">
        <f t="shared" si="6"/>
        <v>-526619.99999999814</v>
      </c>
      <c r="AV49" s="297">
        <f t="shared" si="7"/>
        <v>1359000</v>
      </c>
      <c r="AW49" s="297">
        <f t="shared" si="8"/>
        <v>416190.00000000093</v>
      </c>
      <c r="AX49" s="297">
        <f t="shared" si="9"/>
        <v>374571.00000000081</v>
      </c>
      <c r="AY49" s="298">
        <v>50000</v>
      </c>
      <c r="AZ49" s="298"/>
      <c r="BA49" s="297">
        <f t="shared" si="10"/>
        <v>324571.00000000081</v>
      </c>
      <c r="BB49" s="278"/>
      <c r="BC49" s="255"/>
      <c r="BD49" s="255"/>
    </row>
    <row r="50" spans="1:56" s="256" customFormat="1" ht="20" hidden="1" customHeight="1">
      <c r="A50" s="260">
        <v>50</v>
      </c>
      <c r="B50" s="277">
        <v>46140</v>
      </c>
      <c r="C50" s="278" t="s">
        <v>634</v>
      </c>
      <c r="D50" s="278" t="s">
        <v>633</v>
      </c>
      <c r="E50" s="278" t="s">
        <v>645</v>
      </c>
      <c r="F50" s="278" t="s">
        <v>537</v>
      </c>
      <c r="G50" s="279" t="s">
        <v>635</v>
      </c>
      <c r="H50" s="280">
        <f>14240000-I50</f>
        <v>13800000</v>
      </c>
      <c r="I50" s="280">
        <v>440000</v>
      </c>
      <c r="J50" s="281">
        <f t="shared" si="14"/>
        <v>14240000</v>
      </c>
      <c r="K50" s="282" t="s">
        <v>1212</v>
      </c>
      <c r="L50" s="282" t="s">
        <v>508</v>
      </c>
      <c r="M50" s="339" t="s">
        <v>238</v>
      </c>
      <c r="N50" s="278" t="s">
        <v>647</v>
      </c>
      <c r="O50" s="278">
        <v>812398693</v>
      </c>
      <c r="P50" s="283" t="s">
        <v>648</v>
      </c>
      <c r="Q50" s="278" t="s">
        <v>949</v>
      </c>
      <c r="R50" s="284" t="s">
        <v>28</v>
      </c>
      <c r="S50" s="299" t="s">
        <v>1265</v>
      </c>
      <c r="T50" s="285">
        <f>9600-W50</f>
        <v>8328</v>
      </c>
      <c r="U50" s="286">
        <v>1708</v>
      </c>
      <c r="V50" s="287">
        <v>1458</v>
      </c>
      <c r="W50" s="288">
        <v>1272</v>
      </c>
      <c r="X50" s="286"/>
      <c r="Y50" s="289"/>
      <c r="Z50" s="289"/>
      <c r="AA50" s="290">
        <f t="shared" si="13"/>
        <v>9600</v>
      </c>
      <c r="AB50" s="291">
        <f t="shared" si="12"/>
        <v>0</v>
      </c>
      <c r="AC50" s="292">
        <f t="shared" si="15"/>
        <v>-9600</v>
      </c>
      <c r="AD50" s="293"/>
      <c r="AE50" s="293"/>
      <c r="AF50" s="294"/>
      <c r="AG50" s="291"/>
      <c r="AH50" s="295"/>
      <c r="AI50" s="291"/>
      <c r="AJ50" s="295"/>
      <c r="AK50" s="291"/>
      <c r="AL50" s="291"/>
      <c r="AM50" s="291"/>
      <c r="AN50" s="296">
        <v>35000</v>
      </c>
      <c r="AO50" s="296">
        <v>30000</v>
      </c>
      <c r="AP50" s="296"/>
      <c r="AQ50" s="296"/>
      <c r="AR50" s="296"/>
      <c r="AS50" s="296">
        <f t="shared" si="4"/>
        <v>65000</v>
      </c>
      <c r="AT50" s="297">
        <f t="shared" si="5"/>
        <v>14159224</v>
      </c>
      <c r="AU50" s="297">
        <f t="shared" si="6"/>
        <v>-80776</v>
      </c>
      <c r="AV50" s="297">
        <f t="shared" si="7"/>
        <v>1242000</v>
      </c>
      <c r="AW50" s="297">
        <f t="shared" si="8"/>
        <v>580612</v>
      </c>
      <c r="AX50" s="297">
        <f t="shared" si="9"/>
        <v>522550.8</v>
      </c>
      <c r="AY50" s="298">
        <v>50000</v>
      </c>
      <c r="AZ50" s="298"/>
      <c r="BA50" s="297">
        <f t="shared" si="10"/>
        <v>472550.8</v>
      </c>
      <c r="BB50" s="278"/>
      <c r="BC50" s="255"/>
      <c r="BD50" s="255"/>
    </row>
    <row r="51" spans="1:56" s="256" customFormat="1" ht="20" hidden="1" customHeight="1">
      <c r="A51" s="260">
        <v>51</v>
      </c>
      <c r="B51" s="277">
        <v>46140</v>
      </c>
      <c r="C51" s="278" t="s">
        <v>640</v>
      </c>
      <c r="D51" s="278" t="s">
        <v>639</v>
      </c>
      <c r="E51" s="278" t="s">
        <v>646</v>
      </c>
      <c r="F51" s="278" t="s">
        <v>641</v>
      </c>
      <c r="G51" s="279" t="s">
        <v>580</v>
      </c>
      <c r="H51" s="280">
        <f>8640000-I50</f>
        <v>8200000</v>
      </c>
      <c r="I51" s="280">
        <v>440000</v>
      </c>
      <c r="J51" s="281">
        <f t="shared" si="14"/>
        <v>8640000</v>
      </c>
      <c r="K51" s="282" t="s">
        <v>1212</v>
      </c>
      <c r="L51" s="282" t="s">
        <v>508</v>
      </c>
      <c r="M51" s="339" t="s">
        <v>178</v>
      </c>
      <c r="N51" s="278" t="s">
        <v>236</v>
      </c>
      <c r="O51" s="278">
        <v>810056003</v>
      </c>
      <c r="P51" s="283" t="s">
        <v>180</v>
      </c>
      <c r="Q51" s="278" t="s">
        <v>179</v>
      </c>
      <c r="R51" s="284" t="s">
        <v>28</v>
      </c>
      <c r="S51" s="282" t="s">
        <v>1261</v>
      </c>
      <c r="T51" s="285">
        <f>6400-1272</f>
        <v>5128</v>
      </c>
      <c r="U51" s="286">
        <v>1708</v>
      </c>
      <c r="V51" s="287">
        <v>1458</v>
      </c>
      <c r="W51" s="288">
        <v>1272</v>
      </c>
      <c r="X51" s="286"/>
      <c r="Y51" s="289"/>
      <c r="Z51" s="289"/>
      <c r="AA51" s="290">
        <f t="shared" si="13"/>
        <v>6400</v>
      </c>
      <c r="AB51" s="291">
        <f t="shared" si="12"/>
        <v>0</v>
      </c>
      <c r="AC51" s="292">
        <f t="shared" si="15"/>
        <v>-6400</v>
      </c>
      <c r="AD51" s="293"/>
      <c r="AE51" s="293"/>
      <c r="AF51" s="294"/>
      <c r="AG51" s="291"/>
      <c r="AH51" s="295"/>
      <c r="AI51" s="291"/>
      <c r="AJ51" s="295"/>
      <c r="AK51" s="291"/>
      <c r="AL51" s="291"/>
      <c r="AM51" s="291"/>
      <c r="AN51" s="296">
        <v>35000</v>
      </c>
      <c r="AO51" s="296">
        <v>30000</v>
      </c>
      <c r="AP51" s="296"/>
      <c r="AQ51" s="296"/>
      <c r="AR51" s="296"/>
      <c r="AS51" s="296">
        <f t="shared" si="4"/>
        <v>65000</v>
      </c>
      <c r="AT51" s="297">
        <f t="shared" si="5"/>
        <v>8693624</v>
      </c>
      <c r="AU51" s="297">
        <f t="shared" si="6"/>
        <v>53624</v>
      </c>
      <c r="AV51" s="297">
        <f t="shared" si="7"/>
        <v>738000</v>
      </c>
      <c r="AW51" s="297">
        <f t="shared" si="8"/>
        <v>395812</v>
      </c>
      <c r="AX51" s="297">
        <f t="shared" si="9"/>
        <v>356230.8</v>
      </c>
      <c r="AY51" s="298">
        <v>50000</v>
      </c>
      <c r="AZ51" s="298"/>
      <c r="BA51" s="297">
        <f t="shared" si="10"/>
        <v>306230.8</v>
      </c>
      <c r="BB51" s="278"/>
      <c r="BC51" s="255"/>
      <c r="BD51" s="255"/>
    </row>
    <row r="52" spans="1:56" s="256" customFormat="1" ht="20" hidden="1" customHeight="1">
      <c r="A52" s="260">
        <v>52</v>
      </c>
      <c r="B52" s="277">
        <v>46141</v>
      </c>
      <c r="C52" s="278">
        <v>3008</v>
      </c>
      <c r="D52" s="278" t="s">
        <v>654</v>
      </c>
      <c r="E52" s="278" t="s">
        <v>656</v>
      </c>
      <c r="F52" s="278" t="s">
        <v>655</v>
      </c>
      <c r="G52" s="279" t="s">
        <v>610</v>
      </c>
      <c r="H52" s="280">
        <f>14000000-I52</f>
        <v>13560000</v>
      </c>
      <c r="I52" s="280">
        <v>440000</v>
      </c>
      <c r="J52" s="281">
        <f t="shared" si="14"/>
        <v>14000000</v>
      </c>
      <c r="K52" s="282" t="s">
        <v>1212</v>
      </c>
      <c r="L52" s="282" t="s">
        <v>508</v>
      </c>
      <c r="M52" s="339" t="s">
        <v>178</v>
      </c>
      <c r="N52" s="278" t="s">
        <v>950</v>
      </c>
      <c r="O52" s="278">
        <v>1173573185</v>
      </c>
      <c r="P52" s="283" t="s">
        <v>951</v>
      </c>
      <c r="Q52" s="278" t="s">
        <v>376</v>
      </c>
      <c r="R52" s="284" t="s">
        <v>28</v>
      </c>
      <c r="S52" s="334" t="s">
        <v>1260</v>
      </c>
      <c r="T52" s="285">
        <f>9550-W52</f>
        <v>8192.7283372365346</v>
      </c>
      <c r="U52" s="286">
        <v>1708</v>
      </c>
      <c r="V52" s="287">
        <v>1458</v>
      </c>
      <c r="W52" s="288">
        <f>1590*V51/U51</f>
        <v>1357.2716627634661</v>
      </c>
      <c r="X52" s="286"/>
      <c r="Y52" s="289"/>
      <c r="Z52" s="289"/>
      <c r="AA52" s="290">
        <f t="shared" si="13"/>
        <v>9550</v>
      </c>
      <c r="AB52" s="291">
        <f t="shared" si="12"/>
        <v>0</v>
      </c>
      <c r="AC52" s="292">
        <f t="shared" si="15"/>
        <v>-9550</v>
      </c>
      <c r="AD52" s="293"/>
      <c r="AE52" s="293"/>
      <c r="AF52" s="294"/>
      <c r="AG52" s="291"/>
      <c r="AH52" s="295"/>
      <c r="AI52" s="291"/>
      <c r="AJ52" s="295"/>
      <c r="AK52" s="291"/>
      <c r="AL52" s="291"/>
      <c r="AM52" s="291"/>
      <c r="AN52" s="296">
        <v>35000</v>
      </c>
      <c r="AO52" s="296">
        <v>30000</v>
      </c>
      <c r="AP52" s="296"/>
      <c r="AQ52" s="296"/>
      <c r="AR52" s="296"/>
      <c r="AS52" s="296">
        <f t="shared" si="4"/>
        <v>65000</v>
      </c>
      <c r="AT52" s="297">
        <f t="shared" si="5"/>
        <v>13928180.000000002</v>
      </c>
      <c r="AU52" s="297">
        <f t="shared" si="6"/>
        <v>-71819.999999998137</v>
      </c>
      <c r="AV52" s="297">
        <f t="shared" si="7"/>
        <v>1220400</v>
      </c>
      <c r="AW52" s="297">
        <f t="shared" si="8"/>
        <v>574290.00000000093</v>
      </c>
      <c r="AX52" s="297">
        <f t="shared" si="9"/>
        <v>516861.00000000081</v>
      </c>
      <c r="AY52" s="298">
        <v>50000</v>
      </c>
      <c r="AZ52" s="298"/>
      <c r="BA52" s="297">
        <f t="shared" si="10"/>
        <v>466861.00000000081</v>
      </c>
      <c r="BB52" s="278"/>
      <c r="BC52" s="255"/>
      <c r="BD52" s="255"/>
    </row>
    <row r="53" spans="1:56" s="256" customFormat="1" ht="20" hidden="1" customHeight="1">
      <c r="A53" s="260">
        <v>53</v>
      </c>
      <c r="B53" s="277">
        <v>46142</v>
      </c>
      <c r="C53" s="278" t="s">
        <v>664</v>
      </c>
      <c r="D53" s="278" t="s">
        <v>665</v>
      </c>
      <c r="E53" s="278" t="s">
        <v>666</v>
      </c>
      <c r="F53" s="278" t="s">
        <v>679</v>
      </c>
      <c r="G53" s="279" t="s">
        <v>580</v>
      </c>
      <c r="H53" s="280">
        <f>18400000-I53</f>
        <v>17960000</v>
      </c>
      <c r="I53" s="280">
        <v>440000</v>
      </c>
      <c r="J53" s="281">
        <f t="shared" si="14"/>
        <v>18400000</v>
      </c>
      <c r="K53" s="282" t="s">
        <v>1212</v>
      </c>
      <c r="L53" s="282" t="s">
        <v>508</v>
      </c>
      <c r="M53" s="339" t="s">
        <v>178</v>
      </c>
      <c r="N53" s="278" t="s">
        <v>952</v>
      </c>
      <c r="O53" s="278">
        <v>1244028965</v>
      </c>
      <c r="P53" s="283" t="s">
        <v>951</v>
      </c>
      <c r="Q53" s="278" t="s">
        <v>953</v>
      </c>
      <c r="R53" s="284" t="s">
        <v>28</v>
      </c>
      <c r="S53" s="282" t="s">
        <v>1261</v>
      </c>
      <c r="T53" s="285">
        <f>11850-W53</f>
        <v>10578</v>
      </c>
      <c r="U53" s="286">
        <v>1708</v>
      </c>
      <c r="V53" s="287">
        <v>1458</v>
      </c>
      <c r="W53" s="288">
        <v>1272</v>
      </c>
      <c r="X53" s="286"/>
      <c r="Y53" s="289"/>
      <c r="Z53" s="289"/>
      <c r="AA53" s="290">
        <f t="shared" si="13"/>
        <v>11850</v>
      </c>
      <c r="AB53" s="291">
        <f t="shared" si="12"/>
        <v>0</v>
      </c>
      <c r="AC53" s="292">
        <f t="shared" si="15"/>
        <v>-11850</v>
      </c>
      <c r="AD53" s="293"/>
      <c r="AE53" s="293"/>
      <c r="AF53" s="294"/>
      <c r="AG53" s="291"/>
      <c r="AH53" s="295"/>
      <c r="AI53" s="291"/>
      <c r="AJ53" s="295"/>
      <c r="AK53" s="291"/>
      <c r="AL53" s="291"/>
      <c r="AM53" s="291"/>
      <c r="AN53" s="296">
        <v>35000</v>
      </c>
      <c r="AO53" s="296">
        <v>30000</v>
      </c>
      <c r="AP53" s="296"/>
      <c r="AQ53" s="296"/>
      <c r="AR53" s="296"/>
      <c r="AS53" s="296">
        <f t="shared" si="4"/>
        <v>65000</v>
      </c>
      <c r="AT53" s="297">
        <f t="shared" si="5"/>
        <v>18002224</v>
      </c>
      <c r="AU53" s="297">
        <f t="shared" si="6"/>
        <v>-397776</v>
      </c>
      <c r="AV53" s="297">
        <f t="shared" si="7"/>
        <v>1616400</v>
      </c>
      <c r="AW53" s="297">
        <f t="shared" si="8"/>
        <v>609312</v>
      </c>
      <c r="AX53" s="297">
        <f t="shared" si="9"/>
        <v>548380.80000000005</v>
      </c>
      <c r="AY53" s="298">
        <v>50000</v>
      </c>
      <c r="AZ53" s="298"/>
      <c r="BA53" s="297">
        <f t="shared" si="10"/>
        <v>498380.80000000005</v>
      </c>
      <c r="BB53" s="278"/>
      <c r="BC53" s="255"/>
      <c r="BD53" s="255"/>
    </row>
    <row r="54" spans="1:56" s="256" customFormat="1" ht="20" hidden="1" customHeight="1">
      <c r="A54" s="260">
        <v>54</v>
      </c>
      <c r="B54" s="277">
        <v>46142</v>
      </c>
      <c r="C54" s="278" t="s">
        <v>668</v>
      </c>
      <c r="D54" s="278" t="s">
        <v>667</v>
      </c>
      <c r="E54" s="278" t="s">
        <v>669</v>
      </c>
      <c r="F54" s="278" t="s">
        <v>624</v>
      </c>
      <c r="G54" s="279" t="s">
        <v>676</v>
      </c>
      <c r="H54" s="280">
        <f>7900000-I54</f>
        <v>7460000</v>
      </c>
      <c r="I54" s="280">
        <v>440000</v>
      </c>
      <c r="J54" s="281">
        <f t="shared" si="14"/>
        <v>7900000</v>
      </c>
      <c r="K54" s="282" t="s">
        <v>1212</v>
      </c>
      <c r="L54" s="282" t="s">
        <v>508</v>
      </c>
      <c r="M54" s="339" t="s">
        <v>178</v>
      </c>
      <c r="N54" s="278" t="s">
        <v>236</v>
      </c>
      <c r="O54" s="278">
        <v>810056003</v>
      </c>
      <c r="P54" s="283" t="s">
        <v>180</v>
      </c>
      <c r="Q54" s="278" t="s">
        <v>179</v>
      </c>
      <c r="R54" s="284" t="s">
        <v>28</v>
      </c>
      <c r="S54" s="334" t="s">
        <v>1155</v>
      </c>
      <c r="T54" s="285">
        <f>5900-W53</f>
        <v>4628</v>
      </c>
      <c r="U54" s="286">
        <v>1708</v>
      </c>
      <c r="V54" s="287">
        <v>1458</v>
      </c>
      <c r="W54" s="288">
        <v>1392</v>
      </c>
      <c r="X54" s="286"/>
      <c r="Y54" s="289"/>
      <c r="Z54" s="289"/>
      <c r="AA54" s="290">
        <f t="shared" si="13"/>
        <v>6020</v>
      </c>
      <c r="AB54" s="291">
        <f t="shared" si="12"/>
        <v>0</v>
      </c>
      <c r="AC54" s="292">
        <f t="shared" si="15"/>
        <v>-6020</v>
      </c>
      <c r="AD54" s="293"/>
      <c r="AE54" s="293"/>
      <c r="AF54" s="294"/>
      <c r="AG54" s="291"/>
      <c r="AH54" s="295"/>
      <c r="AI54" s="291"/>
      <c r="AJ54" s="295"/>
      <c r="AK54" s="291"/>
      <c r="AL54" s="291"/>
      <c r="AM54" s="291"/>
      <c r="AN54" s="296">
        <v>35000</v>
      </c>
      <c r="AO54" s="296">
        <v>30000</v>
      </c>
      <c r="AP54" s="296"/>
      <c r="AQ54" s="296"/>
      <c r="AR54" s="296"/>
      <c r="AS54" s="296">
        <f t="shared" si="4"/>
        <v>65000</v>
      </c>
      <c r="AT54" s="297">
        <f t="shared" si="5"/>
        <v>7839624</v>
      </c>
      <c r="AU54" s="297">
        <f t="shared" si="6"/>
        <v>-60376</v>
      </c>
      <c r="AV54" s="297">
        <f t="shared" si="7"/>
        <v>671400</v>
      </c>
      <c r="AW54" s="297">
        <f t="shared" si="8"/>
        <v>305512</v>
      </c>
      <c r="AX54" s="297">
        <f t="shared" si="9"/>
        <v>274960.8</v>
      </c>
      <c r="AY54" s="298">
        <v>50000</v>
      </c>
      <c r="AZ54" s="298"/>
      <c r="BA54" s="297">
        <f t="shared" si="10"/>
        <v>224960.8</v>
      </c>
      <c r="BB54" s="278"/>
      <c r="BC54" s="255"/>
      <c r="BD54" s="255"/>
    </row>
    <row r="55" spans="1:56" s="256" customFormat="1" ht="20" hidden="1" customHeight="1">
      <c r="A55" s="260">
        <v>55</v>
      </c>
      <c r="B55" s="277">
        <v>46142</v>
      </c>
      <c r="C55" s="278" t="s">
        <v>671</v>
      </c>
      <c r="D55" s="278" t="s">
        <v>670</v>
      </c>
      <c r="E55" s="278" t="s">
        <v>673</v>
      </c>
      <c r="F55" s="278" t="s">
        <v>672</v>
      </c>
      <c r="G55" s="279" t="s">
        <v>580</v>
      </c>
      <c r="H55" s="280">
        <f>11400000-I55</f>
        <v>10960000</v>
      </c>
      <c r="I55" s="280">
        <v>440000</v>
      </c>
      <c r="J55" s="281">
        <f t="shared" si="14"/>
        <v>11400000</v>
      </c>
      <c r="K55" s="282" t="s">
        <v>1212</v>
      </c>
      <c r="L55" s="282" t="s">
        <v>508</v>
      </c>
      <c r="M55" s="339" t="s">
        <v>238</v>
      </c>
      <c r="N55" s="278" t="s">
        <v>658</v>
      </c>
      <c r="O55" s="278">
        <v>810356271</v>
      </c>
      <c r="P55" s="283" t="s">
        <v>244</v>
      </c>
      <c r="Q55" s="278" t="s">
        <v>949</v>
      </c>
      <c r="R55" s="284" t="s">
        <v>28</v>
      </c>
      <c r="S55" s="299" t="s">
        <v>1265</v>
      </c>
      <c r="T55" s="285">
        <f>7650-W55</f>
        <v>6373.476994758299</v>
      </c>
      <c r="U55" s="286">
        <v>1717</v>
      </c>
      <c r="V55" s="287">
        <v>1471</v>
      </c>
      <c r="W55" s="288">
        <f>1490*V55/U55</f>
        <v>1276.5230052417007</v>
      </c>
      <c r="X55" s="286"/>
      <c r="Y55" s="289"/>
      <c r="Z55" s="289"/>
      <c r="AA55" s="290">
        <f t="shared" si="13"/>
        <v>7650</v>
      </c>
      <c r="AB55" s="291">
        <f t="shared" si="12"/>
        <v>0</v>
      </c>
      <c r="AC55" s="292">
        <f t="shared" si="15"/>
        <v>-7650</v>
      </c>
      <c r="AD55" s="293"/>
      <c r="AE55" s="293"/>
      <c r="AF55" s="294"/>
      <c r="AG55" s="291"/>
      <c r="AH55" s="295"/>
      <c r="AI55" s="291"/>
      <c r="AJ55" s="295"/>
      <c r="AK55" s="291"/>
      <c r="AL55" s="291"/>
      <c r="AM55" s="291"/>
      <c r="AN55" s="296">
        <v>35000</v>
      </c>
      <c r="AO55" s="296">
        <v>30000</v>
      </c>
      <c r="AP55" s="296"/>
      <c r="AQ55" s="296"/>
      <c r="AR55" s="296"/>
      <c r="AS55" s="296">
        <f t="shared" si="4"/>
        <v>65000</v>
      </c>
      <c r="AT55" s="297">
        <f t="shared" si="5"/>
        <v>10878260</v>
      </c>
      <c r="AU55" s="297">
        <f t="shared" si="6"/>
        <v>-521740</v>
      </c>
      <c r="AV55" s="297">
        <f t="shared" si="7"/>
        <v>986400</v>
      </c>
      <c r="AW55" s="297">
        <f t="shared" si="8"/>
        <v>232330</v>
      </c>
      <c r="AX55" s="297">
        <f t="shared" si="9"/>
        <v>209097</v>
      </c>
      <c r="AY55" s="298">
        <v>50000</v>
      </c>
      <c r="AZ55" s="298"/>
      <c r="BA55" s="297">
        <f t="shared" si="10"/>
        <v>159097</v>
      </c>
      <c r="BB55" s="278"/>
      <c r="BC55" s="255"/>
      <c r="BD55" s="255"/>
    </row>
    <row r="56" spans="1:56" s="256" customFormat="1" ht="20" hidden="1" customHeight="1">
      <c r="A56" s="260">
        <v>56</v>
      </c>
      <c r="B56" s="277">
        <v>46145</v>
      </c>
      <c r="C56" s="278" t="s">
        <v>681</v>
      </c>
      <c r="D56" s="278" t="s">
        <v>680</v>
      </c>
      <c r="E56" s="278" t="s">
        <v>683</v>
      </c>
      <c r="F56" s="278" t="s">
        <v>682</v>
      </c>
      <c r="G56" s="279" t="s">
        <v>580</v>
      </c>
      <c r="H56" s="280">
        <f>17900000-I56</f>
        <v>17460000</v>
      </c>
      <c r="I56" s="280">
        <v>440000</v>
      </c>
      <c r="J56" s="281">
        <f t="shared" si="14"/>
        <v>17900000</v>
      </c>
      <c r="K56" s="282" t="s">
        <v>1212</v>
      </c>
      <c r="L56" s="282" t="s">
        <v>508</v>
      </c>
      <c r="M56" s="339" t="s">
        <v>238</v>
      </c>
      <c r="N56" s="278" t="s">
        <v>692</v>
      </c>
      <c r="O56" s="278">
        <v>1908678</v>
      </c>
      <c r="P56" s="283" t="s">
        <v>648</v>
      </c>
      <c r="Q56" s="278" t="s">
        <v>949</v>
      </c>
      <c r="R56" s="284" t="s">
        <v>28</v>
      </c>
      <c r="S56" s="299" t="s">
        <v>1265</v>
      </c>
      <c r="T56" s="285">
        <f>11500-W56</f>
        <v>10059.166666666666</v>
      </c>
      <c r="U56" s="286">
        <v>1716</v>
      </c>
      <c r="V56" s="287">
        <v>1463</v>
      </c>
      <c r="W56" s="288">
        <f>1690*V56/U56</f>
        <v>1440.8333333333333</v>
      </c>
      <c r="X56" s="286"/>
      <c r="Y56" s="289"/>
      <c r="Z56" s="289"/>
      <c r="AA56" s="290">
        <f t="shared" si="13"/>
        <v>11500</v>
      </c>
      <c r="AB56" s="291">
        <f t="shared" si="12"/>
        <v>0</v>
      </c>
      <c r="AC56" s="292">
        <f t="shared" si="15"/>
        <v>-11500</v>
      </c>
      <c r="AD56" s="293"/>
      <c r="AE56" s="293"/>
      <c r="AF56" s="294"/>
      <c r="AG56" s="291"/>
      <c r="AH56" s="295"/>
      <c r="AI56" s="291"/>
      <c r="AJ56" s="295"/>
      <c r="AK56" s="291"/>
      <c r="AL56" s="291"/>
      <c r="AM56" s="291"/>
      <c r="AN56" s="296">
        <v>35000</v>
      </c>
      <c r="AO56" s="296">
        <v>30000</v>
      </c>
      <c r="AP56" s="296"/>
      <c r="AQ56" s="296"/>
      <c r="AR56" s="296"/>
      <c r="AS56" s="296">
        <f t="shared" si="4"/>
        <v>65000</v>
      </c>
      <c r="AT56" s="297">
        <f t="shared" si="5"/>
        <v>17196530</v>
      </c>
      <c r="AU56" s="297">
        <f t="shared" si="6"/>
        <v>-703470</v>
      </c>
      <c r="AV56" s="297">
        <f t="shared" si="7"/>
        <v>1571400</v>
      </c>
      <c r="AW56" s="297">
        <f t="shared" si="8"/>
        <v>433965</v>
      </c>
      <c r="AX56" s="297">
        <f t="shared" si="9"/>
        <v>390568.5</v>
      </c>
      <c r="AY56" s="298">
        <v>50000</v>
      </c>
      <c r="AZ56" s="298"/>
      <c r="BA56" s="297">
        <f t="shared" si="10"/>
        <v>340568.5</v>
      </c>
      <c r="BB56" s="278"/>
      <c r="BC56" s="255"/>
      <c r="BD56" s="255"/>
    </row>
    <row r="57" spans="1:56" s="256" customFormat="1" ht="20" hidden="1" customHeight="1">
      <c r="A57" s="260">
        <v>57</v>
      </c>
      <c r="B57" s="277">
        <v>46145</v>
      </c>
      <c r="C57" s="278" t="s">
        <v>1263</v>
      </c>
      <c r="D57" s="278" t="s">
        <v>684</v>
      </c>
      <c r="E57" s="278" t="s">
        <v>917</v>
      </c>
      <c r="F57" s="278" t="s">
        <v>685</v>
      </c>
      <c r="G57" s="279" t="s">
        <v>507</v>
      </c>
      <c r="H57" s="280">
        <f>17700000-I57</f>
        <v>17260000</v>
      </c>
      <c r="I57" s="280">
        <v>440000</v>
      </c>
      <c r="J57" s="281">
        <f t="shared" si="14"/>
        <v>17700000</v>
      </c>
      <c r="K57" s="282" t="s">
        <v>1212</v>
      </c>
      <c r="L57" s="282" t="s">
        <v>508</v>
      </c>
      <c r="M57" s="339" t="s">
        <v>238</v>
      </c>
      <c r="N57" s="278" t="s">
        <v>658</v>
      </c>
      <c r="O57" s="278">
        <v>810356271</v>
      </c>
      <c r="P57" s="283" t="s">
        <v>244</v>
      </c>
      <c r="Q57" s="278" t="s">
        <v>949</v>
      </c>
      <c r="R57" s="284" t="s">
        <v>28</v>
      </c>
      <c r="S57" s="299" t="s">
        <v>1266</v>
      </c>
      <c r="T57" s="285">
        <f>11150-W57</f>
        <v>9794.4230769230762</v>
      </c>
      <c r="U57" s="286">
        <v>1716</v>
      </c>
      <c r="V57" s="287">
        <v>1463</v>
      </c>
      <c r="W57" s="288">
        <f>1590*V57/U57</f>
        <v>1355.5769230769231</v>
      </c>
      <c r="X57" s="286"/>
      <c r="Y57" s="289"/>
      <c r="Z57" s="289"/>
      <c r="AA57" s="290">
        <f t="shared" si="13"/>
        <v>11150</v>
      </c>
      <c r="AB57" s="291">
        <f t="shared" si="12"/>
        <v>0</v>
      </c>
      <c r="AC57" s="292">
        <f t="shared" si="15"/>
        <v>-11150</v>
      </c>
      <c r="AD57" s="293"/>
      <c r="AE57" s="293"/>
      <c r="AF57" s="294"/>
      <c r="AG57" s="291"/>
      <c r="AH57" s="295"/>
      <c r="AI57" s="291"/>
      <c r="AJ57" s="295"/>
      <c r="AK57" s="291"/>
      <c r="AL57" s="291"/>
      <c r="AM57" s="291"/>
      <c r="AN57" s="296">
        <v>35000</v>
      </c>
      <c r="AO57" s="296">
        <v>30000</v>
      </c>
      <c r="AP57" s="296"/>
      <c r="AQ57" s="296"/>
      <c r="AR57" s="296"/>
      <c r="AS57" s="296">
        <f t="shared" si="4"/>
        <v>65000</v>
      </c>
      <c r="AT57" s="297">
        <f t="shared" si="5"/>
        <v>16742230</v>
      </c>
      <c r="AU57" s="297">
        <f t="shared" si="6"/>
        <v>-957770</v>
      </c>
      <c r="AV57" s="297">
        <f t="shared" si="7"/>
        <v>1553400</v>
      </c>
      <c r="AW57" s="297">
        <f t="shared" si="8"/>
        <v>297815</v>
      </c>
      <c r="AX57" s="297">
        <f t="shared" si="9"/>
        <v>268033.5</v>
      </c>
      <c r="AY57" s="298">
        <v>50000</v>
      </c>
      <c r="AZ57" s="298"/>
      <c r="BA57" s="297">
        <f t="shared" si="10"/>
        <v>218033.5</v>
      </c>
      <c r="BB57" s="278"/>
      <c r="BC57" s="255"/>
      <c r="BD57" s="255"/>
    </row>
    <row r="58" spans="1:56" s="256" customFormat="1" ht="20" hidden="1" customHeight="1">
      <c r="A58" s="260">
        <v>58</v>
      </c>
      <c r="B58" s="277">
        <v>46146</v>
      </c>
      <c r="C58" s="278" t="s">
        <v>574</v>
      </c>
      <c r="D58" s="278" t="s">
        <v>687</v>
      </c>
      <c r="E58" s="278" t="s">
        <v>688</v>
      </c>
      <c r="F58" s="278"/>
      <c r="G58" s="279"/>
      <c r="H58" s="280">
        <f>16000000-I58</f>
        <v>15560000</v>
      </c>
      <c r="I58" s="280">
        <v>440000</v>
      </c>
      <c r="J58" s="281">
        <f t="shared" si="14"/>
        <v>16000000</v>
      </c>
      <c r="K58" s="282" t="s">
        <v>1212</v>
      </c>
      <c r="L58" s="282" t="s">
        <v>508</v>
      </c>
      <c r="M58" s="339" t="s">
        <v>281</v>
      </c>
      <c r="N58" s="278" t="s">
        <v>689</v>
      </c>
      <c r="O58" s="278" t="s">
        <v>690</v>
      </c>
      <c r="P58" s="283" t="s">
        <v>283</v>
      </c>
      <c r="Q58" s="278" t="s">
        <v>389</v>
      </c>
      <c r="R58" s="284" t="s">
        <v>29</v>
      </c>
      <c r="S58" s="282" t="s">
        <v>1127</v>
      </c>
      <c r="T58" s="285">
        <v>9148</v>
      </c>
      <c r="U58" s="286">
        <v>1709</v>
      </c>
      <c r="V58" s="287">
        <v>1470</v>
      </c>
      <c r="W58" s="288">
        <v>1497</v>
      </c>
      <c r="X58" s="286"/>
      <c r="Y58" s="289"/>
      <c r="Z58" s="289"/>
      <c r="AA58" s="290">
        <f t="shared" si="13"/>
        <v>10645</v>
      </c>
      <c r="AB58" s="291">
        <f t="shared" si="12"/>
        <v>0</v>
      </c>
      <c r="AC58" s="292">
        <f t="shared" si="15"/>
        <v>-10645</v>
      </c>
      <c r="AD58" s="293"/>
      <c r="AE58" s="293"/>
      <c r="AF58" s="294"/>
      <c r="AG58" s="291"/>
      <c r="AH58" s="295"/>
      <c r="AI58" s="291"/>
      <c r="AJ58" s="295"/>
      <c r="AK58" s="291"/>
      <c r="AL58" s="291"/>
      <c r="AM58" s="291"/>
      <c r="AN58" s="296">
        <v>35000</v>
      </c>
      <c r="AO58" s="296">
        <v>30000</v>
      </c>
      <c r="AP58" s="296"/>
      <c r="AQ58" s="296"/>
      <c r="AR58" s="296"/>
      <c r="AS58" s="296">
        <f t="shared" si="4"/>
        <v>65000</v>
      </c>
      <c r="AT58" s="297">
        <f t="shared" si="5"/>
        <v>15568932</v>
      </c>
      <c r="AU58" s="297">
        <f t="shared" si="6"/>
        <v>-431068</v>
      </c>
      <c r="AV58" s="297">
        <f t="shared" si="7"/>
        <v>1400400</v>
      </c>
      <c r="AW58" s="297">
        <f t="shared" si="8"/>
        <v>484666</v>
      </c>
      <c r="AX58" s="297">
        <f t="shared" si="9"/>
        <v>436199.4</v>
      </c>
      <c r="AY58" s="298">
        <v>50000</v>
      </c>
      <c r="AZ58" s="298"/>
      <c r="BA58" s="297">
        <f t="shared" si="10"/>
        <v>386199.4</v>
      </c>
      <c r="BB58" s="278"/>
      <c r="BC58" s="255"/>
      <c r="BD58" s="255"/>
    </row>
    <row r="59" spans="1:56" s="256" customFormat="1" ht="20" hidden="1" customHeight="1">
      <c r="A59" s="260">
        <v>59</v>
      </c>
      <c r="B59" s="277">
        <v>46148</v>
      </c>
      <c r="C59" s="278" t="s">
        <v>695</v>
      </c>
      <c r="D59" s="278" t="s">
        <v>696</v>
      </c>
      <c r="E59" s="278" t="s">
        <v>703</v>
      </c>
      <c r="F59" s="278" t="s">
        <v>694</v>
      </c>
      <c r="G59" s="279"/>
      <c r="H59" s="280">
        <v>6500000</v>
      </c>
      <c r="I59" s="280">
        <v>168020</v>
      </c>
      <c r="J59" s="281">
        <f t="shared" si="14"/>
        <v>6668020</v>
      </c>
      <c r="K59" s="282" t="s">
        <v>1212</v>
      </c>
      <c r="L59" s="282" t="s">
        <v>508</v>
      </c>
      <c r="M59" s="339" t="s">
        <v>281</v>
      </c>
      <c r="N59" s="278" t="s">
        <v>689</v>
      </c>
      <c r="O59" s="278" t="s">
        <v>690</v>
      </c>
      <c r="P59" s="283" t="s">
        <v>283</v>
      </c>
      <c r="Q59" s="278" t="s">
        <v>389</v>
      </c>
      <c r="R59" s="284" t="s">
        <v>29</v>
      </c>
      <c r="S59" s="282" t="s">
        <v>1127</v>
      </c>
      <c r="T59" s="285">
        <v>3970</v>
      </c>
      <c r="U59" s="286">
        <v>1684</v>
      </c>
      <c r="V59" s="287">
        <v>1433</v>
      </c>
      <c r="W59" s="288">
        <v>1400</v>
      </c>
      <c r="X59" s="286"/>
      <c r="Y59" s="289"/>
      <c r="Z59" s="289"/>
      <c r="AA59" s="290">
        <f t="shared" si="13"/>
        <v>5370</v>
      </c>
      <c r="AB59" s="291">
        <f t="shared" si="12"/>
        <v>0</v>
      </c>
      <c r="AC59" s="292">
        <f t="shared" si="15"/>
        <v>-5370</v>
      </c>
      <c r="AD59" s="293"/>
      <c r="AE59" s="293"/>
      <c r="AF59" s="294"/>
      <c r="AG59" s="291"/>
      <c r="AH59" s="295"/>
      <c r="AI59" s="291"/>
      <c r="AJ59" s="295"/>
      <c r="AK59" s="291"/>
      <c r="AL59" s="291"/>
      <c r="AM59" s="291"/>
      <c r="AN59" s="296">
        <v>35000</v>
      </c>
      <c r="AO59" s="296">
        <v>30000</v>
      </c>
      <c r="AP59" s="296"/>
      <c r="AQ59" s="296"/>
      <c r="AR59" s="296"/>
      <c r="AS59" s="296">
        <f t="shared" si="4"/>
        <v>65000</v>
      </c>
      <c r="AT59" s="297">
        <f t="shared" si="5"/>
        <v>6620480</v>
      </c>
      <c r="AU59" s="297">
        <f t="shared" si="6"/>
        <v>-47540</v>
      </c>
      <c r="AV59" s="297">
        <f t="shared" si="7"/>
        <v>585000</v>
      </c>
      <c r="AW59" s="297">
        <f t="shared" si="8"/>
        <v>268730</v>
      </c>
      <c r="AX59" s="297">
        <f t="shared" si="9"/>
        <v>241857</v>
      </c>
      <c r="AY59" s="298">
        <v>50000</v>
      </c>
      <c r="AZ59" s="298"/>
      <c r="BA59" s="297">
        <f t="shared" si="10"/>
        <v>191857</v>
      </c>
      <c r="BB59" s="278"/>
      <c r="BC59" s="255"/>
      <c r="BD59" s="255"/>
    </row>
    <row r="60" spans="1:56" s="256" customFormat="1" ht="20" hidden="1" customHeight="1">
      <c r="A60" s="260">
        <v>60</v>
      </c>
      <c r="B60" s="277">
        <v>46148</v>
      </c>
      <c r="C60" s="278" t="s">
        <v>273</v>
      </c>
      <c r="D60" s="278" t="s">
        <v>697</v>
      </c>
      <c r="E60" s="278" t="s">
        <v>704</v>
      </c>
      <c r="F60" s="278" t="s">
        <v>694</v>
      </c>
      <c r="G60" s="279"/>
      <c r="H60" s="280">
        <v>5100000</v>
      </c>
      <c r="I60" s="280">
        <v>165000</v>
      </c>
      <c r="J60" s="281">
        <f t="shared" si="14"/>
        <v>5265000</v>
      </c>
      <c r="K60" s="282" t="s">
        <v>1212</v>
      </c>
      <c r="L60" s="282" t="s">
        <v>508</v>
      </c>
      <c r="M60" s="339" t="s">
        <v>281</v>
      </c>
      <c r="N60" s="278" t="s">
        <v>689</v>
      </c>
      <c r="O60" s="278" t="s">
        <v>690</v>
      </c>
      <c r="P60" s="283" t="s">
        <v>283</v>
      </c>
      <c r="Q60" s="278" t="s">
        <v>389</v>
      </c>
      <c r="R60" s="284" t="s">
        <v>29</v>
      </c>
      <c r="S60" s="282" t="s">
        <v>1127</v>
      </c>
      <c r="T60" s="285">
        <v>3130</v>
      </c>
      <c r="U60" s="286">
        <v>1684</v>
      </c>
      <c r="V60" s="287">
        <v>1433</v>
      </c>
      <c r="W60" s="288"/>
      <c r="X60" s="286"/>
      <c r="Y60" s="289"/>
      <c r="Z60" s="289"/>
      <c r="AA60" s="290">
        <f t="shared" si="13"/>
        <v>3130</v>
      </c>
      <c r="AB60" s="291">
        <f t="shared" si="12"/>
        <v>0</v>
      </c>
      <c r="AC60" s="292">
        <f t="shared" si="15"/>
        <v>-3130</v>
      </c>
      <c r="AD60" s="293"/>
      <c r="AE60" s="293"/>
      <c r="AF60" s="294"/>
      <c r="AG60" s="291"/>
      <c r="AH60" s="295"/>
      <c r="AI60" s="291"/>
      <c r="AJ60" s="295"/>
      <c r="AK60" s="291"/>
      <c r="AL60" s="291"/>
      <c r="AM60" s="291"/>
      <c r="AN60" s="296">
        <v>35000</v>
      </c>
      <c r="AO60" s="296">
        <v>30000</v>
      </c>
      <c r="AP60" s="296"/>
      <c r="AQ60" s="296"/>
      <c r="AR60" s="296"/>
      <c r="AS60" s="296">
        <f t="shared" si="4"/>
        <v>65000</v>
      </c>
      <c r="AT60" s="297">
        <f t="shared" si="5"/>
        <v>5205920</v>
      </c>
      <c r="AU60" s="297">
        <f t="shared" si="6"/>
        <v>-59080</v>
      </c>
      <c r="AV60" s="297">
        <f t="shared" si="7"/>
        <v>459000</v>
      </c>
      <c r="AW60" s="297">
        <f t="shared" si="8"/>
        <v>199960</v>
      </c>
      <c r="AX60" s="297">
        <f t="shared" si="9"/>
        <v>179964</v>
      </c>
      <c r="AY60" s="298">
        <v>50000</v>
      </c>
      <c r="AZ60" s="298"/>
      <c r="BA60" s="297">
        <f t="shared" si="10"/>
        <v>129964</v>
      </c>
      <c r="BB60" s="278"/>
      <c r="BC60" s="255"/>
      <c r="BD60" s="255"/>
    </row>
    <row r="61" spans="1:56" s="256" customFormat="1" ht="20" hidden="1" customHeight="1">
      <c r="A61" s="260">
        <v>61</v>
      </c>
      <c r="B61" s="277">
        <v>46148</v>
      </c>
      <c r="C61" s="278" t="s">
        <v>235</v>
      </c>
      <c r="D61" s="278" t="s">
        <v>698</v>
      </c>
      <c r="E61" s="278" t="s">
        <v>705</v>
      </c>
      <c r="F61" s="278" t="s">
        <v>694</v>
      </c>
      <c r="G61" s="279"/>
      <c r="H61" s="280">
        <v>6000000</v>
      </c>
      <c r="I61" s="280">
        <v>165000</v>
      </c>
      <c r="J61" s="281">
        <f t="shared" si="14"/>
        <v>6165000</v>
      </c>
      <c r="K61" s="282" t="s">
        <v>1212</v>
      </c>
      <c r="L61" s="282" t="s">
        <v>508</v>
      </c>
      <c r="M61" s="339" t="s">
        <v>281</v>
      </c>
      <c r="N61" s="278" t="s">
        <v>689</v>
      </c>
      <c r="O61" s="278" t="s">
        <v>690</v>
      </c>
      <c r="P61" s="283" t="s">
        <v>283</v>
      </c>
      <c r="Q61" s="278" t="s">
        <v>389</v>
      </c>
      <c r="R61" s="284" t="s">
        <v>29</v>
      </c>
      <c r="S61" s="282" t="s">
        <v>1127</v>
      </c>
      <c r="T61" s="285">
        <v>3670</v>
      </c>
      <c r="U61" s="286">
        <v>1684</v>
      </c>
      <c r="V61" s="287">
        <v>1433</v>
      </c>
      <c r="W61" s="288">
        <v>1500</v>
      </c>
      <c r="X61" s="286"/>
      <c r="Y61" s="289"/>
      <c r="Z61" s="289"/>
      <c r="AA61" s="290">
        <f t="shared" si="13"/>
        <v>5170</v>
      </c>
      <c r="AB61" s="291">
        <f t="shared" si="12"/>
        <v>0</v>
      </c>
      <c r="AC61" s="292">
        <f t="shared" si="15"/>
        <v>-5170</v>
      </c>
      <c r="AD61" s="293"/>
      <c r="AE61" s="293"/>
      <c r="AF61" s="294"/>
      <c r="AG61" s="291"/>
      <c r="AH61" s="295"/>
      <c r="AI61" s="291"/>
      <c r="AJ61" s="295"/>
      <c r="AK61" s="291"/>
      <c r="AL61" s="291"/>
      <c r="AM61" s="291"/>
      <c r="AN61" s="296">
        <v>35000</v>
      </c>
      <c r="AO61" s="296">
        <v>30000</v>
      </c>
      <c r="AP61" s="296"/>
      <c r="AQ61" s="296"/>
      <c r="AR61" s="296"/>
      <c r="AS61" s="296">
        <f t="shared" si="4"/>
        <v>65000</v>
      </c>
      <c r="AT61" s="297">
        <f t="shared" si="5"/>
        <v>6115280</v>
      </c>
      <c r="AU61" s="297">
        <f t="shared" si="6"/>
        <v>-49720</v>
      </c>
      <c r="AV61" s="297">
        <f t="shared" si="7"/>
        <v>540000</v>
      </c>
      <c r="AW61" s="297">
        <f t="shared" si="8"/>
        <v>245140</v>
      </c>
      <c r="AX61" s="297">
        <f t="shared" si="9"/>
        <v>220626</v>
      </c>
      <c r="AY61" s="298">
        <v>50000</v>
      </c>
      <c r="AZ61" s="298"/>
      <c r="BA61" s="297">
        <f t="shared" si="10"/>
        <v>170626</v>
      </c>
      <c r="BB61" s="278"/>
      <c r="BC61" s="255"/>
      <c r="BD61" s="255"/>
    </row>
    <row r="62" spans="1:56" s="256" customFormat="1" ht="20" hidden="1" customHeight="1">
      <c r="A62" s="260">
        <v>62</v>
      </c>
      <c r="B62" s="277">
        <v>46148</v>
      </c>
      <c r="C62" s="278" t="s">
        <v>699</v>
      </c>
      <c r="D62" s="278" t="s">
        <v>700</v>
      </c>
      <c r="E62" s="278" t="s">
        <v>706</v>
      </c>
      <c r="F62" s="278" t="s">
        <v>694</v>
      </c>
      <c r="G62" s="279"/>
      <c r="H62" s="280">
        <v>4800000</v>
      </c>
      <c r="I62" s="280">
        <v>165000</v>
      </c>
      <c r="J62" s="281">
        <f t="shared" si="14"/>
        <v>4965000</v>
      </c>
      <c r="K62" s="282" t="s">
        <v>1212</v>
      </c>
      <c r="L62" s="282" t="s">
        <v>508</v>
      </c>
      <c r="M62" s="339" t="s">
        <v>281</v>
      </c>
      <c r="N62" s="278" t="s">
        <v>1215</v>
      </c>
      <c r="O62" s="278" t="s">
        <v>1216</v>
      </c>
      <c r="P62" s="283" t="s">
        <v>283</v>
      </c>
      <c r="Q62" s="278" t="s">
        <v>389</v>
      </c>
      <c r="R62" s="284" t="s">
        <v>29</v>
      </c>
      <c r="S62" s="282" t="s">
        <v>1127</v>
      </c>
      <c r="T62" s="285">
        <v>4200</v>
      </c>
      <c r="U62" s="286">
        <v>1684</v>
      </c>
      <c r="V62" s="287">
        <v>1433</v>
      </c>
      <c r="W62" s="288">
        <v>1400</v>
      </c>
      <c r="X62" s="286"/>
      <c r="Y62" s="289"/>
      <c r="Z62" s="289"/>
      <c r="AA62" s="290">
        <f t="shared" si="13"/>
        <v>5600</v>
      </c>
      <c r="AB62" s="291">
        <f t="shared" si="12"/>
        <v>0</v>
      </c>
      <c r="AC62" s="292">
        <f t="shared" si="15"/>
        <v>-5600</v>
      </c>
      <c r="AD62" s="293"/>
      <c r="AE62" s="293"/>
      <c r="AF62" s="294"/>
      <c r="AG62" s="291"/>
      <c r="AH62" s="295"/>
      <c r="AI62" s="291"/>
      <c r="AJ62" s="295"/>
      <c r="AK62" s="291"/>
      <c r="AL62" s="291"/>
      <c r="AM62" s="291"/>
      <c r="AN62" s="296">
        <v>35000</v>
      </c>
      <c r="AO62" s="296">
        <v>30000</v>
      </c>
      <c r="AP62" s="296"/>
      <c r="AQ62" s="296"/>
      <c r="AR62" s="296"/>
      <c r="AS62" s="296">
        <f t="shared" si="4"/>
        <v>65000</v>
      </c>
      <c r="AT62" s="297">
        <f t="shared" si="5"/>
        <v>7007800</v>
      </c>
      <c r="AU62" s="297">
        <f t="shared" si="6"/>
        <v>2042800</v>
      </c>
      <c r="AV62" s="297">
        <f t="shared" si="7"/>
        <v>432000</v>
      </c>
      <c r="AW62" s="297">
        <f t="shared" si="8"/>
        <v>1237400</v>
      </c>
      <c r="AX62" s="297">
        <f t="shared" si="9"/>
        <v>1113660</v>
      </c>
      <c r="AY62" s="298">
        <v>50000</v>
      </c>
      <c r="AZ62" s="298"/>
      <c r="BA62" s="297">
        <f t="shared" si="10"/>
        <v>1063660</v>
      </c>
      <c r="BB62" s="278"/>
      <c r="BC62" s="255"/>
      <c r="BD62" s="255"/>
    </row>
    <row r="63" spans="1:56" s="256" customFormat="1" ht="20" hidden="1" customHeight="1">
      <c r="A63" s="260">
        <v>63</v>
      </c>
      <c r="B63" s="277">
        <v>46148</v>
      </c>
      <c r="C63" s="278" t="s">
        <v>701</v>
      </c>
      <c r="D63" s="278" t="s">
        <v>702</v>
      </c>
      <c r="E63" s="278" t="s">
        <v>707</v>
      </c>
      <c r="F63" s="278" t="s">
        <v>694</v>
      </c>
      <c r="G63" s="279"/>
      <c r="H63" s="280">
        <v>3900000</v>
      </c>
      <c r="I63" s="280">
        <v>165000</v>
      </c>
      <c r="J63" s="281">
        <f t="shared" si="14"/>
        <v>4065000</v>
      </c>
      <c r="K63" s="282" t="s">
        <v>509</v>
      </c>
      <c r="L63" s="282" t="s">
        <v>508</v>
      </c>
      <c r="M63" s="339" t="s">
        <v>281</v>
      </c>
      <c r="N63" s="278" t="s">
        <v>689</v>
      </c>
      <c r="O63" s="278" t="s">
        <v>690</v>
      </c>
      <c r="P63" s="283" t="s">
        <v>283</v>
      </c>
      <c r="Q63" s="278" t="s">
        <v>389</v>
      </c>
      <c r="R63" s="284" t="s">
        <v>29</v>
      </c>
      <c r="S63" s="282" t="s">
        <v>1127</v>
      </c>
      <c r="T63" s="285">
        <v>2450</v>
      </c>
      <c r="U63" s="286">
        <v>1684</v>
      </c>
      <c r="V63" s="287">
        <v>1433</v>
      </c>
      <c r="W63" s="288"/>
      <c r="X63" s="286"/>
      <c r="Y63" s="289"/>
      <c r="Z63" s="289"/>
      <c r="AA63" s="290">
        <f t="shared" si="13"/>
        <v>2450</v>
      </c>
      <c r="AB63" s="291">
        <f t="shared" si="12"/>
        <v>0</v>
      </c>
      <c r="AC63" s="292">
        <f t="shared" si="15"/>
        <v>-2450</v>
      </c>
      <c r="AD63" s="293"/>
      <c r="AE63" s="293"/>
      <c r="AF63" s="294"/>
      <c r="AG63" s="291"/>
      <c r="AH63" s="295"/>
      <c r="AI63" s="291"/>
      <c r="AJ63" s="295"/>
      <c r="AK63" s="291"/>
      <c r="AL63" s="291"/>
      <c r="AM63" s="291"/>
      <c r="AN63" s="296">
        <v>35000</v>
      </c>
      <c r="AO63" s="296">
        <v>30000</v>
      </c>
      <c r="AP63" s="296"/>
      <c r="AQ63" s="296"/>
      <c r="AR63" s="296"/>
      <c r="AS63" s="296">
        <f t="shared" si="4"/>
        <v>65000</v>
      </c>
      <c r="AT63" s="297">
        <f t="shared" si="5"/>
        <v>4060800</v>
      </c>
      <c r="AU63" s="297">
        <f t="shared" si="6"/>
        <v>-4200</v>
      </c>
      <c r="AV63" s="297">
        <f t="shared" si="7"/>
        <v>351000</v>
      </c>
      <c r="AW63" s="297">
        <f t="shared" si="8"/>
        <v>173400</v>
      </c>
      <c r="AX63" s="297">
        <f t="shared" si="9"/>
        <v>156060</v>
      </c>
      <c r="AY63" s="298">
        <v>50000</v>
      </c>
      <c r="AZ63" s="298"/>
      <c r="BA63" s="297">
        <f t="shared" si="10"/>
        <v>106060</v>
      </c>
      <c r="BB63" s="278"/>
      <c r="BC63" s="255"/>
      <c r="BD63" s="255"/>
    </row>
    <row r="64" spans="1:56" s="256" customFormat="1" ht="20" hidden="1" customHeight="1">
      <c r="A64" s="260">
        <v>64</v>
      </c>
      <c r="B64" s="277">
        <v>46148</v>
      </c>
      <c r="C64" s="278" t="s">
        <v>259</v>
      </c>
      <c r="D64" s="278" t="s">
        <v>693</v>
      </c>
      <c r="E64" s="278" t="s">
        <v>708</v>
      </c>
      <c r="F64" s="278" t="s">
        <v>694</v>
      </c>
      <c r="G64" s="279"/>
      <c r="H64" s="280">
        <v>4050000</v>
      </c>
      <c r="I64" s="280">
        <v>165000</v>
      </c>
      <c r="J64" s="281">
        <f t="shared" si="14"/>
        <v>4215000</v>
      </c>
      <c r="K64" s="282" t="s">
        <v>1212</v>
      </c>
      <c r="L64" s="282" t="s">
        <v>508</v>
      </c>
      <c r="M64" s="339" t="s">
        <v>31</v>
      </c>
      <c r="N64" s="278" t="s">
        <v>737</v>
      </c>
      <c r="O64" s="278">
        <v>1174897090</v>
      </c>
      <c r="P64" s="283" t="s">
        <v>175</v>
      </c>
      <c r="Q64" s="278" t="s">
        <v>176</v>
      </c>
      <c r="R64" s="284" t="s">
        <v>28</v>
      </c>
      <c r="S64" s="282" t="s">
        <v>572</v>
      </c>
      <c r="T64" s="285">
        <f>4150-W64</f>
        <v>2756</v>
      </c>
      <c r="U64" s="286">
        <v>1686</v>
      </c>
      <c r="V64" s="287">
        <v>1433</v>
      </c>
      <c r="W64" s="288">
        <v>1394</v>
      </c>
      <c r="X64" s="286"/>
      <c r="Y64" s="289"/>
      <c r="Z64" s="289"/>
      <c r="AA64" s="290">
        <f t="shared" si="13"/>
        <v>4150</v>
      </c>
      <c r="AB64" s="291">
        <f t="shared" si="12"/>
        <v>0</v>
      </c>
      <c r="AC64" s="292">
        <f t="shared" si="15"/>
        <v>-4150</v>
      </c>
      <c r="AD64" s="293"/>
      <c r="AE64" s="293"/>
      <c r="AF64" s="294"/>
      <c r="AG64" s="291"/>
      <c r="AH64" s="295"/>
      <c r="AI64" s="291"/>
      <c r="AJ64" s="295"/>
      <c r="AK64" s="291"/>
      <c r="AL64" s="291"/>
      <c r="AM64" s="291"/>
      <c r="AN64" s="296">
        <v>35000</v>
      </c>
      <c r="AO64" s="296">
        <v>30000</v>
      </c>
      <c r="AP64" s="296"/>
      <c r="AQ64" s="296"/>
      <c r="AR64" s="296"/>
      <c r="AS64" s="296">
        <f t="shared" si="4"/>
        <v>65000</v>
      </c>
      <c r="AT64" s="297">
        <f t="shared" si="5"/>
        <v>4581616</v>
      </c>
      <c r="AU64" s="297">
        <f t="shared" si="6"/>
        <v>366616</v>
      </c>
      <c r="AV64" s="297">
        <f t="shared" si="7"/>
        <v>364500</v>
      </c>
      <c r="AW64" s="297">
        <f t="shared" si="8"/>
        <v>365558</v>
      </c>
      <c r="AX64" s="297">
        <f t="shared" si="9"/>
        <v>329002.2</v>
      </c>
      <c r="AY64" s="298">
        <v>50000</v>
      </c>
      <c r="AZ64" s="298"/>
      <c r="BA64" s="297">
        <f t="shared" si="10"/>
        <v>279002.2</v>
      </c>
      <c r="BB64" s="278"/>
      <c r="BC64" s="255"/>
      <c r="BD64" s="255"/>
    </row>
    <row r="65" spans="1:56" s="256" customFormat="1" ht="20" hidden="1" customHeight="1">
      <c r="A65" s="260">
        <v>65</v>
      </c>
      <c r="B65" s="277">
        <v>46150</v>
      </c>
      <c r="C65" s="278" t="s">
        <v>351</v>
      </c>
      <c r="D65" s="278" t="s">
        <v>918</v>
      </c>
      <c r="E65" s="278" t="s">
        <v>919</v>
      </c>
      <c r="F65" s="278"/>
      <c r="G65" s="279"/>
      <c r="H65" s="280">
        <v>5750000</v>
      </c>
      <c r="I65" s="280">
        <v>165000</v>
      </c>
      <c r="J65" s="281">
        <f t="shared" si="14"/>
        <v>5915000</v>
      </c>
      <c r="K65" s="282" t="s">
        <v>1212</v>
      </c>
      <c r="L65" s="282" t="s">
        <v>508</v>
      </c>
      <c r="M65" s="339" t="s">
        <v>281</v>
      </c>
      <c r="N65" s="278" t="s">
        <v>689</v>
      </c>
      <c r="O65" s="278" t="s">
        <v>690</v>
      </c>
      <c r="P65" s="283" t="s">
        <v>283</v>
      </c>
      <c r="Q65" s="278" t="s">
        <v>389</v>
      </c>
      <c r="R65" s="284" t="s">
        <v>29</v>
      </c>
      <c r="S65" s="282" t="s">
        <v>1127</v>
      </c>
      <c r="T65" s="285">
        <v>3525</v>
      </c>
      <c r="U65" s="286">
        <v>1706</v>
      </c>
      <c r="V65" s="287">
        <v>1450</v>
      </c>
      <c r="W65" s="288">
        <v>1400</v>
      </c>
      <c r="X65" s="286"/>
      <c r="Y65" s="289"/>
      <c r="Z65" s="289"/>
      <c r="AA65" s="290">
        <f t="shared" si="13"/>
        <v>4925</v>
      </c>
      <c r="AB65" s="291">
        <f t="shared" si="12"/>
        <v>0</v>
      </c>
      <c r="AC65" s="292">
        <f t="shared" si="15"/>
        <v>-4925</v>
      </c>
      <c r="AD65" s="293"/>
      <c r="AE65" s="293"/>
      <c r="AF65" s="294"/>
      <c r="AG65" s="291"/>
      <c r="AH65" s="295"/>
      <c r="AI65" s="291"/>
      <c r="AJ65" s="295"/>
      <c r="AK65" s="291"/>
      <c r="AL65" s="291"/>
      <c r="AM65" s="291"/>
      <c r="AN65" s="296">
        <v>35000</v>
      </c>
      <c r="AO65" s="296">
        <v>30000</v>
      </c>
      <c r="AP65" s="296"/>
      <c r="AQ65" s="296"/>
      <c r="AR65" s="296"/>
      <c r="AS65" s="296">
        <f t="shared" si="4"/>
        <v>65000</v>
      </c>
      <c r="AT65" s="297">
        <f t="shared" si="5"/>
        <v>5948650</v>
      </c>
      <c r="AU65" s="297">
        <f t="shared" si="6"/>
        <v>33650</v>
      </c>
      <c r="AV65" s="297">
        <f t="shared" si="7"/>
        <v>517500</v>
      </c>
      <c r="AW65" s="297">
        <f t="shared" si="8"/>
        <v>275575</v>
      </c>
      <c r="AX65" s="297">
        <f t="shared" si="9"/>
        <v>248017.5</v>
      </c>
      <c r="AY65" s="298">
        <v>50000</v>
      </c>
      <c r="AZ65" s="298"/>
      <c r="BA65" s="297">
        <f t="shared" si="10"/>
        <v>198017.5</v>
      </c>
      <c r="BB65" s="278"/>
      <c r="BC65" s="255"/>
      <c r="BD65" s="255"/>
    </row>
    <row r="66" spans="1:56" s="256" customFormat="1" ht="20" hidden="1" customHeight="1">
      <c r="A66" s="260">
        <v>66</v>
      </c>
      <c r="B66" s="277">
        <v>46150</v>
      </c>
      <c r="C66" s="278" t="s">
        <v>345</v>
      </c>
      <c r="D66" s="278" t="s">
        <v>714</v>
      </c>
      <c r="E66" s="278" t="s">
        <v>920</v>
      </c>
      <c r="F66" s="278"/>
      <c r="G66" s="279"/>
      <c r="H66" s="280">
        <v>4100000</v>
      </c>
      <c r="I66" s="280">
        <v>165000</v>
      </c>
      <c r="J66" s="281">
        <f t="shared" si="14"/>
        <v>4265000</v>
      </c>
      <c r="K66" s="282" t="s">
        <v>1212</v>
      </c>
      <c r="L66" s="282" t="s">
        <v>508</v>
      </c>
      <c r="M66" s="339" t="s">
        <v>281</v>
      </c>
      <c r="N66" s="278" t="s">
        <v>689</v>
      </c>
      <c r="O66" s="278" t="s">
        <v>690</v>
      </c>
      <c r="P66" s="283" t="s">
        <v>283</v>
      </c>
      <c r="Q66" s="278" t="s">
        <v>389</v>
      </c>
      <c r="R66" s="284" t="s">
        <v>29</v>
      </c>
      <c r="S66" s="282" t="s">
        <v>1127</v>
      </c>
      <c r="T66" s="285">
        <v>2540</v>
      </c>
      <c r="U66" s="286">
        <v>1706</v>
      </c>
      <c r="V66" s="287">
        <v>1450</v>
      </c>
      <c r="W66" s="288">
        <v>1400</v>
      </c>
      <c r="X66" s="286"/>
      <c r="Y66" s="289"/>
      <c r="Z66" s="289"/>
      <c r="AA66" s="290">
        <f t="shared" si="13"/>
        <v>3940</v>
      </c>
      <c r="AB66" s="291">
        <f t="shared" si="12"/>
        <v>0</v>
      </c>
      <c r="AC66" s="292">
        <f t="shared" si="15"/>
        <v>-3940</v>
      </c>
      <c r="AD66" s="293"/>
      <c r="AE66" s="293"/>
      <c r="AF66" s="294"/>
      <c r="AG66" s="291"/>
      <c r="AH66" s="295"/>
      <c r="AI66" s="291"/>
      <c r="AJ66" s="295"/>
      <c r="AK66" s="291"/>
      <c r="AL66" s="291"/>
      <c r="AM66" s="291"/>
      <c r="AN66" s="296">
        <v>35000</v>
      </c>
      <c r="AO66" s="296">
        <v>30000</v>
      </c>
      <c r="AP66" s="296"/>
      <c r="AQ66" s="296"/>
      <c r="AR66" s="296"/>
      <c r="AS66" s="296">
        <f t="shared" ref="AS66:AS111" si="16">SUM(AN66:AR66)</f>
        <v>65000</v>
      </c>
      <c r="AT66" s="297">
        <f t="shared" ref="AT66:AT111" si="17">SUM(AA66-W66)*U66-AS66</f>
        <v>4268240</v>
      </c>
      <c r="AU66" s="297">
        <f t="shared" ref="AU66:AU110" si="18">SUM(AT66-J66)</f>
        <v>3240</v>
      </c>
      <c r="AV66" s="297">
        <f t="shared" ref="AV66:AV110" si="19">SUM(0.09*H66)</f>
        <v>369000</v>
      </c>
      <c r="AW66" s="297">
        <f t="shared" ref="AW66:AW111" si="20">SUM(AU66:AV66)/2</f>
        <v>186120</v>
      </c>
      <c r="AX66" s="297">
        <f t="shared" ref="AX66:AX111" si="21">AW66-(AW66*10%)</f>
        <v>167508</v>
      </c>
      <c r="AY66" s="298">
        <v>50000</v>
      </c>
      <c r="AZ66" s="298"/>
      <c r="BA66" s="297">
        <f t="shared" ref="BA66:BA111" si="22">SUM(AX66-AY66-AZ66)</f>
        <v>117508</v>
      </c>
      <c r="BB66" s="278"/>
      <c r="BC66" s="255"/>
      <c r="BD66" s="255"/>
    </row>
    <row r="67" spans="1:56" s="256" customFormat="1" ht="20" hidden="1" customHeight="1">
      <c r="A67" s="260">
        <v>67</v>
      </c>
      <c r="B67" s="277">
        <v>46152</v>
      </c>
      <c r="C67" s="278" t="s">
        <v>710</v>
      </c>
      <c r="D67" s="278" t="s">
        <v>709</v>
      </c>
      <c r="E67" s="278" t="s">
        <v>921</v>
      </c>
      <c r="F67" s="278" t="s">
        <v>711</v>
      </c>
      <c r="G67" s="279" t="s">
        <v>580</v>
      </c>
      <c r="H67" s="280">
        <f>12600000-I67</f>
        <v>12160000</v>
      </c>
      <c r="I67" s="280">
        <v>440000</v>
      </c>
      <c r="J67" s="281">
        <f t="shared" si="14"/>
        <v>12600000</v>
      </c>
      <c r="K67" s="282" t="s">
        <v>1212</v>
      </c>
      <c r="L67" s="282" t="s">
        <v>508</v>
      </c>
      <c r="M67" s="339" t="s">
        <v>31</v>
      </c>
      <c r="N67" s="278" t="s">
        <v>736</v>
      </c>
      <c r="O67" s="278">
        <v>1000740353</v>
      </c>
      <c r="P67" s="283" t="s">
        <v>175</v>
      </c>
      <c r="Q67" s="278" t="s">
        <v>176</v>
      </c>
      <c r="R67" s="284" t="s">
        <v>28</v>
      </c>
      <c r="S67" s="282" t="s">
        <v>572</v>
      </c>
      <c r="T67" s="285">
        <f>8950-W67</f>
        <v>7471</v>
      </c>
      <c r="U67" s="286">
        <v>1706</v>
      </c>
      <c r="V67" s="287">
        <v>1450</v>
      </c>
      <c r="W67" s="288">
        <v>1479</v>
      </c>
      <c r="X67" s="286"/>
      <c r="Y67" s="289"/>
      <c r="Z67" s="289"/>
      <c r="AA67" s="290">
        <f t="shared" si="13"/>
        <v>8950</v>
      </c>
      <c r="AB67" s="291">
        <f t="shared" si="12"/>
        <v>0</v>
      </c>
      <c r="AC67" s="292">
        <f t="shared" si="15"/>
        <v>-8950</v>
      </c>
      <c r="AD67" s="293"/>
      <c r="AE67" s="293"/>
      <c r="AF67" s="294"/>
      <c r="AG67" s="291"/>
      <c r="AH67" s="295"/>
      <c r="AI67" s="291"/>
      <c r="AJ67" s="295"/>
      <c r="AK67" s="291"/>
      <c r="AL67" s="291"/>
      <c r="AM67" s="291"/>
      <c r="AN67" s="296">
        <v>35000</v>
      </c>
      <c r="AO67" s="296">
        <v>130000</v>
      </c>
      <c r="AP67" s="296"/>
      <c r="AQ67" s="296"/>
      <c r="AR67" s="296"/>
      <c r="AS67" s="296">
        <f t="shared" si="16"/>
        <v>165000</v>
      </c>
      <c r="AT67" s="297">
        <f t="shared" si="17"/>
        <v>12580526</v>
      </c>
      <c r="AU67" s="297">
        <f t="shared" si="18"/>
        <v>-19474</v>
      </c>
      <c r="AV67" s="297">
        <f t="shared" si="19"/>
        <v>1094400</v>
      </c>
      <c r="AW67" s="297">
        <f t="shared" si="20"/>
        <v>537463</v>
      </c>
      <c r="AX67" s="297">
        <f t="shared" si="21"/>
        <v>483716.7</v>
      </c>
      <c r="AY67" s="298">
        <v>50000</v>
      </c>
      <c r="AZ67" s="298"/>
      <c r="BA67" s="297">
        <f t="shared" si="22"/>
        <v>433716.7</v>
      </c>
      <c r="BB67" s="278"/>
      <c r="BC67" s="255"/>
      <c r="BD67" s="255"/>
    </row>
    <row r="68" spans="1:56" s="256" customFormat="1" ht="20" hidden="1" customHeight="1">
      <c r="A68" s="260">
        <v>68</v>
      </c>
      <c r="B68" s="277">
        <v>46152</v>
      </c>
      <c r="C68" s="278" t="s">
        <v>255</v>
      </c>
      <c r="D68" s="278" t="s">
        <v>712</v>
      </c>
      <c r="E68" s="278" t="s">
        <v>922</v>
      </c>
      <c r="F68" s="278" t="s">
        <v>713</v>
      </c>
      <c r="G68" s="279" t="s">
        <v>507</v>
      </c>
      <c r="H68" s="280">
        <f>11300000-I68</f>
        <v>10860000</v>
      </c>
      <c r="I68" s="280">
        <v>440000</v>
      </c>
      <c r="J68" s="281">
        <f t="shared" si="14"/>
        <v>11300000</v>
      </c>
      <c r="K68" s="282" t="s">
        <v>1212</v>
      </c>
      <c r="L68" s="282" t="s">
        <v>508</v>
      </c>
      <c r="M68" s="339" t="s">
        <v>238</v>
      </c>
      <c r="N68" s="278" t="s">
        <v>728</v>
      </c>
      <c r="O68" s="278">
        <v>810169575</v>
      </c>
      <c r="P68" s="283" t="s">
        <v>244</v>
      </c>
      <c r="Q68" s="278" t="s">
        <v>949</v>
      </c>
      <c r="R68" s="284" t="s">
        <v>28</v>
      </c>
      <c r="S68" s="336" t="s">
        <v>80</v>
      </c>
      <c r="T68" s="285">
        <f>7800-W68</f>
        <v>6406</v>
      </c>
      <c r="U68" s="286">
        <v>1706</v>
      </c>
      <c r="V68" s="287">
        <v>1450</v>
      </c>
      <c r="W68" s="288">
        <v>1394</v>
      </c>
      <c r="X68" s="286"/>
      <c r="Y68" s="289"/>
      <c r="Z68" s="289"/>
      <c r="AA68" s="290">
        <f t="shared" si="13"/>
        <v>7800</v>
      </c>
      <c r="AB68" s="291">
        <f t="shared" si="12"/>
        <v>0</v>
      </c>
      <c r="AC68" s="292">
        <f t="shared" si="15"/>
        <v>-7800</v>
      </c>
      <c r="AD68" s="293"/>
      <c r="AE68" s="293"/>
      <c r="AF68" s="294"/>
      <c r="AG68" s="291"/>
      <c r="AH68" s="295"/>
      <c r="AI68" s="291"/>
      <c r="AJ68" s="295"/>
      <c r="AK68" s="291"/>
      <c r="AL68" s="291"/>
      <c r="AM68" s="291"/>
      <c r="AN68" s="296">
        <v>35000</v>
      </c>
      <c r="AO68" s="296">
        <v>130000</v>
      </c>
      <c r="AP68" s="296"/>
      <c r="AQ68" s="296"/>
      <c r="AR68" s="296"/>
      <c r="AS68" s="296">
        <f t="shared" si="16"/>
        <v>165000</v>
      </c>
      <c r="AT68" s="297">
        <f t="shared" si="17"/>
        <v>10763636</v>
      </c>
      <c r="AU68" s="297">
        <f t="shared" si="18"/>
        <v>-536364</v>
      </c>
      <c r="AV68" s="297">
        <f t="shared" si="19"/>
        <v>977400</v>
      </c>
      <c r="AW68" s="297">
        <f t="shared" si="20"/>
        <v>220518</v>
      </c>
      <c r="AX68" s="297">
        <f t="shared" si="21"/>
        <v>198466.2</v>
      </c>
      <c r="AY68" s="298">
        <v>50000</v>
      </c>
      <c r="AZ68" s="298"/>
      <c r="BA68" s="297">
        <f t="shared" si="22"/>
        <v>148466.20000000001</v>
      </c>
      <c r="BB68" s="278"/>
      <c r="BC68" s="255"/>
      <c r="BD68" s="255"/>
    </row>
    <row r="69" spans="1:56" s="256" customFormat="1" ht="20" hidden="1" customHeight="1">
      <c r="A69" s="260">
        <v>69</v>
      </c>
      <c r="B69" s="277">
        <v>46152</v>
      </c>
      <c r="C69" s="278" t="s">
        <v>717</v>
      </c>
      <c r="D69" s="278" t="s">
        <v>715</v>
      </c>
      <c r="E69" s="278" t="s">
        <v>923</v>
      </c>
      <c r="F69" s="278" t="s">
        <v>716</v>
      </c>
      <c r="G69" s="279" t="s">
        <v>507</v>
      </c>
      <c r="H69" s="280">
        <f>16990000-I69</f>
        <v>16550000</v>
      </c>
      <c r="I69" s="280">
        <v>440000</v>
      </c>
      <c r="J69" s="281">
        <f t="shared" si="14"/>
        <v>16990000</v>
      </c>
      <c r="K69" s="282" t="s">
        <v>1212</v>
      </c>
      <c r="L69" s="282" t="s">
        <v>508</v>
      </c>
      <c r="M69" s="339" t="s">
        <v>238</v>
      </c>
      <c r="N69" s="278" t="s">
        <v>658</v>
      </c>
      <c r="O69" s="278">
        <v>810356271</v>
      </c>
      <c r="P69" s="283" t="s">
        <v>244</v>
      </c>
      <c r="Q69" s="278" t="s">
        <v>949</v>
      </c>
      <c r="R69" s="284" t="s">
        <v>28</v>
      </c>
      <c r="S69" s="299" t="s">
        <v>572</v>
      </c>
      <c r="T69" s="285">
        <f>11200-W69</f>
        <v>9806</v>
      </c>
      <c r="U69" s="286">
        <v>1706</v>
      </c>
      <c r="V69" s="287">
        <v>1450</v>
      </c>
      <c r="W69" s="288">
        <v>1394</v>
      </c>
      <c r="X69" s="286"/>
      <c r="Y69" s="289"/>
      <c r="Z69" s="289"/>
      <c r="AA69" s="290">
        <f t="shared" si="13"/>
        <v>11200</v>
      </c>
      <c r="AB69" s="291">
        <f t="shared" si="12"/>
        <v>0</v>
      </c>
      <c r="AC69" s="292">
        <f t="shared" si="15"/>
        <v>-11200</v>
      </c>
      <c r="AD69" s="293"/>
      <c r="AE69" s="293"/>
      <c r="AF69" s="294"/>
      <c r="AG69" s="291"/>
      <c r="AH69" s="295"/>
      <c r="AI69" s="291"/>
      <c r="AJ69" s="295"/>
      <c r="AK69" s="291"/>
      <c r="AL69" s="291"/>
      <c r="AM69" s="291"/>
      <c r="AN69" s="296">
        <v>35000</v>
      </c>
      <c r="AO69" s="296">
        <v>130000</v>
      </c>
      <c r="AP69" s="296"/>
      <c r="AQ69" s="296"/>
      <c r="AR69" s="296"/>
      <c r="AS69" s="296">
        <f t="shared" si="16"/>
        <v>165000</v>
      </c>
      <c r="AT69" s="297">
        <f t="shared" si="17"/>
        <v>16564036</v>
      </c>
      <c r="AU69" s="297">
        <f t="shared" si="18"/>
        <v>-425964</v>
      </c>
      <c r="AV69" s="297">
        <f t="shared" si="19"/>
        <v>1489500</v>
      </c>
      <c r="AW69" s="297">
        <f t="shared" si="20"/>
        <v>531768</v>
      </c>
      <c r="AX69" s="297">
        <f t="shared" si="21"/>
        <v>478591.2</v>
      </c>
      <c r="AY69" s="298">
        <v>50000</v>
      </c>
      <c r="AZ69" s="298"/>
      <c r="BA69" s="297">
        <f t="shared" si="22"/>
        <v>428591.2</v>
      </c>
      <c r="BB69" s="278"/>
      <c r="BC69" s="255"/>
      <c r="BD69" s="255"/>
    </row>
    <row r="70" spans="1:56" s="256" customFormat="1" ht="20" hidden="1" customHeight="1">
      <c r="A70" s="260">
        <v>70</v>
      </c>
      <c r="B70" s="277">
        <v>45787</v>
      </c>
      <c r="C70" s="278" t="s">
        <v>718</v>
      </c>
      <c r="D70" s="278" t="s">
        <v>720</v>
      </c>
      <c r="E70" s="278" t="s">
        <v>924</v>
      </c>
      <c r="F70" s="278" t="s">
        <v>721</v>
      </c>
      <c r="G70" s="279" t="s">
        <v>719</v>
      </c>
      <c r="H70" s="280">
        <f>40500000-I70</f>
        <v>40060000</v>
      </c>
      <c r="I70" s="280">
        <v>440000</v>
      </c>
      <c r="J70" s="281">
        <f t="shared" si="14"/>
        <v>40500000</v>
      </c>
      <c r="K70" s="282" t="s">
        <v>1212</v>
      </c>
      <c r="L70" s="282" t="s">
        <v>508</v>
      </c>
      <c r="M70" s="339" t="s">
        <v>52</v>
      </c>
      <c r="N70" s="278" t="s">
        <v>181</v>
      </c>
      <c r="O70" s="278">
        <v>811054999</v>
      </c>
      <c r="P70" s="283" t="s">
        <v>182</v>
      </c>
      <c r="Q70" s="278" t="s">
        <v>172</v>
      </c>
      <c r="R70" s="284" t="s">
        <v>28</v>
      </c>
      <c r="S70" s="282" t="s">
        <v>572</v>
      </c>
      <c r="T70" s="285">
        <f>24600-W70</f>
        <v>23122</v>
      </c>
      <c r="U70" s="286">
        <v>1709</v>
      </c>
      <c r="V70" s="287">
        <v>1457</v>
      </c>
      <c r="W70" s="288">
        <f>1478</f>
        <v>1478</v>
      </c>
      <c r="X70" s="286"/>
      <c r="Y70" s="289"/>
      <c r="Z70" s="289"/>
      <c r="AA70" s="290">
        <f t="shared" si="13"/>
        <v>24600</v>
      </c>
      <c r="AB70" s="291">
        <f t="shared" si="12"/>
        <v>0</v>
      </c>
      <c r="AC70" s="292">
        <f t="shared" si="15"/>
        <v>-24600</v>
      </c>
      <c r="AD70" s="293"/>
      <c r="AE70" s="293"/>
      <c r="AF70" s="294"/>
      <c r="AG70" s="291"/>
      <c r="AH70" s="295"/>
      <c r="AI70" s="291"/>
      <c r="AJ70" s="295"/>
      <c r="AK70" s="291"/>
      <c r="AL70" s="291"/>
      <c r="AM70" s="291"/>
      <c r="AN70" s="296">
        <v>35000</v>
      </c>
      <c r="AO70" s="296">
        <v>30000</v>
      </c>
      <c r="AP70" s="296"/>
      <c r="AQ70" s="296"/>
      <c r="AR70" s="296"/>
      <c r="AS70" s="296">
        <f t="shared" si="16"/>
        <v>65000</v>
      </c>
      <c r="AT70" s="297">
        <f t="shared" si="17"/>
        <v>39450498</v>
      </c>
      <c r="AU70" s="297">
        <f t="shared" si="18"/>
        <v>-1049502</v>
      </c>
      <c r="AV70" s="297">
        <f t="shared" si="19"/>
        <v>3605400</v>
      </c>
      <c r="AW70" s="297">
        <f t="shared" si="20"/>
        <v>1277949</v>
      </c>
      <c r="AX70" s="297">
        <f t="shared" si="21"/>
        <v>1150154.1000000001</v>
      </c>
      <c r="AY70" s="298">
        <v>50000</v>
      </c>
      <c r="AZ70" s="298"/>
      <c r="BA70" s="297">
        <f t="shared" si="22"/>
        <v>1100154.1000000001</v>
      </c>
      <c r="BB70" s="278"/>
      <c r="BC70" s="255"/>
      <c r="BD70" s="255"/>
    </row>
    <row r="71" spans="1:56" s="256" customFormat="1" ht="20" hidden="1" customHeight="1">
      <c r="A71" s="260">
        <v>71</v>
      </c>
      <c r="B71" s="277">
        <v>45787</v>
      </c>
      <c r="C71" s="278" t="s">
        <v>240</v>
      </c>
      <c r="D71" s="278" t="s">
        <v>722</v>
      </c>
      <c r="E71" s="278" t="s">
        <v>925</v>
      </c>
      <c r="F71" s="278" t="s">
        <v>723</v>
      </c>
      <c r="G71" s="279" t="s">
        <v>724</v>
      </c>
      <c r="H71" s="280">
        <f>22200000-I71</f>
        <v>21760000</v>
      </c>
      <c r="I71" s="280">
        <v>440000</v>
      </c>
      <c r="J71" s="281">
        <f t="shared" si="14"/>
        <v>22200000</v>
      </c>
      <c r="K71" s="282" t="s">
        <v>1212</v>
      </c>
      <c r="L71" s="282" t="s">
        <v>508</v>
      </c>
      <c r="M71" s="339" t="s">
        <v>51</v>
      </c>
      <c r="N71" s="278" t="s">
        <v>725</v>
      </c>
      <c r="O71" s="278">
        <v>1277626</v>
      </c>
      <c r="P71" s="283" t="s">
        <v>726</v>
      </c>
      <c r="Q71" s="278" t="s">
        <v>727</v>
      </c>
      <c r="R71" s="284" t="s">
        <v>28</v>
      </c>
      <c r="S71" s="334" t="s">
        <v>1155</v>
      </c>
      <c r="T71" s="285">
        <f>14050-W71</f>
        <v>12571</v>
      </c>
      <c r="U71" s="286">
        <v>1706</v>
      </c>
      <c r="V71" s="287">
        <v>1450</v>
      </c>
      <c r="W71" s="288">
        <v>1479</v>
      </c>
      <c r="X71" s="286"/>
      <c r="Y71" s="289"/>
      <c r="Z71" s="289"/>
      <c r="AA71" s="290">
        <f t="shared" si="13"/>
        <v>14050</v>
      </c>
      <c r="AB71" s="291">
        <f t="shared" si="12"/>
        <v>0</v>
      </c>
      <c r="AC71" s="292">
        <f t="shared" si="15"/>
        <v>-14050</v>
      </c>
      <c r="AD71" s="293"/>
      <c r="AE71" s="293"/>
      <c r="AF71" s="294"/>
      <c r="AG71" s="291"/>
      <c r="AH71" s="295"/>
      <c r="AI71" s="291"/>
      <c r="AJ71" s="295"/>
      <c r="AK71" s="291"/>
      <c r="AL71" s="291"/>
      <c r="AM71" s="291"/>
      <c r="AN71" s="296">
        <v>35000</v>
      </c>
      <c r="AO71" s="296">
        <v>30000</v>
      </c>
      <c r="AP71" s="296"/>
      <c r="AQ71" s="296"/>
      <c r="AR71" s="296"/>
      <c r="AS71" s="296">
        <f t="shared" si="16"/>
        <v>65000</v>
      </c>
      <c r="AT71" s="297">
        <f t="shared" si="17"/>
        <v>21381126</v>
      </c>
      <c r="AU71" s="297">
        <f t="shared" si="18"/>
        <v>-818874</v>
      </c>
      <c r="AV71" s="297">
        <f t="shared" si="19"/>
        <v>1958400</v>
      </c>
      <c r="AW71" s="297">
        <f t="shared" si="20"/>
        <v>569763</v>
      </c>
      <c r="AX71" s="297">
        <f t="shared" si="21"/>
        <v>512786.7</v>
      </c>
      <c r="AY71" s="298">
        <v>50000</v>
      </c>
      <c r="AZ71" s="298"/>
      <c r="BA71" s="297">
        <f t="shared" si="22"/>
        <v>462786.7</v>
      </c>
      <c r="BB71" s="278"/>
      <c r="BC71" s="255"/>
      <c r="BD71" s="255"/>
    </row>
    <row r="72" spans="1:56" s="256" customFormat="1" ht="20" hidden="1" customHeight="1">
      <c r="A72" s="260">
        <v>72</v>
      </c>
      <c r="B72" s="277">
        <v>45788</v>
      </c>
      <c r="C72" s="278" t="s">
        <v>255</v>
      </c>
      <c r="D72" s="278" t="s">
        <v>729</v>
      </c>
      <c r="E72" s="278" t="s">
        <v>926</v>
      </c>
      <c r="F72" s="278" t="s">
        <v>730</v>
      </c>
      <c r="G72" s="279" t="s">
        <v>507</v>
      </c>
      <c r="H72" s="280">
        <f>10400000-I72</f>
        <v>9960000</v>
      </c>
      <c r="I72" s="280">
        <v>440000</v>
      </c>
      <c r="J72" s="281">
        <f t="shared" si="14"/>
        <v>10400000</v>
      </c>
      <c r="K72" s="282" t="s">
        <v>1212</v>
      </c>
      <c r="L72" s="282" t="s">
        <v>508</v>
      </c>
      <c r="M72" s="339" t="s">
        <v>238</v>
      </c>
      <c r="N72" s="278" t="s">
        <v>658</v>
      </c>
      <c r="O72" s="278">
        <v>810356271</v>
      </c>
      <c r="P72" s="283" t="s">
        <v>244</v>
      </c>
      <c r="Q72" s="278" t="s">
        <v>949</v>
      </c>
      <c r="R72" s="284" t="s">
        <v>28</v>
      </c>
      <c r="S72" s="336" t="s">
        <v>1155</v>
      </c>
      <c r="T72" s="285">
        <f>7400-W72</f>
        <v>6006</v>
      </c>
      <c r="U72" s="286">
        <v>1705</v>
      </c>
      <c r="V72" s="287">
        <v>1450</v>
      </c>
      <c r="W72" s="288">
        <v>1394</v>
      </c>
      <c r="X72" s="286"/>
      <c r="Y72" s="289"/>
      <c r="Z72" s="289"/>
      <c r="AA72" s="290">
        <f t="shared" si="13"/>
        <v>7400</v>
      </c>
      <c r="AB72" s="291">
        <f t="shared" si="12"/>
        <v>0</v>
      </c>
      <c r="AC72" s="292">
        <f t="shared" si="15"/>
        <v>-7400</v>
      </c>
      <c r="AD72" s="293"/>
      <c r="AE72" s="293"/>
      <c r="AF72" s="294"/>
      <c r="AG72" s="291"/>
      <c r="AH72" s="295"/>
      <c r="AI72" s="291"/>
      <c r="AJ72" s="295"/>
      <c r="AK72" s="291"/>
      <c r="AL72" s="291"/>
      <c r="AM72" s="291"/>
      <c r="AN72" s="296">
        <v>35000</v>
      </c>
      <c r="AO72" s="296">
        <v>30000</v>
      </c>
      <c r="AP72" s="296"/>
      <c r="AQ72" s="296"/>
      <c r="AR72" s="296"/>
      <c r="AS72" s="296">
        <f t="shared" si="16"/>
        <v>65000</v>
      </c>
      <c r="AT72" s="297">
        <f t="shared" si="17"/>
        <v>10175230</v>
      </c>
      <c r="AU72" s="297">
        <f t="shared" si="18"/>
        <v>-224770</v>
      </c>
      <c r="AV72" s="297">
        <f t="shared" si="19"/>
        <v>896400</v>
      </c>
      <c r="AW72" s="297">
        <f t="shared" si="20"/>
        <v>335815</v>
      </c>
      <c r="AX72" s="297">
        <f t="shared" si="21"/>
        <v>302233.5</v>
      </c>
      <c r="AY72" s="298">
        <v>50000</v>
      </c>
      <c r="AZ72" s="298"/>
      <c r="BA72" s="297">
        <f t="shared" si="22"/>
        <v>252233.5</v>
      </c>
      <c r="BB72" s="278"/>
      <c r="BC72" s="255"/>
      <c r="BD72" s="255"/>
    </row>
    <row r="73" spans="1:56" s="256" customFormat="1" ht="20" hidden="1" customHeight="1">
      <c r="A73" s="260">
        <v>73</v>
      </c>
      <c r="B73" s="277">
        <v>45789</v>
      </c>
      <c r="C73" s="278" t="s">
        <v>732</v>
      </c>
      <c r="D73" s="278" t="s">
        <v>733</v>
      </c>
      <c r="E73" s="278" t="s">
        <v>927</v>
      </c>
      <c r="F73" s="278" t="s">
        <v>731</v>
      </c>
      <c r="G73" s="279"/>
      <c r="H73" s="280">
        <v>4860000</v>
      </c>
      <c r="I73" s="280">
        <v>165000</v>
      </c>
      <c r="J73" s="281">
        <f t="shared" si="14"/>
        <v>5025000</v>
      </c>
      <c r="K73" s="282" t="s">
        <v>1212</v>
      </c>
      <c r="L73" s="282" t="s">
        <v>508</v>
      </c>
      <c r="M73" s="339" t="s">
        <v>31</v>
      </c>
      <c r="N73" s="278" t="s">
        <v>954</v>
      </c>
      <c r="O73" s="278">
        <v>1174897090</v>
      </c>
      <c r="P73" s="283" t="s">
        <v>175</v>
      </c>
      <c r="Q73" s="278" t="s">
        <v>176</v>
      </c>
      <c r="R73" s="284" t="s">
        <v>28</v>
      </c>
      <c r="S73" s="282" t="s">
        <v>572</v>
      </c>
      <c r="T73" s="285">
        <f>5450-W73</f>
        <v>4055</v>
      </c>
      <c r="U73" s="286">
        <v>1705</v>
      </c>
      <c r="V73" s="287">
        <v>1450</v>
      </c>
      <c r="W73" s="288">
        <v>1395</v>
      </c>
      <c r="X73" s="286"/>
      <c r="Y73" s="289"/>
      <c r="Z73" s="289"/>
      <c r="AA73" s="290">
        <f t="shared" si="13"/>
        <v>5450</v>
      </c>
      <c r="AB73" s="291">
        <f t="shared" si="12"/>
        <v>0</v>
      </c>
      <c r="AC73" s="292">
        <f t="shared" si="15"/>
        <v>-5450</v>
      </c>
      <c r="AD73" s="293"/>
      <c r="AE73" s="293"/>
      <c r="AF73" s="294"/>
      <c r="AG73" s="291"/>
      <c r="AH73" s="295"/>
      <c r="AI73" s="291"/>
      <c r="AJ73" s="295"/>
      <c r="AK73" s="291"/>
      <c r="AL73" s="291"/>
      <c r="AM73" s="291"/>
      <c r="AN73" s="296">
        <v>35000</v>
      </c>
      <c r="AO73" s="296">
        <v>30000</v>
      </c>
      <c r="AP73" s="296"/>
      <c r="AQ73" s="296"/>
      <c r="AR73" s="296"/>
      <c r="AS73" s="296">
        <f t="shared" si="16"/>
        <v>65000</v>
      </c>
      <c r="AT73" s="297">
        <f t="shared" si="17"/>
        <v>6848775</v>
      </c>
      <c r="AU73" s="297">
        <f t="shared" si="18"/>
        <v>1823775</v>
      </c>
      <c r="AV73" s="297">
        <f t="shared" si="19"/>
        <v>437400</v>
      </c>
      <c r="AW73" s="297">
        <f t="shared" si="20"/>
        <v>1130587.5</v>
      </c>
      <c r="AX73" s="297">
        <f t="shared" si="21"/>
        <v>1017528.75</v>
      </c>
      <c r="AY73" s="298">
        <v>50000</v>
      </c>
      <c r="AZ73" s="298"/>
      <c r="BA73" s="297">
        <f t="shared" si="22"/>
        <v>967528.75</v>
      </c>
      <c r="BB73" s="278"/>
      <c r="BC73" s="255"/>
      <c r="BD73" s="255"/>
    </row>
    <row r="74" spans="1:56" s="256" customFormat="1" ht="20" hidden="1" customHeight="1">
      <c r="A74" s="260">
        <v>74</v>
      </c>
      <c r="B74" s="277">
        <v>46155</v>
      </c>
      <c r="C74" s="278" t="s">
        <v>224</v>
      </c>
      <c r="D74" s="278" t="s">
        <v>928</v>
      </c>
      <c r="E74" s="278" t="s">
        <v>929</v>
      </c>
      <c r="F74" s="278" t="s">
        <v>738</v>
      </c>
      <c r="G74" s="279"/>
      <c r="H74" s="280">
        <v>5300000</v>
      </c>
      <c r="I74" s="280">
        <v>165000</v>
      </c>
      <c r="J74" s="281">
        <f t="shared" si="14"/>
        <v>5465000</v>
      </c>
      <c r="K74" s="282" t="s">
        <v>1212</v>
      </c>
      <c r="L74" s="282" t="s">
        <v>508</v>
      </c>
      <c r="M74" s="339" t="s">
        <v>281</v>
      </c>
      <c r="N74" s="278" t="s">
        <v>689</v>
      </c>
      <c r="O74" s="278" t="s">
        <v>690</v>
      </c>
      <c r="P74" s="283" t="s">
        <v>283</v>
      </c>
      <c r="Q74" s="278" t="s">
        <v>389</v>
      </c>
      <c r="R74" s="284" t="s">
        <v>29</v>
      </c>
      <c r="S74" s="282" t="s">
        <v>1127</v>
      </c>
      <c r="T74" s="285">
        <v>3370</v>
      </c>
      <c r="U74" s="286">
        <v>1728</v>
      </c>
      <c r="V74" s="287">
        <v>1485</v>
      </c>
      <c r="W74" s="288"/>
      <c r="X74" s="286"/>
      <c r="Y74" s="289"/>
      <c r="Z74" s="289"/>
      <c r="AA74" s="290">
        <f t="shared" si="13"/>
        <v>3370</v>
      </c>
      <c r="AB74" s="291">
        <f t="shared" si="12"/>
        <v>0</v>
      </c>
      <c r="AC74" s="292">
        <f t="shared" si="15"/>
        <v>-3370</v>
      </c>
      <c r="AD74" s="293"/>
      <c r="AE74" s="293"/>
      <c r="AF74" s="294"/>
      <c r="AG74" s="291"/>
      <c r="AH74" s="295"/>
      <c r="AI74" s="291"/>
      <c r="AJ74" s="295"/>
      <c r="AK74" s="291"/>
      <c r="AL74" s="291"/>
      <c r="AM74" s="291"/>
      <c r="AN74" s="296">
        <v>35000</v>
      </c>
      <c r="AO74" s="296">
        <v>30000</v>
      </c>
      <c r="AP74" s="296"/>
      <c r="AQ74" s="296"/>
      <c r="AR74" s="296"/>
      <c r="AS74" s="296">
        <f t="shared" si="16"/>
        <v>65000</v>
      </c>
      <c r="AT74" s="297">
        <f t="shared" si="17"/>
        <v>5758360</v>
      </c>
      <c r="AU74" s="297">
        <f t="shared" si="18"/>
        <v>293360</v>
      </c>
      <c r="AV74" s="297">
        <f t="shared" si="19"/>
        <v>477000</v>
      </c>
      <c r="AW74" s="297">
        <f t="shared" si="20"/>
        <v>385180</v>
      </c>
      <c r="AX74" s="297">
        <f t="shared" si="21"/>
        <v>346662</v>
      </c>
      <c r="AY74" s="298">
        <v>50000</v>
      </c>
      <c r="AZ74" s="298"/>
      <c r="BA74" s="297">
        <f t="shared" si="22"/>
        <v>296662</v>
      </c>
      <c r="BB74" s="278"/>
      <c r="BC74" s="255"/>
      <c r="BD74" s="255"/>
    </row>
    <row r="75" spans="1:56" s="256" customFormat="1" ht="20" hidden="1" customHeight="1">
      <c r="A75" s="260">
        <v>75</v>
      </c>
      <c r="B75" s="277">
        <v>46157</v>
      </c>
      <c r="C75" s="278" t="s">
        <v>378</v>
      </c>
      <c r="D75" s="278" t="s">
        <v>740</v>
      </c>
      <c r="E75" s="278" t="s">
        <v>739</v>
      </c>
      <c r="F75" s="278" t="s">
        <v>731</v>
      </c>
      <c r="G75" s="279"/>
      <c r="H75" s="280">
        <v>4020000</v>
      </c>
      <c r="I75" s="280">
        <v>165000</v>
      </c>
      <c r="J75" s="281">
        <f t="shared" si="14"/>
        <v>4185000</v>
      </c>
      <c r="K75" s="282" t="s">
        <v>1212</v>
      </c>
      <c r="L75" s="282" t="s">
        <v>508</v>
      </c>
      <c r="M75" s="339" t="s">
        <v>281</v>
      </c>
      <c r="N75" s="278" t="s">
        <v>689</v>
      </c>
      <c r="O75" s="278" t="s">
        <v>690</v>
      </c>
      <c r="P75" s="283" t="s">
        <v>283</v>
      </c>
      <c r="Q75" s="278" t="s">
        <v>389</v>
      </c>
      <c r="R75" s="284" t="s">
        <v>29</v>
      </c>
      <c r="S75" s="282" t="s">
        <v>1127</v>
      </c>
      <c r="T75" s="285">
        <v>2500</v>
      </c>
      <c r="U75" s="286">
        <v>1728</v>
      </c>
      <c r="V75" s="287">
        <v>1485</v>
      </c>
      <c r="W75" s="288"/>
      <c r="X75" s="286"/>
      <c r="Y75" s="289"/>
      <c r="Z75" s="289"/>
      <c r="AA75" s="290">
        <f t="shared" si="13"/>
        <v>2500</v>
      </c>
      <c r="AB75" s="291">
        <f t="shared" si="12"/>
        <v>0</v>
      </c>
      <c r="AC75" s="292">
        <f t="shared" si="15"/>
        <v>-2500</v>
      </c>
      <c r="AD75" s="293"/>
      <c r="AE75" s="293"/>
      <c r="AF75" s="294"/>
      <c r="AG75" s="291"/>
      <c r="AH75" s="295"/>
      <c r="AI75" s="291"/>
      <c r="AJ75" s="295"/>
      <c r="AK75" s="291"/>
      <c r="AL75" s="291"/>
      <c r="AM75" s="291"/>
      <c r="AN75" s="296">
        <v>35000</v>
      </c>
      <c r="AO75" s="296">
        <v>30000</v>
      </c>
      <c r="AP75" s="296"/>
      <c r="AQ75" s="296"/>
      <c r="AR75" s="296"/>
      <c r="AS75" s="296">
        <f t="shared" si="16"/>
        <v>65000</v>
      </c>
      <c r="AT75" s="297">
        <f t="shared" si="17"/>
        <v>4255000</v>
      </c>
      <c r="AU75" s="297">
        <f t="shared" si="18"/>
        <v>70000</v>
      </c>
      <c r="AV75" s="297">
        <f t="shared" si="19"/>
        <v>361800</v>
      </c>
      <c r="AW75" s="297">
        <f t="shared" si="20"/>
        <v>215900</v>
      </c>
      <c r="AX75" s="297">
        <f t="shared" si="21"/>
        <v>194310</v>
      </c>
      <c r="AY75" s="298">
        <v>50000</v>
      </c>
      <c r="AZ75" s="298"/>
      <c r="BA75" s="297">
        <f t="shared" si="22"/>
        <v>144310</v>
      </c>
      <c r="BB75" s="278"/>
      <c r="BC75" s="255"/>
      <c r="BD75" s="255"/>
    </row>
    <row r="76" spans="1:56" s="256" customFormat="1" ht="20" hidden="1" customHeight="1">
      <c r="A76" s="260">
        <v>76</v>
      </c>
      <c r="B76" s="277">
        <v>46157</v>
      </c>
      <c r="C76" s="278" t="s">
        <v>458</v>
      </c>
      <c r="D76" s="278" t="s">
        <v>742</v>
      </c>
      <c r="E76" s="278" t="s">
        <v>741</v>
      </c>
      <c r="F76" s="278" t="s">
        <v>731</v>
      </c>
      <c r="G76" s="279"/>
      <c r="H76" s="280">
        <v>3680000</v>
      </c>
      <c r="I76" s="280">
        <v>165000</v>
      </c>
      <c r="J76" s="281">
        <f t="shared" si="14"/>
        <v>3845000</v>
      </c>
      <c r="K76" s="282" t="s">
        <v>509</v>
      </c>
      <c r="L76" s="282" t="s">
        <v>508</v>
      </c>
      <c r="M76" s="339" t="s">
        <v>281</v>
      </c>
      <c r="N76" s="278" t="s">
        <v>689</v>
      </c>
      <c r="O76" s="278" t="s">
        <v>690</v>
      </c>
      <c r="P76" s="283" t="s">
        <v>283</v>
      </c>
      <c r="Q76" s="278" t="s">
        <v>389</v>
      </c>
      <c r="R76" s="284" t="s">
        <v>29</v>
      </c>
      <c r="S76" s="282" t="s">
        <v>1127</v>
      </c>
      <c r="T76" s="285">
        <v>2300</v>
      </c>
      <c r="U76" s="286">
        <v>1728</v>
      </c>
      <c r="V76" s="287">
        <v>1485</v>
      </c>
      <c r="W76" s="288"/>
      <c r="X76" s="286"/>
      <c r="Y76" s="289"/>
      <c r="Z76" s="289"/>
      <c r="AA76" s="290">
        <f t="shared" si="13"/>
        <v>2300</v>
      </c>
      <c r="AB76" s="291">
        <f t="shared" si="12"/>
        <v>0</v>
      </c>
      <c r="AC76" s="292">
        <f t="shared" si="15"/>
        <v>-2300</v>
      </c>
      <c r="AD76" s="293"/>
      <c r="AE76" s="293"/>
      <c r="AF76" s="294"/>
      <c r="AG76" s="291"/>
      <c r="AH76" s="295"/>
      <c r="AI76" s="291"/>
      <c r="AJ76" s="295"/>
      <c r="AK76" s="291"/>
      <c r="AL76" s="291"/>
      <c r="AM76" s="291"/>
      <c r="AN76" s="296">
        <v>35000</v>
      </c>
      <c r="AO76" s="296">
        <v>30000</v>
      </c>
      <c r="AP76" s="296"/>
      <c r="AQ76" s="296"/>
      <c r="AR76" s="296"/>
      <c r="AS76" s="296">
        <f t="shared" si="16"/>
        <v>65000</v>
      </c>
      <c r="AT76" s="297">
        <f t="shared" si="17"/>
        <v>3909400</v>
      </c>
      <c r="AU76" s="297">
        <f t="shared" si="18"/>
        <v>64400</v>
      </c>
      <c r="AV76" s="297">
        <f t="shared" si="19"/>
        <v>331200</v>
      </c>
      <c r="AW76" s="297">
        <f t="shared" si="20"/>
        <v>197800</v>
      </c>
      <c r="AX76" s="297">
        <f t="shared" si="21"/>
        <v>178020</v>
      </c>
      <c r="AY76" s="298">
        <v>50000</v>
      </c>
      <c r="AZ76" s="298"/>
      <c r="BA76" s="297">
        <f t="shared" si="22"/>
        <v>128020</v>
      </c>
      <c r="BB76" s="278"/>
      <c r="BC76" s="255"/>
      <c r="BD76" s="255"/>
    </row>
    <row r="77" spans="1:56" s="256" customFormat="1" ht="20" hidden="1" customHeight="1">
      <c r="A77" s="260">
        <v>77</v>
      </c>
      <c r="B77" s="277">
        <v>46157</v>
      </c>
      <c r="C77" s="278" t="s">
        <v>224</v>
      </c>
      <c r="D77" s="278" t="s">
        <v>744</v>
      </c>
      <c r="E77" s="278" t="s">
        <v>743</v>
      </c>
      <c r="F77" s="278" t="s">
        <v>731</v>
      </c>
      <c r="G77" s="279"/>
      <c r="H77" s="280">
        <v>4630000</v>
      </c>
      <c r="I77" s="280">
        <v>165000</v>
      </c>
      <c r="J77" s="281">
        <f t="shared" si="14"/>
        <v>4795000</v>
      </c>
      <c r="K77" s="282" t="s">
        <v>1212</v>
      </c>
      <c r="L77" s="282" t="s">
        <v>508</v>
      </c>
      <c r="M77" s="339" t="s">
        <v>281</v>
      </c>
      <c r="N77" s="278" t="s">
        <v>1114</v>
      </c>
      <c r="O77" s="278" t="s">
        <v>1115</v>
      </c>
      <c r="P77" s="283" t="s">
        <v>283</v>
      </c>
      <c r="Q77" s="278" t="s">
        <v>389</v>
      </c>
      <c r="R77" s="284" t="s">
        <v>29</v>
      </c>
      <c r="S77" s="282" t="s">
        <v>1127</v>
      </c>
      <c r="T77" s="285">
        <v>2860</v>
      </c>
      <c r="U77" s="286">
        <v>1728</v>
      </c>
      <c r="V77" s="287">
        <v>1485</v>
      </c>
      <c r="W77" s="288"/>
      <c r="X77" s="286"/>
      <c r="Y77" s="289"/>
      <c r="Z77" s="289"/>
      <c r="AA77" s="290">
        <f t="shared" si="13"/>
        <v>2860</v>
      </c>
      <c r="AB77" s="291">
        <f t="shared" si="12"/>
        <v>0</v>
      </c>
      <c r="AC77" s="292">
        <f t="shared" si="15"/>
        <v>-2860</v>
      </c>
      <c r="AD77" s="293"/>
      <c r="AE77" s="293"/>
      <c r="AF77" s="294"/>
      <c r="AG77" s="291"/>
      <c r="AH77" s="295"/>
      <c r="AI77" s="291"/>
      <c r="AJ77" s="295"/>
      <c r="AK77" s="291"/>
      <c r="AL77" s="291"/>
      <c r="AM77" s="291"/>
      <c r="AN77" s="296">
        <v>35000</v>
      </c>
      <c r="AO77" s="296">
        <v>30000</v>
      </c>
      <c r="AP77" s="296"/>
      <c r="AQ77" s="296"/>
      <c r="AR77" s="296"/>
      <c r="AS77" s="296">
        <f t="shared" si="16"/>
        <v>65000</v>
      </c>
      <c r="AT77" s="297">
        <f t="shared" si="17"/>
        <v>4877080</v>
      </c>
      <c r="AU77" s="297">
        <f t="shared" si="18"/>
        <v>82080</v>
      </c>
      <c r="AV77" s="297">
        <f t="shared" si="19"/>
        <v>416700</v>
      </c>
      <c r="AW77" s="297">
        <f t="shared" si="20"/>
        <v>249390</v>
      </c>
      <c r="AX77" s="297">
        <f t="shared" si="21"/>
        <v>224451</v>
      </c>
      <c r="AY77" s="298">
        <v>50000</v>
      </c>
      <c r="AZ77" s="298"/>
      <c r="BA77" s="297">
        <f t="shared" si="22"/>
        <v>174451</v>
      </c>
      <c r="BB77" s="278"/>
      <c r="BC77" s="255"/>
      <c r="BD77" s="255"/>
    </row>
    <row r="78" spans="1:56" s="256" customFormat="1" ht="20" hidden="1" customHeight="1">
      <c r="A78" s="260">
        <v>78</v>
      </c>
      <c r="B78" s="277">
        <v>46157</v>
      </c>
      <c r="C78" s="333" t="s">
        <v>752</v>
      </c>
      <c r="D78" s="278" t="s">
        <v>753</v>
      </c>
      <c r="E78" s="278" t="s">
        <v>754</v>
      </c>
      <c r="F78" s="278"/>
      <c r="G78" s="279" t="s">
        <v>760</v>
      </c>
      <c r="H78" s="280">
        <v>17730000</v>
      </c>
      <c r="I78" s="280">
        <v>0</v>
      </c>
      <c r="J78" s="281">
        <v>17730000</v>
      </c>
      <c r="K78" s="282" t="s">
        <v>509</v>
      </c>
      <c r="L78" s="282" t="s">
        <v>508</v>
      </c>
      <c r="M78" s="339" t="s">
        <v>464</v>
      </c>
      <c r="N78" s="278" t="s">
        <v>761</v>
      </c>
      <c r="O78" s="278">
        <v>9202114449</v>
      </c>
      <c r="P78" s="283" t="s">
        <v>391</v>
      </c>
      <c r="Q78" s="278" t="s">
        <v>948</v>
      </c>
      <c r="R78" s="284" t="s">
        <v>937</v>
      </c>
      <c r="S78" s="334" t="s">
        <v>1155</v>
      </c>
      <c r="T78" s="285">
        <v>10300</v>
      </c>
      <c r="U78" s="286">
        <v>1728</v>
      </c>
      <c r="V78" s="287">
        <v>1485</v>
      </c>
      <c r="W78" s="288"/>
      <c r="X78" s="286" t="s">
        <v>1220</v>
      </c>
      <c r="Y78" s="289"/>
      <c r="Z78" s="289"/>
      <c r="AA78" s="290">
        <f t="shared" si="13"/>
        <v>10300</v>
      </c>
      <c r="AB78" s="291">
        <f t="shared" si="12"/>
        <v>0</v>
      </c>
      <c r="AC78" s="292">
        <f t="shared" si="15"/>
        <v>-10300</v>
      </c>
      <c r="AD78" s="293"/>
      <c r="AE78" s="293"/>
      <c r="AF78" s="294"/>
      <c r="AG78" s="291"/>
      <c r="AH78" s="295"/>
      <c r="AI78" s="291"/>
      <c r="AJ78" s="295"/>
      <c r="AK78" s="291"/>
      <c r="AL78" s="291"/>
      <c r="AM78" s="291"/>
      <c r="AN78" s="296">
        <v>35000</v>
      </c>
      <c r="AO78" s="296">
        <v>30000</v>
      </c>
      <c r="AP78" s="296"/>
      <c r="AQ78" s="296"/>
      <c r="AR78" s="296"/>
      <c r="AS78" s="296">
        <f t="shared" si="16"/>
        <v>65000</v>
      </c>
      <c r="AT78" s="297">
        <f t="shared" si="17"/>
        <v>17733400</v>
      </c>
      <c r="AU78" s="297">
        <f t="shared" si="18"/>
        <v>3400</v>
      </c>
      <c r="AV78" s="297">
        <f t="shared" si="19"/>
        <v>1595700</v>
      </c>
      <c r="AW78" s="297">
        <f t="shared" si="20"/>
        <v>799550</v>
      </c>
      <c r="AX78" s="297">
        <f t="shared" si="21"/>
        <v>719595</v>
      </c>
      <c r="AY78" s="298">
        <v>50000</v>
      </c>
      <c r="AZ78" s="298"/>
      <c r="BA78" s="297">
        <f t="shared" si="22"/>
        <v>669595</v>
      </c>
      <c r="BB78" s="278"/>
      <c r="BC78" s="255"/>
      <c r="BD78" s="255"/>
    </row>
    <row r="79" spans="1:56" s="256" customFormat="1" ht="20" customHeight="1">
      <c r="A79" s="260">
        <v>79</v>
      </c>
      <c r="B79" s="277">
        <v>46157</v>
      </c>
      <c r="C79" s="278" t="s">
        <v>371</v>
      </c>
      <c r="D79" s="278" t="s">
        <v>755</v>
      </c>
      <c r="E79" s="278" t="s">
        <v>756</v>
      </c>
      <c r="F79" s="278" t="s">
        <v>757</v>
      </c>
      <c r="G79" s="279" t="s">
        <v>759</v>
      </c>
      <c r="H79" s="280">
        <v>19040000</v>
      </c>
      <c r="I79" s="280">
        <v>0</v>
      </c>
      <c r="J79" s="281">
        <f t="shared" si="14"/>
        <v>19040000</v>
      </c>
      <c r="K79" s="282" t="s">
        <v>1212</v>
      </c>
      <c r="L79" s="282" t="s">
        <v>508</v>
      </c>
      <c r="M79" s="339" t="s">
        <v>758</v>
      </c>
      <c r="N79" s="278" t="s">
        <v>758</v>
      </c>
      <c r="O79" s="278">
        <v>812073807</v>
      </c>
      <c r="P79" s="283" t="s">
        <v>768</v>
      </c>
      <c r="Q79" s="278" t="s">
        <v>767</v>
      </c>
      <c r="R79" s="284" t="s">
        <v>28</v>
      </c>
      <c r="S79" s="337" t="s">
        <v>1224</v>
      </c>
      <c r="T79" s="285">
        <v>10640</v>
      </c>
      <c r="U79" s="286">
        <v>1728</v>
      </c>
      <c r="V79" s="287">
        <v>1485</v>
      </c>
      <c r="W79" s="288">
        <v>1410</v>
      </c>
      <c r="X79" s="286"/>
      <c r="Y79" s="289"/>
      <c r="Z79" s="289"/>
      <c r="AA79" s="290">
        <f t="shared" si="13"/>
        <v>12050</v>
      </c>
      <c r="AB79" s="291">
        <f t="shared" si="12"/>
        <v>0</v>
      </c>
      <c r="AC79" s="292">
        <f t="shared" si="15"/>
        <v>-12050</v>
      </c>
      <c r="AD79" s="293"/>
      <c r="AE79" s="293"/>
      <c r="AF79" s="294"/>
      <c r="AG79" s="291"/>
      <c r="AH79" s="295"/>
      <c r="AI79" s="291"/>
      <c r="AJ79" s="295"/>
      <c r="AK79" s="291"/>
      <c r="AL79" s="291"/>
      <c r="AM79" s="291"/>
      <c r="AN79" s="296">
        <v>35000</v>
      </c>
      <c r="AO79" s="296">
        <v>30000</v>
      </c>
      <c r="AP79" s="296"/>
      <c r="AQ79" s="296"/>
      <c r="AR79" s="296"/>
      <c r="AS79" s="296">
        <f t="shared" si="16"/>
        <v>65000</v>
      </c>
      <c r="AT79" s="297">
        <f t="shared" si="17"/>
        <v>18320920</v>
      </c>
      <c r="AU79" s="297">
        <f t="shared" si="18"/>
        <v>-719080</v>
      </c>
      <c r="AV79" s="297">
        <f t="shared" si="19"/>
        <v>1713600</v>
      </c>
      <c r="AW79" s="297">
        <f t="shared" si="20"/>
        <v>497260</v>
      </c>
      <c r="AX79" s="297">
        <f t="shared" si="21"/>
        <v>447534</v>
      </c>
      <c r="AY79" s="298">
        <v>50000</v>
      </c>
      <c r="AZ79" s="298"/>
      <c r="BA79" s="297">
        <f t="shared" si="22"/>
        <v>397534</v>
      </c>
      <c r="BB79" s="278"/>
      <c r="BC79" s="255"/>
      <c r="BD79" s="255"/>
    </row>
    <row r="80" spans="1:56" s="256" customFormat="1" ht="20" customHeight="1">
      <c r="A80" s="260">
        <v>80</v>
      </c>
      <c r="B80" s="277">
        <v>46162</v>
      </c>
      <c r="C80" s="278" t="s">
        <v>762</v>
      </c>
      <c r="D80" s="278" t="s">
        <v>763</v>
      </c>
      <c r="E80" s="278" t="s">
        <v>764</v>
      </c>
      <c r="F80" s="278" t="s">
        <v>765</v>
      </c>
      <c r="G80" s="279" t="s">
        <v>766</v>
      </c>
      <c r="H80" s="280">
        <v>8140000</v>
      </c>
      <c r="I80" s="280">
        <v>0</v>
      </c>
      <c r="J80" s="281">
        <f t="shared" si="14"/>
        <v>8140000</v>
      </c>
      <c r="K80" s="282" t="s">
        <v>1212</v>
      </c>
      <c r="L80" s="282" t="s">
        <v>508</v>
      </c>
      <c r="M80" s="339" t="s">
        <v>758</v>
      </c>
      <c r="N80" s="278" t="s">
        <v>758</v>
      </c>
      <c r="O80" s="278">
        <v>812073807</v>
      </c>
      <c r="P80" s="283" t="s">
        <v>768</v>
      </c>
      <c r="Q80" s="278" t="s">
        <v>767</v>
      </c>
      <c r="R80" s="284" t="s">
        <v>28</v>
      </c>
      <c r="S80" s="337" t="s">
        <v>1224</v>
      </c>
      <c r="T80" s="285">
        <v>4735</v>
      </c>
      <c r="U80" s="286">
        <v>1730</v>
      </c>
      <c r="V80" s="287">
        <v>1490</v>
      </c>
      <c r="W80" s="288">
        <v>1410</v>
      </c>
      <c r="X80" s="286"/>
      <c r="Y80" s="289"/>
      <c r="Z80" s="289"/>
      <c r="AA80" s="290">
        <f t="shared" si="13"/>
        <v>6145</v>
      </c>
      <c r="AB80" s="291">
        <f t="shared" si="12"/>
        <v>0</v>
      </c>
      <c r="AC80" s="292">
        <f t="shared" si="15"/>
        <v>-6145</v>
      </c>
      <c r="AD80" s="293"/>
      <c r="AE80" s="293"/>
      <c r="AF80" s="294"/>
      <c r="AG80" s="291"/>
      <c r="AH80" s="295"/>
      <c r="AI80" s="291"/>
      <c r="AJ80" s="295"/>
      <c r="AK80" s="291"/>
      <c r="AL80" s="291"/>
      <c r="AM80" s="291"/>
      <c r="AN80" s="296">
        <v>35000</v>
      </c>
      <c r="AO80" s="296">
        <v>30000</v>
      </c>
      <c r="AP80" s="296"/>
      <c r="AQ80" s="296"/>
      <c r="AR80" s="296"/>
      <c r="AS80" s="296">
        <f t="shared" si="16"/>
        <v>65000</v>
      </c>
      <c r="AT80" s="297">
        <f t="shared" si="17"/>
        <v>8126550</v>
      </c>
      <c r="AU80" s="297">
        <f t="shared" si="18"/>
        <v>-13450</v>
      </c>
      <c r="AV80" s="297">
        <f t="shared" si="19"/>
        <v>732600</v>
      </c>
      <c r="AW80" s="297">
        <f t="shared" si="20"/>
        <v>359575</v>
      </c>
      <c r="AX80" s="297">
        <f t="shared" si="21"/>
        <v>323617.5</v>
      </c>
      <c r="AY80" s="298">
        <v>50000</v>
      </c>
      <c r="AZ80" s="298"/>
      <c r="BA80" s="297">
        <f t="shared" si="22"/>
        <v>273617.5</v>
      </c>
      <c r="BB80" s="278"/>
      <c r="BC80" s="255"/>
      <c r="BD80" s="255"/>
    </row>
    <row r="81" spans="1:56" s="256" customFormat="1" ht="20" customHeight="1">
      <c r="A81" s="260">
        <v>81</v>
      </c>
      <c r="B81" s="277">
        <v>46162</v>
      </c>
      <c r="C81" s="278" t="s">
        <v>400</v>
      </c>
      <c r="D81" s="278" t="s">
        <v>773</v>
      </c>
      <c r="E81" s="278" t="s">
        <v>774</v>
      </c>
      <c r="F81" s="278" t="s">
        <v>775</v>
      </c>
      <c r="G81" s="279" t="s">
        <v>776</v>
      </c>
      <c r="H81" s="280">
        <v>36900000</v>
      </c>
      <c r="I81" s="280">
        <v>0</v>
      </c>
      <c r="J81" s="281">
        <f t="shared" si="14"/>
        <v>36900000</v>
      </c>
      <c r="K81" s="282" t="s">
        <v>1212</v>
      </c>
      <c r="L81" s="282" t="s">
        <v>508</v>
      </c>
      <c r="M81" s="339" t="s">
        <v>758</v>
      </c>
      <c r="N81" s="278" t="s">
        <v>758</v>
      </c>
      <c r="O81" s="278">
        <v>812073807</v>
      </c>
      <c r="P81" s="283" t="s">
        <v>768</v>
      </c>
      <c r="Q81" s="278" t="s">
        <v>767</v>
      </c>
      <c r="R81" s="284" t="s">
        <v>28</v>
      </c>
      <c r="S81" s="337" t="s">
        <v>1224</v>
      </c>
      <c r="T81" s="285">
        <v>20345</v>
      </c>
      <c r="U81" s="286">
        <v>1730</v>
      </c>
      <c r="V81" s="287">
        <v>1490</v>
      </c>
      <c r="W81" s="288">
        <v>1500</v>
      </c>
      <c r="X81" s="286"/>
      <c r="Y81" s="289"/>
      <c r="Z81" s="289"/>
      <c r="AA81" s="290">
        <f t="shared" si="13"/>
        <v>21845</v>
      </c>
      <c r="AB81" s="291">
        <f t="shared" si="12"/>
        <v>0</v>
      </c>
      <c r="AC81" s="292">
        <f t="shared" si="15"/>
        <v>-21845</v>
      </c>
      <c r="AD81" s="293"/>
      <c r="AE81" s="293"/>
      <c r="AF81" s="294"/>
      <c r="AG81" s="291"/>
      <c r="AH81" s="295"/>
      <c r="AI81" s="291"/>
      <c r="AJ81" s="295"/>
      <c r="AK81" s="291"/>
      <c r="AL81" s="291"/>
      <c r="AM81" s="291"/>
      <c r="AN81" s="296">
        <v>35000</v>
      </c>
      <c r="AO81" s="296">
        <v>30000</v>
      </c>
      <c r="AP81" s="296"/>
      <c r="AQ81" s="296"/>
      <c r="AR81" s="296"/>
      <c r="AS81" s="296">
        <f t="shared" si="16"/>
        <v>65000</v>
      </c>
      <c r="AT81" s="297">
        <f t="shared" si="17"/>
        <v>35131850</v>
      </c>
      <c r="AU81" s="297">
        <f t="shared" si="18"/>
        <v>-1768150</v>
      </c>
      <c r="AV81" s="297">
        <f t="shared" si="19"/>
        <v>3321000</v>
      </c>
      <c r="AW81" s="297">
        <f t="shared" si="20"/>
        <v>776425</v>
      </c>
      <c r="AX81" s="297">
        <f t="shared" si="21"/>
        <v>698782.5</v>
      </c>
      <c r="AY81" s="298">
        <v>50000</v>
      </c>
      <c r="AZ81" s="298"/>
      <c r="BA81" s="297">
        <f t="shared" si="22"/>
        <v>648782.5</v>
      </c>
      <c r="BB81" s="278"/>
      <c r="BC81" s="255"/>
      <c r="BD81" s="255"/>
    </row>
    <row r="82" spans="1:56" s="256" customFormat="1" ht="20" customHeight="1">
      <c r="A82" s="260">
        <v>82</v>
      </c>
      <c r="B82" s="277">
        <v>46162</v>
      </c>
      <c r="C82" s="278" t="s">
        <v>769</v>
      </c>
      <c r="D82" s="278" t="s">
        <v>770</v>
      </c>
      <c r="E82" s="278" t="s">
        <v>771</v>
      </c>
      <c r="F82" s="278" t="s">
        <v>772</v>
      </c>
      <c r="G82" s="279" t="s">
        <v>766</v>
      </c>
      <c r="H82" s="280">
        <v>5200000</v>
      </c>
      <c r="I82" s="280">
        <v>0</v>
      </c>
      <c r="J82" s="281">
        <f t="shared" si="14"/>
        <v>5200000</v>
      </c>
      <c r="K82" s="282" t="s">
        <v>1212</v>
      </c>
      <c r="L82" s="282" t="s">
        <v>508</v>
      </c>
      <c r="M82" s="339" t="s">
        <v>758</v>
      </c>
      <c r="N82" s="278" t="s">
        <v>758</v>
      </c>
      <c r="O82" s="278">
        <v>812073807</v>
      </c>
      <c r="P82" s="283" t="s">
        <v>768</v>
      </c>
      <c r="Q82" s="278" t="s">
        <v>767</v>
      </c>
      <c r="R82" s="284" t="s">
        <v>28</v>
      </c>
      <c r="S82" s="337" t="s">
        <v>1224</v>
      </c>
      <c r="T82" s="285">
        <v>2630</v>
      </c>
      <c r="U82" s="286">
        <v>1730</v>
      </c>
      <c r="V82" s="287">
        <v>1490</v>
      </c>
      <c r="W82" s="288">
        <v>1410</v>
      </c>
      <c r="X82" s="286"/>
      <c r="Y82" s="289"/>
      <c r="Z82" s="289"/>
      <c r="AA82" s="290">
        <f t="shared" si="13"/>
        <v>4040</v>
      </c>
      <c r="AB82" s="291">
        <f t="shared" si="12"/>
        <v>0</v>
      </c>
      <c r="AC82" s="292">
        <f t="shared" si="15"/>
        <v>-4040</v>
      </c>
      <c r="AD82" s="293"/>
      <c r="AE82" s="293"/>
      <c r="AF82" s="294"/>
      <c r="AG82" s="291"/>
      <c r="AH82" s="295"/>
      <c r="AI82" s="291"/>
      <c r="AJ82" s="295"/>
      <c r="AK82" s="291"/>
      <c r="AL82" s="291"/>
      <c r="AM82" s="291"/>
      <c r="AN82" s="296">
        <v>35000</v>
      </c>
      <c r="AO82" s="296">
        <v>30000</v>
      </c>
      <c r="AP82" s="296"/>
      <c r="AQ82" s="296"/>
      <c r="AR82" s="296"/>
      <c r="AS82" s="296">
        <f t="shared" si="16"/>
        <v>65000</v>
      </c>
      <c r="AT82" s="297">
        <f t="shared" si="17"/>
        <v>4484900</v>
      </c>
      <c r="AU82" s="297">
        <f t="shared" si="18"/>
        <v>-715100</v>
      </c>
      <c r="AV82" s="297">
        <f t="shared" si="19"/>
        <v>468000</v>
      </c>
      <c r="AW82" s="297">
        <f t="shared" si="20"/>
        <v>-123550</v>
      </c>
      <c r="AX82" s="297">
        <f t="shared" si="21"/>
        <v>-111195</v>
      </c>
      <c r="AY82" s="298">
        <v>50000</v>
      </c>
      <c r="AZ82" s="298"/>
      <c r="BA82" s="297">
        <f t="shared" si="22"/>
        <v>-161195</v>
      </c>
      <c r="BB82" s="278"/>
      <c r="BC82" s="255"/>
      <c r="BD82" s="255"/>
    </row>
    <row r="83" spans="1:56" s="256" customFormat="1" ht="20" customHeight="1">
      <c r="A83" s="260">
        <v>83</v>
      </c>
      <c r="B83" s="277">
        <v>46162</v>
      </c>
      <c r="C83" s="278" t="s">
        <v>848</v>
      </c>
      <c r="D83" s="278" t="s">
        <v>780</v>
      </c>
      <c r="E83" s="278" t="s">
        <v>781</v>
      </c>
      <c r="F83" s="278" t="s">
        <v>782</v>
      </c>
      <c r="G83" s="279" t="s">
        <v>766</v>
      </c>
      <c r="H83" s="280">
        <v>27040000</v>
      </c>
      <c r="I83" s="280">
        <v>0</v>
      </c>
      <c r="J83" s="281">
        <f t="shared" si="14"/>
        <v>27040000</v>
      </c>
      <c r="K83" s="282" t="s">
        <v>1212</v>
      </c>
      <c r="L83" s="282" t="s">
        <v>508</v>
      </c>
      <c r="M83" s="339" t="s">
        <v>758</v>
      </c>
      <c r="N83" s="278" t="s">
        <v>758</v>
      </c>
      <c r="O83" s="278">
        <v>812073807</v>
      </c>
      <c r="P83" s="283" t="s">
        <v>768</v>
      </c>
      <c r="Q83" s="278" t="s">
        <v>767</v>
      </c>
      <c r="R83" s="284" t="s">
        <v>28</v>
      </c>
      <c r="S83" s="337" t="s">
        <v>1224</v>
      </c>
      <c r="T83" s="285" t="s">
        <v>1223</v>
      </c>
      <c r="U83" s="286">
        <v>1730</v>
      </c>
      <c r="V83" s="287">
        <v>1490</v>
      </c>
      <c r="W83" s="288">
        <v>1410</v>
      </c>
      <c r="X83" s="286"/>
      <c r="Y83" s="289"/>
      <c r="Z83" s="289"/>
      <c r="AA83" s="290">
        <f t="shared" si="13"/>
        <v>1410</v>
      </c>
      <c r="AB83" s="291">
        <f t="shared" si="12"/>
        <v>0</v>
      </c>
      <c r="AC83" s="292">
        <f t="shared" si="15"/>
        <v>-1410</v>
      </c>
      <c r="AD83" s="293"/>
      <c r="AE83" s="293"/>
      <c r="AF83" s="294"/>
      <c r="AG83" s="291"/>
      <c r="AH83" s="295"/>
      <c r="AI83" s="291"/>
      <c r="AJ83" s="295"/>
      <c r="AK83" s="291"/>
      <c r="AL83" s="291"/>
      <c r="AM83" s="291"/>
      <c r="AN83" s="296">
        <v>35000</v>
      </c>
      <c r="AO83" s="296">
        <v>30000</v>
      </c>
      <c r="AP83" s="296"/>
      <c r="AQ83" s="296"/>
      <c r="AR83" s="296"/>
      <c r="AS83" s="296">
        <f t="shared" si="16"/>
        <v>65000</v>
      </c>
      <c r="AT83" s="297">
        <f t="shared" si="17"/>
        <v>-65000</v>
      </c>
      <c r="AU83" s="297">
        <f t="shared" si="18"/>
        <v>-27105000</v>
      </c>
      <c r="AV83" s="297">
        <f t="shared" si="19"/>
        <v>2433600</v>
      </c>
      <c r="AW83" s="297">
        <f t="shared" si="20"/>
        <v>-12335700</v>
      </c>
      <c r="AX83" s="297">
        <f t="shared" si="21"/>
        <v>-11102130</v>
      </c>
      <c r="AY83" s="298">
        <v>50000</v>
      </c>
      <c r="AZ83" s="298"/>
      <c r="BA83" s="297">
        <f t="shared" si="22"/>
        <v>-11152130</v>
      </c>
      <c r="BB83" s="278"/>
      <c r="BC83" s="255"/>
      <c r="BD83" s="255"/>
    </row>
    <row r="84" spans="1:56" s="256" customFormat="1" ht="20" hidden="1" customHeight="1">
      <c r="A84" s="260">
        <v>84</v>
      </c>
      <c r="B84" s="277">
        <v>46162</v>
      </c>
      <c r="C84" s="278" t="s">
        <v>259</v>
      </c>
      <c r="D84" s="278" t="s">
        <v>777</v>
      </c>
      <c r="E84" s="278" t="s">
        <v>778</v>
      </c>
      <c r="F84" s="278" t="s">
        <v>779</v>
      </c>
      <c r="G84" s="279" t="s">
        <v>766</v>
      </c>
      <c r="H84" s="280">
        <v>6630000</v>
      </c>
      <c r="I84" s="280">
        <v>0</v>
      </c>
      <c r="J84" s="281">
        <f t="shared" si="14"/>
        <v>6630000</v>
      </c>
      <c r="K84" s="282" t="s">
        <v>1212</v>
      </c>
      <c r="L84" s="282" t="s">
        <v>508</v>
      </c>
      <c r="M84" s="339" t="s">
        <v>31</v>
      </c>
      <c r="N84" s="278" t="s">
        <v>867</v>
      </c>
      <c r="O84" s="278">
        <v>812408145</v>
      </c>
      <c r="P84" s="283" t="s">
        <v>175</v>
      </c>
      <c r="Q84" s="278" t="s">
        <v>176</v>
      </c>
      <c r="R84" s="284" t="s">
        <v>28</v>
      </c>
      <c r="S84" s="282"/>
      <c r="T84" s="285">
        <v>3930</v>
      </c>
      <c r="U84" s="286">
        <v>1730</v>
      </c>
      <c r="V84" s="287">
        <v>1490</v>
      </c>
      <c r="W84" s="288">
        <v>1410</v>
      </c>
      <c r="X84" s="286"/>
      <c r="Y84" s="289"/>
      <c r="Z84" s="289"/>
      <c r="AA84" s="290">
        <f t="shared" si="13"/>
        <v>5340</v>
      </c>
      <c r="AB84" s="291">
        <f t="shared" si="12"/>
        <v>0</v>
      </c>
      <c r="AC84" s="292">
        <f t="shared" si="15"/>
        <v>-5340</v>
      </c>
      <c r="AD84" s="293"/>
      <c r="AE84" s="293"/>
      <c r="AF84" s="294"/>
      <c r="AG84" s="291"/>
      <c r="AH84" s="295"/>
      <c r="AI84" s="291"/>
      <c r="AJ84" s="295"/>
      <c r="AK84" s="291"/>
      <c r="AL84" s="291"/>
      <c r="AM84" s="291"/>
      <c r="AN84" s="296">
        <v>35000</v>
      </c>
      <c r="AO84" s="296">
        <v>30000</v>
      </c>
      <c r="AP84" s="296"/>
      <c r="AQ84" s="296"/>
      <c r="AR84" s="296"/>
      <c r="AS84" s="296">
        <f t="shared" si="16"/>
        <v>65000</v>
      </c>
      <c r="AT84" s="297">
        <f t="shared" si="17"/>
        <v>6733900</v>
      </c>
      <c r="AU84" s="297">
        <f t="shared" si="18"/>
        <v>103900</v>
      </c>
      <c r="AV84" s="297">
        <f t="shared" si="19"/>
        <v>596700</v>
      </c>
      <c r="AW84" s="297">
        <f t="shared" si="20"/>
        <v>350300</v>
      </c>
      <c r="AX84" s="297">
        <f t="shared" si="21"/>
        <v>315270</v>
      </c>
      <c r="AY84" s="298">
        <v>50000</v>
      </c>
      <c r="AZ84" s="298"/>
      <c r="BA84" s="297">
        <f t="shared" si="22"/>
        <v>265270</v>
      </c>
      <c r="BB84" s="278"/>
      <c r="BC84" s="255"/>
      <c r="BD84" s="255"/>
    </row>
    <row r="85" spans="1:56" s="256" customFormat="1" ht="20" hidden="1" customHeight="1">
      <c r="A85" s="260">
        <v>85</v>
      </c>
      <c r="B85" s="277">
        <v>46163</v>
      </c>
      <c r="C85" s="278" t="s">
        <v>373</v>
      </c>
      <c r="D85" s="278" t="s">
        <v>783</v>
      </c>
      <c r="E85" s="278" t="s">
        <v>784</v>
      </c>
      <c r="F85" s="278" t="s">
        <v>785</v>
      </c>
      <c r="G85" s="279" t="s">
        <v>776</v>
      </c>
      <c r="H85" s="280">
        <v>25700000</v>
      </c>
      <c r="I85" s="280">
        <v>0</v>
      </c>
      <c r="J85" s="281">
        <f t="shared" si="14"/>
        <v>25700000</v>
      </c>
      <c r="K85" s="282" t="s">
        <v>1212</v>
      </c>
      <c r="L85" s="282" t="s">
        <v>508</v>
      </c>
      <c r="M85" s="339" t="s">
        <v>464</v>
      </c>
      <c r="N85" s="278" t="s">
        <v>786</v>
      </c>
      <c r="O85" s="278">
        <v>8009244506</v>
      </c>
      <c r="P85" s="283" t="s">
        <v>391</v>
      </c>
      <c r="Q85" s="278" t="s">
        <v>787</v>
      </c>
      <c r="R85" s="284" t="s">
        <v>937</v>
      </c>
      <c r="S85" s="334" t="s">
        <v>1155</v>
      </c>
      <c r="T85" s="285">
        <v>14800</v>
      </c>
      <c r="U85" s="286">
        <v>1730</v>
      </c>
      <c r="V85" s="287">
        <v>1492</v>
      </c>
      <c r="W85" s="288"/>
      <c r="X85" s="286" t="s">
        <v>1217</v>
      </c>
      <c r="Y85" s="289"/>
      <c r="Z85" s="289"/>
      <c r="AA85" s="290">
        <f t="shared" si="13"/>
        <v>14800</v>
      </c>
      <c r="AB85" s="291">
        <f t="shared" si="12"/>
        <v>0</v>
      </c>
      <c r="AC85" s="292">
        <f t="shared" si="15"/>
        <v>-14800</v>
      </c>
      <c r="AD85" s="293"/>
      <c r="AE85" s="293"/>
      <c r="AF85" s="294"/>
      <c r="AG85" s="291"/>
      <c r="AH85" s="295"/>
      <c r="AI85" s="291"/>
      <c r="AJ85" s="295"/>
      <c r="AK85" s="291"/>
      <c r="AL85" s="291"/>
      <c r="AM85" s="291"/>
      <c r="AN85" s="296">
        <v>35000</v>
      </c>
      <c r="AO85" s="296">
        <v>30000</v>
      </c>
      <c r="AP85" s="296"/>
      <c r="AQ85" s="296"/>
      <c r="AR85" s="296"/>
      <c r="AS85" s="296">
        <f t="shared" si="16"/>
        <v>65000</v>
      </c>
      <c r="AT85" s="297">
        <f t="shared" si="17"/>
        <v>25539000</v>
      </c>
      <c r="AU85" s="297">
        <f t="shared" si="18"/>
        <v>-161000</v>
      </c>
      <c r="AV85" s="297">
        <f t="shared" si="19"/>
        <v>2313000</v>
      </c>
      <c r="AW85" s="297">
        <f t="shared" si="20"/>
        <v>1076000</v>
      </c>
      <c r="AX85" s="297">
        <f t="shared" si="21"/>
        <v>968400</v>
      </c>
      <c r="AY85" s="298">
        <v>50000</v>
      </c>
      <c r="AZ85" s="298"/>
      <c r="BA85" s="297">
        <f t="shared" si="22"/>
        <v>918400</v>
      </c>
      <c r="BB85" s="278"/>
      <c r="BC85" s="255"/>
      <c r="BD85" s="255"/>
    </row>
    <row r="86" spans="1:56" s="256" customFormat="1" ht="20" hidden="1" customHeight="1">
      <c r="A86" s="260">
        <v>86</v>
      </c>
      <c r="B86" s="277">
        <v>46162</v>
      </c>
      <c r="C86" s="278" t="s">
        <v>240</v>
      </c>
      <c r="D86" s="278" t="s">
        <v>789</v>
      </c>
      <c r="E86" s="278" t="s">
        <v>788</v>
      </c>
      <c r="F86" s="278" t="s">
        <v>738</v>
      </c>
      <c r="G86" s="279"/>
      <c r="H86" s="280">
        <v>6600000</v>
      </c>
      <c r="I86" s="280">
        <v>170610</v>
      </c>
      <c r="J86" s="281">
        <f t="shared" si="14"/>
        <v>6770610</v>
      </c>
      <c r="K86" s="282" t="s">
        <v>1212</v>
      </c>
      <c r="L86" s="282" t="s">
        <v>508</v>
      </c>
      <c r="M86" s="339" t="s">
        <v>238</v>
      </c>
      <c r="N86" s="278" t="s">
        <v>647</v>
      </c>
      <c r="O86" s="278">
        <v>812398693</v>
      </c>
      <c r="P86" s="283" t="s">
        <v>648</v>
      </c>
      <c r="Q86" s="278" t="s">
        <v>949</v>
      </c>
      <c r="R86" s="284" t="s">
        <v>28</v>
      </c>
      <c r="S86" s="336" t="s">
        <v>1155</v>
      </c>
      <c r="T86" s="285">
        <v>4140</v>
      </c>
      <c r="U86" s="286">
        <v>1730</v>
      </c>
      <c r="V86" s="287">
        <v>1492</v>
      </c>
      <c r="W86" s="288">
        <v>1500</v>
      </c>
      <c r="X86" s="286"/>
      <c r="Y86" s="289"/>
      <c r="Z86" s="289"/>
      <c r="AA86" s="290">
        <f t="shared" si="13"/>
        <v>5640</v>
      </c>
      <c r="AB86" s="291">
        <f t="shared" si="12"/>
        <v>0</v>
      </c>
      <c r="AC86" s="292">
        <f t="shared" si="15"/>
        <v>-5640</v>
      </c>
      <c r="AD86" s="293"/>
      <c r="AE86" s="293"/>
      <c r="AF86" s="294"/>
      <c r="AG86" s="291"/>
      <c r="AH86" s="295"/>
      <c r="AI86" s="291"/>
      <c r="AJ86" s="295"/>
      <c r="AK86" s="291"/>
      <c r="AL86" s="291"/>
      <c r="AM86" s="291"/>
      <c r="AN86" s="296">
        <v>35000</v>
      </c>
      <c r="AO86" s="296">
        <v>30000</v>
      </c>
      <c r="AP86" s="296"/>
      <c r="AQ86" s="296"/>
      <c r="AR86" s="296"/>
      <c r="AS86" s="296">
        <f t="shared" si="16"/>
        <v>65000</v>
      </c>
      <c r="AT86" s="297">
        <f t="shared" si="17"/>
        <v>7097200</v>
      </c>
      <c r="AU86" s="297">
        <f t="shared" si="18"/>
        <v>326590</v>
      </c>
      <c r="AV86" s="297">
        <f t="shared" si="19"/>
        <v>594000</v>
      </c>
      <c r="AW86" s="297">
        <f t="shared" si="20"/>
        <v>460295</v>
      </c>
      <c r="AX86" s="297">
        <f t="shared" si="21"/>
        <v>414265.5</v>
      </c>
      <c r="AY86" s="298">
        <v>50000</v>
      </c>
      <c r="AZ86" s="298"/>
      <c r="BA86" s="297">
        <f t="shared" si="22"/>
        <v>364265.5</v>
      </c>
      <c r="BB86" s="278"/>
      <c r="BC86" s="255"/>
      <c r="BD86" s="255"/>
    </row>
    <row r="87" spans="1:56" s="256" customFormat="1" ht="20" hidden="1" customHeight="1">
      <c r="A87" s="260">
        <v>87</v>
      </c>
      <c r="B87" s="277">
        <v>46168</v>
      </c>
      <c r="C87" s="278" t="s">
        <v>752</v>
      </c>
      <c r="D87" s="278" t="s">
        <v>790</v>
      </c>
      <c r="E87" s="278" t="s">
        <v>791</v>
      </c>
      <c r="F87" s="278" t="s">
        <v>792</v>
      </c>
      <c r="G87" s="279" t="s">
        <v>760</v>
      </c>
      <c r="H87" s="280">
        <v>18800000</v>
      </c>
      <c r="I87" s="280">
        <v>440000</v>
      </c>
      <c r="J87" s="281">
        <f t="shared" si="14"/>
        <v>19240000</v>
      </c>
      <c r="K87" s="282" t="s">
        <v>1212</v>
      </c>
      <c r="L87" s="282" t="s">
        <v>508</v>
      </c>
      <c r="M87" s="339" t="s">
        <v>464</v>
      </c>
      <c r="N87" s="278" t="s">
        <v>793</v>
      </c>
      <c r="O87" s="278" t="s">
        <v>794</v>
      </c>
      <c r="P87" s="283" t="s">
        <v>391</v>
      </c>
      <c r="Q87" s="278" t="s">
        <v>795</v>
      </c>
      <c r="R87" s="284" t="s">
        <v>937</v>
      </c>
      <c r="S87" s="334" t="s">
        <v>1155</v>
      </c>
      <c r="T87" s="285">
        <v>10850</v>
      </c>
      <c r="U87" s="286">
        <v>1730</v>
      </c>
      <c r="V87" s="287">
        <v>1487</v>
      </c>
      <c r="W87" s="288"/>
      <c r="X87" s="286" t="s">
        <v>1217</v>
      </c>
      <c r="Y87" s="289"/>
      <c r="Z87" s="289"/>
      <c r="AA87" s="290">
        <v>10850</v>
      </c>
      <c r="AB87" s="291">
        <f t="shared" si="12"/>
        <v>0</v>
      </c>
      <c r="AC87" s="292">
        <f t="shared" si="15"/>
        <v>-10850</v>
      </c>
      <c r="AD87" s="293"/>
      <c r="AE87" s="293"/>
      <c r="AF87" s="294"/>
      <c r="AG87" s="291"/>
      <c r="AH87" s="295"/>
      <c r="AI87" s="291"/>
      <c r="AJ87" s="295"/>
      <c r="AK87" s="291"/>
      <c r="AL87" s="291"/>
      <c r="AM87" s="291"/>
      <c r="AN87" s="296">
        <v>35000</v>
      </c>
      <c r="AO87" s="296">
        <v>30000</v>
      </c>
      <c r="AP87" s="296"/>
      <c r="AQ87" s="296"/>
      <c r="AR87" s="296"/>
      <c r="AS87" s="296">
        <f t="shared" si="16"/>
        <v>65000</v>
      </c>
      <c r="AT87" s="297">
        <f t="shared" si="17"/>
        <v>18705500</v>
      </c>
      <c r="AU87" s="297">
        <f t="shared" si="18"/>
        <v>-534500</v>
      </c>
      <c r="AV87" s="297">
        <f t="shared" si="19"/>
        <v>1692000</v>
      </c>
      <c r="AW87" s="297">
        <f t="shared" si="20"/>
        <v>578750</v>
      </c>
      <c r="AX87" s="297">
        <f t="shared" si="21"/>
        <v>520875</v>
      </c>
      <c r="AY87" s="298">
        <v>50000</v>
      </c>
      <c r="AZ87" s="298"/>
      <c r="BA87" s="297">
        <f t="shared" si="22"/>
        <v>470875</v>
      </c>
      <c r="BB87" s="278"/>
      <c r="BC87" s="255"/>
      <c r="BD87" s="255"/>
    </row>
    <row r="88" spans="1:56" s="256" customFormat="1" ht="20" hidden="1" customHeight="1">
      <c r="A88" s="260">
        <v>88</v>
      </c>
      <c r="B88" s="277">
        <v>46168</v>
      </c>
      <c r="C88" s="278" t="s">
        <v>796</v>
      </c>
      <c r="D88" s="278" t="s">
        <v>797</v>
      </c>
      <c r="E88" s="278" t="s">
        <v>798</v>
      </c>
      <c r="F88" s="278" t="s">
        <v>799</v>
      </c>
      <c r="G88" s="279" t="s">
        <v>760</v>
      </c>
      <c r="H88" s="280">
        <v>26340000</v>
      </c>
      <c r="I88" s="280">
        <v>0</v>
      </c>
      <c r="J88" s="281">
        <f t="shared" si="14"/>
        <v>26340000</v>
      </c>
      <c r="K88" s="282" t="s">
        <v>1212</v>
      </c>
      <c r="L88" s="282" t="s">
        <v>508</v>
      </c>
      <c r="M88" s="339" t="s">
        <v>464</v>
      </c>
      <c r="N88" s="278" t="s">
        <v>800</v>
      </c>
      <c r="O88" s="278" t="s">
        <v>801</v>
      </c>
      <c r="P88" s="283" t="s">
        <v>391</v>
      </c>
      <c r="Q88" s="278" t="s">
        <v>802</v>
      </c>
      <c r="R88" s="284" t="s">
        <v>937</v>
      </c>
      <c r="S88" s="334" t="s">
        <v>1155</v>
      </c>
      <c r="T88" s="285">
        <v>14900</v>
      </c>
      <c r="U88" s="286">
        <v>1730</v>
      </c>
      <c r="V88" s="287">
        <v>1487</v>
      </c>
      <c r="W88" s="288"/>
      <c r="X88" s="286" t="s">
        <v>1217</v>
      </c>
      <c r="Y88" s="289"/>
      <c r="Z88" s="289"/>
      <c r="AA88" s="290">
        <v>14900</v>
      </c>
      <c r="AB88" s="291">
        <f t="shared" si="12"/>
        <v>0</v>
      </c>
      <c r="AC88" s="292">
        <f t="shared" si="15"/>
        <v>-14900</v>
      </c>
      <c r="AD88" s="293"/>
      <c r="AE88" s="293"/>
      <c r="AF88" s="294"/>
      <c r="AG88" s="291"/>
      <c r="AH88" s="295"/>
      <c r="AI88" s="291"/>
      <c r="AJ88" s="295"/>
      <c r="AK88" s="291"/>
      <c r="AL88" s="291"/>
      <c r="AM88" s="291"/>
      <c r="AN88" s="296">
        <v>35000</v>
      </c>
      <c r="AO88" s="296">
        <v>30000</v>
      </c>
      <c r="AP88" s="296"/>
      <c r="AQ88" s="296"/>
      <c r="AR88" s="296"/>
      <c r="AS88" s="296">
        <f t="shared" si="16"/>
        <v>65000</v>
      </c>
      <c r="AT88" s="297">
        <f t="shared" si="17"/>
        <v>25712000</v>
      </c>
      <c r="AU88" s="297">
        <f t="shared" si="18"/>
        <v>-628000</v>
      </c>
      <c r="AV88" s="297">
        <f t="shared" si="19"/>
        <v>2370600</v>
      </c>
      <c r="AW88" s="297">
        <f t="shared" si="20"/>
        <v>871300</v>
      </c>
      <c r="AX88" s="297">
        <f t="shared" si="21"/>
        <v>784170</v>
      </c>
      <c r="AY88" s="298">
        <v>50000</v>
      </c>
      <c r="AZ88" s="298"/>
      <c r="BA88" s="297">
        <f t="shared" si="22"/>
        <v>734170</v>
      </c>
      <c r="BB88" s="278"/>
      <c r="BC88" s="255"/>
      <c r="BD88" s="255"/>
    </row>
    <row r="89" spans="1:56" s="256" customFormat="1" ht="20" customHeight="1">
      <c r="A89" s="260">
        <v>89</v>
      </c>
      <c r="B89" s="277">
        <v>46168</v>
      </c>
      <c r="C89" s="278" t="s">
        <v>255</v>
      </c>
      <c r="D89" s="278" t="s">
        <v>803</v>
      </c>
      <c r="E89" s="278" t="s">
        <v>804</v>
      </c>
      <c r="F89" s="278" t="s">
        <v>805</v>
      </c>
      <c r="G89" s="279" t="s">
        <v>776</v>
      </c>
      <c r="H89" s="280">
        <v>31600000</v>
      </c>
      <c r="I89" s="280">
        <v>0</v>
      </c>
      <c r="J89" s="281">
        <f t="shared" si="14"/>
        <v>31600000</v>
      </c>
      <c r="K89" s="282" t="s">
        <v>1212</v>
      </c>
      <c r="L89" s="282" t="s">
        <v>508</v>
      </c>
      <c r="M89" s="339" t="s">
        <v>758</v>
      </c>
      <c r="N89" s="278" t="s">
        <v>758</v>
      </c>
      <c r="O89" s="278">
        <v>812073807</v>
      </c>
      <c r="P89" s="283" t="s">
        <v>768</v>
      </c>
      <c r="Q89" s="278" t="s">
        <v>767</v>
      </c>
      <c r="R89" s="284" t="s">
        <v>28</v>
      </c>
      <c r="S89" s="337" t="s">
        <v>1225</v>
      </c>
      <c r="T89" s="285">
        <v>17600</v>
      </c>
      <c r="U89" s="286">
        <v>1730</v>
      </c>
      <c r="V89" s="287">
        <v>1487</v>
      </c>
      <c r="W89" s="288">
        <v>1410</v>
      </c>
      <c r="X89" s="286"/>
      <c r="Y89" s="289"/>
      <c r="Z89" s="289"/>
      <c r="AA89" s="290">
        <v>19010</v>
      </c>
      <c r="AB89" s="291">
        <f t="shared" si="12"/>
        <v>0</v>
      </c>
      <c r="AC89" s="292">
        <f t="shared" si="15"/>
        <v>-19010</v>
      </c>
      <c r="AD89" s="293"/>
      <c r="AE89" s="293"/>
      <c r="AF89" s="294"/>
      <c r="AG89" s="291"/>
      <c r="AH89" s="295"/>
      <c r="AI89" s="291"/>
      <c r="AJ89" s="295"/>
      <c r="AK89" s="291"/>
      <c r="AL89" s="291"/>
      <c r="AM89" s="291"/>
      <c r="AN89" s="296">
        <v>35000</v>
      </c>
      <c r="AO89" s="296">
        <v>30000</v>
      </c>
      <c r="AP89" s="296"/>
      <c r="AQ89" s="296"/>
      <c r="AR89" s="296"/>
      <c r="AS89" s="296">
        <f t="shared" si="16"/>
        <v>65000</v>
      </c>
      <c r="AT89" s="297">
        <f t="shared" si="17"/>
        <v>30383000</v>
      </c>
      <c r="AU89" s="297">
        <f t="shared" si="18"/>
        <v>-1217000</v>
      </c>
      <c r="AV89" s="297">
        <f t="shared" si="19"/>
        <v>2844000</v>
      </c>
      <c r="AW89" s="297">
        <f t="shared" si="20"/>
        <v>813500</v>
      </c>
      <c r="AX89" s="297">
        <f t="shared" si="21"/>
        <v>732150</v>
      </c>
      <c r="AY89" s="298">
        <v>50000</v>
      </c>
      <c r="AZ89" s="298"/>
      <c r="BA89" s="297">
        <f t="shared" si="22"/>
        <v>682150</v>
      </c>
      <c r="BB89" s="278"/>
      <c r="BC89" s="255"/>
      <c r="BD89" s="255"/>
    </row>
    <row r="90" spans="1:56" s="256" customFormat="1" ht="20" customHeight="1">
      <c r="A90" s="260">
        <v>90</v>
      </c>
      <c r="B90" s="277">
        <v>46168</v>
      </c>
      <c r="C90" s="278" t="s">
        <v>806</v>
      </c>
      <c r="D90" s="278" t="s">
        <v>807</v>
      </c>
      <c r="E90" s="278" t="s">
        <v>808</v>
      </c>
      <c r="F90" s="278" t="s">
        <v>809</v>
      </c>
      <c r="G90" s="279" t="s">
        <v>810</v>
      </c>
      <c r="H90" s="280">
        <v>19800000</v>
      </c>
      <c r="I90" s="280">
        <v>0</v>
      </c>
      <c r="J90" s="281">
        <f t="shared" si="14"/>
        <v>19800000</v>
      </c>
      <c r="K90" s="282" t="s">
        <v>1212</v>
      </c>
      <c r="L90" s="282" t="s">
        <v>508</v>
      </c>
      <c r="M90" s="339" t="s">
        <v>758</v>
      </c>
      <c r="N90" s="278" t="s">
        <v>758</v>
      </c>
      <c r="O90" s="278">
        <v>812073807</v>
      </c>
      <c r="P90" s="283" t="s">
        <v>768</v>
      </c>
      <c r="Q90" s="278" t="s">
        <v>767</v>
      </c>
      <c r="R90" s="284" t="s">
        <v>28</v>
      </c>
      <c r="S90" s="337" t="s">
        <v>1225</v>
      </c>
      <c r="T90" s="285">
        <v>10950</v>
      </c>
      <c r="U90" s="286">
        <v>1730</v>
      </c>
      <c r="V90" s="287">
        <v>1487</v>
      </c>
      <c r="W90" s="288">
        <v>1410</v>
      </c>
      <c r="X90" s="286" t="s">
        <v>1157</v>
      </c>
      <c r="Y90" s="289"/>
      <c r="Z90" s="289"/>
      <c r="AA90" s="290">
        <v>12360</v>
      </c>
      <c r="AB90" s="291">
        <f t="shared" si="12"/>
        <v>0</v>
      </c>
      <c r="AC90" s="292">
        <f t="shared" si="15"/>
        <v>-12360</v>
      </c>
      <c r="AD90" s="293"/>
      <c r="AE90" s="293"/>
      <c r="AF90" s="294"/>
      <c r="AG90" s="291"/>
      <c r="AH90" s="295"/>
      <c r="AI90" s="291"/>
      <c r="AJ90" s="295"/>
      <c r="AK90" s="291"/>
      <c r="AL90" s="291"/>
      <c r="AM90" s="291"/>
      <c r="AN90" s="296">
        <v>35000</v>
      </c>
      <c r="AO90" s="296">
        <v>30000</v>
      </c>
      <c r="AP90" s="296"/>
      <c r="AQ90" s="296"/>
      <c r="AR90" s="296"/>
      <c r="AS90" s="296">
        <f t="shared" si="16"/>
        <v>65000</v>
      </c>
      <c r="AT90" s="297">
        <f t="shared" si="17"/>
        <v>18878500</v>
      </c>
      <c r="AU90" s="297">
        <f t="shared" si="18"/>
        <v>-921500</v>
      </c>
      <c r="AV90" s="297">
        <f t="shared" si="19"/>
        <v>1782000</v>
      </c>
      <c r="AW90" s="297">
        <f t="shared" si="20"/>
        <v>430250</v>
      </c>
      <c r="AX90" s="297">
        <f t="shared" si="21"/>
        <v>387225</v>
      </c>
      <c r="AY90" s="298">
        <v>50000</v>
      </c>
      <c r="AZ90" s="298"/>
      <c r="BA90" s="297">
        <f t="shared" si="22"/>
        <v>337225</v>
      </c>
      <c r="BB90" s="278"/>
      <c r="BC90" s="255"/>
      <c r="BD90" s="255"/>
    </row>
    <row r="91" spans="1:56" s="256" customFormat="1" ht="20" customHeight="1">
      <c r="A91" s="260">
        <v>91</v>
      </c>
      <c r="B91" s="277">
        <v>46168</v>
      </c>
      <c r="C91" s="278" t="s">
        <v>447</v>
      </c>
      <c r="D91" s="278" t="s">
        <v>811</v>
      </c>
      <c r="E91" s="278" t="s">
        <v>812</v>
      </c>
      <c r="F91" s="278" t="s">
        <v>813</v>
      </c>
      <c r="G91" s="279" t="s">
        <v>814</v>
      </c>
      <c r="H91" s="280">
        <v>13000000</v>
      </c>
      <c r="I91" s="280">
        <v>0</v>
      </c>
      <c r="J91" s="281">
        <f t="shared" si="14"/>
        <v>13000000</v>
      </c>
      <c r="K91" s="282" t="s">
        <v>1212</v>
      </c>
      <c r="L91" s="282" t="s">
        <v>508</v>
      </c>
      <c r="M91" s="339" t="s">
        <v>758</v>
      </c>
      <c r="N91" s="278" t="s">
        <v>758</v>
      </c>
      <c r="O91" s="278">
        <v>812073807</v>
      </c>
      <c r="P91" s="283" t="s">
        <v>768</v>
      </c>
      <c r="Q91" s="278" t="s">
        <v>767</v>
      </c>
      <c r="R91" s="284" t="s">
        <v>28</v>
      </c>
      <c r="S91" s="337" t="s">
        <v>1225</v>
      </c>
      <c r="T91" s="285">
        <v>7620</v>
      </c>
      <c r="U91" s="286">
        <v>1730</v>
      </c>
      <c r="V91" s="287">
        <v>1487</v>
      </c>
      <c r="W91" s="288">
        <v>1500</v>
      </c>
      <c r="X91" s="286"/>
      <c r="Y91" s="289"/>
      <c r="Z91" s="289"/>
      <c r="AA91" s="290">
        <v>9120</v>
      </c>
      <c r="AB91" s="291">
        <f t="shared" si="12"/>
        <v>0</v>
      </c>
      <c r="AC91" s="292">
        <f t="shared" si="15"/>
        <v>-9120</v>
      </c>
      <c r="AD91" s="293"/>
      <c r="AE91" s="293"/>
      <c r="AF91" s="294"/>
      <c r="AG91" s="291"/>
      <c r="AH91" s="295"/>
      <c r="AI91" s="291"/>
      <c r="AJ91" s="295"/>
      <c r="AK91" s="291"/>
      <c r="AL91" s="291"/>
      <c r="AM91" s="291"/>
      <c r="AN91" s="296">
        <v>35000</v>
      </c>
      <c r="AO91" s="296">
        <v>30000</v>
      </c>
      <c r="AP91" s="296"/>
      <c r="AQ91" s="296"/>
      <c r="AR91" s="296"/>
      <c r="AS91" s="296">
        <f t="shared" si="16"/>
        <v>65000</v>
      </c>
      <c r="AT91" s="297">
        <f t="shared" si="17"/>
        <v>13117600</v>
      </c>
      <c r="AU91" s="297">
        <f t="shared" si="18"/>
        <v>117600</v>
      </c>
      <c r="AV91" s="297">
        <f t="shared" si="19"/>
        <v>1170000</v>
      </c>
      <c r="AW91" s="297">
        <f t="shared" si="20"/>
        <v>643800</v>
      </c>
      <c r="AX91" s="297">
        <f t="shared" si="21"/>
        <v>579420</v>
      </c>
      <c r="AY91" s="298">
        <v>50000</v>
      </c>
      <c r="AZ91" s="298"/>
      <c r="BA91" s="297">
        <f t="shared" si="22"/>
        <v>529420</v>
      </c>
      <c r="BB91" s="278"/>
      <c r="BC91" s="255"/>
      <c r="BD91" s="255"/>
    </row>
    <row r="92" spans="1:56" s="256" customFormat="1" ht="20" customHeight="1">
      <c r="A92" s="260">
        <v>92</v>
      </c>
      <c r="B92" s="277">
        <v>46169</v>
      </c>
      <c r="C92" s="278" t="s">
        <v>240</v>
      </c>
      <c r="D92" s="278" t="s">
        <v>818</v>
      </c>
      <c r="E92" s="278" t="s">
        <v>819</v>
      </c>
      <c r="F92" s="278" t="s">
        <v>820</v>
      </c>
      <c r="G92" s="279" t="s">
        <v>814</v>
      </c>
      <c r="H92" s="280">
        <v>18700000</v>
      </c>
      <c r="I92" s="280">
        <v>0</v>
      </c>
      <c r="J92" s="281">
        <f t="shared" si="14"/>
        <v>18700000</v>
      </c>
      <c r="K92" s="282" t="s">
        <v>1212</v>
      </c>
      <c r="L92" s="282" t="s">
        <v>508</v>
      </c>
      <c r="M92" s="339" t="s">
        <v>758</v>
      </c>
      <c r="N92" s="278" t="s">
        <v>758</v>
      </c>
      <c r="O92" s="278">
        <v>812073807</v>
      </c>
      <c r="P92" s="283" t="s">
        <v>768</v>
      </c>
      <c r="Q92" s="278" t="s">
        <v>767</v>
      </c>
      <c r="R92" s="284" t="s">
        <v>28</v>
      </c>
      <c r="S92" s="337" t="s">
        <v>1225</v>
      </c>
      <c r="T92" s="285">
        <v>10350</v>
      </c>
      <c r="U92" s="286">
        <v>1730</v>
      </c>
      <c r="V92" s="287">
        <v>1487</v>
      </c>
      <c r="W92" s="288">
        <v>1500</v>
      </c>
      <c r="X92" s="286"/>
      <c r="Y92" s="289"/>
      <c r="Z92" s="289"/>
      <c r="AA92" s="290">
        <v>11850</v>
      </c>
      <c r="AB92" s="291">
        <f t="shared" si="12"/>
        <v>0</v>
      </c>
      <c r="AC92" s="292">
        <f t="shared" si="15"/>
        <v>-11850</v>
      </c>
      <c r="AD92" s="293"/>
      <c r="AE92" s="293"/>
      <c r="AF92" s="294"/>
      <c r="AG92" s="291"/>
      <c r="AH92" s="295"/>
      <c r="AI92" s="291"/>
      <c r="AJ92" s="295"/>
      <c r="AK92" s="291"/>
      <c r="AL92" s="291"/>
      <c r="AM92" s="291"/>
      <c r="AN92" s="296">
        <v>35000</v>
      </c>
      <c r="AO92" s="296">
        <v>30000</v>
      </c>
      <c r="AP92" s="296"/>
      <c r="AQ92" s="296"/>
      <c r="AR92" s="296"/>
      <c r="AS92" s="296">
        <f t="shared" si="16"/>
        <v>65000</v>
      </c>
      <c r="AT92" s="297">
        <f t="shared" si="17"/>
        <v>17840500</v>
      </c>
      <c r="AU92" s="297">
        <f t="shared" si="18"/>
        <v>-859500</v>
      </c>
      <c r="AV92" s="297">
        <f t="shared" si="19"/>
        <v>1683000</v>
      </c>
      <c r="AW92" s="297">
        <f t="shared" si="20"/>
        <v>411750</v>
      </c>
      <c r="AX92" s="297">
        <f t="shared" si="21"/>
        <v>370575</v>
      </c>
      <c r="AY92" s="298">
        <v>50000</v>
      </c>
      <c r="AZ92" s="298"/>
      <c r="BA92" s="297">
        <f t="shared" si="22"/>
        <v>320575</v>
      </c>
      <c r="BB92" s="278"/>
      <c r="BC92" s="255"/>
      <c r="BD92" s="255"/>
    </row>
    <row r="93" spans="1:56" s="256" customFormat="1" ht="20" hidden="1" customHeight="1">
      <c r="A93" s="260">
        <v>93</v>
      </c>
      <c r="B93" s="277">
        <v>46169</v>
      </c>
      <c r="C93" s="278" t="s">
        <v>273</v>
      </c>
      <c r="D93" s="278" t="s">
        <v>821</v>
      </c>
      <c r="E93" s="278" t="s">
        <v>822</v>
      </c>
      <c r="F93" s="278" t="s">
        <v>823</v>
      </c>
      <c r="G93" s="279" t="s">
        <v>814</v>
      </c>
      <c r="H93" s="280">
        <v>14500000</v>
      </c>
      <c r="I93" s="280">
        <v>0</v>
      </c>
      <c r="J93" s="281">
        <f t="shared" si="14"/>
        <v>14500000</v>
      </c>
      <c r="K93" s="282" t="s">
        <v>1212</v>
      </c>
      <c r="L93" s="282" t="s">
        <v>508</v>
      </c>
      <c r="M93" s="339" t="s">
        <v>281</v>
      </c>
      <c r="N93" s="278" t="s">
        <v>849</v>
      </c>
      <c r="O93" s="278" t="s">
        <v>850</v>
      </c>
      <c r="P93" s="283" t="s">
        <v>283</v>
      </c>
      <c r="Q93" s="278" t="s">
        <v>172</v>
      </c>
      <c r="R93" s="284" t="s">
        <v>29</v>
      </c>
      <c r="S93" s="282" t="s">
        <v>1127</v>
      </c>
      <c r="T93" s="285">
        <v>8200</v>
      </c>
      <c r="U93" s="286">
        <v>1730</v>
      </c>
      <c r="V93" s="287">
        <v>1487</v>
      </c>
      <c r="W93" s="288">
        <v>1500</v>
      </c>
      <c r="X93" s="286"/>
      <c r="Y93" s="289"/>
      <c r="Z93" s="289"/>
      <c r="AA93" s="290">
        <f t="shared" si="13"/>
        <v>9700</v>
      </c>
      <c r="AB93" s="291">
        <f t="shared" si="12"/>
        <v>0</v>
      </c>
      <c r="AC93" s="292">
        <f t="shared" si="15"/>
        <v>-9700</v>
      </c>
      <c r="AD93" s="293"/>
      <c r="AE93" s="293"/>
      <c r="AF93" s="294"/>
      <c r="AG93" s="291"/>
      <c r="AH93" s="295"/>
      <c r="AI93" s="291"/>
      <c r="AJ93" s="295"/>
      <c r="AK93" s="291"/>
      <c r="AL93" s="291"/>
      <c r="AM93" s="291"/>
      <c r="AN93" s="296">
        <v>35000</v>
      </c>
      <c r="AO93" s="296">
        <v>30000</v>
      </c>
      <c r="AP93" s="296"/>
      <c r="AQ93" s="296"/>
      <c r="AR93" s="296"/>
      <c r="AS93" s="296">
        <f t="shared" si="16"/>
        <v>65000</v>
      </c>
      <c r="AT93" s="297">
        <f t="shared" si="17"/>
        <v>14121000</v>
      </c>
      <c r="AU93" s="297">
        <f t="shared" si="18"/>
        <v>-379000</v>
      </c>
      <c r="AV93" s="297">
        <f t="shared" si="19"/>
        <v>1305000</v>
      </c>
      <c r="AW93" s="297">
        <f t="shared" si="20"/>
        <v>463000</v>
      </c>
      <c r="AX93" s="297">
        <f t="shared" si="21"/>
        <v>416700</v>
      </c>
      <c r="AY93" s="298">
        <v>50000</v>
      </c>
      <c r="AZ93" s="298"/>
      <c r="BA93" s="297">
        <f t="shared" si="22"/>
        <v>366700</v>
      </c>
      <c r="BB93" s="278"/>
      <c r="BC93" s="255"/>
      <c r="BD93" s="255"/>
    </row>
    <row r="94" spans="1:56" s="256" customFormat="1" ht="20" hidden="1" customHeight="1">
      <c r="A94" s="260">
        <v>94</v>
      </c>
      <c r="B94" s="277">
        <v>46171</v>
      </c>
      <c r="C94" s="278" t="s">
        <v>240</v>
      </c>
      <c r="D94" s="278" t="s">
        <v>825</v>
      </c>
      <c r="E94" s="278" t="s">
        <v>826</v>
      </c>
      <c r="F94" s="278" t="s">
        <v>827</v>
      </c>
      <c r="G94" s="279" t="s">
        <v>776</v>
      </c>
      <c r="H94" s="280">
        <v>20500000</v>
      </c>
      <c r="I94" s="280">
        <v>440000</v>
      </c>
      <c r="J94" s="281">
        <f t="shared" si="14"/>
        <v>20940000</v>
      </c>
      <c r="K94" s="282" t="s">
        <v>1212</v>
      </c>
      <c r="L94" s="282" t="s">
        <v>508</v>
      </c>
      <c r="M94" s="339" t="s">
        <v>51</v>
      </c>
      <c r="N94" s="278" t="s">
        <v>1245</v>
      </c>
      <c r="O94" s="278">
        <v>1175140057</v>
      </c>
      <c r="P94" s="283" t="s">
        <v>631</v>
      </c>
      <c r="Q94" s="278" t="s">
        <v>1246</v>
      </c>
      <c r="R94" s="284" t="s">
        <v>28</v>
      </c>
      <c r="S94" s="282" t="s">
        <v>1253</v>
      </c>
      <c r="T94" s="285">
        <v>11500</v>
      </c>
      <c r="U94" s="286">
        <v>1737</v>
      </c>
      <c r="V94" s="287">
        <v>1491</v>
      </c>
      <c r="W94" s="288">
        <v>1500</v>
      </c>
      <c r="X94" s="286"/>
      <c r="Y94" s="289"/>
      <c r="Z94" s="289"/>
      <c r="AA94" s="290">
        <f t="shared" si="13"/>
        <v>13000</v>
      </c>
      <c r="AB94" s="291">
        <f t="shared" ref="AB94:AB111" si="23">SUM(AG94+AI94+AK94+AL94-AM94)</f>
        <v>0</v>
      </c>
      <c r="AC94" s="292">
        <f t="shared" si="15"/>
        <v>-13000</v>
      </c>
      <c r="AD94" s="293"/>
      <c r="AE94" s="293"/>
      <c r="AF94" s="294"/>
      <c r="AG94" s="291"/>
      <c r="AH94" s="295"/>
      <c r="AI94" s="291"/>
      <c r="AJ94" s="295"/>
      <c r="AK94" s="291"/>
      <c r="AL94" s="291"/>
      <c r="AM94" s="291"/>
      <c r="AN94" s="296">
        <v>35000</v>
      </c>
      <c r="AO94" s="296">
        <v>30000</v>
      </c>
      <c r="AP94" s="296"/>
      <c r="AQ94" s="296"/>
      <c r="AR94" s="296"/>
      <c r="AS94" s="296">
        <f t="shared" si="16"/>
        <v>65000</v>
      </c>
      <c r="AT94" s="297">
        <f t="shared" si="17"/>
        <v>19910500</v>
      </c>
      <c r="AU94" s="297">
        <f t="shared" si="18"/>
        <v>-1029500</v>
      </c>
      <c r="AV94" s="297">
        <f t="shared" si="19"/>
        <v>1845000</v>
      </c>
      <c r="AW94" s="297">
        <f t="shared" si="20"/>
        <v>407750</v>
      </c>
      <c r="AX94" s="297">
        <f t="shared" si="21"/>
        <v>366975</v>
      </c>
      <c r="AY94" s="298">
        <v>50000</v>
      </c>
      <c r="AZ94" s="298"/>
      <c r="BA94" s="297">
        <f t="shared" si="22"/>
        <v>316975</v>
      </c>
      <c r="BB94" s="278"/>
      <c r="BC94" s="255"/>
      <c r="BD94" s="255"/>
    </row>
    <row r="95" spans="1:56" s="256" customFormat="1" ht="20" customHeight="1">
      <c r="A95" s="300">
        <v>95</v>
      </c>
      <c r="B95" s="277">
        <v>46151</v>
      </c>
      <c r="C95" s="278" t="s">
        <v>830</v>
      </c>
      <c r="D95" s="278" t="s">
        <v>829</v>
      </c>
      <c r="E95" s="278" t="s">
        <v>828</v>
      </c>
      <c r="F95" s="278" t="s">
        <v>863</v>
      </c>
      <c r="G95" s="279" t="s">
        <v>865</v>
      </c>
      <c r="H95" s="280">
        <v>155000000</v>
      </c>
      <c r="I95" s="280">
        <v>440000</v>
      </c>
      <c r="J95" s="281">
        <f t="shared" si="14"/>
        <v>155440000</v>
      </c>
      <c r="K95" s="282" t="s">
        <v>1212</v>
      </c>
      <c r="L95" s="282" t="s">
        <v>508</v>
      </c>
      <c r="M95" s="339" t="s">
        <v>758</v>
      </c>
      <c r="N95" s="278" t="s">
        <v>758</v>
      </c>
      <c r="O95" s="278">
        <v>812073807</v>
      </c>
      <c r="P95" s="283" t="s">
        <v>768</v>
      </c>
      <c r="Q95" s="278" t="s">
        <v>767</v>
      </c>
      <c r="R95" s="284" t="s">
        <v>28</v>
      </c>
      <c r="S95" s="337" t="s">
        <v>1225</v>
      </c>
      <c r="T95" s="285">
        <v>87700</v>
      </c>
      <c r="U95" s="286">
        <v>1737</v>
      </c>
      <c r="V95" s="287">
        <v>1491</v>
      </c>
      <c r="W95" s="288">
        <v>2980</v>
      </c>
      <c r="X95" s="286" t="s">
        <v>1158</v>
      </c>
      <c r="Y95" s="289"/>
      <c r="Z95" s="289"/>
      <c r="AA95" s="290">
        <f t="shared" si="13"/>
        <v>90680</v>
      </c>
      <c r="AB95" s="291">
        <f t="shared" si="23"/>
        <v>0</v>
      </c>
      <c r="AC95" s="292">
        <f t="shared" si="15"/>
        <v>-90680</v>
      </c>
      <c r="AD95" s="293"/>
      <c r="AE95" s="293"/>
      <c r="AF95" s="294"/>
      <c r="AG95" s="291"/>
      <c r="AH95" s="295"/>
      <c r="AI95" s="291"/>
      <c r="AJ95" s="295"/>
      <c r="AK95" s="291"/>
      <c r="AL95" s="291"/>
      <c r="AM95" s="291"/>
      <c r="AN95" s="296">
        <v>35000</v>
      </c>
      <c r="AO95" s="296">
        <v>30000</v>
      </c>
      <c r="AP95" s="296"/>
      <c r="AQ95" s="296"/>
      <c r="AR95" s="296"/>
      <c r="AS95" s="296">
        <f t="shared" si="16"/>
        <v>65000</v>
      </c>
      <c r="AT95" s="297">
        <f t="shared" si="17"/>
        <v>152269900</v>
      </c>
      <c r="AU95" s="297">
        <f t="shared" si="18"/>
        <v>-3170100</v>
      </c>
      <c r="AV95" s="297">
        <f t="shared" si="19"/>
        <v>13950000</v>
      </c>
      <c r="AW95" s="297">
        <f t="shared" si="20"/>
        <v>5389950</v>
      </c>
      <c r="AX95" s="297">
        <f t="shared" si="21"/>
        <v>4850955</v>
      </c>
      <c r="AY95" s="298">
        <v>50000</v>
      </c>
      <c r="AZ95" s="298"/>
      <c r="BA95" s="297">
        <f t="shared" si="22"/>
        <v>4800955</v>
      </c>
      <c r="BB95" s="278"/>
      <c r="BC95" s="255"/>
      <c r="BD95" s="255"/>
    </row>
    <row r="96" spans="1:56" s="256" customFormat="1" ht="20" customHeight="1">
      <c r="A96" s="260">
        <v>96</v>
      </c>
      <c r="B96" s="277">
        <v>46171</v>
      </c>
      <c r="C96" s="278" t="s">
        <v>832</v>
      </c>
      <c r="D96" s="278" t="s">
        <v>833</v>
      </c>
      <c r="E96" s="278" t="s">
        <v>831</v>
      </c>
      <c r="F96" s="278" t="s">
        <v>864</v>
      </c>
      <c r="G96" s="279" t="s">
        <v>866</v>
      </c>
      <c r="H96" s="280">
        <v>137400000</v>
      </c>
      <c r="I96" s="280">
        <v>0</v>
      </c>
      <c r="J96" s="281">
        <f t="shared" si="14"/>
        <v>137400000</v>
      </c>
      <c r="K96" s="282" t="s">
        <v>1212</v>
      </c>
      <c r="L96" s="282" t="s">
        <v>508</v>
      </c>
      <c r="M96" s="339" t="s">
        <v>758</v>
      </c>
      <c r="N96" s="278" t="s">
        <v>758</v>
      </c>
      <c r="O96" s="278">
        <v>812073807</v>
      </c>
      <c r="P96" s="283" t="s">
        <v>768</v>
      </c>
      <c r="Q96" s="278" t="s">
        <v>767</v>
      </c>
      <c r="R96" s="284" t="s">
        <v>28</v>
      </c>
      <c r="S96" s="337" t="s">
        <v>1226</v>
      </c>
      <c r="T96" s="285">
        <v>74080</v>
      </c>
      <c r="U96" s="286">
        <v>1737</v>
      </c>
      <c r="V96" s="287">
        <v>1491</v>
      </c>
      <c r="W96" s="288">
        <v>2525</v>
      </c>
      <c r="X96" s="286" t="s">
        <v>1158</v>
      </c>
      <c r="Y96" s="289"/>
      <c r="Z96" s="289"/>
      <c r="AA96" s="290">
        <f t="shared" si="13"/>
        <v>76605</v>
      </c>
      <c r="AB96" s="291">
        <f t="shared" si="23"/>
        <v>0</v>
      </c>
      <c r="AC96" s="292">
        <f t="shared" si="15"/>
        <v>-76605</v>
      </c>
      <c r="AD96" s="293"/>
      <c r="AE96" s="293"/>
      <c r="AF96" s="294"/>
      <c r="AG96" s="291"/>
      <c r="AH96" s="295"/>
      <c r="AI96" s="291"/>
      <c r="AJ96" s="295"/>
      <c r="AK96" s="291"/>
      <c r="AL96" s="291"/>
      <c r="AM96" s="291"/>
      <c r="AN96" s="296">
        <v>35000</v>
      </c>
      <c r="AO96" s="296">
        <v>30000</v>
      </c>
      <c r="AP96" s="296"/>
      <c r="AQ96" s="296"/>
      <c r="AR96" s="296"/>
      <c r="AS96" s="296">
        <f t="shared" si="16"/>
        <v>65000</v>
      </c>
      <c r="AT96" s="297">
        <f t="shared" si="17"/>
        <v>128611960</v>
      </c>
      <c r="AU96" s="297">
        <f t="shared" si="18"/>
        <v>-8788040</v>
      </c>
      <c r="AV96" s="297">
        <f t="shared" si="19"/>
        <v>12366000</v>
      </c>
      <c r="AW96" s="297">
        <f t="shared" si="20"/>
        <v>1788980</v>
      </c>
      <c r="AX96" s="297">
        <f t="shared" si="21"/>
        <v>1610082</v>
      </c>
      <c r="AY96" s="298">
        <v>50000</v>
      </c>
      <c r="AZ96" s="298"/>
      <c r="BA96" s="297">
        <f t="shared" si="22"/>
        <v>1560082</v>
      </c>
      <c r="BB96" s="278"/>
      <c r="BC96" s="255"/>
      <c r="BD96" s="255"/>
    </row>
    <row r="97" spans="1:56" s="256" customFormat="1" ht="20" customHeight="1">
      <c r="A97" s="260">
        <v>97</v>
      </c>
      <c r="B97" s="277">
        <v>46171</v>
      </c>
      <c r="C97" s="278" t="s">
        <v>834</v>
      </c>
      <c r="D97" s="278" t="s">
        <v>835</v>
      </c>
      <c r="E97" s="278" t="s">
        <v>836</v>
      </c>
      <c r="F97" s="278" t="s">
        <v>837</v>
      </c>
      <c r="G97" s="279" t="s">
        <v>766</v>
      </c>
      <c r="H97" s="280">
        <v>23200000</v>
      </c>
      <c r="I97" s="280">
        <v>0</v>
      </c>
      <c r="J97" s="281">
        <f t="shared" si="14"/>
        <v>23200000</v>
      </c>
      <c r="K97" s="282" t="s">
        <v>1212</v>
      </c>
      <c r="L97" s="282" t="s">
        <v>508</v>
      </c>
      <c r="M97" s="339" t="s">
        <v>758</v>
      </c>
      <c r="N97" s="278" t="s">
        <v>758</v>
      </c>
      <c r="O97" s="278">
        <v>812073807</v>
      </c>
      <c r="P97" s="283" t="s">
        <v>768</v>
      </c>
      <c r="Q97" s="278" t="s">
        <v>767</v>
      </c>
      <c r="R97" s="284" t="s">
        <v>28</v>
      </c>
      <c r="S97" s="282"/>
      <c r="T97" s="285">
        <v>13100</v>
      </c>
      <c r="U97" s="286">
        <v>1737</v>
      </c>
      <c r="V97" s="287">
        <v>1491</v>
      </c>
      <c r="W97" s="288">
        <v>1500</v>
      </c>
      <c r="X97" s="286"/>
      <c r="Y97" s="289"/>
      <c r="Z97" s="289"/>
      <c r="AA97" s="290">
        <f t="shared" si="13"/>
        <v>14600</v>
      </c>
      <c r="AB97" s="291">
        <f t="shared" si="23"/>
        <v>0</v>
      </c>
      <c r="AC97" s="292">
        <f t="shared" si="15"/>
        <v>-14600</v>
      </c>
      <c r="AD97" s="293"/>
      <c r="AE97" s="293"/>
      <c r="AF97" s="294"/>
      <c r="AG97" s="291"/>
      <c r="AH97" s="295"/>
      <c r="AI97" s="291"/>
      <c r="AJ97" s="295"/>
      <c r="AK97" s="291"/>
      <c r="AL97" s="291"/>
      <c r="AM97" s="291"/>
      <c r="AN97" s="296">
        <v>35000</v>
      </c>
      <c r="AO97" s="296">
        <v>30000</v>
      </c>
      <c r="AP97" s="296"/>
      <c r="AQ97" s="296"/>
      <c r="AR97" s="296"/>
      <c r="AS97" s="296">
        <f t="shared" si="16"/>
        <v>65000</v>
      </c>
      <c r="AT97" s="297">
        <f t="shared" si="17"/>
        <v>22689700</v>
      </c>
      <c r="AU97" s="297">
        <f t="shared" si="18"/>
        <v>-510300</v>
      </c>
      <c r="AV97" s="297">
        <f t="shared" si="19"/>
        <v>2088000</v>
      </c>
      <c r="AW97" s="297">
        <f t="shared" si="20"/>
        <v>788850</v>
      </c>
      <c r="AX97" s="297">
        <f t="shared" si="21"/>
        <v>709965</v>
      </c>
      <c r="AY97" s="298">
        <v>50000</v>
      </c>
      <c r="AZ97" s="298"/>
      <c r="BA97" s="297">
        <f t="shared" si="22"/>
        <v>659965</v>
      </c>
      <c r="BB97" s="278"/>
      <c r="BC97" s="255"/>
      <c r="BD97" s="255"/>
    </row>
    <row r="98" spans="1:56" s="256" customFormat="1" ht="20" customHeight="1">
      <c r="A98" s="260">
        <v>98</v>
      </c>
      <c r="B98" s="277">
        <v>46171</v>
      </c>
      <c r="C98" s="278" t="s">
        <v>237</v>
      </c>
      <c r="D98" s="278" t="s">
        <v>838</v>
      </c>
      <c r="E98" s="278" t="s">
        <v>839</v>
      </c>
      <c r="F98" s="278" t="s">
        <v>854</v>
      </c>
      <c r="G98" s="279" t="s">
        <v>766</v>
      </c>
      <c r="H98" s="280">
        <v>16540000</v>
      </c>
      <c r="I98" s="280">
        <v>0</v>
      </c>
      <c r="J98" s="281">
        <f t="shared" si="14"/>
        <v>16540000</v>
      </c>
      <c r="K98" s="282" t="s">
        <v>1212</v>
      </c>
      <c r="L98" s="282" t="s">
        <v>508</v>
      </c>
      <c r="M98" s="339" t="s">
        <v>758</v>
      </c>
      <c r="N98" s="278" t="s">
        <v>758</v>
      </c>
      <c r="O98" s="278">
        <v>812073807</v>
      </c>
      <c r="P98" s="283" t="s">
        <v>768</v>
      </c>
      <c r="Q98" s="278" t="s">
        <v>767</v>
      </c>
      <c r="R98" s="284" t="s">
        <v>28</v>
      </c>
      <c r="S98" s="337" t="s">
        <v>1225</v>
      </c>
      <c r="T98" s="285">
        <v>9266</v>
      </c>
      <c r="U98" s="286">
        <v>1737</v>
      </c>
      <c r="V98" s="287">
        <v>1491</v>
      </c>
      <c r="W98" s="288">
        <v>1410</v>
      </c>
      <c r="X98" s="286"/>
      <c r="Y98" s="289"/>
      <c r="Z98" s="289"/>
      <c r="AA98" s="290">
        <f t="shared" si="13"/>
        <v>10676</v>
      </c>
      <c r="AB98" s="291">
        <f t="shared" si="23"/>
        <v>0</v>
      </c>
      <c r="AC98" s="292">
        <f t="shared" si="15"/>
        <v>-10676</v>
      </c>
      <c r="AD98" s="293"/>
      <c r="AE98" s="293"/>
      <c r="AF98" s="294"/>
      <c r="AG98" s="291"/>
      <c r="AH98" s="295"/>
      <c r="AI98" s="291"/>
      <c r="AJ98" s="295"/>
      <c r="AK98" s="291"/>
      <c r="AL98" s="291"/>
      <c r="AM98" s="291"/>
      <c r="AN98" s="296">
        <v>35000</v>
      </c>
      <c r="AO98" s="296">
        <v>30000</v>
      </c>
      <c r="AP98" s="296"/>
      <c r="AQ98" s="296"/>
      <c r="AR98" s="296"/>
      <c r="AS98" s="296">
        <f t="shared" si="16"/>
        <v>65000</v>
      </c>
      <c r="AT98" s="297">
        <f t="shared" si="17"/>
        <v>16030042</v>
      </c>
      <c r="AU98" s="297">
        <f t="shared" si="18"/>
        <v>-509958</v>
      </c>
      <c r="AV98" s="297">
        <f t="shared" si="19"/>
        <v>1488600</v>
      </c>
      <c r="AW98" s="297">
        <f t="shared" si="20"/>
        <v>489321</v>
      </c>
      <c r="AX98" s="297">
        <f t="shared" si="21"/>
        <v>440388.9</v>
      </c>
      <c r="AY98" s="298">
        <v>50000</v>
      </c>
      <c r="AZ98" s="298"/>
      <c r="BA98" s="297">
        <f t="shared" si="22"/>
        <v>390388.9</v>
      </c>
      <c r="BB98" s="278"/>
      <c r="BC98" s="255"/>
      <c r="BD98" s="255"/>
    </row>
    <row r="99" spans="1:56" s="256" customFormat="1" ht="20" customHeight="1">
      <c r="A99" s="260">
        <v>99</v>
      </c>
      <c r="B99" s="277">
        <v>46171</v>
      </c>
      <c r="C99" s="278" t="s">
        <v>370</v>
      </c>
      <c r="D99" s="278" t="s">
        <v>840</v>
      </c>
      <c r="E99" s="278" t="s">
        <v>841</v>
      </c>
      <c r="F99" s="278" t="s">
        <v>855</v>
      </c>
      <c r="G99" s="279" t="s">
        <v>766</v>
      </c>
      <c r="H99" s="280">
        <v>12000000</v>
      </c>
      <c r="I99" s="280"/>
      <c r="J99" s="281">
        <f t="shared" si="14"/>
        <v>12000000</v>
      </c>
      <c r="K99" s="282" t="s">
        <v>1212</v>
      </c>
      <c r="L99" s="282" t="s">
        <v>508</v>
      </c>
      <c r="M99" s="339" t="s">
        <v>758</v>
      </c>
      <c r="N99" s="278" t="s">
        <v>758</v>
      </c>
      <c r="O99" s="278">
        <v>812073807</v>
      </c>
      <c r="P99" s="283" t="s">
        <v>768</v>
      </c>
      <c r="Q99" s="278" t="s">
        <v>767</v>
      </c>
      <c r="R99" s="284" t="s">
        <v>28</v>
      </c>
      <c r="S99" s="337" t="s">
        <v>1225</v>
      </c>
      <c r="T99" s="285">
        <v>6865</v>
      </c>
      <c r="U99" s="286">
        <v>1737</v>
      </c>
      <c r="V99" s="287">
        <v>1491</v>
      </c>
      <c r="W99" s="288">
        <v>1410</v>
      </c>
      <c r="X99" s="286"/>
      <c r="Y99" s="289"/>
      <c r="Z99" s="289"/>
      <c r="AA99" s="290">
        <f t="shared" ref="AA99:AA130" si="24">SUM(T99,W99:Z99)</f>
        <v>8275</v>
      </c>
      <c r="AB99" s="291">
        <f t="shared" si="23"/>
        <v>0</v>
      </c>
      <c r="AC99" s="292">
        <f t="shared" si="15"/>
        <v>-8275</v>
      </c>
      <c r="AD99" s="293"/>
      <c r="AE99" s="293"/>
      <c r="AF99" s="294"/>
      <c r="AG99" s="291"/>
      <c r="AH99" s="295"/>
      <c r="AI99" s="291"/>
      <c r="AJ99" s="295"/>
      <c r="AK99" s="291"/>
      <c r="AL99" s="291"/>
      <c r="AM99" s="291"/>
      <c r="AN99" s="296">
        <v>35000</v>
      </c>
      <c r="AO99" s="296">
        <v>30000</v>
      </c>
      <c r="AP99" s="296"/>
      <c r="AQ99" s="296"/>
      <c r="AR99" s="296"/>
      <c r="AS99" s="296">
        <f t="shared" si="16"/>
        <v>65000</v>
      </c>
      <c r="AT99" s="297">
        <f t="shared" si="17"/>
        <v>11859505</v>
      </c>
      <c r="AU99" s="297">
        <f t="shared" si="18"/>
        <v>-140495</v>
      </c>
      <c r="AV99" s="297">
        <f t="shared" si="19"/>
        <v>1080000</v>
      </c>
      <c r="AW99" s="297">
        <f t="shared" si="20"/>
        <v>469752.5</v>
      </c>
      <c r="AX99" s="297">
        <f t="shared" si="21"/>
        <v>422777.25</v>
      </c>
      <c r="AY99" s="298">
        <v>50000</v>
      </c>
      <c r="AZ99" s="298"/>
      <c r="BA99" s="297">
        <f t="shared" si="22"/>
        <v>372777.25</v>
      </c>
      <c r="BB99" s="278"/>
      <c r="BC99" s="255"/>
      <c r="BD99" s="255"/>
    </row>
    <row r="100" spans="1:56" s="256" customFormat="1" ht="20" customHeight="1">
      <c r="A100" s="260">
        <v>100</v>
      </c>
      <c r="B100" s="277">
        <v>46171</v>
      </c>
      <c r="C100" s="278" t="s">
        <v>844</v>
      </c>
      <c r="D100" s="278" t="s">
        <v>842</v>
      </c>
      <c r="E100" s="278" t="s">
        <v>843</v>
      </c>
      <c r="F100" s="278" t="s">
        <v>258</v>
      </c>
      <c r="G100" s="279" t="s">
        <v>776</v>
      </c>
      <c r="H100" s="280">
        <v>11400000</v>
      </c>
      <c r="I100" s="280">
        <v>0</v>
      </c>
      <c r="J100" s="281">
        <f t="shared" si="14"/>
        <v>11400000</v>
      </c>
      <c r="K100" s="282" t="s">
        <v>1212</v>
      </c>
      <c r="L100" s="282" t="s">
        <v>508</v>
      </c>
      <c r="M100" s="339" t="s">
        <v>758</v>
      </c>
      <c r="N100" s="278" t="s">
        <v>758</v>
      </c>
      <c r="O100" s="278">
        <v>812073807</v>
      </c>
      <c r="P100" s="283" t="s">
        <v>768</v>
      </c>
      <c r="Q100" s="278" t="s">
        <v>767</v>
      </c>
      <c r="R100" s="284" t="s">
        <v>28</v>
      </c>
      <c r="S100" s="337" t="s">
        <v>1225</v>
      </c>
      <c r="T100" s="285">
        <v>6525</v>
      </c>
      <c r="U100" s="286">
        <v>1737</v>
      </c>
      <c r="V100" s="287">
        <v>1491</v>
      </c>
      <c r="W100" s="288">
        <v>1410</v>
      </c>
      <c r="X100" s="286"/>
      <c r="Y100" s="289"/>
      <c r="Z100" s="289"/>
      <c r="AA100" s="290">
        <f t="shared" si="24"/>
        <v>7935</v>
      </c>
      <c r="AB100" s="291">
        <f t="shared" si="23"/>
        <v>0</v>
      </c>
      <c r="AC100" s="292">
        <f t="shared" si="15"/>
        <v>-7935</v>
      </c>
      <c r="AD100" s="293"/>
      <c r="AE100" s="293"/>
      <c r="AF100" s="294"/>
      <c r="AG100" s="291"/>
      <c r="AH100" s="295"/>
      <c r="AI100" s="291"/>
      <c r="AJ100" s="295"/>
      <c r="AK100" s="291"/>
      <c r="AL100" s="291"/>
      <c r="AM100" s="291"/>
      <c r="AN100" s="296">
        <v>35000</v>
      </c>
      <c r="AO100" s="296">
        <v>30000</v>
      </c>
      <c r="AP100" s="296"/>
      <c r="AQ100" s="296"/>
      <c r="AR100" s="296"/>
      <c r="AS100" s="296">
        <f t="shared" si="16"/>
        <v>65000</v>
      </c>
      <c r="AT100" s="297">
        <f t="shared" si="17"/>
        <v>11268925</v>
      </c>
      <c r="AU100" s="297">
        <f t="shared" si="18"/>
        <v>-131075</v>
      </c>
      <c r="AV100" s="297">
        <f t="shared" si="19"/>
        <v>1026000</v>
      </c>
      <c r="AW100" s="297">
        <f t="shared" si="20"/>
        <v>447462.5</v>
      </c>
      <c r="AX100" s="297">
        <f t="shared" si="21"/>
        <v>402716.25</v>
      </c>
      <c r="AY100" s="298">
        <v>50000</v>
      </c>
      <c r="AZ100" s="298"/>
      <c r="BA100" s="297">
        <f t="shared" si="22"/>
        <v>352716.25</v>
      </c>
      <c r="BB100" s="278"/>
      <c r="BC100" s="255"/>
      <c r="BD100" s="255"/>
    </row>
    <row r="101" spans="1:56" s="256" customFormat="1" ht="20" customHeight="1">
      <c r="A101" s="260">
        <v>101</v>
      </c>
      <c r="B101" s="277">
        <v>46151</v>
      </c>
      <c r="C101" s="278" t="s">
        <v>239</v>
      </c>
      <c r="D101" s="278" t="s">
        <v>845</v>
      </c>
      <c r="E101" s="278" t="s">
        <v>847</v>
      </c>
      <c r="F101" s="278" t="s">
        <v>853</v>
      </c>
      <c r="G101" s="279" t="s">
        <v>766</v>
      </c>
      <c r="H101" s="280">
        <v>20400000</v>
      </c>
      <c r="I101" s="280">
        <v>0</v>
      </c>
      <c r="J101" s="281">
        <f t="shared" si="14"/>
        <v>20400000</v>
      </c>
      <c r="K101" s="282" t="s">
        <v>1212</v>
      </c>
      <c r="L101" s="282" t="s">
        <v>508</v>
      </c>
      <c r="M101" s="339" t="s">
        <v>758</v>
      </c>
      <c r="N101" s="278" t="s">
        <v>758</v>
      </c>
      <c r="O101" s="278">
        <v>812073807</v>
      </c>
      <c r="P101" s="283" t="s">
        <v>768</v>
      </c>
      <c r="Q101" s="278" t="s">
        <v>767</v>
      </c>
      <c r="R101" s="284" t="s">
        <v>28</v>
      </c>
      <c r="S101" s="337" t="s">
        <v>1225</v>
      </c>
      <c r="T101" s="285">
        <v>11484</v>
      </c>
      <c r="U101" s="286">
        <v>1737</v>
      </c>
      <c r="V101" s="287">
        <v>1491</v>
      </c>
      <c r="W101" s="288">
        <v>1410</v>
      </c>
      <c r="X101" s="286"/>
      <c r="Y101" s="289"/>
      <c r="Z101" s="289"/>
      <c r="AA101" s="290">
        <f t="shared" si="24"/>
        <v>12894</v>
      </c>
      <c r="AB101" s="291">
        <f t="shared" si="23"/>
        <v>0</v>
      </c>
      <c r="AC101" s="292">
        <f t="shared" si="15"/>
        <v>-12894</v>
      </c>
      <c r="AD101" s="293"/>
      <c r="AE101" s="293"/>
      <c r="AF101" s="294"/>
      <c r="AG101" s="291"/>
      <c r="AH101" s="295"/>
      <c r="AI101" s="291"/>
      <c r="AJ101" s="295"/>
      <c r="AK101" s="291"/>
      <c r="AL101" s="291"/>
      <c r="AM101" s="291"/>
      <c r="AN101" s="296">
        <v>35000</v>
      </c>
      <c r="AO101" s="296">
        <v>30000</v>
      </c>
      <c r="AP101" s="296"/>
      <c r="AQ101" s="296"/>
      <c r="AR101" s="296"/>
      <c r="AS101" s="296">
        <f t="shared" si="16"/>
        <v>65000</v>
      </c>
      <c r="AT101" s="297">
        <f t="shared" si="17"/>
        <v>19882708</v>
      </c>
      <c r="AU101" s="297">
        <f t="shared" si="18"/>
        <v>-517292</v>
      </c>
      <c r="AV101" s="297">
        <f t="shared" si="19"/>
        <v>1836000</v>
      </c>
      <c r="AW101" s="297">
        <f t="shared" si="20"/>
        <v>659354</v>
      </c>
      <c r="AX101" s="297">
        <f t="shared" si="21"/>
        <v>593418.6</v>
      </c>
      <c r="AY101" s="298">
        <v>50000</v>
      </c>
      <c r="AZ101" s="298"/>
      <c r="BA101" s="297">
        <f t="shared" si="22"/>
        <v>543418.6</v>
      </c>
      <c r="BB101" s="278"/>
      <c r="BC101" s="255"/>
      <c r="BD101" s="255"/>
    </row>
    <row r="102" spans="1:56" s="256" customFormat="1" ht="20" hidden="1" customHeight="1">
      <c r="A102" s="260">
        <v>102</v>
      </c>
      <c r="B102" s="277">
        <v>46173</v>
      </c>
      <c r="C102" s="278" t="s">
        <v>930</v>
      </c>
      <c r="D102" s="278" t="s">
        <v>931</v>
      </c>
      <c r="E102" s="278" t="s">
        <v>932</v>
      </c>
      <c r="F102" s="278" t="s">
        <v>851</v>
      </c>
      <c r="G102" s="279" t="s">
        <v>776</v>
      </c>
      <c r="H102" s="280">
        <v>10550000</v>
      </c>
      <c r="I102" s="280">
        <v>440000</v>
      </c>
      <c r="J102" s="281">
        <f t="shared" si="14"/>
        <v>10990000</v>
      </c>
      <c r="K102" s="282" t="s">
        <v>1212</v>
      </c>
      <c r="L102" s="282" t="s">
        <v>508</v>
      </c>
      <c r="M102" s="339" t="s">
        <v>178</v>
      </c>
      <c r="N102" s="278" t="s">
        <v>236</v>
      </c>
      <c r="O102" s="278">
        <v>810056003</v>
      </c>
      <c r="P102" s="283" t="s">
        <v>180</v>
      </c>
      <c r="Q102" s="278" t="s">
        <v>179</v>
      </c>
      <c r="R102" s="284" t="s">
        <v>28</v>
      </c>
      <c r="S102" s="334" t="s">
        <v>1155</v>
      </c>
      <c r="T102" s="285">
        <v>6580</v>
      </c>
      <c r="U102" s="286">
        <v>1739</v>
      </c>
      <c r="V102" s="287">
        <v>1492</v>
      </c>
      <c r="W102" s="288">
        <v>1420</v>
      </c>
      <c r="X102" s="286"/>
      <c r="Y102" s="289"/>
      <c r="Z102" s="289"/>
      <c r="AA102" s="290">
        <f t="shared" si="24"/>
        <v>8000</v>
      </c>
      <c r="AB102" s="291">
        <f t="shared" si="23"/>
        <v>0</v>
      </c>
      <c r="AC102" s="292">
        <f t="shared" si="15"/>
        <v>-8000</v>
      </c>
      <c r="AD102" s="293"/>
      <c r="AE102" s="293"/>
      <c r="AF102" s="294"/>
      <c r="AG102" s="291"/>
      <c r="AH102" s="295"/>
      <c r="AI102" s="291"/>
      <c r="AJ102" s="295"/>
      <c r="AK102" s="291"/>
      <c r="AL102" s="291"/>
      <c r="AM102" s="291"/>
      <c r="AN102" s="296">
        <v>35000</v>
      </c>
      <c r="AO102" s="296">
        <v>30000</v>
      </c>
      <c r="AP102" s="296"/>
      <c r="AQ102" s="296"/>
      <c r="AR102" s="296"/>
      <c r="AS102" s="296">
        <f t="shared" si="16"/>
        <v>65000</v>
      </c>
      <c r="AT102" s="297">
        <f t="shared" si="17"/>
        <v>11377620</v>
      </c>
      <c r="AU102" s="297">
        <f t="shared" si="18"/>
        <v>387620</v>
      </c>
      <c r="AV102" s="297">
        <f t="shared" si="19"/>
        <v>949500</v>
      </c>
      <c r="AW102" s="297">
        <f t="shared" si="20"/>
        <v>668560</v>
      </c>
      <c r="AX102" s="297">
        <f t="shared" si="21"/>
        <v>601704</v>
      </c>
      <c r="AY102" s="298">
        <v>50000</v>
      </c>
      <c r="AZ102" s="298"/>
      <c r="BA102" s="297">
        <f t="shared" si="22"/>
        <v>551704</v>
      </c>
      <c r="BB102" s="278"/>
      <c r="BC102" s="255"/>
      <c r="BD102" s="255"/>
    </row>
    <row r="103" spans="1:56" s="256" customFormat="1" ht="20" customHeight="1">
      <c r="A103" s="260">
        <v>103</v>
      </c>
      <c r="B103" s="277">
        <v>46173</v>
      </c>
      <c r="C103" s="278" t="s">
        <v>852</v>
      </c>
      <c r="D103" s="278" t="s">
        <v>862</v>
      </c>
      <c r="E103" s="278" t="s">
        <v>856</v>
      </c>
      <c r="F103" s="278" t="s">
        <v>857</v>
      </c>
      <c r="G103" s="279" t="s">
        <v>1255</v>
      </c>
      <c r="H103" s="280">
        <v>49000000</v>
      </c>
      <c r="I103" s="280">
        <v>0</v>
      </c>
      <c r="J103" s="281">
        <f t="shared" si="14"/>
        <v>49000000</v>
      </c>
      <c r="K103" s="282" t="s">
        <v>1212</v>
      </c>
      <c r="L103" s="282" t="s">
        <v>508</v>
      </c>
      <c r="M103" s="339" t="s">
        <v>758</v>
      </c>
      <c r="N103" s="278" t="s">
        <v>758</v>
      </c>
      <c r="O103" s="278">
        <v>812073807</v>
      </c>
      <c r="P103" s="283" t="s">
        <v>768</v>
      </c>
      <c r="Q103" s="278" t="s">
        <v>767</v>
      </c>
      <c r="R103" s="284" t="s">
        <v>28</v>
      </c>
      <c r="S103" s="282"/>
      <c r="T103" s="285">
        <v>27665</v>
      </c>
      <c r="U103" s="286">
        <v>1739</v>
      </c>
      <c r="V103" s="287">
        <v>1492</v>
      </c>
      <c r="W103" s="288">
        <v>1500</v>
      </c>
      <c r="X103" s="286"/>
      <c r="Y103" s="289"/>
      <c r="Z103" s="289"/>
      <c r="AA103" s="290">
        <f t="shared" si="24"/>
        <v>29165</v>
      </c>
      <c r="AB103" s="291">
        <f t="shared" si="23"/>
        <v>0</v>
      </c>
      <c r="AC103" s="292">
        <f t="shared" si="15"/>
        <v>-29165</v>
      </c>
      <c r="AD103" s="293"/>
      <c r="AE103" s="293"/>
      <c r="AF103" s="294"/>
      <c r="AG103" s="291"/>
      <c r="AH103" s="295"/>
      <c r="AI103" s="291"/>
      <c r="AJ103" s="295"/>
      <c r="AK103" s="291"/>
      <c r="AL103" s="291"/>
      <c r="AM103" s="291"/>
      <c r="AN103" s="296">
        <v>35000</v>
      </c>
      <c r="AO103" s="296">
        <v>30000</v>
      </c>
      <c r="AP103" s="296"/>
      <c r="AQ103" s="296"/>
      <c r="AR103" s="296"/>
      <c r="AS103" s="296">
        <f t="shared" si="16"/>
        <v>65000</v>
      </c>
      <c r="AT103" s="297">
        <f t="shared" si="17"/>
        <v>48044435</v>
      </c>
      <c r="AU103" s="297">
        <f t="shared" si="18"/>
        <v>-955565</v>
      </c>
      <c r="AV103" s="297">
        <f t="shared" si="19"/>
        <v>4410000</v>
      </c>
      <c r="AW103" s="297">
        <f t="shared" si="20"/>
        <v>1727217.5</v>
      </c>
      <c r="AX103" s="297">
        <f t="shared" si="21"/>
        <v>1554495.75</v>
      </c>
      <c r="AY103" s="298">
        <v>50000</v>
      </c>
      <c r="AZ103" s="298"/>
      <c r="BA103" s="297">
        <f t="shared" si="22"/>
        <v>1504495.75</v>
      </c>
      <c r="BB103" s="278"/>
      <c r="BC103" s="255"/>
      <c r="BD103" s="255"/>
    </row>
    <row r="104" spans="1:56" s="256" customFormat="1" ht="20" customHeight="1">
      <c r="A104" s="260">
        <v>104</v>
      </c>
      <c r="B104" s="277">
        <v>46174</v>
      </c>
      <c r="C104" s="278" t="s">
        <v>861</v>
      </c>
      <c r="D104" s="278" t="s">
        <v>860</v>
      </c>
      <c r="E104" s="278" t="s">
        <v>858</v>
      </c>
      <c r="F104" s="278" t="s">
        <v>859</v>
      </c>
      <c r="G104" s="279" t="s">
        <v>814</v>
      </c>
      <c r="H104" s="280">
        <v>16300000</v>
      </c>
      <c r="I104" s="280">
        <v>440000</v>
      </c>
      <c r="J104" s="281">
        <f t="shared" si="14"/>
        <v>16740000</v>
      </c>
      <c r="K104" s="282" t="s">
        <v>1212</v>
      </c>
      <c r="L104" s="282" t="s">
        <v>508</v>
      </c>
      <c r="M104" s="339" t="s">
        <v>758</v>
      </c>
      <c r="N104" s="278" t="s">
        <v>758</v>
      </c>
      <c r="O104" s="278">
        <v>812073807</v>
      </c>
      <c r="P104" s="283" t="s">
        <v>768</v>
      </c>
      <c r="Q104" s="278" t="s">
        <v>767</v>
      </c>
      <c r="R104" s="284" t="s">
        <v>28</v>
      </c>
      <c r="S104" s="282"/>
      <c r="T104" s="285">
        <v>9200</v>
      </c>
      <c r="U104" s="286">
        <v>1739</v>
      </c>
      <c r="V104" s="287">
        <v>1492</v>
      </c>
      <c r="W104" s="288">
        <v>1420</v>
      </c>
      <c r="X104" s="286"/>
      <c r="Y104" s="289"/>
      <c r="Z104" s="289"/>
      <c r="AA104" s="290">
        <f t="shared" si="24"/>
        <v>10620</v>
      </c>
      <c r="AB104" s="291">
        <f t="shared" si="23"/>
        <v>0</v>
      </c>
      <c r="AC104" s="292">
        <f t="shared" si="15"/>
        <v>-10620</v>
      </c>
      <c r="AD104" s="293"/>
      <c r="AE104" s="293"/>
      <c r="AF104" s="294"/>
      <c r="AG104" s="291"/>
      <c r="AH104" s="295"/>
      <c r="AI104" s="291"/>
      <c r="AJ104" s="295"/>
      <c r="AK104" s="291"/>
      <c r="AL104" s="291"/>
      <c r="AM104" s="291"/>
      <c r="AN104" s="296">
        <v>35000</v>
      </c>
      <c r="AO104" s="296">
        <v>30000</v>
      </c>
      <c r="AP104" s="296"/>
      <c r="AQ104" s="296"/>
      <c r="AR104" s="296"/>
      <c r="AS104" s="296">
        <f t="shared" si="16"/>
        <v>65000</v>
      </c>
      <c r="AT104" s="297">
        <f t="shared" si="17"/>
        <v>15933800</v>
      </c>
      <c r="AU104" s="297">
        <f t="shared" si="18"/>
        <v>-806200</v>
      </c>
      <c r="AV104" s="297">
        <f t="shared" si="19"/>
        <v>1467000</v>
      </c>
      <c r="AW104" s="297">
        <f t="shared" si="20"/>
        <v>330400</v>
      </c>
      <c r="AX104" s="297">
        <f t="shared" si="21"/>
        <v>297360</v>
      </c>
      <c r="AY104" s="298">
        <v>50000</v>
      </c>
      <c r="AZ104" s="298"/>
      <c r="BA104" s="297">
        <f t="shared" si="22"/>
        <v>247360</v>
      </c>
      <c r="BB104" s="278"/>
      <c r="BC104" s="255"/>
      <c r="BD104" s="255"/>
    </row>
    <row r="105" spans="1:56" s="256" customFormat="1" ht="20" customHeight="1">
      <c r="A105" s="260">
        <v>105</v>
      </c>
      <c r="B105" s="277">
        <v>46177</v>
      </c>
      <c r="C105" s="278" t="s">
        <v>259</v>
      </c>
      <c r="D105" s="278" t="s">
        <v>868</v>
      </c>
      <c r="E105" s="278" t="s">
        <v>869</v>
      </c>
      <c r="F105" s="278" t="s">
        <v>870</v>
      </c>
      <c r="G105" s="279" t="s">
        <v>810</v>
      </c>
      <c r="H105" s="280">
        <v>5800000</v>
      </c>
      <c r="I105" s="280">
        <v>0</v>
      </c>
      <c r="J105" s="281">
        <f t="shared" si="14"/>
        <v>5800000</v>
      </c>
      <c r="K105" s="282" t="s">
        <v>1212</v>
      </c>
      <c r="L105" s="282" t="s">
        <v>508</v>
      </c>
      <c r="M105" s="339" t="s">
        <v>758</v>
      </c>
      <c r="N105" s="278" t="s">
        <v>758</v>
      </c>
      <c r="O105" s="278">
        <v>812073807</v>
      </c>
      <c r="P105" s="283" t="s">
        <v>768</v>
      </c>
      <c r="Q105" s="278" t="s">
        <v>767</v>
      </c>
      <c r="R105" s="284" t="s">
        <v>28</v>
      </c>
      <c r="S105" s="282"/>
      <c r="T105" s="285">
        <v>3300</v>
      </c>
      <c r="U105" s="286">
        <v>1757</v>
      </c>
      <c r="V105" s="287">
        <v>1528</v>
      </c>
      <c r="W105" s="288">
        <v>1420</v>
      </c>
      <c r="X105" s="286"/>
      <c r="Y105" s="289"/>
      <c r="Z105" s="289"/>
      <c r="AA105" s="290">
        <f t="shared" si="24"/>
        <v>4720</v>
      </c>
      <c r="AB105" s="291">
        <f t="shared" si="23"/>
        <v>0</v>
      </c>
      <c r="AC105" s="292">
        <f t="shared" si="15"/>
        <v>-4720</v>
      </c>
      <c r="AD105" s="293"/>
      <c r="AE105" s="293"/>
      <c r="AF105" s="294"/>
      <c r="AG105" s="291"/>
      <c r="AH105" s="295"/>
      <c r="AI105" s="291"/>
      <c r="AJ105" s="295"/>
      <c r="AK105" s="291"/>
      <c r="AL105" s="291"/>
      <c r="AM105" s="291"/>
      <c r="AN105" s="296">
        <v>35000</v>
      </c>
      <c r="AO105" s="296">
        <v>30000</v>
      </c>
      <c r="AP105" s="296"/>
      <c r="AQ105" s="296"/>
      <c r="AR105" s="296"/>
      <c r="AS105" s="296">
        <f t="shared" si="16"/>
        <v>65000</v>
      </c>
      <c r="AT105" s="297">
        <f t="shared" si="17"/>
        <v>5733100</v>
      </c>
      <c r="AU105" s="297">
        <f t="shared" si="18"/>
        <v>-66900</v>
      </c>
      <c r="AV105" s="297">
        <f t="shared" si="19"/>
        <v>522000</v>
      </c>
      <c r="AW105" s="297">
        <f t="shared" si="20"/>
        <v>227550</v>
      </c>
      <c r="AX105" s="297">
        <f t="shared" si="21"/>
        <v>204795</v>
      </c>
      <c r="AY105" s="298">
        <v>50000</v>
      </c>
      <c r="AZ105" s="298"/>
      <c r="BA105" s="297">
        <f t="shared" si="22"/>
        <v>154795</v>
      </c>
      <c r="BB105" s="278"/>
      <c r="BC105" s="255"/>
      <c r="BD105" s="255"/>
    </row>
    <row r="106" spans="1:56" s="256" customFormat="1" ht="20" hidden="1" customHeight="1">
      <c r="A106" s="260">
        <v>106</v>
      </c>
      <c r="B106" s="277">
        <v>46177</v>
      </c>
      <c r="C106" s="278" t="s">
        <v>882</v>
      </c>
      <c r="D106" s="278" t="s">
        <v>880</v>
      </c>
      <c r="E106" s="278" t="s">
        <v>881</v>
      </c>
      <c r="F106" s="278" t="s">
        <v>883</v>
      </c>
      <c r="G106" s="279" t="s">
        <v>776</v>
      </c>
      <c r="H106" s="280">
        <v>9000000</v>
      </c>
      <c r="I106" s="280">
        <v>440000</v>
      </c>
      <c r="J106" s="281">
        <f t="shared" si="14"/>
        <v>9440000</v>
      </c>
      <c r="K106" s="301" t="s">
        <v>1212</v>
      </c>
      <c r="L106" s="282" t="s">
        <v>508</v>
      </c>
      <c r="M106" s="339" t="s">
        <v>51</v>
      </c>
      <c r="N106" s="278" t="s">
        <v>1138</v>
      </c>
      <c r="O106" s="278">
        <v>1004921611</v>
      </c>
      <c r="P106" s="283" t="s">
        <v>1139</v>
      </c>
      <c r="Q106" s="278" t="s">
        <v>1137</v>
      </c>
      <c r="R106" s="284" t="s">
        <v>28</v>
      </c>
      <c r="S106" s="334" t="s">
        <v>1155</v>
      </c>
      <c r="T106" s="285">
        <v>5210</v>
      </c>
      <c r="U106" s="286">
        <v>1757</v>
      </c>
      <c r="V106" s="287">
        <v>1528</v>
      </c>
      <c r="W106" s="288">
        <v>1500</v>
      </c>
      <c r="X106" s="286"/>
      <c r="Y106" s="289"/>
      <c r="Z106" s="289"/>
      <c r="AA106" s="290">
        <f t="shared" si="24"/>
        <v>6710</v>
      </c>
      <c r="AB106" s="291">
        <f t="shared" si="23"/>
        <v>0</v>
      </c>
      <c r="AC106" s="292">
        <f t="shared" si="15"/>
        <v>-6710</v>
      </c>
      <c r="AD106" s="293"/>
      <c r="AE106" s="293"/>
      <c r="AF106" s="294"/>
      <c r="AG106" s="291"/>
      <c r="AH106" s="295"/>
      <c r="AI106" s="291"/>
      <c r="AJ106" s="295"/>
      <c r="AK106" s="291"/>
      <c r="AL106" s="291"/>
      <c r="AM106" s="291"/>
      <c r="AN106" s="296">
        <v>35000</v>
      </c>
      <c r="AO106" s="296">
        <v>30000</v>
      </c>
      <c r="AP106" s="296"/>
      <c r="AQ106" s="296"/>
      <c r="AR106" s="296"/>
      <c r="AS106" s="296">
        <f t="shared" si="16"/>
        <v>65000</v>
      </c>
      <c r="AT106" s="297">
        <f t="shared" si="17"/>
        <v>9088970</v>
      </c>
      <c r="AU106" s="297">
        <f t="shared" si="18"/>
        <v>-351030</v>
      </c>
      <c r="AV106" s="297">
        <f t="shared" si="19"/>
        <v>810000</v>
      </c>
      <c r="AW106" s="297">
        <f t="shared" si="20"/>
        <v>229485</v>
      </c>
      <c r="AX106" s="297">
        <f t="shared" si="21"/>
        <v>206536.5</v>
      </c>
      <c r="AY106" s="298">
        <v>50000</v>
      </c>
      <c r="AZ106" s="298"/>
      <c r="BA106" s="297">
        <f t="shared" si="22"/>
        <v>156536.5</v>
      </c>
      <c r="BB106" s="278"/>
      <c r="BC106" s="255"/>
      <c r="BD106" s="255"/>
    </row>
    <row r="107" spans="1:56" s="256" customFormat="1" ht="20" hidden="1" customHeight="1">
      <c r="A107" s="260">
        <v>107</v>
      </c>
      <c r="B107" s="277">
        <v>46177</v>
      </c>
      <c r="C107" s="278" t="s">
        <v>884</v>
      </c>
      <c r="D107" s="278" t="s">
        <v>885</v>
      </c>
      <c r="E107" s="278" t="s">
        <v>886</v>
      </c>
      <c r="F107" s="278" t="s">
        <v>887</v>
      </c>
      <c r="G107" s="279" t="s">
        <v>776</v>
      </c>
      <c r="H107" s="280">
        <v>20300000</v>
      </c>
      <c r="I107" s="280">
        <v>0</v>
      </c>
      <c r="J107" s="281">
        <f t="shared" si="14"/>
        <v>20300000</v>
      </c>
      <c r="K107" s="301" t="s">
        <v>1212</v>
      </c>
      <c r="L107" s="282" t="s">
        <v>508</v>
      </c>
      <c r="M107" s="339" t="s">
        <v>178</v>
      </c>
      <c r="N107" s="278" t="s">
        <v>1152</v>
      </c>
      <c r="O107" s="278">
        <v>1240396196</v>
      </c>
      <c r="P107" s="283" t="s">
        <v>1153</v>
      </c>
      <c r="Q107" s="278" t="s">
        <v>1154</v>
      </c>
      <c r="R107" s="284" t="s">
        <v>28</v>
      </c>
      <c r="S107" s="334" t="s">
        <v>1155</v>
      </c>
      <c r="T107" s="285">
        <v>11280</v>
      </c>
      <c r="U107" s="286">
        <v>1757</v>
      </c>
      <c r="V107" s="287">
        <v>1528</v>
      </c>
      <c r="W107" s="288">
        <v>1420</v>
      </c>
      <c r="X107" s="286"/>
      <c r="Y107" s="289"/>
      <c r="Z107" s="289"/>
      <c r="AA107" s="290">
        <f t="shared" si="24"/>
        <v>12700</v>
      </c>
      <c r="AB107" s="291">
        <f t="shared" si="23"/>
        <v>0</v>
      </c>
      <c r="AC107" s="292">
        <f t="shared" si="15"/>
        <v>-12700</v>
      </c>
      <c r="AD107" s="293"/>
      <c r="AE107" s="293"/>
      <c r="AF107" s="294"/>
      <c r="AG107" s="291"/>
      <c r="AH107" s="295"/>
      <c r="AI107" s="291"/>
      <c r="AJ107" s="295"/>
      <c r="AK107" s="291"/>
      <c r="AL107" s="291"/>
      <c r="AM107" s="291"/>
      <c r="AN107" s="296">
        <v>35000</v>
      </c>
      <c r="AO107" s="296">
        <v>30000</v>
      </c>
      <c r="AP107" s="296"/>
      <c r="AQ107" s="296"/>
      <c r="AR107" s="296"/>
      <c r="AS107" s="296">
        <f t="shared" si="16"/>
        <v>65000</v>
      </c>
      <c r="AT107" s="297">
        <f t="shared" si="17"/>
        <v>19753960</v>
      </c>
      <c r="AU107" s="297">
        <f t="shared" si="18"/>
        <v>-546040</v>
      </c>
      <c r="AV107" s="297">
        <f t="shared" si="19"/>
        <v>1827000</v>
      </c>
      <c r="AW107" s="297">
        <f t="shared" si="20"/>
        <v>640480</v>
      </c>
      <c r="AX107" s="297">
        <f t="shared" si="21"/>
        <v>576432</v>
      </c>
      <c r="AY107" s="298">
        <v>50000</v>
      </c>
      <c r="AZ107" s="298"/>
      <c r="BA107" s="297">
        <f t="shared" si="22"/>
        <v>526432</v>
      </c>
      <c r="BB107" s="278"/>
      <c r="BC107" s="255"/>
      <c r="BD107" s="255"/>
    </row>
    <row r="108" spans="1:56" s="256" customFormat="1" ht="20" customHeight="1">
      <c r="A108" s="260">
        <v>108</v>
      </c>
      <c r="B108" s="277">
        <v>46177</v>
      </c>
      <c r="C108" s="278" t="s">
        <v>890</v>
      </c>
      <c r="D108" s="278" t="s">
        <v>888</v>
      </c>
      <c r="E108" s="278" t="s">
        <v>889</v>
      </c>
      <c r="F108" s="278" t="s">
        <v>891</v>
      </c>
      <c r="G108" s="279" t="s">
        <v>895</v>
      </c>
      <c r="H108" s="280">
        <v>52900000</v>
      </c>
      <c r="I108" s="280">
        <v>0</v>
      </c>
      <c r="J108" s="281">
        <f t="shared" si="14"/>
        <v>52900000</v>
      </c>
      <c r="K108" s="301" t="s">
        <v>1212</v>
      </c>
      <c r="L108" s="282" t="s">
        <v>508</v>
      </c>
      <c r="M108" s="339" t="s">
        <v>758</v>
      </c>
      <c r="N108" s="278" t="s">
        <v>758</v>
      </c>
      <c r="O108" s="278">
        <v>812073807</v>
      </c>
      <c r="P108" s="283" t="s">
        <v>768</v>
      </c>
      <c r="Q108" s="278" t="s">
        <v>767</v>
      </c>
      <c r="R108" s="284" t="s">
        <v>28</v>
      </c>
      <c r="S108" s="282"/>
      <c r="T108" s="285">
        <v>28950</v>
      </c>
      <c r="U108" s="286">
        <v>1757</v>
      </c>
      <c r="V108" s="287">
        <v>1528</v>
      </c>
      <c r="W108" s="288">
        <v>0</v>
      </c>
      <c r="X108" s="286"/>
      <c r="Y108" s="289"/>
      <c r="Z108" s="289"/>
      <c r="AA108" s="290">
        <f t="shared" si="24"/>
        <v>28950</v>
      </c>
      <c r="AB108" s="291">
        <f t="shared" si="23"/>
        <v>0</v>
      </c>
      <c r="AC108" s="292">
        <f t="shared" si="15"/>
        <v>-28950</v>
      </c>
      <c r="AD108" s="293"/>
      <c r="AE108" s="293"/>
      <c r="AF108" s="294"/>
      <c r="AG108" s="291"/>
      <c r="AH108" s="295"/>
      <c r="AI108" s="291"/>
      <c r="AJ108" s="295"/>
      <c r="AK108" s="291"/>
      <c r="AL108" s="291"/>
      <c r="AM108" s="291"/>
      <c r="AN108" s="296">
        <v>35000</v>
      </c>
      <c r="AO108" s="296">
        <v>30000</v>
      </c>
      <c r="AP108" s="296"/>
      <c r="AQ108" s="296"/>
      <c r="AR108" s="296"/>
      <c r="AS108" s="296">
        <f t="shared" si="16"/>
        <v>65000</v>
      </c>
      <c r="AT108" s="297">
        <f t="shared" si="17"/>
        <v>50800150</v>
      </c>
      <c r="AU108" s="297">
        <f t="shared" si="18"/>
        <v>-2099850</v>
      </c>
      <c r="AV108" s="297">
        <f t="shared" si="19"/>
        <v>4761000</v>
      </c>
      <c r="AW108" s="297">
        <f t="shared" si="20"/>
        <v>1330575</v>
      </c>
      <c r="AX108" s="297">
        <f t="shared" si="21"/>
        <v>1197517.5</v>
      </c>
      <c r="AY108" s="298">
        <v>50000</v>
      </c>
      <c r="AZ108" s="298"/>
      <c r="BA108" s="297">
        <f t="shared" si="22"/>
        <v>1147517.5</v>
      </c>
      <c r="BB108" s="278"/>
      <c r="BC108" s="255"/>
      <c r="BD108" s="255"/>
    </row>
    <row r="109" spans="1:56" s="256" customFormat="1" ht="20" hidden="1" customHeight="1">
      <c r="A109" s="260">
        <v>109</v>
      </c>
      <c r="B109" s="277">
        <v>46177</v>
      </c>
      <c r="C109" s="278" t="s">
        <v>894</v>
      </c>
      <c r="D109" s="278" t="s">
        <v>892</v>
      </c>
      <c r="E109" s="278" t="s">
        <v>893</v>
      </c>
      <c r="F109" s="278" t="s">
        <v>1116</v>
      </c>
      <c r="G109" s="279" t="s">
        <v>759</v>
      </c>
      <c r="H109" s="280">
        <v>29400000</v>
      </c>
      <c r="I109" s="280">
        <v>0</v>
      </c>
      <c r="J109" s="281">
        <f t="shared" si="14"/>
        <v>29400000</v>
      </c>
      <c r="K109" s="301" t="s">
        <v>509</v>
      </c>
      <c r="L109" s="282" t="s">
        <v>508</v>
      </c>
      <c r="M109" s="339" t="s">
        <v>464</v>
      </c>
      <c r="N109" s="278" t="s">
        <v>896</v>
      </c>
      <c r="O109" s="278">
        <v>9206120563</v>
      </c>
      <c r="P109" s="283" t="s">
        <v>391</v>
      </c>
      <c r="Q109" s="278" t="s">
        <v>897</v>
      </c>
      <c r="R109" s="284" t="s">
        <v>937</v>
      </c>
      <c r="S109" s="334" t="s">
        <v>1155</v>
      </c>
      <c r="T109" s="285">
        <v>16810</v>
      </c>
      <c r="U109" s="286">
        <v>1751</v>
      </c>
      <c r="V109" s="287">
        <v>1513</v>
      </c>
      <c r="W109" s="288">
        <v>1500</v>
      </c>
      <c r="X109" s="286" t="s">
        <v>1219</v>
      </c>
      <c r="Y109" s="289"/>
      <c r="Z109" s="289"/>
      <c r="AA109" s="290">
        <f t="shared" si="24"/>
        <v>18310</v>
      </c>
      <c r="AB109" s="291">
        <f t="shared" si="23"/>
        <v>0</v>
      </c>
      <c r="AC109" s="292">
        <f t="shared" si="15"/>
        <v>-18310</v>
      </c>
      <c r="AD109" s="293"/>
      <c r="AE109" s="293"/>
      <c r="AF109" s="294"/>
      <c r="AG109" s="291"/>
      <c r="AH109" s="295"/>
      <c r="AI109" s="291"/>
      <c r="AJ109" s="295"/>
      <c r="AK109" s="291"/>
      <c r="AL109" s="291"/>
      <c r="AM109" s="291"/>
      <c r="AN109" s="296">
        <v>35000</v>
      </c>
      <c r="AO109" s="296">
        <v>30000</v>
      </c>
      <c r="AP109" s="296"/>
      <c r="AQ109" s="296"/>
      <c r="AR109" s="296"/>
      <c r="AS109" s="296">
        <f t="shared" si="16"/>
        <v>65000</v>
      </c>
      <c r="AT109" s="297">
        <f t="shared" si="17"/>
        <v>29369310</v>
      </c>
      <c r="AU109" s="297">
        <f t="shared" si="18"/>
        <v>-30690</v>
      </c>
      <c r="AV109" s="297">
        <f t="shared" si="19"/>
        <v>2646000</v>
      </c>
      <c r="AW109" s="297">
        <f t="shared" si="20"/>
        <v>1307655</v>
      </c>
      <c r="AX109" s="297">
        <f t="shared" si="21"/>
        <v>1176889.5</v>
      </c>
      <c r="AY109" s="298">
        <v>50000</v>
      </c>
      <c r="AZ109" s="298"/>
      <c r="BA109" s="297">
        <f t="shared" si="22"/>
        <v>1126889.5</v>
      </c>
      <c r="BB109" s="278"/>
      <c r="BC109" s="255"/>
      <c r="BD109" s="255"/>
    </row>
    <row r="110" spans="1:56" s="256" customFormat="1" ht="20" hidden="1" customHeight="1">
      <c r="A110" s="260">
        <v>110</v>
      </c>
      <c r="B110" s="277">
        <v>46177</v>
      </c>
      <c r="C110" s="278" t="s">
        <v>240</v>
      </c>
      <c r="D110" s="278" t="s">
        <v>898</v>
      </c>
      <c r="E110" s="278" t="s">
        <v>899</v>
      </c>
      <c r="F110" s="278" t="s">
        <v>900</v>
      </c>
      <c r="G110" s="279" t="s">
        <v>766</v>
      </c>
      <c r="H110" s="280">
        <v>16700000</v>
      </c>
      <c r="I110" s="280">
        <v>440000</v>
      </c>
      <c r="J110" s="281">
        <f t="shared" si="14"/>
        <v>17140000</v>
      </c>
      <c r="K110" s="282" t="s">
        <v>1212</v>
      </c>
      <c r="L110" s="282" t="s">
        <v>910</v>
      </c>
      <c r="M110" s="339" t="s">
        <v>51</v>
      </c>
      <c r="N110" s="278" t="s">
        <v>1135</v>
      </c>
      <c r="O110" s="278">
        <v>1004921620</v>
      </c>
      <c r="P110" s="283" t="s">
        <v>1136</v>
      </c>
      <c r="Q110" s="278" t="s">
        <v>1137</v>
      </c>
      <c r="R110" s="284" t="s">
        <v>28</v>
      </c>
      <c r="S110" s="334" t="s">
        <v>1155</v>
      </c>
      <c r="T110" s="285">
        <v>9500</v>
      </c>
      <c r="U110" s="286">
        <v>1764</v>
      </c>
      <c r="V110" s="287">
        <v>1517</v>
      </c>
      <c r="W110" s="288">
        <v>1500</v>
      </c>
      <c r="X110" s="286"/>
      <c r="Y110" s="289"/>
      <c r="Z110" s="289"/>
      <c r="AA110" s="290">
        <f t="shared" si="24"/>
        <v>11000</v>
      </c>
      <c r="AB110" s="291">
        <f t="shared" si="23"/>
        <v>0</v>
      </c>
      <c r="AC110" s="292">
        <f t="shared" si="15"/>
        <v>-11000</v>
      </c>
      <c r="AD110" s="293"/>
      <c r="AE110" s="293"/>
      <c r="AF110" s="294"/>
      <c r="AG110" s="291"/>
      <c r="AH110" s="295"/>
      <c r="AI110" s="291"/>
      <c r="AJ110" s="295"/>
      <c r="AK110" s="291"/>
      <c r="AL110" s="291"/>
      <c r="AM110" s="291"/>
      <c r="AN110" s="296">
        <v>35000</v>
      </c>
      <c r="AO110" s="296">
        <v>30000</v>
      </c>
      <c r="AP110" s="296"/>
      <c r="AQ110" s="296"/>
      <c r="AR110" s="296"/>
      <c r="AS110" s="296">
        <f t="shared" si="16"/>
        <v>65000</v>
      </c>
      <c r="AT110" s="297">
        <f t="shared" si="17"/>
        <v>16693000</v>
      </c>
      <c r="AU110" s="297">
        <f t="shared" si="18"/>
        <v>-447000</v>
      </c>
      <c r="AV110" s="297">
        <f t="shared" si="19"/>
        <v>1503000</v>
      </c>
      <c r="AW110" s="297">
        <f t="shared" si="20"/>
        <v>528000</v>
      </c>
      <c r="AX110" s="297">
        <f t="shared" si="21"/>
        <v>475200</v>
      </c>
      <c r="AY110" s="298">
        <v>50000</v>
      </c>
      <c r="AZ110" s="298"/>
      <c r="BA110" s="297">
        <f t="shared" si="22"/>
        <v>425200</v>
      </c>
      <c r="BB110" s="278"/>
      <c r="BC110" s="255"/>
      <c r="BD110" s="255"/>
    </row>
    <row r="111" spans="1:56" s="256" customFormat="1" ht="20" customHeight="1">
      <c r="A111" s="260">
        <v>111</v>
      </c>
      <c r="B111" s="277">
        <v>46177</v>
      </c>
      <c r="C111" s="278" t="s">
        <v>375</v>
      </c>
      <c r="D111" s="278" t="s">
        <v>901</v>
      </c>
      <c r="E111" s="278" t="s">
        <v>902</v>
      </c>
      <c r="F111" s="278" t="s">
        <v>903</v>
      </c>
      <c r="G111" s="279" t="s">
        <v>904</v>
      </c>
      <c r="H111" s="280">
        <v>14200000</v>
      </c>
      <c r="I111" s="280">
        <v>0</v>
      </c>
      <c r="J111" s="281">
        <f t="shared" ref="J111:J119" si="25">H111+I111</f>
        <v>14200000</v>
      </c>
      <c r="K111" s="282" t="s">
        <v>1212</v>
      </c>
      <c r="L111" s="282" t="s">
        <v>910</v>
      </c>
      <c r="M111" s="339" t="s">
        <v>758</v>
      </c>
      <c r="N111" s="278" t="s">
        <v>758</v>
      </c>
      <c r="O111" s="278">
        <v>812073807</v>
      </c>
      <c r="P111" s="283" t="s">
        <v>768</v>
      </c>
      <c r="Q111" s="278" t="s">
        <v>767</v>
      </c>
      <c r="R111" s="284" t="s">
        <v>28</v>
      </c>
      <c r="S111" s="282"/>
      <c r="T111" s="285">
        <v>7810</v>
      </c>
      <c r="U111" s="286">
        <v>1764</v>
      </c>
      <c r="V111" s="287">
        <v>1517</v>
      </c>
      <c r="W111" s="288">
        <v>1410</v>
      </c>
      <c r="X111" s="286"/>
      <c r="Y111" s="289"/>
      <c r="Z111" s="289"/>
      <c r="AA111" s="290">
        <f t="shared" si="24"/>
        <v>9220</v>
      </c>
      <c r="AB111" s="291">
        <f t="shared" si="23"/>
        <v>0</v>
      </c>
      <c r="AC111" s="292">
        <f>SUM(AB111-AA111)</f>
        <v>-9220</v>
      </c>
      <c r="AD111" s="293"/>
      <c r="AE111" s="293"/>
      <c r="AF111" s="294"/>
      <c r="AG111" s="291"/>
      <c r="AH111" s="295"/>
      <c r="AI111" s="291"/>
      <c r="AJ111" s="295"/>
      <c r="AK111" s="291"/>
      <c r="AL111" s="291"/>
      <c r="AM111" s="291"/>
      <c r="AN111" s="296">
        <v>35000</v>
      </c>
      <c r="AO111" s="296">
        <v>30000</v>
      </c>
      <c r="AP111" s="296"/>
      <c r="AQ111" s="296"/>
      <c r="AR111" s="296"/>
      <c r="AS111" s="296">
        <f t="shared" si="16"/>
        <v>65000</v>
      </c>
      <c r="AT111" s="297">
        <f t="shared" si="17"/>
        <v>13711840</v>
      </c>
      <c r="AU111" s="297">
        <f t="shared" ref="AU111:AU174" si="26">SUM(AT111-J111)</f>
        <v>-488160</v>
      </c>
      <c r="AV111" s="297">
        <f t="shared" ref="AV111:AV174" si="27">SUM(0.09*H111)</f>
        <v>1278000</v>
      </c>
      <c r="AW111" s="297">
        <f t="shared" si="20"/>
        <v>394920</v>
      </c>
      <c r="AX111" s="297">
        <f t="shared" si="21"/>
        <v>355428</v>
      </c>
      <c r="AY111" s="298">
        <v>50000</v>
      </c>
      <c r="AZ111" s="298"/>
      <c r="BA111" s="297">
        <f t="shared" si="22"/>
        <v>305428</v>
      </c>
      <c r="BB111" s="278"/>
      <c r="BC111" s="255"/>
      <c r="BD111" s="255"/>
    </row>
    <row r="112" spans="1:56" s="256" customFormat="1" ht="20" hidden="1" customHeight="1">
      <c r="A112" s="260">
        <v>112</v>
      </c>
      <c r="B112" s="277">
        <v>46178</v>
      </c>
      <c r="C112" s="278" t="s">
        <v>1093</v>
      </c>
      <c r="D112" s="278" t="s">
        <v>1092</v>
      </c>
      <c r="E112" s="278" t="s">
        <v>1094</v>
      </c>
      <c r="F112" s="278" t="s">
        <v>1095</v>
      </c>
      <c r="G112" s="279" t="s">
        <v>1096</v>
      </c>
      <c r="H112" s="280">
        <v>8100000</v>
      </c>
      <c r="I112" s="280">
        <v>0</v>
      </c>
      <c r="J112" s="281">
        <f t="shared" si="25"/>
        <v>8100000</v>
      </c>
      <c r="K112" s="301" t="s">
        <v>1212</v>
      </c>
      <c r="L112" s="282" t="s">
        <v>508</v>
      </c>
      <c r="M112" s="339" t="s">
        <v>1097</v>
      </c>
      <c r="N112" s="278" t="s">
        <v>1098</v>
      </c>
      <c r="O112" s="278">
        <v>1175553165</v>
      </c>
      <c r="P112" s="283" t="s">
        <v>1100</v>
      </c>
      <c r="Q112" s="278" t="s">
        <v>1099</v>
      </c>
      <c r="R112" s="284" t="s">
        <v>28</v>
      </c>
      <c r="S112" s="282"/>
      <c r="T112" s="285">
        <v>4600</v>
      </c>
      <c r="U112" s="286">
        <v>1764</v>
      </c>
      <c r="V112" s="287">
        <v>1530</v>
      </c>
      <c r="W112" s="288">
        <v>1500</v>
      </c>
      <c r="X112" s="286"/>
      <c r="Y112" s="289"/>
      <c r="Z112" s="289"/>
      <c r="AA112" s="290">
        <f t="shared" si="24"/>
        <v>6100</v>
      </c>
      <c r="AB112" s="291">
        <f t="shared" ref="AB112:AB129" si="28">SUM(AG112+AI112+AK112+AL112-AM112)</f>
        <v>0</v>
      </c>
      <c r="AC112" s="292">
        <f t="shared" ref="AC112:AC118" si="29">SUM(AB112-AA112)</f>
        <v>-6100</v>
      </c>
      <c r="AD112" s="293"/>
      <c r="AE112" s="293"/>
      <c r="AF112" s="294"/>
      <c r="AG112" s="291"/>
      <c r="AH112" s="295"/>
      <c r="AI112" s="291"/>
      <c r="AJ112" s="295"/>
      <c r="AK112" s="291"/>
      <c r="AL112" s="291"/>
      <c r="AM112" s="291"/>
      <c r="AN112" s="296">
        <v>35000</v>
      </c>
      <c r="AO112" s="296">
        <v>30000</v>
      </c>
      <c r="AP112" s="296"/>
      <c r="AQ112" s="296"/>
      <c r="AR112" s="296"/>
      <c r="AS112" s="296">
        <f t="shared" ref="AS112:AS129" si="30">SUM(AN112:AR112)</f>
        <v>65000</v>
      </c>
      <c r="AT112" s="297">
        <f t="shared" ref="AT112:AT129" si="31">SUM(AA112-W112)*U112-AS112</f>
        <v>8049400</v>
      </c>
      <c r="AU112" s="297">
        <f t="shared" si="26"/>
        <v>-50600</v>
      </c>
      <c r="AV112" s="297">
        <f t="shared" si="27"/>
        <v>729000</v>
      </c>
      <c r="AW112" s="297">
        <f t="shared" ref="AW112:AW129" si="32">SUM(AU112:AV112)/2</f>
        <v>339200</v>
      </c>
      <c r="AX112" s="297">
        <f t="shared" ref="AX112:AX129" si="33">AW112-(AW112*10%)</f>
        <v>305280</v>
      </c>
      <c r="AY112" s="298">
        <v>50000</v>
      </c>
      <c r="AZ112" s="298"/>
      <c r="BA112" s="297">
        <f t="shared" ref="BA112:BA136" si="34">SUM(AX112-AY112-AZ112)</f>
        <v>255280</v>
      </c>
      <c r="BB112" s="278"/>
      <c r="BC112" s="255"/>
      <c r="BD112" s="255"/>
    </row>
    <row r="113" spans="1:56" s="256" customFormat="1" ht="20" customHeight="1">
      <c r="A113" s="260">
        <v>113</v>
      </c>
      <c r="B113" s="277">
        <v>46178</v>
      </c>
      <c r="C113" s="278" t="s">
        <v>1107</v>
      </c>
      <c r="D113" s="278" t="s">
        <v>1169</v>
      </c>
      <c r="E113" s="278" t="s">
        <v>1170</v>
      </c>
      <c r="F113" s="278" t="s">
        <v>1171</v>
      </c>
      <c r="G113" s="279" t="s">
        <v>1172</v>
      </c>
      <c r="H113" s="280">
        <v>145000000</v>
      </c>
      <c r="I113" s="280">
        <v>0</v>
      </c>
      <c r="J113" s="281">
        <f t="shared" si="25"/>
        <v>145000000</v>
      </c>
      <c r="K113" s="301" t="s">
        <v>1212</v>
      </c>
      <c r="L113" s="282" t="s">
        <v>508</v>
      </c>
      <c r="M113" s="339" t="s">
        <v>758</v>
      </c>
      <c r="N113" s="278" t="s">
        <v>758</v>
      </c>
      <c r="O113" s="278">
        <v>812073807</v>
      </c>
      <c r="P113" s="283" t="s">
        <v>768</v>
      </c>
      <c r="Q113" s="278" t="s">
        <v>767</v>
      </c>
      <c r="R113" s="284" t="s">
        <v>28</v>
      </c>
      <c r="S113" s="282"/>
      <c r="T113" s="285">
        <v>79700</v>
      </c>
      <c r="U113" s="286">
        <v>1764</v>
      </c>
      <c r="V113" s="287">
        <v>1517</v>
      </c>
      <c r="W113" s="288">
        <v>2530</v>
      </c>
      <c r="X113" s="286" t="s">
        <v>1158</v>
      </c>
      <c r="Y113" s="289"/>
      <c r="Z113" s="289"/>
      <c r="AA113" s="290">
        <f t="shared" si="24"/>
        <v>82230</v>
      </c>
      <c r="AB113" s="291">
        <f t="shared" si="28"/>
        <v>0</v>
      </c>
      <c r="AC113" s="292">
        <f t="shared" si="29"/>
        <v>-82230</v>
      </c>
      <c r="AD113" s="293"/>
      <c r="AE113" s="293"/>
      <c r="AF113" s="294"/>
      <c r="AG113" s="291"/>
      <c r="AH113" s="295"/>
      <c r="AI113" s="291"/>
      <c r="AJ113" s="295"/>
      <c r="AK113" s="291"/>
      <c r="AL113" s="291"/>
      <c r="AM113" s="291"/>
      <c r="AN113" s="296">
        <v>35000</v>
      </c>
      <c r="AO113" s="296">
        <v>30000</v>
      </c>
      <c r="AP113" s="296"/>
      <c r="AQ113" s="296"/>
      <c r="AR113" s="296"/>
      <c r="AS113" s="296">
        <f t="shared" si="30"/>
        <v>65000</v>
      </c>
      <c r="AT113" s="297">
        <f t="shared" si="31"/>
        <v>140525800</v>
      </c>
      <c r="AU113" s="297">
        <f t="shared" si="26"/>
        <v>-4474200</v>
      </c>
      <c r="AV113" s="297">
        <f t="shared" si="27"/>
        <v>13050000</v>
      </c>
      <c r="AW113" s="297">
        <f t="shared" si="32"/>
        <v>4287900</v>
      </c>
      <c r="AX113" s="297">
        <f t="shared" si="33"/>
        <v>3859110</v>
      </c>
      <c r="AY113" s="298">
        <v>50000</v>
      </c>
      <c r="AZ113" s="298"/>
      <c r="BA113" s="297">
        <f t="shared" si="34"/>
        <v>3809110</v>
      </c>
      <c r="BB113" s="278"/>
      <c r="BC113" s="255"/>
      <c r="BD113" s="255"/>
    </row>
    <row r="114" spans="1:56" s="256" customFormat="1" ht="20" customHeight="1">
      <c r="A114" s="260">
        <v>114</v>
      </c>
      <c r="B114" s="277">
        <v>46178</v>
      </c>
      <c r="C114" s="278" t="s">
        <v>1108</v>
      </c>
      <c r="D114" s="278" t="s">
        <v>1173</v>
      </c>
      <c r="E114" s="278" t="s">
        <v>1174</v>
      </c>
      <c r="F114" s="278" t="s">
        <v>1175</v>
      </c>
      <c r="G114" s="279" t="s">
        <v>1176</v>
      </c>
      <c r="H114" s="280">
        <v>46500000</v>
      </c>
      <c r="I114" s="280">
        <v>240000</v>
      </c>
      <c r="J114" s="281">
        <f t="shared" si="25"/>
        <v>46740000</v>
      </c>
      <c r="K114" s="301" t="s">
        <v>1212</v>
      </c>
      <c r="L114" s="282" t="s">
        <v>508</v>
      </c>
      <c r="M114" s="339" t="s">
        <v>758</v>
      </c>
      <c r="N114" s="278" t="s">
        <v>758</v>
      </c>
      <c r="O114" s="278">
        <v>812073807</v>
      </c>
      <c r="P114" s="283" t="s">
        <v>768</v>
      </c>
      <c r="Q114" s="278" t="s">
        <v>767</v>
      </c>
      <c r="R114" s="284" t="s">
        <v>28</v>
      </c>
      <c r="S114" s="282"/>
      <c r="T114" s="285">
        <v>25180</v>
      </c>
      <c r="U114" s="286">
        <v>1764</v>
      </c>
      <c r="V114" s="287">
        <v>1517</v>
      </c>
      <c r="W114" s="288">
        <v>1500</v>
      </c>
      <c r="X114" s="286"/>
      <c r="Y114" s="289"/>
      <c r="Z114" s="289"/>
      <c r="AA114" s="290">
        <f t="shared" si="24"/>
        <v>26680</v>
      </c>
      <c r="AB114" s="291">
        <f t="shared" si="28"/>
        <v>0</v>
      </c>
      <c r="AC114" s="292">
        <f t="shared" si="29"/>
        <v>-26680</v>
      </c>
      <c r="AD114" s="293"/>
      <c r="AE114" s="293"/>
      <c r="AF114" s="294"/>
      <c r="AG114" s="291"/>
      <c r="AH114" s="295"/>
      <c r="AI114" s="291"/>
      <c r="AJ114" s="295"/>
      <c r="AK114" s="291"/>
      <c r="AL114" s="291"/>
      <c r="AM114" s="291"/>
      <c r="AN114" s="296">
        <v>35000</v>
      </c>
      <c r="AO114" s="296">
        <v>30000</v>
      </c>
      <c r="AP114" s="296"/>
      <c r="AQ114" s="296"/>
      <c r="AR114" s="296"/>
      <c r="AS114" s="296">
        <f t="shared" si="30"/>
        <v>65000</v>
      </c>
      <c r="AT114" s="297">
        <f t="shared" si="31"/>
        <v>44352520</v>
      </c>
      <c r="AU114" s="297">
        <f t="shared" si="26"/>
        <v>-2387480</v>
      </c>
      <c r="AV114" s="297">
        <f t="shared" si="27"/>
        <v>4185000</v>
      </c>
      <c r="AW114" s="297">
        <f t="shared" si="32"/>
        <v>898760</v>
      </c>
      <c r="AX114" s="297">
        <f t="shared" si="33"/>
        <v>808884</v>
      </c>
      <c r="AY114" s="298">
        <v>50000</v>
      </c>
      <c r="AZ114" s="298"/>
      <c r="BA114" s="297">
        <f t="shared" si="34"/>
        <v>758884</v>
      </c>
      <c r="BB114" s="278"/>
      <c r="BC114" s="255"/>
      <c r="BD114" s="255"/>
    </row>
    <row r="115" spans="1:56" s="256" customFormat="1" ht="20" hidden="1" customHeight="1">
      <c r="A115" s="260">
        <v>115</v>
      </c>
      <c r="B115" s="277">
        <v>46180</v>
      </c>
      <c r="C115" s="278" t="s">
        <v>240</v>
      </c>
      <c r="D115" s="278" t="s">
        <v>1177</v>
      </c>
      <c r="E115" s="278" t="s">
        <v>1178</v>
      </c>
      <c r="F115" s="278" t="s">
        <v>1179</v>
      </c>
      <c r="G115" s="279" t="s">
        <v>1180</v>
      </c>
      <c r="H115" s="280">
        <v>9500000</v>
      </c>
      <c r="I115" s="280">
        <v>0</v>
      </c>
      <c r="J115" s="281">
        <f t="shared" si="25"/>
        <v>9500000</v>
      </c>
      <c r="K115" s="301" t="s">
        <v>1212</v>
      </c>
      <c r="L115" s="282" t="s">
        <v>508</v>
      </c>
      <c r="M115" s="339" t="s">
        <v>178</v>
      </c>
      <c r="N115" s="278" t="s">
        <v>236</v>
      </c>
      <c r="O115" s="278">
        <v>810056003</v>
      </c>
      <c r="P115" s="283" t="s">
        <v>1153</v>
      </c>
      <c r="Q115" s="278" t="s">
        <v>179</v>
      </c>
      <c r="R115" s="284" t="s">
        <v>28</v>
      </c>
      <c r="S115" s="334" t="s">
        <v>1155</v>
      </c>
      <c r="T115" s="285">
        <v>5550</v>
      </c>
      <c r="U115" s="286">
        <v>1764</v>
      </c>
      <c r="V115" s="287">
        <v>1517</v>
      </c>
      <c r="W115" s="288">
        <v>1500</v>
      </c>
      <c r="X115" s="286"/>
      <c r="Y115" s="289"/>
      <c r="Z115" s="289"/>
      <c r="AA115" s="290">
        <f t="shared" si="24"/>
        <v>7050</v>
      </c>
      <c r="AB115" s="291">
        <f t="shared" si="28"/>
        <v>0</v>
      </c>
      <c r="AC115" s="292">
        <f t="shared" si="29"/>
        <v>-7050</v>
      </c>
      <c r="AD115" s="293"/>
      <c r="AE115" s="293"/>
      <c r="AF115" s="294"/>
      <c r="AG115" s="291"/>
      <c r="AH115" s="295"/>
      <c r="AI115" s="291"/>
      <c r="AJ115" s="295"/>
      <c r="AK115" s="291"/>
      <c r="AL115" s="291"/>
      <c r="AM115" s="291"/>
      <c r="AN115" s="296">
        <v>35000</v>
      </c>
      <c r="AO115" s="296">
        <v>30000</v>
      </c>
      <c r="AP115" s="296"/>
      <c r="AQ115" s="296"/>
      <c r="AR115" s="296"/>
      <c r="AS115" s="296">
        <f t="shared" si="30"/>
        <v>65000</v>
      </c>
      <c r="AT115" s="297">
        <f t="shared" si="31"/>
        <v>9725200</v>
      </c>
      <c r="AU115" s="297">
        <f t="shared" si="26"/>
        <v>225200</v>
      </c>
      <c r="AV115" s="297">
        <f t="shared" si="27"/>
        <v>855000</v>
      </c>
      <c r="AW115" s="297">
        <f t="shared" si="32"/>
        <v>540100</v>
      </c>
      <c r="AX115" s="297">
        <f t="shared" si="33"/>
        <v>486090</v>
      </c>
      <c r="AY115" s="298">
        <v>50000</v>
      </c>
      <c r="AZ115" s="298"/>
      <c r="BA115" s="297">
        <f t="shared" si="34"/>
        <v>436090</v>
      </c>
      <c r="BB115" s="278"/>
      <c r="BC115" s="255"/>
      <c r="BD115" s="255"/>
    </row>
    <row r="116" spans="1:56" s="256" customFormat="1" ht="20" customHeight="1">
      <c r="A116" s="260">
        <v>116</v>
      </c>
      <c r="B116" s="277">
        <v>46184</v>
      </c>
      <c r="C116" s="278" t="s">
        <v>664</v>
      </c>
      <c r="D116" s="278" t="s">
        <v>1181</v>
      </c>
      <c r="E116" s="278" t="s">
        <v>1182</v>
      </c>
      <c r="F116" s="278" t="s">
        <v>1183</v>
      </c>
      <c r="G116" s="279" t="s">
        <v>1151</v>
      </c>
      <c r="H116" s="280">
        <v>17200000</v>
      </c>
      <c r="I116" s="280">
        <v>440000</v>
      </c>
      <c r="J116" s="281">
        <f t="shared" si="25"/>
        <v>17640000</v>
      </c>
      <c r="K116" s="301" t="s">
        <v>1212</v>
      </c>
      <c r="L116" s="282" t="s">
        <v>508</v>
      </c>
      <c r="M116" s="339" t="s">
        <v>758</v>
      </c>
      <c r="N116" s="278" t="s">
        <v>758</v>
      </c>
      <c r="O116" s="278">
        <v>812073807</v>
      </c>
      <c r="P116" s="283" t="s">
        <v>768</v>
      </c>
      <c r="Q116" s="278" t="s">
        <v>767</v>
      </c>
      <c r="R116" s="284" t="s">
        <v>28</v>
      </c>
      <c r="S116" s="282"/>
      <c r="T116" s="285">
        <v>9820</v>
      </c>
      <c r="U116" s="286">
        <v>1741</v>
      </c>
      <c r="V116" s="287">
        <v>1509</v>
      </c>
      <c r="W116" s="288">
        <v>1420</v>
      </c>
      <c r="X116" s="286"/>
      <c r="Y116" s="289"/>
      <c r="Z116" s="289"/>
      <c r="AA116" s="290">
        <f t="shared" si="24"/>
        <v>11240</v>
      </c>
      <c r="AB116" s="291">
        <f t="shared" si="28"/>
        <v>0</v>
      </c>
      <c r="AC116" s="292">
        <f t="shared" si="29"/>
        <v>-11240</v>
      </c>
      <c r="AD116" s="293"/>
      <c r="AE116" s="293"/>
      <c r="AF116" s="294"/>
      <c r="AG116" s="291"/>
      <c r="AH116" s="295"/>
      <c r="AI116" s="291"/>
      <c r="AJ116" s="295"/>
      <c r="AK116" s="291"/>
      <c r="AL116" s="291"/>
      <c r="AM116" s="291"/>
      <c r="AN116" s="296">
        <v>35000</v>
      </c>
      <c r="AO116" s="296">
        <v>30000</v>
      </c>
      <c r="AP116" s="296"/>
      <c r="AQ116" s="296"/>
      <c r="AR116" s="296"/>
      <c r="AS116" s="296">
        <f t="shared" si="30"/>
        <v>65000</v>
      </c>
      <c r="AT116" s="297">
        <f t="shared" si="31"/>
        <v>17031620</v>
      </c>
      <c r="AU116" s="297">
        <f>SUM(AT116-J116)</f>
        <v>-608380</v>
      </c>
      <c r="AV116" s="297">
        <f>SUM(0.09*H116)</f>
        <v>1548000</v>
      </c>
      <c r="AW116" s="297">
        <f t="shared" si="32"/>
        <v>469810</v>
      </c>
      <c r="AX116" s="297">
        <f t="shared" si="33"/>
        <v>422829</v>
      </c>
      <c r="AY116" s="298">
        <v>50000</v>
      </c>
      <c r="AZ116" s="298"/>
      <c r="BA116" s="297">
        <f t="shared" si="34"/>
        <v>372829</v>
      </c>
      <c r="BB116" s="278"/>
      <c r="BC116" s="255"/>
      <c r="BD116" s="255"/>
    </row>
    <row r="117" spans="1:56" s="256" customFormat="1" ht="20" customHeight="1">
      <c r="A117" s="260">
        <v>117</v>
      </c>
      <c r="B117" s="277">
        <v>46184</v>
      </c>
      <c r="C117" s="278" t="s">
        <v>345</v>
      </c>
      <c r="D117" s="278" t="s">
        <v>1184</v>
      </c>
      <c r="E117" s="278" t="s">
        <v>1185</v>
      </c>
      <c r="F117" s="278" t="s">
        <v>1186</v>
      </c>
      <c r="G117" s="279" t="s">
        <v>1180</v>
      </c>
      <c r="H117" s="280">
        <v>12100000</v>
      </c>
      <c r="I117" s="280">
        <v>0</v>
      </c>
      <c r="J117" s="281">
        <f t="shared" si="25"/>
        <v>12100000</v>
      </c>
      <c r="K117" s="301" t="s">
        <v>1212</v>
      </c>
      <c r="L117" s="282" t="s">
        <v>508</v>
      </c>
      <c r="M117" s="339" t="s">
        <v>758</v>
      </c>
      <c r="N117" s="278" t="s">
        <v>758</v>
      </c>
      <c r="O117" s="278">
        <v>812073807</v>
      </c>
      <c r="P117" s="283" t="s">
        <v>768</v>
      </c>
      <c r="Q117" s="278" t="s">
        <v>767</v>
      </c>
      <c r="R117" s="284" t="s">
        <v>28</v>
      </c>
      <c r="S117" s="282"/>
      <c r="T117" s="285">
        <v>6920</v>
      </c>
      <c r="U117" s="286">
        <v>1741</v>
      </c>
      <c r="V117" s="287">
        <v>1509</v>
      </c>
      <c r="W117" s="288">
        <v>1420</v>
      </c>
      <c r="X117" s="286"/>
      <c r="Y117" s="289"/>
      <c r="Z117" s="289"/>
      <c r="AA117" s="290">
        <f t="shared" si="24"/>
        <v>8340</v>
      </c>
      <c r="AB117" s="291">
        <f t="shared" si="28"/>
        <v>0</v>
      </c>
      <c r="AC117" s="292">
        <f t="shared" si="29"/>
        <v>-8340</v>
      </c>
      <c r="AD117" s="293"/>
      <c r="AE117" s="293"/>
      <c r="AF117" s="294"/>
      <c r="AG117" s="291"/>
      <c r="AH117" s="295"/>
      <c r="AI117" s="291"/>
      <c r="AJ117" s="295"/>
      <c r="AK117" s="291"/>
      <c r="AL117" s="291"/>
      <c r="AM117" s="291"/>
      <c r="AN117" s="296">
        <v>35000</v>
      </c>
      <c r="AO117" s="296">
        <v>30000</v>
      </c>
      <c r="AP117" s="296"/>
      <c r="AQ117" s="296"/>
      <c r="AR117" s="296"/>
      <c r="AS117" s="296">
        <f t="shared" si="30"/>
        <v>65000</v>
      </c>
      <c r="AT117" s="297">
        <f t="shared" si="31"/>
        <v>11982720</v>
      </c>
      <c r="AU117" s="297">
        <f>SUM(AT117-J117)</f>
        <v>-117280</v>
      </c>
      <c r="AV117" s="297">
        <f>SUM(0.09*H117)</f>
        <v>1089000</v>
      </c>
      <c r="AW117" s="297">
        <f t="shared" si="32"/>
        <v>485860</v>
      </c>
      <c r="AX117" s="297">
        <f t="shared" si="33"/>
        <v>437274</v>
      </c>
      <c r="AY117" s="298">
        <v>50000</v>
      </c>
      <c r="AZ117" s="298"/>
      <c r="BA117" s="297">
        <f t="shared" si="34"/>
        <v>387274</v>
      </c>
      <c r="BB117" s="278"/>
      <c r="BC117" s="255"/>
      <c r="BD117" s="255"/>
    </row>
    <row r="118" spans="1:56" s="256" customFormat="1" ht="20" customHeight="1">
      <c r="A118" s="260">
        <v>118</v>
      </c>
      <c r="B118" s="277">
        <v>46184</v>
      </c>
      <c r="C118" s="278" t="s">
        <v>1133</v>
      </c>
      <c r="D118" s="278" t="s">
        <v>1187</v>
      </c>
      <c r="E118" s="278" t="s">
        <v>1188</v>
      </c>
      <c r="F118" s="278" t="s">
        <v>1189</v>
      </c>
      <c r="G118" s="279" t="s">
        <v>1190</v>
      </c>
      <c r="H118" s="280">
        <v>88800000</v>
      </c>
      <c r="I118" s="280">
        <v>0</v>
      </c>
      <c r="J118" s="281">
        <f t="shared" si="25"/>
        <v>88800000</v>
      </c>
      <c r="K118" s="301" t="s">
        <v>1213</v>
      </c>
      <c r="L118" s="282" t="s">
        <v>1147</v>
      </c>
      <c r="M118" s="339" t="s">
        <v>758</v>
      </c>
      <c r="N118" s="302" t="s">
        <v>758</v>
      </c>
      <c r="O118" s="302">
        <v>812073807</v>
      </c>
      <c r="P118" s="303" t="s">
        <v>768</v>
      </c>
      <c r="Q118" s="302" t="s">
        <v>767</v>
      </c>
      <c r="R118" s="304" t="s">
        <v>28</v>
      </c>
      <c r="S118" s="305"/>
      <c r="T118" s="306">
        <v>48000</v>
      </c>
      <c r="U118" s="307">
        <v>1741</v>
      </c>
      <c r="V118" s="308">
        <v>1509</v>
      </c>
      <c r="W118" s="309">
        <v>0</v>
      </c>
      <c r="X118" s="307"/>
      <c r="Y118" s="310"/>
      <c r="Z118" s="310"/>
      <c r="AA118" s="311">
        <f t="shared" si="24"/>
        <v>48000</v>
      </c>
      <c r="AB118" s="312">
        <f t="shared" si="28"/>
        <v>0</v>
      </c>
      <c r="AC118" s="313">
        <f t="shared" si="29"/>
        <v>-48000</v>
      </c>
      <c r="AD118" s="314"/>
      <c r="AE118" s="314"/>
      <c r="AF118" s="315"/>
      <c r="AG118" s="312"/>
      <c r="AH118" s="316"/>
      <c r="AI118" s="312"/>
      <c r="AJ118" s="316"/>
      <c r="AK118" s="312"/>
      <c r="AL118" s="312"/>
      <c r="AM118" s="312"/>
      <c r="AN118" s="317">
        <v>35000</v>
      </c>
      <c r="AO118" s="317">
        <v>30000</v>
      </c>
      <c r="AP118" s="317"/>
      <c r="AQ118" s="317"/>
      <c r="AR118" s="317"/>
      <c r="AS118" s="317">
        <f t="shared" si="30"/>
        <v>65000</v>
      </c>
      <c r="AT118" s="318">
        <f t="shared" si="31"/>
        <v>83503000</v>
      </c>
      <c r="AU118" s="318">
        <f t="shared" si="26"/>
        <v>-5297000</v>
      </c>
      <c r="AV118" s="318">
        <f t="shared" si="27"/>
        <v>7992000</v>
      </c>
      <c r="AW118" s="318">
        <f t="shared" si="32"/>
        <v>1347500</v>
      </c>
      <c r="AX118" s="318">
        <f t="shared" si="33"/>
        <v>1212750</v>
      </c>
      <c r="AY118" s="319">
        <v>50000</v>
      </c>
      <c r="AZ118" s="319"/>
      <c r="BA118" s="318">
        <f t="shared" si="34"/>
        <v>1162750</v>
      </c>
      <c r="BB118" s="278"/>
      <c r="BC118" s="255"/>
      <c r="BD118" s="255"/>
    </row>
    <row r="119" spans="1:56" s="256" customFormat="1" ht="20" customHeight="1">
      <c r="A119" s="260">
        <v>119</v>
      </c>
      <c r="B119" s="277">
        <v>46184</v>
      </c>
      <c r="C119" s="278" t="s">
        <v>1134</v>
      </c>
      <c r="D119" s="278" t="s">
        <v>1191</v>
      </c>
      <c r="E119" s="278" t="s">
        <v>1192</v>
      </c>
      <c r="F119" s="278" t="s">
        <v>1193</v>
      </c>
      <c r="G119" s="279" t="s">
        <v>1194</v>
      </c>
      <c r="H119" s="280">
        <v>110990000</v>
      </c>
      <c r="I119" s="280">
        <v>0</v>
      </c>
      <c r="J119" s="281">
        <f t="shared" si="25"/>
        <v>110990000</v>
      </c>
      <c r="K119" s="301" t="s">
        <v>1213</v>
      </c>
      <c r="L119" s="282" t="s">
        <v>1147</v>
      </c>
      <c r="M119" s="339" t="s">
        <v>758</v>
      </c>
      <c r="N119" s="302" t="s">
        <v>758</v>
      </c>
      <c r="O119" s="302">
        <v>812073807</v>
      </c>
      <c r="P119" s="303" t="s">
        <v>768</v>
      </c>
      <c r="Q119" s="302" t="s">
        <v>767</v>
      </c>
      <c r="R119" s="304" t="s">
        <v>28</v>
      </c>
      <c r="S119" s="305"/>
      <c r="T119" s="306">
        <v>60500</v>
      </c>
      <c r="U119" s="307">
        <v>1741</v>
      </c>
      <c r="V119" s="308">
        <v>1509</v>
      </c>
      <c r="W119" s="309">
        <v>0</v>
      </c>
      <c r="X119" s="307" t="s">
        <v>1157</v>
      </c>
      <c r="Y119" s="310"/>
      <c r="Z119" s="310"/>
      <c r="AA119" s="311">
        <f t="shared" si="24"/>
        <v>60500</v>
      </c>
      <c r="AB119" s="312">
        <f t="shared" si="28"/>
        <v>0</v>
      </c>
      <c r="AC119" s="313">
        <f>Z119-T119-W119</f>
        <v>-60500</v>
      </c>
      <c r="AD119" s="314"/>
      <c r="AE119" s="314"/>
      <c r="AF119" s="315"/>
      <c r="AG119" s="312"/>
      <c r="AH119" s="316"/>
      <c r="AI119" s="312"/>
      <c r="AJ119" s="316"/>
      <c r="AK119" s="312"/>
      <c r="AL119" s="312"/>
      <c r="AM119" s="312"/>
      <c r="AN119" s="317">
        <v>35000</v>
      </c>
      <c r="AO119" s="317">
        <v>30000</v>
      </c>
      <c r="AP119" s="317"/>
      <c r="AQ119" s="317"/>
      <c r="AR119" s="317"/>
      <c r="AS119" s="317">
        <f t="shared" si="30"/>
        <v>65000</v>
      </c>
      <c r="AT119" s="318">
        <f t="shared" si="31"/>
        <v>105265500</v>
      </c>
      <c r="AU119" s="318">
        <f t="shared" si="26"/>
        <v>-5724500</v>
      </c>
      <c r="AV119" s="318">
        <f t="shared" si="27"/>
        <v>9989100</v>
      </c>
      <c r="AW119" s="318">
        <f t="shared" si="32"/>
        <v>2132300</v>
      </c>
      <c r="AX119" s="318">
        <f t="shared" si="33"/>
        <v>1919070</v>
      </c>
      <c r="AY119" s="319">
        <v>50000</v>
      </c>
      <c r="AZ119" s="319"/>
      <c r="BA119" s="318">
        <f t="shared" si="34"/>
        <v>1869070</v>
      </c>
      <c r="BB119" s="278"/>
      <c r="BC119" s="255"/>
      <c r="BD119" s="255"/>
    </row>
    <row r="120" spans="1:56" s="256" customFormat="1" ht="20" hidden="1" customHeight="1">
      <c r="A120" s="260">
        <v>120</v>
      </c>
      <c r="B120" s="277">
        <v>46184</v>
      </c>
      <c r="C120" s="278" t="s">
        <v>1140</v>
      </c>
      <c r="D120" s="278" t="s">
        <v>1195</v>
      </c>
      <c r="E120" s="278" t="s">
        <v>1196</v>
      </c>
      <c r="F120" s="278" t="s">
        <v>1197</v>
      </c>
      <c r="G120" s="279" t="s">
        <v>1198</v>
      </c>
      <c r="H120" s="280">
        <v>49200000</v>
      </c>
      <c r="I120" s="280">
        <v>440000</v>
      </c>
      <c r="J120" s="281">
        <f t="shared" ref="J120:J130" si="35">H120+I120</f>
        <v>49640000</v>
      </c>
      <c r="K120" s="282"/>
      <c r="L120" s="282" t="s">
        <v>508</v>
      </c>
      <c r="M120" s="339" t="s">
        <v>464</v>
      </c>
      <c r="N120" s="278" t="s">
        <v>1141</v>
      </c>
      <c r="O120" s="278">
        <v>9408316059</v>
      </c>
      <c r="P120" s="283" t="s">
        <v>391</v>
      </c>
      <c r="Q120" s="278" t="s">
        <v>1142</v>
      </c>
      <c r="R120" s="284" t="s">
        <v>937</v>
      </c>
      <c r="S120" s="334" t="s">
        <v>1155</v>
      </c>
      <c r="T120" s="285">
        <v>27870</v>
      </c>
      <c r="U120" s="286">
        <v>1741</v>
      </c>
      <c r="V120" s="287">
        <v>1509</v>
      </c>
      <c r="W120" s="288">
        <v>0</v>
      </c>
      <c r="X120" s="286" t="s">
        <v>1220</v>
      </c>
      <c r="Y120" s="289"/>
      <c r="Z120" s="289"/>
      <c r="AA120" s="290">
        <f t="shared" si="24"/>
        <v>27870</v>
      </c>
      <c r="AB120" s="291">
        <f t="shared" si="28"/>
        <v>0</v>
      </c>
      <c r="AC120" s="292">
        <f t="shared" ref="AC120:AC158" si="36">SUM(AB120-AA120)</f>
        <v>-27870</v>
      </c>
      <c r="AD120" s="293"/>
      <c r="AE120" s="293"/>
      <c r="AF120" s="294"/>
      <c r="AG120" s="291"/>
      <c r="AH120" s="295"/>
      <c r="AI120" s="291"/>
      <c r="AJ120" s="295"/>
      <c r="AK120" s="291"/>
      <c r="AL120" s="291"/>
      <c r="AM120" s="291"/>
      <c r="AN120" s="296">
        <v>35000</v>
      </c>
      <c r="AO120" s="296">
        <v>30000</v>
      </c>
      <c r="AP120" s="296"/>
      <c r="AQ120" s="296"/>
      <c r="AR120" s="296"/>
      <c r="AS120" s="296">
        <f t="shared" si="30"/>
        <v>65000</v>
      </c>
      <c r="AT120" s="297">
        <f t="shared" si="31"/>
        <v>48456670</v>
      </c>
      <c r="AU120" s="297">
        <f t="shared" si="26"/>
        <v>-1183330</v>
      </c>
      <c r="AV120" s="297">
        <f>SUM(0.09*H120)</f>
        <v>4428000</v>
      </c>
      <c r="AW120" s="297">
        <f t="shared" si="32"/>
        <v>1622335</v>
      </c>
      <c r="AX120" s="297">
        <f t="shared" si="33"/>
        <v>1460101.5</v>
      </c>
      <c r="AY120" s="298">
        <v>50000</v>
      </c>
      <c r="AZ120" s="298"/>
      <c r="BA120" s="297">
        <f t="shared" si="34"/>
        <v>1410101.5</v>
      </c>
      <c r="BB120" s="278"/>
      <c r="BC120" s="255"/>
      <c r="BD120" s="255"/>
    </row>
    <row r="121" spans="1:56" s="256" customFormat="1" ht="20" hidden="1" customHeight="1">
      <c r="A121" s="260">
        <v>121</v>
      </c>
      <c r="B121" s="277">
        <v>46184</v>
      </c>
      <c r="C121" s="278" t="s">
        <v>752</v>
      </c>
      <c r="D121" s="278" t="s">
        <v>1199</v>
      </c>
      <c r="E121" s="278" t="s">
        <v>1200</v>
      </c>
      <c r="F121" s="278" t="s">
        <v>1201</v>
      </c>
      <c r="G121" s="279" t="s">
        <v>1202</v>
      </c>
      <c r="H121" s="280">
        <v>25900000</v>
      </c>
      <c r="I121" s="280">
        <v>0</v>
      </c>
      <c r="J121" s="281">
        <f t="shared" si="35"/>
        <v>25900000</v>
      </c>
      <c r="K121" s="282"/>
      <c r="L121" s="282" t="s">
        <v>508</v>
      </c>
      <c r="M121" s="339" t="s">
        <v>464</v>
      </c>
      <c r="N121" s="278" t="s">
        <v>1165</v>
      </c>
      <c r="O121" s="278">
        <v>245077531</v>
      </c>
      <c r="P121" s="283" t="s">
        <v>391</v>
      </c>
      <c r="Q121" s="278" t="s">
        <v>1142</v>
      </c>
      <c r="R121" s="284" t="s">
        <v>937</v>
      </c>
      <c r="S121" s="334" t="s">
        <v>1155</v>
      </c>
      <c r="T121" s="285">
        <v>14350</v>
      </c>
      <c r="U121" s="286">
        <v>1741</v>
      </c>
      <c r="V121" s="287">
        <v>1509</v>
      </c>
      <c r="W121" s="288">
        <v>0</v>
      </c>
      <c r="X121" s="286" t="s">
        <v>1220</v>
      </c>
      <c r="Y121" s="289"/>
      <c r="Z121" s="289"/>
      <c r="AA121" s="290">
        <f t="shared" si="24"/>
        <v>14350</v>
      </c>
      <c r="AB121" s="291">
        <f t="shared" si="28"/>
        <v>0</v>
      </c>
      <c r="AC121" s="292">
        <f t="shared" si="36"/>
        <v>-14350</v>
      </c>
      <c r="AD121" s="293"/>
      <c r="AE121" s="293"/>
      <c r="AF121" s="294"/>
      <c r="AG121" s="291"/>
      <c r="AH121" s="295"/>
      <c r="AI121" s="291"/>
      <c r="AJ121" s="295"/>
      <c r="AK121" s="291"/>
      <c r="AL121" s="291"/>
      <c r="AM121" s="291"/>
      <c r="AN121" s="296">
        <v>35000</v>
      </c>
      <c r="AO121" s="296">
        <v>30000</v>
      </c>
      <c r="AP121" s="296"/>
      <c r="AQ121" s="296"/>
      <c r="AR121" s="296"/>
      <c r="AS121" s="296">
        <f t="shared" si="30"/>
        <v>65000</v>
      </c>
      <c r="AT121" s="297">
        <f t="shared" si="31"/>
        <v>24918350</v>
      </c>
      <c r="AU121" s="297">
        <f t="shared" si="26"/>
        <v>-981650</v>
      </c>
      <c r="AV121" s="297">
        <f>SUM(0.09*H121)</f>
        <v>2331000</v>
      </c>
      <c r="AW121" s="297">
        <f t="shared" si="32"/>
        <v>674675</v>
      </c>
      <c r="AX121" s="297">
        <f t="shared" si="33"/>
        <v>607207.5</v>
      </c>
      <c r="AY121" s="298">
        <v>50000</v>
      </c>
      <c r="AZ121" s="298"/>
      <c r="BA121" s="297">
        <f t="shared" si="34"/>
        <v>557207.5</v>
      </c>
      <c r="BB121" s="278"/>
      <c r="BC121" s="255"/>
      <c r="BD121" s="255"/>
    </row>
    <row r="122" spans="1:56" s="256" customFormat="1" ht="20" customHeight="1">
      <c r="A122" s="260">
        <v>122</v>
      </c>
      <c r="B122" s="277">
        <v>46185</v>
      </c>
      <c r="C122" s="278" t="s">
        <v>400</v>
      </c>
      <c r="D122" s="278" t="s">
        <v>1203</v>
      </c>
      <c r="E122" s="278" t="s">
        <v>1204</v>
      </c>
      <c r="F122" s="278" t="s">
        <v>1205</v>
      </c>
      <c r="G122" s="279" t="s">
        <v>1202</v>
      </c>
      <c r="H122" s="280">
        <v>31500000</v>
      </c>
      <c r="I122" s="280">
        <v>0</v>
      </c>
      <c r="J122" s="281">
        <f t="shared" si="35"/>
        <v>31500000</v>
      </c>
      <c r="K122" s="301" t="s">
        <v>1212</v>
      </c>
      <c r="L122" s="282" t="s">
        <v>1147</v>
      </c>
      <c r="M122" s="339" t="s">
        <v>758</v>
      </c>
      <c r="N122" s="278" t="s">
        <v>758</v>
      </c>
      <c r="O122" s="278">
        <v>812073807</v>
      </c>
      <c r="P122" s="283" t="s">
        <v>768</v>
      </c>
      <c r="Q122" s="278" t="s">
        <v>767</v>
      </c>
      <c r="R122" s="284" t="s">
        <v>28</v>
      </c>
      <c r="S122" s="282"/>
      <c r="T122" s="285">
        <v>17460</v>
      </c>
      <c r="U122" s="286">
        <v>1740</v>
      </c>
      <c r="V122" s="287">
        <v>1504</v>
      </c>
      <c r="W122" s="288">
        <v>1510</v>
      </c>
      <c r="X122" s="286"/>
      <c r="Y122" s="289"/>
      <c r="Z122" s="289"/>
      <c r="AA122" s="290">
        <f t="shared" si="24"/>
        <v>18970</v>
      </c>
      <c r="AB122" s="291">
        <f t="shared" si="28"/>
        <v>0</v>
      </c>
      <c r="AC122" s="292">
        <f t="shared" si="36"/>
        <v>-18970</v>
      </c>
      <c r="AD122" s="293"/>
      <c r="AE122" s="293"/>
      <c r="AF122" s="294"/>
      <c r="AG122" s="291"/>
      <c r="AH122" s="295"/>
      <c r="AI122" s="291"/>
      <c r="AJ122" s="295"/>
      <c r="AK122" s="291"/>
      <c r="AL122" s="291"/>
      <c r="AM122" s="291"/>
      <c r="AN122" s="296">
        <v>35000</v>
      </c>
      <c r="AO122" s="296">
        <v>30000</v>
      </c>
      <c r="AP122" s="296"/>
      <c r="AQ122" s="296"/>
      <c r="AR122" s="296"/>
      <c r="AS122" s="296">
        <f t="shared" si="30"/>
        <v>65000</v>
      </c>
      <c r="AT122" s="297">
        <f t="shared" si="31"/>
        <v>30315400</v>
      </c>
      <c r="AU122" s="297">
        <f t="shared" si="26"/>
        <v>-1184600</v>
      </c>
      <c r="AV122" s="297">
        <f t="shared" si="27"/>
        <v>2835000</v>
      </c>
      <c r="AW122" s="297">
        <f t="shared" si="32"/>
        <v>825200</v>
      </c>
      <c r="AX122" s="297">
        <f t="shared" si="33"/>
        <v>742680</v>
      </c>
      <c r="AY122" s="298">
        <v>50000</v>
      </c>
      <c r="AZ122" s="298"/>
      <c r="BA122" s="297">
        <f t="shared" si="34"/>
        <v>692680</v>
      </c>
      <c r="BB122" s="278"/>
      <c r="BC122" s="255"/>
      <c r="BD122" s="255"/>
    </row>
    <row r="123" spans="1:56" s="256" customFormat="1" ht="20" hidden="1" customHeight="1">
      <c r="A123" s="260">
        <v>123</v>
      </c>
      <c r="B123" s="277">
        <v>46185</v>
      </c>
      <c r="C123" s="278" t="s">
        <v>400</v>
      </c>
      <c r="D123" s="278" t="s">
        <v>1206</v>
      </c>
      <c r="E123" s="278" t="s">
        <v>1207</v>
      </c>
      <c r="F123" s="278" t="s">
        <v>1208</v>
      </c>
      <c r="G123" s="279" t="s">
        <v>1202</v>
      </c>
      <c r="H123" s="280">
        <v>32690000</v>
      </c>
      <c r="I123" s="280">
        <v>440000</v>
      </c>
      <c r="J123" s="281">
        <f t="shared" si="35"/>
        <v>33130000</v>
      </c>
      <c r="K123" s="282"/>
      <c r="L123" s="282" t="s">
        <v>508</v>
      </c>
      <c r="M123" s="339" t="s">
        <v>464</v>
      </c>
      <c r="N123" s="278" t="s">
        <v>1163</v>
      </c>
      <c r="O123" s="320" t="s">
        <v>1164</v>
      </c>
      <c r="P123" s="283" t="s">
        <v>391</v>
      </c>
      <c r="Q123" s="278" t="s">
        <v>1142</v>
      </c>
      <c r="R123" s="284" t="s">
        <v>937</v>
      </c>
      <c r="S123" s="334" t="s">
        <v>1155</v>
      </c>
      <c r="T123" s="285">
        <v>18500</v>
      </c>
      <c r="U123" s="286">
        <v>1740</v>
      </c>
      <c r="V123" s="287">
        <v>1504</v>
      </c>
      <c r="W123" s="288">
        <v>0</v>
      </c>
      <c r="X123" s="286" t="s">
        <v>1220</v>
      </c>
      <c r="Y123" s="289"/>
      <c r="Z123" s="289"/>
      <c r="AA123" s="290">
        <f t="shared" si="24"/>
        <v>18500</v>
      </c>
      <c r="AB123" s="291">
        <f t="shared" si="28"/>
        <v>0</v>
      </c>
      <c r="AC123" s="292">
        <f t="shared" si="36"/>
        <v>-18500</v>
      </c>
      <c r="AD123" s="293"/>
      <c r="AE123" s="293"/>
      <c r="AF123" s="294"/>
      <c r="AG123" s="291"/>
      <c r="AH123" s="295"/>
      <c r="AI123" s="291"/>
      <c r="AJ123" s="295"/>
      <c r="AK123" s="291"/>
      <c r="AL123" s="291"/>
      <c r="AM123" s="291"/>
      <c r="AN123" s="296">
        <v>35000</v>
      </c>
      <c r="AO123" s="296">
        <v>30000</v>
      </c>
      <c r="AP123" s="296"/>
      <c r="AQ123" s="296"/>
      <c r="AR123" s="296"/>
      <c r="AS123" s="296">
        <f t="shared" si="30"/>
        <v>65000</v>
      </c>
      <c r="AT123" s="297">
        <f t="shared" si="31"/>
        <v>32125000</v>
      </c>
      <c r="AU123" s="297">
        <f t="shared" si="26"/>
        <v>-1005000</v>
      </c>
      <c r="AV123" s="297">
        <f t="shared" si="27"/>
        <v>2942100</v>
      </c>
      <c r="AW123" s="297">
        <f t="shared" si="32"/>
        <v>968550</v>
      </c>
      <c r="AX123" s="297">
        <f t="shared" si="33"/>
        <v>871695</v>
      </c>
      <c r="AY123" s="298">
        <v>50000</v>
      </c>
      <c r="AZ123" s="298"/>
      <c r="BA123" s="297">
        <f t="shared" si="34"/>
        <v>821695</v>
      </c>
      <c r="BB123" s="278"/>
      <c r="BC123" s="255"/>
      <c r="BD123" s="255"/>
    </row>
    <row r="124" spans="1:56" s="256" customFormat="1" ht="20" hidden="1" customHeight="1">
      <c r="A124" s="260">
        <v>124</v>
      </c>
      <c r="B124" s="277">
        <v>46185</v>
      </c>
      <c r="C124" s="278" t="s">
        <v>239</v>
      </c>
      <c r="D124" s="278" t="s">
        <v>1209</v>
      </c>
      <c r="E124" s="278" t="s">
        <v>1210</v>
      </c>
      <c r="F124" s="278" t="s">
        <v>1211</v>
      </c>
      <c r="G124" s="279" t="s">
        <v>1151</v>
      </c>
      <c r="H124" s="280">
        <v>17200000</v>
      </c>
      <c r="I124" s="280">
        <v>440000</v>
      </c>
      <c r="J124" s="281">
        <f t="shared" si="35"/>
        <v>17640000</v>
      </c>
      <c r="K124" s="301" t="s">
        <v>1212</v>
      </c>
      <c r="L124" s="282" t="s">
        <v>1147</v>
      </c>
      <c r="M124" s="339" t="s">
        <v>238</v>
      </c>
      <c r="N124" s="278" t="s">
        <v>658</v>
      </c>
      <c r="O124" s="278">
        <v>810356271</v>
      </c>
      <c r="P124" s="283" t="s">
        <v>244</v>
      </c>
      <c r="Q124" s="278" t="s">
        <v>949</v>
      </c>
      <c r="R124" s="284" t="s">
        <v>28</v>
      </c>
      <c r="S124" s="299" t="s">
        <v>572</v>
      </c>
      <c r="T124" s="285">
        <v>9680</v>
      </c>
      <c r="U124" s="286">
        <v>1740</v>
      </c>
      <c r="V124" s="287">
        <v>1504</v>
      </c>
      <c r="W124" s="288">
        <v>1420</v>
      </c>
      <c r="X124" s="286"/>
      <c r="Y124" s="289"/>
      <c r="Z124" s="289"/>
      <c r="AA124" s="290">
        <f t="shared" si="24"/>
        <v>11100</v>
      </c>
      <c r="AB124" s="291">
        <f t="shared" si="28"/>
        <v>0</v>
      </c>
      <c r="AC124" s="292">
        <f t="shared" si="36"/>
        <v>-11100</v>
      </c>
      <c r="AD124" s="293"/>
      <c r="AE124" s="293"/>
      <c r="AF124" s="294"/>
      <c r="AG124" s="291"/>
      <c r="AH124" s="295"/>
      <c r="AI124" s="291"/>
      <c r="AJ124" s="295"/>
      <c r="AK124" s="291"/>
      <c r="AL124" s="291"/>
      <c r="AM124" s="291"/>
      <c r="AN124" s="296">
        <v>35000</v>
      </c>
      <c r="AO124" s="296">
        <v>30000</v>
      </c>
      <c r="AP124" s="296"/>
      <c r="AQ124" s="296"/>
      <c r="AR124" s="296"/>
      <c r="AS124" s="296">
        <f t="shared" si="30"/>
        <v>65000</v>
      </c>
      <c r="AT124" s="297">
        <f t="shared" si="31"/>
        <v>16778200</v>
      </c>
      <c r="AU124" s="297">
        <f t="shared" si="26"/>
        <v>-861800</v>
      </c>
      <c r="AV124" s="297">
        <f t="shared" si="27"/>
        <v>1548000</v>
      </c>
      <c r="AW124" s="297">
        <f t="shared" si="32"/>
        <v>343100</v>
      </c>
      <c r="AX124" s="297">
        <f t="shared" si="33"/>
        <v>308790</v>
      </c>
      <c r="AY124" s="298">
        <v>50000</v>
      </c>
      <c r="AZ124" s="298"/>
      <c r="BA124" s="297">
        <f t="shared" si="34"/>
        <v>258790</v>
      </c>
      <c r="BB124" s="278"/>
      <c r="BC124" s="255"/>
      <c r="BD124" s="255"/>
    </row>
    <row r="125" spans="1:56" s="256" customFormat="1" ht="20" customHeight="1">
      <c r="A125" s="260">
        <v>125</v>
      </c>
      <c r="B125" s="277">
        <v>46185</v>
      </c>
      <c r="C125" s="278" t="s">
        <v>239</v>
      </c>
      <c r="D125" s="278" t="s">
        <v>1148</v>
      </c>
      <c r="E125" s="278" t="s">
        <v>1149</v>
      </c>
      <c r="F125" s="278" t="s">
        <v>1150</v>
      </c>
      <c r="G125" s="279" t="s">
        <v>1151</v>
      </c>
      <c r="H125" s="280">
        <v>30700000</v>
      </c>
      <c r="I125" s="280">
        <v>0</v>
      </c>
      <c r="J125" s="281">
        <f t="shared" si="35"/>
        <v>30700000</v>
      </c>
      <c r="K125" s="301" t="s">
        <v>1212</v>
      </c>
      <c r="L125" s="282" t="s">
        <v>1147</v>
      </c>
      <c r="M125" s="339" t="s">
        <v>758</v>
      </c>
      <c r="N125" s="278" t="s">
        <v>758</v>
      </c>
      <c r="O125" s="278">
        <v>812073807</v>
      </c>
      <c r="P125" s="283" t="s">
        <v>768</v>
      </c>
      <c r="Q125" s="278" t="s">
        <v>767</v>
      </c>
      <c r="R125" s="284" t="s">
        <v>28</v>
      </c>
      <c r="S125" s="282"/>
      <c r="T125" s="285">
        <v>17040</v>
      </c>
      <c r="U125" s="286">
        <v>1740</v>
      </c>
      <c r="V125" s="287">
        <v>1504</v>
      </c>
      <c r="W125" s="288">
        <v>1420</v>
      </c>
      <c r="X125" s="286"/>
      <c r="Y125" s="289"/>
      <c r="Z125" s="289"/>
      <c r="AA125" s="290">
        <f t="shared" si="24"/>
        <v>18460</v>
      </c>
      <c r="AB125" s="291">
        <f t="shared" si="28"/>
        <v>0</v>
      </c>
      <c r="AC125" s="292">
        <f t="shared" si="36"/>
        <v>-18460</v>
      </c>
      <c r="AD125" s="293"/>
      <c r="AE125" s="293"/>
      <c r="AF125" s="294"/>
      <c r="AG125" s="291"/>
      <c r="AH125" s="295"/>
      <c r="AI125" s="291"/>
      <c r="AJ125" s="295"/>
      <c r="AK125" s="291"/>
      <c r="AL125" s="291"/>
      <c r="AM125" s="291"/>
      <c r="AN125" s="296">
        <v>35000</v>
      </c>
      <c r="AO125" s="296">
        <v>30000</v>
      </c>
      <c r="AP125" s="296"/>
      <c r="AQ125" s="296"/>
      <c r="AR125" s="296"/>
      <c r="AS125" s="296">
        <f t="shared" ref="AS125:AS128" si="37">SUM(AN125:AR125)</f>
        <v>65000</v>
      </c>
      <c r="AT125" s="297">
        <f t="shared" ref="AT125:AT128" si="38">SUM(AA125-W125)*U125-AS125</f>
        <v>29584600</v>
      </c>
      <c r="AU125" s="297">
        <f t="shared" ref="AU125:AU128" si="39">SUM(AT125-J125)</f>
        <v>-1115400</v>
      </c>
      <c r="AV125" s="297">
        <f t="shared" ref="AV125:AV128" si="40">SUM(0.09*H125)</f>
        <v>2763000</v>
      </c>
      <c r="AW125" s="297">
        <f t="shared" ref="AW125:AW128" si="41">SUM(AU125:AV125)/2</f>
        <v>823800</v>
      </c>
      <c r="AX125" s="297">
        <f t="shared" ref="AX125:AX128" si="42">AW125-(AW125*10%)</f>
        <v>741420</v>
      </c>
      <c r="AY125" s="298">
        <v>50001</v>
      </c>
      <c r="AZ125" s="298"/>
      <c r="BA125" s="297">
        <f t="shared" ref="BA125:BA128" si="43">SUM(AX125-AY125-AZ125)</f>
        <v>691419</v>
      </c>
      <c r="BB125" s="278"/>
      <c r="BC125" s="255"/>
      <c r="BD125" s="255"/>
    </row>
    <row r="126" spans="1:56" s="256" customFormat="1" ht="20" hidden="1" customHeight="1">
      <c r="A126" s="260">
        <v>126</v>
      </c>
      <c r="B126" s="277">
        <v>46186</v>
      </c>
      <c r="C126" s="278" t="s">
        <v>1168</v>
      </c>
      <c r="D126" s="278" t="s">
        <v>1159</v>
      </c>
      <c r="E126" s="278" t="s">
        <v>1160</v>
      </c>
      <c r="F126" s="278" t="s">
        <v>1161</v>
      </c>
      <c r="G126" s="279" t="s">
        <v>1162</v>
      </c>
      <c r="H126" s="280">
        <v>18590000</v>
      </c>
      <c r="I126" s="280">
        <v>0</v>
      </c>
      <c r="J126" s="281">
        <f t="shared" si="35"/>
        <v>18590000</v>
      </c>
      <c r="K126" s="282"/>
      <c r="L126" s="282" t="s">
        <v>1238</v>
      </c>
      <c r="M126" s="339" t="s">
        <v>1167</v>
      </c>
      <c r="N126" s="278" t="s">
        <v>1236</v>
      </c>
      <c r="O126" s="278">
        <v>6708086389</v>
      </c>
      <c r="P126" s="283" t="s">
        <v>391</v>
      </c>
      <c r="Q126" s="278" t="s">
        <v>1237</v>
      </c>
      <c r="R126" s="284" t="s">
        <v>937</v>
      </c>
      <c r="S126" s="282"/>
      <c r="T126" s="285">
        <v>10500</v>
      </c>
      <c r="U126" s="286">
        <v>1740</v>
      </c>
      <c r="V126" s="287">
        <v>1504</v>
      </c>
      <c r="W126" s="288">
        <v>0</v>
      </c>
      <c r="X126" s="286"/>
      <c r="Y126" s="289"/>
      <c r="Z126" s="289"/>
      <c r="AA126" s="290">
        <f t="shared" si="24"/>
        <v>10500</v>
      </c>
      <c r="AB126" s="291">
        <f t="shared" si="28"/>
        <v>0</v>
      </c>
      <c r="AC126" s="292">
        <f t="shared" si="36"/>
        <v>-10500</v>
      </c>
      <c r="AD126" s="293"/>
      <c r="AE126" s="293"/>
      <c r="AF126" s="294"/>
      <c r="AG126" s="291"/>
      <c r="AH126" s="295"/>
      <c r="AI126" s="291"/>
      <c r="AJ126" s="295"/>
      <c r="AK126" s="291"/>
      <c r="AL126" s="291"/>
      <c r="AM126" s="291"/>
      <c r="AN126" s="296">
        <v>35000</v>
      </c>
      <c r="AO126" s="296">
        <v>30000</v>
      </c>
      <c r="AP126" s="296"/>
      <c r="AQ126" s="296"/>
      <c r="AR126" s="296"/>
      <c r="AS126" s="296">
        <f t="shared" si="37"/>
        <v>65000</v>
      </c>
      <c r="AT126" s="297">
        <f t="shared" si="38"/>
        <v>18205000</v>
      </c>
      <c r="AU126" s="297">
        <f t="shared" si="39"/>
        <v>-385000</v>
      </c>
      <c r="AV126" s="297">
        <f t="shared" si="40"/>
        <v>1673100</v>
      </c>
      <c r="AW126" s="297">
        <f t="shared" si="41"/>
        <v>644050</v>
      </c>
      <c r="AX126" s="297">
        <f t="shared" si="42"/>
        <v>579645</v>
      </c>
      <c r="AY126" s="298">
        <v>50002</v>
      </c>
      <c r="AZ126" s="298"/>
      <c r="BA126" s="297">
        <f t="shared" si="43"/>
        <v>529643</v>
      </c>
      <c r="BB126" s="278"/>
      <c r="BC126" s="255"/>
      <c r="BD126" s="255"/>
    </row>
    <row r="127" spans="1:56" s="256" customFormat="1" ht="20" hidden="1" customHeight="1">
      <c r="A127" s="260">
        <v>127</v>
      </c>
      <c r="B127" s="277">
        <v>46189</v>
      </c>
      <c r="C127" s="278" t="s">
        <v>1231</v>
      </c>
      <c r="D127" s="278" t="s">
        <v>1232</v>
      </c>
      <c r="E127" s="278" t="s">
        <v>1233</v>
      </c>
      <c r="F127" s="278" t="s">
        <v>1234</v>
      </c>
      <c r="G127" s="279" t="s">
        <v>1235</v>
      </c>
      <c r="H127" s="280">
        <v>9800000</v>
      </c>
      <c r="I127" s="280">
        <v>0</v>
      </c>
      <c r="J127" s="281">
        <f t="shared" si="35"/>
        <v>9800000</v>
      </c>
      <c r="K127" s="282"/>
      <c r="L127" s="282" t="s">
        <v>1238</v>
      </c>
      <c r="M127" s="339" t="s">
        <v>238</v>
      </c>
      <c r="N127" s="278" t="s">
        <v>647</v>
      </c>
      <c r="O127" s="278">
        <v>812398693</v>
      </c>
      <c r="P127" s="283" t="s">
        <v>648</v>
      </c>
      <c r="Q127" s="278" t="s">
        <v>949</v>
      </c>
      <c r="R127" s="284" t="s">
        <v>28</v>
      </c>
      <c r="S127" s="299" t="s">
        <v>572</v>
      </c>
      <c r="T127" s="285">
        <v>5498</v>
      </c>
      <c r="U127" s="286">
        <v>1734</v>
      </c>
      <c r="V127" s="287">
        <v>1497</v>
      </c>
      <c r="W127" s="288">
        <v>1502</v>
      </c>
      <c r="X127" s="286"/>
      <c r="Y127" s="289"/>
      <c r="Z127" s="289"/>
      <c r="AA127" s="290">
        <f t="shared" si="24"/>
        <v>7000</v>
      </c>
      <c r="AB127" s="291">
        <f t="shared" si="28"/>
        <v>0</v>
      </c>
      <c r="AC127" s="292">
        <f t="shared" si="36"/>
        <v>-7000</v>
      </c>
      <c r="AD127" s="293"/>
      <c r="AE127" s="293"/>
      <c r="AF127" s="294"/>
      <c r="AG127" s="291"/>
      <c r="AH127" s="295"/>
      <c r="AI127" s="291"/>
      <c r="AJ127" s="295"/>
      <c r="AK127" s="291"/>
      <c r="AL127" s="291"/>
      <c r="AM127" s="291"/>
      <c r="AN127" s="296">
        <v>35000</v>
      </c>
      <c r="AO127" s="296">
        <v>30000</v>
      </c>
      <c r="AP127" s="296"/>
      <c r="AQ127" s="296"/>
      <c r="AR127" s="296"/>
      <c r="AS127" s="296">
        <f t="shared" si="37"/>
        <v>65000</v>
      </c>
      <c r="AT127" s="297">
        <f t="shared" si="38"/>
        <v>9468532</v>
      </c>
      <c r="AU127" s="297">
        <f t="shared" si="39"/>
        <v>-331468</v>
      </c>
      <c r="AV127" s="297">
        <f t="shared" si="40"/>
        <v>882000</v>
      </c>
      <c r="AW127" s="297">
        <f t="shared" si="41"/>
        <v>275266</v>
      </c>
      <c r="AX127" s="297">
        <f t="shared" si="42"/>
        <v>247739.4</v>
      </c>
      <c r="AY127" s="298">
        <v>50003</v>
      </c>
      <c r="AZ127" s="298"/>
      <c r="BA127" s="297">
        <f t="shared" si="43"/>
        <v>197736.4</v>
      </c>
      <c r="BB127" s="278"/>
      <c r="BC127" s="255"/>
      <c r="BD127" s="255"/>
    </row>
    <row r="128" spans="1:56" s="256" customFormat="1" ht="20" hidden="1" customHeight="1">
      <c r="A128" s="260">
        <v>128</v>
      </c>
      <c r="B128" s="277">
        <v>46189</v>
      </c>
      <c r="C128" s="278" t="s">
        <v>752</v>
      </c>
      <c r="D128" s="278" t="s">
        <v>1248</v>
      </c>
      <c r="E128" s="278" t="s">
        <v>1247</v>
      </c>
      <c r="F128" s="278" t="s">
        <v>1249</v>
      </c>
      <c r="G128" s="279" t="s">
        <v>1250</v>
      </c>
      <c r="H128" s="280">
        <v>14900000</v>
      </c>
      <c r="I128" s="280">
        <v>0</v>
      </c>
      <c r="J128" s="281">
        <f t="shared" si="35"/>
        <v>14900000</v>
      </c>
      <c r="K128" s="282"/>
      <c r="L128" s="282" t="s">
        <v>1238</v>
      </c>
      <c r="M128" s="339" t="s">
        <v>51</v>
      </c>
      <c r="N128" s="278" t="s">
        <v>1251</v>
      </c>
      <c r="O128" s="278">
        <v>1502153826</v>
      </c>
      <c r="P128" s="283" t="s">
        <v>1136</v>
      </c>
      <c r="Q128" s="343" t="s">
        <v>1252</v>
      </c>
      <c r="R128" s="284" t="s">
        <v>28</v>
      </c>
      <c r="S128" s="282" t="s">
        <v>1253</v>
      </c>
      <c r="T128" s="285">
        <v>8400</v>
      </c>
      <c r="U128" s="286">
        <v>1734</v>
      </c>
      <c r="V128" s="287">
        <v>1497</v>
      </c>
      <c r="W128" s="288">
        <v>1500</v>
      </c>
      <c r="X128" s="286"/>
      <c r="Y128" s="289"/>
      <c r="Z128" s="289"/>
      <c r="AA128" s="290">
        <f t="shared" si="24"/>
        <v>9900</v>
      </c>
      <c r="AB128" s="291">
        <f t="shared" si="28"/>
        <v>0</v>
      </c>
      <c r="AC128" s="292">
        <f t="shared" si="36"/>
        <v>-9900</v>
      </c>
      <c r="AD128" s="293"/>
      <c r="AE128" s="293"/>
      <c r="AF128" s="294"/>
      <c r="AG128" s="291"/>
      <c r="AH128" s="295"/>
      <c r="AI128" s="291"/>
      <c r="AJ128" s="295"/>
      <c r="AK128" s="291"/>
      <c r="AL128" s="291"/>
      <c r="AM128" s="291"/>
      <c r="AN128" s="296">
        <v>35000</v>
      </c>
      <c r="AO128" s="296">
        <v>30000</v>
      </c>
      <c r="AP128" s="296"/>
      <c r="AQ128" s="296"/>
      <c r="AR128" s="296"/>
      <c r="AS128" s="296">
        <f t="shared" si="37"/>
        <v>65000</v>
      </c>
      <c r="AT128" s="297">
        <f t="shared" si="38"/>
        <v>14500600</v>
      </c>
      <c r="AU128" s="297">
        <f t="shared" si="39"/>
        <v>-399400</v>
      </c>
      <c r="AV128" s="297">
        <f t="shared" si="40"/>
        <v>1341000</v>
      </c>
      <c r="AW128" s="297">
        <f t="shared" si="41"/>
        <v>470800</v>
      </c>
      <c r="AX128" s="297">
        <f t="shared" si="42"/>
        <v>423720</v>
      </c>
      <c r="AY128" s="298">
        <v>50004</v>
      </c>
      <c r="AZ128" s="298"/>
      <c r="BA128" s="297">
        <f t="shared" si="43"/>
        <v>373716</v>
      </c>
      <c r="BB128" s="278"/>
      <c r="BC128" s="255"/>
      <c r="BD128" s="255"/>
    </row>
    <row r="129" spans="1:56" s="256" customFormat="1" ht="20" customHeight="1">
      <c r="A129" s="260">
        <v>129</v>
      </c>
      <c r="B129" s="277">
        <v>46191</v>
      </c>
      <c r="C129" s="278" t="s">
        <v>1272</v>
      </c>
      <c r="D129" s="278" t="s">
        <v>1273</v>
      </c>
      <c r="E129" s="278" t="s">
        <v>1274</v>
      </c>
      <c r="F129" s="278" t="s">
        <v>1275</v>
      </c>
      <c r="G129" s="279" t="s">
        <v>1276</v>
      </c>
      <c r="H129" s="280">
        <v>7200000</v>
      </c>
      <c r="I129" s="280">
        <v>0</v>
      </c>
      <c r="J129" s="281">
        <f t="shared" si="35"/>
        <v>7200000</v>
      </c>
      <c r="K129" s="282"/>
      <c r="L129" s="282" t="s">
        <v>1238</v>
      </c>
      <c r="M129" s="339" t="s">
        <v>758</v>
      </c>
      <c r="N129" s="278" t="s">
        <v>758</v>
      </c>
      <c r="O129" s="278">
        <v>812073807</v>
      </c>
      <c r="P129" s="283" t="s">
        <v>768</v>
      </c>
      <c r="Q129" s="278" t="s">
        <v>767</v>
      </c>
      <c r="R129" s="284" t="s">
        <v>28</v>
      </c>
      <c r="S129" s="282"/>
      <c r="T129" s="285">
        <v>4220</v>
      </c>
      <c r="U129" s="286">
        <v>1734</v>
      </c>
      <c r="V129" s="287">
        <v>1505</v>
      </c>
      <c r="W129" s="288">
        <v>1510</v>
      </c>
      <c r="X129" s="286"/>
      <c r="Y129" s="289"/>
      <c r="Z129" s="289"/>
      <c r="AA129" s="290">
        <f t="shared" si="24"/>
        <v>5730</v>
      </c>
      <c r="AB129" s="291">
        <f t="shared" si="28"/>
        <v>0</v>
      </c>
      <c r="AC129" s="292">
        <f t="shared" si="36"/>
        <v>-5730</v>
      </c>
      <c r="AD129" s="293"/>
      <c r="AE129" s="293"/>
      <c r="AF129" s="294"/>
      <c r="AG129" s="291"/>
      <c r="AH129" s="295"/>
      <c r="AI129" s="291"/>
      <c r="AJ129" s="295"/>
      <c r="AK129" s="291"/>
      <c r="AL129" s="291"/>
      <c r="AM129" s="291"/>
      <c r="AN129" s="296">
        <v>35000</v>
      </c>
      <c r="AO129" s="296">
        <v>30000</v>
      </c>
      <c r="AP129" s="296"/>
      <c r="AQ129" s="296"/>
      <c r="AR129" s="296"/>
      <c r="AS129" s="296">
        <f t="shared" si="30"/>
        <v>65000</v>
      </c>
      <c r="AT129" s="297">
        <f t="shared" si="31"/>
        <v>7252480</v>
      </c>
      <c r="AU129" s="297">
        <f t="shared" si="26"/>
        <v>52480</v>
      </c>
      <c r="AV129" s="297">
        <f t="shared" si="27"/>
        <v>648000</v>
      </c>
      <c r="AW129" s="297">
        <f t="shared" si="32"/>
        <v>350240</v>
      </c>
      <c r="AX129" s="297">
        <f t="shared" si="33"/>
        <v>315216</v>
      </c>
      <c r="AY129" s="298">
        <v>50000</v>
      </c>
      <c r="AZ129" s="298"/>
      <c r="BA129" s="297">
        <f t="shared" si="34"/>
        <v>265216</v>
      </c>
      <c r="BB129" s="278"/>
      <c r="BC129" s="255"/>
      <c r="BD129" s="255"/>
    </row>
    <row r="130" spans="1:56" s="256" customFormat="1" ht="20" customHeight="1">
      <c r="A130" s="260">
        <v>130</v>
      </c>
      <c r="B130" s="277">
        <v>46191</v>
      </c>
      <c r="C130" s="278" t="s">
        <v>1277</v>
      </c>
      <c r="D130" s="278" t="s">
        <v>1279</v>
      </c>
      <c r="E130" s="278" t="s">
        <v>1280</v>
      </c>
      <c r="F130" s="278" t="s">
        <v>1183</v>
      </c>
      <c r="G130" s="279" t="s">
        <v>1278</v>
      </c>
      <c r="H130" s="280">
        <v>11100000</v>
      </c>
      <c r="I130" s="280">
        <v>440000</v>
      </c>
      <c r="J130" s="281">
        <f t="shared" si="35"/>
        <v>11540000</v>
      </c>
      <c r="K130" s="282"/>
      <c r="L130" s="282" t="s">
        <v>1238</v>
      </c>
      <c r="M130" s="339" t="s">
        <v>758</v>
      </c>
      <c r="N130" s="278" t="s">
        <v>758</v>
      </c>
      <c r="O130" s="278">
        <v>812073807</v>
      </c>
      <c r="P130" s="283" t="s">
        <v>768</v>
      </c>
      <c r="Q130" s="278" t="s">
        <v>767</v>
      </c>
      <c r="R130" s="284" t="s">
        <v>28</v>
      </c>
      <c r="S130" s="282"/>
      <c r="T130" s="285">
        <v>6475</v>
      </c>
      <c r="U130" s="286">
        <v>1734</v>
      </c>
      <c r="V130" s="287">
        <v>1505</v>
      </c>
      <c r="W130" s="288">
        <v>1420</v>
      </c>
      <c r="X130" s="286"/>
      <c r="Y130" s="289"/>
      <c r="Z130" s="289"/>
      <c r="AA130" s="290">
        <f t="shared" si="24"/>
        <v>7895</v>
      </c>
      <c r="AB130" s="291">
        <f t="shared" ref="AB130:AB139" si="44">SUM(AG130+AI130+AK130+AL130-AM130)</f>
        <v>0</v>
      </c>
      <c r="AC130" s="292">
        <f t="shared" si="36"/>
        <v>-7895</v>
      </c>
      <c r="AD130" s="293"/>
      <c r="AE130" s="293"/>
      <c r="AF130" s="294"/>
      <c r="AG130" s="291"/>
      <c r="AH130" s="295"/>
      <c r="AI130" s="291"/>
      <c r="AJ130" s="295"/>
      <c r="AK130" s="291"/>
      <c r="AL130" s="291"/>
      <c r="AM130" s="291"/>
      <c r="AN130" s="296">
        <v>35000</v>
      </c>
      <c r="AO130" s="296">
        <v>30000</v>
      </c>
      <c r="AP130" s="296"/>
      <c r="AQ130" s="296"/>
      <c r="AR130" s="296"/>
      <c r="AS130" s="296">
        <f t="shared" ref="AS130:AS193" si="45">SUM(AN130:AR130)</f>
        <v>65000</v>
      </c>
      <c r="AT130" s="297">
        <f t="shared" ref="AT130" si="46">SUM(AA130-W130)*U130-AS130</f>
        <v>11162650</v>
      </c>
      <c r="AU130" s="297">
        <f t="shared" ref="AU130" si="47">SUM(AT130-J130)</f>
        <v>-377350</v>
      </c>
      <c r="AV130" s="297">
        <f t="shared" ref="AV130" si="48">SUM(0.09*H130)</f>
        <v>999000</v>
      </c>
      <c r="AW130" s="297">
        <f t="shared" ref="AW130" si="49">SUM(AU130:AV130)/2</f>
        <v>310825</v>
      </c>
      <c r="AX130" s="297">
        <f t="shared" ref="AX130" si="50">AW130-(AW130*10%)</f>
        <v>279742.5</v>
      </c>
      <c r="AY130" s="298">
        <v>50001</v>
      </c>
      <c r="AZ130" s="298"/>
      <c r="BA130" s="297">
        <f t="shared" si="34"/>
        <v>229741.5</v>
      </c>
      <c r="BB130" s="278"/>
      <c r="BC130" s="255"/>
      <c r="BD130" s="255"/>
    </row>
    <row r="131" spans="1:56" s="256" customFormat="1" ht="20" hidden="1" customHeight="1">
      <c r="A131" s="260">
        <v>131</v>
      </c>
      <c r="B131" s="277"/>
      <c r="C131" s="278"/>
      <c r="D131" s="278"/>
      <c r="E131" s="278"/>
      <c r="F131" s="278"/>
      <c r="G131" s="279"/>
      <c r="H131" s="280"/>
      <c r="I131" s="280"/>
      <c r="J131" s="281"/>
      <c r="K131" s="282"/>
      <c r="L131" s="282"/>
      <c r="M131" s="339"/>
      <c r="N131" s="278"/>
      <c r="O131" s="278"/>
      <c r="P131" s="283"/>
      <c r="Q131" s="278"/>
      <c r="R131" s="284"/>
      <c r="S131" s="282"/>
      <c r="T131" s="285"/>
      <c r="U131" s="286"/>
      <c r="V131" s="287"/>
      <c r="W131" s="288"/>
      <c r="X131" s="286"/>
      <c r="Y131" s="289"/>
      <c r="Z131" s="289"/>
      <c r="AA131" s="290"/>
      <c r="AB131" s="291">
        <f t="shared" si="44"/>
        <v>0</v>
      </c>
      <c r="AC131" s="292">
        <f t="shared" si="36"/>
        <v>0</v>
      </c>
      <c r="AD131" s="293"/>
      <c r="AE131" s="293"/>
      <c r="AF131" s="294"/>
      <c r="AG131" s="291"/>
      <c r="AH131" s="295"/>
      <c r="AI131" s="291"/>
      <c r="AJ131" s="295"/>
      <c r="AK131" s="291"/>
      <c r="AL131" s="291"/>
      <c r="AM131" s="291"/>
      <c r="AN131" s="296">
        <v>35000</v>
      </c>
      <c r="AO131" s="296">
        <v>30000</v>
      </c>
      <c r="AP131" s="296"/>
      <c r="AQ131" s="296"/>
      <c r="AR131" s="296"/>
      <c r="AS131" s="296">
        <f t="shared" si="45"/>
        <v>65000</v>
      </c>
      <c r="AT131" s="297">
        <f t="shared" ref="AT130:AT193" si="51">SUM(AA131-W131)*U131-AS131</f>
        <v>-65000</v>
      </c>
      <c r="AU131" s="297">
        <f t="shared" si="26"/>
        <v>-65000</v>
      </c>
      <c r="AV131" s="297">
        <f t="shared" si="27"/>
        <v>0</v>
      </c>
      <c r="AW131" s="297">
        <f t="shared" ref="AW130:AW193" si="52">SUM(AU131:AV131)/2</f>
        <v>-32500</v>
      </c>
      <c r="AX131" s="297">
        <f t="shared" ref="AX130:AX193" si="53">AW131-(AW131*10%)</f>
        <v>-29250</v>
      </c>
      <c r="AY131" s="298">
        <v>50000</v>
      </c>
      <c r="AZ131" s="298"/>
      <c r="BA131" s="297">
        <f t="shared" si="34"/>
        <v>-79250</v>
      </c>
      <c r="BB131" s="278"/>
      <c r="BC131" s="255"/>
      <c r="BD131" s="255"/>
    </row>
    <row r="132" spans="1:56" s="256" customFormat="1" ht="20" hidden="1" customHeight="1">
      <c r="A132" s="260">
        <v>132</v>
      </c>
      <c r="B132" s="277"/>
      <c r="C132" s="278"/>
      <c r="D132" s="278"/>
      <c r="E132" s="278"/>
      <c r="F132" s="278"/>
      <c r="G132" s="279"/>
      <c r="H132" s="280"/>
      <c r="I132" s="280"/>
      <c r="J132" s="281"/>
      <c r="K132" s="282"/>
      <c r="L132" s="282"/>
      <c r="M132" s="339"/>
      <c r="N132" s="278"/>
      <c r="O132" s="278"/>
      <c r="P132" s="283"/>
      <c r="Q132" s="278"/>
      <c r="R132" s="284"/>
      <c r="S132" s="282"/>
      <c r="T132" s="285"/>
      <c r="U132" s="286"/>
      <c r="V132" s="287"/>
      <c r="W132" s="288"/>
      <c r="X132" s="286"/>
      <c r="Y132" s="289"/>
      <c r="Z132" s="289"/>
      <c r="AA132" s="290"/>
      <c r="AB132" s="291">
        <f t="shared" si="44"/>
        <v>0</v>
      </c>
      <c r="AC132" s="292">
        <f t="shared" si="36"/>
        <v>0</v>
      </c>
      <c r="AD132" s="293"/>
      <c r="AE132" s="293"/>
      <c r="AF132" s="294"/>
      <c r="AG132" s="291"/>
      <c r="AH132" s="295"/>
      <c r="AI132" s="291"/>
      <c r="AJ132" s="295"/>
      <c r="AK132" s="291"/>
      <c r="AL132" s="291"/>
      <c r="AM132" s="291"/>
      <c r="AN132" s="296">
        <v>35000</v>
      </c>
      <c r="AO132" s="296">
        <v>30000</v>
      </c>
      <c r="AP132" s="296"/>
      <c r="AQ132" s="296"/>
      <c r="AR132" s="296"/>
      <c r="AS132" s="296">
        <f t="shared" si="45"/>
        <v>65000</v>
      </c>
      <c r="AT132" s="297">
        <f t="shared" si="51"/>
        <v>-65000</v>
      </c>
      <c r="AU132" s="297">
        <f t="shared" si="26"/>
        <v>-65000</v>
      </c>
      <c r="AV132" s="297">
        <f t="shared" si="27"/>
        <v>0</v>
      </c>
      <c r="AW132" s="297">
        <f t="shared" si="52"/>
        <v>-32500</v>
      </c>
      <c r="AX132" s="297">
        <f t="shared" si="53"/>
        <v>-29250</v>
      </c>
      <c r="AY132" s="298">
        <v>50000</v>
      </c>
      <c r="AZ132" s="298"/>
      <c r="BA132" s="297">
        <f t="shared" si="34"/>
        <v>-79250</v>
      </c>
      <c r="BB132" s="278"/>
      <c r="BC132" s="255"/>
      <c r="BD132" s="255"/>
    </row>
    <row r="133" spans="1:56" s="256" customFormat="1" ht="20" hidden="1" customHeight="1">
      <c r="A133" s="260">
        <v>133</v>
      </c>
      <c r="B133" s="277"/>
      <c r="C133" s="278"/>
      <c r="D133" s="278"/>
      <c r="E133" s="278"/>
      <c r="F133" s="278"/>
      <c r="G133" s="279"/>
      <c r="H133" s="280"/>
      <c r="I133" s="280"/>
      <c r="J133" s="281"/>
      <c r="K133" s="282"/>
      <c r="L133" s="282"/>
      <c r="M133" s="339"/>
      <c r="N133" s="278"/>
      <c r="O133" s="278"/>
      <c r="P133" s="283"/>
      <c r="Q133" s="278"/>
      <c r="R133" s="284"/>
      <c r="S133" s="282"/>
      <c r="T133" s="285"/>
      <c r="U133" s="286"/>
      <c r="V133" s="287"/>
      <c r="W133" s="288"/>
      <c r="X133" s="286"/>
      <c r="Y133" s="289"/>
      <c r="Z133" s="289"/>
      <c r="AA133" s="290"/>
      <c r="AB133" s="291">
        <f t="shared" si="44"/>
        <v>0</v>
      </c>
      <c r="AC133" s="292">
        <f t="shared" si="36"/>
        <v>0</v>
      </c>
      <c r="AD133" s="293"/>
      <c r="AE133" s="293"/>
      <c r="AF133" s="294"/>
      <c r="AG133" s="291"/>
      <c r="AH133" s="295"/>
      <c r="AI133" s="291"/>
      <c r="AJ133" s="295"/>
      <c r="AK133" s="291"/>
      <c r="AL133" s="291"/>
      <c r="AM133" s="291"/>
      <c r="AN133" s="296">
        <v>35000</v>
      </c>
      <c r="AO133" s="296">
        <v>30000</v>
      </c>
      <c r="AP133" s="296"/>
      <c r="AQ133" s="296"/>
      <c r="AR133" s="296"/>
      <c r="AS133" s="296">
        <f t="shared" si="45"/>
        <v>65000</v>
      </c>
      <c r="AT133" s="297">
        <f t="shared" si="51"/>
        <v>-65000</v>
      </c>
      <c r="AU133" s="297">
        <f t="shared" si="26"/>
        <v>-65000</v>
      </c>
      <c r="AV133" s="297">
        <f t="shared" si="27"/>
        <v>0</v>
      </c>
      <c r="AW133" s="297">
        <f t="shared" si="52"/>
        <v>-32500</v>
      </c>
      <c r="AX133" s="297">
        <f t="shared" si="53"/>
        <v>-29250</v>
      </c>
      <c r="AY133" s="298">
        <v>50000</v>
      </c>
      <c r="AZ133" s="298"/>
      <c r="BA133" s="297">
        <f t="shared" si="34"/>
        <v>-79250</v>
      </c>
      <c r="BB133" s="278"/>
      <c r="BC133" s="255"/>
      <c r="BD133" s="255"/>
    </row>
    <row r="134" spans="1:56" s="256" customFormat="1" ht="20" hidden="1" customHeight="1">
      <c r="A134" s="260">
        <v>134</v>
      </c>
      <c r="B134" s="277"/>
      <c r="C134" s="278"/>
      <c r="D134" s="278"/>
      <c r="E134" s="278"/>
      <c r="F134" s="278"/>
      <c r="G134" s="279"/>
      <c r="H134" s="280"/>
      <c r="I134" s="280"/>
      <c r="J134" s="281"/>
      <c r="K134" s="282"/>
      <c r="L134" s="282"/>
      <c r="M134" s="339"/>
      <c r="N134" s="278"/>
      <c r="O134" s="278"/>
      <c r="P134" s="283"/>
      <c r="Q134" s="278"/>
      <c r="R134" s="284"/>
      <c r="S134" s="282"/>
      <c r="T134" s="285"/>
      <c r="U134" s="286"/>
      <c r="V134" s="287"/>
      <c r="W134" s="288"/>
      <c r="X134" s="286"/>
      <c r="Y134" s="289"/>
      <c r="Z134" s="289"/>
      <c r="AA134" s="290"/>
      <c r="AB134" s="291">
        <f t="shared" si="44"/>
        <v>0</v>
      </c>
      <c r="AC134" s="292">
        <f t="shared" si="36"/>
        <v>0</v>
      </c>
      <c r="AD134" s="293"/>
      <c r="AE134" s="293"/>
      <c r="AF134" s="294"/>
      <c r="AG134" s="291"/>
      <c r="AH134" s="295"/>
      <c r="AI134" s="291"/>
      <c r="AJ134" s="295"/>
      <c r="AK134" s="291"/>
      <c r="AL134" s="291"/>
      <c r="AM134" s="291"/>
      <c r="AN134" s="296">
        <v>35000</v>
      </c>
      <c r="AO134" s="296">
        <v>30000</v>
      </c>
      <c r="AP134" s="296"/>
      <c r="AQ134" s="296"/>
      <c r="AR134" s="296"/>
      <c r="AS134" s="296">
        <f t="shared" si="45"/>
        <v>65000</v>
      </c>
      <c r="AT134" s="297">
        <f t="shared" si="51"/>
        <v>-65000</v>
      </c>
      <c r="AU134" s="297">
        <f t="shared" si="26"/>
        <v>-65000</v>
      </c>
      <c r="AV134" s="297">
        <f t="shared" si="27"/>
        <v>0</v>
      </c>
      <c r="AW134" s="297">
        <f t="shared" si="52"/>
        <v>-32500</v>
      </c>
      <c r="AX134" s="297">
        <f t="shared" si="53"/>
        <v>-29250</v>
      </c>
      <c r="AY134" s="298">
        <v>50000</v>
      </c>
      <c r="AZ134" s="298"/>
      <c r="BA134" s="297">
        <f t="shared" si="34"/>
        <v>-79250</v>
      </c>
      <c r="BB134" s="278"/>
      <c r="BC134" s="255"/>
      <c r="BD134" s="255"/>
    </row>
    <row r="135" spans="1:56" s="256" customFormat="1" ht="20" hidden="1" customHeight="1">
      <c r="A135" s="260">
        <v>135</v>
      </c>
      <c r="B135" s="277"/>
      <c r="C135" s="278"/>
      <c r="D135" s="278"/>
      <c r="E135" s="278"/>
      <c r="F135" s="278"/>
      <c r="G135" s="279"/>
      <c r="H135" s="280"/>
      <c r="I135" s="280"/>
      <c r="J135" s="281"/>
      <c r="K135" s="282"/>
      <c r="L135" s="282"/>
      <c r="M135" s="339"/>
      <c r="N135" s="278"/>
      <c r="O135" s="278"/>
      <c r="P135" s="283"/>
      <c r="Q135" s="278"/>
      <c r="R135" s="284"/>
      <c r="S135" s="282"/>
      <c r="T135" s="285"/>
      <c r="U135" s="286"/>
      <c r="V135" s="287"/>
      <c r="W135" s="288"/>
      <c r="X135" s="286"/>
      <c r="Y135" s="289"/>
      <c r="Z135" s="289"/>
      <c r="AA135" s="290"/>
      <c r="AB135" s="291">
        <f t="shared" si="44"/>
        <v>0</v>
      </c>
      <c r="AC135" s="292">
        <f t="shared" si="36"/>
        <v>0</v>
      </c>
      <c r="AD135" s="293"/>
      <c r="AE135" s="293"/>
      <c r="AF135" s="294"/>
      <c r="AG135" s="291"/>
      <c r="AH135" s="295"/>
      <c r="AI135" s="291"/>
      <c r="AJ135" s="295"/>
      <c r="AK135" s="291"/>
      <c r="AL135" s="291"/>
      <c r="AM135" s="291"/>
      <c r="AN135" s="296">
        <v>35000</v>
      </c>
      <c r="AO135" s="296">
        <v>30000</v>
      </c>
      <c r="AP135" s="296"/>
      <c r="AQ135" s="296"/>
      <c r="AR135" s="296"/>
      <c r="AS135" s="296">
        <f t="shared" si="45"/>
        <v>65000</v>
      </c>
      <c r="AT135" s="297">
        <f t="shared" si="51"/>
        <v>-65000</v>
      </c>
      <c r="AU135" s="297">
        <f t="shared" si="26"/>
        <v>-65000</v>
      </c>
      <c r="AV135" s="297">
        <f t="shared" si="27"/>
        <v>0</v>
      </c>
      <c r="AW135" s="297">
        <f t="shared" si="52"/>
        <v>-32500</v>
      </c>
      <c r="AX135" s="297">
        <f t="shared" si="53"/>
        <v>-29250</v>
      </c>
      <c r="AY135" s="298">
        <v>50000</v>
      </c>
      <c r="AZ135" s="298"/>
      <c r="BA135" s="297">
        <f t="shared" si="34"/>
        <v>-79250</v>
      </c>
      <c r="BB135" s="278"/>
      <c r="BC135" s="255"/>
      <c r="BD135" s="255"/>
    </row>
    <row r="136" spans="1:56" s="256" customFormat="1" ht="20" hidden="1" customHeight="1">
      <c r="A136" s="260">
        <v>136</v>
      </c>
      <c r="B136" s="277"/>
      <c r="C136" s="278"/>
      <c r="D136" s="278"/>
      <c r="E136" s="278"/>
      <c r="F136" s="278"/>
      <c r="G136" s="279"/>
      <c r="H136" s="280"/>
      <c r="I136" s="280"/>
      <c r="J136" s="281"/>
      <c r="K136" s="282"/>
      <c r="L136" s="282"/>
      <c r="M136" s="339"/>
      <c r="N136" s="278"/>
      <c r="O136" s="278"/>
      <c r="P136" s="283"/>
      <c r="Q136" s="278"/>
      <c r="R136" s="284"/>
      <c r="S136" s="282"/>
      <c r="T136" s="285"/>
      <c r="U136" s="286"/>
      <c r="V136" s="287"/>
      <c r="W136" s="288"/>
      <c r="X136" s="286"/>
      <c r="Y136" s="289"/>
      <c r="Z136" s="289"/>
      <c r="AA136" s="290"/>
      <c r="AB136" s="291">
        <f t="shared" si="44"/>
        <v>0</v>
      </c>
      <c r="AC136" s="292">
        <f t="shared" si="36"/>
        <v>0</v>
      </c>
      <c r="AD136" s="293"/>
      <c r="AE136" s="293"/>
      <c r="AF136" s="294"/>
      <c r="AG136" s="291"/>
      <c r="AH136" s="295"/>
      <c r="AI136" s="291"/>
      <c r="AJ136" s="295"/>
      <c r="AK136" s="291"/>
      <c r="AL136" s="291"/>
      <c r="AM136" s="291"/>
      <c r="AN136" s="296">
        <v>35000</v>
      </c>
      <c r="AO136" s="296">
        <v>30000</v>
      </c>
      <c r="AP136" s="296"/>
      <c r="AQ136" s="296"/>
      <c r="AR136" s="296"/>
      <c r="AS136" s="296">
        <f t="shared" si="45"/>
        <v>65000</v>
      </c>
      <c r="AT136" s="297">
        <f t="shared" si="51"/>
        <v>-65000</v>
      </c>
      <c r="AU136" s="297">
        <f t="shared" si="26"/>
        <v>-65000</v>
      </c>
      <c r="AV136" s="297">
        <f t="shared" si="27"/>
        <v>0</v>
      </c>
      <c r="AW136" s="297">
        <f t="shared" si="52"/>
        <v>-32500</v>
      </c>
      <c r="AX136" s="297">
        <f t="shared" si="53"/>
        <v>-29250</v>
      </c>
      <c r="AY136" s="298">
        <v>50000</v>
      </c>
      <c r="AZ136" s="298"/>
      <c r="BA136" s="297">
        <f t="shared" si="34"/>
        <v>-79250</v>
      </c>
      <c r="BB136" s="278"/>
      <c r="BC136" s="255"/>
      <c r="BD136" s="255"/>
    </row>
    <row r="137" spans="1:56" s="256" customFormat="1" ht="20" hidden="1" customHeight="1">
      <c r="A137" s="260">
        <v>137</v>
      </c>
      <c r="B137" s="277"/>
      <c r="C137" s="278"/>
      <c r="D137" s="278"/>
      <c r="E137" s="278"/>
      <c r="F137" s="278"/>
      <c r="G137" s="279"/>
      <c r="H137" s="280"/>
      <c r="I137" s="280"/>
      <c r="J137" s="281"/>
      <c r="K137" s="282"/>
      <c r="L137" s="282"/>
      <c r="M137" s="339"/>
      <c r="N137" s="278"/>
      <c r="O137" s="278"/>
      <c r="P137" s="283"/>
      <c r="Q137" s="278"/>
      <c r="R137" s="284"/>
      <c r="S137" s="282"/>
      <c r="T137" s="285"/>
      <c r="U137" s="286"/>
      <c r="V137" s="287"/>
      <c r="W137" s="288"/>
      <c r="X137" s="286"/>
      <c r="Y137" s="289"/>
      <c r="Z137" s="289"/>
      <c r="AA137" s="290"/>
      <c r="AB137" s="291">
        <f t="shared" si="44"/>
        <v>0</v>
      </c>
      <c r="AC137" s="292">
        <f t="shared" si="36"/>
        <v>0</v>
      </c>
      <c r="AD137" s="293"/>
      <c r="AE137" s="293"/>
      <c r="AF137" s="294"/>
      <c r="AG137" s="291"/>
      <c r="AH137" s="295"/>
      <c r="AI137" s="291"/>
      <c r="AJ137" s="295"/>
      <c r="AK137" s="291"/>
      <c r="AL137" s="291"/>
      <c r="AM137" s="291"/>
      <c r="AN137" s="296">
        <v>35000</v>
      </c>
      <c r="AO137" s="296">
        <v>30000</v>
      </c>
      <c r="AP137" s="296"/>
      <c r="AQ137" s="296"/>
      <c r="AR137" s="296"/>
      <c r="AS137" s="296">
        <f t="shared" si="45"/>
        <v>65000</v>
      </c>
      <c r="AT137" s="297">
        <f t="shared" si="51"/>
        <v>-65000</v>
      </c>
      <c r="AU137" s="297">
        <f t="shared" si="26"/>
        <v>-65000</v>
      </c>
      <c r="AV137" s="297">
        <f t="shared" si="27"/>
        <v>0</v>
      </c>
      <c r="AW137" s="297">
        <f t="shared" si="52"/>
        <v>-32500</v>
      </c>
      <c r="AX137" s="297">
        <f t="shared" si="53"/>
        <v>-29250</v>
      </c>
      <c r="AY137" s="298">
        <v>50000</v>
      </c>
      <c r="AZ137" s="298"/>
      <c r="BA137" s="297">
        <f t="shared" ref="BA137:BA193" si="54">SUM(AX137-AY137-AZ137)</f>
        <v>-79250</v>
      </c>
      <c r="BB137" s="278"/>
      <c r="BC137" s="255"/>
      <c r="BD137" s="255"/>
    </row>
    <row r="138" spans="1:56" s="256" customFormat="1" ht="20" hidden="1" customHeight="1">
      <c r="A138" s="260">
        <v>138</v>
      </c>
      <c r="B138" s="277"/>
      <c r="C138" s="278"/>
      <c r="D138" s="278"/>
      <c r="E138" s="278"/>
      <c r="F138" s="278"/>
      <c r="G138" s="279"/>
      <c r="H138" s="280"/>
      <c r="I138" s="280"/>
      <c r="J138" s="281"/>
      <c r="K138" s="282"/>
      <c r="L138" s="282"/>
      <c r="M138" s="339"/>
      <c r="N138" s="278"/>
      <c r="O138" s="278"/>
      <c r="P138" s="283"/>
      <c r="Q138" s="278"/>
      <c r="R138" s="284"/>
      <c r="S138" s="282"/>
      <c r="T138" s="285"/>
      <c r="U138" s="286"/>
      <c r="V138" s="287"/>
      <c r="W138" s="288"/>
      <c r="X138" s="286"/>
      <c r="Y138" s="289"/>
      <c r="Z138" s="289"/>
      <c r="AA138" s="290"/>
      <c r="AB138" s="291">
        <f t="shared" si="44"/>
        <v>0</v>
      </c>
      <c r="AC138" s="292">
        <f t="shared" si="36"/>
        <v>0</v>
      </c>
      <c r="AD138" s="293"/>
      <c r="AE138" s="293"/>
      <c r="AF138" s="294"/>
      <c r="AG138" s="291"/>
      <c r="AH138" s="295"/>
      <c r="AI138" s="291"/>
      <c r="AJ138" s="295"/>
      <c r="AK138" s="291"/>
      <c r="AL138" s="291"/>
      <c r="AM138" s="291"/>
      <c r="AN138" s="296">
        <v>35000</v>
      </c>
      <c r="AO138" s="296">
        <v>30000</v>
      </c>
      <c r="AP138" s="296"/>
      <c r="AQ138" s="296"/>
      <c r="AR138" s="296"/>
      <c r="AS138" s="296">
        <f t="shared" si="45"/>
        <v>65000</v>
      </c>
      <c r="AT138" s="297">
        <f t="shared" si="51"/>
        <v>-65000</v>
      </c>
      <c r="AU138" s="297">
        <f t="shared" si="26"/>
        <v>-65000</v>
      </c>
      <c r="AV138" s="297">
        <f t="shared" si="27"/>
        <v>0</v>
      </c>
      <c r="AW138" s="297">
        <f t="shared" si="52"/>
        <v>-32500</v>
      </c>
      <c r="AX138" s="297">
        <f t="shared" si="53"/>
        <v>-29250</v>
      </c>
      <c r="AY138" s="298">
        <v>50000</v>
      </c>
      <c r="AZ138" s="298"/>
      <c r="BA138" s="297">
        <f t="shared" si="54"/>
        <v>-79250</v>
      </c>
      <c r="BB138" s="278"/>
      <c r="BC138" s="255"/>
      <c r="BD138" s="255"/>
    </row>
    <row r="139" spans="1:56" s="256" customFormat="1" ht="20" hidden="1" customHeight="1">
      <c r="A139" s="260">
        <v>139</v>
      </c>
      <c r="B139" s="277"/>
      <c r="C139" s="278"/>
      <c r="D139" s="278"/>
      <c r="E139" s="278"/>
      <c r="F139" s="278"/>
      <c r="G139" s="279"/>
      <c r="H139" s="280"/>
      <c r="I139" s="280"/>
      <c r="J139" s="281"/>
      <c r="K139" s="282"/>
      <c r="L139" s="282"/>
      <c r="M139" s="339"/>
      <c r="N139" s="278"/>
      <c r="O139" s="278"/>
      <c r="P139" s="283"/>
      <c r="Q139" s="278"/>
      <c r="R139" s="284"/>
      <c r="S139" s="282"/>
      <c r="T139" s="285"/>
      <c r="U139" s="286"/>
      <c r="V139" s="287"/>
      <c r="W139" s="288"/>
      <c r="X139" s="286"/>
      <c r="Y139" s="289"/>
      <c r="Z139" s="289"/>
      <c r="AA139" s="290"/>
      <c r="AB139" s="291">
        <f t="shared" si="44"/>
        <v>0</v>
      </c>
      <c r="AC139" s="292">
        <f t="shared" si="36"/>
        <v>0</v>
      </c>
      <c r="AD139" s="293"/>
      <c r="AE139" s="293"/>
      <c r="AF139" s="294"/>
      <c r="AG139" s="291"/>
      <c r="AH139" s="295"/>
      <c r="AI139" s="291"/>
      <c r="AJ139" s="295"/>
      <c r="AK139" s="291"/>
      <c r="AL139" s="291"/>
      <c r="AM139" s="291"/>
      <c r="AN139" s="296">
        <v>35000</v>
      </c>
      <c r="AO139" s="296">
        <v>30000</v>
      </c>
      <c r="AP139" s="296"/>
      <c r="AQ139" s="296"/>
      <c r="AR139" s="296"/>
      <c r="AS139" s="296">
        <f t="shared" si="45"/>
        <v>65000</v>
      </c>
      <c r="AT139" s="297">
        <f t="shared" si="51"/>
        <v>-65000</v>
      </c>
      <c r="AU139" s="297">
        <f t="shared" si="26"/>
        <v>-65000</v>
      </c>
      <c r="AV139" s="297">
        <f t="shared" si="27"/>
        <v>0</v>
      </c>
      <c r="AW139" s="297">
        <f t="shared" si="52"/>
        <v>-32500</v>
      </c>
      <c r="AX139" s="297">
        <f t="shared" si="53"/>
        <v>-29250</v>
      </c>
      <c r="AY139" s="298">
        <v>50000</v>
      </c>
      <c r="AZ139" s="298"/>
      <c r="BA139" s="297">
        <f t="shared" si="54"/>
        <v>-79250</v>
      </c>
      <c r="BB139" s="278"/>
      <c r="BC139" s="255"/>
      <c r="BD139" s="255"/>
    </row>
    <row r="140" spans="1:56" s="256" customFormat="1" ht="20" hidden="1" customHeight="1">
      <c r="A140" s="260">
        <v>140</v>
      </c>
      <c r="B140" s="277"/>
      <c r="C140" s="278"/>
      <c r="D140" s="278"/>
      <c r="E140" s="278"/>
      <c r="F140" s="278"/>
      <c r="G140" s="279"/>
      <c r="H140" s="280"/>
      <c r="I140" s="280"/>
      <c r="J140" s="281"/>
      <c r="K140" s="282"/>
      <c r="L140" s="282"/>
      <c r="M140" s="339"/>
      <c r="N140" s="278"/>
      <c r="O140" s="278"/>
      <c r="P140" s="283"/>
      <c r="Q140" s="278"/>
      <c r="R140" s="284"/>
      <c r="S140" s="282"/>
      <c r="T140" s="285"/>
      <c r="U140" s="286"/>
      <c r="V140" s="287"/>
      <c r="W140" s="288"/>
      <c r="X140" s="286"/>
      <c r="Y140" s="289"/>
      <c r="Z140" s="289"/>
      <c r="AA140" s="290"/>
      <c r="AB140" s="291">
        <v>8400</v>
      </c>
      <c r="AC140" s="292">
        <f t="shared" si="36"/>
        <v>8400</v>
      </c>
      <c r="AD140" s="293"/>
      <c r="AE140" s="293"/>
      <c r="AF140" s="294"/>
      <c r="AG140" s="291"/>
      <c r="AH140" s="295"/>
      <c r="AI140" s="291"/>
      <c r="AJ140" s="295"/>
      <c r="AK140" s="291"/>
      <c r="AL140" s="291"/>
      <c r="AM140" s="291"/>
      <c r="AN140" s="296">
        <v>35000</v>
      </c>
      <c r="AO140" s="296">
        <v>30000</v>
      </c>
      <c r="AP140" s="296"/>
      <c r="AQ140" s="296"/>
      <c r="AR140" s="296"/>
      <c r="AS140" s="296">
        <f t="shared" si="45"/>
        <v>65000</v>
      </c>
      <c r="AT140" s="297">
        <f t="shared" si="51"/>
        <v>-65000</v>
      </c>
      <c r="AU140" s="297">
        <f t="shared" si="26"/>
        <v>-65000</v>
      </c>
      <c r="AV140" s="297">
        <f t="shared" si="27"/>
        <v>0</v>
      </c>
      <c r="AW140" s="297">
        <f t="shared" si="52"/>
        <v>-32500</v>
      </c>
      <c r="AX140" s="297">
        <f t="shared" si="53"/>
        <v>-29250</v>
      </c>
      <c r="AY140" s="298">
        <v>50000</v>
      </c>
      <c r="AZ140" s="298"/>
      <c r="BA140" s="297">
        <f t="shared" si="54"/>
        <v>-79250</v>
      </c>
      <c r="BB140" s="278"/>
      <c r="BC140" s="255"/>
      <c r="BD140" s="255"/>
    </row>
    <row r="141" spans="1:56" s="256" customFormat="1" ht="20" hidden="1" customHeight="1">
      <c r="A141" s="260">
        <v>141</v>
      </c>
      <c r="B141" s="277"/>
      <c r="C141" s="278"/>
      <c r="D141" s="278"/>
      <c r="E141" s="278"/>
      <c r="F141" s="278"/>
      <c r="G141" s="279"/>
      <c r="H141" s="280"/>
      <c r="I141" s="280"/>
      <c r="J141" s="281"/>
      <c r="K141" s="282"/>
      <c r="L141" s="282"/>
      <c r="M141" s="339"/>
      <c r="N141" s="278"/>
      <c r="O141" s="278"/>
      <c r="P141" s="283"/>
      <c r="Q141" s="278"/>
      <c r="R141" s="284"/>
      <c r="S141" s="282"/>
      <c r="T141" s="285"/>
      <c r="U141" s="286"/>
      <c r="V141" s="287"/>
      <c r="W141" s="288"/>
      <c r="X141" s="286"/>
      <c r="Y141" s="289"/>
      <c r="Z141" s="289"/>
      <c r="AA141" s="290"/>
      <c r="AB141" s="291">
        <f t="shared" ref="AB141:AB156" si="55">SUM(AG141+AI141+AK141+AL141-AM141)</f>
        <v>0</v>
      </c>
      <c r="AC141" s="292">
        <f t="shared" si="36"/>
        <v>0</v>
      </c>
      <c r="AD141" s="293"/>
      <c r="AE141" s="293"/>
      <c r="AF141" s="294"/>
      <c r="AG141" s="291"/>
      <c r="AH141" s="295"/>
      <c r="AI141" s="291"/>
      <c r="AJ141" s="295"/>
      <c r="AK141" s="291"/>
      <c r="AL141" s="291"/>
      <c r="AM141" s="291"/>
      <c r="AN141" s="296">
        <v>35000</v>
      </c>
      <c r="AO141" s="296">
        <v>30000</v>
      </c>
      <c r="AP141" s="296"/>
      <c r="AQ141" s="296"/>
      <c r="AR141" s="296"/>
      <c r="AS141" s="296">
        <f t="shared" si="45"/>
        <v>65000</v>
      </c>
      <c r="AT141" s="297">
        <f t="shared" si="51"/>
        <v>-65000</v>
      </c>
      <c r="AU141" s="297">
        <f t="shared" si="26"/>
        <v>-65000</v>
      </c>
      <c r="AV141" s="297">
        <f t="shared" si="27"/>
        <v>0</v>
      </c>
      <c r="AW141" s="297">
        <f t="shared" si="52"/>
        <v>-32500</v>
      </c>
      <c r="AX141" s="297">
        <f t="shared" si="53"/>
        <v>-29250</v>
      </c>
      <c r="AY141" s="298">
        <v>50000</v>
      </c>
      <c r="AZ141" s="298"/>
      <c r="BA141" s="297">
        <f t="shared" si="54"/>
        <v>-79250</v>
      </c>
      <c r="BB141" s="278"/>
      <c r="BC141" s="255"/>
      <c r="BD141" s="255"/>
    </row>
    <row r="142" spans="1:56" s="256" customFormat="1" ht="20" hidden="1" customHeight="1">
      <c r="A142" s="260">
        <v>142</v>
      </c>
      <c r="B142" s="277"/>
      <c r="C142" s="278"/>
      <c r="D142" s="278"/>
      <c r="E142" s="278"/>
      <c r="F142" s="278"/>
      <c r="G142" s="279"/>
      <c r="H142" s="280"/>
      <c r="I142" s="280"/>
      <c r="J142" s="281"/>
      <c r="K142" s="282"/>
      <c r="L142" s="282"/>
      <c r="M142" s="339"/>
      <c r="N142" s="278"/>
      <c r="O142" s="278"/>
      <c r="P142" s="283"/>
      <c r="Q142" s="278"/>
      <c r="R142" s="284"/>
      <c r="S142" s="282"/>
      <c r="T142" s="285"/>
      <c r="U142" s="286"/>
      <c r="V142" s="287"/>
      <c r="W142" s="288"/>
      <c r="X142" s="286"/>
      <c r="Y142" s="289"/>
      <c r="Z142" s="289"/>
      <c r="AA142" s="290"/>
      <c r="AB142" s="291">
        <f t="shared" si="55"/>
        <v>0</v>
      </c>
      <c r="AC142" s="292">
        <f t="shared" si="36"/>
        <v>0</v>
      </c>
      <c r="AD142" s="293"/>
      <c r="AE142" s="293"/>
      <c r="AF142" s="294"/>
      <c r="AG142" s="291"/>
      <c r="AH142" s="295"/>
      <c r="AI142" s="291"/>
      <c r="AJ142" s="295"/>
      <c r="AK142" s="291"/>
      <c r="AL142" s="291"/>
      <c r="AM142" s="291"/>
      <c r="AN142" s="296">
        <v>35000</v>
      </c>
      <c r="AO142" s="296">
        <v>30000</v>
      </c>
      <c r="AP142" s="296"/>
      <c r="AQ142" s="296"/>
      <c r="AR142" s="296"/>
      <c r="AS142" s="296">
        <f t="shared" si="45"/>
        <v>65000</v>
      </c>
      <c r="AT142" s="297">
        <f t="shared" si="51"/>
        <v>-65000</v>
      </c>
      <c r="AU142" s="297">
        <f t="shared" si="26"/>
        <v>-65000</v>
      </c>
      <c r="AV142" s="297">
        <f t="shared" si="27"/>
        <v>0</v>
      </c>
      <c r="AW142" s="297">
        <f t="shared" si="52"/>
        <v>-32500</v>
      </c>
      <c r="AX142" s="297">
        <f t="shared" si="53"/>
        <v>-29250</v>
      </c>
      <c r="AY142" s="298">
        <v>50000</v>
      </c>
      <c r="AZ142" s="298"/>
      <c r="BA142" s="297">
        <f t="shared" si="54"/>
        <v>-79250</v>
      </c>
      <c r="BB142" s="278"/>
      <c r="BC142" s="255"/>
      <c r="BD142" s="255"/>
    </row>
    <row r="143" spans="1:56" s="256" customFormat="1" ht="20" hidden="1" customHeight="1">
      <c r="A143" s="260">
        <v>143</v>
      </c>
      <c r="B143" s="277"/>
      <c r="C143" s="278"/>
      <c r="D143" s="278"/>
      <c r="E143" s="278"/>
      <c r="F143" s="278"/>
      <c r="G143" s="279"/>
      <c r="H143" s="280"/>
      <c r="I143" s="280"/>
      <c r="J143" s="281"/>
      <c r="K143" s="282"/>
      <c r="L143" s="282"/>
      <c r="M143" s="339"/>
      <c r="N143" s="278"/>
      <c r="O143" s="278"/>
      <c r="P143" s="283"/>
      <c r="Q143" s="278"/>
      <c r="R143" s="284"/>
      <c r="S143" s="282"/>
      <c r="T143" s="285"/>
      <c r="U143" s="286"/>
      <c r="V143" s="287"/>
      <c r="W143" s="288"/>
      <c r="X143" s="286"/>
      <c r="Y143" s="289"/>
      <c r="Z143" s="289"/>
      <c r="AA143" s="290"/>
      <c r="AB143" s="291">
        <f t="shared" si="55"/>
        <v>0</v>
      </c>
      <c r="AC143" s="292">
        <f t="shared" si="36"/>
        <v>0</v>
      </c>
      <c r="AD143" s="293"/>
      <c r="AE143" s="293"/>
      <c r="AF143" s="294"/>
      <c r="AG143" s="291"/>
      <c r="AH143" s="295"/>
      <c r="AI143" s="291"/>
      <c r="AJ143" s="295"/>
      <c r="AK143" s="291"/>
      <c r="AL143" s="291"/>
      <c r="AM143" s="291"/>
      <c r="AN143" s="296">
        <v>35000</v>
      </c>
      <c r="AO143" s="296">
        <v>30000</v>
      </c>
      <c r="AP143" s="296"/>
      <c r="AQ143" s="296"/>
      <c r="AR143" s="296"/>
      <c r="AS143" s="296">
        <f t="shared" si="45"/>
        <v>65000</v>
      </c>
      <c r="AT143" s="297">
        <f t="shared" si="51"/>
        <v>-65000</v>
      </c>
      <c r="AU143" s="297">
        <f t="shared" si="26"/>
        <v>-65000</v>
      </c>
      <c r="AV143" s="297">
        <f t="shared" si="27"/>
        <v>0</v>
      </c>
      <c r="AW143" s="297">
        <f t="shared" si="52"/>
        <v>-32500</v>
      </c>
      <c r="AX143" s="297">
        <f t="shared" si="53"/>
        <v>-29250</v>
      </c>
      <c r="AY143" s="298">
        <v>50000</v>
      </c>
      <c r="AZ143" s="298"/>
      <c r="BA143" s="297">
        <f t="shared" si="54"/>
        <v>-79250</v>
      </c>
      <c r="BB143" s="278"/>
      <c r="BC143" s="255"/>
      <c r="BD143" s="255"/>
    </row>
    <row r="144" spans="1:56" s="256" customFormat="1" ht="20" hidden="1" customHeight="1">
      <c r="A144" s="260">
        <v>144</v>
      </c>
      <c r="B144" s="277"/>
      <c r="C144" s="278"/>
      <c r="D144" s="278"/>
      <c r="E144" s="278"/>
      <c r="F144" s="278"/>
      <c r="G144" s="279"/>
      <c r="H144" s="280"/>
      <c r="I144" s="280"/>
      <c r="J144" s="281"/>
      <c r="K144" s="282"/>
      <c r="L144" s="282"/>
      <c r="M144" s="339"/>
      <c r="N144" s="278"/>
      <c r="O144" s="278"/>
      <c r="P144" s="283"/>
      <c r="Q144" s="278"/>
      <c r="R144" s="284"/>
      <c r="S144" s="282"/>
      <c r="T144" s="285"/>
      <c r="U144" s="286"/>
      <c r="V144" s="287"/>
      <c r="W144" s="288"/>
      <c r="X144" s="286"/>
      <c r="Y144" s="289"/>
      <c r="Z144" s="289"/>
      <c r="AA144" s="290"/>
      <c r="AB144" s="291">
        <f t="shared" si="55"/>
        <v>0</v>
      </c>
      <c r="AC144" s="292">
        <f t="shared" si="36"/>
        <v>0</v>
      </c>
      <c r="AD144" s="293"/>
      <c r="AE144" s="293"/>
      <c r="AF144" s="294"/>
      <c r="AG144" s="291"/>
      <c r="AH144" s="295"/>
      <c r="AI144" s="291"/>
      <c r="AJ144" s="295"/>
      <c r="AK144" s="291"/>
      <c r="AL144" s="291"/>
      <c r="AM144" s="291"/>
      <c r="AN144" s="296">
        <v>35000</v>
      </c>
      <c r="AO144" s="296">
        <v>30000</v>
      </c>
      <c r="AP144" s="296"/>
      <c r="AQ144" s="296"/>
      <c r="AR144" s="296"/>
      <c r="AS144" s="296">
        <f t="shared" si="45"/>
        <v>65000</v>
      </c>
      <c r="AT144" s="297">
        <f t="shared" si="51"/>
        <v>-65000</v>
      </c>
      <c r="AU144" s="297">
        <f t="shared" si="26"/>
        <v>-65000</v>
      </c>
      <c r="AV144" s="297">
        <f t="shared" si="27"/>
        <v>0</v>
      </c>
      <c r="AW144" s="297">
        <f t="shared" si="52"/>
        <v>-32500</v>
      </c>
      <c r="AX144" s="297">
        <f t="shared" si="53"/>
        <v>-29250</v>
      </c>
      <c r="AY144" s="298">
        <v>50000</v>
      </c>
      <c r="AZ144" s="298"/>
      <c r="BA144" s="297">
        <f t="shared" si="54"/>
        <v>-79250</v>
      </c>
      <c r="BB144" s="278"/>
      <c r="BC144" s="255"/>
      <c r="BD144" s="255"/>
    </row>
    <row r="145" spans="1:56" s="256" customFormat="1" ht="20" hidden="1" customHeight="1">
      <c r="A145" s="260">
        <v>145</v>
      </c>
      <c r="B145" s="277"/>
      <c r="C145" s="278"/>
      <c r="D145" s="278"/>
      <c r="E145" s="278"/>
      <c r="F145" s="278"/>
      <c r="G145" s="279"/>
      <c r="H145" s="280"/>
      <c r="I145" s="280"/>
      <c r="J145" s="281"/>
      <c r="K145" s="282"/>
      <c r="L145" s="282"/>
      <c r="M145" s="339"/>
      <c r="N145" s="278"/>
      <c r="O145" s="278"/>
      <c r="P145" s="283"/>
      <c r="Q145" s="278"/>
      <c r="R145" s="284"/>
      <c r="S145" s="282"/>
      <c r="T145" s="285"/>
      <c r="U145" s="286"/>
      <c r="V145" s="287"/>
      <c r="W145" s="288"/>
      <c r="X145" s="286"/>
      <c r="Y145" s="289"/>
      <c r="Z145" s="289"/>
      <c r="AA145" s="290"/>
      <c r="AB145" s="291">
        <f t="shared" si="55"/>
        <v>0</v>
      </c>
      <c r="AC145" s="292">
        <f t="shared" si="36"/>
        <v>0</v>
      </c>
      <c r="AD145" s="293"/>
      <c r="AE145" s="293"/>
      <c r="AF145" s="294"/>
      <c r="AG145" s="291"/>
      <c r="AH145" s="295"/>
      <c r="AI145" s="291"/>
      <c r="AJ145" s="295"/>
      <c r="AK145" s="291"/>
      <c r="AL145" s="291"/>
      <c r="AM145" s="291"/>
      <c r="AN145" s="296">
        <v>35000</v>
      </c>
      <c r="AO145" s="296">
        <v>30000</v>
      </c>
      <c r="AP145" s="296"/>
      <c r="AQ145" s="296"/>
      <c r="AR145" s="296"/>
      <c r="AS145" s="296">
        <f t="shared" si="45"/>
        <v>65000</v>
      </c>
      <c r="AT145" s="297">
        <f t="shared" si="51"/>
        <v>-65000</v>
      </c>
      <c r="AU145" s="297">
        <f t="shared" si="26"/>
        <v>-65000</v>
      </c>
      <c r="AV145" s="297">
        <f t="shared" si="27"/>
        <v>0</v>
      </c>
      <c r="AW145" s="297">
        <f t="shared" si="52"/>
        <v>-32500</v>
      </c>
      <c r="AX145" s="297">
        <f t="shared" si="53"/>
        <v>-29250</v>
      </c>
      <c r="AY145" s="298">
        <v>50000</v>
      </c>
      <c r="AZ145" s="298"/>
      <c r="BA145" s="297">
        <f t="shared" si="54"/>
        <v>-79250</v>
      </c>
      <c r="BB145" s="278"/>
      <c r="BC145" s="255"/>
      <c r="BD145" s="255"/>
    </row>
    <row r="146" spans="1:56" s="256" customFormat="1" ht="20" hidden="1" customHeight="1">
      <c r="A146" s="260">
        <v>146</v>
      </c>
      <c r="B146" s="277"/>
      <c r="C146" s="278"/>
      <c r="D146" s="278"/>
      <c r="E146" s="278"/>
      <c r="F146" s="278"/>
      <c r="G146" s="279"/>
      <c r="H146" s="280"/>
      <c r="I146" s="280"/>
      <c r="J146" s="281"/>
      <c r="K146" s="282"/>
      <c r="L146" s="282"/>
      <c r="M146" s="339"/>
      <c r="N146" s="278"/>
      <c r="O146" s="278"/>
      <c r="P146" s="283"/>
      <c r="Q146" s="278"/>
      <c r="R146" s="284"/>
      <c r="S146" s="282"/>
      <c r="T146" s="285"/>
      <c r="U146" s="286"/>
      <c r="V146" s="287"/>
      <c r="W146" s="288"/>
      <c r="X146" s="286"/>
      <c r="Y146" s="289"/>
      <c r="Z146" s="289"/>
      <c r="AA146" s="290"/>
      <c r="AB146" s="291">
        <f t="shared" si="55"/>
        <v>0</v>
      </c>
      <c r="AC146" s="292">
        <f t="shared" si="36"/>
        <v>0</v>
      </c>
      <c r="AD146" s="293"/>
      <c r="AE146" s="293"/>
      <c r="AF146" s="294"/>
      <c r="AG146" s="291"/>
      <c r="AH146" s="295"/>
      <c r="AI146" s="291"/>
      <c r="AJ146" s="295"/>
      <c r="AK146" s="291"/>
      <c r="AL146" s="291"/>
      <c r="AM146" s="291"/>
      <c r="AN146" s="296">
        <v>35000</v>
      </c>
      <c r="AO146" s="296">
        <v>30000</v>
      </c>
      <c r="AP146" s="296"/>
      <c r="AQ146" s="296"/>
      <c r="AR146" s="296"/>
      <c r="AS146" s="296">
        <f t="shared" si="45"/>
        <v>65000</v>
      </c>
      <c r="AT146" s="297">
        <f t="shared" si="51"/>
        <v>-65000</v>
      </c>
      <c r="AU146" s="297">
        <f t="shared" si="26"/>
        <v>-65000</v>
      </c>
      <c r="AV146" s="297">
        <f t="shared" si="27"/>
        <v>0</v>
      </c>
      <c r="AW146" s="297">
        <f t="shared" si="52"/>
        <v>-32500</v>
      </c>
      <c r="AX146" s="297">
        <f t="shared" si="53"/>
        <v>-29250</v>
      </c>
      <c r="AY146" s="298">
        <v>50000</v>
      </c>
      <c r="AZ146" s="298"/>
      <c r="BA146" s="297">
        <f t="shared" si="54"/>
        <v>-79250</v>
      </c>
      <c r="BB146" s="278"/>
      <c r="BC146" s="255"/>
      <c r="BD146" s="255"/>
    </row>
    <row r="147" spans="1:56" s="256" customFormat="1" ht="20" hidden="1" customHeight="1">
      <c r="A147" s="260">
        <v>147</v>
      </c>
      <c r="B147" s="277"/>
      <c r="C147" s="278"/>
      <c r="D147" s="278"/>
      <c r="E147" s="278"/>
      <c r="F147" s="278"/>
      <c r="G147" s="279"/>
      <c r="H147" s="280"/>
      <c r="I147" s="280"/>
      <c r="J147" s="281"/>
      <c r="K147" s="282"/>
      <c r="L147" s="282"/>
      <c r="M147" s="339"/>
      <c r="N147" s="278"/>
      <c r="O147" s="278"/>
      <c r="P147" s="283"/>
      <c r="Q147" s="278"/>
      <c r="R147" s="284"/>
      <c r="S147" s="282"/>
      <c r="T147" s="285"/>
      <c r="U147" s="286"/>
      <c r="V147" s="287"/>
      <c r="W147" s="288"/>
      <c r="X147" s="286"/>
      <c r="Y147" s="289"/>
      <c r="Z147" s="289"/>
      <c r="AA147" s="290"/>
      <c r="AB147" s="291">
        <f t="shared" si="55"/>
        <v>0</v>
      </c>
      <c r="AC147" s="292">
        <f t="shared" si="36"/>
        <v>0</v>
      </c>
      <c r="AD147" s="293"/>
      <c r="AE147" s="293"/>
      <c r="AF147" s="294"/>
      <c r="AG147" s="291"/>
      <c r="AH147" s="295"/>
      <c r="AI147" s="291"/>
      <c r="AJ147" s="295"/>
      <c r="AK147" s="291"/>
      <c r="AL147" s="291"/>
      <c r="AM147" s="291"/>
      <c r="AN147" s="296">
        <v>35000</v>
      </c>
      <c r="AO147" s="296">
        <v>30000</v>
      </c>
      <c r="AP147" s="296"/>
      <c r="AQ147" s="296"/>
      <c r="AR147" s="296"/>
      <c r="AS147" s="296">
        <f t="shared" si="45"/>
        <v>65000</v>
      </c>
      <c r="AT147" s="297">
        <f t="shared" si="51"/>
        <v>-65000</v>
      </c>
      <c r="AU147" s="297">
        <f t="shared" si="26"/>
        <v>-65000</v>
      </c>
      <c r="AV147" s="297">
        <f t="shared" si="27"/>
        <v>0</v>
      </c>
      <c r="AW147" s="297">
        <f t="shared" si="52"/>
        <v>-32500</v>
      </c>
      <c r="AX147" s="297">
        <f t="shared" si="53"/>
        <v>-29250</v>
      </c>
      <c r="AY147" s="298">
        <v>50000</v>
      </c>
      <c r="AZ147" s="298"/>
      <c r="BA147" s="297">
        <f t="shared" si="54"/>
        <v>-79250</v>
      </c>
      <c r="BB147" s="278"/>
      <c r="BC147" s="255"/>
      <c r="BD147" s="255"/>
    </row>
    <row r="148" spans="1:56" s="256" customFormat="1" ht="20" hidden="1" customHeight="1">
      <c r="A148" s="260">
        <v>148</v>
      </c>
      <c r="B148" s="277"/>
      <c r="C148" s="278"/>
      <c r="D148" s="278"/>
      <c r="E148" s="278"/>
      <c r="F148" s="278"/>
      <c r="G148" s="279"/>
      <c r="H148" s="280"/>
      <c r="I148" s="280"/>
      <c r="J148" s="281"/>
      <c r="K148" s="282"/>
      <c r="L148" s="282"/>
      <c r="M148" s="339"/>
      <c r="N148" s="278"/>
      <c r="O148" s="278"/>
      <c r="P148" s="283"/>
      <c r="Q148" s="278"/>
      <c r="R148" s="284"/>
      <c r="S148" s="282"/>
      <c r="T148" s="285"/>
      <c r="U148" s="286"/>
      <c r="V148" s="287"/>
      <c r="W148" s="288"/>
      <c r="X148" s="286"/>
      <c r="Y148" s="289"/>
      <c r="Z148" s="289"/>
      <c r="AA148" s="290"/>
      <c r="AB148" s="291">
        <f t="shared" si="55"/>
        <v>0</v>
      </c>
      <c r="AC148" s="292">
        <f t="shared" si="36"/>
        <v>0</v>
      </c>
      <c r="AD148" s="293"/>
      <c r="AE148" s="293"/>
      <c r="AF148" s="294"/>
      <c r="AG148" s="291"/>
      <c r="AH148" s="295"/>
      <c r="AI148" s="291"/>
      <c r="AJ148" s="295"/>
      <c r="AK148" s="291"/>
      <c r="AL148" s="291"/>
      <c r="AM148" s="291"/>
      <c r="AN148" s="296">
        <v>35000</v>
      </c>
      <c r="AO148" s="296">
        <v>30000</v>
      </c>
      <c r="AP148" s="296"/>
      <c r="AQ148" s="296"/>
      <c r="AR148" s="296"/>
      <c r="AS148" s="296">
        <f t="shared" si="45"/>
        <v>65000</v>
      </c>
      <c r="AT148" s="297">
        <f t="shared" si="51"/>
        <v>-65000</v>
      </c>
      <c r="AU148" s="297">
        <f t="shared" si="26"/>
        <v>-65000</v>
      </c>
      <c r="AV148" s="297">
        <f t="shared" si="27"/>
        <v>0</v>
      </c>
      <c r="AW148" s="297">
        <f t="shared" si="52"/>
        <v>-32500</v>
      </c>
      <c r="AX148" s="297">
        <f t="shared" si="53"/>
        <v>-29250</v>
      </c>
      <c r="AY148" s="298">
        <v>50000</v>
      </c>
      <c r="AZ148" s="298"/>
      <c r="BA148" s="297">
        <f t="shared" si="54"/>
        <v>-79250</v>
      </c>
      <c r="BB148" s="278"/>
      <c r="BC148" s="255"/>
      <c r="BD148" s="255"/>
    </row>
    <row r="149" spans="1:56" s="256" customFormat="1" ht="20" hidden="1" customHeight="1">
      <c r="A149" s="260">
        <v>149</v>
      </c>
      <c r="B149" s="277"/>
      <c r="C149" s="278"/>
      <c r="D149" s="278"/>
      <c r="E149" s="278"/>
      <c r="F149" s="278"/>
      <c r="G149" s="279"/>
      <c r="H149" s="280"/>
      <c r="I149" s="280"/>
      <c r="J149" s="281"/>
      <c r="K149" s="282"/>
      <c r="L149" s="282"/>
      <c r="M149" s="339"/>
      <c r="N149" s="278"/>
      <c r="O149" s="278"/>
      <c r="P149" s="283"/>
      <c r="Q149" s="278"/>
      <c r="R149" s="284"/>
      <c r="S149" s="282"/>
      <c r="T149" s="285"/>
      <c r="U149" s="286"/>
      <c r="V149" s="287"/>
      <c r="W149" s="288"/>
      <c r="X149" s="286"/>
      <c r="Y149" s="289"/>
      <c r="Z149" s="289"/>
      <c r="AA149" s="290"/>
      <c r="AB149" s="291">
        <f t="shared" si="55"/>
        <v>0</v>
      </c>
      <c r="AC149" s="292">
        <f t="shared" si="36"/>
        <v>0</v>
      </c>
      <c r="AD149" s="293"/>
      <c r="AE149" s="293"/>
      <c r="AF149" s="294"/>
      <c r="AG149" s="291"/>
      <c r="AH149" s="295"/>
      <c r="AI149" s="291"/>
      <c r="AJ149" s="295"/>
      <c r="AK149" s="291"/>
      <c r="AL149" s="291"/>
      <c r="AM149" s="291"/>
      <c r="AN149" s="296">
        <v>35000</v>
      </c>
      <c r="AO149" s="296">
        <v>30000</v>
      </c>
      <c r="AP149" s="296"/>
      <c r="AQ149" s="296"/>
      <c r="AR149" s="296"/>
      <c r="AS149" s="296">
        <f t="shared" si="45"/>
        <v>65000</v>
      </c>
      <c r="AT149" s="297">
        <f t="shared" si="51"/>
        <v>-65000</v>
      </c>
      <c r="AU149" s="297">
        <f t="shared" si="26"/>
        <v>-65000</v>
      </c>
      <c r="AV149" s="297">
        <f t="shared" si="27"/>
        <v>0</v>
      </c>
      <c r="AW149" s="297">
        <f t="shared" si="52"/>
        <v>-32500</v>
      </c>
      <c r="AX149" s="297">
        <f t="shared" si="53"/>
        <v>-29250</v>
      </c>
      <c r="AY149" s="298">
        <v>50000</v>
      </c>
      <c r="AZ149" s="298"/>
      <c r="BA149" s="297">
        <f t="shared" si="54"/>
        <v>-79250</v>
      </c>
      <c r="BB149" s="278"/>
      <c r="BC149" s="255"/>
      <c r="BD149" s="255"/>
    </row>
    <row r="150" spans="1:56" s="256" customFormat="1" ht="20" hidden="1" customHeight="1">
      <c r="A150" s="260">
        <v>150</v>
      </c>
      <c r="B150" s="277"/>
      <c r="C150" s="278"/>
      <c r="D150" s="278"/>
      <c r="E150" s="278"/>
      <c r="F150" s="278"/>
      <c r="G150" s="279"/>
      <c r="H150" s="280"/>
      <c r="I150" s="280"/>
      <c r="J150" s="281"/>
      <c r="K150" s="282"/>
      <c r="L150" s="282"/>
      <c r="M150" s="339"/>
      <c r="N150" s="278"/>
      <c r="O150" s="278"/>
      <c r="P150" s="283"/>
      <c r="Q150" s="278"/>
      <c r="R150" s="284"/>
      <c r="S150" s="282"/>
      <c r="T150" s="285"/>
      <c r="U150" s="286"/>
      <c r="V150" s="287"/>
      <c r="W150" s="288"/>
      <c r="X150" s="286"/>
      <c r="Y150" s="289"/>
      <c r="Z150" s="289"/>
      <c r="AA150" s="290"/>
      <c r="AB150" s="291">
        <f t="shared" si="55"/>
        <v>0</v>
      </c>
      <c r="AC150" s="292">
        <f t="shared" si="36"/>
        <v>0</v>
      </c>
      <c r="AD150" s="293"/>
      <c r="AE150" s="293"/>
      <c r="AF150" s="294"/>
      <c r="AG150" s="291"/>
      <c r="AH150" s="295"/>
      <c r="AI150" s="291"/>
      <c r="AJ150" s="295"/>
      <c r="AK150" s="291"/>
      <c r="AL150" s="291"/>
      <c r="AM150" s="291"/>
      <c r="AN150" s="296">
        <v>35000</v>
      </c>
      <c r="AO150" s="296">
        <v>30000</v>
      </c>
      <c r="AP150" s="296"/>
      <c r="AQ150" s="296"/>
      <c r="AR150" s="296"/>
      <c r="AS150" s="296">
        <f t="shared" si="45"/>
        <v>65000</v>
      </c>
      <c r="AT150" s="297">
        <f t="shared" si="51"/>
        <v>-65000</v>
      </c>
      <c r="AU150" s="297">
        <f t="shared" si="26"/>
        <v>-65000</v>
      </c>
      <c r="AV150" s="297">
        <f t="shared" si="27"/>
        <v>0</v>
      </c>
      <c r="AW150" s="297">
        <f t="shared" si="52"/>
        <v>-32500</v>
      </c>
      <c r="AX150" s="297">
        <f t="shared" si="53"/>
        <v>-29250</v>
      </c>
      <c r="AY150" s="298">
        <v>50000</v>
      </c>
      <c r="AZ150" s="298"/>
      <c r="BA150" s="297">
        <f t="shared" si="54"/>
        <v>-79250</v>
      </c>
      <c r="BB150" s="278"/>
      <c r="BC150" s="255"/>
      <c r="BD150" s="255"/>
    </row>
    <row r="151" spans="1:56" s="256" customFormat="1" ht="20" hidden="1" customHeight="1">
      <c r="A151" s="260">
        <v>151</v>
      </c>
      <c r="B151" s="277"/>
      <c r="C151" s="278"/>
      <c r="D151" s="278"/>
      <c r="E151" s="278"/>
      <c r="F151" s="278"/>
      <c r="G151" s="279"/>
      <c r="H151" s="280"/>
      <c r="I151" s="280"/>
      <c r="J151" s="281"/>
      <c r="K151" s="282"/>
      <c r="L151" s="282"/>
      <c r="M151" s="339"/>
      <c r="N151" s="278"/>
      <c r="O151" s="278"/>
      <c r="P151" s="283"/>
      <c r="Q151" s="278"/>
      <c r="R151" s="284"/>
      <c r="S151" s="282"/>
      <c r="T151" s="285"/>
      <c r="U151" s="286"/>
      <c r="V151" s="287"/>
      <c r="W151" s="288"/>
      <c r="X151" s="286"/>
      <c r="Y151" s="289"/>
      <c r="Z151" s="289"/>
      <c r="AA151" s="290"/>
      <c r="AB151" s="291">
        <f t="shared" si="55"/>
        <v>0</v>
      </c>
      <c r="AC151" s="292">
        <f t="shared" si="36"/>
        <v>0</v>
      </c>
      <c r="AD151" s="293"/>
      <c r="AE151" s="293"/>
      <c r="AF151" s="294"/>
      <c r="AG151" s="291"/>
      <c r="AH151" s="295"/>
      <c r="AI151" s="291"/>
      <c r="AJ151" s="295"/>
      <c r="AK151" s="291"/>
      <c r="AL151" s="291"/>
      <c r="AM151" s="291"/>
      <c r="AN151" s="296">
        <v>35000</v>
      </c>
      <c r="AO151" s="296">
        <v>30000</v>
      </c>
      <c r="AP151" s="296"/>
      <c r="AQ151" s="296"/>
      <c r="AR151" s="296"/>
      <c r="AS151" s="296">
        <f t="shared" si="45"/>
        <v>65000</v>
      </c>
      <c r="AT151" s="297">
        <f t="shared" si="51"/>
        <v>-65000</v>
      </c>
      <c r="AU151" s="297">
        <f t="shared" si="26"/>
        <v>-65000</v>
      </c>
      <c r="AV151" s="297">
        <f t="shared" si="27"/>
        <v>0</v>
      </c>
      <c r="AW151" s="297">
        <f t="shared" si="52"/>
        <v>-32500</v>
      </c>
      <c r="AX151" s="297">
        <f t="shared" si="53"/>
        <v>-29250</v>
      </c>
      <c r="AY151" s="298">
        <v>50000</v>
      </c>
      <c r="AZ151" s="298"/>
      <c r="BA151" s="297">
        <f t="shared" si="54"/>
        <v>-79250</v>
      </c>
      <c r="BB151" s="278"/>
      <c r="BC151" s="255"/>
      <c r="BD151" s="255"/>
    </row>
    <row r="152" spans="1:56" s="256" customFormat="1" ht="20" hidden="1" customHeight="1">
      <c r="A152" s="260">
        <v>152</v>
      </c>
      <c r="B152" s="277"/>
      <c r="C152" s="278"/>
      <c r="D152" s="278"/>
      <c r="E152" s="278"/>
      <c r="F152" s="278"/>
      <c r="G152" s="279"/>
      <c r="H152" s="280"/>
      <c r="I152" s="280"/>
      <c r="J152" s="281"/>
      <c r="K152" s="282"/>
      <c r="L152" s="282"/>
      <c r="M152" s="339"/>
      <c r="N152" s="278"/>
      <c r="O152" s="278"/>
      <c r="P152" s="283"/>
      <c r="Q152" s="278"/>
      <c r="R152" s="284"/>
      <c r="S152" s="282"/>
      <c r="T152" s="285"/>
      <c r="U152" s="286"/>
      <c r="V152" s="287"/>
      <c r="W152" s="288"/>
      <c r="X152" s="286"/>
      <c r="Y152" s="289"/>
      <c r="Z152" s="289"/>
      <c r="AA152" s="290"/>
      <c r="AB152" s="291">
        <f t="shared" si="55"/>
        <v>0</v>
      </c>
      <c r="AC152" s="292">
        <f t="shared" si="36"/>
        <v>0</v>
      </c>
      <c r="AD152" s="293"/>
      <c r="AE152" s="293"/>
      <c r="AF152" s="294"/>
      <c r="AG152" s="291"/>
      <c r="AH152" s="295"/>
      <c r="AI152" s="291"/>
      <c r="AJ152" s="295"/>
      <c r="AK152" s="291"/>
      <c r="AL152" s="291"/>
      <c r="AM152" s="291"/>
      <c r="AN152" s="296">
        <v>35000</v>
      </c>
      <c r="AO152" s="296">
        <v>30000</v>
      </c>
      <c r="AP152" s="296"/>
      <c r="AQ152" s="296"/>
      <c r="AR152" s="296"/>
      <c r="AS152" s="296">
        <f t="shared" si="45"/>
        <v>65000</v>
      </c>
      <c r="AT152" s="297">
        <f t="shared" si="51"/>
        <v>-65000</v>
      </c>
      <c r="AU152" s="297">
        <f t="shared" si="26"/>
        <v>-65000</v>
      </c>
      <c r="AV152" s="297">
        <f t="shared" si="27"/>
        <v>0</v>
      </c>
      <c r="AW152" s="297">
        <f t="shared" si="52"/>
        <v>-32500</v>
      </c>
      <c r="AX152" s="297">
        <f t="shared" si="53"/>
        <v>-29250</v>
      </c>
      <c r="AY152" s="298">
        <v>50000</v>
      </c>
      <c r="AZ152" s="298"/>
      <c r="BA152" s="297">
        <f t="shared" si="54"/>
        <v>-79250</v>
      </c>
      <c r="BB152" s="278"/>
      <c r="BC152" s="255"/>
      <c r="BD152" s="255"/>
    </row>
    <row r="153" spans="1:56" s="256" customFormat="1" ht="20" hidden="1" customHeight="1">
      <c r="A153" s="260">
        <v>153</v>
      </c>
      <c r="B153" s="277"/>
      <c r="C153" s="278"/>
      <c r="D153" s="278"/>
      <c r="E153" s="278"/>
      <c r="F153" s="278"/>
      <c r="G153" s="279"/>
      <c r="H153" s="280"/>
      <c r="I153" s="280"/>
      <c r="J153" s="281"/>
      <c r="K153" s="282"/>
      <c r="L153" s="282"/>
      <c r="M153" s="339"/>
      <c r="N153" s="278"/>
      <c r="O153" s="278"/>
      <c r="P153" s="283"/>
      <c r="Q153" s="278"/>
      <c r="R153" s="284"/>
      <c r="S153" s="282"/>
      <c r="T153" s="285"/>
      <c r="U153" s="286"/>
      <c r="V153" s="287"/>
      <c r="W153" s="288"/>
      <c r="X153" s="286"/>
      <c r="Y153" s="289"/>
      <c r="Z153" s="289"/>
      <c r="AA153" s="290"/>
      <c r="AB153" s="291">
        <f t="shared" si="55"/>
        <v>0</v>
      </c>
      <c r="AC153" s="292">
        <f t="shared" si="36"/>
        <v>0</v>
      </c>
      <c r="AD153" s="293" t="s">
        <v>568</v>
      </c>
      <c r="AE153" s="293"/>
      <c r="AF153" s="294"/>
      <c r="AG153" s="291"/>
      <c r="AH153" s="295"/>
      <c r="AI153" s="291"/>
      <c r="AJ153" s="295"/>
      <c r="AK153" s="291"/>
      <c r="AL153" s="291"/>
      <c r="AM153" s="291"/>
      <c r="AN153" s="296">
        <v>35000</v>
      </c>
      <c r="AO153" s="296">
        <v>30000</v>
      </c>
      <c r="AP153" s="296"/>
      <c r="AQ153" s="296"/>
      <c r="AR153" s="296"/>
      <c r="AS153" s="296">
        <f t="shared" si="45"/>
        <v>65000</v>
      </c>
      <c r="AT153" s="297">
        <f t="shared" si="51"/>
        <v>-65000</v>
      </c>
      <c r="AU153" s="297">
        <f t="shared" si="26"/>
        <v>-65000</v>
      </c>
      <c r="AV153" s="297">
        <f t="shared" si="27"/>
        <v>0</v>
      </c>
      <c r="AW153" s="297">
        <f t="shared" si="52"/>
        <v>-32500</v>
      </c>
      <c r="AX153" s="297">
        <f t="shared" si="53"/>
        <v>-29250</v>
      </c>
      <c r="AY153" s="298">
        <v>50000</v>
      </c>
      <c r="AZ153" s="298"/>
      <c r="BA153" s="297">
        <f t="shared" si="54"/>
        <v>-79250</v>
      </c>
      <c r="BB153" s="278"/>
      <c r="BC153" s="255"/>
      <c r="BD153" s="255"/>
    </row>
    <row r="154" spans="1:56" s="256" customFormat="1" ht="20" hidden="1" customHeight="1">
      <c r="A154" s="260">
        <v>154</v>
      </c>
      <c r="B154" s="277"/>
      <c r="C154" s="278"/>
      <c r="D154" s="278"/>
      <c r="E154" s="278"/>
      <c r="F154" s="278"/>
      <c r="G154" s="279"/>
      <c r="H154" s="280"/>
      <c r="I154" s="280"/>
      <c r="J154" s="281"/>
      <c r="K154" s="282"/>
      <c r="L154" s="282"/>
      <c r="M154" s="339"/>
      <c r="N154" s="278"/>
      <c r="O154" s="278"/>
      <c r="P154" s="283"/>
      <c r="Q154" s="278"/>
      <c r="R154" s="284"/>
      <c r="S154" s="282"/>
      <c r="T154" s="285"/>
      <c r="U154" s="286"/>
      <c r="V154" s="287"/>
      <c r="W154" s="288"/>
      <c r="X154" s="286"/>
      <c r="Y154" s="289"/>
      <c r="Z154" s="289"/>
      <c r="AA154" s="290"/>
      <c r="AB154" s="291">
        <f t="shared" si="55"/>
        <v>0</v>
      </c>
      <c r="AC154" s="292">
        <f t="shared" si="36"/>
        <v>0</v>
      </c>
      <c r="AD154" s="293"/>
      <c r="AE154" s="293"/>
      <c r="AF154" s="294"/>
      <c r="AG154" s="291"/>
      <c r="AH154" s="295"/>
      <c r="AI154" s="291"/>
      <c r="AJ154" s="295"/>
      <c r="AK154" s="291"/>
      <c r="AL154" s="291"/>
      <c r="AM154" s="291"/>
      <c r="AN154" s="296">
        <v>35000</v>
      </c>
      <c r="AO154" s="296">
        <v>30000</v>
      </c>
      <c r="AP154" s="296"/>
      <c r="AQ154" s="296"/>
      <c r="AR154" s="296"/>
      <c r="AS154" s="296">
        <f t="shared" si="45"/>
        <v>65000</v>
      </c>
      <c r="AT154" s="297">
        <f t="shared" si="51"/>
        <v>-65000</v>
      </c>
      <c r="AU154" s="297">
        <f t="shared" si="26"/>
        <v>-65000</v>
      </c>
      <c r="AV154" s="297">
        <f t="shared" si="27"/>
        <v>0</v>
      </c>
      <c r="AW154" s="297">
        <f t="shared" si="52"/>
        <v>-32500</v>
      </c>
      <c r="AX154" s="297">
        <f t="shared" si="53"/>
        <v>-29250</v>
      </c>
      <c r="AY154" s="298">
        <v>50000</v>
      </c>
      <c r="AZ154" s="298"/>
      <c r="BA154" s="297">
        <f t="shared" si="54"/>
        <v>-79250</v>
      </c>
      <c r="BB154" s="278"/>
      <c r="BC154" s="255"/>
      <c r="BD154" s="255"/>
    </row>
    <row r="155" spans="1:56" s="256" customFormat="1" ht="20" hidden="1" customHeight="1">
      <c r="A155" s="260">
        <v>155</v>
      </c>
      <c r="B155" s="277"/>
      <c r="C155" s="278"/>
      <c r="D155" s="278"/>
      <c r="E155" s="278"/>
      <c r="F155" s="278"/>
      <c r="G155" s="279"/>
      <c r="H155" s="280"/>
      <c r="I155" s="280"/>
      <c r="J155" s="281"/>
      <c r="K155" s="282"/>
      <c r="L155" s="282"/>
      <c r="M155" s="339"/>
      <c r="N155" s="278"/>
      <c r="O155" s="278"/>
      <c r="P155" s="283"/>
      <c r="Q155" s="278"/>
      <c r="R155" s="284"/>
      <c r="S155" s="282"/>
      <c r="T155" s="285"/>
      <c r="U155" s="286"/>
      <c r="V155" s="287"/>
      <c r="W155" s="288"/>
      <c r="X155" s="286"/>
      <c r="Y155" s="289"/>
      <c r="Z155" s="289"/>
      <c r="AA155" s="290"/>
      <c r="AB155" s="291">
        <f t="shared" si="55"/>
        <v>0</v>
      </c>
      <c r="AC155" s="292">
        <f t="shared" si="36"/>
        <v>0</v>
      </c>
      <c r="AD155" s="293"/>
      <c r="AE155" s="293"/>
      <c r="AF155" s="294"/>
      <c r="AG155" s="291"/>
      <c r="AH155" s="295"/>
      <c r="AI155" s="291"/>
      <c r="AJ155" s="295"/>
      <c r="AK155" s="291"/>
      <c r="AL155" s="291"/>
      <c r="AM155" s="291"/>
      <c r="AN155" s="296">
        <v>35000</v>
      </c>
      <c r="AO155" s="296">
        <v>30000</v>
      </c>
      <c r="AP155" s="296"/>
      <c r="AQ155" s="296"/>
      <c r="AR155" s="296"/>
      <c r="AS155" s="296">
        <f t="shared" si="45"/>
        <v>65000</v>
      </c>
      <c r="AT155" s="297">
        <f t="shared" si="51"/>
        <v>-65000</v>
      </c>
      <c r="AU155" s="297">
        <f t="shared" si="26"/>
        <v>-65000</v>
      </c>
      <c r="AV155" s="297">
        <f t="shared" si="27"/>
        <v>0</v>
      </c>
      <c r="AW155" s="297">
        <f t="shared" si="52"/>
        <v>-32500</v>
      </c>
      <c r="AX155" s="297">
        <f t="shared" si="53"/>
        <v>-29250</v>
      </c>
      <c r="AY155" s="298">
        <v>50000</v>
      </c>
      <c r="AZ155" s="298"/>
      <c r="BA155" s="297">
        <f t="shared" si="54"/>
        <v>-79250</v>
      </c>
      <c r="BB155" s="278"/>
      <c r="BC155" s="255"/>
      <c r="BD155" s="255"/>
    </row>
    <row r="156" spans="1:56" s="256" customFormat="1" ht="20" hidden="1" customHeight="1">
      <c r="A156" s="260">
        <v>156</v>
      </c>
      <c r="B156" s="277"/>
      <c r="C156" s="278"/>
      <c r="D156" s="278"/>
      <c r="E156" s="278"/>
      <c r="F156" s="278"/>
      <c r="G156" s="279"/>
      <c r="H156" s="280"/>
      <c r="I156" s="280"/>
      <c r="J156" s="281"/>
      <c r="K156" s="282"/>
      <c r="L156" s="282"/>
      <c r="M156" s="339"/>
      <c r="N156" s="278"/>
      <c r="O156" s="278"/>
      <c r="P156" s="283"/>
      <c r="Q156" s="278"/>
      <c r="R156" s="284"/>
      <c r="S156" s="282"/>
      <c r="T156" s="285"/>
      <c r="U156" s="286"/>
      <c r="V156" s="287"/>
      <c r="W156" s="288"/>
      <c r="X156" s="286"/>
      <c r="Y156" s="289"/>
      <c r="Z156" s="289"/>
      <c r="AA156" s="290"/>
      <c r="AB156" s="291">
        <f t="shared" si="55"/>
        <v>0</v>
      </c>
      <c r="AC156" s="292">
        <f t="shared" si="36"/>
        <v>0</v>
      </c>
      <c r="AD156" s="293"/>
      <c r="AE156" s="293"/>
      <c r="AF156" s="294"/>
      <c r="AG156" s="291"/>
      <c r="AH156" s="295"/>
      <c r="AI156" s="291"/>
      <c r="AJ156" s="295"/>
      <c r="AK156" s="291"/>
      <c r="AL156" s="291"/>
      <c r="AM156" s="291"/>
      <c r="AN156" s="296">
        <v>35000</v>
      </c>
      <c r="AO156" s="296">
        <v>30000</v>
      </c>
      <c r="AP156" s="296"/>
      <c r="AQ156" s="296"/>
      <c r="AR156" s="296"/>
      <c r="AS156" s="296">
        <f t="shared" si="45"/>
        <v>65000</v>
      </c>
      <c r="AT156" s="297">
        <f t="shared" si="51"/>
        <v>-65000</v>
      </c>
      <c r="AU156" s="297">
        <f t="shared" si="26"/>
        <v>-65000</v>
      </c>
      <c r="AV156" s="297">
        <f t="shared" si="27"/>
        <v>0</v>
      </c>
      <c r="AW156" s="297">
        <f t="shared" si="52"/>
        <v>-32500</v>
      </c>
      <c r="AX156" s="297">
        <f t="shared" si="53"/>
        <v>-29250</v>
      </c>
      <c r="AY156" s="298">
        <v>50000</v>
      </c>
      <c r="AZ156" s="298"/>
      <c r="BA156" s="297">
        <f t="shared" si="54"/>
        <v>-79250</v>
      </c>
      <c r="BB156" s="278"/>
      <c r="BC156" s="255"/>
      <c r="BD156" s="255"/>
    </row>
    <row r="157" spans="1:56" s="256" customFormat="1" ht="20" hidden="1" customHeight="1">
      <c r="A157" s="260">
        <v>157</v>
      </c>
      <c r="B157" s="277"/>
      <c r="C157" s="278"/>
      <c r="D157" s="278"/>
      <c r="E157" s="278"/>
      <c r="F157" s="278"/>
      <c r="G157" s="279"/>
      <c r="H157" s="280"/>
      <c r="I157" s="280"/>
      <c r="J157" s="281"/>
      <c r="K157" s="282"/>
      <c r="L157" s="282"/>
      <c r="M157" s="339"/>
      <c r="N157" s="278"/>
      <c r="O157" s="278"/>
      <c r="P157" s="283"/>
      <c r="Q157" s="278"/>
      <c r="R157" s="284"/>
      <c r="S157" s="282"/>
      <c r="T157" s="285"/>
      <c r="U157" s="286"/>
      <c r="V157" s="287"/>
      <c r="W157" s="288"/>
      <c r="X157" s="286"/>
      <c r="Y157" s="289"/>
      <c r="Z157" s="289"/>
      <c r="AA157" s="290"/>
      <c r="AB157" s="291">
        <v>8100</v>
      </c>
      <c r="AC157" s="292">
        <f t="shared" si="36"/>
        <v>8100</v>
      </c>
      <c r="AD157" s="293" t="s">
        <v>524</v>
      </c>
      <c r="AE157" s="293" t="s">
        <v>525</v>
      </c>
      <c r="AF157" s="294"/>
      <c r="AG157" s="291"/>
      <c r="AH157" s="295"/>
      <c r="AI157" s="291"/>
      <c r="AJ157" s="295"/>
      <c r="AK157" s="291"/>
      <c r="AL157" s="291"/>
      <c r="AM157" s="291"/>
      <c r="AN157" s="296">
        <v>35000</v>
      </c>
      <c r="AO157" s="296">
        <v>30000</v>
      </c>
      <c r="AP157" s="296"/>
      <c r="AQ157" s="296"/>
      <c r="AR157" s="296"/>
      <c r="AS157" s="296">
        <f t="shared" si="45"/>
        <v>65000</v>
      </c>
      <c r="AT157" s="297">
        <f t="shared" si="51"/>
        <v>-65000</v>
      </c>
      <c r="AU157" s="297">
        <f t="shared" si="26"/>
        <v>-65000</v>
      </c>
      <c r="AV157" s="297">
        <f t="shared" si="27"/>
        <v>0</v>
      </c>
      <c r="AW157" s="297">
        <f t="shared" si="52"/>
        <v>-32500</v>
      </c>
      <c r="AX157" s="297">
        <f t="shared" si="53"/>
        <v>-29250</v>
      </c>
      <c r="AY157" s="298">
        <v>50000</v>
      </c>
      <c r="AZ157" s="298"/>
      <c r="BA157" s="297">
        <f t="shared" si="54"/>
        <v>-79250</v>
      </c>
      <c r="BB157" s="278"/>
      <c r="BC157" s="255"/>
      <c r="BD157" s="255"/>
    </row>
    <row r="158" spans="1:56" s="256" customFormat="1" ht="20" hidden="1" customHeight="1">
      <c r="A158" s="260">
        <v>158</v>
      </c>
      <c r="B158" s="277"/>
      <c r="C158" s="278"/>
      <c r="D158" s="278"/>
      <c r="E158" s="278"/>
      <c r="F158" s="278"/>
      <c r="G158" s="279"/>
      <c r="H158" s="280"/>
      <c r="I158" s="280"/>
      <c r="J158" s="281"/>
      <c r="K158" s="282"/>
      <c r="L158" s="282"/>
      <c r="M158" s="339"/>
      <c r="N158" s="278"/>
      <c r="O158" s="278"/>
      <c r="P158" s="283"/>
      <c r="Q158" s="278"/>
      <c r="R158" s="284"/>
      <c r="S158" s="282"/>
      <c r="T158" s="285"/>
      <c r="U158" s="286"/>
      <c r="V158" s="287"/>
      <c r="W158" s="288"/>
      <c r="X158" s="286"/>
      <c r="Y158" s="289"/>
      <c r="Z158" s="289"/>
      <c r="AA158" s="290"/>
      <c r="AB158" s="291">
        <f t="shared" ref="AB158:AB221" si="56">SUM(AG158+AI158+AK158+AL158-AM158)</f>
        <v>0</v>
      </c>
      <c r="AC158" s="292">
        <f t="shared" si="36"/>
        <v>0</v>
      </c>
      <c r="AD158" s="293"/>
      <c r="AE158" s="293"/>
      <c r="AF158" s="294"/>
      <c r="AG158" s="291"/>
      <c r="AH158" s="295"/>
      <c r="AI158" s="291"/>
      <c r="AJ158" s="295"/>
      <c r="AK158" s="291"/>
      <c r="AL158" s="291"/>
      <c r="AM158" s="291"/>
      <c r="AN158" s="296">
        <v>35000</v>
      </c>
      <c r="AO158" s="296">
        <v>30000</v>
      </c>
      <c r="AP158" s="296"/>
      <c r="AQ158" s="296"/>
      <c r="AR158" s="296"/>
      <c r="AS158" s="296">
        <f t="shared" si="45"/>
        <v>65000</v>
      </c>
      <c r="AT158" s="297">
        <f t="shared" si="51"/>
        <v>-65000</v>
      </c>
      <c r="AU158" s="297">
        <f t="shared" si="26"/>
        <v>-65000</v>
      </c>
      <c r="AV158" s="297">
        <f t="shared" si="27"/>
        <v>0</v>
      </c>
      <c r="AW158" s="297">
        <f t="shared" si="52"/>
        <v>-32500</v>
      </c>
      <c r="AX158" s="297">
        <f t="shared" si="53"/>
        <v>-29250</v>
      </c>
      <c r="AY158" s="298">
        <v>50000</v>
      </c>
      <c r="AZ158" s="298"/>
      <c r="BA158" s="297">
        <f t="shared" si="54"/>
        <v>-79250</v>
      </c>
      <c r="BB158" s="278"/>
      <c r="BC158" s="255"/>
      <c r="BD158" s="255"/>
    </row>
    <row r="159" spans="1:56" s="256" customFormat="1" ht="20" hidden="1" customHeight="1">
      <c r="A159" s="260">
        <v>159</v>
      </c>
      <c r="B159" s="277"/>
      <c r="C159" s="278"/>
      <c r="D159" s="278"/>
      <c r="E159" s="278"/>
      <c r="F159" s="278"/>
      <c r="G159" s="279"/>
      <c r="H159" s="280"/>
      <c r="I159" s="280"/>
      <c r="J159" s="281"/>
      <c r="K159" s="282"/>
      <c r="L159" s="282"/>
      <c r="M159" s="339"/>
      <c r="N159" s="278"/>
      <c r="O159" s="278"/>
      <c r="P159" s="283"/>
      <c r="Q159" s="278"/>
      <c r="R159" s="284"/>
      <c r="S159" s="282"/>
      <c r="T159" s="285"/>
      <c r="U159" s="286"/>
      <c r="V159" s="287"/>
      <c r="W159" s="288"/>
      <c r="X159" s="286"/>
      <c r="Y159" s="289"/>
      <c r="Z159" s="289"/>
      <c r="AA159" s="290"/>
      <c r="AB159" s="291">
        <f t="shared" si="56"/>
        <v>0</v>
      </c>
      <c r="AC159" s="292"/>
      <c r="AD159" s="293"/>
      <c r="AE159" s="293"/>
      <c r="AF159" s="294"/>
      <c r="AG159" s="291"/>
      <c r="AH159" s="295"/>
      <c r="AI159" s="291"/>
      <c r="AJ159" s="295"/>
      <c r="AK159" s="291"/>
      <c r="AL159" s="291"/>
      <c r="AM159" s="291"/>
      <c r="AN159" s="296">
        <v>35000</v>
      </c>
      <c r="AO159" s="296">
        <v>30000</v>
      </c>
      <c r="AP159" s="296"/>
      <c r="AQ159" s="296"/>
      <c r="AR159" s="296"/>
      <c r="AS159" s="296">
        <f t="shared" si="45"/>
        <v>65000</v>
      </c>
      <c r="AT159" s="297">
        <f t="shared" si="51"/>
        <v>-65000</v>
      </c>
      <c r="AU159" s="297">
        <f t="shared" si="26"/>
        <v>-65000</v>
      </c>
      <c r="AV159" s="297">
        <f t="shared" si="27"/>
        <v>0</v>
      </c>
      <c r="AW159" s="297">
        <f t="shared" si="52"/>
        <v>-32500</v>
      </c>
      <c r="AX159" s="297">
        <f t="shared" si="53"/>
        <v>-29250</v>
      </c>
      <c r="AY159" s="298">
        <v>50000</v>
      </c>
      <c r="AZ159" s="298"/>
      <c r="BA159" s="297">
        <f t="shared" si="54"/>
        <v>-79250</v>
      </c>
      <c r="BB159" s="278"/>
      <c r="BC159" s="255"/>
      <c r="BD159" s="255"/>
    </row>
    <row r="160" spans="1:56" s="256" customFormat="1" ht="20" hidden="1" customHeight="1">
      <c r="A160" s="260">
        <v>160</v>
      </c>
      <c r="B160" s="277"/>
      <c r="C160" s="278"/>
      <c r="D160" s="278"/>
      <c r="E160" s="278"/>
      <c r="F160" s="278"/>
      <c r="G160" s="279"/>
      <c r="H160" s="280"/>
      <c r="I160" s="280"/>
      <c r="J160" s="281"/>
      <c r="K160" s="282"/>
      <c r="L160" s="282"/>
      <c r="M160" s="339"/>
      <c r="N160" s="278"/>
      <c r="O160" s="278"/>
      <c r="P160" s="283"/>
      <c r="Q160" s="278"/>
      <c r="R160" s="284"/>
      <c r="S160" s="282"/>
      <c r="T160" s="285"/>
      <c r="U160" s="286"/>
      <c r="V160" s="287"/>
      <c r="W160" s="288"/>
      <c r="X160" s="286"/>
      <c r="Y160" s="289"/>
      <c r="Z160" s="289"/>
      <c r="AA160" s="290"/>
      <c r="AB160" s="291">
        <f t="shared" si="56"/>
        <v>0</v>
      </c>
      <c r="AC160" s="292"/>
      <c r="AD160" s="293" t="s">
        <v>568</v>
      </c>
      <c r="AE160" s="293"/>
      <c r="AF160" s="294"/>
      <c r="AG160" s="291"/>
      <c r="AH160" s="295"/>
      <c r="AI160" s="291"/>
      <c r="AJ160" s="295"/>
      <c r="AK160" s="291"/>
      <c r="AL160" s="291"/>
      <c r="AM160" s="291"/>
      <c r="AN160" s="296">
        <v>35000</v>
      </c>
      <c r="AO160" s="296">
        <v>30000</v>
      </c>
      <c r="AP160" s="296"/>
      <c r="AQ160" s="296"/>
      <c r="AR160" s="296"/>
      <c r="AS160" s="296">
        <f t="shared" si="45"/>
        <v>65000</v>
      </c>
      <c r="AT160" s="297">
        <f t="shared" si="51"/>
        <v>-65000</v>
      </c>
      <c r="AU160" s="297">
        <f t="shared" si="26"/>
        <v>-65000</v>
      </c>
      <c r="AV160" s="297">
        <f t="shared" si="27"/>
        <v>0</v>
      </c>
      <c r="AW160" s="297">
        <f t="shared" si="52"/>
        <v>-32500</v>
      </c>
      <c r="AX160" s="297">
        <f t="shared" si="53"/>
        <v>-29250</v>
      </c>
      <c r="AY160" s="298">
        <v>50000</v>
      </c>
      <c r="AZ160" s="298"/>
      <c r="BA160" s="297">
        <f t="shared" si="54"/>
        <v>-79250</v>
      </c>
      <c r="BB160" s="278"/>
      <c r="BC160" s="255"/>
      <c r="BD160" s="255"/>
    </row>
    <row r="161" spans="1:56" s="256" customFormat="1" ht="20" hidden="1" customHeight="1">
      <c r="A161" s="260">
        <v>161</v>
      </c>
      <c r="B161" s="277"/>
      <c r="C161" s="278"/>
      <c r="D161" s="278"/>
      <c r="E161" s="278"/>
      <c r="F161" s="278"/>
      <c r="G161" s="279"/>
      <c r="H161" s="280"/>
      <c r="I161" s="280"/>
      <c r="J161" s="281"/>
      <c r="K161" s="282"/>
      <c r="L161" s="282"/>
      <c r="M161" s="339"/>
      <c r="N161" s="278"/>
      <c r="O161" s="278"/>
      <c r="P161" s="283"/>
      <c r="Q161" s="278"/>
      <c r="R161" s="284"/>
      <c r="S161" s="282"/>
      <c r="T161" s="285"/>
      <c r="U161" s="286"/>
      <c r="V161" s="287"/>
      <c r="W161" s="288"/>
      <c r="X161" s="286"/>
      <c r="Y161" s="289"/>
      <c r="Z161" s="289"/>
      <c r="AA161" s="290"/>
      <c r="AB161" s="291">
        <f t="shared" si="56"/>
        <v>0</v>
      </c>
      <c r="AC161" s="292"/>
      <c r="AD161" s="293"/>
      <c r="AE161" s="293"/>
      <c r="AF161" s="294"/>
      <c r="AG161" s="291"/>
      <c r="AH161" s="295"/>
      <c r="AI161" s="291"/>
      <c r="AJ161" s="295"/>
      <c r="AK161" s="291"/>
      <c r="AL161" s="291"/>
      <c r="AM161" s="291"/>
      <c r="AN161" s="296">
        <v>35000</v>
      </c>
      <c r="AO161" s="296">
        <v>30000</v>
      </c>
      <c r="AP161" s="296"/>
      <c r="AQ161" s="296"/>
      <c r="AR161" s="296"/>
      <c r="AS161" s="296">
        <f t="shared" si="45"/>
        <v>65000</v>
      </c>
      <c r="AT161" s="297">
        <f t="shared" si="51"/>
        <v>-65000</v>
      </c>
      <c r="AU161" s="297">
        <f t="shared" si="26"/>
        <v>-65000</v>
      </c>
      <c r="AV161" s="297">
        <f t="shared" si="27"/>
        <v>0</v>
      </c>
      <c r="AW161" s="297">
        <f t="shared" si="52"/>
        <v>-32500</v>
      </c>
      <c r="AX161" s="297">
        <f t="shared" si="53"/>
        <v>-29250</v>
      </c>
      <c r="AY161" s="298">
        <v>50000</v>
      </c>
      <c r="AZ161" s="298"/>
      <c r="BA161" s="297">
        <f t="shared" si="54"/>
        <v>-79250</v>
      </c>
      <c r="BB161" s="278"/>
      <c r="BC161" s="255"/>
      <c r="BD161" s="255"/>
    </row>
    <row r="162" spans="1:56" s="256" customFormat="1" ht="20" hidden="1" customHeight="1">
      <c r="A162" s="260">
        <v>162</v>
      </c>
      <c r="B162" s="277"/>
      <c r="C162" s="278"/>
      <c r="D162" s="278"/>
      <c r="E162" s="278"/>
      <c r="F162" s="278"/>
      <c r="G162" s="279"/>
      <c r="H162" s="280"/>
      <c r="I162" s="280"/>
      <c r="J162" s="281"/>
      <c r="K162" s="282"/>
      <c r="L162" s="282"/>
      <c r="M162" s="339"/>
      <c r="N162" s="278"/>
      <c r="O162" s="278"/>
      <c r="P162" s="283"/>
      <c r="Q162" s="278"/>
      <c r="R162" s="284"/>
      <c r="S162" s="282"/>
      <c r="T162" s="285"/>
      <c r="U162" s="286"/>
      <c r="V162" s="287"/>
      <c r="W162" s="288"/>
      <c r="X162" s="286"/>
      <c r="Y162" s="289"/>
      <c r="Z162" s="289"/>
      <c r="AA162" s="290"/>
      <c r="AB162" s="291">
        <f t="shared" si="56"/>
        <v>0</v>
      </c>
      <c r="AC162" s="292"/>
      <c r="AD162" s="293" t="s">
        <v>568</v>
      </c>
      <c r="AE162" s="293"/>
      <c r="AF162" s="294"/>
      <c r="AG162" s="291"/>
      <c r="AH162" s="295"/>
      <c r="AI162" s="291"/>
      <c r="AJ162" s="295"/>
      <c r="AK162" s="291"/>
      <c r="AL162" s="291"/>
      <c r="AM162" s="291"/>
      <c r="AN162" s="296">
        <v>35000</v>
      </c>
      <c r="AO162" s="296">
        <v>30000</v>
      </c>
      <c r="AP162" s="296"/>
      <c r="AQ162" s="296"/>
      <c r="AR162" s="296"/>
      <c r="AS162" s="296">
        <f t="shared" si="45"/>
        <v>65000</v>
      </c>
      <c r="AT162" s="297">
        <f t="shared" si="51"/>
        <v>-65000</v>
      </c>
      <c r="AU162" s="297">
        <f t="shared" si="26"/>
        <v>-65000</v>
      </c>
      <c r="AV162" s="297">
        <f t="shared" si="27"/>
        <v>0</v>
      </c>
      <c r="AW162" s="297">
        <f t="shared" si="52"/>
        <v>-32500</v>
      </c>
      <c r="AX162" s="297">
        <f t="shared" si="53"/>
        <v>-29250</v>
      </c>
      <c r="AY162" s="298">
        <v>50000</v>
      </c>
      <c r="AZ162" s="298"/>
      <c r="BA162" s="297">
        <f t="shared" si="54"/>
        <v>-79250</v>
      </c>
      <c r="BB162" s="278"/>
      <c r="BC162" s="255"/>
      <c r="BD162" s="255"/>
    </row>
    <row r="163" spans="1:56" s="256" customFormat="1" ht="20" hidden="1" customHeight="1">
      <c r="A163" s="260">
        <v>163</v>
      </c>
      <c r="B163" s="277"/>
      <c r="C163" s="278"/>
      <c r="D163" s="278"/>
      <c r="E163" s="278"/>
      <c r="F163" s="278"/>
      <c r="G163" s="279"/>
      <c r="H163" s="280"/>
      <c r="I163" s="280"/>
      <c r="J163" s="281"/>
      <c r="K163" s="282"/>
      <c r="L163" s="282"/>
      <c r="M163" s="339"/>
      <c r="N163" s="278"/>
      <c r="O163" s="278"/>
      <c r="P163" s="283"/>
      <c r="Q163" s="278"/>
      <c r="R163" s="284"/>
      <c r="S163" s="282"/>
      <c r="T163" s="285"/>
      <c r="U163" s="286"/>
      <c r="V163" s="287"/>
      <c r="W163" s="288"/>
      <c r="X163" s="286"/>
      <c r="Y163" s="289"/>
      <c r="Z163" s="289"/>
      <c r="AA163" s="290"/>
      <c r="AB163" s="291">
        <f t="shared" si="56"/>
        <v>0</v>
      </c>
      <c r="AC163" s="292">
        <f>6550-6050</f>
        <v>500</v>
      </c>
      <c r="AD163" s="293">
        <v>6550</v>
      </c>
      <c r="AE163" s="293" t="s">
        <v>606</v>
      </c>
      <c r="AF163" s="294"/>
      <c r="AG163" s="291"/>
      <c r="AH163" s="295"/>
      <c r="AI163" s="291"/>
      <c r="AJ163" s="295"/>
      <c r="AK163" s="291"/>
      <c r="AL163" s="291"/>
      <c r="AM163" s="291"/>
      <c r="AN163" s="296">
        <v>35000</v>
      </c>
      <c r="AO163" s="296">
        <v>30000</v>
      </c>
      <c r="AP163" s="296"/>
      <c r="AQ163" s="296"/>
      <c r="AR163" s="296"/>
      <c r="AS163" s="296">
        <f t="shared" si="45"/>
        <v>65000</v>
      </c>
      <c r="AT163" s="297">
        <f t="shared" si="51"/>
        <v>-65000</v>
      </c>
      <c r="AU163" s="297">
        <f t="shared" si="26"/>
        <v>-65000</v>
      </c>
      <c r="AV163" s="297">
        <f t="shared" si="27"/>
        <v>0</v>
      </c>
      <c r="AW163" s="297">
        <f t="shared" si="52"/>
        <v>-32500</v>
      </c>
      <c r="AX163" s="297">
        <f t="shared" si="53"/>
        <v>-29250</v>
      </c>
      <c r="AY163" s="298">
        <v>50000</v>
      </c>
      <c r="AZ163" s="298"/>
      <c r="BA163" s="297">
        <f t="shared" si="54"/>
        <v>-79250</v>
      </c>
      <c r="BB163" s="278"/>
      <c r="BC163" s="255"/>
      <c r="BD163" s="255"/>
    </row>
    <row r="164" spans="1:56" s="256" customFormat="1" ht="20" hidden="1" customHeight="1">
      <c r="A164" s="260">
        <v>164</v>
      </c>
      <c r="B164" s="277"/>
      <c r="C164" s="278"/>
      <c r="D164" s="278"/>
      <c r="E164" s="278"/>
      <c r="F164" s="278"/>
      <c r="G164" s="279"/>
      <c r="H164" s="280"/>
      <c r="I164" s="280"/>
      <c r="J164" s="281"/>
      <c r="K164" s="282"/>
      <c r="L164" s="282"/>
      <c r="M164" s="339"/>
      <c r="N164" s="278"/>
      <c r="O164" s="278"/>
      <c r="P164" s="283"/>
      <c r="Q164" s="278"/>
      <c r="R164" s="284"/>
      <c r="S164" s="282"/>
      <c r="T164" s="285"/>
      <c r="U164" s="286"/>
      <c r="V164" s="287"/>
      <c r="W164" s="288"/>
      <c r="X164" s="286"/>
      <c r="Y164" s="289"/>
      <c r="Z164" s="289"/>
      <c r="AA164" s="290"/>
      <c r="AB164" s="291">
        <f t="shared" si="56"/>
        <v>0</v>
      </c>
      <c r="AC164" s="292"/>
      <c r="AD164" s="293"/>
      <c r="AE164" s="293"/>
      <c r="AF164" s="294"/>
      <c r="AG164" s="291"/>
      <c r="AH164" s="295"/>
      <c r="AI164" s="291"/>
      <c r="AJ164" s="295"/>
      <c r="AK164" s="291"/>
      <c r="AL164" s="291"/>
      <c r="AM164" s="291"/>
      <c r="AN164" s="296">
        <v>35000</v>
      </c>
      <c r="AO164" s="296">
        <v>30000</v>
      </c>
      <c r="AP164" s="296"/>
      <c r="AQ164" s="296"/>
      <c r="AR164" s="296"/>
      <c r="AS164" s="296">
        <f t="shared" si="45"/>
        <v>65000</v>
      </c>
      <c r="AT164" s="297">
        <f t="shared" si="51"/>
        <v>-65000</v>
      </c>
      <c r="AU164" s="297">
        <f t="shared" si="26"/>
        <v>-65000</v>
      </c>
      <c r="AV164" s="297">
        <f t="shared" si="27"/>
        <v>0</v>
      </c>
      <c r="AW164" s="297">
        <f t="shared" si="52"/>
        <v>-32500</v>
      </c>
      <c r="AX164" s="297">
        <f t="shared" si="53"/>
        <v>-29250</v>
      </c>
      <c r="AY164" s="298">
        <v>50000</v>
      </c>
      <c r="AZ164" s="298"/>
      <c r="BA164" s="297">
        <f t="shared" si="54"/>
        <v>-79250</v>
      </c>
      <c r="BB164" s="278"/>
      <c r="BC164" s="255"/>
      <c r="BD164" s="255"/>
    </row>
    <row r="165" spans="1:56" s="256" customFormat="1" ht="20" hidden="1" customHeight="1">
      <c r="A165" s="260">
        <v>165</v>
      </c>
      <c r="B165" s="277"/>
      <c r="C165" s="278"/>
      <c r="D165" s="278"/>
      <c r="E165" s="278"/>
      <c r="F165" s="278"/>
      <c r="G165" s="279"/>
      <c r="H165" s="280"/>
      <c r="I165" s="280"/>
      <c r="J165" s="281"/>
      <c r="K165" s="282"/>
      <c r="L165" s="282"/>
      <c r="M165" s="339"/>
      <c r="N165" s="278"/>
      <c r="O165" s="278"/>
      <c r="P165" s="283"/>
      <c r="Q165" s="278"/>
      <c r="R165" s="284"/>
      <c r="S165" s="282"/>
      <c r="T165" s="285"/>
      <c r="U165" s="286"/>
      <c r="V165" s="287"/>
      <c r="W165" s="288"/>
      <c r="X165" s="286"/>
      <c r="Y165" s="289"/>
      <c r="Z165" s="289"/>
      <c r="AA165" s="290"/>
      <c r="AB165" s="291">
        <f t="shared" si="56"/>
        <v>0</v>
      </c>
      <c r="AC165" s="292"/>
      <c r="AD165" s="293"/>
      <c r="AE165" s="293"/>
      <c r="AF165" s="294"/>
      <c r="AG165" s="291"/>
      <c r="AH165" s="295"/>
      <c r="AI165" s="291"/>
      <c r="AJ165" s="295"/>
      <c r="AK165" s="291"/>
      <c r="AL165" s="291"/>
      <c r="AM165" s="291"/>
      <c r="AN165" s="296">
        <v>35000</v>
      </c>
      <c r="AO165" s="296">
        <v>30000</v>
      </c>
      <c r="AP165" s="296"/>
      <c r="AQ165" s="296"/>
      <c r="AR165" s="296"/>
      <c r="AS165" s="296">
        <f t="shared" si="45"/>
        <v>65000</v>
      </c>
      <c r="AT165" s="297">
        <f t="shared" si="51"/>
        <v>-65000</v>
      </c>
      <c r="AU165" s="297">
        <f t="shared" si="26"/>
        <v>-65000</v>
      </c>
      <c r="AV165" s="297">
        <f t="shared" si="27"/>
        <v>0</v>
      </c>
      <c r="AW165" s="297">
        <f t="shared" si="52"/>
        <v>-32500</v>
      </c>
      <c r="AX165" s="297">
        <f t="shared" si="53"/>
        <v>-29250</v>
      </c>
      <c r="AY165" s="298">
        <v>50000</v>
      </c>
      <c r="AZ165" s="298"/>
      <c r="BA165" s="297">
        <f t="shared" si="54"/>
        <v>-79250</v>
      </c>
      <c r="BB165" s="278"/>
      <c r="BC165" s="255"/>
      <c r="BD165" s="255"/>
    </row>
    <row r="166" spans="1:56" s="256" customFormat="1" ht="20" hidden="1" customHeight="1">
      <c r="A166" s="260">
        <v>166</v>
      </c>
      <c r="B166" s="277"/>
      <c r="C166" s="278"/>
      <c r="D166" s="278"/>
      <c r="E166" s="278"/>
      <c r="F166" s="278"/>
      <c r="G166" s="279"/>
      <c r="H166" s="280"/>
      <c r="I166" s="280"/>
      <c r="J166" s="281"/>
      <c r="K166" s="282"/>
      <c r="L166" s="282"/>
      <c r="M166" s="339"/>
      <c r="N166" s="278"/>
      <c r="O166" s="278"/>
      <c r="P166" s="283"/>
      <c r="Q166" s="278"/>
      <c r="R166" s="284"/>
      <c r="S166" s="282"/>
      <c r="T166" s="285"/>
      <c r="U166" s="286"/>
      <c r="V166" s="287"/>
      <c r="W166" s="288"/>
      <c r="X166" s="286"/>
      <c r="Y166" s="289"/>
      <c r="Z166" s="289"/>
      <c r="AA166" s="290"/>
      <c r="AB166" s="291">
        <f t="shared" si="56"/>
        <v>0</v>
      </c>
      <c r="AC166" s="292"/>
      <c r="AD166" s="293"/>
      <c r="AE166" s="293"/>
      <c r="AF166" s="294"/>
      <c r="AG166" s="291"/>
      <c r="AH166" s="295"/>
      <c r="AI166" s="291"/>
      <c r="AJ166" s="295"/>
      <c r="AK166" s="291"/>
      <c r="AL166" s="291"/>
      <c r="AM166" s="291"/>
      <c r="AN166" s="296">
        <v>35000</v>
      </c>
      <c r="AO166" s="296">
        <v>30000</v>
      </c>
      <c r="AP166" s="296"/>
      <c r="AQ166" s="296"/>
      <c r="AR166" s="296"/>
      <c r="AS166" s="296">
        <f t="shared" si="45"/>
        <v>65000</v>
      </c>
      <c r="AT166" s="297">
        <f t="shared" si="51"/>
        <v>-65000</v>
      </c>
      <c r="AU166" s="297">
        <f t="shared" si="26"/>
        <v>-65000</v>
      </c>
      <c r="AV166" s="297">
        <f t="shared" si="27"/>
        <v>0</v>
      </c>
      <c r="AW166" s="297">
        <f t="shared" si="52"/>
        <v>-32500</v>
      </c>
      <c r="AX166" s="297">
        <f t="shared" si="53"/>
        <v>-29250</v>
      </c>
      <c r="AY166" s="298">
        <v>50000</v>
      </c>
      <c r="AZ166" s="298"/>
      <c r="BA166" s="297">
        <f t="shared" si="54"/>
        <v>-79250</v>
      </c>
      <c r="BB166" s="278"/>
      <c r="BC166" s="255"/>
      <c r="BD166" s="255"/>
    </row>
    <row r="167" spans="1:56" s="256" customFormat="1" ht="20" hidden="1" customHeight="1">
      <c r="A167" s="260">
        <v>167</v>
      </c>
      <c r="B167" s="277"/>
      <c r="C167" s="278"/>
      <c r="D167" s="278"/>
      <c r="E167" s="278"/>
      <c r="F167" s="278"/>
      <c r="G167" s="279"/>
      <c r="H167" s="280"/>
      <c r="I167" s="280"/>
      <c r="J167" s="281"/>
      <c r="K167" s="282"/>
      <c r="L167" s="282"/>
      <c r="M167" s="339"/>
      <c r="N167" s="278"/>
      <c r="O167" s="278"/>
      <c r="P167" s="283"/>
      <c r="Q167" s="278"/>
      <c r="R167" s="284"/>
      <c r="S167" s="282"/>
      <c r="T167" s="285"/>
      <c r="U167" s="286"/>
      <c r="V167" s="287"/>
      <c r="W167" s="288"/>
      <c r="X167" s="286"/>
      <c r="Y167" s="289"/>
      <c r="Z167" s="289"/>
      <c r="AA167" s="290"/>
      <c r="AB167" s="291">
        <f t="shared" si="56"/>
        <v>0</v>
      </c>
      <c r="AC167" s="292"/>
      <c r="AD167" s="293"/>
      <c r="AE167" s="293"/>
      <c r="AF167" s="294"/>
      <c r="AG167" s="291"/>
      <c r="AH167" s="295"/>
      <c r="AI167" s="291"/>
      <c r="AJ167" s="295"/>
      <c r="AK167" s="291"/>
      <c r="AL167" s="291"/>
      <c r="AM167" s="291"/>
      <c r="AN167" s="296">
        <v>35000</v>
      </c>
      <c r="AO167" s="296">
        <v>30000</v>
      </c>
      <c r="AP167" s="296"/>
      <c r="AQ167" s="296"/>
      <c r="AR167" s="296"/>
      <c r="AS167" s="296">
        <f t="shared" si="45"/>
        <v>65000</v>
      </c>
      <c r="AT167" s="297">
        <f t="shared" si="51"/>
        <v>-65000</v>
      </c>
      <c r="AU167" s="297">
        <f t="shared" si="26"/>
        <v>-65000</v>
      </c>
      <c r="AV167" s="297">
        <f t="shared" si="27"/>
        <v>0</v>
      </c>
      <c r="AW167" s="297">
        <f t="shared" si="52"/>
        <v>-32500</v>
      </c>
      <c r="AX167" s="297">
        <f t="shared" si="53"/>
        <v>-29250</v>
      </c>
      <c r="AY167" s="298">
        <v>50000</v>
      </c>
      <c r="AZ167" s="298"/>
      <c r="BA167" s="297">
        <f t="shared" si="54"/>
        <v>-79250</v>
      </c>
      <c r="BB167" s="278"/>
      <c r="BC167" s="255"/>
      <c r="BD167" s="255"/>
    </row>
    <row r="168" spans="1:56" s="256" customFormat="1" ht="20" hidden="1" customHeight="1">
      <c r="A168" s="260">
        <v>168</v>
      </c>
      <c r="B168" s="277"/>
      <c r="C168" s="278"/>
      <c r="D168" s="278"/>
      <c r="E168" s="278"/>
      <c r="F168" s="278"/>
      <c r="G168" s="279"/>
      <c r="H168" s="280"/>
      <c r="I168" s="280"/>
      <c r="J168" s="281"/>
      <c r="K168" s="282"/>
      <c r="L168" s="282"/>
      <c r="M168" s="339"/>
      <c r="N168" s="278"/>
      <c r="O168" s="278"/>
      <c r="P168" s="283"/>
      <c r="Q168" s="278"/>
      <c r="R168" s="284"/>
      <c r="S168" s="282"/>
      <c r="T168" s="285"/>
      <c r="U168" s="286"/>
      <c r="V168" s="287"/>
      <c r="W168" s="288"/>
      <c r="X168" s="286"/>
      <c r="Y168" s="289"/>
      <c r="Z168" s="289"/>
      <c r="AA168" s="290"/>
      <c r="AB168" s="291">
        <f t="shared" si="56"/>
        <v>0</v>
      </c>
      <c r="AC168" s="292"/>
      <c r="AD168" s="293"/>
      <c r="AE168" s="293"/>
      <c r="AF168" s="294"/>
      <c r="AG168" s="291"/>
      <c r="AH168" s="295"/>
      <c r="AI168" s="291"/>
      <c r="AJ168" s="295"/>
      <c r="AK168" s="291"/>
      <c r="AL168" s="291"/>
      <c r="AM168" s="291"/>
      <c r="AN168" s="296">
        <v>35000</v>
      </c>
      <c r="AO168" s="296">
        <v>30000</v>
      </c>
      <c r="AP168" s="296"/>
      <c r="AQ168" s="296"/>
      <c r="AR168" s="296"/>
      <c r="AS168" s="296">
        <f t="shared" si="45"/>
        <v>65000</v>
      </c>
      <c r="AT168" s="297">
        <f t="shared" si="51"/>
        <v>-65000</v>
      </c>
      <c r="AU168" s="297">
        <f t="shared" si="26"/>
        <v>-65000</v>
      </c>
      <c r="AV168" s="297">
        <f t="shared" si="27"/>
        <v>0</v>
      </c>
      <c r="AW168" s="297">
        <f t="shared" si="52"/>
        <v>-32500</v>
      </c>
      <c r="AX168" s="297">
        <f t="shared" si="53"/>
        <v>-29250</v>
      </c>
      <c r="AY168" s="298">
        <v>50000</v>
      </c>
      <c r="AZ168" s="298"/>
      <c r="BA168" s="297">
        <f t="shared" si="54"/>
        <v>-79250</v>
      </c>
      <c r="BB168" s="278"/>
      <c r="BC168" s="255"/>
      <c r="BD168" s="255"/>
    </row>
    <row r="169" spans="1:56" s="256" customFormat="1" ht="20" hidden="1" customHeight="1">
      <c r="A169" s="260">
        <v>169</v>
      </c>
      <c r="B169" s="277"/>
      <c r="C169" s="278"/>
      <c r="D169" s="278"/>
      <c r="E169" s="278"/>
      <c r="F169" s="278"/>
      <c r="G169" s="279"/>
      <c r="H169" s="280"/>
      <c r="I169" s="280"/>
      <c r="J169" s="281"/>
      <c r="K169" s="282"/>
      <c r="L169" s="282"/>
      <c r="M169" s="339"/>
      <c r="N169" s="278"/>
      <c r="O169" s="278"/>
      <c r="P169" s="283"/>
      <c r="Q169" s="278"/>
      <c r="R169" s="284"/>
      <c r="S169" s="282"/>
      <c r="T169" s="285"/>
      <c r="U169" s="286"/>
      <c r="V169" s="287"/>
      <c r="W169" s="288"/>
      <c r="X169" s="286"/>
      <c r="Y169" s="289"/>
      <c r="Z169" s="289"/>
      <c r="AA169" s="290"/>
      <c r="AB169" s="291">
        <f t="shared" si="56"/>
        <v>0</v>
      </c>
      <c r="AC169" s="292"/>
      <c r="AD169" s="293"/>
      <c r="AE169" s="293"/>
      <c r="AF169" s="294"/>
      <c r="AG169" s="291"/>
      <c r="AH169" s="295"/>
      <c r="AI169" s="291"/>
      <c r="AJ169" s="295"/>
      <c r="AK169" s="291"/>
      <c r="AL169" s="291"/>
      <c r="AM169" s="291"/>
      <c r="AN169" s="296">
        <v>35000</v>
      </c>
      <c r="AO169" s="296">
        <v>30000</v>
      </c>
      <c r="AP169" s="296"/>
      <c r="AQ169" s="296"/>
      <c r="AR169" s="296"/>
      <c r="AS169" s="296">
        <f t="shared" si="45"/>
        <v>65000</v>
      </c>
      <c r="AT169" s="297">
        <f t="shared" si="51"/>
        <v>-65000</v>
      </c>
      <c r="AU169" s="297">
        <f t="shared" si="26"/>
        <v>-65000</v>
      </c>
      <c r="AV169" s="297">
        <f t="shared" si="27"/>
        <v>0</v>
      </c>
      <c r="AW169" s="297">
        <f t="shared" si="52"/>
        <v>-32500</v>
      </c>
      <c r="AX169" s="297">
        <f t="shared" si="53"/>
        <v>-29250</v>
      </c>
      <c r="AY169" s="298">
        <v>50000</v>
      </c>
      <c r="AZ169" s="298"/>
      <c r="BA169" s="297">
        <f t="shared" si="54"/>
        <v>-79250</v>
      </c>
      <c r="BB169" s="278"/>
      <c r="BC169" s="255"/>
      <c r="BD169" s="255"/>
    </row>
    <row r="170" spans="1:56" s="256" customFormat="1" ht="20" hidden="1" customHeight="1">
      <c r="A170" s="260">
        <v>170</v>
      </c>
      <c r="B170" s="277"/>
      <c r="C170" s="278"/>
      <c r="D170" s="278"/>
      <c r="E170" s="278"/>
      <c r="F170" s="278"/>
      <c r="G170" s="279"/>
      <c r="H170" s="280"/>
      <c r="I170" s="280"/>
      <c r="J170" s="281"/>
      <c r="K170" s="282"/>
      <c r="L170" s="282"/>
      <c r="M170" s="339"/>
      <c r="N170" s="278"/>
      <c r="O170" s="278"/>
      <c r="P170" s="283"/>
      <c r="Q170" s="278"/>
      <c r="R170" s="284"/>
      <c r="S170" s="282"/>
      <c r="T170" s="285"/>
      <c r="U170" s="286"/>
      <c r="V170" s="287"/>
      <c r="W170" s="288"/>
      <c r="X170" s="286"/>
      <c r="Y170" s="289"/>
      <c r="Z170" s="289"/>
      <c r="AA170" s="290"/>
      <c r="AB170" s="291">
        <f t="shared" si="56"/>
        <v>0</v>
      </c>
      <c r="AC170" s="292"/>
      <c r="AD170" s="293"/>
      <c r="AE170" s="293"/>
      <c r="AF170" s="294"/>
      <c r="AG170" s="291"/>
      <c r="AH170" s="295"/>
      <c r="AI170" s="291"/>
      <c r="AJ170" s="295"/>
      <c r="AK170" s="291"/>
      <c r="AL170" s="291"/>
      <c r="AM170" s="291"/>
      <c r="AN170" s="296">
        <v>35000</v>
      </c>
      <c r="AO170" s="296">
        <v>30000</v>
      </c>
      <c r="AP170" s="296"/>
      <c r="AQ170" s="296"/>
      <c r="AR170" s="296"/>
      <c r="AS170" s="296">
        <f t="shared" si="45"/>
        <v>65000</v>
      </c>
      <c r="AT170" s="297">
        <f t="shared" si="51"/>
        <v>-65000</v>
      </c>
      <c r="AU170" s="297">
        <f t="shared" si="26"/>
        <v>-65000</v>
      </c>
      <c r="AV170" s="297">
        <f t="shared" si="27"/>
        <v>0</v>
      </c>
      <c r="AW170" s="297">
        <f t="shared" si="52"/>
        <v>-32500</v>
      </c>
      <c r="AX170" s="297">
        <f t="shared" si="53"/>
        <v>-29250</v>
      </c>
      <c r="AY170" s="298">
        <v>50000</v>
      </c>
      <c r="AZ170" s="298"/>
      <c r="BA170" s="297">
        <f t="shared" si="54"/>
        <v>-79250</v>
      </c>
      <c r="BB170" s="278"/>
      <c r="BC170" s="255"/>
      <c r="BD170" s="255"/>
    </row>
    <row r="171" spans="1:56" s="256" customFormat="1" ht="20" hidden="1" customHeight="1">
      <c r="A171" s="260">
        <v>171</v>
      </c>
      <c r="B171" s="277"/>
      <c r="C171" s="278"/>
      <c r="D171" s="278"/>
      <c r="E171" s="278"/>
      <c r="F171" s="278"/>
      <c r="G171" s="279"/>
      <c r="H171" s="280"/>
      <c r="I171" s="280"/>
      <c r="J171" s="281"/>
      <c r="K171" s="282"/>
      <c r="L171" s="282"/>
      <c r="M171" s="339"/>
      <c r="N171" s="278"/>
      <c r="O171" s="278"/>
      <c r="P171" s="283"/>
      <c r="Q171" s="278"/>
      <c r="R171" s="284"/>
      <c r="S171" s="282"/>
      <c r="T171" s="285"/>
      <c r="U171" s="286"/>
      <c r="V171" s="287"/>
      <c r="W171" s="288"/>
      <c r="X171" s="286"/>
      <c r="Y171" s="289"/>
      <c r="Z171" s="289"/>
      <c r="AA171" s="290"/>
      <c r="AB171" s="291">
        <f t="shared" si="56"/>
        <v>0</v>
      </c>
      <c r="AC171" s="292"/>
      <c r="AD171" s="293"/>
      <c r="AE171" s="293"/>
      <c r="AF171" s="294"/>
      <c r="AG171" s="291"/>
      <c r="AH171" s="295"/>
      <c r="AI171" s="291"/>
      <c r="AJ171" s="295"/>
      <c r="AK171" s="291"/>
      <c r="AL171" s="291"/>
      <c r="AM171" s="291"/>
      <c r="AN171" s="296">
        <v>35000</v>
      </c>
      <c r="AO171" s="296">
        <v>30000</v>
      </c>
      <c r="AP171" s="296"/>
      <c r="AQ171" s="296"/>
      <c r="AR171" s="296"/>
      <c r="AS171" s="296">
        <f t="shared" si="45"/>
        <v>65000</v>
      </c>
      <c r="AT171" s="297">
        <f t="shared" si="51"/>
        <v>-65000</v>
      </c>
      <c r="AU171" s="297">
        <f t="shared" si="26"/>
        <v>-65000</v>
      </c>
      <c r="AV171" s="297">
        <f t="shared" si="27"/>
        <v>0</v>
      </c>
      <c r="AW171" s="297">
        <f t="shared" si="52"/>
        <v>-32500</v>
      </c>
      <c r="AX171" s="297">
        <f t="shared" si="53"/>
        <v>-29250</v>
      </c>
      <c r="AY171" s="298">
        <v>50000</v>
      </c>
      <c r="AZ171" s="298"/>
      <c r="BA171" s="297">
        <f t="shared" si="54"/>
        <v>-79250</v>
      </c>
      <c r="BB171" s="278"/>
      <c r="BC171" s="255"/>
      <c r="BD171" s="255"/>
    </row>
    <row r="172" spans="1:56" s="256" customFormat="1" ht="20" hidden="1" customHeight="1">
      <c r="A172" s="260">
        <v>172</v>
      </c>
      <c r="B172" s="277"/>
      <c r="C172" s="278"/>
      <c r="D172" s="278"/>
      <c r="E172" s="278"/>
      <c r="F172" s="278"/>
      <c r="G172" s="279"/>
      <c r="H172" s="280"/>
      <c r="I172" s="280"/>
      <c r="J172" s="281"/>
      <c r="K172" s="282"/>
      <c r="L172" s="282"/>
      <c r="M172" s="339"/>
      <c r="N172" s="278"/>
      <c r="O172" s="278"/>
      <c r="P172" s="283"/>
      <c r="Q172" s="278"/>
      <c r="R172" s="284"/>
      <c r="S172" s="282"/>
      <c r="T172" s="285"/>
      <c r="U172" s="286"/>
      <c r="V172" s="287"/>
      <c r="W172" s="288"/>
      <c r="X172" s="286"/>
      <c r="Y172" s="289"/>
      <c r="Z172" s="289"/>
      <c r="AA172" s="290"/>
      <c r="AB172" s="291">
        <f t="shared" si="56"/>
        <v>0</v>
      </c>
      <c r="AC172" s="292"/>
      <c r="AD172" s="293"/>
      <c r="AE172" s="293"/>
      <c r="AF172" s="294"/>
      <c r="AG172" s="291"/>
      <c r="AH172" s="295"/>
      <c r="AI172" s="291"/>
      <c r="AJ172" s="295"/>
      <c r="AK172" s="291"/>
      <c r="AL172" s="291"/>
      <c r="AM172" s="291"/>
      <c r="AN172" s="296">
        <v>35000</v>
      </c>
      <c r="AO172" s="296">
        <v>30000</v>
      </c>
      <c r="AP172" s="296"/>
      <c r="AQ172" s="296"/>
      <c r="AR172" s="296"/>
      <c r="AS172" s="296">
        <f t="shared" si="45"/>
        <v>65000</v>
      </c>
      <c r="AT172" s="297">
        <f t="shared" si="51"/>
        <v>-65000</v>
      </c>
      <c r="AU172" s="297">
        <f t="shared" si="26"/>
        <v>-65000</v>
      </c>
      <c r="AV172" s="297">
        <f t="shared" si="27"/>
        <v>0</v>
      </c>
      <c r="AW172" s="297">
        <f t="shared" si="52"/>
        <v>-32500</v>
      </c>
      <c r="AX172" s="297">
        <f t="shared" si="53"/>
        <v>-29250</v>
      </c>
      <c r="AY172" s="298">
        <v>50000</v>
      </c>
      <c r="AZ172" s="298"/>
      <c r="BA172" s="297">
        <f t="shared" si="54"/>
        <v>-79250</v>
      </c>
      <c r="BB172" s="278"/>
      <c r="BC172" s="255"/>
      <c r="BD172" s="255"/>
    </row>
    <row r="173" spans="1:56" s="256" customFormat="1" ht="20" hidden="1" customHeight="1">
      <c r="A173" s="260">
        <v>173</v>
      </c>
      <c r="B173" s="277"/>
      <c r="C173" s="278"/>
      <c r="D173" s="278"/>
      <c r="E173" s="278"/>
      <c r="F173" s="278"/>
      <c r="G173" s="279"/>
      <c r="H173" s="280"/>
      <c r="I173" s="280"/>
      <c r="J173" s="281"/>
      <c r="K173" s="282"/>
      <c r="L173" s="282"/>
      <c r="M173" s="339"/>
      <c r="N173" s="278"/>
      <c r="O173" s="278"/>
      <c r="P173" s="283"/>
      <c r="Q173" s="278"/>
      <c r="R173" s="284"/>
      <c r="S173" s="282"/>
      <c r="T173" s="285"/>
      <c r="U173" s="286"/>
      <c r="V173" s="287"/>
      <c r="W173" s="288"/>
      <c r="X173" s="286"/>
      <c r="Y173" s="289"/>
      <c r="Z173" s="289"/>
      <c r="AA173" s="290"/>
      <c r="AB173" s="291">
        <f t="shared" si="56"/>
        <v>0</v>
      </c>
      <c r="AC173" s="292"/>
      <c r="AD173" s="293"/>
      <c r="AE173" s="293"/>
      <c r="AF173" s="294"/>
      <c r="AG173" s="291"/>
      <c r="AH173" s="295"/>
      <c r="AI173" s="291"/>
      <c r="AJ173" s="295"/>
      <c r="AK173" s="291"/>
      <c r="AL173" s="291"/>
      <c r="AM173" s="291"/>
      <c r="AN173" s="296">
        <v>35000</v>
      </c>
      <c r="AO173" s="296">
        <v>30000</v>
      </c>
      <c r="AP173" s="296"/>
      <c r="AQ173" s="296"/>
      <c r="AR173" s="296"/>
      <c r="AS173" s="296">
        <f t="shared" si="45"/>
        <v>65000</v>
      </c>
      <c r="AT173" s="297">
        <f t="shared" si="51"/>
        <v>-65000</v>
      </c>
      <c r="AU173" s="297">
        <f t="shared" si="26"/>
        <v>-65000</v>
      </c>
      <c r="AV173" s="297">
        <f t="shared" si="27"/>
        <v>0</v>
      </c>
      <c r="AW173" s="297">
        <f t="shared" si="52"/>
        <v>-32500</v>
      </c>
      <c r="AX173" s="297">
        <f t="shared" si="53"/>
        <v>-29250</v>
      </c>
      <c r="AY173" s="298">
        <v>50000</v>
      </c>
      <c r="AZ173" s="298"/>
      <c r="BA173" s="297">
        <f t="shared" si="54"/>
        <v>-79250</v>
      </c>
      <c r="BB173" s="278"/>
      <c r="BC173" s="255"/>
      <c r="BD173" s="255"/>
    </row>
    <row r="174" spans="1:56" s="256" customFormat="1" ht="20" hidden="1" customHeight="1">
      <c r="A174" s="260">
        <v>174</v>
      </c>
      <c r="B174" s="277"/>
      <c r="C174" s="278"/>
      <c r="D174" s="278"/>
      <c r="E174" s="278"/>
      <c r="F174" s="278"/>
      <c r="G174" s="279"/>
      <c r="H174" s="280"/>
      <c r="I174" s="280"/>
      <c r="J174" s="281"/>
      <c r="K174" s="282"/>
      <c r="L174" s="282"/>
      <c r="M174" s="339"/>
      <c r="N174" s="278"/>
      <c r="O174" s="278"/>
      <c r="P174" s="283"/>
      <c r="Q174" s="278"/>
      <c r="R174" s="284"/>
      <c r="S174" s="282"/>
      <c r="T174" s="285"/>
      <c r="U174" s="286"/>
      <c r="V174" s="287"/>
      <c r="W174" s="288"/>
      <c r="X174" s="286"/>
      <c r="Y174" s="289"/>
      <c r="Z174" s="289"/>
      <c r="AA174" s="290"/>
      <c r="AB174" s="291">
        <f t="shared" si="56"/>
        <v>0</v>
      </c>
      <c r="AC174" s="292"/>
      <c r="AD174" s="293"/>
      <c r="AE174" s="293"/>
      <c r="AF174" s="294"/>
      <c r="AG174" s="291"/>
      <c r="AH174" s="295"/>
      <c r="AI174" s="291"/>
      <c r="AJ174" s="295"/>
      <c r="AK174" s="291"/>
      <c r="AL174" s="291"/>
      <c r="AM174" s="291"/>
      <c r="AN174" s="296">
        <v>35000</v>
      </c>
      <c r="AO174" s="296">
        <v>30000</v>
      </c>
      <c r="AP174" s="296"/>
      <c r="AQ174" s="296"/>
      <c r="AR174" s="296"/>
      <c r="AS174" s="296">
        <f t="shared" si="45"/>
        <v>65000</v>
      </c>
      <c r="AT174" s="297">
        <f t="shared" si="51"/>
        <v>-65000</v>
      </c>
      <c r="AU174" s="297">
        <f t="shared" si="26"/>
        <v>-65000</v>
      </c>
      <c r="AV174" s="297">
        <f t="shared" si="27"/>
        <v>0</v>
      </c>
      <c r="AW174" s="297">
        <f t="shared" si="52"/>
        <v>-32500</v>
      </c>
      <c r="AX174" s="297">
        <f t="shared" si="53"/>
        <v>-29250</v>
      </c>
      <c r="AY174" s="298">
        <v>50000</v>
      </c>
      <c r="AZ174" s="298"/>
      <c r="BA174" s="297">
        <f t="shared" si="54"/>
        <v>-79250</v>
      </c>
      <c r="BB174" s="278"/>
      <c r="BC174" s="255"/>
      <c r="BD174" s="255"/>
    </row>
    <row r="175" spans="1:56" s="256" customFormat="1" ht="20" hidden="1" customHeight="1">
      <c r="A175" s="260">
        <v>175</v>
      </c>
      <c r="B175" s="277"/>
      <c r="C175" s="278"/>
      <c r="D175" s="278"/>
      <c r="E175" s="278"/>
      <c r="F175" s="278"/>
      <c r="G175" s="279"/>
      <c r="H175" s="280"/>
      <c r="I175" s="280"/>
      <c r="J175" s="281"/>
      <c r="K175" s="282"/>
      <c r="L175" s="321"/>
      <c r="M175" s="339"/>
      <c r="N175" s="278"/>
      <c r="O175" s="278"/>
      <c r="P175" s="283"/>
      <c r="Q175" s="278"/>
      <c r="R175" s="284"/>
      <c r="S175" s="282"/>
      <c r="T175" s="285"/>
      <c r="U175" s="286"/>
      <c r="V175" s="287"/>
      <c r="W175" s="288"/>
      <c r="X175" s="286"/>
      <c r="Y175" s="289"/>
      <c r="Z175" s="289"/>
      <c r="AA175" s="290"/>
      <c r="AB175" s="291">
        <f t="shared" si="56"/>
        <v>0</v>
      </c>
      <c r="AC175" s="292">
        <f t="shared" ref="AC175:AC238" si="57">SUM(AB175-AA175)</f>
        <v>0</v>
      </c>
      <c r="AD175" s="293"/>
      <c r="AE175" s="293"/>
      <c r="AF175" s="294"/>
      <c r="AG175" s="291"/>
      <c r="AH175" s="295"/>
      <c r="AI175" s="291"/>
      <c r="AJ175" s="295"/>
      <c r="AK175" s="291"/>
      <c r="AL175" s="291"/>
      <c r="AM175" s="291"/>
      <c r="AN175" s="296">
        <v>35000</v>
      </c>
      <c r="AO175" s="296">
        <v>30000</v>
      </c>
      <c r="AP175" s="296"/>
      <c r="AQ175" s="296"/>
      <c r="AR175" s="296"/>
      <c r="AS175" s="296">
        <f t="shared" si="45"/>
        <v>65000</v>
      </c>
      <c r="AT175" s="297">
        <f t="shared" si="51"/>
        <v>-65000</v>
      </c>
      <c r="AU175" s="297">
        <f t="shared" ref="AU175:AU238" si="58">SUM(AT175-J175)</f>
        <v>-65000</v>
      </c>
      <c r="AV175" s="297">
        <f t="shared" ref="AV175:AV238" si="59">SUM(0.09*H175)</f>
        <v>0</v>
      </c>
      <c r="AW175" s="297">
        <f t="shared" si="52"/>
        <v>-32500</v>
      </c>
      <c r="AX175" s="297">
        <f t="shared" si="53"/>
        <v>-29250</v>
      </c>
      <c r="AY175" s="298">
        <v>50000</v>
      </c>
      <c r="AZ175" s="298"/>
      <c r="BA175" s="297">
        <f t="shared" si="54"/>
        <v>-79250</v>
      </c>
      <c r="BB175" s="278"/>
      <c r="BC175" s="255"/>
      <c r="BD175" s="255"/>
    </row>
    <row r="176" spans="1:56" s="256" customFormat="1" ht="20" hidden="1" customHeight="1">
      <c r="A176" s="260">
        <v>176</v>
      </c>
      <c r="B176" s="277"/>
      <c r="C176" s="278"/>
      <c r="D176" s="278"/>
      <c r="E176" s="278"/>
      <c r="F176" s="278"/>
      <c r="G176" s="279"/>
      <c r="H176" s="280"/>
      <c r="I176" s="280"/>
      <c r="J176" s="281"/>
      <c r="K176" s="282"/>
      <c r="L176" s="321"/>
      <c r="M176" s="339"/>
      <c r="N176" s="278"/>
      <c r="O176" s="278"/>
      <c r="P176" s="283"/>
      <c r="Q176" s="278"/>
      <c r="R176" s="284"/>
      <c r="S176" s="282"/>
      <c r="T176" s="285"/>
      <c r="U176" s="286"/>
      <c r="V176" s="287"/>
      <c r="W176" s="288"/>
      <c r="X176" s="286"/>
      <c r="Y176" s="289"/>
      <c r="Z176" s="289"/>
      <c r="AA176" s="290"/>
      <c r="AB176" s="291">
        <f t="shared" si="56"/>
        <v>0</v>
      </c>
      <c r="AC176" s="292">
        <f t="shared" si="57"/>
        <v>0</v>
      </c>
      <c r="AD176" s="293"/>
      <c r="AE176" s="293"/>
      <c r="AF176" s="294"/>
      <c r="AG176" s="291"/>
      <c r="AH176" s="295"/>
      <c r="AI176" s="291"/>
      <c r="AJ176" s="295"/>
      <c r="AK176" s="291"/>
      <c r="AL176" s="291"/>
      <c r="AM176" s="291"/>
      <c r="AN176" s="296">
        <v>35000</v>
      </c>
      <c r="AO176" s="296">
        <v>30000</v>
      </c>
      <c r="AP176" s="296"/>
      <c r="AQ176" s="296"/>
      <c r="AR176" s="296"/>
      <c r="AS176" s="296">
        <f t="shared" si="45"/>
        <v>65000</v>
      </c>
      <c r="AT176" s="297">
        <f t="shared" si="51"/>
        <v>-65000</v>
      </c>
      <c r="AU176" s="297">
        <f t="shared" si="58"/>
        <v>-65000</v>
      </c>
      <c r="AV176" s="297">
        <f t="shared" si="59"/>
        <v>0</v>
      </c>
      <c r="AW176" s="297">
        <f t="shared" si="52"/>
        <v>-32500</v>
      </c>
      <c r="AX176" s="297">
        <f t="shared" si="53"/>
        <v>-29250</v>
      </c>
      <c r="AY176" s="298">
        <v>50000</v>
      </c>
      <c r="AZ176" s="298"/>
      <c r="BA176" s="297">
        <f t="shared" si="54"/>
        <v>-79250</v>
      </c>
      <c r="BB176" s="278"/>
      <c r="BC176" s="255"/>
      <c r="BD176" s="255"/>
    </row>
    <row r="177" spans="1:56" s="256" customFormat="1" ht="20" hidden="1" customHeight="1">
      <c r="A177" s="260">
        <v>177</v>
      </c>
      <c r="B177" s="277"/>
      <c r="C177" s="278"/>
      <c r="D177" s="278"/>
      <c r="E177" s="278"/>
      <c r="F177" s="278"/>
      <c r="G177" s="279"/>
      <c r="H177" s="280"/>
      <c r="I177" s="280"/>
      <c r="J177" s="281"/>
      <c r="K177" s="282"/>
      <c r="L177" s="321"/>
      <c r="M177" s="339"/>
      <c r="N177" s="278"/>
      <c r="O177" s="278"/>
      <c r="P177" s="283"/>
      <c r="Q177" s="278"/>
      <c r="R177" s="284"/>
      <c r="S177" s="282"/>
      <c r="T177" s="285"/>
      <c r="U177" s="286"/>
      <c r="V177" s="287"/>
      <c r="W177" s="288"/>
      <c r="X177" s="286"/>
      <c r="Y177" s="289"/>
      <c r="Z177" s="289"/>
      <c r="AA177" s="290"/>
      <c r="AB177" s="291">
        <f t="shared" si="56"/>
        <v>0</v>
      </c>
      <c r="AC177" s="292">
        <f t="shared" si="57"/>
        <v>0</v>
      </c>
      <c r="AD177" s="293"/>
      <c r="AE177" s="293"/>
      <c r="AF177" s="294"/>
      <c r="AG177" s="291"/>
      <c r="AH177" s="295"/>
      <c r="AI177" s="291"/>
      <c r="AJ177" s="295"/>
      <c r="AK177" s="291"/>
      <c r="AL177" s="291"/>
      <c r="AM177" s="291"/>
      <c r="AN177" s="296">
        <v>35000</v>
      </c>
      <c r="AO177" s="296">
        <v>30000</v>
      </c>
      <c r="AP177" s="296"/>
      <c r="AQ177" s="296"/>
      <c r="AR177" s="296"/>
      <c r="AS177" s="296">
        <f t="shared" si="45"/>
        <v>65000</v>
      </c>
      <c r="AT177" s="297">
        <f t="shared" si="51"/>
        <v>-65000</v>
      </c>
      <c r="AU177" s="297">
        <f t="shared" si="58"/>
        <v>-65000</v>
      </c>
      <c r="AV177" s="297">
        <f t="shared" si="59"/>
        <v>0</v>
      </c>
      <c r="AW177" s="297">
        <f t="shared" si="52"/>
        <v>-32500</v>
      </c>
      <c r="AX177" s="297">
        <f t="shared" si="53"/>
        <v>-29250</v>
      </c>
      <c r="AY177" s="298">
        <v>50000</v>
      </c>
      <c r="AZ177" s="298"/>
      <c r="BA177" s="297">
        <f t="shared" si="54"/>
        <v>-79250</v>
      </c>
      <c r="BB177" s="278"/>
      <c r="BC177" s="255"/>
      <c r="BD177" s="255"/>
    </row>
    <row r="178" spans="1:56" s="256" customFormat="1" ht="20" hidden="1" customHeight="1">
      <c r="A178" s="260">
        <v>178</v>
      </c>
      <c r="B178" s="277"/>
      <c r="C178" s="278"/>
      <c r="D178" s="278"/>
      <c r="E178" s="278"/>
      <c r="F178" s="278"/>
      <c r="G178" s="279"/>
      <c r="H178" s="280"/>
      <c r="I178" s="280"/>
      <c r="J178" s="281"/>
      <c r="K178" s="282"/>
      <c r="L178" s="321"/>
      <c r="M178" s="339"/>
      <c r="N178" s="278"/>
      <c r="O178" s="278"/>
      <c r="P178" s="283"/>
      <c r="Q178" s="278"/>
      <c r="R178" s="284"/>
      <c r="S178" s="282"/>
      <c r="T178" s="285"/>
      <c r="U178" s="286"/>
      <c r="V178" s="287"/>
      <c r="W178" s="288"/>
      <c r="X178" s="286"/>
      <c r="Y178" s="289"/>
      <c r="Z178" s="289"/>
      <c r="AA178" s="290"/>
      <c r="AB178" s="291">
        <f t="shared" si="56"/>
        <v>0</v>
      </c>
      <c r="AC178" s="292">
        <f t="shared" si="57"/>
        <v>0</v>
      </c>
      <c r="AD178" s="293"/>
      <c r="AE178" s="293"/>
      <c r="AF178" s="294"/>
      <c r="AG178" s="291"/>
      <c r="AH178" s="295"/>
      <c r="AI178" s="291"/>
      <c r="AJ178" s="295"/>
      <c r="AK178" s="291"/>
      <c r="AL178" s="291"/>
      <c r="AM178" s="291"/>
      <c r="AN178" s="296">
        <v>35000</v>
      </c>
      <c r="AO178" s="296">
        <v>30000</v>
      </c>
      <c r="AP178" s="296"/>
      <c r="AQ178" s="296"/>
      <c r="AR178" s="296"/>
      <c r="AS178" s="296">
        <f t="shared" si="45"/>
        <v>65000</v>
      </c>
      <c r="AT178" s="297">
        <f t="shared" si="51"/>
        <v>-65000</v>
      </c>
      <c r="AU178" s="297">
        <f t="shared" si="58"/>
        <v>-65000</v>
      </c>
      <c r="AV178" s="297">
        <f t="shared" si="59"/>
        <v>0</v>
      </c>
      <c r="AW178" s="297">
        <f t="shared" si="52"/>
        <v>-32500</v>
      </c>
      <c r="AX178" s="297">
        <f t="shared" si="53"/>
        <v>-29250</v>
      </c>
      <c r="AY178" s="298">
        <v>50000</v>
      </c>
      <c r="AZ178" s="298"/>
      <c r="BA178" s="297">
        <f t="shared" si="54"/>
        <v>-79250</v>
      </c>
      <c r="BB178" s="278"/>
      <c r="BC178" s="255"/>
      <c r="BD178" s="255"/>
    </row>
    <row r="179" spans="1:56" s="256" customFormat="1" ht="20" hidden="1" customHeight="1">
      <c r="A179" s="260">
        <v>179</v>
      </c>
      <c r="B179" s="277"/>
      <c r="C179" s="278"/>
      <c r="D179" s="278"/>
      <c r="E179" s="278"/>
      <c r="F179" s="278"/>
      <c r="G179" s="279"/>
      <c r="H179" s="280"/>
      <c r="I179" s="280"/>
      <c r="J179" s="281"/>
      <c r="K179" s="282"/>
      <c r="L179" s="321"/>
      <c r="M179" s="339"/>
      <c r="N179" s="278"/>
      <c r="O179" s="278"/>
      <c r="P179" s="283"/>
      <c r="Q179" s="278"/>
      <c r="R179" s="284"/>
      <c r="S179" s="282"/>
      <c r="T179" s="285"/>
      <c r="U179" s="286"/>
      <c r="V179" s="287"/>
      <c r="W179" s="288"/>
      <c r="X179" s="286"/>
      <c r="Y179" s="289"/>
      <c r="Z179" s="289"/>
      <c r="AA179" s="290"/>
      <c r="AB179" s="291">
        <f t="shared" si="56"/>
        <v>0</v>
      </c>
      <c r="AC179" s="292">
        <f t="shared" si="57"/>
        <v>0</v>
      </c>
      <c r="AD179" s="293"/>
      <c r="AE179" s="293"/>
      <c r="AF179" s="294"/>
      <c r="AG179" s="291"/>
      <c r="AH179" s="295"/>
      <c r="AI179" s="291"/>
      <c r="AJ179" s="295"/>
      <c r="AK179" s="291"/>
      <c r="AL179" s="291"/>
      <c r="AM179" s="291"/>
      <c r="AN179" s="296">
        <v>35000</v>
      </c>
      <c r="AO179" s="296">
        <v>30000</v>
      </c>
      <c r="AP179" s="296"/>
      <c r="AQ179" s="296"/>
      <c r="AR179" s="296"/>
      <c r="AS179" s="296">
        <f t="shared" si="45"/>
        <v>65000</v>
      </c>
      <c r="AT179" s="297">
        <f t="shared" si="51"/>
        <v>-65000</v>
      </c>
      <c r="AU179" s="297">
        <f t="shared" si="58"/>
        <v>-65000</v>
      </c>
      <c r="AV179" s="297">
        <f t="shared" si="59"/>
        <v>0</v>
      </c>
      <c r="AW179" s="297">
        <f t="shared" si="52"/>
        <v>-32500</v>
      </c>
      <c r="AX179" s="297">
        <f t="shared" si="53"/>
        <v>-29250</v>
      </c>
      <c r="AY179" s="298">
        <v>50000</v>
      </c>
      <c r="AZ179" s="298"/>
      <c r="BA179" s="297">
        <f t="shared" si="54"/>
        <v>-79250</v>
      </c>
      <c r="BB179" s="278"/>
      <c r="BC179" s="255"/>
      <c r="BD179" s="255"/>
    </row>
    <row r="180" spans="1:56" s="256" customFormat="1" ht="20" hidden="1" customHeight="1">
      <c r="A180" s="260">
        <v>180</v>
      </c>
      <c r="B180" s="277"/>
      <c r="C180" s="278"/>
      <c r="D180" s="278"/>
      <c r="E180" s="278"/>
      <c r="F180" s="278"/>
      <c r="G180" s="279"/>
      <c r="H180" s="280"/>
      <c r="I180" s="280"/>
      <c r="J180" s="281"/>
      <c r="K180" s="282"/>
      <c r="L180" s="282"/>
      <c r="M180" s="339"/>
      <c r="N180" s="278"/>
      <c r="O180" s="278"/>
      <c r="P180" s="283"/>
      <c r="Q180" s="278"/>
      <c r="R180" s="284"/>
      <c r="S180" s="282"/>
      <c r="T180" s="285"/>
      <c r="U180" s="286"/>
      <c r="V180" s="287"/>
      <c r="W180" s="288"/>
      <c r="X180" s="286"/>
      <c r="Y180" s="289"/>
      <c r="Z180" s="289"/>
      <c r="AA180" s="290"/>
      <c r="AB180" s="291">
        <f t="shared" si="56"/>
        <v>0</v>
      </c>
      <c r="AC180" s="292">
        <f t="shared" si="57"/>
        <v>0</v>
      </c>
      <c r="AD180" s="293"/>
      <c r="AE180" s="293"/>
      <c r="AF180" s="294"/>
      <c r="AG180" s="291"/>
      <c r="AH180" s="295"/>
      <c r="AI180" s="291"/>
      <c r="AJ180" s="295"/>
      <c r="AK180" s="291"/>
      <c r="AL180" s="291"/>
      <c r="AM180" s="291"/>
      <c r="AN180" s="296">
        <v>35000</v>
      </c>
      <c r="AO180" s="296">
        <v>30000</v>
      </c>
      <c r="AP180" s="296"/>
      <c r="AQ180" s="296"/>
      <c r="AR180" s="296"/>
      <c r="AS180" s="296">
        <f t="shared" si="45"/>
        <v>65000</v>
      </c>
      <c r="AT180" s="297">
        <f t="shared" si="51"/>
        <v>-65000</v>
      </c>
      <c r="AU180" s="297">
        <f t="shared" si="58"/>
        <v>-65000</v>
      </c>
      <c r="AV180" s="297">
        <f t="shared" si="59"/>
        <v>0</v>
      </c>
      <c r="AW180" s="297">
        <f t="shared" si="52"/>
        <v>-32500</v>
      </c>
      <c r="AX180" s="297">
        <f t="shared" si="53"/>
        <v>-29250</v>
      </c>
      <c r="AY180" s="298">
        <v>50000</v>
      </c>
      <c r="AZ180" s="298"/>
      <c r="BA180" s="297">
        <f t="shared" si="54"/>
        <v>-79250</v>
      </c>
      <c r="BB180" s="278"/>
      <c r="BC180" s="255"/>
      <c r="BD180" s="255"/>
    </row>
    <row r="181" spans="1:56" s="256" customFormat="1" ht="20" hidden="1" customHeight="1">
      <c r="A181" s="260">
        <v>181</v>
      </c>
      <c r="B181" s="277"/>
      <c r="C181" s="278"/>
      <c r="D181" s="278"/>
      <c r="E181" s="278"/>
      <c r="F181" s="278"/>
      <c r="G181" s="279"/>
      <c r="H181" s="280"/>
      <c r="I181" s="280"/>
      <c r="J181" s="281"/>
      <c r="K181" s="282"/>
      <c r="L181" s="321"/>
      <c r="M181" s="339"/>
      <c r="N181" s="278"/>
      <c r="O181" s="278"/>
      <c r="P181" s="283"/>
      <c r="Q181" s="278"/>
      <c r="R181" s="284"/>
      <c r="S181" s="282"/>
      <c r="T181" s="285"/>
      <c r="U181" s="286"/>
      <c r="V181" s="287"/>
      <c r="W181" s="288"/>
      <c r="X181" s="286"/>
      <c r="Y181" s="289"/>
      <c r="Z181" s="289"/>
      <c r="AA181" s="290"/>
      <c r="AB181" s="291">
        <f t="shared" si="56"/>
        <v>0</v>
      </c>
      <c r="AC181" s="292">
        <f t="shared" si="57"/>
        <v>0</v>
      </c>
      <c r="AD181" s="293"/>
      <c r="AE181" s="293"/>
      <c r="AF181" s="294"/>
      <c r="AG181" s="291"/>
      <c r="AH181" s="295"/>
      <c r="AI181" s="291"/>
      <c r="AJ181" s="295"/>
      <c r="AK181" s="291"/>
      <c r="AL181" s="291"/>
      <c r="AM181" s="291"/>
      <c r="AN181" s="296">
        <v>35000</v>
      </c>
      <c r="AO181" s="296">
        <v>30000</v>
      </c>
      <c r="AP181" s="296"/>
      <c r="AQ181" s="296"/>
      <c r="AR181" s="296"/>
      <c r="AS181" s="296">
        <f t="shared" si="45"/>
        <v>65000</v>
      </c>
      <c r="AT181" s="297">
        <f t="shared" si="51"/>
        <v>-65000</v>
      </c>
      <c r="AU181" s="297">
        <f t="shared" si="58"/>
        <v>-65000</v>
      </c>
      <c r="AV181" s="297">
        <f t="shared" si="59"/>
        <v>0</v>
      </c>
      <c r="AW181" s="297">
        <f t="shared" si="52"/>
        <v>-32500</v>
      </c>
      <c r="AX181" s="297">
        <f t="shared" si="53"/>
        <v>-29250</v>
      </c>
      <c r="AY181" s="298">
        <v>50000</v>
      </c>
      <c r="AZ181" s="298"/>
      <c r="BA181" s="297">
        <f t="shared" si="54"/>
        <v>-79250</v>
      </c>
      <c r="BB181" s="278"/>
      <c r="BC181" s="255"/>
      <c r="BD181" s="255"/>
    </row>
    <row r="182" spans="1:56" s="256" customFormat="1" ht="20" hidden="1" customHeight="1">
      <c r="A182" s="260">
        <v>182</v>
      </c>
      <c r="B182" s="277"/>
      <c r="C182" s="278"/>
      <c r="D182" s="278"/>
      <c r="E182" s="278"/>
      <c r="F182" s="278"/>
      <c r="G182" s="279"/>
      <c r="H182" s="280"/>
      <c r="I182" s="280"/>
      <c r="J182" s="281"/>
      <c r="K182" s="282"/>
      <c r="L182" s="282"/>
      <c r="M182" s="339"/>
      <c r="N182" s="278"/>
      <c r="O182" s="278"/>
      <c r="P182" s="283"/>
      <c r="Q182" s="278"/>
      <c r="R182" s="284"/>
      <c r="S182" s="282"/>
      <c r="T182" s="285"/>
      <c r="U182" s="286"/>
      <c r="V182" s="287"/>
      <c r="W182" s="288"/>
      <c r="X182" s="286"/>
      <c r="Y182" s="289"/>
      <c r="Z182" s="289"/>
      <c r="AA182" s="290"/>
      <c r="AB182" s="291">
        <f t="shared" si="56"/>
        <v>0</v>
      </c>
      <c r="AC182" s="292">
        <f t="shared" si="57"/>
        <v>0</v>
      </c>
      <c r="AD182" s="293"/>
      <c r="AE182" s="293"/>
      <c r="AF182" s="294"/>
      <c r="AG182" s="291"/>
      <c r="AH182" s="295"/>
      <c r="AI182" s="291"/>
      <c r="AJ182" s="295"/>
      <c r="AK182" s="291"/>
      <c r="AL182" s="291"/>
      <c r="AM182" s="291"/>
      <c r="AN182" s="296">
        <v>35000</v>
      </c>
      <c r="AO182" s="296">
        <v>30000</v>
      </c>
      <c r="AP182" s="296"/>
      <c r="AQ182" s="296"/>
      <c r="AR182" s="296"/>
      <c r="AS182" s="296">
        <f t="shared" si="45"/>
        <v>65000</v>
      </c>
      <c r="AT182" s="297">
        <f t="shared" si="51"/>
        <v>-65000</v>
      </c>
      <c r="AU182" s="297">
        <f t="shared" si="58"/>
        <v>-65000</v>
      </c>
      <c r="AV182" s="297">
        <f t="shared" si="59"/>
        <v>0</v>
      </c>
      <c r="AW182" s="297">
        <f t="shared" si="52"/>
        <v>-32500</v>
      </c>
      <c r="AX182" s="297">
        <f t="shared" si="53"/>
        <v>-29250</v>
      </c>
      <c r="AY182" s="298">
        <v>50000</v>
      </c>
      <c r="AZ182" s="298"/>
      <c r="BA182" s="297">
        <f t="shared" si="54"/>
        <v>-79250</v>
      </c>
      <c r="BB182" s="278"/>
      <c r="BC182" s="255"/>
      <c r="BD182" s="255"/>
    </row>
    <row r="183" spans="1:56" s="256" customFormat="1" ht="20" hidden="1" customHeight="1">
      <c r="A183" s="260">
        <v>183</v>
      </c>
      <c r="B183" s="277"/>
      <c r="C183" s="278"/>
      <c r="D183" s="278"/>
      <c r="E183" s="278"/>
      <c r="F183" s="278"/>
      <c r="G183" s="279"/>
      <c r="H183" s="280"/>
      <c r="I183" s="280"/>
      <c r="J183" s="281"/>
      <c r="K183" s="282"/>
      <c r="L183" s="322"/>
      <c r="M183" s="339"/>
      <c r="N183" s="278"/>
      <c r="O183" s="278"/>
      <c r="P183" s="283"/>
      <c r="Q183" s="278"/>
      <c r="R183" s="284"/>
      <c r="S183" s="282"/>
      <c r="T183" s="285"/>
      <c r="U183" s="286"/>
      <c r="V183" s="287"/>
      <c r="W183" s="288"/>
      <c r="X183" s="286"/>
      <c r="Y183" s="289"/>
      <c r="Z183" s="289"/>
      <c r="AA183" s="290"/>
      <c r="AB183" s="291">
        <f t="shared" si="56"/>
        <v>0</v>
      </c>
      <c r="AC183" s="292">
        <f t="shared" si="57"/>
        <v>0</v>
      </c>
      <c r="AD183" s="293"/>
      <c r="AE183" s="293"/>
      <c r="AF183" s="294"/>
      <c r="AG183" s="291"/>
      <c r="AH183" s="295"/>
      <c r="AI183" s="291"/>
      <c r="AJ183" s="295"/>
      <c r="AK183" s="291"/>
      <c r="AL183" s="291"/>
      <c r="AM183" s="291"/>
      <c r="AN183" s="296">
        <v>35000</v>
      </c>
      <c r="AO183" s="296">
        <v>30000</v>
      </c>
      <c r="AP183" s="296"/>
      <c r="AQ183" s="296"/>
      <c r="AR183" s="296"/>
      <c r="AS183" s="296">
        <f t="shared" si="45"/>
        <v>65000</v>
      </c>
      <c r="AT183" s="297">
        <f t="shared" si="51"/>
        <v>-65000</v>
      </c>
      <c r="AU183" s="297">
        <f t="shared" si="58"/>
        <v>-65000</v>
      </c>
      <c r="AV183" s="297">
        <f t="shared" si="59"/>
        <v>0</v>
      </c>
      <c r="AW183" s="297">
        <f t="shared" si="52"/>
        <v>-32500</v>
      </c>
      <c r="AX183" s="297">
        <f t="shared" si="53"/>
        <v>-29250</v>
      </c>
      <c r="AY183" s="298">
        <v>50000</v>
      </c>
      <c r="AZ183" s="298"/>
      <c r="BA183" s="297">
        <f t="shared" si="54"/>
        <v>-79250</v>
      </c>
      <c r="BB183" s="278"/>
      <c r="BC183" s="255"/>
      <c r="BD183" s="255"/>
    </row>
    <row r="184" spans="1:56" s="256" customFormat="1" ht="20" hidden="1" customHeight="1">
      <c r="A184" s="260">
        <v>184</v>
      </c>
      <c r="B184" s="277"/>
      <c r="C184" s="278"/>
      <c r="D184" s="278"/>
      <c r="E184" s="278"/>
      <c r="F184" s="278"/>
      <c r="G184" s="279"/>
      <c r="H184" s="280"/>
      <c r="I184" s="280"/>
      <c r="J184" s="281"/>
      <c r="K184" s="282"/>
      <c r="L184" s="282"/>
      <c r="M184" s="339"/>
      <c r="N184" s="278"/>
      <c r="O184" s="278"/>
      <c r="P184" s="283"/>
      <c r="Q184" s="278"/>
      <c r="R184" s="284"/>
      <c r="S184" s="282"/>
      <c r="T184" s="285"/>
      <c r="U184" s="286"/>
      <c r="V184" s="287"/>
      <c r="W184" s="288"/>
      <c r="X184" s="286"/>
      <c r="Y184" s="289"/>
      <c r="Z184" s="289"/>
      <c r="AA184" s="290"/>
      <c r="AB184" s="291">
        <f t="shared" si="56"/>
        <v>0</v>
      </c>
      <c r="AC184" s="292">
        <f t="shared" si="57"/>
        <v>0</v>
      </c>
      <c r="AD184" s="293"/>
      <c r="AE184" s="293"/>
      <c r="AF184" s="294"/>
      <c r="AG184" s="291"/>
      <c r="AH184" s="295"/>
      <c r="AI184" s="291"/>
      <c r="AJ184" s="295"/>
      <c r="AK184" s="291"/>
      <c r="AL184" s="291"/>
      <c r="AM184" s="291"/>
      <c r="AN184" s="296">
        <v>35000</v>
      </c>
      <c r="AO184" s="296">
        <v>30000</v>
      </c>
      <c r="AP184" s="296"/>
      <c r="AQ184" s="296"/>
      <c r="AR184" s="296"/>
      <c r="AS184" s="296">
        <f t="shared" si="45"/>
        <v>65000</v>
      </c>
      <c r="AT184" s="297">
        <f t="shared" si="51"/>
        <v>-65000</v>
      </c>
      <c r="AU184" s="297">
        <f t="shared" si="58"/>
        <v>-65000</v>
      </c>
      <c r="AV184" s="297">
        <f t="shared" si="59"/>
        <v>0</v>
      </c>
      <c r="AW184" s="297">
        <f t="shared" si="52"/>
        <v>-32500</v>
      </c>
      <c r="AX184" s="297">
        <f t="shared" si="53"/>
        <v>-29250</v>
      </c>
      <c r="AY184" s="298">
        <v>50000</v>
      </c>
      <c r="AZ184" s="298"/>
      <c r="BA184" s="297">
        <f t="shared" si="54"/>
        <v>-79250</v>
      </c>
      <c r="BB184" s="278"/>
      <c r="BC184" s="255"/>
      <c r="BD184" s="255"/>
    </row>
    <row r="185" spans="1:56" s="256" customFormat="1" ht="20" hidden="1" customHeight="1">
      <c r="A185" s="260">
        <v>185</v>
      </c>
      <c r="B185" s="277"/>
      <c r="C185" s="278"/>
      <c r="D185" s="278"/>
      <c r="E185" s="278"/>
      <c r="F185" s="278"/>
      <c r="G185" s="279"/>
      <c r="H185" s="280"/>
      <c r="I185" s="280"/>
      <c r="J185" s="281"/>
      <c r="K185" s="282"/>
      <c r="L185" s="322"/>
      <c r="M185" s="339"/>
      <c r="N185" s="278"/>
      <c r="O185" s="278"/>
      <c r="P185" s="283"/>
      <c r="Q185" s="278"/>
      <c r="R185" s="284"/>
      <c r="S185" s="282"/>
      <c r="T185" s="285"/>
      <c r="U185" s="286"/>
      <c r="V185" s="287"/>
      <c r="W185" s="288"/>
      <c r="X185" s="286"/>
      <c r="Y185" s="289"/>
      <c r="Z185" s="289"/>
      <c r="AA185" s="290"/>
      <c r="AB185" s="291">
        <f t="shared" si="56"/>
        <v>0</v>
      </c>
      <c r="AC185" s="292">
        <f t="shared" si="57"/>
        <v>0</v>
      </c>
      <c r="AD185" s="293"/>
      <c r="AE185" s="293"/>
      <c r="AF185" s="294"/>
      <c r="AG185" s="291"/>
      <c r="AH185" s="295"/>
      <c r="AI185" s="291"/>
      <c r="AJ185" s="295"/>
      <c r="AK185" s="291"/>
      <c r="AL185" s="291"/>
      <c r="AM185" s="291"/>
      <c r="AN185" s="296">
        <v>35000</v>
      </c>
      <c r="AO185" s="296">
        <v>30000</v>
      </c>
      <c r="AP185" s="296"/>
      <c r="AQ185" s="296"/>
      <c r="AR185" s="296"/>
      <c r="AS185" s="296">
        <f t="shared" si="45"/>
        <v>65000</v>
      </c>
      <c r="AT185" s="297">
        <f t="shared" si="51"/>
        <v>-65000</v>
      </c>
      <c r="AU185" s="297">
        <f t="shared" si="58"/>
        <v>-65000</v>
      </c>
      <c r="AV185" s="297">
        <f t="shared" si="59"/>
        <v>0</v>
      </c>
      <c r="AW185" s="297">
        <f t="shared" si="52"/>
        <v>-32500</v>
      </c>
      <c r="AX185" s="297">
        <f t="shared" si="53"/>
        <v>-29250</v>
      </c>
      <c r="AY185" s="298">
        <v>50000</v>
      </c>
      <c r="AZ185" s="298"/>
      <c r="BA185" s="297">
        <f t="shared" si="54"/>
        <v>-79250</v>
      </c>
      <c r="BB185" s="278"/>
      <c r="BC185" s="255"/>
      <c r="BD185" s="255"/>
    </row>
    <row r="186" spans="1:56" s="256" customFormat="1" ht="20" hidden="1" customHeight="1">
      <c r="A186" s="260">
        <v>186</v>
      </c>
      <c r="B186" s="277"/>
      <c r="C186" s="278"/>
      <c r="D186" s="278"/>
      <c r="E186" s="278"/>
      <c r="F186" s="278"/>
      <c r="G186" s="279"/>
      <c r="H186" s="280"/>
      <c r="I186" s="280"/>
      <c r="J186" s="281"/>
      <c r="K186" s="282"/>
      <c r="L186" s="321"/>
      <c r="M186" s="339"/>
      <c r="N186" s="278"/>
      <c r="O186" s="278"/>
      <c r="P186" s="283"/>
      <c r="Q186" s="278"/>
      <c r="R186" s="284"/>
      <c r="S186" s="282"/>
      <c r="T186" s="285"/>
      <c r="U186" s="286"/>
      <c r="V186" s="287"/>
      <c r="W186" s="288"/>
      <c r="X186" s="286"/>
      <c r="Y186" s="289"/>
      <c r="Z186" s="289"/>
      <c r="AA186" s="290"/>
      <c r="AB186" s="291">
        <f t="shared" si="56"/>
        <v>0</v>
      </c>
      <c r="AC186" s="292">
        <f t="shared" si="57"/>
        <v>0</v>
      </c>
      <c r="AD186" s="293"/>
      <c r="AE186" s="293"/>
      <c r="AF186" s="294"/>
      <c r="AG186" s="291"/>
      <c r="AH186" s="295"/>
      <c r="AI186" s="291"/>
      <c r="AJ186" s="295"/>
      <c r="AK186" s="291"/>
      <c r="AL186" s="291"/>
      <c r="AM186" s="291"/>
      <c r="AN186" s="296">
        <v>35000</v>
      </c>
      <c r="AO186" s="296">
        <v>30000</v>
      </c>
      <c r="AP186" s="296"/>
      <c r="AQ186" s="296"/>
      <c r="AR186" s="296"/>
      <c r="AS186" s="296">
        <f t="shared" si="45"/>
        <v>65000</v>
      </c>
      <c r="AT186" s="297">
        <f t="shared" si="51"/>
        <v>-65000</v>
      </c>
      <c r="AU186" s="297">
        <f t="shared" si="58"/>
        <v>-65000</v>
      </c>
      <c r="AV186" s="297">
        <f t="shared" si="59"/>
        <v>0</v>
      </c>
      <c r="AW186" s="297">
        <f t="shared" si="52"/>
        <v>-32500</v>
      </c>
      <c r="AX186" s="297">
        <f t="shared" si="53"/>
        <v>-29250</v>
      </c>
      <c r="AY186" s="298">
        <v>50000</v>
      </c>
      <c r="AZ186" s="298"/>
      <c r="BA186" s="297">
        <f t="shared" si="54"/>
        <v>-79250</v>
      </c>
      <c r="BB186" s="278"/>
      <c r="BC186" s="255"/>
      <c r="BD186" s="255"/>
    </row>
    <row r="187" spans="1:56" s="256" customFormat="1" ht="20" hidden="1" customHeight="1">
      <c r="A187" s="260">
        <v>187</v>
      </c>
      <c r="B187" s="277"/>
      <c r="C187" s="278"/>
      <c r="D187" s="278"/>
      <c r="E187" s="278"/>
      <c r="F187" s="278"/>
      <c r="G187" s="279"/>
      <c r="H187" s="280"/>
      <c r="I187" s="280"/>
      <c r="J187" s="281"/>
      <c r="K187" s="282"/>
      <c r="L187" s="282"/>
      <c r="M187" s="339"/>
      <c r="N187" s="278"/>
      <c r="O187" s="278"/>
      <c r="P187" s="283"/>
      <c r="Q187" s="278"/>
      <c r="R187" s="284"/>
      <c r="S187" s="282"/>
      <c r="T187" s="285"/>
      <c r="U187" s="286"/>
      <c r="V187" s="287"/>
      <c r="W187" s="288"/>
      <c r="X187" s="286"/>
      <c r="Y187" s="289"/>
      <c r="Z187" s="289"/>
      <c r="AA187" s="290"/>
      <c r="AB187" s="291">
        <f t="shared" si="56"/>
        <v>0</v>
      </c>
      <c r="AC187" s="292">
        <f t="shared" si="57"/>
        <v>0</v>
      </c>
      <c r="AD187" s="293"/>
      <c r="AE187" s="293"/>
      <c r="AF187" s="294"/>
      <c r="AG187" s="291"/>
      <c r="AH187" s="295"/>
      <c r="AI187" s="291"/>
      <c r="AJ187" s="295"/>
      <c r="AK187" s="291"/>
      <c r="AL187" s="291"/>
      <c r="AM187" s="291"/>
      <c r="AN187" s="296">
        <v>35000</v>
      </c>
      <c r="AO187" s="296">
        <v>30000</v>
      </c>
      <c r="AP187" s="296"/>
      <c r="AQ187" s="296"/>
      <c r="AR187" s="296"/>
      <c r="AS187" s="296">
        <f t="shared" si="45"/>
        <v>65000</v>
      </c>
      <c r="AT187" s="297">
        <f t="shared" si="51"/>
        <v>-65000</v>
      </c>
      <c r="AU187" s="297">
        <f t="shared" si="58"/>
        <v>-65000</v>
      </c>
      <c r="AV187" s="297">
        <f t="shared" si="59"/>
        <v>0</v>
      </c>
      <c r="AW187" s="297">
        <f t="shared" si="52"/>
        <v>-32500</v>
      </c>
      <c r="AX187" s="297">
        <f t="shared" si="53"/>
        <v>-29250</v>
      </c>
      <c r="AY187" s="298">
        <v>50000</v>
      </c>
      <c r="AZ187" s="298"/>
      <c r="BA187" s="297">
        <f t="shared" si="54"/>
        <v>-79250</v>
      </c>
      <c r="BB187" s="278"/>
      <c r="BC187" s="255"/>
      <c r="BD187" s="255"/>
    </row>
    <row r="188" spans="1:56" s="256" customFormat="1" ht="20" hidden="1" customHeight="1">
      <c r="A188" s="260">
        <v>188</v>
      </c>
      <c r="B188" s="277"/>
      <c r="C188" s="278"/>
      <c r="D188" s="278"/>
      <c r="E188" s="278"/>
      <c r="F188" s="278"/>
      <c r="G188" s="279"/>
      <c r="H188" s="280"/>
      <c r="I188" s="280"/>
      <c r="J188" s="281"/>
      <c r="K188" s="282"/>
      <c r="L188" s="282"/>
      <c r="M188" s="339"/>
      <c r="N188" s="278"/>
      <c r="O188" s="278"/>
      <c r="P188" s="283"/>
      <c r="Q188" s="278"/>
      <c r="R188" s="284"/>
      <c r="S188" s="282"/>
      <c r="T188" s="285"/>
      <c r="U188" s="286"/>
      <c r="V188" s="287"/>
      <c r="W188" s="288"/>
      <c r="X188" s="286"/>
      <c r="Y188" s="289"/>
      <c r="Z188" s="289"/>
      <c r="AA188" s="290"/>
      <c r="AB188" s="291">
        <f t="shared" si="56"/>
        <v>0</v>
      </c>
      <c r="AC188" s="292">
        <f t="shared" si="57"/>
        <v>0</v>
      </c>
      <c r="AD188" s="293"/>
      <c r="AE188" s="293"/>
      <c r="AF188" s="294"/>
      <c r="AG188" s="291"/>
      <c r="AH188" s="295"/>
      <c r="AI188" s="291"/>
      <c r="AJ188" s="295"/>
      <c r="AK188" s="291"/>
      <c r="AL188" s="291"/>
      <c r="AM188" s="291"/>
      <c r="AN188" s="296">
        <v>35000</v>
      </c>
      <c r="AO188" s="296">
        <v>30000</v>
      </c>
      <c r="AP188" s="296"/>
      <c r="AQ188" s="296"/>
      <c r="AR188" s="296"/>
      <c r="AS188" s="296">
        <f t="shared" si="45"/>
        <v>65000</v>
      </c>
      <c r="AT188" s="297">
        <f t="shared" si="51"/>
        <v>-65000</v>
      </c>
      <c r="AU188" s="297">
        <f t="shared" si="58"/>
        <v>-65000</v>
      </c>
      <c r="AV188" s="297">
        <f t="shared" si="59"/>
        <v>0</v>
      </c>
      <c r="AW188" s="297">
        <f t="shared" si="52"/>
        <v>-32500</v>
      </c>
      <c r="AX188" s="297">
        <f t="shared" si="53"/>
        <v>-29250</v>
      </c>
      <c r="AY188" s="298">
        <v>50000</v>
      </c>
      <c r="AZ188" s="298"/>
      <c r="BA188" s="297">
        <f t="shared" si="54"/>
        <v>-79250</v>
      </c>
      <c r="BB188" s="278"/>
      <c r="BC188" s="255"/>
      <c r="BD188" s="255"/>
    </row>
    <row r="189" spans="1:56" s="256" customFormat="1" ht="20" hidden="1" customHeight="1">
      <c r="A189" s="260">
        <v>189</v>
      </c>
      <c r="B189" s="277"/>
      <c r="C189" s="278"/>
      <c r="D189" s="278"/>
      <c r="E189" s="278"/>
      <c r="F189" s="278"/>
      <c r="G189" s="279"/>
      <c r="H189" s="280"/>
      <c r="I189" s="280"/>
      <c r="J189" s="281"/>
      <c r="K189" s="282"/>
      <c r="L189" s="282"/>
      <c r="M189" s="339"/>
      <c r="N189" s="278"/>
      <c r="O189" s="278"/>
      <c r="P189" s="283"/>
      <c r="Q189" s="278"/>
      <c r="R189" s="284"/>
      <c r="S189" s="282"/>
      <c r="T189" s="285"/>
      <c r="U189" s="286"/>
      <c r="V189" s="287"/>
      <c r="W189" s="288"/>
      <c r="X189" s="286"/>
      <c r="Y189" s="289"/>
      <c r="Z189" s="289"/>
      <c r="AA189" s="290"/>
      <c r="AB189" s="291">
        <f t="shared" si="56"/>
        <v>0</v>
      </c>
      <c r="AC189" s="292">
        <f t="shared" si="57"/>
        <v>0</v>
      </c>
      <c r="AD189" s="293"/>
      <c r="AE189" s="293"/>
      <c r="AF189" s="294"/>
      <c r="AG189" s="291"/>
      <c r="AH189" s="295"/>
      <c r="AI189" s="291"/>
      <c r="AJ189" s="295"/>
      <c r="AK189" s="291"/>
      <c r="AL189" s="291"/>
      <c r="AM189" s="291"/>
      <c r="AN189" s="296">
        <v>35000</v>
      </c>
      <c r="AO189" s="296">
        <v>30000</v>
      </c>
      <c r="AP189" s="296"/>
      <c r="AQ189" s="296"/>
      <c r="AR189" s="296"/>
      <c r="AS189" s="296">
        <f t="shared" si="45"/>
        <v>65000</v>
      </c>
      <c r="AT189" s="297">
        <f t="shared" si="51"/>
        <v>-65000</v>
      </c>
      <c r="AU189" s="297">
        <f t="shared" si="58"/>
        <v>-65000</v>
      </c>
      <c r="AV189" s="297">
        <f t="shared" si="59"/>
        <v>0</v>
      </c>
      <c r="AW189" s="297">
        <f t="shared" si="52"/>
        <v>-32500</v>
      </c>
      <c r="AX189" s="297">
        <f t="shared" si="53"/>
        <v>-29250</v>
      </c>
      <c r="AY189" s="298">
        <v>50000</v>
      </c>
      <c r="AZ189" s="298"/>
      <c r="BA189" s="297">
        <f t="shared" si="54"/>
        <v>-79250</v>
      </c>
      <c r="BB189" s="278"/>
      <c r="BC189" s="255"/>
      <c r="BD189" s="255"/>
    </row>
    <row r="190" spans="1:56" s="256" customFormat="1" ht="20" hidden="1" customHeight="1">
      <c r="A190" s="260">
        <v>190</v>
      </c>
      <c r="B190" s="277"/>
      <c r="C190" s="278"/>
      <c r="D190" s="278"/>
      <c r="E190" s="278"/>
      <c r="F190" s="278"/>
      <c r="G190" s="279"/>
      <c r="H190" s="280"/>
      <c r="I190" s="280"/>
      <c r="J190" s="281"/>
      <c r="K190" s="282"/>
      <c r="L190" s="282"/>
      <c r="M190" s="339"/>
      <c r="N190" s="278"/>
      <c r="O190" s="278"/>
      <c r="P190" s="283"/>
      <c r="Q190" s="278"/>
      <c r="R190" s="284"/>
      <c r="S190" s="282"/>
      <c r="T190" s="285"/>
      <c r="U190" s="286"/>
      <c r="V190" s="287"/>
      <c r="W190" s="288"/>
      <c r="X190" s="286"/>
      <c r="Y190" s="289"/>
      <c r="Z190" s="289"/>
      <c r="AA190" s="290"/>
      <c r="AB190" s="291">
        <f t="shared" si="56"/>
        <v>0</v>
      </c>
      <c r="AC190" s="292">
        <f t="shared" si="57"/>
        <v>0</v>
      </c>
      <c r="AD190" s="293"/>
      <c r="AE190" s="293"/>
      <c r="AF190" s="294"/>
      <c r="AG190" s="291"/>
      <c r="AH190" s="295"/>
      <c r="AI190" s="291"/>
      <c r="AJ190" s="295"/>
      <c r="AK190" s="291"/>
      <c r="AL190" s="291"/>
      <c r="AM190" s="291"/>
      <c r="AN190" s="296">
        <v>35000</v>
      </c>
      <c r="AO190" s="296">
        <v>30000</v>
      </c>
      <c r="AP190" s="296"/>
      <c r="AQ190" s="296"/>
      <c r="AR190" s="296"/>
      <c r="AS190" s="296">
        <f t="shared" si="45"/>
        <v>65000</v>
      </c>
      <c r="AT190" s="297">
        <f t="shared" si="51"/>
        <v>-65000</v>
      </c>
      <c r="AU190" s="297">
        <f t="shared" si="58"/>
        <v>-65000</v>
      </c>
      <c r="AV190" s="297">
        <f t="shared" si="59"/>
        <v>0</v>
      </c>
      <c r="AW190" s="297">
        <f t="shared" si="52"/>
        <v>-32500</v>
      </c>
      <c r="AX190" s="297">
        <f t="shared" si="53"/>
        <v>-29250</v>
      </c>
      <c r="AY190" s="298">
        <v>50000</v>
      </c>
      <c r="AZ190" s="298"/>
      <c r="BA190" s="297">
        <f t="shared" si="54"/>
        <v>-79250</v>
      </c>
      <c r="BB190" s="278"/>
      <c r="BC190" s="255"/>
      <c r="BD190" s="255"/>
    </row>
    <row r="191" spans="1:56" s="256" customFormat="1" ht="20" hidden="1" customHeight="1">
      <c r="A191" s="260">
        <v>191</v>
      </c>
      <c r="B191" s="277"/>
      <c r="C191" s="278"/>
      <c r="D191" s="278"/>
      <c r="E191" s="278"/>
      <c r="F191" s="278"/>
      <c r="G191" s="279"/>
      <c r="H191" s="280"/>
      <c r="I191" s="280"/>
      <c r="J191" s="281"/>
      <c r="K191" s="282"/>
      <c r="L191" s="282"/>
      <c r="M191" s="339"/>
      <c r="N191" s="278"/>
      <c r="O191" s="278"/>
      <c r="P191" s="283"/>
      <c r="Q191" s="278"/>
      <c r="R191" s="284"/>
      <c r="S191" s="282"/>
      <c r="T191" s="285"/>
      <c r="U191" s="286"/>
      <c r="V191" s="287"/>
      <c r="W191" s="288"/>
      <c r="X191" s="286"/>
      <c r="Y191" s="289"/>
      <c r="Z191" s="289"/>
      <c r="AA191" s="290"/>
      <c r="AB191" s="291">
        <f t="shared" si="56"/>
        <v>0</v>
      </c>
      <c r="AC191" s="292">
        <f t="shared" si="57"/>
        <v>0</v>
      </c>
      <c r="AD191" s="293"/>
      <c r="AE191" s="293"/>
      <c r="AF191" s="294"/>
      <c r="AG191" s="291"/>
      <c r="AH191" s="295"/>
      <c r="AI191" s="291"/>
      <c r="AJ191" s="295"/>
      <c r="AK191" s="291"/>
      <c r="AL191" s="291"/>
      <c r="AM191" s="291"/>
      <c r="AN191" s="296">
        <v>35000</v>
      </c>
      <c r="AO191" s="296">
        <v>30000</v>
      </c>
      <c r="AP191" s="296"/>
      <c r="AQ191" s="296"/>
      <c r="AR191" s="296"/>
      <c r="AS191" s="296">
        <f t="shared" si="45"/>
        <v>65000</v>
      </c>
      <c r="AT191" s="297">
        <f t="shared" si="51"/>
        <v>-65000</v>
      </c>
      <c r="AU191" s="297">
        <f t="shared" si="58"/>
        <v>-65000</v>
      </c>
      <c r="AV191" s="297">
        <f t="shared" si="59"/>
        <v>0</v>
      </c>
      <c r="AW191" s="297">
        <f t="shared" si="52"/>
        <v>-32500</v>
      </c>
      <c r="AX191" s="297">
        <f t="shared" si="53"/>
        <v>-29250</v>
      </c>
      <c r="AY191" s="298">
        <v>50000</v>
      </c>
      <c r="AZ191" s="298"/>
      <c r="BA191" s="297">
        <f t="shared" si="54"/>
        <v>-79250</v>
      </c>
      <c r="BB191" s="278"/>
      <c r="BC191" s="255"/>
      <c r="BD191" s="255"/>
    </row>
    <row r="192" spans="1:56" s="256" customFormat="1" ht="20" hidden="1" customHeight="1">
      <c r="A192" s="260">
        <v>192</v>
      </c>
      <c r="B192" s="277"/>
      <c r="C192" s="278"/>
      <c r="D192" s="278"/>
      <c r="E192" s="278"/>
      <c r="F192" s="278"/>
      <c r="G192" s="279"/>
      <c r="H192" s="280"/>
      <c r="I192" s="280"/>
      <c r="J192" s="281"/>
      <c r="K192" s="282"/>
      <c r="L192" s="322"/>
      <c r="M192" s="339"/>
      <c r="N192" s="278"/>
      <c r="O192" s="278"/>
      <c r="P192" s="283"/>
      <c r="Q192" s="278"/>
      <c r="R192" s="284"/>
      <c r="S192" s="282"/>
      <c r="T192" s="285"/>
      <c r="U192" s="286"/>
      <c r="V192" s="287"/>
      <c r="W192" s="288"/>
      <c r="X192" s="286"/>
      <c r="Y192" s="289"/>
      <c r="Z192" s="289"/>
      <c r="AA192" s="290"/>
      <c r="AB192" s="291">
        <f t="shared" si="56"/>
        <v>0</v>
      </c>
      <c r="AC192" s="292">
        <f t="shared" si="57"/>
        <v>0</v>
      </c>
      <c r="AD192" s="293"/>
      <c r="AE192" s="293"/>
      <c r="AF192" s="294"/>
      <c r="AG192" s="291"/>
      <c r="AH192" s="295"/>
      <c r="AI192" s="291"/>
      <c r="AJ192" s="295"/>
      <c r="AK192" s="291"/>
      <c r="AL192" s="291"/>
      <c r="AM192" s="291"/>
      <c r="AN192" s="296">
        <v>35000</v>
      </c>
      <c r="AO192" s="296">
        <v>30000</v>
      </c>
      <c r="AP192" s="296"/>
      <c r="AQ192" s="296"/>
      <c r="AR192" s="296"/>
      <c r="AS192" s="296">
        <f t="shared" si="45"/>
        <v>65000</v>
      </c>
      <c r="AT192" s="297">
        <f t="shared" si="51"/>
        <v>-65000</v>
      </c>
      <c r="AU192" s="297">
        <f t="shared" si="58"/>
        <v>-65000</v>
      </c>
      <c r="AV192" s="297">
        <f t="shared" si="59"/>
        <v>0</v>
      </c>
      <c r="AW192" s="297">
        <f t="shared" si="52"/>
        <v>-32500</v>
      </c>
      <c r="AX192" s="297">
        <f t="shared" si="53"/>
        <v>-29250</v>
      </c>
      <c r="AY192" s="298">
        <v>50000</v>
      </c>
      <c r="AZ192" s="298"/>
      <c r="BA192" s="297">
        <f t="shared" si="54"/>
        <v>-79250</v>
      </c>
      <c r="BB192" s="278"/>
      <c r="BC192" s="255"/>
      <c r="BD192" s="255"/>
    </row>
    <row r="193" spans="1:56" s="256" customFormat="1" ht="20" hidden="1" customHeight="1">
      <c r="A193" s="260">
        <v>193</v>
      </c>
      <c r="B193" s="277"/>
      <c r="C193" s="278"/>
      <c r="D193" s="278"/>
      <c r="E193" s="278"/>
      <c r="F193" s="278"/>
      <c r="G193" s="279"/>
      <c r="H193" s="280"/>
      <c r="I193" s="280"/>
      <c r="J193" s="281"/>
      <c r="K193" s="282"/>
      <c r="L193" s="282"/>
      <c r="M193" s="339"/>
      <c r="N193" s="278"/>
      <c r="O193" s="278"/>
      <c r="P193" s="283"/>
      <c r="Q193" s="278"/>
      <c r="R193" s="284"/>
      <c r="S193" s="282"/>
      <c r="T193" s="285"/>
      <c r="U193" s="286"/>
      <c r="V193" s="287"/>
      <c r="W193" s="288"/>
      <c r="X193" s="286"/>
      <c r="Y193" s="289"/>
      <c r="Z193" s="289"/>
      <c r="AA193" s="290"/>
      <c r="AB193" s="291">
        <f t="shared" si="56"/>
        <v>0</v>
      </c>
      <c r="AC193" s="292">
        <f t="shared" si="57"/>
        <v>0</v>
      </c>
      <c r="AD193" s="293"/>
      <c r="AE193" s="293"/>
      <c r="AF193" s="294"/>
      <c r="AG193" s="291"/>
      <c r="AH193" s="295"/>
      <c r="AI193" s="291"/>
      <c r="AJ193" s="295"/>
      <c r="AK193" s="291"/>
      <c r="AL193" s="291"/>
      <c r="AM193" s="291"/>
      <c r="AN193" s="296">
        <v>35000</v>
      </c>
      <c r="AO193" s="296">
        <v>30000</v>
      </c>
      <c r="AP193" s="296"/>
      <c r="AQ193" s="296"/>
      <c r="AR193" s="296"/>
      <c r="AS193" s="296">
        <f t="shared" si="45"/>
        <v>65000</v>
      </c>
      <c r="AT193" s="297">
        <f t="shared" si="51"/>
        <v>-65000</v>
      </c>
      <c r="AU193" s="297">
        <f t="shared" si="58"/>
        <v>-65000</v>
      </c>
      <c r="AV193" s="297">
        <f t="shared" si="59"/>
        <v>0</v>
      </c>
      <c r="AW193" s="297">
        <f t="shared" si="52"/>
        <v>-32500</v>
      </c>
      <c r="AX193" s="297">
        <f t="shared" si="53"/>
        <v>-29250</v>
      </c>
      <c r="AY193" s="298">
        <v>50000</v>
      </c>
      <c r="AZ193" s="298"/>
      <c r="BA193" s="297">
        <f t="shared" si="54"/>
        <v>-79250</v>
      </c>
      <c r="BB193" s="278"/>
      <c r="BC193" s="255"/>
      <c r="BD193" s="255"/>
    </row>
    <row r="194" spans="1:56" s="256" customFormat="1" ht="20" hidden="1" customHeight="1">
      <c r="A194" s="260">
        <v>194</v>
      </c>
      <c r="B194" s="277"/>
      <c r="C194" s="278"/>
      <c r="D194" s="278"/>
      <c r="E194" s="278"/>
      <c r="F194" s="278"/>
      <c r="G194" s="279"/>
      <c r="H194" s="280"/>
      <c r="I194" s="280"/>
      <c r="J194" s="281"/>
      <c r="K194" s="282"/>
      <c r="L194" s="282"/>
      <c r="M194" s="339"/>
      <c r="N194" s="278"/>
      <c r="O194" s="278"/>
      <c r="P194" s="283"/>
      <c r="Q194" s="278"/>
      <c r="R194" s="284"/>
      <c r="S194" s="282"/>
      <c r="T194" s="285"/>
      <c r="U194" s="286"/>
      <c r="V194" s="287"/>
      <c r="W194" s="288"/>
      <c r="X194" s="286"/>
      <c r="Y194" s="289"/>
      <c r="Z194" s="289"/>
      <c r="AA194" s="290"/>
      <c r="AB194" s="291">
        <f t="shared" si="56"/>
        <v>0</v>
      </c>
      <c r="AC194" s="292">
        <f t="shared" si="57"/>
        <v>0</v>
      </c>
      <c r="AD194" s="293"/>
      <c r="AE194" s="293"/>
      <c r="AF194" s="294"/>
      <c r="AG194" s="291"/>
      <c r="AH194" s="295"/>
      <c r="AI194" s="291"/>
      <c r="AJ194" s="295"/>
      <c r="AK194" s="291"/>
      <c r="AL194" s="291"/>
      <c r="AM194" s="291"/>
      <c r="AN194" s="296">
        <v>35000</v>
      </c>
      <c r="AO194" s="296">
        <v>30000</v>
      </c>
      <c r="AP194" s="296"/>
      <c r="AQ194" s="296"/>
      <c r="AR194" s="296"/>
      <c r="AS194" s="296">
        <f t="shared" ref="AS194:AS257" si="60">SUM(AN194:AR194)</f>
        <v>65000</v>
      </c>
      <c r="AT194" s="297">
        <f t="shared" ref="AT194:AT257" si="61">SUM(AA194-W194)*U194-AS194</f>
        <v>-65000</v>
      </c>
      <c r="AU194" s="297">
        <f t="shared" si="58"/>
        <v>-65000</v>
      </c>
      <c r="AV194" s="297">
        <f t="shared" si="59"/>
        <v>0</v>
      </c>
      <c r="AW194" s="297">
        <f t="shared" ref="AW194:AW257" si="62">SUM(AU194:AV194)/2</f>
        <v>-32500</v>
      </c>
      <c r="AX194" s="297">
        <f t="shared" ref="AX194:AX257" si="63">AW194-(AW194*10%)</f>
        <v>-29250</v>
      </c>
      <c r="AY194" s="298">
        <v>50000</v>
      </c>
      <c r="AZ194" s="298"/>
      <c r="BA194" s="297">
        <f t="shared" ref="BA194:BA257" si="64">SUM(AX194-AY194-AZ194)</f>
        <v>-79250</v>
      </c>
      <c r="BB194" s="278"/>
      <c r="BC194" s="255"/>
      <c r="BD194" s="255"/>
    </row>
    <row r="195" spans="1:56" s="256" customFormat="1" ht="20" hidden="1" customHeight="1">
      <c r="A195" s="260">
        <v>195</v>
      </c>
      <c r="B195" s="277"/>
      <c r="C195" s="278"/>
      <c r="D195" s="278"/>
      <c r="E195" s="278"/>
      <c r="F195" s="278"/>
      <c r="G195" s="279"/>
      <c r="H195" s="280"/>
      <c r="I195" s="280"/>
      <c r="J195" s="281"/>
      <c r="K195" s="282"/>
      <c r="L195" s="282"/>
      <c r="M195" s="339"/>
      <c r="N195" s="278"/>
      <c r="O195" s="278"/>
      <c r="P195" s="283"/>
      <c r="Q195" s="278"/>
      <c r="R195" s="284"/>
      <c r="S195" s="282"/>
      <c r="T195" s="285"/>
      <c r="U195" s="286"/>
      <c r="V195" s="287"/>
      <c r="W195" s="288"/>
      <c r="X195" s="286"/>
      <c r="Y195" s="289"/>
      <c r="Z195" s="289"/>
      <c r="AA195" s="290"/>
      <c r="AB195" s="291">
        <f t="shared" si="56"/>
        <v>0</v>
      </c>
      <c r="AC195" s="292">
        <f t="shared" si="57"/>
        <v>0</v>
      </c>
      <c r="AD195" s="293"/>
      <c r="AE195" s="293"/>
      <c r="AF195" s="294"/>
      <c r="AG195" s="291"/>
      <c r="AH195" s="295"/>
      <c r="AI195" s="291"/>
      <c r="AJ195" s="295"/>
      <c r="AK195" s="291"/>
      <c r="AL195" s="291"/>
      <c r="AM195" s="291"/>
      <c r="AN195" s="296">
        <v>35000</v>
      </c>
      <c r="AO195" s="296">
        <v>130000</v>
      </c>
      <c r="AP195" s="296"/>
      <c r="AQ195" s="296"/>
      <c r="AR195" s="296"/>
      <c r="AS195" s="296">
        <f t="shared" si="60"/>
        <v>165000</v>
      </c>
      <c r="AT195" s="297">
        <f t="shared" si="61"/>
        <v>-165000</v>
      </c>
      <c r="AU195" s="297">
        <f t="shared" si="58"/>
        <v>-165000</v>
      </c>
      <c r="AV195" s="297">
        <f t="shared" si="59"/>
        <v>0</v>
      </c>
      <c r="AW195" s="297">
        <f t="shared" si="62"/>
        <v>-82500</v>
      </c>
      <c r="AX195" s="297">
        <f t="shared" si="63"/>
        <v>-74250</v>
      </c>
      <c r="AY195" s="298">
        <v>50000</v>
      </c>
      <c r="AZ195" s="298"/>
      <c r="BA195" s="297">
        <f t="shared" si="64"/>
        <v>-124250</v>
      </c>
      <c r="BB195" s="278"/>
      <c r="BC195" s="255"/>
      <c r="BD195" s="255"/>
    </row>
    <row r="196" spans="1:56" s="256" customFormat="1" ht="20" hidden="1" customHeight="1">
      <c r="A196" s="260">
        <v>196</v>
      </c>
      <c r="B196" s="277"/>
      <c r="C196" s="278"/>
      <c r="D196" s="278"/>
      <c r="E196" s="278"/>
      <c r="F196" s="278"/>
      <c r="G196" s="279"/>
      <c r="H196" s="280"/>
      <c r="I196" s="280"/>
      <c r="J196" s="281"/>
      <c r="K196" s="282"/>
      <c r="L196" s="282"/>
      <c r="M196" s="339"/>
      <c r="N196" s="278"/>
      <c r="O196" s="278"/>
      <c r="P196" s="283"/>
      <c r="Q196" s="278"/>
      <c r="R196" s="284"/>
      <c r="S196" s="282"/>
      <c r="T196" s="285"/>
      <c r="U196" s="286"/>
      <c r="V196" s="287"/>
      <c r="W196" s="288"/>
      <c r="X196" s="286"/>
      <c r="Y196" s="289"/>
      <c r="Z196" s="289"/>
      <c r="AA196" s="290"/>
      <c r="AB196" s="291">
        <f t="shared" si="56"/>
        <v>0</v>
      </c>
      <c r="AC196" s="292">
        <f t="shared" si="57"/>
        <v>0</v>
      </c>
      <c r="AD196" s="293"/>
      <c r="AE196" s="293"/>
      <c r="AF196" s="294"/>
      <c r="AG196" s="291"/>
      <c r="AH196" s="295"/>
      <c r="AI196" s="291"/>
      <c r="AJ196" s="295"/>
      <c r="AK196" s="291"/>
      <c r="AL196" s="291"/>
      <c r="AM196" s="291"/>
      <c r="AN196" s="296">
        <v>35000</v>
      </c>
      <c r="AO196" s="296">
        <v>130000</v>
      </c>
      <c r="AP196" s="296"/>
      <c r="AQ196" s="296"/>
      <c r="AR196" s="296"/>
      <c r="AS196" s="296">
        <f t="shared" si="60"/>
        <v>165000</v>
      </c>
      <c r="AT196" s="297">
        <f t="shared" si="61"/>
        <v>-165000</v>
      </c>
      <c r="AU196" s="297">
        <f t="shared" si="58"/>
        <v>-165000</v>
      </c>
      <c r="AV196" s="297">
        <f t="shared" si="59"/>
        <v>0</v>
      </c>
      <c r="AW196" s="297">
        <f t="shared" si="62"/>
        <v>-82500</v>
      </c>
      <c r="AX196" s="297">
        <f t="shared" si="63"/>
        <v>-74250</v>
      </c>
      <c r="AY196" s="298">
        <v>50000</v>
      </c>
      <c r="AZ196" s="298"/>
      <c r="BA196" s="297">
        <f t="shared" si="64"/>
        <v>-124250</v>
      </c>
      <c r="BB196" s="278"/>
      <c r="BC196" s="255"/>
      <c r="BD196" s="255"/>
    </row>
    <row r="197" spans="1:56" s="256" customFormat="1" ht="20" hidden="1" customHeight="1">
      <c r="A197" s="260">
        <v>197</v>
      </c>
      <c r="B197" s="277"/>
      <c r="C197" s="278"/>
      <c r="D197" s="278"/>
      <c r="E197" s="278"/>
      <c r="F197" s="278"/>
      <c r="G197" s="279"/>
      <c r="H197" s="280"/>
      <c r="I197" s="280"/>
      <c r="J197" s="281"/>
      <c r="K197" s="282"/>
      <c r="L197" s="282"/>
      <c r="M197" s="339"/>
      <c r="N197" s="278"/>
      <c r="O197" s="278"/>
      <c r="P197" s="283"/>
      <c r="Q197" s="278"/>
      <c r="R197" s="284"/>
      <c r="S197" s="282"/>
      <c r="T197" s="285"/>
      <c r="U197" s="286"/>
      <c r="V197" s="287"/>
      <c r="W197" s="288"/>
      <c r="X197" s="286"/>
      <c r="Y197" s="289"/>
      <c r="Z197" s="289"/>
      <c r="AA197" s="290"/>
      <c r="AB197" s="291">
        <f t="shared" si="56"/>
        <v>0</v>
      </c>
      <c r="AC197" s="292">
        <f t="shared" si="57"/>
        <v>0</v>
      </c>
      <c r="AD197" s="293"/>
      <c r="AE197" s="293"/>
      <c r="AF197" s="294"/>
      <c r="AG197" s="291"/>
      <c r="AH197" s="295"/>
      <c r="AI197" s="291"/>
      <c r="AJ197" s="295"/>
      <c r="AK197" s="291"/>
      <c r="AL197" s="291"/>
      <c r="AM197" s="291"/>
      <c r="AN197" s="296">
        <v>35000</v>
      </c>
      <c r="AO197" s="296">
        <v>130000</v>
      </c>
      <c r="AP197" s="296"/>
      <c r="AQ197" s="296"/>
      <c r="AR197" s="296"/>
      <c r="AS197" s="296">
        <f t="shared" si="60"/>
        <v>165000</v>
      </c>
      <c r="AT197" s="297">
        <f t="shared" si="61"/>
        <v>-165000</v>
      </c>
      <c r="AU197" s="297">
        <f t="shared" si="58"/>
        <v>-165000</v>
      </c>
      <c r="AV197" s="297">
        <f t="shared" si="59"/>
        <v>0</v>
      </c>
      <c r="AW197" s="297">
        <f t="shared" si="62"/>
        <v>-82500</v>
      </c>
      <c r="AX197" s="297">
        <f t="shared" si="63"/>
        <v>-74250</v>
      </c>
      <c r="AY197" s="298">
        <v>50000</v>
      </c>
      <c r="AZ197" s="298"/>
      <c r="BA197" s="297">
        <f t="shared" si="64"/>
        <v>-124250</v>
      </c>
      <c r="BB197" s="278"/>
      <c r="BC197" s="255"/>
      <c r="BD197" s="255"/>
    </row>
    <row r="198" spans="1:56" s="256" customFormat="1" ht="20" hidden="1" customHeight="1">
      <c r="A198" s="260">
        <v>198</v>
      </c>
      <c r="B198" s="277"/>
      <c r="C198" s="278"/>
      <c r="D198" s="278"/>
      <c r="E198" s="278"/>
      <c r="F198" s="278"/>
      <c r="G198" s="279"/>
      <c r="H198" s="280"/>
      <c r="I198" s="280"/>
      <c r="J198" s="281"/>
      <c r="K198" s="282"/>
      <c r="L198" s="282"/>
      <c r="M198" s="339"/>
      <c r="N198" s="278"/>
      <c r="O198" s="278"/>
      <c r="P198" s="283"/>
      <c r="Q198" s="278"/>
      <c r="R198" s="284"/>
      <c r="S198" s="282"/>
      <c r="T198" s="285"/>
      <c r="U198" s="286"/>
      <c r="V198" s="287"/>
      <c r="W198" s="288"/>
      <c r="X198" s="286"/>
      <c r="Y198" s="289"/>
      <c r="Z198" s="289"/>
      <c r="AA198" s="290"/>
      <c r="AB198" s="291">
        <f t="shared" si="56"/>
        <v>0</v>
      </c>
      <c r="AC198" s="292">
        <f t="shared" si="57"/>
        <v>0</v>
      </c>
      <c r="AD198" s="293"/>
      <c r="AE198" s="293"/>
      <c r="AF198" s="294"/>
      <c r="AG198" s="291"/>
      <c r="AH198" s="295"/>
      <c r="AI198" s="291"/>
      <c r="AJ198" s="295"/>
      <c r="AK198" s="291"/>
      <c r="AL198" s="291"/>
      <c r="AM198" s="291"/>
      <c r="AN198" s="296">
        <v>35000</v>
      </c>
      <c r="AO198" s="296">
        <v>30000</v>
      </c>
      <c r="AP198" s="296"/>
      <c r="AQ198" s="296"/>
      <c r="AR198" s="296"/>
      <c r="AS198" s="296">
        <f t="shared" si="60"/>
        <v>65000</v>
      </c>
      <c r="AT198" s="297">
        <f t="shared" si="61"/>
        <v>-65000</v>
      </c>
      <c r="AU198" s="297">
        <f t="shared" si="58"/>
        <v>-65000</v>
      </c>
      <c r="AV198" s="297">
        <f t="shared" si="59"/>
        <v>0</v>
      </c>
      <c r="AW198" s="297">
        <f t="shared" si="62"/>
        <v>-32500</v>
      </c>
      <c r="AX198" s="297">
        <f t="shared" si="63"/>
        <v>-29250</v>
      </c>
      <c r="AY198" s="298">
        <v>50000</v>
      </c>
      <c r="AZ198" s="298"/>
      <c r="BA198" s="297">
        <f t="shared" si="64"/>
        <v>-79250</v>
      </c>
      <c r="BB198" s="278"/>
      <c r="BC198" s="255"/>
      <c r="BD198" s="255"/>
    </row>
    <row r="199" spans="1:56" s="256" customFormat="1" ht="20" hidden="1" customHeight="1">
      <c r="A199" s="260">
        <v>199</v>
      </c>
      <c r="B199" s="277"/>
      <c r="C199" s="278"/>
      <c r="D199" s="278"/>
      <c r="E199" s="278"/>
      <c r="F199" s="278"/>
      <c r="G199" s="279"/>
      <c r="H199" s="280"/>
      <c r="I199" s="280"/>
      <c r="J199" s="281"/>
      <c r="K199" s="282"/>
      <c r="L199" s="282"/>
      <c r="M199" s="339"/>
      <c r="N199" s="278"/>
      <c r="O199" s="278"/>
      <c r="P199" s="283"/>
      <c r="Q199" s="278"/>
      <c r="R199" s="284"/>
      <c r="S199" s="282"/>
      <c r="T199" s="285"/>
      <c r="U199" s="286"/>
      <c r="V199" s="287"/>
      <c r="W199" s="288"/>
      <c r="X199" s="286"/>
      <c r="Y199" s="289"/>
      <c r="Z199" s="289"/>
      <c r="AA199" s="290"/>
      <c r="AB199" s="291">
        <f t="shared" si="56"/>
        <v>0</v>
      </c>
      <c r="AC199" s="292">
        <f t="shared" si="57"/>
        <v>0</v>
      </c>
      <c r="AD199" s="293"/>
      <c r="AE199" s="293"/>
      <c r="AF199" s="294"/>
      <c r="AG199" s="291"/>
      <c r="AH199" s="295"/>
      <c r="AI199" s="291"/>
      <c r="AJ199" s="295"/>
      <c r="AK199" s="291"/>
      <c r="AL199" s="291"/>
      <c r="AM199" s="291"/>
      <c r="AN199" s="296">
        <v>35000</v>
      </c>
      <c r="AO199" s="296">
        <v>30000</v>
      </c>
      <c r="AP199" s="296"/>
      <c r="AQ199" s="296"/>
      <c r="AR199" s="296"/>
      <c r="AS199" s="296">
        <f t="shared" si="60"/>
        <v>65000</v>
      </c>
      <c r="AT199" s="297">
        <f t="shared" si="61"/>
        <v>-65000</v>
      </c>
      <c r="AU199" s="297">
        <f t="shared" si="58"/>
        <v>-65000</v>
      </c>
      <c r="AV199" s="297">
        <f t="shared" si="59"/>
        <v>0</v>
      </c>
      <c r="AW199" s="297">
        <f t="shared" si="62"/>
        <v>-32500</v>
      </c>
      <c r="AX199" s="297">
        <f t="shared" si="63"/>
        <v>-29250</v>
      </c>
      <c r="AY199" s="298">
        <v>50000</v>
      </c>
      <c r="AZ199" s="298"/>
      <c r="BA199" s="297">
        <f t="shared" si="64"/>
        <v>-79250</v>
      </c>
      <c r="BB199" s="278"/>
      <c r="BC199" s="255"/>
      <c r="BD199" s="255"/>
    </row>
    <row r="200" spans="1:56" s="256" customFormat="1" ht="20" hidden="1" customHeight="1">
      <c r="A200" s="260">
        <v>200</v>
      </c>
      <c r="B200" s="277"/>
      <c r="C200" s="278"/>
      <c r="D200" s="278"/>
      <c r="E200" s="278"/>
      <c r="F200" s="278"/>
      <c r="G200" s="279"/>
      <c r="H200" s="280"/>
      <c r="I200" s="280"/>
      <c r="J200" s="281"/>
      <c r="K200" s="282"/>
      <c r="L200" s="282"/>
      <c r="M200" s="339"/>
      <c r="N200" s="278"/>
      <c r="O200" s="278"/>
      <c r="P200" s="283"/>
      <c r="Q200" s="278"/>
      <c r="R200" s="284"/>
      <c r="S200" s="282"/>
      <c r="T200" s="285"/>
      <c r="U200" s="286"/>
      <c r="V200" s="287"/>
      <c r="W200" s="288"/>
      <c r="X200" s="286"/>
      <c r="Y200" s="289"/>
      <c r="Z200" s="289"/>
      <c r="AA200" s="290"/>
      <c r="AB200" s="291">
        <f t="shared" si="56"/>
        <v>0</v>
      </c>
      <c r="AC200" s="292">
        <f t="shared" si="57"/>
        <v>0</v>
      </c>
      <c r="AD200" s="293"/>
      <c r="AE200" s="293"/>
      <c r="AF200" s="294"/>
      <c r="AG200" s="291"/>
      <c r="AH200" s="295"/>
      <c r="AI200" s="291"/>
      <c r="AJ200" s="295"/>
      <c r="AK200" s="291"/>
      <c r="AL200" s="291"/>
      <c r="AM200" s="291"/>
      <c r="AN200" s="296">
        <v>35000</v>
      </c>
      <c r="AO200" s="296">
        <v>30000</v>
      </c>
      <c r="AP200" s="296"/>
      <c r="AQ200" s="296"/>
      <c r="AR200" s="296"/>
      <c r="AS200" s="296">
        <f t="shared" si="60"/>
        <v>65000</v>
      </c>
      <c r="AT200" s="297">
        <f t="shared" si="61"/>
        <v>-65000</v>
      </c>
      <c r="AU200" s="297">
        <f t="shared" si="58"/>
        <v>-65000</v>
      </c>
      <c r="AV200" s="297">
        <f t="shared" si="59"/>
        <v>0</v>
      </c>
      <c r="AW200" s="297">
        <f t="shared" si="62"/>
        <v>-32500</v>
      </c>
      <c r="AX200" s="297">
        <f t="shared" si="63"/>
        <v>-29250</v>
      </c>
      <c r="AY200" s="298">
        <v>50000</v>
      </c>
      <c r="AZ200" s="298"/>
      <c r="BA200" s="297">
        <f t="shared" si="64"/>
        <v>-79250</v>
      </c>
      <c r="BB200" s="278"/>
      <c r="BC200" s="255"/>
      <c r="BD200" s="255"/>
    </row>
    <row r="201" spans="1:56" s="256" customFormat="1" ht="20" hidden="1" customHeight="1">
      <c r="A201" s="260">
        <v>201</v>
      </c>
      <c r="B201" s="277"/>
      <c r="C201" s="278"/>
      <c r="D201" s="278"/>
      <c r="E201" s="278"/>
      <c r="F201" s="278"/>
      <c r="G201" s="279"/>
      <c r="H201" s="280"/>
      <c r="I201" s="280"/>
      <c r="J201" s="281"/>
      <c r="K201" s="282"/>
      <c r="L201" s="282"/>
      <c r="M201" s="339"/>
      <c r="N201" s="278"/>
      <c r="O201" s="278"/>
      <c r="P201" s="283"/>
      <c r="Q201" s="278"/>
      <c r="R201" s="284"/>
      <c r="S201" s="282"/>
      <c r="T201" s="285"/>
      <c r="U201" s="286"/>
      <c r="V201" s="287"/>
      <c r="W201" s="288"/>
      <c r="X201" s="286"/>
      <c r="Y201" s="289"/>
      <c r="Z201" s="289"/>
      <c r="AA201" s="290"/>
      <c r="AB201" s="291">
        <f t="shared" si="56"/>
        <v>0</v>
      </c>
      <c r="AC201" s="292">
        <f t="shared" si="57"/>
        <v>0</v>
      </c>
      <c r="AD201" s="293"/>
      <c r="AE201" s="293"/>
      <c r="AF201" s="294"/>
      <c r="AG201" s="291"/>
      <c r="AH201" s="295"/>
      <c r="AI201" s="291"/>
      <c r="AJ201" s="295"/>
      <c r="AK201" s="291"/>
      <c r="AL201" s="291"/>
      <c r="AM201" s="291"/>
      <c r="AN201" s="296">
        <v>35000</v>
      </c>
      <c r="AO201" s="296">
        <v>30000</v>
      </c>
      <c r="AP201" s="296"/>
      <c r="AQ201" s="296"/>
      <c r="AR201" s="296"/>
      <c r="AS201" s="296">
        <f t="shared" si="60"/>
        <v>65000</v>
      </c>
      <c r="AT201" s="297">
        <f t="shared" si="61"/>
        <v>-65000</v>
      </c>
      <c r="AU201" s="297">
        <f t="shared" si="58"/>
        <v>-65000</v>
      </c>
      <c r="AV201" s="297">
        <f t="shared" si="59"/>
        <v>0</v>
      </c>
      <c r="AW201" s="297">
        <f t="shared" si="62"/>
        <v>-32500</v>
      </c>
      <c r="AX201" s="297">
        <f t="shared" si="63"/>
        <v>-29250</v>
      </c>
      <c r="AY201" s="298">
        <v>50000</v>
      </c>
      <c r="AZ201" s="298"/>
      <c r="BA201" s="297">
        <f t="shared" si="64"/>
        <v>-79250</v>
      </c>
      <c r="BB201" s="278"/>
      <c r="BC201" s="255"/>
      <c r="BD201" s="255"/>
    </row>
    <row r="202" spans="1:56" s="256" customFormat="1" ht="20" hidden="1" customHeight="1">
      <c r="A202" s="260">
        <v>202</v>
      </c>
      <c r="B202" s="277"/>
      <c r="C202" s="278"/>
      <c r="D202" s="278"/>
      <c r="E202" s="278"/>
      <c r="F202" s="278"/>
      <c r="G202" s="279"/>
      <c r="H202" s="280"/>
      <c r="I202" s="280"/>
      <c r="J202" s="281"/>
      <c r="K202" s="282"/>
      <c r="L202" s="282"/>
      <c r="M202" s="339"/>
      <c r="N202" s="278"/>
      <c r="O202" s="278"/>
      <c r="P202" s="283"/>
      <c r="Q202" s="278"/>
      <c r="R202" s="284"/>
      <c r="S202" s="282"/>
      <c r="T202" s="285"/>
      <c r="U202" s="286"/>
      <c r="V202" s="287"/>
      <c r="W202" s="288"/>
      <c r="X202" s="286"/>
      <c r="Y202" s="289"/>
      <c r="Z202" s="289"/>
      <c r="AA202" s="290"/>
      <c r="AB202" s="291">
        <f t="shared" si="56"/>
        <v>0</v>
      </c>
      <c r="AC202" s="292">
        <f t="shared" si="57"/>
        <v>0</v>
      </c>
      <c r="AD202" s="293"/>
      <c r="AE202" s="293"/>
      <c r="AF202" s="294"/>
      <c r="AG202" s="291"/>
      <c r="AH202" s="295"/>
      <c r="AI202" s="291"/>
      <c r="AJ202" s="295"/>
      <c r="AK202" s="291"/>
      <c r="AL202" s="291"/>
      <c r="AM202" s="291"/>
      <c r="AN202" s="296">
        <v>35000</v>
      </c>
      <c r="AO202" s="296">
        <v>30000</v>
      </c>
      <c r="AP202" s="296"/>
      <c r="AQ202" s="296"/>
      <c r="AR202" s="296"/>
      <c r="AS202" s="296">
        <f t="shared" si="60"/>
        <v>65000</v>
      </c>
      <c r="AT202" s="297">
        <f t="shared" si="61"/>
        <v>-65000</v>
      </c>
      <c r="AU202" s="297">
        <f t="shared" si="58"/>
        <v>-65000</v>
      </c>
      <c r="AV202" s="297">
        <f t="shared" si="59"/>
        <v>0</v>
      </c>
      <c r="AW202" s="297">
        <f t="shared" si="62"/>
        <v>-32500</v>
      </c>
      <c r="AX202" s="297">
        <f t="shared" si="63"/>
        <v>-29250</v>
      </c>
      <c r="AY202" s="298">
        <v>50000</v>
      </c>
      <c r="AZ202" s="298"/>
      <c r="BA202" s="297">
        <f t="shared" si="64"/>
        <v>-79250</v>
      </c>
      <c r="BB202" s="278"/>
      <c r="BC202" s="255"/>
      <c r="BD202" s="255"/>
    </row>
    <row r="203" spans="1:56" s="256" customFormat="1" ht="20" hidden="1" customHeight="1">
      <c r="A203" s="260">
        <v>203</v>
      </c>
      <c r="B203" s="277"/>
      <c r="C203" s="278"/>
      <c r="D203" s="278"/>
      <c r="E203" s="278"/>
      <c r="F203" s="278"/>
      <c r="G203" s="279"/>
      <c r="H203" s="280"/>
      <c r="I203" s="280"/>
      <c r="J203" s="281"/>
      <c r="K203" s="282"/>
      <c r="L203" s="282"/>
      <c r="M203" s="339"/>
      <c r="N203" s="278"/>
      <c r="O203" s="278"/>
      <c r="P203" s="283"/>
      <c r="Q203" s="278"/>
      <c r="R203" s="284"/>
      <c r="S203" s="282"/>
      <c r="T203" s="285"/>
      <c r="U203" s="286"/>
      <c r="V203" s="287"/>
      <c r="W203" s="288"/>
      <c r="X203" s="286"/>
      <c r="Y203" s="289"/>
      <c r="Z203" s="289"/>
      <c r="AA203" s="290"/>
      <c r="AB203" s="291">
        <f t="shared" si="56"/>
        <v>0</v>
      </c>
      <c r="AC203" s="292">
        <f t="shared" si="57"/>
        <v>0</v>
      </c>
      <c r="AD203" s="293"/>
      <c r="AE203" s="293"/>
      <c r="AF203" s="294"/>
      <c r="AG203" s="291"/>
      <c r="AH203" s="295"/>
      <c r="AI203" s="291"/>
      <c r="AJ203" s="295"/>
      <c r="AK203" s="291"/>
      <c r="AL203" s="291"/>
      <c r="AM203" s="291"/>
      <c r="AN203" s="296">
        <v>35000</v>
      </c>
      <c r="AO203" s="296">
        <v>30000</v>
      </c>
      <c r="AP203" s="296"/>
      <c r="AQ203" s="296"/>
      <c r="AR203" s="296"/>
      <c r="AS203" s="296">
        <f t="shared" si="60"/>
        <v>65000</v>
      </c>
      <c r="AT203" s="297">
        <f t="shared" si="61"/>
        <v>-65000</v>
      </c>
      <c r="AU203" s="297">
        <f t="shared" si="58"/>
        <v>-65000</v>
      </c>
      <c r="AV203" s="297">
        <f t="shared" si="59"/>
        <v>0</v>
      </c>
      <c r="AW203" s="297">
        <f t="shared" si="62"/>
        <v>-32500</v>
      </c>
      <c r="AX203" s="297">
        <f t="shared" si="63"/>
        <v>-29250</v>
      </c>
      <c r="AY203" s="298">
        <v>50000</v>
      </c>
      <c r="AZ203" s="298"/>
      <c r="BA203" s="297">
        <f t="shared" si="64"/>
        <v>-79250</v>
      </c>
      <c r="BB203" s="278"/>
      <c r="BC203" s="255"/>
      <c r="BD203" s="255"/>
    </row>
    <row r="204" spans="1:56" s="256" customFormat="1" ht="20" hidden="1" customHeight="1">
      <c r="A204" s="260">
        <v>204</v>
      </c>
      <c r="B204" s="277"/>
      <c r="C204" s="278"/>
      <c r="D204" s="278"/>
      <c r="E204" s="278"/>
      <c r="F204" s="278"/>
      <c r="G204" s="279"/>
      <c r="H204" s="280"/>
      <c r="I204" s="280"/>
      <c r="J204" s="281"/>
      <c r="K204" s="282"/>
      <c r="L204" s="282"/>
      <c r="M204" s="339"/>
      <c r="N204" s="278"/>
      <c r="O204" s="278"/>
      <c r="P204" s="283"/>
      <c r="Q204" s="278"/>
      <c r="R204" s="284"/>
      <c r="S204" s="282"/>
      <c r="T204" s="285"/>
      <c r="U204" s="286"/>
      <c r="V204" s="287"/>
      <c r="W204" s="288"/>
      <c r="X204" s="286"/>
      <c r="Y204" s="289"/>
      <c r="Z204" s="289"/>
      <c r="AA204" s="290"/>
      <c r="AB204" s="291">
        <f t="shared" si="56"/>
        <v>0</v>
      </c>
      <c r="AC204" s="292">
        <f t="shared" si="57"/>
        <v>0</v>
      </c>
      <c r="AD204" s="293"/>
      <c r="AE204" s="293"/>
      <c r="AF204" s="294"/>
      <c r="AG204" s="291"/>
      <c r="AH204" s="295"/>
      <c r="AI204" s="291"/>
      <c r="AJ204" s="295"/>
      <c r="AK204" s="291"/>
      <c r="AL204" s="291"/>
      <c r="AM204" s="291"/>
      <c r="AN204" s="296">
        <v>35000</v>
      </c>
      <c r="AO204" s="296">
        <v>30000</v>
      </c>
      <c r="AP204" s="296"/>
      <c r="AQ204" s="296"/>
      <c r="AR204" s="296"/>
      <c r="AS204" s="296">
        <f t="shared" si="60"/>
        <v>65000</v>
      </c>
      <c r="AT204" s="297">
        <f t="shared" si="61"/>
        <v>-65000</v>
      </c>
      <c r="AU204" s="297">
        <f t="shared" si="58"/>
        <v>-65000</v>
      </c>
      <c r="AV204" s="297">
        <f t="shared" si="59"/>
        <v>0</v>
      </c>
      <c r="AW204" s="297">
        <f t="shared" si="62"/>
        <v>-32500</v>
      </c>
      <c r="AX204" s="297">
        <f t="shared" si="63"/>
        <v>-29250</v>
      </c>
      <c r="AY204" s="298">
        <v>50000</v>
      </c>
      <c r="AZ204" s="298"/>
      <c r="BA204" s="297">
        <f t="shared" si="64"/>
        <v>-79250</v>
      </c>
      <c r="BB204" s="278"/>
      <c r="BC204" s="255"/>
      <c r="BD204" s="255"/>
    </row>
    <row r="205" spans="1:56" s="256" customFormat="1" ht="20" hidden="1" customHeight="1">
      <c r="A205" s="260">
        <v>205</v>
      </c>
      <c r="B205" s="277"/>
      <c r="C205" s="278"/>
      <c r="D205" s="278"/>
      <c r="E205" s="278"/>
      <c r="F205" s="278"/>
      <c r="G205" s="279"/>
      <c r="H205" s="280"/>
      <c r="I205" s="280"/>
      <c r="J205" s="281"/>
      <c r="K205" s="282"/>
      <c r="L205" s="299"/>
      <c r="M205" s="339"/>
      <c r="N205" s="278"/>
      <c r="O205" s="278"/>
      <c r="P205" s="283"/>
      <c r="Q205" s="278"/>
      <c r="R205" s="284"/>
      <c r="S205" s="282"/>
      <c r="T205" s="285"/>
      <c r="U205" s="286"/>
      <c r="V205" s="287"/>
      <c r="W205" s="288"/>
      <c r="X205" s="286"/>
      <c r="Y205" s="289"/>
      <c r="Z205" s="289"/>
      <c r="AA205" s="290"/>
      <c r="AB205" s="291">
        <f t="shared" si="56"/>
        <v>0</v>
      </c>
      <c r="AC205" s="292">
        <f t="shared" si="57"/>
        <v>0</v>
      </c>
      <c r="AD205" s="293"/>
      <c r="AE205" s="293"/>
      <c r="AF205" s="294"/>
      <c r="AG205" s="291"/>
      <c r="AH205" s="295"/>
      <c r="AI205" s="291"/>
      <c r="AJ205" s="295"/>
      <c r="AK205" s="291"/>
      <c r="AL205" s="291"/>
      <c r="AM205" s="291"/>
      <c r="AN205" s="296">
        <v>35000</v>
      </c>
      <c r="AO205" s="296">
        <v>30000</v>
      </c>
      <c r="AP205" s="296"/>
      <c r="AQ205" s="296"/>
      <c r="AR205" s="296"/>
      <c r="AS205" s="296">
        <f t="shared" si="60"/>
        <v>65000</v>
      </c>
      <c r="AT205" s="297">
        <f t="shared" si="61"/>
        <v>-65000</v>
      </c>
      <c r="AU205" s="297">
        <f t="shared" si="58"/>
        <v>-65000</v>
      </c>
      <c r="AV205" s="297">
        <f t="shared" si="59"/>
        <v>0</v>
      </c>
      <c r="AW205" s="297">
        <f t="shared" si="62"/>
        <v>-32500</v>
      </c>
      <c r="AX205" s="297">
        <f t="shared" si="63"/>
        <v>-29250</v>
      </c>
      <c r="AY205" s="298">
        <v>50000</v>
      </c>
      <c r="AZ205" s="298"/>
      <c r="BA205" s="297">
        <f t="shared" si="64"/>
        <v>-79250</v>
      </c>
      <c r="BB205" s="278"/>
      <c r="BC205" s="255"/>
      <c r="BD205" s="255"/>
    </row>
    <row r="206" spans="1:56" s="256" customFormat="1" ht="20" hidden="1" customHeight="1">
      <c r="A206" s="260">
        <v>206</v>
      </c>
      <c r="B206" s="277"/>
      <c r="C206" s="278"/>
      <c r="D206" s="278"/>
      <c r="E206" s="278"/>
      <c r="F206" s="278"/>
      <c r="G206" s="279"/>
      <c r="H206" s="280"/>
      <c r="I206" s="280"/>
      <c r="J206" s="281"/>
      <c r="K206" s="282"/>
      <c r="L206" s="282"/>
      <c r="M206" s="339"/>
      <c r="N206" s="278"/>
      <c r="O206" s="278"/>
      <c r="P206" s="283"/>
      <c r="Q206" s="278"/>
      <c r="R206" s="284"/>
      <c r="S206" s="282"/>
      <c r="T206" s="285"/>
      <c r="U206" s="286"/>
      <c r="V206" s="287"/>
      <c r="W206" s="288"/>
      <c r="X206" s="286"/>
      <c r="Y206" s="289"/>
      <c r="Z206" s="289"/>
      <c r="AA206" s="290"/>
      <c r="AB206" s="291">
        <f t="shared" si="56"/>
        <v>0</v>
      </c>
      <c r="AC206" s="292">
        <f t="shared" si="57"/>
        <v>0</v>
      </c>
      <c r="AD206" s="293"/>
      <c r="AE206" s="293"/>
      <c r="AF206" s="294"/>
      <c r="AG206" s="291"/>
      <c r="AH206" s="295"/>
      <c r="AI206" s="291"/>
      <c r="AJ206" s="295"/>
      <c r="AK206" s="291"/>
      <c r="AL206" s="291"/>
      <c r="AM206" s="291"/>
      <c r="AN206" s="296">
        <v>35000</v>
      </c>
      <c r="AO206" s="296">
        <v>30000</v>
      </c>
      <c r="AP206" s="296"/>
      <c r="AQ206" s="296"/>
      <c r="AR206" s="296"/>
      <c r="AS206" s="296">
        <f t="shared" si="60"/>
        <v>65000</v>
      </c>
      <c r="AT206" s="297">
        <f t="shared" si="61"/>
        <v>-65000</v>
      </c>
      <c r="AU206" s="297">
        <f t="shared" si="58"/>
        <v>-65000</v>
      </c>
      <c r="AV206" s="297">
        <f t="shared" si="59"/>
        <v>0</v>
      </c>
      <c r="AW206" s="297">
        <f t="shared" si="62"/>
        <v>-32500</v>
      </c>
      <c r="AX206" s="297">
        <f t="shared" si="63"/>
        <v>-29250</v>
      </c>
      <c r="AY206" s="298">
        <v>50000</v>
      </c>
      <c r="AZ206" s="298"/>
      <c r="BA206" s="297">
        <f t="shared" si="64"/>
        <v>-79250</v>
      </c>
      <c r="BB206" s="278"/>
      <c r="BC206" s="255"/>
      <c r="BD206" s="255"/>
    </row>
    <row r="207" spans="1:56" s="256" customFormat="1" ht="20" hidden="1" customHeight="1">
      <c r="A207" s="260">
        <v>207</v>
      </c>
      <c r="B207" s="277"/>
      <c r="C207" s="278"/>
      <c r="D207" s="278"/>
      <c r="E207" s="278"/>
      <c r="F207" s="278"/>
      <c r="G207" s="279"/>
      <c r="H207" s="280"/>
      <c r="I207" s="280"/>
      <c r="J207" s="281"/>
      <c r="K207" s="282"/>
      <c r="L207" s="299"/>
      <c r="M207" s="339"/>
      <c r="N207" s="278"/>
      <c r="O207" s="278"/>
      <c r="P207" s="283"/>
      <c r="Q207" s="278"/>
      <c r="R207" s="284"/>
      <c r="S207" s="282"/>
      <c r="T207" s="285"/>
      <c r="U207" s="286"/>
      <c r="V207" s="287"/>
      <c r="W207" s="288"/>
      <c r="X207" s="286"/>
      <c r="Y207" s="289"/>
      <c r="Z207" s="289"/>
      <c r="AA207" s="290"/>
      <c r="AB207" s="291">
        <f t="shared" si="56"/>
        <v>0</v>
      </c>
      <c r="AC207" s="292">
        <f t="shared" si="57"/>
        <v>0</v>
      </c>
      <c r="AD207" s="293"/>
      <c r="AE207" s="293"/>
      <c r="AF207" s="294"/>
      <c r="AG207" s="291"/>
      <c r="AH207" s="295"/>
      <c r="AI207" s="291"/>
      <c r="AJ207" s="295"/>
      <c r="AK207" s="291"/>
      <c r="AL207" s="291"/>
      <c r="AM207" s="291"/>
      <c r="AN207" s="296">
        <v>35000</v>
      </c>
      <c r="AO207" s="296">
        <v>30000</v>
      </c>
      <c r="AP207" s="296"/>
      <c r="AQ207" s="296"/>
      <c r="AR207" s="296"/>
      <c r="AS207" s="296">
        <f t="shared" si="60"/>
        <v>65000</v>
      </c>
      <c r="AT207" s="297">
        <f t="shared" si="61"/>
        <v>-65000</v>
      </c>
      <c r="AU207" s="297">
        <f t="shared" si="58"/>
        <v>-65000</v>
      </c>
      <c r="AV207" s="297">
        <f t="shared" si="59"/>
        <v>0</v>
      </c>
      <c r="AW207" s="297">
        <f t="shared" si="62"/>
        <v>-32500</v>
      </c>
      <c r="AX207" s="297">
        <f t="shared" si="63"/>
        <v>-29250</v>
      </c>
      <c r="AY207" s="298">
        <v>50000</v>
      </c>
      <c r="AZ207" s="298"/>
      <c r="BA207" s="297">
        <f t="shared" si="64"/>
        <v>-79250</v>
      </c>
      <c r="BB207" s="278"/>
      <c r="BC207" s="255"/>
      <c r="BD207" s="255"/>
    </row>
    <row r="208" spans="1:56" s="256" customFormat="1" ht="20" hidden="1" customHeight="1">
      <c r="A208" s="260">
        <v>208</v>
      </c>
      <c r="B208" s="277"/>
      <c r="C208" s="278"/>
      <c r="D208" s="278"/>
      <c r="E208" s="278"/>
      <c r="F208" s="278"/>
      <c r="G208" s="279"/>
      <c r="H208" s="280"/>
      <c r="I208" s="280"/>
      <c r="J208" s="281"/>
      <c r="K208" s="282"/>
      <c r="L208" s="282"/>
      <c r="M208" s="339"/>
      <c r="N208" s="278"/>
      <c r="O208" s="278"/>
      <c r="P208" s="283"/>
      <c r="Q208" s="278"/>
      <c r="R208" s="284"/>
      <c r="S208" s="282"/>
      <c r="T208" s="285"/>
      <c r="U208" s="286"/>
      <c r="V208" s="287"/>
      <c r="W208" s="288"/>
      <c r="X208" s="286"/>
      <c r="Y208" s="289"/>
      <c r="Z208" s="289"/>
      <c r="AA208" s="290"/>
      <c r="AB208" s="291">
        <f t="shared" si="56"/>
        <v>0</v>
      </c>
      <c r="AC208" s="292">
        <f t="shared" si="57"/>
        <v>0</v>
      </c>
      <c r="AD208" s="293"/>
      <c r="AE208" s="293"/>
      <c r="AF208" s="294"/>
      <c r="AG208" s="291"/>
      <c r="AH208" s="295"/>
      <c r="AI208" s="291"/>
      <c r="AJ208" s="295"/>
      <c r="AK208" s="291"/>
      <c r="AL208" s="291"/>
      <c r="AM208" s="291"/>
      <c r="AN208" s="296">
        <v>35000</v>
      </c>
      <c r="AO208" s="296">
        <v>30000</v>
      </c>
      <c r="AP208" s="296"/>
      <c r="AQ208" s="296"/>
      <c r="AR208" s="296"/>
      <c r="AS208" s="296">
        <f t="shared" si="60"/>
        <v>65000</v>
      </c>
      <c r="AT208" s="297">
        <f t="shared" si="61"/>
        <v>-65000</v>
      </c>
      <c r="AU208" s="297">
        <f t="shared" si="58"/>
        <v>-65000</v>
      </c>
      <c r="AV208" s="297">
        <f t="shared" si="59"/>
        <v>0</v>
      </c>
      <c r="AW208" s="297">
        <f t="shared" si="62"/>
        <v>-32500</v>
      </c>
      <c r="AX208" s="297">
        <f t="shared" si="63"/>
        <v>-29250</v>
      </c>
      <c r="AY208" s="298">
        <v>50000</v>
      </c>
      <c r="AZ208" s="298"/>
      <c r="BA208" s="297">
        <f t="shared" si="64"/>
        <v>-79250</v>
      </c>
      <c r="BB208" s="278"/>
      <c r="BC208" s="255"/>
      <c r="BD208" s="255"/>
    </row>
    <row r="209" spans="1:56" s="256" customFormat="1" ht="20" hidden="1" customHeight="1">
      <c r="A209" s="260">
        <v>209</v>
      </c>
      <c r="B209" s="277"/>
      <c r="C209" s="278"/>
      <c r="D209" s="278"/>
      <c r="E209" s="278"/>
      <c r="F209" s="278"/>
      <c r="G209" s="279"/>
      <c r="H209" s="280"/>
      <c r="I209" s="280"/>
      <c r="J209" s="281"/>
      <c r="K209" s="282"/>
      <c r="L209" s="299"/>
      <c r="M209" s="339"/>
      <c r="N209" s="278"/>
      <c r="O209" s="278"/>
      <c r="P209" s="283"/>
      <c r="Q209" s="278"/>
      <c r="R209" s="284"/>
      <c r="S209" s="282"/>
      <c r="T209" s="285"/>
      <c r="U209" s="286"/>
      <c r="V209" s="287"/>
      <c r="W209" s="288"/>
      <c r="X209" s="286"/>
      <c r="Y209" s="289"/>
      <c r="Z209" s="289"/>
      <c r="AA209" s="290"/>
      <c r="AB209" s="291">
        <f t="shared" si="56"/>
        <v>0</v>
      </c>
      <c r="AC209" s="292">
        <f t="shared" si="57"/>
        <v>0</v>
      </c>
      <c r="AD209" s="293"/>
      <c r="AE209" s="293"/>
      <c r="AF209" s="294"/>
      <c r="AG209" s="291"/>
      <c r="AH209" s="295"/>
      <c r="AI209" s="291"/>
      <c r="AJ209" s="295"/>
      <c r="AK209" s="291"/>
      <c r="AL209" s="291"/>
      <c r="AM209" s="291"/>
      <c r="AN209" s="296">
        <v>35000</v>
      </c>
      <c r="AO209" s="296">
        <v>30000</v>
      </c>
      <c r="AP209" s="296"/>
      <c r="AQ209" s="296"/>
      <c r="AR209" s="296"/>
      <c r="AS209" s="296">
        <f t="shared" si="60"/>
        <v>65000</v>
      </c>
      <c r="AT209" s="297">
        <f t="shared" si="61"/>
        <v>-65000</v>
      </c>
      <c r="AU209" s="297">
        <f t="shared" si="58"/>
        <v>-65000</v>
      </c>
      <c r="AV209" s="297">
        <f t="shared" si="59"/>
        <v>0</v>
      </c>
      <c r="AW209" s="297">
        <f t="shared" si="62"/>
        <v>-32500</v>
      </c>
      <c r="AX209" s="297">
        <f t="shared" si="63"/>
        <v>-29250</v>
      </c>
      <c r="AY209" s="298">
        <v>50000</v>
      </c>
      <c r="AZ209" s="298"/>
      <c r="BA209" s="297">
        <f t="shared" si="64"/>
        <v>-79250</v>
      </c>
      <c r="BB209" s="278"/>
      <c r="BC209" s="255"/>
      <c r="BD209" s="255"/>
    </row>
    <row r="210" spans="1:56" s="256" customFormat="1" ht="20" hidden="1" customHeight="1">
      <c r="A210" s="260">
        <v>210</v>
      </c>
      <c r="B210" s="277"/>
      <c r="C210" s="278"/>
      <c r="D210" s="278"/>
      <c r="E210" s="278"/>
      <c r="F210" s="278"/>
      <c r="G210" s="279"/>
      <c r="H210" s="280"/>
      <c r="I210" s="280"/>
      <c r="J210" s="281"/>
      <c r="K210" s="282"/>
      <c r="L210" s="299"/>
      <c r="M210" s="339"/>
      <c r="N210" s="278"/>
      <c r="O210" s="278"/>
      <c r="P210" s="283"/>
      <c r="Q210" s="278"/>
      <c r="R210" s="284"/>
      <c r="S210" s="282"/>
      <c r="T210" s="285"/>
      <c r="U210" s="286"/>
      <c r="V210" s="287"/>
      <c r="W210" s="288"/>
      <c r="X210" s="286"/>
      <c r="Y210" s="289"/>
      <c r="Z210" s="289"/>
      <c r="AA210" s="290"/>
      <c r="AB210" s="291">
        <f t="shared" si="56"/>
        <v>0</v>
      </c>
      <c r="AC210" s="292">
        <f t="shared" si="57"/>
        <v>0</v>
      </c>
      <c r="AD210" s="293"/>
      <c r="AE210" s="293"/>
      <c r="AF210" s="294"/>
      <c r="AG210" s="291"/>
      <c r="AH210" s="295"/>
      <c r="AI210" s="291"/>
      <c r="AJ210" s="295"/>
      <c r="AK210" s="291"/>
      <c r="AL210" s="291"/>
      <c r="AM210" s="291"/>
      <c r="AN210" s="296">
        <v>35000</v>
      </c>
      <c r="AO210" s="296">
        <v>30000</v>
      </c>
      <c r="AP210" s="296"/>
      <c r="AQ210" s="296"/>
      <c r="AR210" s="296"/>
      <c r="AS210" s="296">
        <f t="shared" si="60"/>
        <v>65000</v>
      </c>
      <c r="AT210" s="297">
        <f t="shared" si="61"/>
        <v>-65000</v>
      </c>
      <c r="AU210" s="297">
        <f t="shared" si="58"/>
        <v>-65000</v>
      </c>
      <c r="AV210" s="297">
        <f t="shared" si="59"/>
        <v>0</v>
      </c>
      <c r="AW210" s="297">
        <f t="shared" si="62"/>
        <v>-32500</v>
      </c>
      <c r="AX210" s="297">
        <f t="shared" si="63"/>
        <v>-29250</v>
      </c>
      <c r="AY210" s="298">
        <v>50000</v>
      </c>
      <c r="AZ210" s="298"/>
      <c r="BA210" s="297">
        <f t="shared" si="64"/>
        <v>-79250</v>
      </c>
      <c r="BB210" s="278"/>
      <c r="BC210" s="255"/>
      <c r="BD210" s="255"/>
    </row>
    <row r="211" spans="1:56" s="256" customFormat="1" ht="20" hidden="1" customHeight="1">
      <c r="A211" s="260">
        <v>211</v>
      </c>
      <c r="B211" s="277"/>
      <c r="C211" s="278"/>
      <c r="D211" s="278"/>
      <c r="E211" s="278"/>
      <c r="F211" s="278"/>
      <c r="G211" s="279"/>
      <c r="H211" s="280"/>
      <c r="I211" s="280"/>
      <c r="J211" s="281"/>
      <c r="K211" s="282"/>
      <c r="L211" s="282"/>
      <c r="M211" s="339"/>
      <c r="N211" s="278"/>
      <c r="O211" s="278"/>
      <c r="P211" s="283"/>
      <c r="Q211" s="278"/>
      <c r="R211" s="284"/>
      <c r="S211" s="282"/>
      <c r="T211" s="285"/>
      <c r="U211" s="286"/>
      <c r="V211" s="287"/>
      <c r="W211" s="288"/>
      <c r="X211" s="286"/>
      <c r="Y211" s="289"/>
      <c r="Z211" s="289"/>
      <c r="AA211" s="290"/>
      <c r="AB211" s="291">
        <f t="shared" si="56"/>
        <v>0</v>
      </c>
      <c r="AC211" s="292">
        <f t="shared" si="57"/>
        <v>0</v>
      </c>
      <c r="AD211" s="293"/>
      <c r="AE211" s="293"/>
      <c r="AF211" s="294"/>
      <c r="AG211" s="291"/>
      <c r="AH211" s="295"/>
      <c r="AI211" s="291"/>
      <c r="AJ211" s="295"/>
      <c r="AK211" s="291"/>
      <c r="AL211" s="291"/>
      <c r="AM211" s="291"/>
      <c r="AN211" s="296">
        <v>35000</v>
      </c>
      <c r="AO211" s="296">
        <v>30000</v>
      </c>
      <c r="AP211" s="296"/>
      <c r="AQ211" s="296"/>
      <c r="AR211" s="296"/>
      <c r="AS211" s="296">
        <f t="shared" si="60"/>
        <v>65000</v>
      </c>
      <c r="AT211" s="297">
        <f t="shared" si="61"/>
        <v>-65000</v>
      </c>
      <c r="AU211" s="297">
        <f t="shared" si="58"/>
        <v>-65000</v>
      </c>
      <c r="AV211" s="297">
        <f t="shared" si="59"/>
        <v>0</v>
      </c>
      <c r="AW211" s="297">
        <f t="shared" si="62"/>
        <v>-32500</v>
      </c>
      <c r="AX211" s="297">
        <f t="shared" si="63"/>
        <v>-29250</v>
      </c>
      <c r="AY211" s="298">
        <v>50000</v>
      </c>
      <c r="AZ211" s="298"/>
      <c r="BA211" s="297">
        <f t="shared" si="64"/>
        <v>-79250</v>
      </c>
      <c r="BB211" s="278"/>
      <c r="BC211" s="255"/>
      <c r="BD211" s="255"/>
    </row>
    <row r="212" spans="1:56" s="256" customFormat="1" ht="20" hidden="1" customHeight="1">
      <c r="A212" s="260">
        <v>212</v>
      </c>
      <c r="B212" s="277"/>
      <c r="C212" s="278"/>
      <c r="D212" s="278"/>
      <c r="E212" s="278"/>
      <c r="F212" s="278"/>
      <c r="G212" s="279"/>
      <c r="H212" s="280"/>
      <c r="I212" s="280"/>
      <c r="J212" s="281"/>
      <c r="K212" s="282"/>
      <c r="L212" s="299"/>
      <c r="M212" s="339"/>
      <c r="N212" s="278"/>
      <c r="O212" s="278"/>
      <c r="P212" s="283"/>
      <c r="Q212" s="278"/>
      <c r="R212" s="284"/>
      <c r="S212" s="282"/>
      <c r="T212" s="285"/>
      <c r="U212" s="286"/>
      <c r="V212" s="287"/>
      <c r="W212" s="288"/>
      <c r="X212" s="286"/>
      <c r="Y212" s="289"/>
      <c r="Z212" s="289"/>
      <c r="AA212" s="290"/>
      <c r="AB212" s="291">
        <f t="shared" si="56"/>
        <v>0</v>
      </c>
      <c r="AC212" s="292">
        <f t="shared" si="57"/>
        <v>0</v>
      </c>
      <c r="AD212" s="293"/>
      <c r="AE212" s="293"/>
      <c r="AF212" s="294"/>
      <c r="AG212" s="291"/>
      <c r="AH212" s="295"/>
      <c r="AI212" s="291"/>
      <c r="AJ212" s="295"/>
      <c r="AK212" s="291"/>
      <c r="AL212" s="291"/>
      <c r="AM212" s="291"/>
      <c r="AN212" s="296">
        <v>35000</v>
      </c>
      <c r="AO212" s="296">
        <v>30000</v>
      </c>
      <c r="AP212" s="296"/>
      <c r="AQ212" s="296"/>
      <c r="AR212" s="296"/>
      <c r="AS212" s="296">
        <f t="shared" si="60"/>
        <v>65000</v>
      </c>
      <c r="AT212" s="297">
        <f t="shared" si="61"/>
        <v>-65000</v>
      </c>
      <c r="AU212" s="297">
        <f t="shared" si="58"/>
        <v>-65000</v>
      </c>
      <c r="AV212" s="297">
        <f t="shared" si="59"/>
        <v>0</v>
      </c>
      <c r="AW212" s="297">
        <f t="shared" si="62"/>
        <v>-32500</v>
      </c>
      <c r="AX212" s="297">
        <f t="shared" si="63"/>
        <v>-29250</v>
      </c>
      <c r="AY212" s="298">
        <v>50000</v>
      </c>
      <c r="AZ212" s="298"/>
      <c r="BA212" s="297">
        <f t="shared" si="64"/>
        <v>-79250</v>
      </c>
      <c r="BB212" s="278"/>
      <c r="BC212" s="255"/>
      <c r="BD212" s="255"/>
    </row>
    <row r="213" spans="1:56" s="256" customFormat="1" ht="20" hidden="1" customHeight="1">
      <c r="A213" s="260">
        <v>213</v>
      </c>
      <c r="B213" s="277"/>
      <c r="C213" s="278"/>
      <c r="D213" s="278"/>
      <c r="E213" s="278"/>
      <c r="F213" s="278"/>
      <c r="G213" s="279"/>
      <c r="H213" s="280"/>
      <c r="I213" s="280"/>
      <c r="J213" s="281"/>
      <c r="K213" s="282"/>
      <c r="L213" s="282"/>
      <c r="M213" s="339"/>
      <c r="N213" s="278"/>
      <c r="O213" s="278"/>
      <c r="P213" s="283"/>
      <c r="Q213" s="278"/>
      <c r="R213" s="284"/>
      <c r="S213" s="282"/>
      <c r="T213" s="285"/>
      <c r="U213" s="286"/>
      <c r="V213" s="287"/>
      <c r="W213" s="288"/>
      <c r="X213" s="286"/>
      <c r="Y213" s="289"/>
      <c r="Z213" s="289"/>
      <c r="AA213" s="290"/>
      <c r="AB213" s="291">
        <f t="shared" si="56"/>
        <v>0</v>
      </c>
      <c r="AC213" s="292">
        <f t="shared" si="57"/>
        <v>0</v>
      </c>
      <c r="AD213" s="293"/>
      <c r="AE213" s="293"/>
      <c r="AF213" s="294"/>
      <c r="AG213" s="291"/>
      <c r="AH213" s="295"/>
      <c r="AI213" s="291"/>
      <c r="AJ213" s="295"/>
      <c r="AK213" s="291"/>
      <c r="AL213" s="291"/>
      <c r="AM213" s="291"/>
      <c r="AN213" s="296">
        <v>35000</v>
      </c>
      <c r="AO213" s="296">
        <v>30000</v>
      </c>
      <c r="AP213" s="296"/>
      <c r="AQ213" s="296"/>
      <c r="AR213" s="296"/>
      <c r="AS213" s="296">
        <f t="shared" si="60"/>
        <v>65000</v>
      </c>
      <c r="AT213" s="297">
        <f t="shared" si="61"/>
        <v>-65000</v>
      </c>
      <c r="AU213" s="297">
        <f t="shared" si="58"/>
        <v>-65000</v>
      </c>
      <c r="AV213" s="297">
        <f t="shared" si="59"/>
        <v>0</v>
      </c>
      <c r="AW213" s="297">
        <f t="shared" si="62"/>
        <v>-32500</v>
      </c>
      <c r="AX213" s="297">
        <f t="shared" si="63"/>
        <v>-29250</v>
      </c>
      <c r="AY213" s="298">
        <v>50000</v>
      </c>
      <c r="AZ213" s="298"/>
      <c r="BA213" s="297">
        <f t="shared" si="64"/>
        <v>-79250</v>
      </c>
      <c r="BB213" s="278"/>
      <c r="BC213" s="255"/>
      <c r="BD213" s="255"/>
    </row>
    <row r="214" spans="1:56" s="256" customFormat="1" ht="20" hidden="1" customHeight="1">
      <c r="A214" s="260">
        <v>214</v>
      </c>
      <c r="B214" s="277"/>
      <c r="C214" s="278"/>
      <c r="D214" s="278"/>
      <c r="E214" s="278"/>
      <c r="F214" s="278"/>
      <c r="G214" s="279"/>
      <c r="H214" s="280"/>
      <c r="I214" s="280"/>
      <c r="J214" s="281"/>
      <c r="K214" s="282"/>
      <c r="L214" s="299"/>
      <c r="M214" s="339"/>
      <c r="N214" s="278"/>
      <c r="O214" s="278"/>
      <c r="P214" s="283"/>
      <c r="Q214" s="278"/>
      <c r="R214" s="284"/>
      <c r="S214" s="282"/>
      <c r="T214" s="285"/>
      <c r="U214" s="286"/>
      <c r="V214" s="287"/>
      <c r="W214" s="288"/>
      <c r="X214" s="286"/>
      <c r="Y214" s="289"/>
      <c r="Z214" s="289"/>
      <c r="AA214" s="290"/>
      <c r="AB214" s="291">
        <f t="shared" si="56"/>
        <v>0</v>
      </c>
      <c r="AC214" s="292">
        <f t="shared" si="57"/>
        <v>0</v>
      </c>
      <c r="AD214" s="293"/>
      <c r="AE214" s="293"/>
      <c r="AF214" s="294"/>
      <c r="AG214" s="291"/>
      <c r="AH214" s="295"/>
      <c r="AI214" s="291"/>
      <c r="AJ214" s="295"/>
      <c r="AK214" s="291"/>
      <c r="AL214" s="291"/>
      <c r="AM214" s="291"/>
      <c r="AN214" s="296">
        <v>35000</v>
      </c>
      <c r="AO214" s="296">
        <v>30000</v>
      </c>
      <c r="AP214" s="296"/>
      <c r="AQ214" s="296"/>
      <c r="AR214" s="296"/>
      <c r="AS214" s="296">
        <f t="shared" si="60"/>
        <v>65000</v>
      </c>
      <c r="AT214" s="297">
        <f t="shared" si="61"/>
        <v>-65000</v>
      </c>
      <c r="AU214" s="297">
        <f t="shared" si="58"/>
        <v>-65000</v>
      </c>
      <c r="AV214" s="297">
        <f t="shared" si="59"/>
        <v>0</v>
      </c>
      <c r="AW214" s="297">
        <f t="shared" si="62"/>
        <v>-32500</v>
      </c>
      <c r="AX214" s="297">
        <f t="shared" si="63"/>
        <v>-29250</v>
      </c>
      <c r="AY214" s="298">
        <v>50000</v>
      </c>
      <c r="AZ214" s="298"/>
      <c r="BA214" s="297">
        <f t="shared" si="64"/>
        <v>-79250</v>
      </c>
      <c r="BB214" s="278"/>
      <c r="BC214" s="255"/>
      <c r="BD214" s="255"/>
    </row>
    <row r="215" spans="1:56" s="256" customFormat="1" ht="20" hidden="1" customHeight="1">
      <c r="A215" s="260">
        <v>215</v>
      </c>
      <c r="B215" s="277"/>
      <c r="C215" s="278"/>
      <c r="D215" s="278"/>
      <c r="E215" s="278"/>
      <c r="F215" s="278"/>
      <c r="G215" s="279"/>
      <c r="H215" s="280"/>
      <c r="I215" s="280"/>
      <c r="J215" s="281"/>
      <c r="K215" s="282"/>
      <c r="L215" s="282"/>
      <c r="M215" s="339"/>
      <c r="N215" s="278"/>
      <c r="O215" s="278"/>
      <c r="P215" s="283"/>
      <c r="Q215" s="278"/>
      <c r="R215" s="284"/>
      <c r="S215" s="282"/>
      <c r="T215" s="285"/>
      <c r="U215" s="286"/>
      <c r="V215" s="287"/>
      <c r="W215" s="288"/>
      <c r="X215" s="286"/>
      <c r="Y215" s="289"/>
      <c r="Z215" s="289"/>
      <c r="AA215" s="290"/>
      <c r="AB215" s="291">
        <f t="shared" si="56"/>
        <v>0</v>
      </c>
      <c r="AC215" s="292">
        <f t="shared" si="57"/>
        <v>0</v>
      </c>
      <c r="AD215" s="293"/>
      <c r="AE215" s="293"/>
      <c r="AF215" s="294"/>
      <c r="AG215" s="291"/>
      <c r="AH215" s="295"/>
      <c r="AI215" s="291"/>
      <c r="AJ215" s="295"/>
      <c r="AK215" s="291"/>
      <c r="AL215" s="291"/>
      <c r="AM215" s="291"/>
      <c r="AN215" s="296">
        <v>35000</v>
      </c>
      <c r="AO215" s="296">
        <v>30000</v>
      </c>
      <c r="AP215" s="296"/>
      <c r="AQ215" s="296"/>
      <c r="AR215" s="296"/>
      <c r="AS215" s="296">
        <f t="shared" si="60"/>
        <v>65000</v>
      </c>
      <c r="AT215" s="297">
        <f t="shared" si="61"/>
        <v>-65000</v>
      </c>
      <c r="AU215" s="297">
        <f t="shared" si="58"/>
        <v>-65000</v>
      </c>
      <c r="AV215" s="297">
        <f t="shared" si="59"/>
        <v>0</v>
      </c>
      <c r="AW215" s="297">
        <f t="shared" si="62"/>
        <v>-32500</v>
      </c>
      <c r="AX215" s="297">
        <f t="shared" si="63"/>
        <v>-29250</v>
      </c>
      <c r="AY215" s="298">
        <v>50000</v>
      </c>
      <c r="AZ215" s="298"/>
      <c r="BA215" s="297">
        <f t="shared" si="64"/>
        <v>-79250</v>
      </c>
      <c r="BB215" s="278"/>
      <c r="BC215" s="255"/>
      <c r="BD215" s="255"/>
    </row>
    <row r="216" spans="1:56" s="256" customFormat="1" ht="20" hidden="1" customHeight="1">
      <c r="A216" s="260">
        <v>216</v>
      </c>
      <c r="B216" s="277"/>
      <c r="C216" s="278"/>
      <c r="D216" s="278"/>
      <c r="E216" s="278"/>
      <c r="F216" s="278"/>
      <c r="G216" s="279"/>
      <c r="H216" s="280"/>
      <c r="I216" s="280"/>
      <c r="J216" s="281"/>
      <c r="K216" s="282"/>
      <c r="L216" s="282"/>
      <c r="M216" s="339"/>
      <c r="N216" s="278"/>
      <c r="O216" s="278"/>
      <c r="P216" s="283"/>
      <c r="Q216" s="278"/>
      <c r="R216" s="284"/>
      <c r="S216" s="282"/>
      <c r="T216" s="285"/>
      <c r="U216" s="286"/>
      <c r="V216" s="287"/>
      <c r="W216" s="288"/>
      <c r="X216" s="286"/>
      <c r="Y216" s="289"/>
      <c r="Z216" s="289"/>
      <c r="AA216" s="290"/>
      <c r="AB216" s="291">
        <f t="shared" si="56"/>
        <v>0</v>
      </c>
      <c r="AC216" s="292">
        <f t="shared" si="57"/>
        <v>0</v>
      </c>
      <c r="AD216" s="293"/>
      <c r="AE216" s="293"/>
      <c r="AF216" s="294"/>
      <c r="AG216" s="291"/>
      <c r="AH216" s="295"/>
      <c r="AI216" s="291"/>
      <c r="AJ216" s="295"/>
      <c r="AK216" s="291"/>
      <c r="AL216" s="291"/>
      <c r="AM216" s="291"/>
      <c r="AN216" s="296">
        <v>35000</v>
      </c>
      <c r="AO216" s="296">
        <v>30000</v>
      </c>
      <c r="AP216" s="296"/>
      <c r="AQ216" s="296"/>
      <c r="AR216" s="296"/>
      <c r="AS216" s="296">
        <f t="shared" si="60"/>
        <v>65000</v>
      </c>
      <c r="AT216" s="297">
        <f t="shared" si="61"/>
        <v>-65000</v>
      </c>
      <c r="AU216" s="297">
        <f t="shared" si="58"/>
        <v>-65000</v>
      </c>
      <c r="AV216" s="297">
        <f t="shared" si="59"/>
        <v>0</v>
      </c>
      <c r="AW216" s="297">
        <f t="shared" si="62"/>
        <v>-32500</v>
      </c>
      <c r="AX216" s="297">
        <f t="shared" si="63"/>
        <v>-29250</v>
      </c>
      <c r="AY216" s="298">
        <v>50000</v>
      </c>
      <c r="AZ216" s="298"/>
      <c r="BA216" s="297">
        <f t="shared" si="64"/>
        <v>-79250</v>
      </c>
      <c r="BB216" s="278"/>
      <c r="BC216" s="255"/>
      <c r="BD216" s="255"/>
    </row>
    <row r="217" spans="1:56" s="256" customFormat="1" ht="20" hidden="1" customHeight="1">
      <c r="A217" s="260">
        <v>217</v>
      </c>
      <c r="B217" s="277"/>
      <c r="C217" s="278"/>
      <c r="D217" s="278"/>
      <c r="E217" s="278"/>
      <c r="F217" s="278"/>
      <c r="G217" s="279"/>
      <c r="H217" s="280"/>
      <c r="I217" s="280"/>
      <c r="J217" s="281"/>
      <c r="K217" s="282"/>
      <c r="L217" s="282"/>
      <c r="M217" s="339"/>
      <c r="N217" s="278"/>
      <c r="O217" s="278"/>
      <c r="P217" s="283"/>
      <c r="Q217" s="278"/>
      <c r="R217" s="284"/>
      <c r="S217" s="282"/>
      <c r="T217" s="285"/>
      <c r="U217" s="286"/>
      <c r="V217" s="287"/>
      <c r="W217" s="288"/>
      <c r="X217" s="286"/>
      <c r="Y217" s="289"/>
      <c r="Z217" s="289"/>
      <c r="AA217" s="290"/>
      <c r="AB217" s="291">
        <f t="shared" si="56"/>
        <v>0</v>
      </c>
      <c r="AC217" s="292">
        <f t="shared" si="57"/>
        <v>0</v>
      </c>
      <c r="AD217" s="293"/>
      <c r="AE217" s="293"/>
      <c r="AF217" s="294"/>
      <c r="AG217" s="291"/>
      <c r="AH217" s="295"/>
      <c r="AI217" s="291"/>
      <c r="AJ217" s="295"/>
      <c r="AK217" s="291"/>
      <c r="AL217" s="291"/>
      <c r="AM217" s="291"/>
      <c r="AN217" s="296">
        <v>35000</v>
      </c>
      <c r="AO217" s="296">
        <v>30000</v>
      </c>
      <c r="AP217" s="296"/>
      <c r="AQ217" s="296"/>
      <c r="AR217" s="296"/>
      <c r="AS217" s="296">
        <f t="shared" si="60"/>
        <v>65000</v>
      </c>
      <c r="AT217" s="297">
        <f t="shared" si="61"/>
        <v>-65000</v>
      </c>
      <c r="AU217" s="297">
        <f t="shared" si="58"/>
        <v>-65000</v>
      </c>
      <c r="AV217" s="297">
        <f t="shared" si="59"/>
        <v>0</v>
      </c>
      <c r="AW217" s="297">
        <f t="shared" si="62"/>
        <v>-32500</v>
      </c>
      <c r="AX217" s="297">
        <f t="shared" si="63"/>
        <v>-29250</v>
      </c>
      <c r="AY217" s="298">
        <v>50000</v>
      </c>
      <c r="AZ217" s="298"/>
      <c r="BA217" s="297">
        <f t="shared" si="64"/>
        <v>-79250</v>
      </c>
      <c r="BB217" s="278"/>
      <c r="BC217" s="255"/>
      <c r="BD217" s="255"/>
    </row>
    <row r="218" spans="1:56" s="256" customFormat="1" ht="20" hidden="1" customHeight="1">
      <c r="A218" s="260">
        <v>218</v>
      </c>
      <c r="B218" s="277"/>
      <c r="C218" s="278"/>
      <c r="D218" s="278"/>
      <c r="E218" s="278"/>
      <c r="F218" s="278"/>
      <c r="G218" s="279"/>
      <c r="H218" s="280"/>
      <c r="I218" s="280"/>
      <c r="J218" s="281"/>
      <c r="K218" s="282"/>
      <c r="L218" s="282"/>
      <c r="M218" s="339"/>
      <c r="N218" s="278"/>
      <c r="O218" s="278"/>
      <c r="P218" s="283"/>
      <c r="Q218" s="278"/>
      <c r="R218" s="284"/>
      <c r="S218" s="282"/>
      <c r="T218" s="285"/>
      <c r="U218" s="286"/>
      <c r="V218" s="287"/>
      <c r="W218" s="288"/>
      <c r="X218" s="286"/>
      <c r="Y218" s="289"/>
      <c r="Z218" s="289"/>
      <c r="AA218" s="290"/>
      <c r="AB218" s="291">
        <f t="shared" si="56"/>
        <v>0</v>
      </c>
      <c r="AC218" s="292">
        <f t="shared" si="57"/>
        <v>0</v>
      </c>
      <c r="AD218" s="293"/>
      <c r="AE218" s="293"/>
      <c r="AF218" s="294"/>
      <c r="AG218" s="291"/>
      <c r="AH218" s="295"/>
      <c r="AI218" s="291"/>
      <c r="AJ218" s="295"/>
      <c r="AK218" s="291"/>
      <c r="AL218" s="291"/>
      <c r="AM218" s="291"/>
      <c r="AN218" s="296">
        <v>35000</v>
      </c>
      <c r="AO218" s="296">
        <v>30000</v>
      </c>
      <c r="AP218" s="296"/>
      <c r="AQ218" s="296"/>
      <c r="AR218" s="296"/>
      <c r="AS218" s="296">
        <f t="shared" si="60"/>
        <v>65000</v>
      </c>
      <c r="AT218" s="297">
        <f t="shared" si="61"/>
        <v>-65000</v>
      </c>
      <c r="AU218" s="297">
        <f t="shared" si="58"/>
        <v>-65000</v>
      </c>
      <c r="AV218" s="297">
        <f t="shared" si="59"/>
        <v>0</v>
      </c>
      <c r="AW218" s="297">
        <f t="shared" si="62"/>
        <v>-32500</v>
      </c>
      <c r="AX218" s="297">
        <f t="shared" si="63"/>
        <v>-29250</v>
      </c>
      <c r="AY218" s="298">
        <v>50000</v>
      </c>
      <c r="AZ218" s="298"/>
      <c r="BA218" s="297">
        <f t="shared" si="64"/>
        <v>-79250</v>
      </c>
      <c r="BB218" s="278"/>
      <c r="BC218" s="255"/>
      <c r="BD218" s="255"/>
    </row>
    <row r="219" spans="1:56" s="256" customFormat="1" ht="20" hidden="1" customHeight="1">
      <c r="A219" s="260">
        <v>219</v>
      </c>
      <c r="B219" s="277"/>
      <c r="C219" s="278"/>
      <c r="D219" s="278"/>
      <c r="E219" s="278"/>
      <c r="F219" s="278"/>
      <c r="G219" s="279"/>
      <c r="H219" s="280"/>
      <c r="I219" s="280"/>
      <c r="J219" s="281"/>
      <c r="K219" s="282"/>
      <c r="L219" s="282"/>
      <c r="M219" s="339"/>
      <c r="N219" s="278"/>
      <c r="O219" s="278"/>
      <c r="P219" s="283"/>
      <c r="Q219" s="278"/>
      <c r="R219" s="284"/>
      <c r="S219" s="282"/>
      <c r="T219" s="285"/>
      <c r="U219" s="286"/>
      <c r="V219" s="287"/>
      <c r="W219" s="288"/>
      <c r="X219" s="286"/>
      <c r="Y219" s="289"/>
      <c r="Z219" s="289"/>
      <c r="AA219" s="290"/>
      <c r="AB219" s="291">
        <f t="shared" si="56"/>
        <v>0</v>
      </c>
      <c r="AC219" s="292">
        <f t="shared" si="57"/>
        <v>0</v>
      </c>
      <c r="AD219" s="293"/>
      <c r="AE219" s="293"/>
      <c r="AF219" s="294"/>
      <c r="AG219" s="291"/>
      <c r="AH219" s="295"/>
      <c r="AI219" s="291"/>
      <c r="AJ219" s="295"/>
      <c r="AK219" s="291"/>
      <c r="AL219" s="291"/>
      <c r="AM219" s="291"/>
      <c r="AN219" s="296">
        <v>35000</v>
      </c>
      <c r="AO219" s="296">
        <v>30000</v>
      </c>
      <c r="AP219" s="296"/>
      <c r="AQ219" s="296"/>
      <c r="AR219" s="296"/>
      <c r="AS219" s="296">
        <f t="shared" si="60"/>
        <v>65000</v>
      </c>
      <c r="AT219" s="297">
        <f t="shared" si="61"/>
        <v>-65000</v>
      </c>
      <c r="AU219" s="297">
        <f t="shared" si="58"/>
        <v>-65000</v>
      </c>
      <c r="AV219" s="297">
        <f t="shared" si="59"/>
        <v>0</v>
      </c>
      <c r="AW219" s="297">
        <f t="shared" si="62"/>
        <v>-32500</v>
      </c>
      <c r="AX219" s="297">
        <f t="shared" si="63"/>
        <v>-29250</v>
      </c>
      <c r="AY219" s="298">
        <v>50000</v>
      </c>
      <c r="AZ219" s="298"/>
      <c r="BA219" s="297">
        <f t="shared" si="64"/>
        <v>-79250</v>
      </c>
      <c r="BB219" s="278"/>
      <c r="BC219" s="255"/>
      <c r="BD219" s="255"/>
    </row>
    <row r="220" spans="1:56" s="256" customFormat="1" ht="20" hidden="1" customHeight="1">
      <c r="A220" s="260">
        <v>220</v>
      </c>
      <c r="B220" s="277"/>
      <c r="C220" s="278"/>
      <c r="D220" s="278"/>
      <c r="E220" s="278"/>
      <c r="F220" s="278"/>
      <c r="G220" s="279"/>
      <c r="H220" s="280"/>
      <c r="I220" s="280"/>
      <c r="J220" s="281"/>
      <c r="K220" s="282"/>
      <c r="L220" s="282"/>
      <c r="M220" s="339"/>
      <c r="N220" s="278"/>
      <c r="O220" s="278"/>
      <c r="P220" s="283"/>
      <c r="Q220" s="278"/>
      <c r="R220" s="284"/>
      <c r="S220" s="282"/>
      <c r="T220" s="285"/>
      <c r="U220" s="286"/>
      <c r="V220" s="287"/>
      <c r="W220" s="288"/>
      <c r="X220" s="286"/>
      <c r="Y220" s="289"/>
      <c r="Z220" s="289"/>
      <c r="AA220" s="290"/>
      <c r="AB220" s="291">
        <f t="shared" si="56"/>
        <v>0</v>
      </c>
      <c r="AC220" s="292">
        <f t="shared" si="57"/>
        <v>0</v>
      </c>
      <c r="AD220" s="293"/>
      <c r="AE220" s="293"/>
      <c r="AF220" s="294"/>
      <c r="AG220" s="291"/>
      <c r="AH220" s="295"/>
      <c r="AI220" s="291"/>
      <c r="AJ220" s="295"/>
      <c r="AK220" s="291"/>
      <c r="AL220" s="291"/>
      <c r="AM220" s="291"/>
      <c r="AN220" s="296">
        <v>35000</v>
      </c>
      <c r="AO220" s="296">
        <v>30000</v>
      </c>
      <c r="AP220" s="296"/>
      <c r="AQ220" s="296"/>
      <c r="AR220" s="296"/>
      <c r="AS220" s="296">
        <f t="shared" si="60"/>
        <v>65000</v>
      </c>
      <c r="AT220" s="297">
        <f t="shared" si="61"/>
        <v>-65000</v>
      </c>
      <c r="AU220" s="297">
        <f t="shared" si="58"/>
        <v>-65000</v>
      </c>
      <c r="AV220" s="297">
        <f t="shared" si="59"/>
        <v>0</v>
      </c>
      <c r="AW220" s="297">
        <f t="shared" si="62"/>
        <v>-32500</v>
      </c>
      <c r="AX220" s="297">
        <f t="shared" si="63"/>
        <v>-29250</v>
      </c>
      <c r="AY220" s="298">
        <v>50000</v>
      </c>
      <c r="AZ220" s="298"/>
      <c r="BA220" s="297">
        <f t="shared" si="64"/>
        <v>-79250</v>
      </c>
      <c r="BB220" s="278"/>
      <c r="BC220" s="255"/>
      <c r="BD220" s="255"/>
    </row>
    <row r="221" spans="1:56" s="256" customFormat="1" ht="20" hidden="1" customHeight="1">
      <c r="A221" s="260">
        <v>221</v>
      </c>
      <c r="B221" s="277"/>
      <c r="C221" s="278"/>
      <c r="D221" s="278"/>
      <c r="E221" s="278"/>
      <c r="F221" s="278"/>
      <c r="G221" s="279"/>
      <c r="H221" s="280"/>
      <c r="I221" s="280"/>
      <c r="J221" s="281"/>
      <c r="K221" s="282"/>
      <c r="L221" s="282"/>
      <c r="M221" s="339"/>
      <c r="N221" s="278"/>
      <c r="O221" s="278"/>
      <c r="P221" s="283"/>
      <c r="Q221" s="278"/>
      <c r="R221" s="284"/>
      <c r="S221" s="282"/>
      <c r="T221" s="285"/>
      <c r="U221" s="286"/>
      <c r="V221" s="287"/>
      <c r="W221" s="288"/>
      <c r="X221" s="286"/>
      <c r="Y221" s="289"/>
      <c r="Z221" s="289"/>
      <c r="AA221" s="290"/>
      <c r="AB221" s="291">
        <f t="shared" si="56"/>
        <v>0</v>
      </c>
      <c r="AC221" s="292">
        <f t="shared" si="57"/>
        <v>0</v>
      </c>
      <c r="AD221" s="293"/>
      <c r="AE221" s="293"/>
      <c r="AF221" s="294"/>
      <c r="AG221" s="291"/>
      <c r="AH221" s="295"/>
      <c r="AI221" s="291"/>
      <c r="AJ221" s="295"/>
      <c r="AK221" s="291"/>
      <c r="AL221" s="291"/>
      <c r="AM221" s="291"/>
      <c r="AN221" s="296">
        <v>35000</v>
      </c>
      <c r="AO221" s="296">
        <v>30000</v>
      </c>
      <c r="AP221" s="296"/>
      <c r="AQ221" s="296"/>
      <c r="AR221" s="296"/>
      <c r="AS221" s="296">
        <f t="shared" si="60"/>
        <v>65000</v>
      </c>
      <c r="AT221" s="297">
        <f t="shared" si="61"/>
        <v>-65000</v>
      </c>
      <c r="AU221" s="297">
        <f t="shared" si="58"/>
        <v>-65000</v>
      </c>
      <c r="AV221" s="297">
        <f t="shared" si="59"/>
        <v>0</v>
      </c>
      <c r="AW221" s="297">
        <f t="shared" si="62"/>
        <v>-32500</v>
      </c>
      <c r="AX221" s="297">
        <f t="shared" si="63"/>
        <v>-29250</v>
      </c>
      <c r="AY221" s="298">
        <v>50000</v>
      </c>
      <c r="AZ221" s="298"/>
      <c r="BA221" s="297">
        <f t="shared" si="64"/>
        <v>-79250</v>
      </c>
      <c r="BB221" s="278"/>
      <c r="BC221" s="255"/>
      <c r="BD221" s="255"/>
    </row>
    <row r="222" spans="1:56" s="256" customFormat="1" ht="20" hidden="1" customHeight="1">
      <c r="A222" s="260">
        <v>222</v>
      </c>
      <c r="B222" s="277"/>
      <c r="C222" s="278"/>
      <c r="D222" s="278"/>
      <c r="E222" s="278"/>
      <c r="F222" s="278"/>
      <c r="G222" s="279"/>
      <c r="H222" s="280"/>
      <c r="I222" s="280"/>
      <c r="J222" s="281"/>
      <c r="K222" s="282"/>
      <c r="L222" s="282"/>
      <c r="M222" s="339"/>
      <c r="N222" s="278"/>
      <c r="O222" s="278"/>
      <c r="P222" s="283"/>
      <c r="Q222" s="278"/>
      <c r="R222" s="284"/>
      <c r="S222" s="282"/>
      <c r="T222" s="285"/>
      <c r="U222" s="286"/>
      <c r="V222" s="287"/>
      <c r="W222" s="288"/>
      <c r="X222" s="286"/>
      <c r="Y222" s="289"/>
      <c r="Z222" s="289"/>
      <c r="AA222" s="290"/>
      <c r="AB222" s="291">
        <f t="shared" ref="AB222:AB285" si="65">SUM(AG222+AI222+AK222+AL222-AM222)</f>
        <v>0</v>
      </c>
      <c r="AC222" s="292">
        <f t="shared" si="57"/>
        <v>0</v>
      </c>
      <c r="AD222" s="293"/>
      <c r="AE222" s="293"/>
      <c r="AF222" s="294"/>
      <c r="AG222" s="291"/>
      <c r="AH222" s="295"/>
      <c r="AI222" s="291"/>
      <c r="AJ222" s="295"/>
      <c r="AK222" s="291"/>
      <c r="AL222" s="291"/>
      <c r="AM222" s="291"/>
      <c r="AN222" s="296">
        <v>35000</v>
      </c>
      <c r="AO222" s="296">
        <v>30000</v>
      </c>
      <c r="AP222" s="296"/>
      <c r="AQ222" s="296"/>
      <c r="AR222" s="296"/>
      <c r="AS222" s="296">
        <f t="shared" si="60"/>
        <v>65000</v>
      </c>
      <c r="AT222" s="297">
        <f t="shared" si="61"/>
        <v>-65000</v>
      </c>
      <c r="AU222" s="297">
        <f t="shared" si="58"/>
        <v>-65000</v>
      </c>
      <c r="AV222" s="297">
        <f t="shared" si="59"/>
        <v>0</v>
      </c>
      <c r="AW222" s="297">
        <f t="shared" si="62"/>
        <v>-32500</v>
      </c>
      <c r="AX222" s="297">
        <f t="shared" si="63"/>
        <v>-29250</v>
      </c>
      <c r="AY222" s="298">
        <v>50000</v>
      </c>
      <c r="AZ222" s="298"/>
      <c r="BA222" s="297">
        <f t="shared" si="64"/>
        <v>-79250</v>
      </c>
      <c r="BB222" s="278"/>
      <c r="BC222" s="255"/>
      <c r="BD222" s="255"/>
    </row>
    <row r="223" spans="1:56" s="256" customFormat="1" ht="20" hidden="1" customHeight="1">
      <c r="A223" s="260">
        <v>223</v>
      </c>
      <c r="B223" s="277"/>
      <c r="C223" s="278"/>
      <c r="D223" s="278"/>
      <c r="E223" s="278"/>
      <c r="F223" s="278"/>
      <c r="G223" s="279"/>
      <c r="H223" s="280"/>
      <c r="I223" s="280"/>
      <c r="J223" s="281"/>
      <c r="K223" s="282"/>
      <c r="L223" s="282"/>
      <c r="M223" s="339"/>
      <c r="N223" s="278"/>
      <c r="O223" s="278"/>
      <c r="P223" s="283"/>
      <c r="Q223" s="278"/>
      <c r="R223" s="284"/>
      <c r="S223" s="282"/>
      <c r="T223" s="285"/>
      <c r="U223" s="286"/>
      <c r="V223" s="287"/>
      <c r="W223" s="288"/>
      <c r="X223" s="286"/>
      <c r="Y223" s="289"/>
      <c r="Z223" s="289"/>
      <c r="AA223" s="290"/>
      <c r="AB223" s="291">
        <f t="shared" si="65"/>
        <v>0</v>
      </c>
      <c r="AC223" s="292">
        <f t="shared" si="57"/>
        <v>0</v>
      </c>
      <c r="AD223" s="293"/>
      <c r="AE223" s="293"/>
      <c r="AF223" s="294"/>
      <c r="AG223" s="291"/>
      <c r="AH223" s="295"/>
      <c r="AI223" s="291"/>
      <c r="AJ223" s="295"/>
      <c r="AK223" s="291"/>
      <c r="AL223" s="291"/>
      <c r="AM223" s="291"/>
      <c r="AN223" s="296">
        <v>35000</v>
      </c>
      <c r="AO223" s="296">
        <v>30000</v>
      </c>
      <c r="AP223" s="296"/>
      <c r="AQ223" s="296"/>
      <c r="AR223" s="296"/>
      <c r="AS223" s="296">
        <f t="shared" si="60"/>
        <v>65000</v>
      </c>
      <c r="AT223" s="297">
        <f t="shared" si="61"/>
        <v>-65000</v>
      </c>
      <c r="AU223" s="297">
        <f t="shared" si="58"/>
        <v>-65000</v>
      </c>
      <c r="AV223" s="297">
        <f t="shared" si="59"/>
        <v>0</v>
      </c>
      <c r="AW223" s="297">
        <f t="shared" si="62"/>
        <v>-32500</v>
      </c>
      <c r="AX223" s="297">
        <f t="shared" si="63"/>
        <v>-29250</v>
      </c>
      <c r="AY223" s="298">
        <v>50000</v>
      </c>
      <c r="AZ223" s="298"/>
      <c r="BA223" s="297">
        <f t="shared" si="64"/>
        <v>-79250</v>
      </c>
      <c r="BB223" s="278"/>
      <c r="BC223" s="255"/>
      <c r="BD223" s="255"/>
    </row>
    <row r="224" spans="1:56" s="256" customFormat="1" ht="20" hidden="1" customHeight="1">
      <c r="A224" s="260">
        <v>224</v>
      </c>
      <c r="B224" s="277"/>
      <c r="C224" s="278"/>
      <c r="D224" s="278"/>
      <c r="E224" s="278"/>
      <c r="F224" s="278"/>
      <c r="G224" s="279"/>
      <c r="H224" s="280"/>
      <c r="I224" s="280"/>
      <c r="J224" s="281"/>
      <c r="K224" s="282"/>
      <c r="L224" s="282"/>
      <c r="M224" s="339"/>
      <c r="N224" s="278"/>
      <c r="O224" s="278"/>
      <c r="P224" s="283"/>
      <c r="Q224" s="278"/>
      <c r="R224" s="284"/>
      <c r="S224" s="282"/>
      <c r="T224" s="285"/>
      <c r="U224" s="286"/>
      <c r="V224" s="287"/>
      <c r="W224" s="288"/>
      <c r="X224" s="286"/>
      <c r="Y224" s="289"/>
      <c r="Z224" s="289"/>
      <c r="AA224" s="290"/>
      <c r="AB224" s="291">
        <f t="shared" si="65"/>
        <v>0</v>
      </c>
      <c r="AC224" s="292">
        <f t="shared" si="57"/>
        <v>0</v>
      </c>
      <c r="AD224" s="293"/>
      <c r="AE224" s="293"/>
      <c r="AF224" s="294"/>
      <c r="AG224" s="291"/>
      <c r="AH224" s="295"/>
      <c r="AI224" s="291"/>
      <c r="AJ224" s="295"/>
      <c r="AK224" s="291"/>
      <c r="AL224" s="291"/>
      <c r="AM224" s="291"/>
      <c r="AN224" s="296">
        <v>35000</v>
      </c>
      <c r="AO224" s="296">
        <v>30000</v>
      </c>
      <c r="AP224" s="296"/>
      <c r="AQ224" s="296"/>
      <c r="AR224" s="296"/>
      <c r="AS224" s="296">
        <f t="shared" si="60"/>
        <v>65000</v>
      </c>
      <c r="AT224" s="297">
        <f t="shared" si="61"/>
        <v>-65000</v>
      </c>
      <c r="AU224" s="297">
        <f t="shared" si="58"/>
        <v>-65000</v>
      </c>
      <c r="AV224" s="297">
        <f t="shared" si="59"/>
        <v>0</v>
      </c>
      <c r="AW224" s="297">
        <f t="shared" si="62"/>
        <v>-32500</v>
      </c>
      <c r="AX224" s="297">
        <f t="shared" si="63"/>
        <v>-29250</v>
      </c>
      <c r="AY224" s="298">
        <v>50000</v>
      </c>
      <c r="AZ224" s="298"/>
      <c r="BA224" s="297">
        <f t="shared" si="64"/>
        <v>-79250</v>
      </c>
      <c r="BB224" s="278"/>
      <c r="BC224" s="255"/>
      <c r="BD224" s="255"/>
    </row>
    <row r="225" spans="1:56" s="256" customFormat="1" ht="20" hidden="1" customHeight="1">
      <c r="A225" s="260">
        <v>225</v>
      </c>
      <c r="B225" s="277"/>
      <c r="C225" s="278"/>
      <c r="D225" s="278"/>
      <c r="E225" s="278"/>
      <c r="F225" s="278"/>
      <c r="G225" s="279"/>
      <c r="H225" s="280"/>
      <c r="I225" s="280"/>
      <c r="J225" s="281"/>
      <c r="K225" s="282"/>
      <c r="L225" s="282"/>
      <c r="M225" s="339"/>
      <c r="N225" s="278"/>
      <c r="O225" s="278"/>
      <c r="P225" s="283"/>
      <c r="Q225" s="278"/>
      <c r="R225" s="284"/>
      <c r="S225" s="282"/>
      <c r="T225" s="285"/>
      <c r="U225" s="286"/>
      <c r="V225" s="287"/>
      <c r="W225" s="288"/>
      <c r="X225" s="286"/>
      <c r="Y225" s="289"/>
      <c r="Z225" s="289"/>
      <c r="AA225" s="290"/>
      <c r="AB225" s="291">
        <f t="shared" si="65"/>
        <v>0</v>
      </c>
      <c r="AC225" s="292">
        <f t="shared" si="57"/>
        <v>0</v>
      </c>
      <c r="AD225" s="293"/>
      <c r="AE225" s="293"/>
      <c r="AF225" s="294"/>
      <c r="AG225" s="291"/>
      <c r="AH225" s="295"/>
      <c r="AI225" s="291"/>
      <c r="AJ225" s="295"/>
      <c r="AK225" s="291"/>
      <c r="AL225" s="291"/>
      <c r="AM225" s="291"/>
      <c r="AN225" s="296">
        <v>35000</v>
      </c>
      <c r="AO225" s="296">
        <v>30000</v>
      </c>
      <c r="AP225" s="296"/>
      <c r="AQ225" s="296"/>
      <c r="AR225" s="296"/>
      <c r="AS225" s="296">
        <f t="shared" si="60"/>
        <v>65000</v>
      </c>
      <c r="AT225" s="297">
        <f t="shared" si="61"/>
        <v>-65000</v>
      </c>
      <c r="AU225" s="297">
        <f t="shared" si="58"/>
        <v>-65000</v>
      </c>
      <c r="AV225" s="297">
        <f t="shared" si="59"/>
        <v>0</v>
      </c>
      <c r="AW225" s="297">
        <f t="shared" si="62"/>
        <v>-32500</v>
      </c>
      <c r="AX225" s="297">
        <f t="shared" si="63"/>
        <v>-29250</v>
      </c>
      <c r="AY225" s="298">
        <v>50000</v>
      </c>
      <c r="AZ225" s="298"/>
      <c r="BA225" s="297">
        <f t="shared" si="64"/>
        <v>-79250</v>
      </c>
      <c r="BB225" s="278"/>
      <c r="BC225" s="255"/>
      <c r="BD225" s="255"/>
    </row>
    <row r="226" spans="1:56" s="256" customFormat="1" ht="20" hidden="1" customHeight="1">
      <c r="A226" s="260">
        <v>226</v>
      </c>
      <c r="B226" s="277"/>
      <c r="C226" s="278"/>
      <c r="D226" s="278"/>
      <c r="E226" s="278"/>
      <c r="F226" s="278"/>
      <c r="G226" s="279"/>
      <c r="H226" s="280"/>
      <c r="I226" s="280"/>
      <c r="J226" s="281"/>
      <c r="K226" s="282"/>
      <c r="L226" s="282"/>
      <c r="M226" s="339"/>
      <c r="N226" s="278"/>
      <c r="O226" s="278"/>
      <c r="P226" s="283"/>
      <c r="Q226" s="278"/>
      <c r="R226" s="284"/>
      <c r="S226" s="282"/>
      <c r="T226" s="285"/>
      <c r="U226" s="286"/>
      <c r="V226" s="287"/>
      <c r="W226" s="288"/>
      <c r="X226" s="286"/>
      <c r="Y226" s="289"/>
      <c r="Z226" s="289"/>
      <c r="AA226" s="290"/>
      <c r="AB226" s="291">
        <f t="shared" si="65"/>
        <v>0</v>
      </c>
      <c r="AC226" s="292">
        <f t="shared" si="57"/>
        <v>0</v>
      </c>
      <c r="AD226" s="293"/>
      <c r="AE226" s="293"/>
      <c r="AF226" s="294"/>
      <c r="AG226" s="291"/>
      <c r="AH226" s="295"/>
      <c r="AI226" s="291"/>
      <c r="AJ226" s="295"/>
      <c r="AK226" s="291"/>
      <c r="AL226" s="291"/>
      <c r="AM226" s="291"/>
      <c r="AN226" s="296">
        <v>35000</v>
      </c>
      <c r="AO226" s="296">
        <v>30000</v>
      </c>
      <c r="AP226" s="296"/>
      <c r="AQ226" s="296"/>
      <c r="AR226" s="296"/>
      <c r="AS226" s="296">
        <f t="shared" si="60"/>
        <v>65000</v>
      </c>
      <c r="AT226" s="297">
        <f t="shared" si="61"/>
        <v>-65000</v>
      </c>
      <c r="AU226" s="297">
        <f t="shared" si="58"/>
        <v>-65000</v>
      </c>
      <c r="AV226" s="297">
        <f t="shared" si="59"/>
        <v>0</v>
      </c>
      <c r="AW226" s="297">
        <f t="shared" si="62"/>
        <v>-32500</v>
      </c>
      <c r="AX226" s="297">
        <f t="shared" si="63"/>
        <v>-29250</v>
      </c>
      <c r="AY226" s="298">
        <v>50000</v>
      </c>
      <c r="AZ226" s="298"/>
      <c r="BA226" s="297">
        <f t="shared" si="64"/>
        <v>-79250</v>
      </c>
      <c r="BB226" s="278"/>
      <c r="BC226" s="255"/>
      <c r="BD226" s="255"/>
    </row>
    <row r="227" spans="1:56" s="256" customFormat="1" ht="20" hidden="1" customHeight="1">
      <c r="A227" s="260">
        <v>227</v>
      </c>
      <c r="B227" s="277"/>
      <c r="C227" s="278"/>
      <c r="D227" s="278"/>
      <c r="E227" s="278"/>
      <c r="F227" s="278"/>
      <c r="G227" s="279"/>
      <c r="H227" s="280"/>
      <c r="I227" s="280"/>
      <c r="J227" s="281"/>
      <c r="K227" s="282"/>
      <c r="L227" s="282"/>
      <c r="M227" s="339"/>
      <c r="N227" s="278"/>
      <c r="O227" s="278"/>
      <c r="P227" s="283"/>
      <c r="Q227" s="278"/>
      <c r="R227" s="284"/>
      <c r="S227" s="282"/>
      <c r="T227" s="285"/>
      <c r="U227" s="286"/>
      <c r="V227" s="287"/>
      <c r="W227" s="288"/>
      <c r="X227" s="286"/>
      <c r="Y227" s="289"/>
      <c r="Z227" s="289"/>
      <c r="AA227" s="290"/>
      <c r="AB227" s="291">
        <f t="shared" si="65"/>
        <v>0</v>
      </c>
      <c r="AC227" s="292">
        <f t="shared" si="57"/>
        <v>0</v>
      </c>
      <c r="AD227" s="293"/>
      <c r="AE227" s="293"/>
      <c r="AF227" s="294"/>
      <c r="AG227" s="291"/>
      <c r="AH227" s="295"/>
      <c r="AI227" s="291"/>
      <c r="AJ227" s="295"/>
      <c r="AK227" s="291"/>
      <c r="AL227" s="291"/>
      <c r="AM227" s="291"/>
      <c r="AN227" s="296">
        <v>35000</v>
      </c>
      <c r="AO227" s="296">
        <v>30000</v>
      </c>
      <c r="AP227" s="296"/>
      <c r="AQ227" s="296"/>
      <c r="AR227" s="296"/>
      <c r="AS227" s="296">
        <f t="shared" si="60"/>
        <v>65000</v>
      </c>
      <c r="AT227" s="297">
        <f t="shared" si="61"/>
        <v>-65000</v>
      </c>
      <c r="AU227" s="297">
        <f t="shared" si="58"/>
        <v>-65000</v>
      </c>
      <c r="AV227" s="297">
        <f t="shared" si="59"/>
        <v>0</v>
      </c>
      <c r="AW227" s="297">
        <f t="shared" si="62"/>
        <v>-32500</v>
      </c>
      <c r="AX227" s="297">
        <f t="shared" si="63"/>
        <v>-29250</v>
      </c>
      <c r="AY227" s="298">
        <v>50000</v>
      </c>
      <c r="AZ227" s="298"/>
      <c r="BA227" s="297">
        <f t="shared" si="64"/>
        <v>-79250</v>
      </c>
      <c r="BB227" s="278"/>
      <c r="BC227" s="255"/>
      <c r="BD227" s="255"/>
    </row>
    <row r="228" spans="1:56" s="256" customFormat="1" ht="20" hidden="1" customHeight="1">
      <c r="A228" s="260">
        <v>228</v>
      </c>
      <c r="B228" s="277"/>
      <c r="C228" s="278"/>
      <c r="D228" s="278"/>
      <c r="E228" s="278"/>
      <c r="F228" s="278"/>
      <c r="G228" s="279"/>
      <c r="H228" s="280"/>
      <c r="I228" s="280"/>
      <c r="J228" s="281"/>
      <c r="K228" s="282"/>
      <c r="L228" s="282"/>
      <c r="M228" s="339"/>
      <c r="N228" s="278"/>
      <c r="O228" s="278"/>
      <c r="P228" s="283"/>
      <c r="Q228" s="278"/>
      <c r="R228" s="284"/>
      <c r="S228" s="282"/>
      <c r="T228" s="285"/>
      <c r="U228" s="286"/>
      <c r="V228" s="287"/>
      <c r="W228" s="288"/>
      <c r="X228" s="286"/>
      <c r="Y228" s="289"/>
      <c r="Z228" s="289"/>
      <c r="AA228" s="290"/>
      <c r="AB228" s="291">
        <f t="shared" si="65"/>
        <v>0</v>
      </c>
      <c r="AC228" s="292">
        <f t="shared" si="57"/>
        <v>0</v>
      </c>
      <c r="AD228" s="293"/>
      <c r="AE228" s="293"/>
      <c r="AF228" s="294"/>
      <c r="AG228" s="291"/>
      <c r="AH228" s="295"/>
      <c r="AI228" s="291"/>
      <c r="AJ228" s="295"/>
      <c r="AK228" s="291"/>
      <c r="AL228" s="291"/>
      <c r="AM228" s="291"/>
      <c r="AN228" s="296">
        <v>35000</v>
      </c>
      <c r="AO228" s="296">
        <v>30000</v>
      </c>
      <c r="AP228" s="296"/>
      <c r="AQ228" s="296"/>
      <c r="AR228" s="296"/>
      <c r="AS228" s="296">
        <f t="shared" si="60"/>
        <v>65000</v>
      </c>
      <c r="AT228" s="297">
        <f t="shared" si="61"/>
        <v>-65000</v>
      </c>
      <c r="AU228" s="297">
        <f t="shared" si="58"/>
        <v>-65000</v>
      </c>
      <c r="AV228" s="297">
        <f t="shared" si="59"/>
        <v>0</v>
      </c>
      <c r="AW228" s="297">
        <f t="shared" si="62"/>
        <v>-32500</v>
      </c>
      <c r="AX228" s="297">
        <f t="shared" si="63"/>
        <v>-29250</v>
      </c>
      <c r="AY228" s="298">
        <v>50000</v>
      </c>
      <c r="AZ228" s="298"/>
      <c r="BA228" s="297">
        <f t="shared" si="64"/>
        <v>-79250</v>
      </c>
      <c r="BB228" s="278"/>
      <c r="BC228" s="255"/>
      <c r="BD228" s="255"/>
    </row>
    <row r="229" spans="1:56" s="256" customFormat="1" ht="20" hidden="1" customHeight="1">
      <c r="A229" s="260">
        <v>229</v>
      </c>
      <c r="B229" s="277"/>
      <c r="C229" s="278"/>
      <c r="D229" s="278"/>
      <c r="E229" s="278"/>
      <c r="F229" s="278"/>
      <c r="G229" s="279"/>
      <c r="H229" s="280"/>
      <c r="I229" s="280"/>
      <c r="J229" s="281"/>
      <c r="K229" s="282"/>
      <c r="L229" s="282"/>
      <c r="M229" s="339"/>
      <c r="N229" s="278"/>
      <c r="O229" s="278"/>
      <c r="P229" s="283"/>
      <c r="Q229" s="278"/>
      <c r="R229" s="284"/>
      <c r="S229" s="282"/>
      <c r="T229" s="285"/>
      <c r="U229" s="286"/>
      <c r="V229" s="287"/>
      <c r="W229" s="288"/>
      <c r="X229" s="286"/>
      <c r="Y229" s="289"/>
      <c r="Z229" s="289"/>
      <c r="AA229" s="290"/>
      <c r="AB229" s="291">
        <f t="shared" si="65"/>
        <v>0</v>
      </c>
      <c r="AC229" s="292">
        <f t="shared" si="57"/>
        <v>0</v>
      </c>
      <c r="AD229" s="293"/>
      <c r="AE229" s="293"/>
      <c r="AF229" s="294"/>
      <c r="AG229" s="291"/>
      <c r="AH229" s="295"/>
      <c r="AI229" s="291"/>
      <c r="AJ229" s="295"/>
      <c r="AK229" s="291"/>
      <c r="AL229" s="291"/>
      <c r="AM229" s="291"/>
      <c r="AN229" s="296">
        <v>35000</v>
      </c>
      <c r="AO229" s="296">
        <v>30000</v>
      </c>
      <c r="AP229" s="296"/>
      <c r="AQ229" s="296"/>
      <c r="AR229" s="296"/>
      <c r="AS229" s="296">
        <f t="shared" si="60"/>
        <v>65000</v>
      </c>
      <c r="AT229" s="297">
        <f t="shared" si="61"/>
        <v>-65000</v>
      </c>
      <c r="AU229" s="297">
        <f t="shared" si="58"/>
        <v>-65000</v>
      </c>
      <c r="AV229" s="297">
        <f t="shared" si="59"/>
        <v>0</v>
      </c>
      <c r="AW229" s="297">
        <f t="shared" si="62"/>
        <v>-32500</v>
      </c>
      <c r="AX229" s="297">
        <f t="shared" si="63"/>
        <v>-29250</v>
      </c>
      <c r="AY229" s="298">
        <v>50000</v>
      </c>
      <c r="AZ229" s="298"/>
      <c r="BA229" s="297">
        <f t="shared" si="64"/>
        <v>-79250</v>
      </c>
      <c r="BB229" s="278"/>
      <c r="BC229" s="255"/>
      <c r="BD229" s="255"/>
    </row>
    <row r="230" spans="1:56" s="256" customFormat="1" ht="20" hidden="1" customHeight="1">
      <c r="A230" s="260">
        <v>230</v>
      </c>
      <c r="B230" s="277"/>
      <c r="C230" s="278"/>
      <c r="D230" s="278"/>
      <c r="E230" s="278"/>
      <c r="F230" s="278"/>
      <c r="G230" s="279"/>
      <c r="H230" s="280"/>
      <c r="I230" s="280"/>
      <c r="J230" s="281"/>
      <c r="K230" s="282"/>
      <c r="L230" s="282"/>
      <c r="M230" s="339"/>
      <c r="N230" s="278"/>
      <c r="O230" s="278"/>
      <c r="P230" s="283"/>
      <c r="Q230" s="278"/>
      <c r="R230" s="284"/>
      <c r="S230" s="282"/>
      <c r="T230" s="285"/>
      <c r="U230" s="286"/>
      <c r="V230" s="287"/>
      <c r="W230" s="288"/>
      <c r="X230" s="286"/>
      <c r="Y230" s="289"/>
      <c r="Z230" s="289"/>
      <c r="AA230" s="290"/>
      <c r="AB230" s="291">
        <f t="shared" si="65"/>
        <v>0</v>
      </c>
      <c r="AC230" s="292">
        <f t="shared" si="57"/>
        <v>0</v>
      </c>
      <c r="AD230" s="293"/>
      <c r="AE230" s="293"/>
      <c r="AF230" s="294"/>
      <c r="AG230" s="291"/>
      <c r="AH230" s="295"/>
      <c r="AI230" s="291"/>
      <c r="AJ230" s="295"/>
      <c r="AK230" s="291"/>
      <c r="AL230" s="291"/>
      <c r="AM230" s="291"/>
      <c r="AN230" s="296">
        <v>35000</v>
      </c>
      <c r="AO230" s="296">
        <v>30000</v>
      </c>
      <c r="AP230" s="296"/>
      <c r="AQ230" s="296"/>
      <c r="AR230" s="296"/>
      <c r="AS230" s="296">
        <f t="shared" si="60"/>
        <v>65000</v>
      </c>
      <c r="AT230" s="297">
        <f t="shared" si="61"/>
        <v>-65000</v>
      </c>
      <c r="AU230" s="297">
        <f t="shared" si="58"/>
        <v>-65000</v>
      </c>
      <c r="AV230" s="297">
        <f t="shared" si="59"/>
        <v>0</v>
      </c>
      <c r="AW230" s="297">
        <f t="shared" si="62"/>
        <v>-32500</v>
      </c>
      <c r="AX230" s="297">
        <f t="shared" si="63"/>
        <v>-29250</v>
      </c>
      <c r="AY230" s="298">
        <v>50000</v>
      </c>
      <c r="AZ230" s="298"/>
      <c r="BA230" s="297">
        <f t="shared" si="64"/>
        <v>-79250</v>
      </c>
      <c r="BB230" s="278"/>
      <c r="BC230" s="255"/>
      <c r="BD230" s="255"/>
    </row>
    <row r="231" spans="1:56" s="256" customFormat="1" ht="20" hidden="1" customHeight="1">
      <c r="A231" s="260">
        <v>231</v>
      </c>
      <c r="B231" s="277"/>
      <c r="C231" s="278"/>
      <c r="D231" s="278"/>
      <c r="E231" s="278"/>
      <c r="F231" s="278"/>
      <c r="G231" s="279"/>
      <c r="H231" s="280"/>
      <c r="I231" s="280"/>
      <c r="J231" s="281"/>
      <c r="K231" s="282"/>
      <c r="L231" s="282"/>
      <c r="M231" s="339"/>
      <c r="N231" s="278"/>
      <c r="O231" s="278"/>
      <c r="P231" s="283"/>
      <c r="Q231" s="278"/>
      <c r="R231" s="284"/>
      <c r="S231" s="282"/>
      <c r="T231" s="285"/>
      <c r="U231" s="286"/>
      <c r="V231" s="287"/>
      <c r="W231" s="288"/>
      <c r="X231" s="286"/>
      <c r="Y231" s="289"/>
      <c r="Z231" s="289"/>
      <c r="AA231" s="290"/>
      <c r="AB231" s="291">
        <f t="shared" si="65"/>
        <v>0</v>
      </c>
      <c r="AC231" s="292">
        <f t="shared" si="57"/>
        <v>0</v>
      </c>
      <c r="AD231" s="293"/>
      <c r="AE231" s="293"/>
      <c r="AF231" s="294"/>
      <c r="AG231" s="291"/>
      <c r="AH231" s="295"/>
      <c r="AI231" s="291"/>
      <c r="AJ231" s="295"/>
      <c r="AK231" s="291"/>
      <c r="AL231" s="291"/>
      <c r="AM231" s="291"/>
      <c r="AN231" s="296">
        <v>35000</v>
      </c>
      <c r="AO231" s="296">
        <v>30000</v>
      </c>
      <c r="AP231" s="296"/>
      <c r="AQ231" s="296"/>
      <c r="AR231" s="296"/>
      <c r="AS231" s="296">
        <f t="shared" si="60"/>
        <v>65000</v>
      </c>
      <c r="AT231" s="297">
        <f t="shared" si="61"/>
        <v>-65000</v>
      </c>
      <c r="AU231" s="297">
        <f t="shared" si="58"/>
        <v>-65000</v>
      </c>
      <c r="AV231" s="297">
        <f t="shared" si="59"/>
        <v>0</v>
      </c>
      <c r="AW231" s="297">
        <f t="shared" si="62"/>
        <v>-32500</v>
      </c>
      <c r="AX231" s="297">
        <f t="shared" si="63"/>
        <v>-29250</v>
      </c>
      <c r="AY231" s="298">
        <v>50000</v>
      </c>
      <c r="AZ231" s="298"/>
      <c r="BA231" s="297">
        <f t="shared" si="64"/>
        <v>-79250</v>
      </c>
      <c r="BB231" s="278"/>
      <c r="BC231" s="255"/>
      <c r="BD231" s="255"/>
    </row>
    <row r="232" spans="1:56" s="256" customFormat="1" ht="20" hidden="1" customHeight="1">
      <c r="A232" s="260">
        <v>232</v>
      </c>
      <c r="B232" s="277"/>
      <c r="C232" s="278"/>
      <c r="D232" s="278"/>
      <c r="E232" s="278"/>
      <c r="F232" s="278"/>
      <c r="G232" s="279"/>
      <c r="H232" s="280"/>
      <c r="I232" s="280"/>
      <c r="J232" s="281"/>
      <c r="K232" s="282"/>
      <c r="L232" s="282"/>
      <c r="M232" s="339"/>
      <c r="N232" s="278"/>
      <c r="O232" s="278"/>
      <c r="P232" s="283"/>
      <c r="Q232" s="278"/>
      <c r="R232" s="284"/>
      <c r="S232" s="282"/>
      <c r="T232" s="285"/>
      <c r="U232" s="286"/>
      <c r="V232" s="287"/>
      <c r="W232" s="288"/>
      <c r="X232" s="286"/>
      <c r="Y232" s="289"/>
      <c r="Z232" s="289"/>
      <c r="AA232" s="290"/>
      <c r="AB232" s="291">
        <f t="shared" si="65"/>
        <v>0</v>
      </c>
      <c r="AC232" s="292">
        <f t="shared" si="57"/>
        <v>0</v>
      </c>
      <c r="AD232" s="293"/>
      <c r="AE232" s="293"/>
      <c r="AF232" s="294"/>
      <c r="AG232" s="291"/>
      <c r="AH232" s="295"/>
      <c r="AI232" s="291"/>
      <c r="AJ232" s="295"/>
      <c r="AK232" s="291"/>
      <c r="AL232" s="291"/>
      <c r="AM232" s="291"/>
      <c r="AN232" s="296">
        <v>35000</v>
      </c>
      <c r="AO232" s="296">
        <v>30000</v>
      </c>
      <c r="AP232" s="296"/>
      <c r="AQ232" s="296"/>
      <c r="AR232" s="296"/>
      <c r="AS232" s="296">
        <f t="shared" si="60"/>
        <v>65000</v>
      </c>
      <c r="AT232" s="297">
        <f t="shared" si="61"/>
        <v>-65000</v>
      </c>
      <c r="AU232" s="297">
        <f t="shared" si="58"/>
        <v>-65000</v>
      </c>
      <c r="AV232" s="297">
        <f t="shared" si="59"/>
        <v>0</v>
      </c>
      <c r="AW232" s="297">
        <f t="shared" si="62"/>
        <v>-32500</v>
      </c>
      <c r="AX232" s="297">
        <f t="shared" si="63"/>
        <v>-29250</v>
      </c>
      <c r="AY232" s="298">
        <v>50000</v>
      </c>
      <c r="AZ232" s="298"/>
      <c r="BA232" s="297">
        <f t="shared" si="64"/>
        <v>-79250</v>
      </c>
      <c r="BB232" s="278"/>
      <c r="BC232" s="255"/>
      <c r="BD232" s="255"/>
    </row>
    <row r="233" spans="1:56" s="256" customFormat="1" ht="20" hidden="1" customHeight="1">
      <c r="A233" s="260">
        <v>233</v>
      </c>
      <c r="B233" s="277"/>
      <c r="C233" s="278"/>
      <c r="D233" s="278"/>
      <c r="E233" s="278"/>
      <c r="F233" s="278"/>
      <c r="G233" s="279"/>
      <c r="H233" s="280"/>
      <c r="I233" s="280"/>
      <c r="J233" s="281"/>
      <c r="K233" s="282"/>
      <c r="L233" s="282"/>
      <c r="M233" s="339"/>
      <c r="N233" s="278"/>
      <c r="O233" s="278"/>
      <c r="P233" s="283"/>
      <c r="Q233" s="278"/>
      <c r="R233" s="284"/>
      <c r="S233" s="282"/>
      <c r="T233" s="285"/>
      <c r="U233" s="286"/>
      <c r="V233" s="287"/>
      <c r="W233" s="288"/>
      <c r="X233" s="286"/>
      <c r="Y233" s="289"/>
      <c r="Z233" s="289"/>
      <c r="AA233" s="290"/>
      <c r="AB233" s="291">
        <f t="shared" si="65"/>
        <v>0</v>
      </c>
      <c r="AC233" s="292">
        <f t="shared" si="57"/>
        <v>0</v>
      </c>
      <c r="AD233" s="293"/>
      <c r="AE233" s="293"/>
      <c r="AF233" s="294"/>
      <c r="AG233" s="291"/>
      <c r="AH233" s="295"/>
      <c r="AI233" s="291"/>
      <c r="AJ233" s="295"/>
      <c r="AK233" s="291"/>
      <c r="AL233" s="291"/>
      <c r="AM233" s="291"/>
      <c r="AN233" s="296">
        <v>35000</v>
      </c>
      <c r="AO233" s="296">
        <v>30000</v>
      </c>
      <c r="AP233" s="296"/>
      <c r="AQ233" s="296"/>
      <c r="AR233" s="296"/>
      <c r="AS233" s="296">
        <f t="shared" si="60"/>
        <v>65000</v>
      </c>
      <c r="AT233" s="297">
        <f t="shared" si="61"/>
        <v>-65000</v>
      </c>
      <c r="AU233" s="297">
        <f t="shared" si="58"/>
        <v>-65000</v>
      </c>
      <c r="AV233" s="297">
        <f t="shared" si="59"/>
        <v>0</v>
      </c>
      <c r="AW233" s="297">
        <f t="shared" si="62"/>
        <v>-32500</v>
      </c>
      <c r="AX233" s="297">
        <f t="shared" si="63"/>
        <v>-29250</v>
      </c>
      <c r="AY233" s="298">
        <v>50000</v>
      </c>
      <c r="AZ233" s="298"/>
      <c r="BA233" s="297">
        <f t="shared" si="64"/>
        <v>-79250</v>
      </c>
      <c r="BB233" s="278"/>
      <c r="BC233" s="255"/>
      <c r="BD233" s="255"/>
    </row>
    <row r="234" spans="1:56" s="256" customFormat="1" ht="20" hidden="1" customHeight="1">
      <c r="A234" s="260">
        <v>234</v>
      </c>
      <c r="B234" s="277"/>
      <c r="C234" s="278"/>
      <c r="D234" s="278"/>
      <c r="E234" s="278"/>
      <c r="F234" s="278"/>
      <c r="G234" s="279"/>
      <c r="H234" s="280"/>
      <c r="I234" s="280"/>
      <c r="J234" s="281"/>
      <c r="K234" s="282"/>
      <c r="L234" s="282"/>
      <c r="M234" s="339"/>
      <c r="N234" s="278"/>
      <c r="O234" s="278"/>
      <c r="P234" s="283"/>
      <c r="Q234" s="278"/>
      <c r="R234" s="284"/>
      <c r="S234" s="282"/>
      <c r="T234" s="285"/>
      <c r="U234" s="286"/>
      <c r="V234" s="287"/>
      <c r="W234" s="288"/>
      <c r="X234" s="286"/>
      <c r="Y234" s="289"/>
      <c r="Z234" s="289"/>
      <c r="AA234" s="290"/>
      <c r="AB234" s="291">
        <f t="shared" si="65"/>
        <v>0</v>
      </c>
      <c r="AC234" s="292">
        <f t="shared" si="57"/>
        <v>0</v>
      </c>
      <c r="AD234" s="293"/>
      <c r="AE234" s="293"/>
      <c r="AF234" s="294"/>
      <c r="AG234" s="291"/>
      <c r="AH234" s="295"/>
      <c r="AI234" s="291"/>
      <c r="AJ234" s="295"/>
      <c r="AK234" s="291"/>
      <c r="AL234" s="291"/>
      <c r="AM234" s="291"/>
      <c r="AN234" s="296">
        <v>35000</v>
      </c>
      <c r="AO234" s="296">
        <v>30000</v>
      </c>
      <c r="AP234" s="296"/>
      <c r="AQ234" s="296"/>
      <c r="AR234" s="296"/>
      <c r="AS234" s="296">
        <f t="shared" si="60"/>
        <v>65000</v>
      </c>
      <c r="AT234" s="297">
        <f t="shared" si="61"/>
        <v>-65000</v>
      </c>
      <c r="AU234" s="297">
        <f t="shared" si="58"/>
        <v>-65000</v>
      </c>
      <c r="AV234" s="297">
        <f t="shared" si="59"/>
        <v>0</v>
      </c>
      <c r="AW234" s="297">
        <f t="shared" si="62"/>
        <v>-32500</v>
      </c>
      <c r="AX234" s="297">
        <f t="shared" si="63"/>
        <v>-29250</v>
      </c>
      <c r="AY234" s="298">
        <v>50000</v>
      </c>
      <c r="AZ234" s="298"/>
      <c r="BA234" s="297">
        <f t="shared" si="64"/>
        <v>-79250</v>
      </c>
      <c r="BB234" s="278"/>
      <c r="BC234" s="255"/>
      <c r="BD234" s="255"/>
    </row>
    <row r="235" spans="1:56" s="256" customFormat="1" ht="20" hidden="1" customHeight="1">
      <c r="A235" s="260">
        <v>235</v>
      </c>
      <c r="B235" s="277"/>
      <c r="C235" s="278"/>
      <c r="D235" s="278"/>
      <c r="E235" s="278"/>
      <c r="F235" s="278"/>
      <c r="G235" s="279"/>
      <c r="H235" s="280"/>
      <c r="I235" s="280"/>
      <c r="J235" s="281"/>
      <c r="K235" s="282"/>
      <c r="L235" s="282"/>
      <c r="M235" s="339"/>
      <c r="N235" s="278"/>
      <c r="O235" s="278"/>
      <c r="P235" s="283"/>
      <c r="Q235" s="278"/>
      <c r="R235" s="284"/>
      <c r="S235" s="282"/>
      <c r="T235" s="285"/>
      <c r="U235" s="286"/>
      <c r="V235" s="287"/>
      <c r="W235" s="288"/>
      <c r="X235" s="286"/>
      <c r="Y235" s="289"/>
      <c r="Z235" s="289"/>
      <c r="AA235" s="290"/>
      <c r="AB235" s="291">
        <f t="shared" si="65"/>
        <v>0</v>
      </c>
      <c r="AC235" s="292">
        <f t="shared" si="57"/>
        <v>0</v>
      </c>
      <c r="AD235" s="293"/>
      <c r="AE235" s="293"/>
      <c r="AF235" s="294"/>
      <c r="AG235" s="291"/>
      <c r="AH235" s="295"/>
      <c r="AI235" s="291"/>
      <c r="AJ235" s="295"/>
      <c r="AK235" s="291"/>
      <c r="AL235" s="291"/>
      <c r="AM235" s="291"/>
      <c r="AN235" s="296">
        <v>35000</v>
      </c>
      <c r="AO235" s="296">
        <v>30000</v>
      </c>
      <c r="AP235" s="296"/>
      <c r="AQ235" s="296"/>
      <c r="AR235" s="296"/>
      <c r="AS235" s="296">
        <f t="shared" si="60"/>
        <v>65000</v>
      </c>
      <c r="AT235" s="297">
        <f t="shared" si="61"/>
        <v>-65000</v>
      </c>
      <c r="AU235" s="297">
        <f t="shared" si="58"/>
        <v>-65000</v>
      </c>
      <c r="AV235" s="297">
        <f t="shared" si="59"/>
        <v>0</v>
      </c>
      <c r="AW235" s="297">
        <f t="shared" si="62"/>
        <v>-32500</v>
      </c>
      <c r="AX235" s="297">
        <f t="shared" si="63"/>
        <v>-29250</v>
      </c>
      <c r="AY235" s="298">
        <v>50000</v>
      </c>
      <c r="AZ235" s="298"/>
      <c r="BA235" s="297">
        <f t="shared" si="64"/>
        <v>-79250</v>
      </c>
      <c r="BB235" s="278"/>
      <c r="BC235" s="255"/>
      <c r="BD235" s="255"/>
    </row>
    <row r="236" spans="1:56" s="256" customFormat="1" ht="20" hidden="1" customHeight="1">
      <c r="A236" s="260">
        <v>236</v>
      </c>
      <c r="B236" s="277"/>
      <c r="C236" s="278"/>
      <c r="D236" s="278"/>
      <c r="E236" s="278"/>
      <c r="F236" s="278"/>
      <c r="G236" s="279"/>
      <c r="H236" s="280"/>
      <c r="I236" s="280"/>
      <c r="J236" s="281"/>
      <c r="K236" s="282"/>
      <c r="L236" s="282"/>
      <c r="M236" s="339"/>
      <c r="N236" s="278"/>
      <c r="O236" s="278"/>
      <c r="P236" s="283"/>
      <c r="Q236" s="278"/>
      <c r="R236" s="284"/>
      <c r="S236" s="282"/>
      <c r="T236" s="285"/>
      <c r="U236" s="286"/>
      <c r="V236" s="287"/>
      <c r="W236" s="288"/>
      <c r="X236" s="286"/>
      <c r="Y236" s="289"/>
      <c r="Z236" s="289"/>
      <c r="AA236" s="290"/>
      <c r="AB236" s="291">
        <f t="shared" si="65"/>
        <v>0</v>
      </c>
      <c r="AC236" s="292">
        <f t="shared" si="57"/>
        <v>0</v>
      </c>
      <c r="AD236" s="293"/>
      <c r="AE236" s="293"/>
      <c r="AF236" s="294"/>
      <c r="AG236" s="291"/>
      <c r="AH236" s="295"/>
      <c r="AI236" s="291"/>
      <c r="AJ236" s="295"/>
      <c r="AK236" s="291"/>
      <c r="AL236" s="291"/>
      <c r="AM236" s="291"/>
      <c r="AN236" s="296">
        <v>35000</v>
      </c>
      <c r="AO236" s="296">
        <v>30000</v>
      </c>
      <c r="AP236" s="296"/>
      <c r="AQ236" s="296"/>
      <c r="AR236" s="296"/>
      <c r="AS236" s="296">
        <f t="shared" si="60"/>
        <v>65000</v>
      </c>
      <c r="AT236" s="297">
        <f t="shared" si="61"/>
        <v>-65000</v>
      </c>
      <c r="AU236" s="297">
        <f t="shared" si="58"/>
        <v>-65000</v>
      </c>
      <c r="AV236" s="297">
        <f t="shared" si="59"/>
        <v>0</v>
      </c>
      <c r="AW236" s="297">
        <f t="shared" si="62"/>
        <v>-32500</v>
      </c>
      <c r="AX236" s="297">
        <f t="shared" si="63"/>
        <v>-29250</v>
      </c>
      <c r="AY236" s="298">
        <v>50000</v>
      </c>
      <c r="AZ236" s="298"/>
      <c r="BA236" s="297">
        <f t="shared" si="64"/>
        <v>-79250</v>
      </c>
      <c r="BB236" s="278"/>
      <c r="BC236" s="255"/>
      <c r="BD236" s="255"/>
    </row>
    <row r="237" spans="1:56" s="256" customFormat="1" ht="20" hidden="1" customHeight="1">
      <c r="A237" s="260">
        <v>237</v>
      </c>
      <c r="B237" s="277"/>
      <c r="C237" s="278"/>
      <c r="D237" s="278"/>
      <c r="E237" s="278"/>
      <c r="F237" s="278"/>
      <c r="G237" s="279"/>
      <c r="H237" s="280"/>
      <c r="I237" s="280"/>
      <c r="J237" s="281"/>
      <c r="K237" s="282"/>
      <c r="L237" s="282"/>
      <c r="M237" s="339"/>
      <c r="N237" s="278"/>
      <c r="O237" s="278"/>
      <c r="P237" s="283"/>
      <c r="Q237" s="278"/>
      <c r="R237" s="284"/>
      <c r="S237" s="282"/>
      <c r="T237" s="285"/>
      <c r="U237" s="286"/>
      <c r="V237" s="287"/>
      <c r="W237" s="288"/>
      <c r="X237" s="286"/>
      <c r="Y237" s="289"/>
      <c r="Z237" s="289"/>
      <c r="AA237" s="290"/>
      <c r="AB237" s="291">
        <f t="shared" si="65"/>
        <v>0</v>
      </c>
      <c r="AC237" s="292">
        <f t="shared" si="57"/>
        <v>0</v>
      </c>
      <c r="AD237" s="293"/>
      <c r="AE237" s="293"/>
      <c r="AF237" s="294"/>
      <c r="AG237" s="291"/>
      <c r="AH237" s="295"/>
      <c r="AI237" s="291"/>
      <c r="AJ237" s="295"/>
      <c r="AK237" s="291"/>
      <c r="AL237" s="291"/>
      <c r="AM237" s="291"/>
      <c r="AN237" s="296">
        <v>35000</v>
      </c>
      <c r="AO237" s="296">
        <v>30000</v>
      </c>
      <c r="AP237" s="296"/>
      <c r="AQ237" s="296"/>
      <c r="AR237" s="296"/>
      <c r="AS237" s="296">
        <f t="shared" si="60"/>
        <v>65000</v>
      </c>
      <c r="AT237" s="297">
        <f t="shared" si="61"/>
        <v>-65000</v>
      </c>
      <c r="AU237" s="297">
        <f t="shared" si="58"/>
        <v>-65000</v>
      </c>
      <c r="AV237" s="297">
        <f t="shared" si="59"/>
        <v>0</v>
      </c>
      <c r="AW237" s="297">
        <f t="shared" si="62"/>
        <v>-32500</v>
      </c>
      <c r="AX237" s="297">
        <f t="shared" si="63"/>
        <v>-29250</v>
      </c>
      <c r="AY237" s="298">
        <v>50000</v>
      </c>
      <c r="AZ237" s="298"/>
      <c r="BA237" s="297">
        <f t="shared" si="64"/>
        <v>-79250</v>
      </c>
      <c r="BB237" s="278"/>
      <c r="BC237" s="255"/>
      <c r="BD237" s="255"/>
    </row>
    <row r="238" spans="1:56" s="256" customFormat="1" ht="20" hidden="1" customHeight="1">
      <c r="A238" s="260">
        <v>238</v>
      </c>
      <c r="B238" s="277"/>
      <c r="C238" s="278"/>
      <c r="D238" s="278"/>
      <c r="E238" s="278"/>
      <c r="F238" s="278"/>
      <c r="G238" s="279"/>
      <c r="H238" s="280"/>
      <c r="I238" s="280"/>
      <c r="J238" s="281"/>
      <c r="K238" s="282"/>
      <c r="L238" s="282"/>
      <c r="M238" s="339"/>
      <c r="N238" s="278"/>
      <c r="O238" s="278"/>
      <c r="P238" s="283"/>
      <c r="Q238" s="278"/>
      <c r="R238" s="284"/>
      <c r="S238" s="282"/>
      <c r="T238" s="285"/>
      <c r="U238" s="286"/>
      <c r="V238" s="287"/>
      <c r="W238" s="288"/>
      <c r="X238" s="286"/>
      <c r="Y238" s="289"/>
      <c r="Z238" s="289"/>
      <c r="AA238" s="290"/>
      <c r="AB238" s="291">
        <f t="shared" si="65"/>
        <v>0</v>
      </c>
      <c r="AC238" s="292">
        <f t="shared" si="57"/>
        <v>0</v>
      </c>
      <c r="AD238" s="293"/>
      <c r="AE238" s="293"/>
      <c r="AF238" s="294"/>
      <c r="AG238" s="291"/>
      <c r="AH238" s="295"/>
      <c r="AI238" s="291"/>
      <c r="AJ238" s="295"/>
      <c r="AK238" s="291"/>
      <c r="AL238" s="291"/>
      <c r="AM238" s="291"/>
      <c r="AN238" s="296">
        <v>35000</v>
      </c>
      <c r="AO238" s="296">
        <v>30000</v>
      </c>
      <c r="AP238" s="296"/>
      <c r="AQ238" s="296"/>
      <c r="AR238" s="296"/>
      <c r="AS238" s="296">
        <f t="shared" si="60"/>
        <v>65000</v>
      </c>
      <c r="AT238" s="297">
        <f t="shared" si="61"/>
        <v>-65000</v>
      </c>
      <c r="AU238" s="297">
        <f t="shared" si="58"/>
        <v>-65000</v>
      </c>
      <c r="AV238" s="297">
        <f t="shared" si="59"/>
        <v>0</v>
      </c>
      <c r="AW238" s="297">
        <f t="shared" si="62"/>
        <v>-32500</v>
      </c>
      <c r="AX238" s="297">
        <f t="shared" si="63"/>
        <v>-29250</v>
      </c>
      <c r="AY238" s="298">
        <v>50000</v>
      </c>
      <c r="AZ238" s="298"/>
      <c r="BA238" s="297">
        <f t="shared" si="64"/>
        <v>-79250</v>
      </c>
      <c r="BB238" s="278"/>
      <c r="BC238" s="255"/>
      <c r="BD238" s="255"/>
    </row>
    <row r="239" spans="1:56" s="256" customFormat="1" ht="20" hidden="1" customHeight="1">
      <c r="A239" s="260">
        <v>239</v>
      </c>
      <c r="B239" s="277"/>
      <c r="C239" s="278"/>
      <c r="D239" s="278"/>
      <c r="E239" s="278"/>
      <c r="F239" s="278"/>
      <c r="G239" s="279"/>
      <c r="H239" s="280"/>
      <c r="I239" s="280"/>
      <c r="J239" s="281"/>
      <c r="K239" s="282"/>
      <c r="L239" s="282"/>
      <c r="M239" s="339"/>
      <c r="N239" s="278"/>
      <c r="O239" s="278"/>
      <c r="P239" s="283"/>
      <c r="Q239" s="278"/>
      <c r="R239" s="284"/>
      <c r="S239" s="282"/>
      <c r="T239" s="285"/>
      <c r="U239" s="286"/>
      <c r="V239" s="287"/>
      <c r="W239" s="288"/>
      <c r="X239" s="286"/>
      <c r="Y239" s="289"/>
      <c r="Z239" s="289"/>
      <c r="AA239" s="290">
        <f t="shared" ref="AA239:AA290" si="66">SUM(T239,W239:Z239)</f>
        <v>0</v>
      </c>
      <c r="AB239" s="291">
        <f t="shared" si="65"/>
        <v>0</v>
      </c>
      <c r="AC239" s="292">
        <f t="shared" ref="AC239:AC302" si="67">SUM(AB239-AA239)</f>
        <v>0</v>
      </c>
      <c r="AD239" s="293"/>
      <c r="AE239" s="293"/>
      <c r="AF239" s="294"/>
      <c r="AG239" s="291"/>
      <c r="AH239" s="295"/>
      <c r="AI239" s="291"/>
      <c r="AJ239" s="295"/>
      <c r="AK239" s="291"/>
      <c r="AL239" s="291"/>
      <c r="AM239" s="291"/>
      <c r="AN239" s="296">
        <v>35000</v>
      </c>
      <c r="AO239" s="296">
        <v>30000</v>
      </c>
      <c r="AP239" s="296"/>
      <c r="AQ239" s="296"/>
      <c r="AR239" s="296"/>
      <c r="AS239" s="296">
        <f t="shared" si="60"/>
        <v>65000</v>
      </c>
      <c r="AT239" s="297">
        <f t="shared" si="61"/>
        <v>-65000</v>
      </c>
      <c r="AU239" s="297">
        <f t="shared" ref="AU239:AU302" si="68">SUM(AT239-J239)</f>
        <v>-65000</v>
      </c>
      <c r="AV239" s="297">
        <f t="shared" ref="AV239:AV302" si="69">SUM(0.09*H239)</f>
        <v>0</v>
      </c>
      <c r="AW239" s="297">
        <f t="shared" si="62"/>
        <v>-32500</v>
      </c>
      <c r="AX239" s="297">
        <f t="shared" si="63"/>
        <v>-29250</v>
      </c>
      <c r="AY239" s="298">
        <v>50000</v>
      </c>
      <c r="AZ239" s="298"/>
      <c r="BA239" s="297">
        <f t="shared" si="64"/>
        <v>-79250</v>
      </c>
      <c r="BB239" s="278"/>
      <c r="BC239" s="255"/>
      <c r="BD239" s="255"/>
    </row>
    <row r="240" spans="1:56" s="256" customFormat="1" ht="20" hidden="1" customHeight="1">
      <c r="A240" s="260">
        <v>240</v>
      </c>
      <c r="B240" s="277"/>
      <c r="C240" s="278"/>
      <c r="D240" s="278"/>
      <c r="E240" s="278"/>
      <c r="F240" s="278"/>
      <c r="G240" s="279" t="e">
        <f>"YB"&amp;RIGHT(#REF!,6)</f>
        <v>#REF!</v>
      </c>
      <c r="H240" s="280"/>
      <c r="I240" s="280"/>
      <c r="J240" s="281">
        <f t="shared" ref="J240:J302" si="70">H240+I240</f>
        <v>0</v>
      </c>
      <c r="K240" s="282"/>
      <c r="L240" s="282"/>
      <c r="M240" s="339"/>
      <c r="N240" s="278"/>
      <c r="O240" s="278"/>
      <c r="P240" s="283"/>
      <c r="Q240" s="278"/>
      <c r="R240" s="284"/>
      <c r="S240" s="282"/>
      <c r="T240" s="285"/>
      <c r="U240" s="286"/>
      <c r="V240" s="287"/>
      <c r="W240" s="288"/>
      <c r="X240" s="286"/>
      <c r="Y240" s="289"/>
      <c r="Z240" s="289"/>
      <c r="AA240" s="290">
        <f t="shared" si="66"/>
        <v>0</v>
      </c>
      <c r="AB240" s="291">
        <f t="shared" si="65"/>
        <v>0</v>
      </c>
      <c r="AC240" s="292">
        <f t="shared" si="67"/>
        <v>0</v>
      </c>
      <c r="AD240" s="293"/>
      <c r="AE240" s="293"/>
      <c r="AF240" s="294"/>
      <c r="AG240" s="291"/>
      <c r="AH240" s="295"/>
      <c r="AI240" s="291"/>
      <c r="AJ240" s="295"/>
      <c r="AK240" s="291"/>
      <c r="AL240" s="291"/>
      <c r="AM240" s="291"/>
      <c r="AN240" s="296">
        <v>35000</v>
      </c>
      <c r="AO240" s="296">
        <v>30000</v>
      </c>
      <c r="AP240" s="296"/>
      <c r="AQ240" s="296"/>
      <c r="AR240" s="296"/>
      <c r="AS240" s="296">
        <f t="shared" si="60"/>
        <v>65000</v>
      </c>
      <c r="AT240" s="297">
        <f t="shared" si="61"/>
        <v>-65000</v>
      </c>
      <c r="AU240" s="297">
        <f t="shared" si="68"/>
        <v>-65000</v>
      </c>
      <c r="AV240" s="297">
        <f t="shared" si="69"/>
        <v>0</v>
      </c>
      <c r="AW240" s="297">
        <f t="shared" si="62"/>
        <v>-32500</v>
      </c>
      <c r="AX240" s="297">
        <f t="shared" si="63"/>
        <v>-29250</v>
      </c>
      <c r="AY240" s="298">
        <v>50000</v>
      </c>
      <c r="AZ240" s="298"/>
      <c r="BA240" s="297">
        <f t="shared" si="64"/>
        <v>-79250</v>
      </c>
      <c r="BB240" s="278"/>
      <c r="BC240" s="255"/>
      <c r="BD240" s="255"/>
    </row>
    <row r="241" spans="1:56" s="256" customFormat="1" ht="20" hidden="1" customHeight="1">
      <c r="A241" s="260">
        <v>241</v>
      </c>
      <c r="B241" s="277"/>
      <c r="C241" s="278"/>
      <c r="D241" s="278"/>
      <c r="E241" s="278"/>
      <c r="F241" s="278"/>
      <c r="G241" s="279" t="e">
        <f>"YB"&amp;RIGHT(#REF!,6)</f>
        <v>#REF!</v>
      </c>
      <c r="H241" s="280"/>
      <c r="I241" s="280"/>
      <c r="J241" s="281">
        <f t="shared" si="70"/>
        <v>0</v>
      </c>
      <c r="K241" s="282"/>
      <c r="L241" s="282"/>
      <c r="M241" s="339"/>
      <c r="N241" s="278"/>
      <c r="O241" s="278"/>
      <c r="P241" s="283"/>
      <c r="Q241" s="278"/>
      <c r="R241" s="284"/>
      <c r="S241" s="282"/>
      <c r="T241" s="285"/>
      <c r="U241" s="286"/>
      <c r="V241" s="287"/>
      <c r="W241" s="288"/>
      <c r="X241" s="286"/>
      <c r="Y241" s="289"/>
      <c r="Z241" s="289"/>
      <c r="AA241" s="290">
        <f t="shared" si="66"/>
        <v>0</v>
      </c>
      <c r="AB241" s="291">
        <f t="shared" si="65"/>
        <v>0</v>
      </c>
      <c r="AC241" s="292">
        <f t="shared" si="67"/>
        <v>0</v>
      </c>
      <c r="AD241" s="293"/>
      <c r="AE241" s="293"/>
      <c r="AF241" s="294"/>
      <c r="AG241" s="291"/>
      <c r="AH241" s="295"/>
      <c r="AI241" s="291"/>
      <c r="AJ241" s="295"/>
      <c r="AK241" s="291"/>
      <c r="AL241" s="291"/>
      <c r="AM241" s="291"/>
      <c r="AN241" s="296">
        <v>35000</v>
      </c>
      <c r="AO241" s="296">
        <v>30000</v>
      </c>
      <c r="AP241" s="296"/>
      <c r="AQ241" s="296"/>
      <c r="AR241" s="296"/>
      <c r="AS241" s="296">
        <f t="shared" si="60"/>
        <v>65000</v>
      </c>
      <c r="AT241" s="297">
        <f t="shared" si="61"/>
        <v>-65000</v>
      </c>
      <c r="AU241" s="297">
        <f t="shared" si="68"/>
        <v>-65000</v>
      </c>
      <c r="AV241" s="297">
        <f t="shared" si="69"/>
        <v>0</v>
      </c>
      <c r="AW241" s="297">
        <f t="shared" si="62"/>
        <v>-32500</v>
      </c>
      <c r="AX241" s="297">
        <f t="shared" si="63"/>
        <v>-29250</v>
      </c>
      <c r="AY241" s="298">
        <v>50000</v>
      </c>
      <c r="AZ241" s="298"/>
      <c r="BA241" s="297">
        <f t="shared" si="64"/>
        <v>-79250</v>
      </c>
      <c r="BB241" s="278"/>
      <c r="BC241" s="255"/>
      <c r="BD241" s="255"/>
    </row>
    <row r="242" spans="1:56" s="256" customFormat="1" ht="20" hidden="1" customHeight="1">
      <c r="A242" s="260">
        <v>242</v>
      </c>
      <c r="B242" s="277"/>
      <c r="C242" s="278"/>
      <c r="D242" s="278"/>
      <c r="E242" s="278"/>
      <c r="F242" s="278"/>
      <c r="G242" s="279" t="e">
        <f>"YB"&amp;RIGHT(#REF!,6)</f>
        <v>#REF!</v>
      </c>
      <c r="H242" s="280"/>
      <c r="I242" s="280"/>
      <c r="J242" s="281">
        <f t="shared" si="70"/>
        <v>0</v>
      </c>
      <c r="K242" s="282"/>
      <c r="L242" s="282"/>
      <c r="M242" s="339"/>
      <c r="N242" s="278"/>
      <c r="O242" s="278"/>
      <c r="P242" s="283"/>
      <c r="Q242" s="278"/>
      <c r="R242" s="284"/>
      <c r="S242" s="282"/>
      <c r="T242" s="285"/>
      <c r="U242" s="286"/>
      <c r="V242" s="287"/>
      <c r="W242" s="288"/>
      <c r="X242" s="286"/>
      <c r="Y242" s="289"/>
      <c r="Z242" s="289"/>
      <c r="AA242" s="290">
        <f t="shared" si="66"/>
        <v>0</v>
      </c>
      <c r="AB242" s="291">
        <f t="shared" si="65"/>
        <v>0</v>
      </c>
      <c r="AC242" s="292">
        <f t="shared" si="67"/>
        <v>0</v>
      </c>
      <c r="AD242" s="293"/>
      <c r="AE242" s="293"/>
      <c r="AF242" s="294"/>
      <c r="AG242" s="291"/>
      <c r="AH242" s="295"/>
      <c r="AI242" s="291"/>
      <c r="AJ242" s="295"/>
      <c r="AK242" s="291"/>
      <c r="AL242" s="291"/>
      <c r="AM242" s="291"/>
      <c r="AN242" s="296">
        <v>35000</v>
      </c>
      <c r="AO242" s="296">
        <v>30000</v>
      </c>
      <c r="AP242" s="296"/>
      <c r="AQ242" s="296"/>
      <c r="AR242" s="296"/>
      <c r="AS242" s="296">
        <f t="shared" si="60"/>
        <v>65000</v>
      </c>
      <c r="AT242" s="297">
        <f t="shared" si="61"/>
        <v>-65000</v>
      </c>
      <c r="AU242" s="297">
        <f t="shared" si="68"/>
        <v>-65000</v>
      </c>
      <c r="AV242" s="297">
        <f t="shared" si="69"/>
        <v>0</v>
      </c>
      <c r="AW242" s="297">
        <f t="shared" si="62"/>
        <v>-32500</v>
      </c>
      <c r="AX242" s="297">
        <f t="shared" si="63"/>
        <v>-29250</v>
      </c>
      <c r="AY242" s="298">
        <v>50000</v>
      </c>
      <c r="AZ242" s="298"/>
      <c r="BA242" s="297">
        <f t="shared" si="64"/>
        <v>-79250</v>
      </c>
      <c r="BB242" s="278"/>
      <c r="BC242" s="255"/>
      <c r="BD242" s="255"/>
    </row>
    <row r="243" spans="1:56" s="256" customFormat="1" ht="20" hidden="1" customHeight="1">
      <c r="A243" s="260">
        <v>243</v>
      </c>
      <c r="B243" s="277"/>
      <c r="C243" s="278"/>
      <c r="D243" s="278"/>
      <c r="E243" s="278"/>
      <c r="F243" s="278"/>
      <c r="G243" s="279" t="e">
        <f>"YB"&amp;RIGHT(#REF!,6)</f>
        <v>#REF!</v>
      </c>
      <c r="H243" s="280"/>
      <c r="I243" s="280"/>
      <c r="J243" s="281">
        <f t="shared" si="70"/>
        <v>0</v>
      </c>
      <c r="K243" s="282"/>
      <c r="L243" s="282"/>
      <c r="M243" s="339"/>
      <c r="N243" s="278"/>
      <c r="O243" s="278"/>
      <c r="P243" s="283"/>
      <c r="Q243" s="278"/>
      <c r="R243" s="284"/>
      <c r="S243" s="282"/>
      <c r="T243" s="285"/>
      <c r="U243" s="286"/>
      <c r="V243" s="287"/>
      <c r="W243" s="288"/>
      <c r="X243" s="286"/>
      <c r="Y243" s="289"/>
      <c r="Z243" s="289"/>
      <c r="AA243" s="290">
        <f t="shared" si="66"/>
        <v>0</v>
      </c>
      <c r="AB243" s="291">
        <f t="shared" si="65"/>
        <v>0</v>
      </c>
      <c r="AC243" s="292">
        <f t="shared" si="67"/>
        <v>0</v>
      </c>
      <c r="AD243" s="293"/>
      <c r="AE243" s="293"/>
      <c r="AF243" s="294"/>
      <c r="AG243" s="291"/>
      <c r="AH243" s="295"/>
      <c r="AI243" s="291"/>
      <c r="AJ243" s="295"/>
      <c r="AK243" s="291"/>
      <c r="AL243" s="291"/>
      <c r="AM243" s="291"/>
      <c r="AN243" s="296">
        <v>35000</v>
      </c>
      <c r="AO243" s="296">
        <v>30000</v>
      </c>
      <c r="AP243" s="296"/>
      <c r="AQ243" s="296"/>
      <c r="AR243" s="296"/>
      <c r="AS243" s="296">
        <f t="shared" si="60"/>
        <v>65000</v>
      </c>
      <c r="AT243" s="297">
        <f t="shared" si="61"/>
        <v>-65000</v>
      </c>
      <c r="AU243" s="297">
        <f t="shared" si="68"/>
        <v>-65000</v>
      </c>
      <c r="AV243" s="297">
        <f t="shared" si="69"/>
        <v>0</v>
      </c>
      <c r="AW243" s="297">
        <f t="shared" si="62"/>
        <v>-32500</v>
      </c>
      <c r="AX243" s="297">
        <f t="shared" si="63"/>
        <v>-29250</v>
      </c>
      <c r="AY243" s="298">
        <v>50000</v>
      </c>
      <c r="AZ243" s="298"/>
      <c r="BA243" s="297">
        <f t="shared" si="64"/>
        <v>-79250</v>
      </c>
      <c r="BB243" s="278"/>
      <c r="BC243" s="255"/>
      <c r="BD243" s="255"/>
    </row>
    <row r="244" spans="1:56" s="256" customFormat="1" ht="20" hidden="1" customHeight="1">
      <c r="A244" s="260">
        <v>244</v>
      </c>
      <c r="B244" s="277"/>
      <c r="C244" s="278"/>
      <c r="D244" s="278"/>
      <c r="E244" s="278"/>
      <c r="F244" s="278"/>
      <c r="G244" s="279" t="e">
        <f>"YB"&amp;RIGHT(#REF!,6)</f>
        <v>#REF!</v>
      </c>
      <c r="H244" s="280"/>
      <c r="I244" s="280"/>
      <c r="J244" s="281">
        <f t="shared" si="70"/>
        <v>0</v>
      </c>
      <c r="K244" s="282"/>
      <c r="L244" s="282"/>
      <c r="M244" s="339"/>
      <c r="N244" s="278"/>
      <c r="O244" s="278"/>
      <c r="P244" s="283"/>
      <c r="Q244" s="278"/>
      <c r="R244" s="284"/>
      <c r="S244" s="282"/>
      <c r="T244" s="285"/>
      <c r="U244" s="286"/>
      <c r="V244" s="287"/>
      <c r="W244" s="288"/>
      <c r="X244" s="286"/>
      <c r="Y244" s="289"/>
      <c r="Z244" s="289"/>
      <c r="AA244" s="290">
        <f t="shared" si="66"/>
        <v>0</v>
      </c>
      <c r="AB244" s="291">
        <f t="shared" si="65"/>
        <v>0</v>
      </c>
      <c r="AC244" s="292">
        <f t="shared" si="67"/>
        <v>0</v>
      </c>
      <c r="AD244" s="293"/>
      <c r="AE244" s="293"/>
      <c r="AF244" s="294"/>
      <c r="AG244" s="291"/>
      <c r="AH244" s="295"/>
      <c r="AI244" s="291"/>
      <c r="AJ244" s="295"/>
      <c r="AK244" s="291"/>
      <c r="AL244" s="291"/>
      <c r="AM244" s="291"/>
      <c r="AN244" s="296">
        <v>35000</v>
      </c>
      <c r="AO244" s="296">
        <v>30000</v>
      </c>
      <c r="AP244" s="296"/>
      <c r="AQ244" s="296"/>
      <c r="AR244" s="296"/>
      <c r="AS244" s="296">
        <f t="shared" si="60"/>
        <v>65000</v>
      </c>
      <c r="AT244" s="297">
        <f t="shared" si="61"/>
        <v>-65000</v>
      </c>
      <c r="AU244" s="297">
        <f t="shared" si="68"/>
        <v>-65000</v>
      </c>
      <c r="AV244" s="297">
        <f t="shared" si="69"/>
        <v>0</v>
      </c>
      <c r="AW244" s="297">
        <f t="shared" si="62"/>
        <v>-32500</v>
      </c>
      <c r="AX244" s="297">
        <f t="shared" si="63"/>
        <v>-29250</v>
      </c>
      <c r="AY244" s="298">
        <v>50000</v>
      </c>
      <c r="AZ244" s="298"/>
      <c r="BA244" s="297">
        <f t="shared" si="64"/>
        <v>-79250</v>
      </c>
      <c r="BB244" s="278"/>
      <c r="BC244" s="255"/>
      <c r="BD244" s="255"/>
    </row>
    <row r="245" spans="1:56" s="256" customFormat="1" ht="20" hidden="1" customHeight="1">
      <c r="A245" s="260">
        <v>245</v>
      </c>
      <c r="B245" s="277"/>
      <c r="C245" s="278"/>
      <c r="D245" s="278"/>
      <c r="E245" s="278"/>
      <c r="F245" s="278"/>
      <c r="G245" s="279" t="e">
        <f>"YB"&amp;RIGHT(#REF!,6)</f>
        <v>#REF!</v>
      </c>
      <c r="H245" s="280"/>
      <c r="I245" s="280"/>
      <c r="J245" s="281">
        <f t="shared" si="70"/>
        <v>0</v>
      </c>
      <c r="K245" s="282"/>
      <c r="L245" s="282"/>
      <c r="M245" s="339"/>
      <c r="N245" s="278"/>
      <c r="O245" s="278"/>
      <c r="P245" s="283"/>
      <c r="Q245" s="278"/>
      <c r="R245" s="284"/>
      <c r="S245" s="282"/>
      <c r="T245" s="285"/>
      <c r="U245" s="286"/>
      <c r="V245" s="287"/>
      <c r="W245" s="288"/>
      <c r="X245" s="286"/>
      <c r="Y245" s="289"/>
      <c r="Z245" s="289"/>
      <c r="AA245" s="290">
        <f t="shared" si="66"/>
        <v>0</v>
      </c>
      <c r="AB245" s="291">
        <f t="shared" si="65"/>
        <v>0</v>
      </c>
      <c r="AC245" s="292">
        <f t="shared" si="67"/>
        <v>0</v>
      </c>
      <c r="AD245" s="293"/>
      <c r="AE245" s="293"/>
      <c r="AF245" s="294"/>
      <c r="AG245" s="291"/>
      <c r="AH245" s="295"/>
      <c r="AI245" s="291"/>
      <c r="AJ245" s="295"/>
      <c r="AK245" s="291"/>
      <c r="AL245" s="291"/>
      <c r="AM245" s="291"/>
      <c r="AN245" s="296">
        <v>35000</v>
      </c>
      <c r="AO245" s="296">
        <v>30000</v>
      </c>
      <c r="AP245" s="296"/>
      <c r="AQ245" s="296"/>
      <c r="AR245" s="296"/>
      <c r="AS245" s="296">
        <f t="shared" si="60"/>
        <v>65000</v>
      </c>
      <c r="AT245" s="297">
        <f t="shared" si="61"/>
        <v>-65000</v>
      </c>
      <c r="AU245" s="297">
        <f t="shared" si="68"/>
        <v>-65000</v>
      </c>
      <c r="AV245" s="297">
        <f t="shared" si="69"/>
        <v>0</v>
      </c>
      <c r="AW245" s="297">
        <f t="shared" si="62"/>
        <v>-32500</v>
      </c>
      <c r="AX245" s="297">
        <f t="shared" si="63"/>
        <v>-29250</v>
      </c>
      <c r="AY245" s="298">
        <v>50000</v>
      </c>
      <c r="AZ245" s="298"/>
      <c r="BA245" s="297">
        <f t="shared" si="64"/>
        <v>-79250</v>
      </c>
      <c r="BB245" s="278"/>
      <c r="BC245" s="255"/>
      <c r="BD245" s="255"/>
    </row>
    <row r="246" spans="1:56" s="256" customFormat="1" ht="20" hidden="1" customHeight="1">
      <c r="A246" s="260">
        <v>246</v>
      </c>
      <c r="B246" s="277"/>
      <c r="C246" s="278"/>
      <c r="D246" s="278"/>
      <c r="E246" s="278"/>
      <c r="F246" s="278"/>
      <c r="G246" s="279" t="e">
        <f>"YB"&amp;RIGHT(#REF!,6)</f>
        <v>#REF!</v>
      </c>
      <c r="H246" s="280"/>
      <c r="I246" s="280"/>
      <c r="J246" s="281">
        <f t="shared" si="70"/>
        <v>0</v>
      </c>
      <c r="K246" s="282"/>
      <c r="L246" s="282"/>
      <c r="M246" s="339"/>
      <c r="N246" s="278"/>
      <c r="O246" s="278"/>
      <c r="P246" s="283"/>
      <c r="Q246" s="278"/>
      <c r="R246" s="284"/>
      <c r="S246" s="282"/>
      <c r="T246" s="285"/>
      <c r="U246" s="286"/>
      <c r="V246" s="287"/>
      <c r="W246" s="288"/>
      <c r="X246" s="286"/>
      <c r="Y246" s="289"/>
      <c r="Z246" s="289"/>
      <c r="AA246" s="290">
        <f t="shared" si="66"/>
        <v>0</v>
      </c>
      <c r="AB246" s="291">
        <f t="shared" si="65"/>
        <v>0</v>
      </c>
      <c r="AC246" s="292">
        <f t="shared" si="67"/>
        <v>0</v>
      </c>
      <c r="AD246" s="293"/>
      <c r="AE246" s="293"/>
      <c r="AF246" s="294"/>
      <c r="AG246" s="291"/>
      <c r="AH246" s="295"/>
      <c r="AI246" s="291"/>
      <c r="AJ246" s="295"/>
      <c r="AK246" s="291"/>
      <c r="AL246" s="291"/>
      <c r="AM246" s="291"/>
      <c r="AN246" s="296">
        <v>35000</v>
      </c>
      <c r="AO246" s="296">
        <v>30000</v>
      </c>
      <c r="AP246" s="296"/>
      <c r="AQ246" s="296"/>
      <c r="AR246" s="296"/>
      <c r="AS246" s="296">
        <f t="shared" si="60"/>
        <v>65000</v>
      </c>
      <c r="AT246" s="297">
        <f t="shared" si="61"/>
        <v>-65000</v>
      </c>
      <c r="AU246" s="297">
        <f t="shared" si="68"/>
        <v>-65000</v>
      </c>
      <c r="AV246" s="297">
        <f t="shared" si="69"/>
        <v>0</v>
      </c>
      <c r="AW246" s="297">
        <f t="shared" si="62"/>
        <v>-32500</v>
      </c>
      <c r="AX246" s="297">
        <f t="shared" si="63"/>
        <v>-29250</v>
      </c>
      <c r="AY246" s="298">
        <v>50000</v>
      </c>
      <c r="AZ246" s="298"/>
      <c r="BA246" s="297">
        <f t="shared" si="64"/>
        <v>-79250</v>
      </c>
      <c r="BB246" s="278"/>
      <c r="BC246" s="255"/>
      <c r="BD246" s="255"/>
    </row>
    <row r="247" spans="1:56" s="256" customFormat="1" ht="20" hidden="1" customHeight="1">
      <c r="A247" s="260">
        <v>247</v>
      </c>
      <c r="B247" s="277"/>
      <c r="C247" s="278"/>
      <c r="D247" s="278"/>
      <c r="E247" s="278"/>
      <c r="F247" s="278"/>
      <c r="G247" s="279" t="e">
        <f>"YB"&amp;RIGHT(#REF!,6)</f>
        <v>#REF!</v>
      </c>
      <c r="H247" s="280"/>
      <c r="I247" s="280"/>
      <c r="J247" s="281">
        <f t="shared" si="70"/>
        <v>0</v>
      </c>
      <c r="K247" s="282"/>
      <c r="L247" s="282"/>
      <c r="M247" s="339"/>
      <c r="N247" s="278"/>
      <c r="O247" s="278"/>
      <c r="P247" s="283"/>
      <c r="Q247" s="278"/>
      <c r="R247" s="284"/>
      <c r="S247" s="282"/>
      <c r="T247" s="285"/>
      <c r="U247" s="286"/>
      <c r="V247" s="287"/>
      <c r="W247" s="288"/>
      <c r="X247" s="286"/>
      <c r="Y247" s="289"/>
      <c r="Z247" s="289"/>
      <c r="AA247" s="290">
        <f t="shared" si="66"/>
        <v>0</v>
      </c>
      <c r="AB247" s="291">
        <f t="shared" si="65"/>
        <v>0</v>
      </c>
      <c r="AC247" s="292">
        <f t="shared" si="67"/>
        <v>0</v>
      </c>
      <c r="AD247" s="293"/>
      <c r="AE247" s="293"/>
      <c r="AF247" s="294"/>
      <c r="AG247" s="291"/>
      <c r="AH247" s="295"/>
      <c r="AI247" s="291"/>
      <c r="AJ247" s="295"/>
      <c r="AK247" s="291"/>
      <c r="AL247" s="291"/>
      <c r="AM247" s="291"/>
      <c r="AN247" s="296">
        <v>35000</v>
      </c>
      <c r="AO247" s="296">
        <v>30000</v>
      </c>
      <c r="AP247" s="296"/>
      <c r="AQ247" s="296"/>
      <c r="AR247" s="296"/>
      <c r="AS247" s="296">
        <f t="shared" si="60"/>
        <v>65000</v>
      </c>
      <c r="AT247" s="297">
        <f t="shared" si="61"/>
        <v>-65000</v>
      </c>
      <c r="AU247" s="297">
        <f t="shared" si="68"/>
        <v>-65000</v>
      </c>
      <c r="AV247" s="297">
        <f t="shared" si="69"/>
        <v>0</v>
      </c>
      <c r="AW247" s="297">
        <f t="shared" si="62"/>
        <v>-32500</v>
      </c>
      <c r="AX247" s="297">
        <f t="shared" si="63"/>
        <v>-29250</v>
      </c>
      <c r="AY247" s="298">
        <v>50000</v>
      </c>
      <c r="AZ247" s="298"/>
      <c r="BA247" s="297">
        <f t="shared" si="64"/>
        <v>-79250</v>
      </c>
      <c r="BB247" s="278"/>
      <c r="BC247" s="255"/>
      <c r="BD247" s="255"/>
    </row>
    <row r="248" spans="1:56" s="256" customFormat="1" ht="20" hidden="1" customHeight="1">
      <c r="A248" s="260">
        <v>248</v>
      </c>
      <c r="B248" s="277"/>
      <c r="C248" s="278"/>
      <c r="D248" s="278"/>
      <c r="E248" s="278"/>
      <c r="F248" s="278"/>
      <c r="G248" s="279" t="e">
        <f>"YB"&amp;RIGHT(#REF!,6)</f>
        <v>#REF!</v>
      </c>
      <c r="H248" s="280"/>
      <c r="I248" s="280"/>
      <c r="J248" s="281">
        <f t="shared" si="70"/>
        <v>0</v>
      </c>
      <c r="K248" s="282"/>
      <c r="L248" s="282"/>
      <c r="M248" s="339"/>
      <c r="N248" s="278"/>
      <c r="O248" s="278"/>
      <c r="P248" s="283"/>
      <c r="Q248" s="278"/>
      <c r="R248" s="284"/>
      <c r="S248" s="282"/>
      <c r="T248" s="285"/>
      <c r="U248" s="286"/>
      <c r="V248" s="287"/>
      <c r="W248" s="288"/>
      <c r="X248" s="286"/>
      <c r="Y248" s="289"/>
      <c r="Z248" s="289"/>
      <c r="AA248" s="290">
        <f t="shared" si="66"/>
        <v>0</v>
      </c>
      <c r="AB248" s="291">
        <f t="shared" si="65"/>
        <v>0</v>
      </c>
      <c r="AC248" s="292">
        <f t="shared" si="67"/>
        <v>0</v>
      </c>
      <c r="AD248" s="293"/>
      <c r="AE248" s="293"/>
      <c r="AF248" s="294"/>
      <c r="AG248" s="291"/>
      <c r="AH248" s="295"/>
      <c r="AI248" s="291"/>
      <c r="AJ248" s="295"/>
      <c r="AK248" s="291"/>
      <c r="AL248" s="291"/>
      <c r="AM248" s="291"/>
      <c r="AN248" s="296">
        <v>35000</v>
      </c>
      <c r="AO248" s="296">
        <v>30000</v>
      </c>
      <c r="AP248" s="296"/>
      <c r="AQ248" s="296"/>
      <c r="AR248" s="296"/>
      <c r="AS248" s="296">
        <f t="shared" si="60"/>
        <v>65000</v>
      </c>
      <c r="AT248" s="297">
        <f t="shared" si="61"/>
        <v>-65000</v>
      </c>
      <c r="AU248" s="297">
        <f t="shared" si="68"/>
        <v>-65000</v>
      </c>
      <c r="AV248" s="297">
        <f t="shared" si="69"/>
        <v>0</v>
      </c>
      <c r="AW248" s="297">
        <f t="shared" si="62"/>
        <v>-32500</v>
      </c>
      <c r="AX248" s="297">
        <f t="shared" si="63"/>
        <v>-29250</v>
      </c>
      <c r="AY248" s="298">
        <v>50000</v>
      </c>
      <c r="AZ248" s="298"/>
      <c r="BA248" s="297">
        <f t="shared" si="64"/>
        <v>-79250</v>
      </c>
      <c r="BB248" s="278"/>
      <c r="BC248" s="255"/>
      <c r="BD248" s="255"/>
    </row>
    <row r="249" spans="1:56" s="256" customFormat="1" ht="20" hidden="1" customHeight="1">
      <c r="A249" s="260">
        <v>249</v>
      </c>
      <c r="B249" s="277"/>
      <c r="C249" s="278"/>
      <c r="D249" s="278"/>
      <c r="E249" s="278"/>
      <c r="F249" s="278"/>
      <c r="G249" s="279" t="e">
        <f>"YB"&amp;RIGHT(#REF!,6)</f>
        <v>#REF!</v>
      </c>
      <c r="H249" s="280"/>
      <c r="I249" s="280"/>
      <c r="J249" s="281">
        <f t="shared" si="70"/>
        <v>0</v>
      </c>
      <c r="K249" s="282"/>
      <c r="L249" s="282"/>
      <c r="M249" s="339"/>
      <c r="N249" s="278"/>
      <c r="O249" s="278"/>
      <c r="P249" s="283"/>
      <c r="Q249" s="278"/>
      <c r="R249" s="284"/>
      <c r="S249" s="282"/>
      <c r="T249" s="285"/>
      <c r="U249" s="286"/>
      <c r="V249" s="287"/>
      <c r="W249" s="288"/>
      <c r="X249" s="286"/>
      <c r="Y249" s="289"/>
      <c r="Z249" s="289"/>
      <c r="AA249" s="290">
        <f t="shared" si="66"/>
        <v>0</v>
      </c>
      <c r="AB249" s="291">
        <f t="shared" si="65"/>
        <v>0</v>
      </c>
      <c r="AC249" s="292">
        <f t="shared" si="67"/>
        <v>0</v>
      </c>
      <c r="AD249" s="293"/>
      <c r="AE249" s="293"/>
      <c r="AF249" s="294"/>
      <c r="AG249" s="291"/>
      <c r="AH249" s="295"/>
      <c r="AI249" s="291"/>
      <c r="AJ249" s="295"/>
      <c r="AK249" s="291"/>
      <c r="AL249" s="291"/>
      <c r="AM249" s="291"/>
      <c r="AN249" s="296">
        <v>35000</v>
      </c>
      <c r="AO249" s="296">
        <v>30000</v>
      </c>
      <c r="AP249" s="296"/>
      <c r="AQ249" s="296"/>
      <c r="AR249" s="296"/>
      <c r="AS249" s="296">
        <f t="shared" si="60"/>
        <v>65000</v>
      </c>
      <c r="AT249" s="297">
        <f t="shared" si="61"/>
        <v>-65000</v>
      </c>
      <c r="AU249" s="297">
        <f t="shared" si="68"/>
        <v>-65000</v>
      </c>
      <c r="AV249" s="297">
        <f t="shared" si="69"/>
        <v>0</v>
      </c>
      <c r="AW249" s="297">
        <f t="shared" si="62"/>
        <v>-32500</v>
      </c>
      <c r="AX249" s="297">
        <f t="shared" si="63"/>
        <v>-29250</v>
      </c>
      <c r="AY249" s="298">
        <v>50000</v>
      </c>
      <c r="AZ249" s="298"/>
      <c r="BA249" s="297">
        <f t="shared" si="64"/>
        <v>-79250</v>
      </c>
      <c r="BB249" s="278"/>
      <c r="BC249" s="255"/>
      <c r="BD249" s="255"/>
    </row>
    <row r="250" spans="1:56" s="256" customFormat="1" ht="20" hidden="1" customHeight="1">
      <c r="A250" s="260">
        <v>250</v>
      </c>
      <c r="B250" s="277"/>
      <c r="C250" s="278"/>
      <c r="D250" s="278"/>
      <c r="E250" s="278"/>
      <c r="F250" s="278"/>
      <c r="G250" s="279" t="e">
        <f>"YB"&amp;RIGHT(#REF!,6)</f>
        <v>#REF!</v>
      </c>
      <c r="H250" s="280"/>
      <c r="I250" s="280"/>
      <c r="J250" s="281">
        <f t="shared" si="70"/>
        <v>0</v>
      </c>
      <c r="K250" s="282"/>
      <c r="L250" s="282"/>
      <c r="M250" s="339"/>
      <c r="N250" s="278"/>
      <c r="O250" s="278"/>
      <c r="P250" s="283"/>
      <c r="Q250" s="278"/>
      <c r="R250" s="284"/>
      <c r="S250" s="282"/>
      <c r="T250" s="285"/>
      <c r="U250" s="286"/>
      <c r="V250" s="287"/>
      <c r="W250" s="288"/>
      <c r="X250" s="286"/>
      <c r="Y250" s="289"/>
      <c r="Z250" s="289"/>
      <c r="AA250" s="290">
        <f t="shared" si="66"/>
        <v>0</v>
      </c>
      <c r="AB250" s="291">
        <f t="shared" si="65"/>
        <v>0</v>
      </c>
      <c r="AC250" s="292">
        <f t="shared" si="67"/>
        <v>0</v>
      </c>
      <c r="AD250" s="293"/>
      <c r="AE250" s="293"/>
      <c r="AF250" s="294"/>
      <c r="AG250" s="291"/>
      <c r="AH250" s="295"/>
      <c r="AI250" s="291"/>
      <c r="AJ250" s="295"/>
      <c r="AK250" s="291"/>
      <c r="AL250" s="291"/>
      <c r="AM250" s="291"/>
      <c r="AN250" s="296">
        <v>35000</v>
      </c>
      <c r="AO250" s="296">
        <v>30000</v>
      </c>
      <c r="AP250" s="296"/>
      <c r="AQ250" s="296"/>
      <c r="AR250" s="296"/>
      <c r="AS250" s="296">
        <f t="shared" si="60"/>
        <v>65000</v>
      </c>
      <c r="AT250" s="297">
        <f t="shared" si="61"/>
        <v>-65000</v>
      </c>
      <c r="AU250" s="297">
        <f t="shared" si="68"/>
        <v>-65000</v>
      </c>
      <c r="AV250" s="297">
        <f t="shared" si="69"/>
        <v>0</v>
      </c>
      <c r="AW250" s="297">
        <f t="shared" si="62"/>
        <v>-32500</v>
      </c>
      <c r="AX250" s="297">
        <f t="shared" si="63"/>
        <v>-29250</v>
      </c>
      <c r="AY250" s="298">
        <v>50000</v>
      </c>
      <c r="AZ250" s="298"/>
      <c r="BA250" s="297">
        <f t="shared" si="64"/>
        <v>-79250</v>
      </c>
      <c r="BB250" s="278"/>
      <c r="BC250" s="255"/>
      <c r="BD250" s="255"/>
    </row>
    <row r="251" spans="1:56" s="256" customFormat="1" ht="20" hidden="1" customHeight="1">
      <c r="A251" s="260">
        <v>251</v>
      </c>
      <c r="B251" s="277"/>
      <c r="C251" s="278"/>
      <c r="D251" s="278"/>
      <c r="E251" s="278"/>
      <c r="F251" s="278"/>
      <c r="G251" s="279" t="e">
        <f>"YB"&amp;RIGHT(#REF!,6)</f>
        <v>#REF!</v>
      </c>
      <c r="H251" s="280"/>
      <c r="I251" s="280"/>
      <c r="J251" s="281">
        <f t="shared" si="70"/>
        <v>0</v>
      </c>
      <c r="K251" s="282"/>
      <c r="L251" s="282"/>
      <c r="M251" s="339"/>
      <c r="N251" s="278"/>
      <c r="O251" s="278"/>
      <c r="P251" s="283"/>
      <c r="Q251" s="278"/>
      <c r="R251" s="284"/>
      <c r="S251" s="282"/>
      <c r="T251" s="285"/>
      <c r="U251" s="286"/>
      <c r="V251" s="287"/>
      <c r="W251" s="288"/>
      <c r="X251" s="286"/>
      <c r="Y251" s="289"/>
      <c r="Z251" s="289"/>
      <c r="AA251" s="290">
        <f t="shared" si="66"/>
        <v>0</v>
      </c>
      <c r="AB251" s="291">
        <f t="shared" si="65"/>
        <v>0</v>
      </c>
      <c r="AC251" s="292">
        <f t="shared" si="67"/>
        <v>0</v>
      </c>
      <c r="AD251" s="293"/>
      <c r="AE251" s="293"/>
      <c r="AF251" s="294"/>
      <c r="AG251" s="291"/>
      <c r="AH251" s="295"/>
      <c r="AI251" s="291"/>
      <c r="AJ251" s="295"/>
      <c r="AK251" s="291"/>
      <c r="AL251" s="291"/>
      <c r="AM251" s="291"/>
      <c r="AN251" s="296">
        <v>35000</v>
      </c>
      <c r="AO251" s="296">
        <v>30000</v>
      </c>
      <c r="AP251" s="296"/>
      <c r="AQ251" s="296"/>
      <c r="AR251" s="296"/>
      <c r="AS251" s="296">
        <f t="shared" si="60"/>
        <v>65000</v>
      </c>
      <c r="AT251" s="297">
        <f t="shared" si="61"/>
        <v>-65000</v>
      </c>
      <c r="AU251" s="297">
        <f t="shared" si="68"/>
        <v>-65000</v>
      </c>
      <c r="AV251" s="297">
        <f t="shared" si="69"/>
        <v>0</v>
      </c>
      <c r="AW251" s="297">
        <f t="shared" si="62"/>
        <v>-32500</v>
      </c>
      <c r="AX251" s="297">
        <f t="shared" si="63"/>
        <v>-29250</v>
      </c>
      <c r="AY251" s="298">
        <v>50000</v>
      </c>
      <c r="AZ251" s="298"/>
      <c r="BA251" s="297">
        <f t="shared" si="64"/>
        <v>-79250</v>
      </c>
      <c r="BB251" s="278"/>
      <c r="BC251" s="255"/>
      <c r="BD251" s="255"/>
    </row>
    <row r="252" spans="1:56" s="256" customFormat="1" ht="20" hidden="1" customHeight="1">
      <c r="A252" s="260">
        <v>252</v>
      </c>
      <c r="B252" s="277"/>
      <c r="C252" s="278"/>
      <c r="D252" s="278"/>
      <c r="E252" s="278"/>
      <c r="F252" s="278"/>
      <c r="G252" s="279" t="e">
        <f>"YB"&amp;RIGHT(#REF!,6)</f>
        <v>#REF!</v>
      </c>
      <c r="H252" s="280"/>
      <c r="I252" s="280"/>
      <c r="J252" s="281">
        <f t="shared" si="70"/>
        <v>0</v>
      </c>
      <c r="K252" s="282"/>
      <c r="L252" s="282"/>
      <c r="M252" s="339"/>
      <c r="N252" s="278"/>
      <c r="O252" s="278"/>
      <c r="P252" s="283"/>
      <c r="Q252" s="278"/>
      <c r="R252" s="284"/>
      <c r="S252" s="282"/>
      <c r="T252" s="285"/>
      <c r="U252" s="286"/>
      <c r="V252" s="287"/>
      <c r="W252" s="288"/>
      <c r="X252" s="286"/>
      <c r="Y252" s="289"/>
      <c r="Z252" s="289"/>
      <c r="AA252" s="290">
        <f t="shared" si="66"/>
        <v>0</v>
      </c>
      <c r="AB252" s="291">
        <f t="shared" si="65"/>
        <v>0</v>
      </c>
      <c r="AC252" s="292">
        <f t="shared" si="67"/>
        <v>0</v>
      </c>
      <c r="AD252" s="293"/>
      <c r="AE252" s="293"/>
      <c r="AF252" s="294"/>
      <c r="AG252" s="291"/>
      <c r="AH252" s="295"/>
      <c r="AI252" s="291"/>
      <c r="AJ252" s="295"/>
      <c r="AK252" s="291"/>
      <c r="AL252" s="291"/>
      <c r="AM252" s="291"/>
      <c r="AN252" s="296">
        <v>35000</v>
      </c>
      <c r="AO252" s="296">
        <v>30000</v>
      </c>
      <c r="AP252" s="296"/>
      <c r="AQ252" s="296"/>
      <c r="AR252" s="296"/>
      <c r="AS252" s="296">
        <f t="shared" si="60"/>
        <v>65000</v>
      </c>
      <c r="AT252" s="297">
        <f t="shared" si="61"/>
        <v>-65000</v>
      </c>
      <c r="AU252" s="297">
        <f t="shared" si="68"/>
        <v>-65000</v>
      </c>
      <c r="AV252" s="297">
        <f t="shared" si="69"/>
        <v>0</v>
      </c>
      <c r="AW252" s="297">
        <f t="shared" si="62"/>
        <v>-32500</v>
      </c>
      <c r="AX252" s="297">
        <f t="shared" si="63"/>
        <v>-29250</v>
      </c>
      <c r="AY252" s="298">
        <v>50000</v>
      </c>
      <c r="AZ252" s="298"/>
      <c r="BA252" s="297">
        <f t="shared" si="64"/>
        <v>-79250</v>
      </c>
      <c r="BB252" s="278"/>
      <c r="BC252" s="255"/>
      <c r="BD252" s="255"/>
    </row>
    <row r="253" spans="1:56" s="256" customFormat="1" ht="20" hidden="1" customHeight="1">
      <c r="A253" s="260">
        <v>253</v>
      </c>
      <c r="B253" s="277"/>
      <c r="C253" s="278"/>
      <c r="D253" s="278"/>
      <c r="E253" s="278"/>
      <c r="F253" s="278"/>
      <c r="G253" s="279" t="e">
        <f>"YB"&amp;RIGHT(#REF!,6)</f>
        <v>#REF!</v>
      </c>
      <c r="H253" s="280"/>
      <c r="I253" s="280"/>
      <c r="J253" s="281">
        <f t="shared" si="70"/>
        <v>0</v>
      </c>
      <c r="K253" s="282"/>
      <c r="L253" s="282"/>
      <c r="M253" s="339"/>
      <c r="N253" s="278"/>
      <c r="O253" s="278"/>
      <c r="P253" s="283"/>
      <c r="Q253" s="278"/>
      <c r="R253" s="284"/>
      <c r="S253" s="282"/>
      <c r="T253" s="285"/>
      <c r="U253" s="286"/>
      <c r="V253" s="287"/>
      <c r="W253" s="288"/>
      <c r="X253" s="286"/>
      <c r="Y253" s="289"/>
      <c r="Z253" s="289"/>
      <c r="AA253" s="290">
        <f t="shared" si="66"/>
        <v>0</v>
      </c>
      <c r="AB253" s="291">
        <f t="shared" si="65"/>
        <v>0</v>
      </c>
      <c r="AC253" s="292">
        <f t="shared" si="67"/>
        <v>0</v>
      </c>
      <c r="AD253" s="293"/>
      <c r="AE253" s="293"/>
      <c r="AF253" s="294"/>
      <c r="AG253" s="291"/>
      <c r="AH253" s="295"/>
      <c r="AI253" s="291"/>
      <c r="AJ253" s="295"/>
      <c r="AK253" s="291"/>
      <c r="AL253" s="291"/>
      <c r="AM253" s="291"/>
      <c r="AN253" s="296">
        <v>35000</v>
      </c>
      <c r="AO253" s="296">
        <v>30000</v>
      </c>
      <c r="AP253" s="296"/>
      <c r="AQ253" s="296"/>
      <c r="AR253" s="296"/>
      <c r="AS253" s="296">
        <f t="shared" si="60"/>
        <v>65000</v>
      </c>
      <c r="AT253" s="297">
        <f t="shared" si="61"/>
        <v>-65000</v>
      </c>
      <c r="AU253" s="297">
        <f t="shared" si="68"/>
        <v>-65000</v>
      </c>
      <c r="AV253" s="297">
        <f t="shared" si="69"/>
        <v>0</v>
      </c>
      <c r="AW253" s="297">
        <f t="shared" si="62"/>
        <v>-32500</v>
      </c>
      <c r="AX253" s="297">
        <f t="shared" si="63"/>
        <v>-29250</v>
      </c>
      <c r="AY253" s="298">
        <v>50000</v>
      </c>
      <c r="AZ253" s="298"/>
      <c r="BA253" s="297">
        <f t="shared" si="64"/>
        <v>-79250</v>
      </c>
      <c r="BB253" s="278"/>
      <c r="BC253" s="255"/>
      <c r="BD253" s="255"/>
    </row>
    <row r="254" spans="1:56" s="256" customFormat="1" ht="20" hidden="1" customHeight="1">
      <c r="A254" s="260">
        <v>254</v>
      </c>
      <c r="B254" s="277"/>
      <c r="C254" s="278"/>
      <c r="D254" s="278"/>
      <c r="E254" s="278"/>
      <c r="F254" s="278"/>
      <c r="G254" s="279" t="e">
        <f>"YB"&amp;RIGHT(#REF!,6)</f>
        <v>#REF!</v>
      </c>
      <c r="H254" s="280"/>
      <c r="I254" s="280"/>
      <c r="J254" s="281">
        <f t="shared" si="70"/>
        <v>0</v>
      </c>
      <c r="K254" s="282"/>
      <c r="L254" s="282"/>
      <c r="M254" s="339"/>
      <c r="N254" s="278"/>
      <c r="O254" s="278"/>
      <c r="P254" s="283"/>
      <c r="Q254" s="278"/>
      <c r="R254" s="284"/>
      <c r="S254" s="282"/>
      <c r="T254" s="285"/>
      <c r="U254" s="286"/>
      <c r="V254" s="287"/>
      <c r="W254" s="288"/>
      <c r="X254" s="286"/>
      <c r="Y254" s="289"/>
      <c r="Z254" s="289"/>
      <c r="AA254" s="290">
        <f t="shared" si="66"/>
        <v>0</v>
      </c>
      <c r="AB254" s="291">
        <f t="shared" si="65"/>
        <v>0</v>
      </c>
      <c r="AC254" s="292">
        <f t="shared" si="67"/>
        <v>0</v>
      </c>
      <c r="AD254" s="293"/>
      <c r="AE254" s="293"/>
      <c r="AF254" s="294"/>
      <c r="AG254" s="291"/>
      <c r="AH254" s="295"/>
      <c r="AI254" s="291"/>
      <c r="AJ254" s="295"/>
      <c r="AK254" s="291"/>
      <c r="AL254" s="291"/>
      <c r="AM254" s="291"/>
      <c r="AN254" s="296">
        <v>35000</v>
      </c>
      <c r="AO254" s="296">
        <v>30000</v>
      </c>
      <c r="AP254" s="296"/>
      <c r="AQ254" s="296"/>
      <c r="AR254" s="296"/>
      <c r="AS254" s="296">
        <f t="shared" si="60"/>
        <v>65000</v>
      </c>
      <c r="AT254" s="297">
        <f t="shared" si="61"/>
        <v>-65000</v>
      </c>
      <c r="AU254" s="297">
        <f t="shared" si="68"/>
        <v>-65000</v>
      </c>
      <c r="AV254" s="297">
        <f t="shared" si="69"/>
        <v>0</v>
      </c>
      <c r="AW254" s="297">
        <f t="shared" si="62"/>
        <v>-32500</v>
      </c>
      <c r="AX254" s="297">
        <f t="shared" si="63"/>
        <v>-29250</v>
      </c>
      <c r="AY254" s="298">
        <v>50000</v>
      </c>
      <c r="AZ254" s="298"/>
      <c r="BA254" s="297">
        <f t="shared" si="64"/>
        <v>-79250</v>
      </c>
      <c r="BB254" s="278"/>
      <c r="BC254" s="255"/>
      <c r="BD254" s="255"/>
    </row>
    <row r="255" spans="1:56" s="256" customFormat="1" ht="20" hidden="1" customHeight="1">
      <c r="A255" s="260">
        <v>255</v>
      </c>
      <c r="B255" s="277"/>
      <c r="C255" s="278"/>
      <c r="D255" s="278"/>
      <c r="E255" s="278"/>
      <c r="F255" s="278"/>
      <c r="G255" s="279" t="e">
        <f>"YB"&amp;RIGHT(#REF!,6)</f>
        <v>#REF!</v>
      </c>
      <c r="H255" s="280"/>
      <c r="I255" s="280"/>
      <c r="J255" s="281">
        <f t="shared" si="70"/>
        <v>0</v>
      </c>
      <c r="K255" s="282"/>
      <c r="L255" s="282"/>
      <c r="M255" s="339"/>
      <c r="N255" s="278"/>
      <c r="O255" s="278"/>
      <c r="P255" s="283"/>
      <c r="Q255" s="278"/>
      <c r="R255" s="284"/>
      <c r="S255" s="282"/>
      <c r="T255" s="285"/>
      <c r="U255" s="286"/>
      <c r="V255" s="287"/>
      <c r="W255" s="288"/>
      <c r="X255" s="286"/>
      <c r="Y255" s="289"/>
      <c r="Z255" s="289"/>
      <c r="AA255" s="290">
        <f t="shared" si="66"/>
        <v>0</v>
      </c>
      <c r="AB255" s="291">
        <f t="shared" si="65"/>
        <v>0</v>
      </c>
      <c r="AC255" s="292">
        <f t="shared" si="67"/>
        <v>0</v>
      </c>
      <c r="AD255" s="293"/>
      <c r="AE255" s="293"/>
      <c r="AF255" s="294"/>
      <c r="AG255" s="291"/>
      <c r="AH255" s="295"/>
      <c r="AI255" s="291"/>
      <c r="AJ255" s="295"/>
      <c r="AK255" s="291"/>
      <c r="AL255" s="291"/>
      <c r="AM255" s="291"/>
      <c r="AN255" s="296">
        <v>35000</v>
      </c>
      <c r="AO255" s="296">
        <v>30000</v>
      </c>
      <c r="AP255" s="296"/>
      <c r="AQ255" s="296"/>
      <c r="AR255" s="296"/>
      <c r="AS255" s="296">
        <f t="shared" si="60"/>
        <v>65000</v>
      </c>
      <c r="AT255" s="297">
        <f t="shared" si="61"/>
        <v>-65000</v>
      </c>
      <c r="AU255" s="297">
        <f t="shared" si="68"/>
        <v>-65000</v>
      </c>
      <c r="AV255" s="297">
        <f t="shared" si="69"/>
        <v>0</v>
      </c>
      <c r="AW255" s="297">
        <f t="shared" si="62"/>
        <v>-32500</v>
      </c>
      <c r="AX255" s="297">
        <f t="shared" si="63"/>
        <v>-29250</v>
      </c>
      <c r="AY255" s="298">
        <v>50000</v>
      </c>
      <c r="AZ255" s="298"/>
      <c r="BA255" s="297">
        <f t="shared" si="64"/>
        <v>-79250</v>
      </c>
      <c r="BB255" s="278"/>
      <c r="BC255" s="255"/>
      <c r="BD255" s="255"/>
    </row>
    <row r="256" spans="1:56" s="256" customFormat="1" ht="20" hidden="1" customHeight="1">
      <c r="A256" s="260">
        <v>256</v>
      </c>
      <c r="B256" s="277"/>
      <c r="C256" s="278"/>
      <c r="D256" s="278"/>
      <c r="E256" s="278"/>
      <c r="F256" s="278"/>
      <c r="G256" s="279" t="e">
        <f>"YB"&amp;RIGHT(#REF!,6)</f>
        <v>#REF!</v>
      </c>
      <c r="H256" s="280"/>
      <c r="I256" s="280"/>
      <c r="J256" s="281">
        <f t="shared" si="70"/>
        <v>0</v>
      </c>
      <c r="K256" s="282"/>
      <c r="L256" s="282"/>
      <c r="M256" s="339"/>
      <c r="N256" s="278"/>
      <c r="O256" s="278"/>
      <c r="P256" s="283"/>
      <c r="Q256" s="278"/>
      <c r="R256" s="284"/>
      <c r="S256" s="282"/>
      <c r="T256" s="285"/>
      <c r="U256" s="286"/>
      <c r="V256" s="287"/>
      <c r="W256" s="288"/>
      <c r="X256" s="286"/>
      <c r="Y256" s="289"/>
      <c r="Z256" s="289"/>
      <c r="AA256" s="290">
        <f t="shared" si="66"/>
        <v>0</v>
      </c>
      <c r="AB256" s="291">
        <f t="shared" si="65"/>
        <v>0</v>
      </c>
      <c r="AC256" s="292">
        <f t="shared" si="67"/>
        <v>0</v>
      </c>
      <c r="AD256" s="293"/>
      <c r="AE256" s="293"/>
      <c r="AF256" s="294"/>
      <c r="AG256" s="291"/>
      <c r="AH256" s="295"/>
      <c r="AI256" s="291"/>
      <c r="AJ256" s="295"/>
      <c r="AK256" s="291"/>
      <c r="AL256" s="291"/>
      <c r="AM256" s="291"/>
      <c r="AN256" s="296">
        <v>35000</v>
      </c>
      <c r="AO256" s="296">
        <v>30000</v>
      </c>
      <c r="AP256" s="296"/>
      <c r="AQ256" s="296"/>
      <c r="AR256" s="296"/>
      <c r="AS256" s="296">
        <f t="shared" si="60"/>
        <v>65000</v>
      </c>
      <c r="AT256" s="297">
        <f t="shared" si="61"/>
        <v>-65000</v>
      </c>
      <c r="AU256" s="297">
        <f t="shared" si="68"/>
        <v>-65000</v>
      </c>
      <c r="AV256" s="297">
        <f t="shared" si="69"/>
        <v>0</v>
      </c>
      <c r="AW256" s="297">
        <f t="shared" si="62"/>
        <v>-32500</v>
      </c>
      <c r="AX256" s="297">
        <f t="shared" si="63"/>
        <v>-29250</v>
      </c>
      <c r="AY256" s="298">
        <v>50000</v>
      </c>
      <c r="AZ256" s="298"/>
      <c r="BA256" s="297">
        <f t="shared" si="64"/>
        <v>-79250</v>
      </c>
      <c r="BB256" s="278"/>
      <c r="BC256" s="255"/>
      <c r="BD256" s="255"/>
    </row>
    <row r="257" spans="1:56" s="256" customFormat="1" ht="20" hidden="1" customHeight="1">
      <c r="A257" s="260">
        <v>257</v>
      </c>
      <c r="B257" s="277"/>
      <c r="C257" s="278"/>
      <c r="D257" s="278"/>
      <c r="E257" s="278"/>
      <c r="F257" s="278"/>
      <c r="G257" s="279" t="e">
        <f>"YB"&amp;RIGHT(#REF!,6)</f>
        <v>#REF!</v>
      </c>
      <c r="H257" s="280"/>
      <c r="I257" s="280"/>
      <c r="J257" s="281">
        <f t="shared" si="70"/>
        <v>0</v>
      </c>
      <c r="K257" s="282"/>
      <c r="L257" s="282"/>
      <c r="M257" s="339"/>
      <c r="N257" s="278"/>
      <c r="O257" s="278"/>
      <c r="P257" s="283"/>
      <c r="Q257" s="278"/>
      <c r="R257" s="284"/>
      <c r="S257" s="282"/>
      <c r="T257" s="285"/>
      <c r="U257" s="286"/>
      <c r="V257" s="287"/>
      <c r="W257" s="288"/>
      <c r="X257" s="286"/>
      <c r="Y257" s="289"/>
      <c r="Z257" s="289"/>
      <c r="AA257" s="290">
        <f t="shared" si="66"/>
        <v>0</v>
      </c>
      <c r="AB257" s="291">
        <f t="shared" si="65"/>
        <v>0</v>
      </c>
      <c r="AC257" s="292">
        <f t="shared" si="67"/>
        <v>0</v>
      </c>
      <c r="AD257" s="293"/>
      <c r="AE257" s="293"/>
      <c r="AF257" s="294"/>
      <c r="AG257" s="291"/>
      <c r="AH257" s="295"/>
      <c r="AI257" s="291"/>
      <c r="AJ257" s="295"/>
      <c r="AK257" s="291"/>
      <c r="AL257" s="291"/>
      <c r="AM257" s="291"/>
      <c r="AN257" s="296">
        <v>35000</v>
      </c>
      <c r="AO257" s="296">
        <v>30000</v>
      </c>
      <c r="AP257" s="296"/>
      <c r="AQ257" s="296"/>
      <c r="AR257" s="296"/>
      <c r="AS257" s="296">
        <f t="shared" si="60"/>
        <v>65000</v>
      </c>
      <c r="AT257" s="297">
        <f t="shared" si="61"/>
        <v>-65000</v>
      </c>
      <c r="AU257" s="297">
        <f t="shared" si="68"/>
        <v>-65000</v>
      </c>
      <c r="AV257" s="297">
        <f t="shared" si="69"/>
        <v>0</v>
      </c>
      <c r="AW257" s="297">
        <f t="shared" si="62"/>
        <v>-32500</v>
      </c>
      <c r="AX257" s="297">
        <f t="shared" si="63"/>
        <v>-29250</v>
      </c>
      <c r="AY257" s="298">
        <v>50000</v>
      </c>
      <c r="AZ257" s="298"/>
      <c r="BA257" s="297">
        <f t="shared" si="64"/>
        <v>-79250</v>
      </c>
      <c r="BB257" s="278"/>
      <c r="BC257" s="255"/>
      <c r="BD257" s="255"/>
    </row>
    <row r="258" spans="1:56" s="256" customFormat="1" ht="20" hidden="1" customHeight="1">
      <c r="A258" s="260">
        <v>258</v>
      </c>
      <c r="B258" s="277"/>
      <c r="C258" s="278"/>
      <c r="D258" s="278"/>
      <c r="E258" s="278"/>
      <c r="F258" s="278"/>
      <c r="G258" s="279" t="e">
        <f>"YB"&amp;RIGHT(#REF!,6)</f>
        <v>#REF!</v>
      </c>
      <c r="H258" s="280"/>
      <c r="I258" s="280"/>
      <c r="J258" s="281">
        <f t="shared" si="70"/>
        <v>0</v>
      </c>
      <c r="K258" s="282"/>
      <c r="L258" s="282"/>
      <c r="M258" s="339"/>
      <c r="N258" s="278"/>
      <c r="O258" s="278"/>
      <c r="P258" s="283"/>
      <c r="Q258" s="278"/>
      <c r="R258" s="284"/>
      <c r="S258" s="282"/>
      <c r="T258" s="285"/>
      <c r="U258" s="286"/>
      <c r="V258" s="287"/>
      <c r="W258" s="288"/>
      <c r="X258" s="286"/>
      <c r="Y258" s="289"/>
      <c r="Z258" s="289"/>
      <c r="AA258" s="290">
        <f t="shared" si="66"/>
        <v>0</v>
      </c>
      <c r="AB258" s="291">
        <f t="shared" si="65"/>
        <v>0</v>
      </c>
      <c r="AC258" s="292">
        <f t="shared" si="67"/>
        <v>0</v>
      </c>
      <c r="AD258" s="293"/>
      <c r="AE258" s="293"/>
      <c r="AF258" s="294"/>
      <c r="AG258" s="291"/>
      <c r="AH258" s="295"/>
      <c r="AI258" s="291"/>
      <c r="AJ258" s="295"/>
      <c r="AK258" s="291"/>
      <c r="AL258" s="291"/>
      <c r="AM258" s="291"/>
      <c r="AN258" s="296">
        <v>35000</v>
      </c>
      <c r="AO258" s="296">
        <v>30000</v>
      </c>
      <c r="AP258" s="296"/>
      <c r="AQ258" s="296"/>
      <c r="AR258" s="296"/>
      <c r="AS258" s="296">
        <f t="shared" ref="AS258:AS321" si="71">SUM(AN258:AR258)</f>
        <v>65000</v>
      </c>
      <c r="AT258" s="297">
        <f t="shared" ref="AT258:AT321" si="72">SUM(AA258-W258)*U258-AS258</f>
        <v>-65000</v>
      </c>
      <c r="AU258" s="297">
        <f t="shared" si="68"/>
        <v>-65000</v>
      </c>
      <c r="AV258" s="297">
        <f t="shared" si="69"/>
        <v>0</v>
      </c>
      <c r="AW258" s="297">
        <f t="shared" ref="AW258:AW321" si="73">SUM(AU258:AV258)/2</f>
        <v>-32500</v>
      </c>
      <c r="AX258" s="297">
        <f t="shared" ref="AX258:AX321" si="74">AW258-(AW258*10%)</f>
        <v>-29250</v>
      </c>
      <c r="AY258" s="298">
        <v>50000</v>
      </c>
      <c r="AZ258" s="298"/>
      <c r="BA258" s="297">
        <f t="shared" ref="BA258:BA321" si="75">SUM(AX258-AY258-AZ258)</f>
        <v>-79250</v>
      </c>
      <c r="BB258" s="278"/>
      <c r="BC258" s="255"/>
      <c r="BD258" s="255"/>
    </row>
    <row r="259" spans="1:56" s="256" customFormat="1" ht="20" hidden="1" customHeight="1">
      <c r="A259" s="260">
        <v>259</v>
      </c>
      <c r="B259" s="277"/>
      <c r="C259" s="278"/>
      <c r="D259" s="278"/>
      <c r="E259" s="278"/>
      <c r="F259" s="278"/>
      <c r="G259" s="279" t="e">
        <f>"YB"&amp;RIGHT(#REF!,6)</f>
        <v>#REF!</v>
      </c>
      <c r="H259" s="280"/>
      <c r="I259" s="280"/>
      <c r="J259" s="281">
        <f t="shared" si="70"/>
        <v>0</v>
      </c>
      <c r="K259" s="282"/>
      <c r="L259" s="282"/>
      <c r="M259" s="339"/>
      <c r="N259" s="278"/>
      <c r="O259" s="278"/>
      <c r="P259" s="283"/>
      <c r="Q259" s="278"/>
      <c r="R259" s="284"/>
      <c r="S259" s="282"/>
      <c r="T259" s="285"/>
      <c r="U259" s="286"/>
      <c r="V259" s="287"/>
      <c r="W259" s="288"/>
      <c r="X259" s="286"/>
      <c r="Y259" s="289"/>
      <c r="Z259" s="289"/>
      <c r="AA259" s="290">
        <f t="shared" si="66"/>
        <v>0</v>
      </c>
      <c r="AB259" s="291">
        <f t="shared" si="65"/>
        <v>0</v>
      </c>
      <c r="AC259" s="292">
        <f t="shared" si="67"/>
        <v>0</v>
      </c>
      <c r="AD259" s="293"/>
      <c r="AE259" s="293"/>
      <c r="AF259" s="294"/>
      <c r="AG259" s="291"/>
      <c r="AH259" s="295"/>
      <c r="AI259" s="291"/>
      <c r="AJ259" s="295"/>
      <c r="AK259" s="291"/>
      <c r="AL259" s="291"/>
      <c r="AM259" s="291"/>
      <c r="AN259" s="296">
        <v>35000</v>
      </c>
      <c r="AO259" s="296">
        <v>30000</v>
      </c>
      <c r="AP259" s="296"/>
      <c r="AQ259" s="296"/>
      <c r="AR259" s="296"/>
      <c r="AS259" s="296">
        <f t="shared" si="71"/>
        <v>65000</v>
      </c>
      <c r="AT259" s="297">
        <f t="shared" si="72"/>
        <v>-65000</v>
      </c>
      <c r="AU259" s="297">
        <f t="shared" si="68"/>
        <v>-65000</v>
      </c>
      <c r="AV259" s="297">
        <f t="shared" si="69"/>
        <v>0</v>
      </c>
      <c r="AW259" s="297">
        <f t="shared" si="73"/>
        <v>-32500</v>
      </c>
      <c r="AX259" s="297">
        <f t="shared" si="74"/>
        <v>-29250</v>
      </c>
      <c r="AY259" s="298">
        <v>50000</v>
      </c>
      <c r="AZ259" s="298"/>
      <c r="BA259" s="297">
        <f t="shared" si="75"/>
        <v>-79250</v>
      </c>
      <c r="BB259" s="278"/>
      <c r="BC259" s="255"/>
      <c r="BD259" s="255"/>
    </row>
    <row r="260" spans="1:56" s="256" customFormat="1" ht="20" hidden="1" customHeight="1">
      <c r="A260" s="260">
        <v>260</v>
      </c>
      <c r="B260" s="277"/>
      <c r="C260" s="278"/>
      <c r="D260" s="278"/>
      <c r="E260" s="278"/>
      <c r="F260" s="278"/>
      <c r="G260" s="279" t="e">
        <f>"YB"&amp;RIGHT(#REF!,6)</f>
        <v>#REF!</v>
      </c>
      <c r="H260" s="280"/>
      <c r="I260" s="280"/>
      <c r="J260" s="281">
        <f t="shared" si="70"/>
        <v>0</v>
      </c>
      <c r="K260" s="282"/>
      <c r="L260" s="282"/>
      <c r="M260" s="339"/>
      <c r="N260" s="278"/>
      <c r="O260" s="278"/>
      <c r="P260" s="283"/>
      <c r="Q260" s="278"/>
      <c r="R260" s="284"/>
      <c r="S260" s="282"/>
      <c r="T260" s="285"/>
      <c r="U260" s="286"/>
      <c r="V260" s="287"/>
      <c r="W260" s="288"/>
      <c r="X260" s="286"/>
      <c r="Y260" s="289"/>
      <c r="Z260" s="289"/>
      <c r="AA260" s="290">
        <f t="shared" si="66"/>
        <v>0</v>
      </c>
      <c r="AB260" s="291">
        <f t="shared" si="65"/>
        <v>0</v>
      </c>
      <c r="AC260" s="292">
        <f t="shared" si="67"/>
        <v>0</v>
      </c>
      <c r="AD260" s="293"/>
      <c r="AE260" s="293"/>
      <c r="AF260" s="294"/>
      <c r="AG260" s="291"/>
      <c r="AH260" s="295"/>
      <c r="AI260" s="291"/>
      <c r="AJ260" s="295"/>
      <c r="AK260" s="291"/>
      <c r="AL260" s="291"/>
      <c r="AM260" s="291"/>
      <c r="AN260" s="296">
        <v>35000</v>
      </c>
      <c r="AO260" s="296">
        <v>30000</v>
      </c>
      <c r="AP260" s="296"/>
      <c r="AQ260" s="296"/>
      <c r="AR260" s="296"/>
      <c r="AS260" s="296">
        <f t="shared" si="71"/>
        <v>65000</v>
      </c>
      <c r="AT260" s="297">
        <f t="shared" si="72"/>
        <v>-65000</v>
      </c>
      <c r="AU260" s="297">
        <f t="shared" si="68"/>
        <v>-65000</v>
      </c>
      <c r="AV260" s="297">
        <f t="shared" si="69"/>
        <v>0</v>
      </c>
      <c r="AW260" s="297">
        <f t="shared" si="73"/>
        <v>-32500</v>
      </c>
      <c r="AX260" s="297">
        <f t="shared" si="74"/>
        <v>-29250</v>
      </c>
      <c r="AY260" s="298">
        <v>50000</v>
      </c>
      <c r="AZ260" s="298"/>
      <c r="BA260" s="297">
        <f t="shared" si="75"/>
        <v>-79250</v>
      </c>
      <c r="BB260" s="278"/>
      <c r="BC260" s="255"/>
      <c r="BD260" s="255"/>
    </row>
    <row r="261" spans="1:56" s="256" customFormat="1" ht="20" hidden="1" customHeight="1">
      <c r="A261" s="260">
        <v>261</v>
      </c>
      <c r="B261" s="277"/>
      <c r="C261" s="278"/>
      <c r="D261" s="278"/>
      <c r="E261" s="278"/>
      <c r="F261" s="278"/>
      <c r="G261" s="279" t="e">
        <f>"YB"&amp;RIGHT(#REF!,6)</f>
        <v>#REF!</v>
      </c>
      <c r="H261" s="280"/>
      <c r="I261" s="280"/>
      <c r="J261" s="281">
        <f t="shared" si="70"/>
        <v>0</v>
      </c>
      <c r="K261" s="282"/>
      <c r="L261" s="282"/>
      <c r="M261" s="339"/>
      <c r="N261" s="278"/>
      <c r="O261" s="278"/>
      <c r="P261" s="283"/>
      <c r="Q261" s="278"/>
      <c r="R261" s="284"/>
      <c r="S261" s="282"/>
      <c r="T261" s="285"/>
      <c r="U261" s="286"/>
      <c r="V261" s="287"/>
      <c r="W261" s="288"/>
      <c r="X261" s="286"/>
      <c r="Y261" s="289"/>
      <c r="Z261" s="289"/>
      <c r="AA261" s="290">
        <f t="shared" si="66"/>
        <v>0</v>
      </c>
      <c r="AB261" s="291">
        <f t="shared" si="65"/>
        <v>0</v>
      </c>
      <c r="AC261" s="292">
        <f t="shared" si="67"/>
        <v>0</v>
      </c>
      <c r="AD261" s="293"/>
      <c r="AE261" s="293"/>
      <c r="AF261" s="294"/>
      <c r="AG261" s="291"/>
      <c r="AH261" s="295"/>
      <c r="AI261" s="291"/>
      <c r="AJ261" s="295"/>
      <c r="AK261" s="291"/>
      <c r="AL261" s="291"/>
      <c r="AM261" s="291"/>
      <c r="AN261" s="296">
        <v>35000</v>
      </c>
      <c r="AO261" s="296">
        <v>30000</v>
      </c>
      <c r="AP261" s="296"/>
      <c r="AQ261" s="296"/>
      <c r="AR261" s="296"/>
      <c r="AS261" s="296">
        <f t="shared" si="71"/>
        <v>65000</v>
      </c>
      <c r="AT261" s="297">
        <f t="shared" si="72"/>
        <v>-65000</v>
      </c>
      <c r="AU261" s="297">
        <f t="shared" si="68"/>
        <v>-65000</v>
      </c>
      <c r="AV261" s="297">
        <f t="shared" si="69"/>
        <v>0</v>
      </c>
      <c r="AW261" s="297">
        <f t="shared" si="73"/>
        <v>-32500</v>
      </c>
      <c r="AX261" s="297">
        <f t="shared" si="74"/>
        <v>-29250</v>
      </c>
      <c r="AY261" s="298">
        <v>50000</v>
      </c>
      <c r="AZ261" s="298"/>
      <c r="BA261" s="297">
        <f t="shared" si="75"/>
        <v>-79250</v>
      </c>
      <c r="BB261" s="278"/>
      <c r="BC261" s="255"/>
      <c r="BD261" s="255"/>
    </row>
    <row r="262" spans="1:56" s="256" customFormat="1" ht="20" hidden="1" customHeight="1">
      <c r="A262" s="260">
        <v>262</v>
      </c>
      <c r="B262" s="277"/>
      <c r="C262" s="278"/>
      <c r="D262" s="278"/>
      <c r="E262" s="278"/>
      <c r="F262" s="278"/>
      <c r="G262" s="279" t="e">
        <f>"YB"&amp;RIGHT(#REF!,6)</f>
        <v>#REF!</v>
      </c>
      <c r="H262" s="280"/>
      <c r="I262" s="280"/>
      <c r="J262" s="281">
        <f t="shared" si="70"/>
        <v>0</v>
      </c>
      <c r="K262" s="282"/>
      <c r="L262" s="282"/>
      <c r="M262" s="339"/>
      <c r="N262" s="278"/>
      <c r="O262" s="278"/>
      <c r="P262" s="283"/>
      <c r="Q262" s="278"/>
      <c r="R262" s="284"/>
      <c r="S262" s="282"/>
      <c r="T262" s="285"/>
      <c r="U262" s="286"/>
      <c r="V262" s="287"/>
      <c r="W262" s="288"/>
      <c r="X262" s="286"/>
      <c r="Y262" s="289"/>
      <c r="Z262" s="289"/>
      <c r="AA262" s="290">
        <f t="shared" si="66"/>
        <v>0</v>
      </c>
      <c r="AB262" s="291">
        <f t="shared" si="65"/>
        <v>0</v>
      </c>
      <c r="AC262" s="292">
        <f t="shared" si="67"/>
        <v>0</v>
      </c>
      <c r="AD262" s="293"/>
      <c r="AE262" s="293"/>
      <c r="AF262" s="294"/>
      <c r="AG262" s="291"/>
      <c r="AH262" s="295"/>
      <c r="AI262" s="291"/>
      <c r="AJ262" s="295"/>
      <c r="AK262" s="291"/>
      <c r="AL262" s="291"/>
      <c r="AM262" s="291"/>
      <c r="AN262" s="296">
        <v>35000</v>
      </c>
      <c r="AO262" s="296">
        <v>30000</v>
      </c>
      <c r="AP262" s="296"/>
      <c r="AQ262" s="296"/>
      <c r="AR262" s="296"/>
      <c r="AS262" s="296">
        <f t="shared" si="71"/>
        <v>65000</v>
      </c>
      <c r="AT262" s="297">
        <f t="shared" si="72"/>
        <v>-65000</v>
      </c>
      <c r="AU262" s="297">
        <f t="shared" si="68"/>
        <v>-65000</v>
      </c>
      <c r="AV262" s="297">
        <f t="shared" si="69"/>
        <v>0</v>
      </c>
      <c r="AW262" s="297">
        <f t="shared" si="73"/>
        <v>-32500</v>
      </c>
      <c r="AX262" s="297">
        <f t="shared" si="74"/>
        <v>-29250</v>
      </c>
      <c r="AY262" s="298">
        <v>50000</v>
      </c>
      <c r="AZ262" s="298"/>
      <c r="BA262" s="297">
        <f t="shared" si="75"/>
        <v>-79250</v>
      </c>
      <c r="BB262" s="278"/>
      <c r="BC262" s="255"/>
      <c r="BD262" s="255"/>
    </row>
    <row r="263" spans="1:56" s="256" customFormat="1" ht="20" hidden="1" customHeight="1">
      <c r="A263" s="260">
        <v>263</v>
      </c>
      <c r="B263" s="277"/>
      <c r="C263" s="278"/>
      <c r="D263" s="278"/>
      <c r="E263" s="278"/>
      <c r="F263" s="278"/>
      <c r="G263" s="279" t="e">
        <f>"YB"&amp;RIGHT(#REF!,6)</f>
        <v>#REF!</v>
      </c>
      <c r="H263" s="280"/>
      <c r="I263" s="280"/>
      <c r="J263" s="281">
        <f t="shared" si="70"/>
        <v>0</v>
      </c>
      <c r="K263" s="282"/>
      <c r="L263" s="282"/>
      <c r="M263" s="339"/>
      <c r="N263" s="278"/>
      <c r="O263" s="278"/>
      <c r="P263" s="283"/>
      <c r="Q263" s="278"/>
      <c r="R263" s="284"/>
      <c r="S263" s="282"/>
      <c r="T263" s="285"/>
      <c r="U263" s="286"/>
      <c r="V263" s="287"/>
      <c r="W263" s="288"/>
      <c r="X263" s="286"/>
      <c r="Y263" s="289"/>
      <c r="Z263" s="289"/>
      <c r="AA263" s="290">
        <f t="shared" si="66"/>
        <v>0</v>
      </c>
      <c r="AB263" s="291">
        <f t="shared" si="65"/>
        <v>0</v>
      </c>
      <c r="AC263" s="292">
        <f t="shared" si="67"/>
        <v>0</v>
      </c>
      <c r="AD263" s="293"/>
      <c r="AE263" s="293"/>
      <c r="AF263" s="294"/>
      <c r="AG263" s="291"/>
      <c r="AH263" s="295"/>
      <c r="AI263" s="291"/>
      <c r="AJ263" s="295"/>
      <c r="AK263" s="291"/>
      <c r="AL263" s="291"/>
      <c r="AM263" s="291"/>
      <c r="AN263" s="296">
        <v>35000</v>
      </c>
      <c r="AO263" s="296">
        <v>30000</v>
      </c>
      <c r="AP263" s="296"/>
      <c r="AQ263" s="296"/>
      <c r="AR263" s="296"/>
      <c r="AS263" s="296">
        <f t="shared" si="71"/>
        <v>65000</v>
      </c>
      <c r="AT263" s="297">
        <f t="shared" si="72"/>
        <v>-65000</v>
      </c>
      <c r="AU263" s="297">
        <f t="shared" si="68"/>
        <v>-65000</v>
      </c>
      <c r="AV263" s="297">
        <f t="shared" si="69"/>
        <v>0</v>
      </c>
      <c r="AW263" s="297">
        <f t="shared" si="73"/>
        <v>-32500</v>
      </c>
      <c r="AX263" s="297">
        <f t="shared" si="74"/>
        <v>-29250</v>
      </c>
      <c r="AY263" s="298">
        <v>50000</v>
      </c>
      <c r="AZ263" s="298"/>
      <c r="BA263" s="297">
        <f t="shared" si="75"/>
        <v>-79250</v>
      </c>
      <c r="BB263" s="278"/>
      <c r="BC263" s="255"/>
      <c r="BD263" s="255"/>
    </row>
    <row r="264" spans="1:56" s="256" customFormat="1" ht="20" hidden="1" customHeight="1">
      <c r="A264" s="260">
        <v>264</v>
      </c>
      <c r="B264" s="277"/>
      <c r="C264" s="278"/>
      <c r="D264" s="278"/>
      <c r="E264" s="278"/>
      <c r="F264" s="278"/>
      <c r="G264" s="279" t="e">
        <f>"YB"&amp;RIGHT(#REF!,6)</f>
        <v>#REF!</v>
      </c>
      <c r="H264" s="280"/>
      <c r="I264" s="280"/>
      <c r="J264" s="281">
        <f t="shared" si="70"/>
        <v>0</v>
      </c>
      <c r="K264" s="282"/>
      <c r="L264" s="282"/>
      <c r="M264" s="339"/>
      <c r="N264" s="278"/>
      <c r="O264" s="278"/>
      <c r="P264" s="283" t="s">
        <v>321</v>
      </c>
      <c r="Q264" s="278"/>
      <c r="R264" s="284"/>
      <c r="S264" s="282"/>
      <c r="T264" s="285"/>
      <c r="U264" s="286"/>
      <c r="V264" s="287"/>
      <c r="W264" s="288"/>
      <c r="X264" s="286"/>
      <c r="Y264" s="289"/>
      <c r="Z264" s="289"/>
      <c r="AA264" s="290">
        <f t="shared" si="66"/>
        <v>0</v>
      </c>
      <c r="AB264" s="291">
        <f t="shared" si="65"/>
        <v>0</v>
      </c>
      <c r="AC264" s="292">
        <f t="shared" si="67"/>
        <v>0</v>
      </c>
      <c r="AD264" s="293"/>
      <c r="AE264" s="293"/>
      <c r="AF264" s="294"/>
      <c r="AG264" s="291"/>
      <c r="AH264" s="295"/>
      <c r="AI264" s="291"/>
      <c r="AJ264" s="295"/>
      <c r="AK264" s="291"/>
      <c r="AL264" s="291"/>
      <c r="AM264" s="291"/>
      <c r="AN264" s="296">
        <v>35000</v>
      </c>
      <c r="AO264" s="296">
        <v>30000</v>
      </c>
      <c r="AP264" s="296"/>
      <c r="AQ264" s="296"/>
      <c r="AR264" s="296"/>
      <c r="AS264" s="296">
        <f t="shared" si="71"/>
        <v>65000</v>
      </c>
      <c r="AT264" s="297">
        <f t="shared" si="72"/>
        <v>-65000</v>
      </c>
      <c r="AU264" s="297">
        <f t="shared" si="68"/>
        <v>-65000</v>
      </c>
      <c r="AV264" s="297">
        <f t="shared" si="69"/>
        <v>0</v>
      </c>
      <c r="AW264" s="297">
        <f t="shared" si="73"/>
        <v>-32500</v>
      </c>
      <c r="AX264" s="297">
        <f t="shared" si="74"/>
        <v>-29250</v>
      </c>
      <c r="AY264" s="298">
        <v>50000</v>
      </c>
      <c r="AZ264" s="298"/>
      <c r="BA264" s="297">
        <f t="shared" si="75"/>
        <v>-79250</v>
      </c>
      <c r="BB264" s="278"/>
      <c r="BC264" s="255"/>
      <c r="BD264" s="255"/>
    </row>
    <row r="265" spans="1:56" s="256" customFormat="1" ht="20" hidden="1" customHeight="1">
      <c r="A265" s="260">
        <v>265</v>
      </c>
      <c r="B265" s="277"/>
      <c r="C265" s="278"/>
      <c r="D265" s="278"/>
      <c r="E265" s="278"/>
      <c r="F265" s="278"/>
      <c r="G265" s="279" t="e">
        <f>"YB"&amp;RIGHT(#REF!,6)</f>
        <v>#REF!</v>
      </c>
      <c r="H265" s="280"/>
      <c r="I265" s="280"/>
      <c r="J265" s="281">
        <f t="shared" si="70"/>
        <v>0</v>
      </c>
      <c r="K265" s="282"/>
      <c r="L265" s="282"/>
      <c r="M265" s="339"/>
      <c r="N265" s="278"/>
      <c r="O265" s="278"/>
      <c r="P265" s="283"/>
      <c r="Q265" s="278"/>
      <c r="R265" s="284"/>
      <c r="S265" s="282"/>
      <c r="T265" s="285"/>
      <c r="U265" s="286"/>
      <c r="V265" s="287"/>
      <c r="W265" s="288"/>
      <c r="X265" s="286"/>
      <c r="Y265" s="289"/>
      <c r="Z265" s="289"/>
      <c r="AA265" s="290">
        <f t="shared" si="66"/>
        <v>0</v>
      </c>
      <c r="AB265" s="291">
        <f t="shared" si="65"/>
        <v>0</v>
      </c>
      <c r="AC265" s="292">
        <f t="shared" si="67"/>
        <v>0</v>
      </c>
      <c r="AD265" s="293"/>
      <c r="AE265" s="293"/>
      <c r="AF265" s="294"/>
      <c r="AG265" s="291"/>
      <c r="AH265" s="295"/>
      <c r="AI265" s="291"/>
      <c r="AJ265" s="295"/>
      <c r="AK265" s="291"/>
      <c r="AL265" s="291"/>
      <c r="AM265" s="291"/>
      <c r="AN265" s="296">
        <v>35000</v>
      </c>
      <c r="AO265" s="296">
        <v>30000</v>
      </c>
      <c r="AP265" s="296"/>
      <c r="AQ265" s="296"/>
      <c r="AR265" s="296"/>
      <c r="AS265" s="296">
        <f t="shared" si="71"/>
        <v>65000</v>
      </c>
      <c r="AT265" s="297">
        <f t="shared" si="72"/>
        <v>-65000</v>
      </c>
      <c r="AU265" s="297">
        <f t="shared" si="68"/>
        <v>-65000</v>
      </c>
      <c r="AV265" s="297">
        <f t="shared" si="69"/>
        <v>0</v>
      </c>
      <c r="AW265" s="297">
        <f t="shared" si="73"/>
        <v>-32500</v>
      </c>
      <c r="AX265" s="297">
        <f t="shared" si="74"/>
        <v>-29250</v>
      </c>
      <c r="AY265" s="298">
        <v>50000</v>
      </c>
      <c r="AZ265" s="298"/>
      <c r="BA265" s="297">
        <f t="shared" si="75"/>
        <v>-79250</v>
      </c>
      <c r="BB265" s="278"/>
      <c r="BC265" s="255"/>
      <c r="BD265" s="255"/>
    </row>
    <row r="266" spans="1:56" s="256" customFormat="1" ht="20" hidden="1" customHeight="1">
      <c r="A266" s="260">
        <v>266</v>
      </c>
      <c r="B266" s="277"/>
      <c r="C266" s="278"/>
      <c r="D266" s="278"/>
      <c r="E266" s="278"/>
      <c r="F266" s="278"/>
      <c r="G266" s="279" t="e">
        <f>"YB"&amp;RIGHT(#REF!,6)</f>
        <v>#REF!</v>
      </c>
      <c r="H266" s="280"/>
      <c r="I266" s="280"/>
      <c r="J266" s="281">
        <f t="shared" si="70"/>
        <v>0</v>
      </c>
      <c r="K266" s="282"/>
      <c r="L266" s="282"/>
      <c r="M266" s="339"/>
      <c r="N266" s="278"/>
      <c r="O266" s="278"/>
      <c r="P266" s="283"/>
      <c r="Q266" s="278"/>
      <c r="R266" s="284"/>
      <c r="S266" s="282"/>
      <c r="T266" s="285"/>
      <c r="U266" s="286"/>
      <c r="V266" s="287"/>
      <c r="W266" s="288"/>
      <c r="X266" s="286"/>
      <c r="Y266" s="289"/>
      <c r="Z266" s="289"/>
      <c r="AA266" s="290">
        <f t="shared" si="66"/>
        <v>0</v>
      </c>
      <c r="AB266" s="291">
        <f t="shared" si="65"/>
        <v>0</v>
      </c>
      <c r="AC266" s="292">
        <f t="shared" si="67"/>
        <v>0</v>
      </c>
      <c r="AD266" s="293"/>
      <c r="AE266" s="293"/>
      <c r="AF266" s="294"/>
      <c r="AG266" s="291"/>
      <c r="AH266" s="295"/>
      <c r="AI266" s="291"/>
      <c r="AJ266" s="295"/>
      <c r="AK266" s="291"/>
      <c r="AL266" s="291"/>
      <c r="AM266" s="291"/>
      <c r="AN266" s="296">
        <v>35000</v>
      </c>
      <c r="AO266" s="296">
        <v>30000</v>
      </c>
      <c r="AP266" s="296"/>
      <c r="AQ266" s="296"/>
      <c r="AR266" s="296"/>
      <c r="AS266" s="296">
        <f t="shared" si="71"/>
        <v>65000</v>
      </c>
      <c r="AT266" s="297">
        <f t="shared" si="72"/>
        <v>-65000</v>
      </c>
      <c r="AU266" s="297">
        <f t="shared" si="68"/>
        <v>-65000</v>
      </c>
      <c r="AV266" s="297">
        <f t="shared" si="69"/>
        <v>0</v>
      </c>
      <c r="AW266" s="297">
        <f t="shared" si="73"/>
        <v>-32500</v>
      </c>
      <c r="AX266" s="297">
        <f t="shared" si="74"/>
        <v>-29250</v>
      </c>
      <c r="AY266" s="298">
        <v>50000</v>
      </c>
      <c r="AZ266" s="298"/>
      <c r="BA266" s="297">
        <f t="shared" si="75"/>
        <v>-79250</v>
      </c>
      <c r="BB266" s="278"/>
      <c r="BC266" s="255"/>
      <c r="BD266" s="255"/>
    </row>
    <row r="267" spans="1:56" s="256" customFormat="1" ht="20" hidden="1" customHeight="1">
      <c r="A267" s="260">
        <v>267</v>
      </c>
      <c r="B267" s="277"/>
      <c r="C267" s="278"/>
      <c r="D267" s="278"/>
      <c r="E267" s="278"/>
      <c r="F267" s="278"/>
      <c r="G267" s="279" t="e">
        <f>"YB"&amp;RIGHT(#REF!,6)</f>
        <v>#REF!</v>
      </c>
      <c r="H267" s="280"/>
      <c r="I267" s="280"/>
      <c r="J267" s="281">
        <f t="shared" si="70"/>
        <v>0</v>
      </c>
      <c r="K267" s="282"/>
      <c r="L267" s="282"/>
      <c r="M267" s="339"/>
      <c r="N267" s="278"/>
      <c r="O267" s="278"/>
      <c r="P267" s="283"/>
      <c r="Q267" s="278"/>
      <c r="R267" s="284"/>
      <c r="S267" s="282"/>
      <c r="T267" s="285"/>
      <c r="U267" s="286"/>
      <c r="V267" s="287"/>
      <c r="W267" s="288"/>
      <c r="X267" s="286"/>
      <c r="Y267" s="289"/>
      <c r="Z267" s="289"/>
      <c r="AA267" s="290">
        <f t="shared" si="66"/>
        <v>0</v>
      </c>
      <c r="AB267" s="291">
        <f t="shared" si="65"/>
        <v>0</v>
      </c>
      <c r="AC267" s="292">
        <f t="shared" si="67"/>
        <v>0</v>
      </c>
      <c r="AD267" s="293"/>
      <c r="AE267" s="293"/>
      <c r="AF267" s="294"/>
      <c r="AG267" s="291"/>
      <c r="AH267" s="295"/>
      <c r="AI267" s="291"/>
      <c r="AJ267" s="295"/>
      <c r="AK267" s="291"/>
      <c r="AL267" s="291"/>
      <c r="AM267" s="291"/>
      <c r="AN267" s="296">
        <v>35000</v>
      </c>
      <c r="AO267" s="296">
        <v>30000</v>
      </c>
      <c r="AP267" s="296"/>
      <c r="AQ267" s="296"/>
      <c r="AR267" s="296"/>
      <c r="AS267" s="296">
        <f t="shared" si="71"/>
        <v>65000</v>
      </c>
      <c r="AT267" s="297">
        <f t="shared" si="72"/>
        <v>-65000</v>
      </c>
      <c r="AU267" s="297">
        <f t="shared" si="68"/>
        <v>-65000</v>
      </c>
      <c r="AV267" s="297">
        <f t="shared" si="69"/>
        <v>0</v>
      </c>
      <c r="AW267" s="297">
        <f t="shared" si="73"/>
        <v>-32500</v>
      </c>
      <c r="AX267" s="297">
        <f t="shared" si="74"/>
        <v>-29250</v>
      </c>
      <c r="AY267" s="298">
        <v>50000</v>
      </c>
      <c r="AZ267" s="298"/>
      <c r="BA267" s="297">
        <f t="shared" si="75"/>
        <v>-79250</v>
      </c>
      <c r="BB267" s="278"/>
      <c r="BC267" s="255"/>
      <c r="BD267" s="255"/>
    </row>
    <row r="268" spans="1:56" s="256" customFormat="1" ht="20" hidden="1" customHeight="1">
      <c r="A268" s="260">
        <v>268</v>
      </c>
      <c r="B268" s="277"/>
      <c r="C268" s="278"/>
      <c r="D268" s="278"/>
      <c r="E268" s="278"/>
      <c r="F268" s="278"/>
      <c r="G268" s="279" t="e">
        <f>"YB"&amp;RIGHT(#REF!,6)</f>
        <v>#REF!</v>
      </c>
      <c r="H268" s="280"/>
      <c r="I268" s="280"/>
      <c r="J268" s="281">
        <f t="shared" si="70"/>
        <v>0</v>
      </c>
      <c r="K268" s="282"/>
      <c r="L268" s="282"/>
      <c r="M268" s="339"/>
      <c r="N268" s="278"/>
      <c r="O268" s="278"/>
      <c r="P268" s="283"/>
      <c r="Q268" s="278"/>
      <c r="R268" s="284"/>
      <c r="S268" s="282"/>
      <c r="T268" s="285"/>
      <c r="U268" s="286"/>
      <c r="V268" s="287"/>
      <c r="W268" s="288"/>
      <c r="X268" s="286"/>
      <c r="Y268" s="289"/>
      <c r="Z268" s="289"/>
      <c r="AA268" s="290">
        <f t="shared" si="66"/>
        <v>0</v>
      </c>
      <c r="AB268" s="291">
        <f t="shared" si="65"/>
        <v>0</v>
      </c>
      <c r="AC268" s="292">
        <f t="shared" si="67"/>
        <v>0</v>
      </c>
      <c r="AD268" s="293"/>
      <c r="AE268" s="293"/>
      <c r="AF268" s="294"/>
      <c r="AG268" s="291"/>
      <c r="AH268" s="295"/>
      <c r="AI268" s="291"/>
      <c r="AJ268" s="295"/>
      <c r="AK268" s="291"/>
      <c r="AL268" s="291"/>
      <c r="AM268" s="291"/>
      <c r="AN268" s="296">
        <v>35000</v>
      </c>
      <c r="AO268" s="296">
        <v>30000</v>
      </c>
      <c r="AP268" s="296"/>
      <c r="AQ268" s="296"/>
      <c r="AR268" s="296"/>
      <c r="AS268" s="296">
        <f t="shared" si="71"/>
        <v>65000</v>
      </c>
      <c r="AT268" s="297">
        <f t="shared" si="72"/>
        <v>-65000</v>
      </c>
      <c r="AU268" s="297">
        <f t="shared" si="68"/>
        <v>-65000</v>
      </c>
      <c r="AV268" s="297">
        <f t="shared" si="69"/>
        <v>0</v>
      </c>
      <c r="AW268" s="297">
        <f t="shared" si="73"/>
        <v>-32500</v>
      </c>
      <c r="AX268" s="297">
        <f t="shared" si="74"/>
        <v>-29250</v>
      </c>
      <c r="AY268" s="298">
        <v>50000</v>
      </c>
      <c r="AZ268" s="298"/>
      <c r="BA268" s="297">
        <f t="shared" si="75"/>
        <v>-79250</v>
      </c>
      <c r="BB268" s="278"/>
      <c r="BC268" s="255"/>
      <c r="BD268" s="255"/>
    </row>
    <row r="269" spans="1:56" s="256" customFormat="1" ht="20" hidden="1" customHeight="1">
      <c r="A269" s="260">
        <v>269</v>
      </c>
      <c r="B269" s="277"/>
      <c r="C269" s="278"/>
      <c r="D269" s="278"/>
      <c r="E269" s="278"/>
      <c r="F269" s="278"/>
      <c r="G269" s="279" t="e">
        <f>"YB"&amp;RIGHT(#REF!,6)</f>
        <v>#REF!</v>
      </c>
      <c r="H269" s="280"/>
      <c r="I269" s="280"/>
      <c r="J269" s="281">
        <f t="shared" si="70"/>
        <v>0</v>
      </c>
      <c r="K269" s="282"/>
      <c r="L269" s="282"/>
      <c r="M269" s="339"/>
      <c r="N269" s="278"/>
      <c r="O269" s="278"/>
      <c r="P269" s="283"/>
      <c r="Q269" s="278"/>
      <c r="R269" s="284"/>
      <c r="S269" s="282"/>
      <c r="T269" s="285"/>
      <c r="U269" s="286"/>
      <c r="V269" s="287"/>
      <c r="W269" s="288"/>
      <c r="X269" s="286"/>
      <c r="Y269" s="289"/>
      <c r="Z269" s="289"/>
      <c r="AA269" s="290">
        <f t="shared" si="66"/>
        <v>0</v>
      </c>
      <c r="AB269" s="291">
        <f t="shared" si="65"/>
        <v>0</v>
      </c>
      <c r="AC269" s="292">
        <f t="shared" si="67"/>
        <v>0</v>
      </c>
      <c r="AD269" s="293"/>
      <c r="AE269" s="293"/>
      <c r="AF269" s="294"/>
      <c r="AG269" s="291"/>
      <c r="AH269" s="295"/>
      <c r="AI269" s="291"/>
      <c r="AJ269" s="295"/>
      <c r="AK269" s="291"/>
      <c r="AL269" s="291"/>
      <c r="AM269" s="291"/>
      <c r="AN269" s="296">
        <v>35000</v>
      </c>
      <c r="AO269" s="296">
        <v>30000</v>
      </c>
      <c r="AP269" s="296"/>
      <c r="AQ269" s="296"/>
      <c r="AR269" s="296"/>
      <c r="AS269" s="296">
        <f t="shared" si="71"/>
        <v>65000</v>
      </c>
      <c r="AT269" s="297">
        <f t="shared" si="72"/>
        <v>-65000</v>
      </c>
      <c r="AU269" s="297">
        <f t="shared" si="68"/>
        <v>-65000</v>
      </c>
      <c r="AV269" s="297">
        <f t="shared" si="69"/>
        <v>0</v>
      </c>
      <c r="AW269" s="297">
        <f t="shared" si="73"/>
        <v>-32500</v>
      </c>
      <c r="AX269" s="297">
        <f t="shared" si="74"/>
        <v>-29250</v>
      </c>
      <c r="AY269" s="298">
        <v>50000</v>
      </c>
      <c r="AZ269" s="298"/>
      <c r="BA269" s="297">
        <f t="shared" si="75"/>
        <v>-79250</v>
      </c>
      <c r="BB269" s="278"/>
      <c r="BC269" s="255"/>
      <c r="BD269" s="255"/>
    </row>
    <row r="270" spans="1:56" s="256" customFormat="1" ht="20" hidden="1" customHeight="1">
      <c r="A270" s="260">
        <v>270</v>
      </c>
      <c r="B270" s="277"/>
      <c r="C270" s="278"/>
      <c r="D270" s="278"/>
      <c r="E270" s="278"/>
      <c r="F270" s="278"/>
      <c r="G270" s="279" t="e">
        <f>"YB"&amp;RIGHT(#REF!,6)</f>
        <v>#REF!</v>
      </c>
      <c r="H270" s="280"/>
      <c r="I270" s="280"/>
      <c r="J270" s="281">
        <f t="shared" si="70"/>
        <v>0</v>
      </c>
      <c r="K270" s="282"/>
      <c r="L270" s="282"/>
      <c r="M270" s="339"/>
      <c r="N270" s="278"/>
      <c r="O270" s="278"/>
      <c r="P270" s="283"/>
      <c r="Q270" s="278"/>
      <c r="R270" s="284"/>
      <c r="S270" s="282"/>
      <c r="T270" s="285"/>
      <c r="U270" s="286"/>
      <c r="V270" s="287"/>
      <c r="W270" s="288"/>
      <c r="X270" s="286"/>
      <c r="Y270" s="289"/>
      <c r="Z270" s="289"/>
      <c r="AA270" s="290">
        <f t="shared" si="66"/>
        <v>0</v>
      </c>
      <c r="AB270" s="291">
        <f t="shared" si="65"/>
        <v>0</v>
      </c>
      <c r="AC270" s="292">
        <f t="shared" si="67"/>
        <v>0</v>
      </c>
      <c r="AD270" s="293"/>
      <c r="AE270" s="293"/>
      <c r="AF270" s="294"/>
      <c r="AG270" s="291"/>
      <c r="AH270" s="295"/>
      <c r="AI270" s="291"/>
      <c r="AJ270" s="295"/>
      <c r="AK270" s="291"/>
      <c r="AL270" s="291"/>
      <c r="AM270" s="291"/>
      <c r="AN270" s="296">
        <v>35000</v>
      </c>
      <c r="AO270" s="296">
        <v>30000</v>
      </c>
      <c r="AP270" s="296"/>
      <c r="AQ270" s="296"/>
      <c r="AR270" s="296"/>
      <c r="AS270" s="296">
        <f t="shared" si="71"/>
        <v>65000</v>
      </c>
      <c r="AT270" s="297">
        <f t="shared" si="72"/>
        <v>-65000</v>
      </c>
      <c r="AU270" s="297">
        <f t="shared" si="68"/>
        <v>-65000</v>
      </c>
      <c r="AV270" s="297">
        <f t="shared" si="69"/>
        <v>0</v>
      </c>
      <c r="AW270" s="297">
        <f t="shared" si="73"/>
        <v>-32500</v>
      </c>
      <c r="AX270" s="297">
        <f t="shared" si="74"/>
        <v>-29250</v>
      </c>
      <c r="AY270" s="298">
        <v>50000</v>
      </c>
      <c r="AZ270" s="298"/>
      <c r="BA270" s="297">
        <f t="shared" si="75"/>
        <v>-79250</v>
      </c>
      <c r="BB270" s="278"/>
      <c r="BC270" s="255"/>
      <c r="BD270" s="255"/>
    </row>
    <row r="271" spans="1:56" s="256" customFormat="1" ht="20" hidden="1" customHeight="1">
      <c r="A271" s="260">
        <v>271</v>
      </c>
      <c r="B271" s="277"/>
      <c r="C271" s="278"/>
      <c r="D271" s="278"/>
      <c r="E271" s="278"/>
      <c r="F271" s="278"/>
      <c r="G271" s="279" t="e">
        <f>"YB"&amp;RIGHT(#REF!,6)</f>
        <v>#REF!</v>
      </c>
      <c r="H271" s="280"/>
      <c r="I271" s="280"/>
      <c r="J271" s="281">
        <f t="shared" si="70"/>
        <v>0</v>
      </c>
      <c r="K271" s="282"/>
      <c r="L271" s="282"/>
      <c r="M271" s="339"/>
      <c r="N271" s="278"/>
      <c r="O271" s="278"/>
      <c r="P271" s="283"/>
      <c r="Q271" s="278"/>
      <c r="R271" s="284"/>
      <c r="S271" s="282"/>
      <c r="T271" s="285"/>
      <c r="U271" s="286"/>
      <c r="V271" s="287"/>
      <c r="W271" s="288"/>
      <c r="X271" s="286"/>
      <c r="Y271" s="289"/>
      <c r="Z271" s="289"/>
      <c r="AA271" s="290">
        <f t="shared" si="66"/>
        <v>0</v>
      </c>
      <c r="AB271" s="291">
        <f t="shared" si="65"/>
        <v>0</v>
      </c>
      <c r="AC271" s="292">
        <f t="shared" si="67"/>
        <v>0</v>
      </c>
      <c r="AD271" s="293"/>
      <c r="AE271" s="293"/>
      <c r="AF271" s="294"/>
      <c r="AG271" s="291"/>
      <c r="AH271" s="295"/>
      <c r="AI271" s="291"/>
      <c r="AJ271" s="295"/>
      <c r="AK271" s="291"/>
      <c r="AL271" s="291"/>
      <c r="AM271" s="291"/>
      <c r="AN271" s="296">
        <v>35000</v>
      </c>
      <c r="AO271" s="296">
        <v>30000</v>
      </c>
      <c r="AP271" s="296"/>
      <c r="AQ271" s="296"/>
      <c r="AR271" s="296"/>
      <c r="AS271" s="296">
        <f t="shared" si="71"/>
        <v>65000</v>
      </c>
      <c r="AT271" s="297">
        <f t="shared" si="72"/>
        <v>-65000</v>
      </c>
      <c r="AU271" s="297">
        <f t="shared" si="68"/>
        <v>-65000</v>
      </c>
      <c r="AV271" s="297">
        <f t="shared" si="69"/>
        <v>0</v>
      </c>
      <c r="AW271" s="297">
        <f t="shared" si="73"/>
        <v>-32500</v>
      </c>
      <c r="AX271" s="297">
        <f t="shared" si="74"/>
        <v>-29250</v>
      </c>
      <c r="AY271" s="298">
        <v>50000</v>
      </c>
      <c r="AZ271" s="298"/>
      <c r="BA271" s="297">
        <f t="shared" si="75"/>
        <v>-79250</v>
      </c>
      <c r="BB271" s="278"/>
      <c r="BC271" s="255"/>
      <c r="BD271" s="255"/>
    </row>
    <row r="272" spans="1:56" s="256" customFormat="1" ht="20" hidden="1" customHeight="1">
      <c r="A272" s="260">
        <v>272</v>
      </c>
      <c r="B272" s="277"/>
      <c r="C272" s="278"/>
      <c r="D272" s="278"/>
      <c r="E272" s="278"/>
      <c r="F272" s="278"/>
      <c r="G272" s="279" t="e">
        <f>"YB"&amp;RIGHT(#REF!,6)</f>
        <v>#REF!</v>
      </c>
      <c r="H272" s="280"/>
      <c r="I272" s="280"/>
      <c r="J272" s="281">
        <f t="shared" si="70"/>
        <v>0</v>
      </c>
      <c r="K272" s="282"/>
      <c r="L272" s="282"/>
      <c r="M272" s="339"/>
      <c r="N272" s="278"/>
      <c r="O272" s="278"/>
      <c r="P272" s="283"/>
      <c r="Q272" s="278"/>
      <c r="R272" s="284"/>
      <c r="S272" s="282"/>
      <c r="T272" s="285"/>
      <c r="U272" s="286"/>
      <c r="V272" s="287"/>
      <c r="W272" s="288"/>
      <c r="X272" s="286"/>
      <c r="Y272" s="289"/>
      <c r="Z272" s="289"/>
      <c r="AA272" s="290">
        <f t="shared" si="66"/>
        <v>0</v>
      </c>
      <c r="AB272" s="291">
        <f t="shared" si="65"/>
        <v>0</v>
      </c>
      <c r="AC272" s="292">
        <f t="shared" si="67"/>
        <v>0</v>
      </c>
      <c r="AD272" s="293"/>
      <c r="AE272" s="293"/>
      <c r="AF272" s="294"/>
      <c r="AG272" s="291"/>
      <c r="AH272" s="295"/>
      <c r="AI272" s="291"/>
      <c r="AJ272" s="295"/>
      <c r="AK272" s="291"/>
      <c r="AL272" s="291"/>
      <c r="AM272" s="291"/>
      <c r="AN272" s="296">
        <v>35000</v>
      </c>
      <c r="AO272" s="296">
        <v>30000</v>
      </c>
      <c r="AP272" s="296"/>
      <c r="AQ272" s="296"/>
      <c r="AR272" s="296"/>
      <c r="AS272" s="296">
        <f t="shared" si="71"/>
        <v>65000</v>
      </c>
      <c r="AT272" s="297">
        <f t="shared" si="72"/>
        <v>-65000</v>
      </c>
      <c r="AU272" s="297">
        <f t="shared" si="68"/>
        <v>-65000</v>
      </c>
      <c r="AV272" s="297">
        <f t="shared" si="69"/>
        <v>0</v>
      </c>
      <c r="AW272" s="297">
        <f t="shared" si="73"/>
        <v>-32500</v>
      </c>
      <c r="AX272" s="297">
        <f t="shared" si="74"/>
        <v>-29250</v>
      </c>
      <c r="AY272" s="298">
        <v>50000</v>
      </c>
      <c r="AZ272" s="298"/>
      <c r="BA272" s="297">
        <f t="shared" si="75"/>
        <v>-79250</v>
      </c>
      <c r="BB272" s="278"/>
      <c r="BC272" s="255"/>
      <c r="BD272" s="255"/>
    </row>
    <row r="273" spans="1:56" s="256" customFormat="1" ht="20" hidden="1" customHeight="1">
      <c r="A273" s="260">
        <v>273</v>
      </c>
      <c r="B273" s="277"/>
      <c r="C273" s="278"/>
      <c r="D273" s="278"/>
      <c r="E273" s="278"/>
      <c r="F273" s="278"/>
      <c r="G273" s="279" t="e">
        <f>"YB"&amp;RIGHT(#REF!,6)</f>
        <v>#REF!</v>
      </c>
      <c r="H273" s="280"/>
      <c r="I273" s="280"/>
      <c r="J273" s="281">
        <f t="shared" si="70"/>
        <v>0</v>
      </c>
      <c r="K273" s="282"/>
      <c r="L273" s="282"/>
      <c r="M273" s="339"/>
      <c r="N273" s="278"/>
      <c r="O273" s="278"/>
      <c r="P273" s="283"/>
      <c r="Q273" s="278"/>
      <c r="R273" s="284"/>
      <c r="S273" s="282"/>
      <c r="T273" s="285"/>
      <c r="U273" s="286"/>
      <c r="V273" s="287"/>
      <c r="W273" s="288"/>
      <c r="X273" s="286"/>
      <c r="Y273" s="289"/>
      <c r="Z273" s="289"/>
      <c r="AA273" s="290">
        <f t="shared" si="66"/>
        <v>0</v>
      </c>
      <c r="AB273" s="291">
        <f t="shared" si="65"/>
        <v>0</v>
      </c>
      <c r="AC273" s="292">
        <f t="shared" si="67"/>
        <v>0</v>
      </c>
      <c r="AD273" s="293"/>
      <c r="AE273" s="293"/>
      <c r="AF273" s="294"/>
      <c r="AG273" s="291"/>
      <c r="AH273" s="295"/>
      <c r="AI273" s="291"/>
      <c r="AJ273" s="295"/>
      <c r="AK273" s="291"/>
      <c r="AL273" s="291"/>
      <c r="AM273" s="291"/>
      <c r="AN273" s="296">
        <v>35000</v>
      </c>
      <c r="AO273" s="296">
        <v>30000</v>
      </c>
      <c r="AP273" s="296"/>
      <c r="AQ273" s="296"/>
      <c r="AR273" s="296"/>
      <c r="AS273" s="296">
        <f t="shared" si="71"/>
        <v>65000</v>
      </c>
      <c r="AT273" s="297">
        <f t="shared" si="72"/>
        <v>-65000</v>
      </c>
      <c r="AU273" s="297">
        <f t="shared" si="68"/>
        <v>-65000</v>
      </c>
      <c r="AV273" s="297">
        <f t="shared" si="69"/>
        <v>0</v>
      </c>
      <c r="AW273" s="297">
        <f t="shared" si="73"/>
        <v>-32500</v>
      </c>
      <c r="AX273" s="297">
        <f t="shared" si="74"/>
        <v>-29250</v>
      </c>
      <c r="AY273" s="298">
        <v>50000</v>
      </c>
      <c r="AZ273" s="298"/>
      <c r="BA273" s="297">
        <f t="shared" si="75"/>
        <v>-79250</v>
      </c>
      <c r="BB273" s="278"/>
      <c r="BC273" s="255"/>
      <c r="BD273" s="255"/>
    </row>
    <row r="274" spans="1:56" s="256" customFormat="1" ht="20" hidden="1" customHeight="1">
      <c r="A274" s="260">
        <v>274</v>
      </c>
      <c r="B274" s="277"/>
      <c r="C274" s="278"/>
      <c r="D274" s="278"/>
      <c r="E274" s="278"/>
      <c r="F274" s="278"/>
      <c r="G274" s="279" t="e">
        <f>"YB"&amp;RIGHT(#REF!,6)</f>
        <v>#REF!</v>
      </c>
      <c r="H274" s="280"/>
      <c r="I274" s="280"/>
      <c r="J274" s="281">
        <f t="shared" si="70"/>
        <v>0</v>
      </c>
      <c r="K274" s="282"/>
      <c r="L274" s="282"/>
      <c r="M274" s="339"/>
      <c r="N274" s="278"/>
      <c r="O274" s="278"/>
      <c r="P274" s="283"/>
      <c r="Q274" s="278"/>
      <c r="R274" s="284"/>
      <c r="S274" s="282"/>
      <c r="T274" s="285"/>
      <c r="U274" s="286"/>
      <c r="V274" s="287"/>
      <c r="W274" s="288"/>
      <c r="X274" s="286"/>
      <c r="Y274" s="289"/>
      <c r="Z274" s="289"/>
      <c r="AA274" s="290">
        <f t="shared" si="66"/>
        <v>0</v>
      </c>
      <c r="AB274" s="291">
        <f t="shared" si="65"/>
        <v>0</v>
      </c>
      <c r="AC274" s="292">
        <f t="shared" si="67"/>
        <v>0</v>
      </c>
      <c r="AD274" s="293"/>
      <c r="AE274" s="293"/>
      <c r="AF274" s="294"/>
      <c r="AG274" s="291"/>
      <c r="AH274" s="295"/>
      <c r="AI274" s="291"/>
      <c r="AJ274" s="295"/>
      <c r="AK274" s="291"/>
      <c r="AL274" s="291"/>
      <c r="AM274" s="291"/>
      <c r="AN274" s="296">
        <v>35000</v>
      </c>
      <c r="AO274" s="296">
        <v>30000</v>
      </c>
      <c r="AP274" s="296"/>
      <c r="AQ274" s="296"/>
      <c r="AR274" s="296"/>
      <c r="AS274" s="296">
        <f t="shared" si="71"/>
        <v>65000</v>
      </c>
      <c r="AT274" s="297">
        <f t="shared" si="72"/>
        <v>-65000</v>
      </c>
      <c r="AU274" s="297">
        <f t="shared" si="68"/>
        <v>-65000</v>
      </c>
      <c r="AV274" s="297">
        <f t="shared" si="69"/>
        <v>0</v>
      </c>
      <c r="AW274" s="297">
        <f t="shared" si="73"/>
        <v>-32500</v>
      </c>
      <c r="AX274" s="297">
        <f t="shared" si="74"/>
        <v>-29250</v>
      </c>
      <c r="AY274" s="298">
        <v>50000</v>
      </c>
      <c r="AZ274" s="298"/>
      <c r="BA274" s="297">
        <f t="shared" si="75"/>
        <v>-79250</v>
      </c>
      <c r="BB274" s="278"/>
      <c r="BC274" s="255"/>
      <c r="BD274" s="255"/>
    </row>
    <row r="275" spans="1:56" s="256" customFormat="1" ht="20" hidden="1" customHeight="1">
      <c r="A275" s="260">
        <v>275</v>
      </c>
      <c r="B275" s="277"/>
      <c r="C275" s="278"/>
      <c r="D275" s="278"/>
      <c r="E275" s="278"/>
      <c r="F275" s="278"/>
      <c r="G275" s="279" t="e">
        <f>"YB"&amp;RIGHT(#REF!,6)</f>
        <v>#REF!</v>
      </c>
      <c r="H275" s="280"/>
      <c r="I275" s="280"/>
      <c r="J275" s="281">
        <f t="shared" si="70"/>
        <v>0</v>
      </c>
      <c r="K275" s="282"/>
      <c r="L275" s="282"/>
      <c r="M275" s="339"/>
      <c r="N275" s="278"/>
      <c r="O275" s="278"/>
      <c r="P275" s="283"/>
      <c r="Q275" s="278"/>
      <c r="R275" s="284"/>
      <c r="S275" s="282"/>
      <c r="T275" s="285"/>
      <c r="U275" s="286"/>
      <c r="V275" s="287"/>
      <c r="W275" s="288"/>
      <c r="X275" s="286"/>
      <c r="Y275" s="289"/>
      <c r="Z275" s="289"/>
      <c r="AA275" s="290">
        <f t="shared" si="66"/>
        <v>0</v>
      </c>
      <c r="AB275" s="291">
        <f t="shared" si="65"/>
        <v>0</v>
      </c>
      <c r="AC275" s="292">
        <f t="shared" si="67"/>
        <v>0</v>
      </c>
      <c r="AD275" s="293"/>
      <c r="AE275" s="293"/>
      <c r="AF275" s="294"/>
      <c r="AG275" s="291"/>
      <c r="AH275" s="295"/>
      <c r="AI275" s="291"/>
      <c r="AJ275" s="295"/>
      <c r="AK275" s="291"/>
      <c r="AL275" s="291"/>
      <c r="AM275" s="291"/>
      <c r="AN275" s="296">
        <v>35000</v>
      </c>
      <c r="AO275" s="296">
        <v>30000</v>
      </c>
      <c r="AP275" s="296"/>
      <c r="AQ275" s="296"/>
      <c r="AR275" s="296"/>
      <c r="AS275" s="296">
        <f t="shared" si="71"/>
        <v>65000</v>
      </c>
      <c r="AT275" s="297">
        <f t="shared" si="72"/>
        <v>-65000</v>
      </c>
      <c r="AU275" s="297">
        <f t="shared" si="68"/>
        <v>-65000</v>
      </c>
      <c r="AV275" s="297">
        <f t="shared" si="69"/>
        <v>0</v>
      </c>
      <c r="AW275" s="297">
        <f t="shared" si="73"/>
        <v>-32500</v>
      </c>
      <c r="AX275" s="297">
        <f t="shared" si="74"/>
        <v>-29250</v>
      </c>
      <c r="AY275" s="298">
        <v>50000</v>
      </c>
      <c r="AZ275" s="298"/>
      <c r="BA275" s="297">
        <f t="shared" si="75"/>
        <v>-79250</v>
      </c>
      <c r="BB275" s="278"/>
      <c r="BC275" s="255"/>
      <c r="BD275" s="255"/>
    </row>
    <row r="276" spans="1:56" s="256" customFormat="1" ht="20" hidden="1" customHeight="1">
      <c r="A276" s="260">
        <v>276</v>
      </c>
      <c r="B276" s="277"/>
      <c r="C276" s="278"/>
      <c r="D276" s="278"/>
      <c r="E276" s="278"/>
      <c r="F276" s="278"/>
      <c r="G276" s="279" t="e">
        <f>"YB"&amp;RIGHT(#REF!,6)</f>
        <v>#REF!</v>
      </c>
      <c r="H276" s="280"/>
      <c r="I276" s="280"/>
      <c r="J276" s="281">
        <f t="shared" si="70"/>
        <v>0</v>
      </c>
      <c r="K276" s="282"/>
      <c r="L276" s="282"/>
      <c r="M276" s="339"/>
      <c r="N276" s="278"/>
      <c r="O276" s="278"/>
      <c r="P276" s="283"/>
      <c r="Q276" s="278"/>
      <c r="R276" s="284"/>
      <c r="S276" s="282"/>
      <c r="T276" s="285"/>
      <c r="U276" s="286"/>
      <c r="V276" s="287"/>
      <c r="W276" s="288"/>
      <c r="X276" s="286"/>
      <c r="Y276" s="289"/>
      <c r="Z276" s="289"/>
      <c r="AA276" s="290">
        <f t="shared" si="66"/>
        <v>0</v>
      </c>
      <c r="AB276" s="291">
        <f t="shared" si="65"/>
        <v>0</v>
      </c>
      <c r="AC276" s="292">
        <f t="shared" si="67"/>
        <v>0</v>
      </c>
      <c r="AD276" s="293"/>
      <c r="AE276" s="293"/>
      <c r="AF276" s="294"/>
      <c r="AG276" s="291"/>
      <c r="AH276" s="295"/>
      <c r="AI276" s="291"/>
      <c r="AJ276" s="295"/>
      <c r="AK276" s="291"/>
      <c r="AL276" s="291"/>
      <c r="AM276" s="291"/>
      <c r="AN276" s="296">
        <v>35000</v>
      </c>
      <c r="AO276" s="296">
        <v>30000</v>
      </c>
      <c r="AP276" s="296"/>
      <c r="AQ276" s="296"/>
      <c r="AR276" s="296"/>
      <c r="AS276" s="296">
        <f t="shared" si="71"/>
        <v>65000</v>
      </c>
      <c r="AT276" s="297">
        <f t="shared" si="72"/>
        <v>-65000</v>
      </c>
      <c r="AU276" s="297">
        <f t="shared" si="68"/>
        <v>-65000</v>
      </c>
      <c r="AV276" s="297">
        <f t="shared" si="69"/>
        <v>0</v>
      </c>
      <c r="AW276" s="297">
        <f t="shared" si="73"/>
        <v>-32500</v>
      </c>
      <c r="AX276" s="297">
        <f t="shared" si="74"/>
        <v>-29250</v>
      </c>
      <c r="AY276" s="298">
        <v>50000</v>
      </c>
      <c r="AZ276" s="298"/>
      <c r="BA276" s="297">
        <f t="shared" si="75"/>
        <v>-79250</v>
      </c>
      <c r="BB276" s="278"/>
      <c r="BC276" s="255"/>
      <c r="BD276" s="255"/>
    </row>
    <row r="277" spans="1:56" s="256" customFormat="1" ht="20" hidden="1" customHeight="1">
      <c r="A277" s="260">
        <v>277</v>
      </c>
      <c r="B277" s="277"/>
      <c r="C277" s="278"/>
      <c r="D277" s="278"/>
      <c r="E277" s="278"/>
      <c r="F277" s="278"/>
      <c r="G277" s="279" t="e">
        <f>"YB"&amp;RIGHT(#REF!,6)</f>
        <v>#REF!</v>
      </c>
      <c r="H277" s="280"/>
      <c r="I277" s="280"/>
      <c r="J277" s="281">
        <f t="shared" si="70"/>
        <v>0</v>
      </c>
      <c r="K277" s="282"/>
      <c r="L277" s="282"/>
      <c r="M277" s="339"/>
      <c r="N277" s="278"/>
      <c r="O277" s="278"/>
      <c r="P277" s="283"/>
      <c r="Q277" s="278"/>
      <c r="R277" s="284"/>
      <c r="S277" s="282"/>
      <c r="T277" s="285"/>
      <c r="U277" s="286"/>
      <c r="V277" s="287"/>
      <c r="W277" s="288"/>
      <c r="X277" s="286"/>
      <c r="Y277" s="289"/>
      <c r="Z277" s="289"/>
      <c r="AA277" s="290">
        <f t="shared" si="66"/>
        <v>0</v>
      </c>
      <c r="AB277" s="291">
        <f t="shared" si="65"/>
        <v>0</v>
      </c>
      <c r="AC277" s="292">
        <f t="shared" si="67"/>
        <v>0</v>
      </c>
      <c r="AD277" s="293"/>
      <c r="AE277" s="293"/>
      <c r="AF277" s="294"/>
      <c r="AG277" s="291"/>
      <c r="AH277" s="295"/>
      <c r="AI277" s="291"/>
      <c r="AJ277" s="295"/>
      <c r="AK277" s="291"/>
      <c r="AL277" s="291"/>
      <c r="AM277" s="291"/>
      <c r="AN277" s="296">
        <v>35000</v>
      </c>
      <c r="AO277" s="296">
        <v>30000</v>
      </c>
      <c r="AP277" s="296"/>
      <c r="AQ277" s="296"/>
      <c r="AR277" s="296"/>
      <c r="AS277" s="296">
        <f t="shared" si="71"/>
        <v>65000</v>
      </c>
      <c r="AT277" s="297">
        <f t="shared" si="72"/>
        <v>-65000</v>
      </c>
      <c r="AU277" s="297">
        <f t="shared" si="68"/>
        <v>-65000</v>
      </c>
      <c r="AV277" s="297">
        <f t="shared" si="69"/>
        <v>0</v>
      </c>
      <c r="AW277" s="297">
        <f t="shared" si="73"/>
        <v>-32500</v>
      </c>
      <c r="AX277" s="297">
        <f t="shared" si="74"/>
        <v>-29250</v>
      </c>
      <c r="AY277" s="298">
        <v>50000</v>
      </c>
      <c r="AZ277" s="298"/>
      <c r="BA277" s="297">
        <f t="shared" si="75"/>
        <v>-79250</v>
      </c>
      <c r="BB277" s="278"/>
      <c r="BC277" s="255"/>
      <c r="BD277" s="255"/>
    </row>
    <row r="278" spans="1:56" s="256" customFormat="1" ht="20" hidden="1" customHeight="1">
      <c r="A278" s="260">
        <v>278</v>
      </c>
      <c r="B278" s="277"/>
      <c r="C278" s="278"/>
      <c r="D278" s="278"/>
      <c r="E278" s="278"/>
      <c r="F278" s="278"/>
      <c r="G278" s="279" t="e">
        <f>"YB"&amp;RIGHT(#REF!,6)</f>
        <v>#REF!</v>
      </c>
      <c r="H278" s="280"/>
      <c r="I278" s="280"/>
      <c r="J278" s="281">
        <f t="shared" si="70"/>
        <v>0</v>
      </c>
      <c r="K278" s="282"/>
      <c r="L278" s="282"/>
      <c r="M278" s="339"/>
      <c r="N278" s="278"/>
      <c r="O278" s="278"/>
      <c r="P278" s="283"/>
      <c r="Q278" s="278"/>
      <c r="R278" s="284"/>
      <c r="S278" s="282"/>
      <c r="T278" s="285"/>
      <c r="U278" s="286"/>
      <c r="V278" s="287"/>
      <c r="W278" s="288"/>
      <c r="X278" s="286"/>
      <c r="Y278" s="289"/>
      <c r="Z278" s="289"/>
      <c r="AA278" s="290">
        <f t="shared" si="66"/>
        <v>0</v>
      </c>
      <c r="AB278" s="291">
        <f t="shared" si="65"/>
        <v>0</v>
      </c>
      <c r="AC278" s="292">
        <f t="shared" si="67"/>
        <v>0</v>
      </c>
      <c r="AD278" s="293"/>
      <c r="AE278" s="293"/>
      <c r="AF278" s="294"/>
      <c r="AG278" s="291"/>
      <c r="AH278" s="295"/>
      <c r="AI278" s="291"/>
      <c r="AJ278" s="295"/>
      <c r="AK278" s="291"/>
      <c r="AL278" s="291"/>
      <c r="AM278" s="291"/>
      <c r="AN278" s="296">
        <v>35000</v>
      </c>
      <c r="AO278" s="296">
        <v>30000</v>
      </c>
      <c r="AP278" s="296"/>
      <c r="AQ278" s="296"/>
      <c r="AR278" s="296"/>
      <c r="AS278" s="296">
        <f t="shared" si="71"/>
        <v>65000</v>
      </c>
      <c r="AT278" s="297">
        <f t="shared" si="72"/>
        <v>-65000</v>
      </c>
      <c r="AU278" s="297">
        <f t="shared" si="68"/>
        <v>-65000</v>
      </c>
      <c r="AV278" s="297">
        <f t="shared" si="69"/>
        <v>0</v>
      </c>
      <c r="AW278" s="297">
        <f t="shared" si="73"/>
        <v>-32500</v>
      </c>
      <c r="AX278" s="297">
        <f t="shared" si="74"/>
        <v>-29250</v>
      </c>
      <c r="AY278" s="298">
        <v>50000</v>
      </c>
      <c r="AZ278" s="298"/>
      <c r="BA278" s="297">
        <f t="shared" si="75"/>
        <v>-79250</v>
      </c>
      <c r="BB278" s="278"/>
      <c r="BC278" s="255"/>
      <c r="BD278" s="255"/>
    </row>
    <row r="279" spans="1:56" s="256" customFormat="1" ht="20" hidden="1" customHeight="1">
      <c r="A279" s="260">
        <v>279</v>
      </c>
      <c r="B279" s="277"/>
      <c r="C279" s="278"/>
      <c r="D279" s="278"/>
      <c r="E279" s="278"/>
      <c r="F279" s="278"/>
      <c r="G279" s="279" t="e">
        <f>"YB"&amp;RIGHT(#REF!,6)</f>
        <v>#REF!</v>
      </c>
      <c r="H279" s="280"/>
      <c r="I279" s="280"/>
      <c r="J279" s="281">
        <f t="shared" si="70"/>
        <v>0</v>
      </c>
      <c r="K279" s="282"/>
      <c r="L279" s="282"/>
      <c r="M279" s="339"/>
      <c r="N279" s="278"/>
      <c r="O279" s="278"/>
      <c r="P279" s="283"/>
      <c r="Q279" s="278"/>
      <c r="R279" s="284"/>
      <c r="S279" s="282"/>
      <c r="T279" s="285"/>
      <c r="U279" s="286"/>
      <c r="V279" s="287"/>
      <c r="W279" s="288"/>
      <c r="X279" s="286"/>
      <c r="Y279" s="289"/>
      <c r="Z279" s="289"/>
      <c r="AA279" s="290">
        <f t="shared" si="66"/>
        <v>0</v>
      </c>
      <c r="AB279" s="291">
        <f t="shared" si="65"/>
        <v>0</v>
      </c>
      <c r="AC279" s="292">
        <f t="shared" si="67"/>
        <v>0</v>
      </c>
      <c r="AD279" s="293"/>
      <c r="AE279" s="293"/>
      <c r="AF279" s="294"/>
      <c r="AG279" s="291"/>
      <c r="AH279" s="295"/>
      <c r="AI279" s="291"/>
      <c r="AJ279" s="295"/>
      <c r="AK279" s="291"/>
      <c r="AL279" s="291"/>
      <c r="AM279" s="291"/>
      <c r="AN279" s="296">
        <v>35000</v>
      </c>
      <c r="AO279" s="296">
        <v>30000</v>
      </c>
      <c r="AP279" s="296"/>
      <c r="AQ279" s="296"/>
      <c r="AR279" s="296"/>
      <c r="AS279" s="296">
        <f t="shared" si="71"/>
        <v>65000</v>
      </c>
      <c r="AT279" s="297">
        <f t="shared" si="72"/>
        <v>-65000</v>
      </c>
      <c r="AU279" s="297">
        <f t="shared" si="68"/>
        <v>-65000</v>
      </c>
      <c r="AV279" s="297">
        <f t="shared" si="69"/>
        <v>0</v>
      </c>
      <c r="AW279" s="297">
        <f t="shared" si="73"/>
        <v>-32500</v>
      </c>
      <c r="AX279" s="297">
        <f t="shared" si="74"/>
        <v>-29250</v>
      </c>
      <c r="AY279" s="298">
        <v>50000</v>
      </c>
      <c r="AZ279" s="298"/>
      <c r="BA279" s="297">
        <f t="shared" si="75"/>
        <v>-79250</v>
      </c>
      <c r="BB279" s="278"/>
      <c r="BC279" s="255"/>
      <c r="BD279" s="255"/>
    </row>
    <row r="280" spans="1:56" s="256" customFormat="1" ht="20" hidden="1" customHeight="1">
      <c r="A280" s="260">
        <v>280</v>
      </c>
      <c r="B280" s="277"/>
      <c r="C280" s="278"/>
      <c r="D280" s="278"/>
      <c r="E280" s="278"/>
      <c r="F280" s="278"/>
      <c r="G280" s="279" t="e">
        <f>"YB"&amp;RIGHT(#REF!,6)</f>
        <v>#REF!</v>
      </c>
      <c r="H280" s="280"/>
      <c r="I280" s="280"/>
      <c r="J280" s="281">
        <f t="shared" si="70"/>
        <v>0</v>
      </c>
      <c r="K280" s="282"/>
      <c r="L280" s="282"/>
      <c r="M280" s="339"/>
      <c r="N280" s="278"/>
      <c r="O280" s="278"/>
      <c r="P280" s="283"/>
      <c r="Q280" s="278"/>
      <c r="R280" s="284"/>
      <c r="S280" s="282"/>
      <c r="T280" s="285"/>
      <c r="U280" s="286"/>
      <c r="V280" s="287"/>
      <c r="W280" s="288"/>
      <c r="X280" s="286"/>
      <c r="Y280" s="289"/>
      <c r="Z280" s="289"/>
      <c r="AA280" s="290">
        <f t="shared" si="66"/>
        <v>0</v>
      </c>
      <c r="AB280" s="291">
        <f t="shared" si="65"/>
        <v>0</v>
      </c>
      <c r="AC280" s="292">
        <f t="shared" si="67"/>
        <v>0</v>
      </c>
      <c r="AD280" s="293"/>
      <c r="AE280" s="293"/>
      <c r="AF280" s="294"/>
      <c r="AG280" s="291"/>
      <c r="AH280" s="295"/>
      <c r="AI280" s="291"/>
      <c r="AJ280" s="295"/>
      <c r="AK280" s="291"/>
      <c r="AL280" s="291"/>
      <c r="AM280" s="291"/>
      <c r="AN280" s="296">
        <v>35000</v>
      </c>
      <c r="AO280" s="296">
        <v>30000</v>
      </c>
      <c r="AP280" s="296"/>
      <c r="AQ280" s="296"/>
      <c r="AR280" s="296"/>
      <c r="AS280" s="296">
        <f t="shared" si="71"/>
        <v>65000</v>
      </c>
      <c r="AT280" s="297">
        <f t="shared" si="72"/>
        <v>-65000</v>
      </c>
      <c r="AU280" s="297">
        <f t="shared" si="68"/>
        <v>-65000</v>
      </c>
      <c r="AV280" s="297">
        <f t="shared" si="69"/>
        <v>0</v>
      </c>
      <c r="AW280" s="297">
        <f t="shared" si="73"/>
        <v>-32500</v>
      </c>
      <c r="AX280" s="297">
        <f t="shared" si="74"/>
        <v>-29250</v>
      </c>
      <c r="AY280" s="298">
        <v>50000</v>
      </c>
      <c r="AZ280" s="298"/>
      <c r="BA280" s="297">
        <f t="shared" si="75"/>
        <v>-79250</v>
      </c>
      <c r="BB280" s="278"/>
      <c r="BC280" s="255"/>
      <c r="BD280" s="255"/>
    </row>
    <row r="281" spans="1:56" s="256" customFormat="1" ht="20" hidden="1" customHeight="1">
      <c r="A281" s="260">
        <v>281</v>
      </c>
      <c r="B281" s="277"/>
      <c r="C281" s="278"/>
      <c r="D281" s="278"/>
      <c r="E281" s="278"/>
      <c r="F281" s="278"/>
      <c r="G281" s="279" t="e">
        <f>"YB"&amp;RIGHT(#REF!,6)</f>
        <v>#REF!</v>
      </c>
      <c r="H281" s="280"/>
      <c r="I281" s="280"/>
      <c r="J281" s="281">
        <f t="shared" si="70"/>
        <v>0</v>
      </c>
      <c r="K281" s="282"/>
      <c r="L281" s="282"/>
      <c r="M281" s="339"/>
      <c r="N281" s="278"/>
      <c r="O281" s="278"/>
      <c r="P281" s="283"/>
      <c r="Q281" s="278"/>
      <c r="R281" s="284"/>
      <c r="S281" s="282"/>
      <c r="T281" s="285"/>
      <c r="U281" s="286"/>
      <c r="V281" s="287"/>
      <c r="W281" s="288"/>
      <c r="X281" s="286"/>
      <c r="Y281" s="289"/>
      <c r="Z281" s="289"/>
      <c r="AA281" s="290">
        <f t="shared" si="66"/>
        <v>0</v>
      </c>
      <c r="AB281" s="291">
        <f t="shared" si="65"/>
        <v>0</v>
      </c>
      <c r="AC281" s="292">
        <f t="shared" si="67"/>
        <v>0</v>
      </c>
      <c r="AD281" s="293"/>
      <c r="AE281" s="293"/>
      <c r="AF281" s="294"/>
      <c r="AG281" s="291"/>
      <c r="AH281" s="295"/>
      <c r="AI281" s="291"/>
      <c r="AJ281" s="295"/>
      <c r="AK281" s="291"/>
      <c r="AL281" s="291"/>
      <c r="AM281" s="291"/>
      <c r="AN281" s="296">
        <v>35000</v>
      </c>
      <c r="AO281" s="296">
        <v>30000</v>
      </c>
      <c r="AP281" s="296"/>
      <c r="AQ281" s="296"/>
      <c r="AR281" s="296"/>
      <c r="AS281" s="296">
        <f t="shared" si="71"/>
        <v>65000</v>
      </c>
      <c r="AT281" s="297">
        <f t="shared" si="72"/>
        <v>-65000</v>
      </c>
      <c r="AU281" s="297">
        <f t="shared" si="68"/>
        <v>-65000</v>
      </c>
      <c r="AV281" s="297">
        <f t="shared" si="69"/>
        <v>0</v>
      </c>
      <c r="AW281" s="297">
        <f t="shared" si="73"/>
        <v>-32500</v>
      </c>
      <c r="AX281" s="297">
        <f t="shared" si="74"/>
        <v>-29250</v>
      </c>
      <c r="AY281" s="298">
        <v>50000</v>
      </c>
      <c r="AZ281" s="298"/>
      <c r="BA281" s="297">
        <f t="shared" si="75"/>
        <v>-79250</v>
      </c>
      <c r="BB281" s="278"/>
      <c r="BC281" s="255"/>
      <c r="BD281" s="255"/>
    </row>
    <row r="282" spans="1:56" s="256" customFormat="1" ht="20" hidden="1" customHeight="1">
      <c r="A282" s="260">
        <v>282</v>
      </c>
      <c r="B282" s="277"/>
      <c r="C282" s="278"/>
      <c r="D282" s="278"/>
      <c r="E282" s="278"/>
      <c r="F282" s="278"/>
      <c r="G282" s="279" t="e">
        <f>"YB"&amp;RIGHT(#REF!,6)</f>
        <v>#REF!</v>
      </c>
      <c r="H282" s="280"/>
      <c r="I282" s="280"/>
      <c r="J282" s="281">
        <f t="shared" si="70"/>
        <v>0</v>
      </c>
      <c r="K282" s="282"/>
      <c r="L282" s="282"/>
      <c r="M282" s="339"/>
      <c r="N282" s="278"/>
      <c r="O282" s="278"/>
      <c r="P282" s="283"/>
      <c r="Q282" s="278"/>
      <c r="R282" s="284"/>
      <c r="S282" s="282"/>
      <c r="T282" s="285"/>
      <c r="U282" s="286"/>
      <c r="V282" s="287"/>
      <c r="W282" s="288"/>
      <c r="X282" s="286"/>
      <c r="Y282" s="289"/>
      <c r="Z282" s="289"/>
      <c r="AA282" s="290">
        <f t="shared" si="66"/>
        <v>0</v>
      </c>
      <c r="AB282" s="291">
        <f t="shared" si="65"/>
        <v>0</v>
      </c>
      <c r="AC282" s="292">
        <f t="shared" si="67"/>
        <v>0</v>
      </c>
      <c r="AD282" s="293"/>
      <c r="AE282" s="293"/>
      <c r="AF282" s="294"/>
      <c r="AG282" s="291"/>
      <c r="AH282" s="295"/>
      <c r="AI282" s="291"/>
      <c r="AJ282" s="295"/>
      <c r="AK282" s="291"/>
      <c r="AL282" s="291"/>
      <c r="AM282" s="291"/>
      <c r="AN282" s="296">
        <v>35000</v>
      </c>
      <c r="AO282" s="296">
        <v>30000</v>
      </c>
      <c r="AP282" s="296"/>
      <c r="AQ282" s="296"/>
      <c r="AR282" s="296"/>
      <c r="AS282" s="296">
        <f t="shared" si="71"/>
        <v>65000</v>
      </c>
      <c r="AT282" s="297">
        <f t="shared" si="72"/>
        <v>-65000</v>
      </c>
      <c r="AU282" s="297">
        <f t="shared" si="68"/>
        <v>-65000</v>
      </c>
      <c r="AV282" s="297">
        <f t="shared" si="69"/>
        <v>0</v>
      </c>
      <c r="AW282" s="297">
        <f t="shared" si="73"/>
        <v>-32500</v>
      </c>
      <c r="AX282" s="297">
        <f t="shared" si="74"/>
        <v>-29250</v>
      </c>
      <c r="AY282" s="298">
        <v>50000</v>
      </c>
      <c r="AZ282" s="298"/>
      <c r="BA282" s="297">
        <f t="shared" si="75"/>
        <v>-79250</v>
      </c>
      <c r="BB282" s="278"/>
      <c r="BC282" s="255"/>
      <c r="BD282" s="255"/>
    </row>
    <row r="283" spans="1:56" s="256" customFormat="1" ht="20" hidden="1" customHeight="1">
      <c r="A283" s="260">
        <v>283</v>
      </c>
      <c r="B283" s="277"/>
      <c r="C283" s="278"/>
      <c r="D283" s="278"/>
      <c r="E283" s="278"/>
      <c r="F283" s="278"/>
      <c r="G283" s="279" t="e">
        <f>"YB"&amp;RIGHT(#REF!,6)</f>
        <v>#REF!</v>
      </c>
      <c r="H283" s="280"/>
      <c r="I283" s="280"/>
      <c r="J283" s="281">
        <f t="shared" si="70"/>
        <v>0</v>
      </c>
      <c r="K283" s="282"/>
      <c r="L283" s="282"/>
      <c r="M283" s="339"/>
      <c r="N283" s="278"/>
      <c r="O283" s="278"/>
      <c r="P283" s="283"/>
      <c r="Q283" s="278"/>
      <c r="R283" s="284"/>
      <c r="S283" s="282"/>
      <c r="T283" s="285"/>
      <c r="U283" s="286"/>
      <c r="V283" s="287"/>
      <c r="W283" s="288"/>
      <c r="X283" s="286"/>
      <c r="Y283" s="289"/>
      <c r="Z283" s="289"/>
      <c r="AA283" s="290">
        <f t="shared" si="66"/>
        <v>0</v>
      </c>
      <c r="AB283" s="291">
        <f t="shared" si="65"/>
        <v>0</v>
      </c>
      <c r="AC283" s="292">
        <f t="shared" si="67"/>
        <v>0</v>
      </c>
      <c r="AD283" s="293"/>
      <c r="AE283" s="293"/>
      <c r="AF283" s="294"/>
      <c r="AG283" s="291"/>
      <c r="AH283" s="295"/>
      <c r="AI283" s="291"/>
      <c r="AJ283" s="295"/>
      <c r="AK283" s="291"/>
      <c r="AL283" s="291"/>
      <c r="AM283" s="291"/>
      <c r="AN283" s="296">
        <v>35000</v>
      </c>
      <c r="AO283" s="296">
        <v>30000</v>
      </c>
      <c r="AP283" s="296"/>
      <c r="AQ283" s="296"/>
      <c r="AR283" s="296"/>
      <c r="AS283" s="296">
        <f t="shared" si="71"/>
        <v>65000</v>
      </c>
      <c r="AT283" s="297">
        <f t="shared" si="72"/>
        <v>-65000</v>
      </c>
      <c r="AU283" s="297">
        <f t="shared" si="68"/>
        <v>-65000</v>
      </c>
      <c r="AV283" s="297">
        <f t="shared" si="69"/>
        <v>0</v>
      </c>
      <c r="AW283" s="297">
        <f t="shared" si="73"/>
        <v>-32500</v>
      </c>
      <c r="AX283" s="297">
        <f t="shared" si="74"/>
        <v>-29250</v>
      </c>
      <c r="AY283" s="298">
        <v>50000</v>
      </c>
      <c r="AZ283" s="298"/>
      <c r="BA283" s="297">
        <f t="shared" si="75"/>
        <v>-79250</v>
      </c>
      <c r="BB283" s="278"/>
      <c r="BC283" s="255"/>
      <c r="BD283" s="255"/>
    </row>
    <row r="284" spans="1:56" s="256" customFormat="1" ht="20" hidden="1" customHeight="1">
      <c r="A284" s="260">
        <v>284</v>
      </c>
      <c r="B284" s="277"/>
      <c r="C284" s="278"/>
      <c r="D284" s="278"/>
      <c r="E284" s="278"/>
      <c r="F284" s="278"/>
      <c r="G284" s="279" t="e">
        <f>"YB"&amp;RIGHT(#REF!,6)</f>
        <v>#REF!</v>
      </c>
      <c r="H284" s="280"/>
      <c r="I284" s="280"/>
      <c r="J284" s="281">
        <f t="shared" si="70"/>
        <v>0</v>
      </c>
      <c r="K284" s="282"/>
      <c r="L284" s="282"/>
      <c r="M284" s="339"/>
      <c r="N284" s="278"/>
      <c r="O284" s="278"/>
      <c r="P284" s="283"/>
      <c r="Q284" s="278"/>
      <c r="R284" s="284"/>
      <c r="S284" s="282"/>
      <c r="T284" s="285"/>
      <c r="U284" s="286"/>
      <c r="V284" s="287"/>
      <c r="W284" s="288"/>
      <c r="X284" s="286"/>
      <c r="Y284" s="289"/>
      <c r="Z284" s="289"/>
      <c r="AA284" s="290">
        <f t="shared" si="66"/>
        <v>0</v>
      </c>
      <c r="AB284" s="291">
        <f t="shared" si="65"/>
        <v>0</v>
      </c>
      <c r="AC284" s="292">
        <f t="shared" si="67"/>
        <v>0</v>
      </c>
      <c r="AD284" s="293"/>
      <c r="AE284" s="293"/>
      <c r="AF284" s="294"/>
      <c r="AG284" s="291"/>
      <c r="AH284" s="295"/>
      <c r="AI284" s="291"/>
      <c r="AJ284" s="295"/>
      <c r="AK284" s="291"/>
      <c r="AL284" s="291"/>
      <c r="AM284" s="291"/>
      <c r="AN284" s="296">
        <v>35000</v>
      </c>
      <c r="AO284" s="296">
        <v>30000</v>
      </c>
      <c r="AP284" s="296"/>
      <c r="AQ284" s="296"/>
      <c r="AR284" s="296"/>
      <c r="AS284" s="296">
        <f t="shared" si="71"/>
        <v>65000</v>
      </c>
      <c r="AT284" s="297">
        <f t="shared" si="72"/>
        <v>-65000</v>
      </c>
      <c r="AU284" s="297">
        <f t="shared" si="68"/>
        <v>-65000</v>
      </c>
      <c r="AV284" s="297">
        <f t="shared" si="69"/>
        <v>0</v>
      </c>
      <c r="AW284" s="297">
        <f t="shared" si="73"/>
        <v>-32500</v>
      </c>
      <c r="AX284" s="297">
        <f t="shared" si="74"/>
        <v>-29250</v>
      </c>
      <c r="AY284" s="298">
        <v>50000</v>
      </c>
      <c r="AZ284" s="298"/>
      <c r="BA284" s="297">
        <f t="shared" si="75"/>
        <v>-79250</v>
      </c>
      <c r="BB284" s="278"/>
      <c r="BC284" s="255"/>
      <c r="BD284" s="255"/>
    </row>
    <row r="285" spans="1:56" s="256" customFormat="1" ht="20" hidden="1" customHeight="1">
      <c r="A285" s="260">
        <v>285</v>
      </c>
      <c r="B285" s="277"/>
      <c r="C285" s="278"/>
      <c r="D285" s="278"/>
      <c r="E285" s="278"/>
      <c r="F285" s="278"/>
      <c r="G285" s="279" t="e">
        <f>"YB"&amp;RIGHT(#REF!,6)</f>
        <v>#REF!</v>
      </c>
      <c r="H285" s="280"/>
      <c r="I285" s="280"/>
      <c r="J285" s="281">
        <f t="shared" si="70"/>
        <v>0</v>
      </c>
      <c r="K285" s="282"/>
      <c r="L285" s="282"/>
      <c r="M285" s="339"/>
      <c r="N285" s="278"/>
      <c r="O285" s="278"/>
      <c r="P285" s="283"/>
      <c r="Q285" s="278"/>
      <c r="R285" s="284"/>
      <c r="S285" s="282"/>
      <c r="T285" s="285"/>
      <c r="U285" s="286"/>
      <c r="V285" s="287"/>
      <c r="W285" s="288"/>
      <c r="X285" s="286"/>
      <c r="Y285" s="289"/>
      <c r="Z285" s="289"/>
      <c r="AA285" s="290">
        <f t="shared" si="66"/>
        <v>0</v>
      </c>
      <c r="AB285" s="291">
        <f t="shared" si="65"/>
        <v>0</v>
      </c>
      <c r="AC285" s="292">
        <f t="shared" si="67"/>
        <v>0</v>
      </c>
      <c r="AD285" s="293"/>
      <c r="AE285" s="293"/>
      <c r="AF285" s="294"/>
      <c r="AG285" s="291"/>
      <c r="AH285" s="295"/>
      <c r="AI285" s="291"/>
      <c r="AJ285" s="295"/>
      <c r="AK285" s="291"/>
      <c r="AL285" s="291"/>
      <c r="AM285" s="291"/>
      <c r="AN285" s="296">
        <v>35000</v>
      </c>
      <c r="AO285" s="296">
        <v>30000</v>
      </c>
      <c r="AP285" s="296"/>
      <c r="AQ285" s="296"/>
      <c r="AR285" s="296"/>
      <c r="AS285" s="296">
        <f t="shared" si="71"/>
        <v>65000</v>
      </c>
      <c r="AT285" s="297">
        <f t="shared" si="72"/>
        <v>-65000</v>
      </c>
      <c r="AU285" s="297">
        <f t="shared" si="68"/>
        <v>-65000</v>
      </c>
      <c r="AV285" s="297">
        <f t="shared" si="69"/>
        <v>0</v>
      </c>
      <c r="AW285" s="297">
        <f t="shared" si="73"/>
        <v>-32500</v>
      </c>
      <c r="AX285" s="297">
        <f t="shared" si="74"/>
        <v>-29250</v>
      </c>
      <c r="AY285" s="298">
        <v>50000</v>
      </c>
      <c r="AZ285" s="298"/>
      <c r="BA285" s="297">
        <f t="shared" si="75"/>
        <v>-79250</v>
      </c>
      <c r="BB285" s="278"/>
      <c r="BC285" s="255"/>
      <c r="BD285" s="255"/>
    </row>
    <row r="286" spans="1:56" s="256" customFormat="1" ht="20" hidden="1" customHeight="1">
      <c r="A286" s="260">
        <v>286</v>
      </c>
      <c r="B286" s="277"/>
      <c r="C286" s="278"/>
      <c r="D286" s="278"/>
      <c r="E286" s="278"/>
      <c r="F286" s="278"/>
      <c r="G286" s="279" t="e">
        <f>"YB"&amp;RIGHT(#REF!,6)</f>
        <v>#REF!</v>
      </c>
      <c r="H286" s="280"/>
      <c r="I286" s="280"/>
      <c r="J286" s="281">
        <f t="shared" si="70"/>
        <v>0</v>
      </c>
      <c r="K286" s="282"/>
      <c r="L286" s="282"/>
      <c r="M286" s="339"/>
      <c r="N286" s="278"/>
      <c r="O286" s="278"/>
      <c r="P286" s="283"/>
      <c r="Q286" s="278"/>
      <c r="R286" s="284"/>
      <c r="S286" s="282"/>
      <c r="T286" s="285"/>
      <c r="U286" s="286"/>
      <c r="V286" s="287"/>
      <c r="W286" s="288"/>
      <c r="X286" s="286"/>
      <c r="Y286" s="289"/>
      <c r="Z286" s="289"/>
      <c r="AA286" s="290">
        <f t="shared" si="66"/>
        <v>0</v>
      </c>
      <c r="AB286" s="291">
        <f t="shared" ref="AB286:AB349" si="76">SUM(AG286+AI286+AK286+AL286-AM286)</f>
        <v>0</v>
      </c>
      <c r="AC286" s="292">
        <f t="shared" si="67"/>
        <v>0</v>
      </c>
      <c r="AD286" s="293"/>
      <c r="AE286" s="293"/>
      <c r="AF286" s="294"/>
      <c r="AG286" s="291"/>
      <c r="AH286" s="295"/>
      <c r="AI286" s="291"/>
      <c r="AJ286" s="295"/>
      <c r="AK286" s="291"/>
      <c r="AL286" s="291"/>
      <c r="AM286" s="291"/>
      <c r="AN286" s="296">
        <v>35000</v>
      </c>
      <c r="AO286" s="296">
        <v>30000</v>
      </c>
      <c r="AP286" s="296"/>
      <c r="AQ286" s="296"/>
      <c r="AR286" s="296"/>
      <c r="AS286" s="296">
        <f t="shared" si="71"/>
        <v>65000</v>
      </c>
      <c r="AT286" s="297">
        <f t="shared" si="72"/>
        <v>-65000</v>
      </c>
      <c r="AU286" s="297">
        <f t="shared" si="68"/>
        <v>-65000</v>
      </c>
      <c r="AV286" s="297">
        <f t="shared" si="69"/>
        <v>0</v>
      </c>
      <c r="AW286" s="297">
        <f t="shared" si="73"/>
        <v>-32500</v>
      </c>
      <c r="AX286" s="297">
        <f t="shared" si="74"/>
        <v>-29250</v>
      </c>
      <c r="AY286" s="298">
        <v>50000</v>
      </c>
      <c r="AZ286" s="298"/>
      <c r="BA286" s="297">
        <f t="shared" si="75"/>
        <v>-79250</v>
      </c>
      <c r="BB286" s="278"/>
      <c r="BC286" s="255"/>
      <c r="BD286" s="255"/>
    </row>
    <row r="287" spans="1:56" s="256" customFormat="1" ht="20" hidden="1" customHeight="1">
      <c r="A287" s="260">
        <v>287</v>
      </c>
      <c r="B287" s="277"/>
      <c r="C287" s="278"/>
      <c r="D287" s="278"/>
      <c r="E287" s="278"/>
      <c r="F287" s="278"/>
      <c r="G287" s="279" t="e">
        <f>"YB"&amp;RIGHT(#REF!,6)</f>
        <v>#REF!</v>
      </c>
      <c r="H287" s="280"/>
      <c r="I287" s="280"/>
      <c r="J287" s="281">
        <f t="shared" si="70"/>
        <v>0</v>
      </c>
      <c r="K287" s="282"/>
      <c r="L287" s="282"/>
      <c r="M287" s="339"/>
      <c r="N287" s="278"/>
      <c r="O287" s="278"/>
      <c r="P287" s="283"/>
      <c r="Q287" s="278"/>
      <c r="R287" s="284"/>
      <c r="S287" s="282"/>
      <c r="T287" s="285"/>
      <c r="U287" s="286"/>
      <c r="V287" s="287"/>
      <c r="W287" s="288"/>
      <c r="X287" s="286"/>
      <c r="Y287" s="289"/>
      <c r="Z287" s="289"/>
      <c r="AA287" s="290">
        <f t="shared" si="66"/>
        <v>0</v>
      </c>
      <c r="AB287" s="291">
        <f t="shared" si="76"/>
        <v>0</v>
      </c>
      <c r="AC287" s="292">
        <f t="shared" si="67"/>
        <v>0</v>
      </c>
      <c r="AD287" s="293"/>
      <c r="AE287" s="293"/>
      <c r="AF287" s="294"/>
      <c r="AG287" s="291"/>
      <c r="AH287" s="295"/>
      <c r="AI287" s="291"/>
      <c r="AJ287" s="295"/>
      <c r="AK287" s="291"/>
      <c r="AL287" s="291"/>
      <c r="AM287" s="291"/>
      <c r="AN287" s="296">
        <v>35000</v>
      </c>
      <c r="AO287" s="296">
        <v>30000</v>
      </c>
      <c r="AP287" s="296"/>
      <c r="AQ287" s="296"/>
      <c r="AR287" s="296"/>
      <c r="AS287" s="296">
        <f t="shared" si="71"/>
        <v>65000</v>
      </c>
      <c r="AT287" s="297">
        <f t="shared" si="72"/>
        <v>-65000</v>
      </c>
      <c r="AU287" s="297">
        <f t="shared" si="68"/>
        <v>-65000</v>
      </c>
      <c r="AV287" s="297">
        <f t="shared" si="69"/>
        <v>0</v>
      </c>
      <c r="AW287" s="297">
        <f t="shared" si="73"/>
        <v>-32500</v>
      </c>
      <c r="AX287" s="297">
        <f t="shared" si="74"/>
        <v>-29250</v>
      </c>
      <c r="AY287" s="298">
        <v>50000</v>
      </c>
      <c r="AZ287" s="298"/>
      <c r="BA287" s="297">
        <f t="shared" si="75"/>
        <v>-79250</v>
      </c>
      <c r="BB287" s="278"/>
      <c r="BC287" s="255"/>
      <c r="BD287" s="255"/>
    </row>
    <row r="288" spans="1:56" s="256" customFormat="1" ht="20" hidden="1" customHeight="1">
      <c r="A288" s="260">
        <v>288</v>
      </c>
      <c r="B288" s="277"/>
      <c r="C288" s="278"/>
      <c r="D288" s="278"/>
      <c r="E288" s="278"/>
      <c r="F288" s="278"/>
      <c r="G288" s="279" t="e">
        <f>"YB"&amp;RIGHT(#REF!,6)</f>
        <v>#REF!</v>
      </c>
      <c r="H288" s="280"/>
      <c r="I288" s="280"/>
      <c r="J288" s="281">
        <f t="shared" si="70"/>
        <v>0</v>
      </c>
      <c r="K288" s="282"/>
      <c r="L288" s="282"/>
      <c r="M288" s="339"/>
      <c r="N288" s="278"/>
      <c r="O288" s="278"/>
      <c r="P288" s="283"/>
      <c r="Q288" s="278"/>
      <c r="R288" s="284"/>
      <c r="S288" s="282"/>
      <c r="T288" s="285"/>
      <c r="U288" s="286"/>
      <c r="V288" s="287"/>
      <c r="W288" s="288"/>
      <c r="X288" s="286"/>
      <c r="Y288" s="289"/>
      <c r="Z288" s="289"/>
      <c r="AA288" s="290">
        <f t="shared" si="66"/>
        <v>0</v>
      </c>
      <c r="AB288" s="291">
        <f t="shared" si="76"/>
        <v>0</v>
      </c>
      <c r="AC288" s="292">
        <f t="shared" si="67"/>
        <v>0</v>
      </c>
      <c r="AD288" s="293"/>
      <c r="AE288" s="293"/>
      <c r="AF288" s="294"/>
      <c r="AG288" s="291"/>
      <c r="AH288" s="295"/>
      <c r="AI288" s="291"/>
      <c r="AJ288" s="295"/>
      <c r="AK288" s="291"/>
      <c r="AL288" s="291"/>
      <c r="AM288" s="291"/>
      <c r="AN288" s="296">
        <v>35000</v>
      </c>
      <c r="AO288" s="296">
        <v>30000</v>
      </c>
      <c r="AP288" s="296"/>
      <c r="AQ288" s="296"/>
      <c r="AR288" s="296"/>
      <c r="AS288" s="296">
        <f t="shared" si="71"/>
        <v>65000</v>
      </c>
      <c r="AT288" s="297">
        <f t="shared" si="72"/>
        <v>-65000</v>
      </c>
      <c r="AU288" s="297">
        <f t="shared" si="68"/>
        <v>-65000</v>
      </c>
      <c r="AV288" s="297">
        <f t="shared" si="69"/>
        <v>0</v>
      </c>
      <c r="AW288" s="297">
        <f t="shared" si="73"/>
        <v>-32500</v>
      </c>
      <c r="AX288" s="297">
        <f t="shared" si="74"/>
        <v>-29250</v>
      </c>
      <c r="AY288" s="298">
        <v>50000</v>
      </c>
      <c r="AZ288" s="298"/>
      <c r="BA288" s="297">
        <f t="shared" si="75"/>
        <v>-79250</v>
      </c>
      <c r="BB288" s="278"/>
      <c r="BC288" s="255"/>
      <c r="BD288" s="255"/>
    </row>
    <row r="289" spans="1:56" s="256" customFormat="1" ht="20" hidden="1" customHeight="1">
      <c r="A289" s="260">
        <v>289</v>
      </c>
      <c r="B289" s="277"/>
      <c r="C289" s="278"/>
      <c r="D289" s="278"/>
      <c r="E289" s="278"/>
      <c r="F289" s="278"/>
      <c r="G289" s="279" t="e">
        <f>"YB"&amp;RIGHT(#REF!,6)</f>
        <v>#REF!</v>
      </c>
      <c r="H289" s="280"/>
      <c r="I289" s="280"/>
      <c r="J289" s="281">
        <f t="shared" si="70"/>
        <v>0</v>
      </c>
      <c r="K289" s="282"/>
      <c r="L289" s="282"/>
      <c r="M289" s="339"/>
      <c r="N289" s="278"/>
      <c r="O289" s="278"/>
      <c r="P289" s="283"/>
      <c r="Q289" s="278"/>
      <c r="R289" s="284"/>
      <c r="S289" s="282"/>
      <c r="T289" s="285"/>
      <c r="U289" s="286"/>
      <c r="V289" s="287"/>
      <c r="W289" s="288"/>
      <c r="X289" s="286"/>
      <c r="Y289" s="289"/>
      <c r="Z289" s="289"/>
      <c r="AA289" s="290">
        <f t="shared" si="66"/>
        <v>0</v>
      </c>
      <c r="AB289" s="291">
        <f t="shared" si="76"/>
        <v>0</v>
      </c>
      <c r="AC289" s="292">
        <f t="shared" si="67"/>
        <v>0</v>
      </c>
      <c r="AD289" s="293"/>
      <c r="AE289" s="293"/>
      <c r="AF289" s="294"/>
      <c r="AG289" s="291"/>
      <c r="AH289" s="295"/>
      <c r="AI289" s="291"/>
      <c r="AJ289" s="295"/>
      <c r="AK289" s="291"/>
      <c r="AL289" s="291"/>
      <c r="AM289" s="291"/>
      <c r="AN289" s="296">
        <v>35000</v>
      </c>
      <c r="AO289" s="296">
        <v>30000</v>
      </c>
      <c r="AP289" s="296"/>
      <c r="AQ289" s="296"/>
      <c r="AR289" s="296"/>
      <c r="AS289" s="296">
        <f t="shared" si="71"/>
        <v>65000</v>
      </c>
      <c r="AT289" s="297">
        <f t="shared" si="72"/>
        <v>-65000</v>
      </c>
      <c r="AU289" s="297">
        <f t="shared" si="68"/>
        <v>-65000</v>
      </c>
      <c r="AV289" s="297">
        <f t="shared" si="69"/>
        <v>0</v>
      </c>
      <c r="AW289" s="297">
        <f t="shared" si="73"/>
        <v>-32500</v>
      </c>
      <c r="AX289" s="297">
        <f t="shared" si="74"/>
        <v>-29250</v>
      </c>
      <c r="AY289" s="298">
        <v>50000</v>
      </c>
      <c r="AZ289" s="298"/>
      <c r="BA289" s="297">
        <f t="shared" si="75"/>
        <v>-79250</v>
      </c>
      <c r="BB289" s="278"/>
      <c r="BC289" s="255"/>
      <c r="BD289" s="255"/>
    </row>
    <row r="290" spans="1:56" s="256" customFormat="1" ht="20" hidden="1" customHeight="1">
      <c r="A290" s="260">
        <v>290</v>
      </c>
      <c r="B290" s="277"/>
      <c r="C290" s="278"/>
      <c r="D290" s="278"/>
      <c r="E290" s="278"/>
      <c r="F290" s="278"/>
      <c r="G290" s="279" t="e">
        <f>"YB"&amp;RIGHT(#REF!,6)</f>
        <v>#REF!</v>
      </c>
      <c r="H290" s="280"/>
      <c r="I290" s="280"/>
      <c r="J290" s="281">
        <f t="shared" si="70"/>
        <v>0</v>
      </c>
      <c r="K290" s="282"/>
      <c r="L290" s="282"/>
      <c r="M290" s="339"/>
      <c r="N290" s="278"/>
      <c r="O290" s="278"/>
      <c r="P290" s="283"/>
      <c r="Q290" s="278"/>
      <c r="R290" s="284"/>
      <c r="S290" s="282"/>
      <c r="T290" s="285"/>
      <c r="U290" s="286"/>
      <c r="V290" s="287"/>
      <c r="W290" s="288"/>
      <c r="X290" s="286"/>
      <c r="Y290" s="289"/>
      <c r="Z290" s="289"/>
      <c r="AA290" s="290">
        <f t="shared" si="66"/>
        <v>0</v>
      </c>
      <c r="AB290" s="291">
        <f t="shared" si="76"/>
        <v>0</v>
      </c>
      <c r="AC290" s="292">
        <f t="shared" si="67"/>
        <v>0</v>
      </c>
      <c r="AD290" s="293"/>
      <c r="AE290" s="293"/>
      <c r="AF290" s="294"/>
      <c r="AG290" s="291"/>
      <c r="AH290" s="295"/>
      <c r="AI290" s="291"/>
      <c r="AJ290" s="295"/>
      <c r="AK290" s="291"/>
      <c r="AL290" s="291"/>
      <c r="AM290" s="291"/>
      <c r="AN290" s="296">
        <v>35000</v>
      </c>
      <c r="AO290" s="296">
        <v>30000</v>
      </c>
      <c r="AP290" s="296"/>
      <c r="AQ290" s="296"/>
      <c r="AR290" s="296"/>
      <c r="AS290" s="296">
        <f t="shared" si="71"/>
        <v>65000</v>
      </c>
      <c r="AT290" s="297">
        <f t="shared" si="72"/>
        <v>-65000</v>
      </c>
      <c r="AU290" s="297">
        <f t="shared" si="68"/>
        <v>-65000</v>
      </c>
      <c r="AV290" s="297">
        <f t="shared" si="69"/>
        <v>0</v>
      </c>
      <c r="AW290" s="297">
        <f t="shared" si="73"/>
        <v>-32500</v>
      </c>
      <c r="AX290" s="297">
        <f t="shared" si="74"/>
        <v>-29250</v>
      </c>
      <c r="AY290" s="298">
        <v>50000</v>
      </c>
      <c r="AZ290" s="298"/>
      <c r="BA290" s="297">
        <f t="shared" si="75"/>
        <v>-79250</v>
      </c>
      <c r="BB290" s="278"/>
      <c r="BC290" s="255"/>
      <c r="BD290" s="255"/>
    </row>
    <row r="291" spans="1:56" s="256" customFormat="1" ht="20" hidden="1" customHeight="1">
      <c r="A291" s="260">
        <v>291</v>
      </c>
      <c r="B291" s="277"/>
      <c r="C291" s="278"/>
      <c r="D291" s="278"/>
      <c r="E291" s="278"/>
      <c r="F291" s="278"/>
      <c r="G291" s="279" t="e">
        <f>"YB"&amp;RIGHT(#REF!,6)</f>
        <v>#REF!</v>
      </c>
      <c r="H291" s="280"/>
      <c r="I291" s="280"/>
      <c r="J291" s="281">
        <f t="shared" si="70"/>
        <v>0</v>
      </c>
      <c r="K291" s="282"/>
      <c r="L291" s="282"/>
      <c r="M291" s="339"/>
      <c r="N291" s="278"/>
      <c r="O291" s="278"/>
      <c r="P291" s="283"/>
      <c r="Q291" s="278"/>
      <c r="R291" s="284"/>
      <c r="S291" s="282"/>
      <c r="T291" s="285"/>
      <c r="U291" s="286"/>
      <c r="V291" s="287"/>
      <c r="W291" s="288"/>
      <c r="X291" s="286"/>
      <c r="Y291" s="289"/>
      <c r="Z291" s="289"/>
      <c r="AA291" s="290">
        <f t="shared" ref="AA291:AA354" si="77">SUM(T291,W291:Z291)</f>
        <v>0</v>
      </c>
      <c r="AB291" s="291">
        <f t="shared" si="76"/>
        <v>0</v>
      </c>
      <c r="AC291" s="292">
        <f t="shared" si="67"/>
        <v>0</v>
      </c>
      <c r="AD291" s="293"/>
      <c r="AE291" s="293"/>
      <c r="AF291" s="294"/>
      <c r="AG291" s="291"/>
      <c r="AH291" s="295"/>
      <c r="AI291" s="291"/>
      <c r="AJ291" s="295"/>
      <c r="AK291" s="291"/>
      <c r="AL291" s="291"/>
      <c r="AM291" s="291"/>
      <c r="AN291" s="296">
        <v>35000</v>
      </c>
      <c r="AO291" s="296">
        <v>30000</v>
      </c>
      <c r="AP291" s="296"/>
      <c r="AQ291" s="296"/>
      <c r="AR291" s="296"/>
      <c r="AS291" s="296">
        <f t="shared" si="71"/>
        <v>65000</v>
      </c>
      <c r="AT291" s="297">
        <f t="shared" si="72"/>
        <v>-65000</v>
      </c>
      <c r="AU291" s="297">
        <f t="shared" si="68"/>
        <v>-65000</v>
      </c>
      <c r="AV291" s="297">
        <f t="shared" si="69"/>
        <v>0</v>
      </c>
      <c r="AW291" s="297">
        <f t="shared" si="73"/>
        <v>-32500</v>
      </c>
      <c r="AX291" s="297">
        <f t="shared" si="74"/>
        <v>-29250</v>
      </c>
      <c r="AY291" s="298">
        <v>50000</v>
      </c>
      <c r="AZ291" s="298"/>
      <c r="BA291" s="297">
        <f t="shared" si="75"/>
        <v>-79250</v>
      </c>
      <c r="BB291" s="278"/>
      <c r="BC291" s="255"/>
      <c r="BD291" s="255"/>
    </row>
    <row r="292" spans="1:56" s="256" customFormat="1" ht="20" hidden="1" customHeight="1">
      <c r="A292" s="260">
        <v>292</v>
      </c>
      <c r="B292" s="277"/>
      <c r="C292" s="278"/>
      <c r="D292" s="278"/>
      <c r="E292" s="278"/>
      <c r="F292" s="278"/>
      <c r="G292" s="279" t="e">
        <f>"YB"&amp;RIGHT(#REF!,6)</f>
        <v>#REF!</v>
      </c>
      <c r="H292" s="280"/>
      <c r="I292" s="280"/>
      <c r="J292" s="281">
        <f t="shared" si="70"/>
        <v>0</v>
      </c>
      <c r="K292" s="282"/>
      <c r="L292" s="282"/>
      <c r="M292" s="339"/>
      <c r="N292" s="278"/>
      <c r="O292" s="278"/>
      <c r="P292" s="283"/>
      <c r="Q292" s="278"/>
      <c r="R292" s="284"/>
      <c r="S292" s="282"/>
      <c r="T292" s="285"/>
      <c r="U292" s="286"/>
      <c r="V292" s="287"/>
      <c r="W292" s="288"/>
      <c r="X292" s="286"/>
      <c r="Y292" s="289"/>
      <c r="Z292" s="289"/>
      <c r="AA292" s="290">
        <f t="shared" si="77"/>
        <v>0</v>
      </c>
      <c r="AB292" s="291">
        <f t="shared" si="76"/>
        <v>0</v>
      </c>
      <c r="AC292" s="292">
        <f t="shared" si="67"/>
        <v>0</v>
      </c>
      <c r="AD292" s="293"/>
      <c r="AE292" s="293"/>
      <c r="AF292" s="294"/>
      <c r="AG292" s="291"/>
      <c r="AH292" s="295"/>
      <c r="AI292" s="291"/>
      <c r="AJ292" s="295"/>
      <c r="AK292" s="291"/>
      <c r="AL292" s="291"/>
      <c r="AM292" s="291"/>
      <c r="AN292" s="296">
        <v>35000</v>
      </c>
      <c r="AO292" s="296">
        <v>30000</v>
      </c>
      <c r="AP292" s="296"/>
      <c r="AQ292" s="296"/>
      <c r="AR292" s="296"/>
      <c r="AS292" s="296">
        <f t="shared" si="71"/>
        <v>65000</v>
      </c>
      <c r="AT292" s="297">
        <f t="shared" si="72"/>
        <v>-65000</v>
      </c>
      <c r="AU292" s="297">
        <f t="shared" si="68"/>
        <v>-65000</v>
      </c>
      <c r="AV292" s="297">
        <f t="shared" si="69"/>
        <v>0</v>
      </c>
      <c r="AW292" s="297">
        <f t="shared" si="73"/>
        <v>-32500</v>
      </c>
      <c r="AX292" s="297">
        <f t="shared" si="74"/>
        <v>-29250</v>
      </c>
      <c r="AY292" s="298">
        <v>50000</v>
      </c>
      <c r="AZ292" s="298"/>
      <c r="BA292" s="297">
        <f t="shared" si="75"/>
        <v>-79250</v>
      </c>
      <c r="BB292" s="278"/>
      <c r="BC292" s="255"/>
      <c r="BD292" s="255"/>
    </row>
    <row r="293" spans="1:56" s="256" customFormat="1" ht="20" hidden="1" customHeight="1">
      <c r="A293" s="260">
        <v>293</v>
      </c>
      <c r="B293" s="277"/>
      <c r="C293" s="278"/>
      <c r="D293" s="278"/>
      <c r="E293" s="278"/>
      <c r="F293" s="278"/>
      <c r="G293" s="279" t="e">
        <f>"YB"&amp;RIGHT(#REF!,6)</f>
        <v>#REF!</v>
      </c>
      <c r="H293" s="280"/>
      <c r="I293" s="280"/>
      <c r="J293" s="281">
        <f t="shared" si="70"/>
        <v>0</v>
      </c>
      <c r="K293" s="282"/>
      <c r="L293" s="282"/>
      <c r="M293" s="339"/>
      <c r="N293" s="278"/>
      <c r="O293" s="278"/>
      <c r="P293" s="283"/>
      <c r="Q293" s="278"/>
      <c r="R293" s="284"/>
      <c r="S293" s="282"/>
      <c r="T293" s="285"/>
      <c r="U293" s="286"/>
      <c r="V293" s="287"/>
      <c r="W293" s="288"/>
      <c r="X293" s="286"/>
      <c r="Y293" s="289"/>
      <c r="Z293" s="289"/>
      <c r="AA293" s="290">
        <f t="shared" si="77"/>
        <v>0</v>
      </c>
      <c r="AB293" s="291">
        <f t="shared" si="76"/>
        <v>0</v>
      </c>
      <c r="AC293" s="292">
        <f t="shared" si="67"/>
        <v>0</v>
      </c>
      <c r="AD293" s="293"/>
      <c r="AE293" s="293"/>
      <c r="AF293" s="294"/>
      <c r="AG293" s="291"/>
      <c r="AH293" s="295"/>
      <c r="AI293" s="291"/>
      <c r="AJ293" s="295"/>
      <c r="AK293" s="291"/>
      <c r="AL293" s="291"/>
      <c r="AM293" s="291"/>
      <c r="AN293" s="296">
        <v>35000</v>
      </c>
      <c r="AO293" s="296">
        <v>30000</v>
      </c>
      <c r="AP293" s="296"/>
      <c r="AQ293" s="296"/>
      <c r="AR293" s="296"/>
      <c r="AS293" s="296">
        <f t="shared" si="71"/>
        <v>65000</v>
      </c>
      <c r="AT293" s="297">
        <f t="shared" si="72"/>
        <v>-65000</v>
      </c>
      <c r="AU293" s="297">
        <f t="shared" si="68"/>
        <v>-65000</v>
      </c>
      <c r="AV293" s="297">
        <f t="shared" si="69"/>
        <v>0</v>
      </c>
      <c r="AW293" s="297">
        <f t="shared" si="73"/>
        <v>-32500</v>
      </c>
      <c r="AX293" s="297">
        <f t="shared" si="74"/>
        <v>-29250</v>
      </c>
      <c r="AY293" s="298">
        <v>50000</v>
      </c>
      <c r="AZ293" s="298"/>
      <c r="BA293" s="297">
        <f t="shared" si="75"/>
        <v>-79250</v>
      </c>
      <c r="BB293" s="278"/>
      <c r="BC293" s="255"/>
      <c r="BD293" s="255"/>
    </row>
    <row r="294" spans="1:56" s="256" customFormat="1" ht="20" hidden="1" customHeight="1">
      <c r="A294" s="260">
        <v>294</v>
      </c>
      <c r="B294" s="277"/>
      <c r="C294" s="278"/>
      <c r="D294" s="278"/>
      <c r="E294" s="278"/>
      <c r="F294" s="278"/>
      <c r="G294" s="279" t="e">
        <f>"YB"&amp;RIGHT(#REF!,6)</f>
        <v>#REF!</v>
      </c>
      <c r="H294" s="280"/>
      <c r="I294" s="280"/>
      <c r="J294" s="281">
        <f t="shared" si="70"/>
        <v>0</v>
      </c>
      <c r="K294" s="282"/>
      <c r="L294" s="282"/>
      <c r="M294" s="339"/>
      <c r="N294" s="278"/>
      <c r="O294" s="278"/>
      <c r="P294" s="283"/>
      <c r="Q294" s="278"/>
      <c r="R294" s="284"/>
      <c r="S294" s="282"/>
      <c r="T294" s="285"/>
      <c r="U294" s="286"/>
      <c r="V294" s="287"/>
      <c r="W294" s="288"/>
      <c r="X294" s="286"/>
      <c r="Y294" s="289"/>
      <c r="Z294" s="289"/>
      <c r="AA294" s="290">
        <f t="shared" si="77"/>
        <v>0</v>
      </c>
      <c r="AB294" s="291">
        <f t="shared" si="76"/>
        <v>0</v>
      </c>
      <c r="AC294" s="292">
        <f t="shared" si="67"/>
        <v>0</v>
      </c>
      <c r="AD294" s="293"/>
      <c r="AE294" s="293"/>
      <c r="AF294" s="294"/>
      <c r="AG294" s="291"/>
      <c r="AH294" s="295"/>
      <c r="AI294" s="291"/>
      <c r="AJ294" s="295"/>
      <c r="AK294" s="291"/>
      <c r="AL294" s="291"/>
      <c r="AM294" s="291"/>
      <c r="AN294" s="296">
        <v>35000</v>
      </c>
      <c r="AO294" s="296">
        <v>30000</v>
      </c>
      <c r="AP294" s="296"/>
      <c r="AQ294" s="296"/>
      <c r="AR294" s="296"/>
      <c r="AS294" s="296">
        <f t="shared" si="71"/>
        <v>65000</v>
      </c>
      <c r="AT294" s="297">
        <f t="shared" si="72"/>
        <v>-65000</v>
      </c>
      <c r="AU294" s="297">
        <f t="shared" si="68"/>
        <v>-65000</v>
      </c>
      <c r="AV294" s="297">
        <f t="shared" si="69"/>
        <v>0</v>
      </c>
      <c r="AW294" s="297">
        <f t="shared" si="73"/>
        <v>-32500</v>
      </c>
      <c r="AX294" s="297">
        <f t="shared" si="74"/>
        <v>-29250</v>
      </c>
      <c r="AY294" s="298">
        <v>50000</v>
      </c>
      <c r="AZ294" s="298"/>
      <c r="BA294" s="297">
        <f t="shared" si="75"/>
        <v>-79250</v>
      </c>
      <c r="BB294" s="278"/>
      <c r="BC294" s="255"/>
      <c r="BD294" s="255"/>
    </row>
    <row r="295" spans="1:56" s="256" customFormat="1" ht="20" hidden="1" customHeight="1">
      <c r="A295" s="260">
        <v>295</v>
      </c>
      <c r="B295" s="277"/>
      <c r="C295" s="278"/>
      <c r="D295" s="278"/>
      <c r="E295" s="278"/>
      <c r="F295" s="278"/>
      <c r="G295" s="279" t="e">
        <f>"YB"&amp;RIGHT(#REF!,6)</f>
        <v>#REF!</v>
      </c>
      <c r="H295" s="280"/>
      <c r="I295" s="280"/>
      <c r="J295" s="281">
        <f t="shared" si="70"/>
        <v>0</v>
      </c>
      <c r="K295" s="282"/>
      <c r="L295" s="282"/>
      <c r="M295" s="339"/>
      <c r="N295" s="278"/>
      <c r="O295" s="278"/>
      <c r="P295" s="283"/>
      <c r="Q295" s="278"/>
      <c r="R295" s="284"/>
      <c r="S295" s="282"/>
      <c r="T295" s="285"/>
      <c r="U295" s="286"/>
      <c r="V295" s="287"/>
      <c r="W295" s="288"/>
      <c r="X295" s="286"/>
      <c r="Y295" s="289"/>
      <c r="Z295" s="289"/>
      <c r="AA295" s="290">
        <f t="shared" si="77"/>
        <v>0</v>
      </c>
      <c r="AB295" s="291">
        <f t="shared" si="76"/>
        <v>0</v>
      </c>
      <c r="AC295" s="292">
        <f t="shared" si="67"/>
        <v>0</v>
      </c>
      <c r="AD295" s="293"/>
      <c r="AE295" s="293"/>
      <c r="AF295" s="294"/>
      <c r="AG295" s="291"/>
      <c r="AH295" s="295"/>
      <c r="AI295" s="291"/>
      <c r="AJ295" s="295"/>
      <c r="AK295" s="291"/>
      <c r="AL295" s="291"/>
      <c r="AM295" s="291"/>
      <c r="AN295" s="296">
        <v>35000</v>
      </c>
      <c r="AO295" s="296">
        <v>30000</v>
      </c>
      <c r="AP295" s="296"/>
      <c r="AQ295" s="296"/>
      <c r="AR295" s="296"/>
      <c r="AS295" s="296">
        <f t="shared" si="71"/>
        <v>65000</v>
      </c>
      <c r="AT295" s="297">
        <f t="shared" si="72"/>
        <v>-65000</v>
      </c>
      <c r="AU295" s="297">
        <f t="shared" si="68"/>
        <v>-65000</v>
      </c>
      <c r="AV295" s="297">
        <f t="shared" si="69"/>
        <v>0</v>
      </c>
      <c r="AW295" s="297">
        <f t="shared" si="73"/>
        <v>-32500</v>
      </c>
      <c r="AX295" s="297">
        <f t="shared" si="74"/>
        <v>-29250</v>
      </c>
      <c r="AY295" s="298">
        <v>50000</v>
      </c>
      <c r="AZ295" s="298"/>
      <c r="BA295" s="297">
        <f t="shared" si="75"/>
        <v>-79250</v>
      </c>
      <c r="BB295" s="278"/>
      <c r="BC295" s="255"/>
      <c r="BD295" s="255"/>
    </row>
    <row r="296" spans="1:56" s="256" customFormat="1" ht="20" hidden="1" customHeight="1">
      <c r="A296" s="260">
        <v>296</v>
      </c>
      <c r="B296" s="277"/>
      <c r="C296" s="278"/>
      <c r="D296" s="278"/>
      <c r="E296" s="278"/>
      <c r="F296" s="278"/>
      <c r="G296" s="279" t="e">
        <f>"YB"&amp;RIGHT(#REF!,6)</f>
        <v>#REF!</v>
      </c>
      <c r="H296" s="280"/>
      <c r="I296" s="280"/>
      <c r="J296" s="281">
        <f t="shared" si="70"/>
        <v>0</v>
      </c>
      <c r="K296" s="282"/>
      <c r="L296" s="282"/>
      <c r="M296" s="339"/>
      <c r="N296" s="278"/>
      <c r="O296" s="278"/>
      <c r="P296" s="283"/>
      <c r="Q296" s="278"/>
      <c r="R296" s="284"/>
      <c r="S296" s="282"/>
      <c r="T296" s="285"/>
      <c r="U296" s="286"/>
      <c r="V296" s="287"/>
      <c r="W296" s="288"/>
      <c r="X296" s="286"/>
      <c r="Y296" s="289"/>
      <c r="Z296" s="289"/>
      <c r="AA296" s="290">
        <f t="shared" si="77"/>
        <v>0</v>
      </c>
      <c r="AB296" s="291">
        <f t="shared" si="76"/>
        <v>0</v>
      </c>
      <c r="AC296" s="292">
        <f t="shared" si="67"/>
        <v>0</v>
      </c>
      <c r="AD296" s="293"/>
      <c r="AE296" s="293"/>
      <c r="AF296" s="294"/>
      <c r="AG296" s="291"/>
      <c r="AH296" s="295"/>
      <c r="AI296" s="291"/>
      <c r="AJ296" s="295"/>
      <c r="AK296" s="291"/>
      <c r="AL296" s="291"/>
      <c r="AM296" s="291"/>
      <c r="AN296" s="296">
        <v>35000</v>
      </c>
      <c r="AO296" s="296">
        <v>30000</v>
      </c>
      <c r="AP296" s="296"/>
      <c r="AQ296" s="296"/>
      <c r="AR296" s="296"/>
      <c r="AS296" s="296">
        <f t="shared" si="71"/>
        <v>65000</v>
      </c>
      <c r="AT296" s="297">
        <f t="shared" si="72"/>
        <v>-65000</v>
      </c>
      <c r="AU296" s="297">
        <f t="shared" si="68"/>
        <v>-65000</v>
      </c>
      <c r="AV296" s="297">
        <f t="shared" si="69"/>
        <v>0</v>
      </c>
      <c r="AW296" s="297">
        <f t="shared" si="73"/>
        <v>-32500</v>
      </c>
      <c r="AX296" s="297">
        <f t="shared" si="74"/>
        <v>-29250</v>
      </c>
      <c r="AY296" s="298">
        <v>50000</v>
      </c>
      <c r="AZ296" s="298"/>
      <c r="BA296" s="297">
        <f t="shared" si="75"/>
        <v>-79250</v>
      </c>
      <c r="BB296" s="278"/>
      <c r="BC296" s="255"/>
      <c r="BD296" s="255"/>
    </row>
    <row r="297" spans="1:56" s="256" customFormat="1" ht="20" hidden="1" customHeight="1">
      <c r="A297" s="260">
        <v>297</v>
      </c>
      <c r="B297" s="277"/>
      <c r="C297" s="278"/>
      <c r="D297" s="278"/>
      <c r="E297" s="278"/>
      <c r="F297" s="278"/>
      <c r="G297" s="279" t="e">
        <f>"YB"&amp;RIGHT(#REF!,6)</f>
        <v>#REF!</v>
      </c>
      <c r="H297" s="280"/>
      <c r="I297" s="280"/>
      <c r="J297" s="281">
        <f t="shared" si="70"/>
        <v>0</v>
      </c>
      <c r="K297" s="282"/>
      <c r="L297" s="282"/>
      <c r="M297" s="339"/>
      <c r="N297" s="278"/>
      <c r="O297" s="278"/>
      <c r="P297" s="283"/>
      <c r="Q297" s="278"/>
      <c r="R297" s="284"/>
      <c r="S297" s="282"/>
      <c r="T297" s="285"/>
      <c r="U297" s="286"/>
      <c r="V297" s="287"/>
      <c r="W297" s="288"/>
      <c r="X297" s="286"/>
      <c r="Y297" s="289"/>
      <c r="Z297" s="289"/>
      <c r="AA297" s="290">
        <f t="shared" si="77"/>
        <v>0</v>
      </c>
      <c r="AB297" s="291">
        <f t="shared" si="76"/>
        <v>0</v>
      </c>
      <c r="AC297" s="292">
        <f t="shared" si="67"/>
        <v>0</v>
      </c>
      <c r="AD297" s="293"/>
      <c r="AE297" s="293"/>
      <c r="AF297" s="294"/>
      <c r="AG297" s="291"/>
      <c r="AH297" s="295"/>
      <c r="AI297" s="291"/>
      <c r="AJ297" s="295"/>
      <c r="AK297" s="291"/>
      <c r="AL297" s="291"/>
      <c r="AM297" s="291"/>
      <c r="AN297" s="296">
        <v>35000</v>
      </c>
      <c r="AO297" s="296">
        <v>30000</v>
      </c>
      <c r="AP297" s="296"/>
      <c r="AQ297" s="296"/>
      <c r="AR297" s="296"/>
      <c r="AS297" s="296">
        <f t="shared" si="71"/>
        <v>65000</v>
      </c>
      <c r="AT297" s="297">
        <f t="shared" si="72"/>
        <v>-65000</v>
      </c>
      <c r="AU297" s="297">
        <f t="shared" si="68"/>
        <v>-65000</v>
      </c>
      <c r="AV297" s="297">
        <f t="shared" si="69"/>
        <v>0</v>
      </c>
      <c r="AW297" s="297">
        <f t="shared" si="73"/>
        <v>-32500</v>
      </c>
      <c r="AX297" s="297">
        <f t="shared" si="74"/>
        <v>-29250</v>
      </c>
      <c r="AY297" s="298">
        <v>50000</v>
      </c>
      <c r="AZ297" s="298"/>
      <c r="BA297" s="297">
        <f t="shared" si="75"/>
        <v>-79250</v>
      </c>
      <c r="BB297" s="278"/>
      <c r="BC297" s="255"/>
      <c r="BD297" s="255"/>
    </row>
    <row r="298" spans="1:56" s="256" customFormat="1" ht="20" hidden="1" customHeight="1">
      <c r="A298" s="260">
        <v>298</v>
      </c>
      <c r="B298" s="277"/>
      <c r="C298" s="278"/>
      <c r="D298" s="278"/>
      <c r="E298" s="278"/>
      <c r="F298" s="278"/>
      <c r="G298" s="279" t="e">
        <f>"YB"&amp;RIGHT(#REF!,6)</f>
        <v>#REF!</v>
      </c>
      <c r="H298" s="280"/>
      <c r="I298" s="280"/>
      <c r="J298" s="281">
        <f t="shared" si="70"/>
        <v>0</v>
      </c>
      <c r="K298" s="282"/>
      <c r="L298" s="282"/>
      <c r="M298" s="339"/>
      <c r="N298" s="278"/>
      <c r="O298" s="278"/>
      <c r="P298" s="283"/>
      <c r="Q298" s="278"/>
      <c r="R298" s="284"/>
      <c r="S298" s="282"/>
      <c r="T298" s="285"/>
      <c r="U298" s="286"/>
      <c r="V298" s="287"/>
      <c r="W298" s="288"/>
      <c r="X298" s="286"/>
      <c r="Y298" s="289"/>
      <c r="Z298" s="289"/>
      <c r="AA298" s="290">
        <f t="shared" si="77"/>
        <v>0</v>
      </c>
      <c r="AB298" s="291">
        <f t="shared" si="76"/>
        <v>0</v>
      </c>
      <c r="AC298" s="292">
        <f t="shared" si="67"/>
        <v>0</v>
      </c>
      <c r="AD298" s="293"/>
      <c r="AE298" s="293"/>
      <c r="AF298" s="294"/>
      <c r="AG298" s="291"/>
      <c r="AH298" s="295"/>
      <c r="AI298" s="291"/>
      <c r="AJ298" s="295"/>
      <c r="AK298" s="291"/>
      <c r="AL298" s="291"/>
      <c r="AM298" s="291"/>
      <c r="AN298" s="296">
        <v>35000</v>
      </c>
      <c r="AO298" s="296">
        <v>30000</v>
      </c>
      <c r="AP298" s="296"/>
      <c r="AQ298" s="296"/>
      <c r="AR298" s="296"/>
      <c r="AS298" s="296">
        <f t="shared" si="71"/>
        <v>65000</v>
      </c>
      <c r="AT298" s="297">
        <f t="shared" si="72"/>
        <v>-65000</v>
      </c>
      <c r="AU298" s="297">
        <f t="shared" si="68"/>
        <v>-65000</v>
      </c>
      <c r="AV298" s="297">
        <f t="shared" si="69"/>
        <v>0</v>
      </c>
      <c r="AW298" s="297">
        <f t="shared" si="73"/>
        <v>-32500</v>
      </c>
      <c r="AX298" s="297">
        <f t="shared" si="74"/>
        <v>-29250</v>
      </c>
      <c r="AY298" s="298">
        <v>50000</v>
      </c>
      <c r="AZ298" s="298"/>
      <c r="BA298" s="297">
        <f t="shared" si="75"/>
        <v>-79250</v>
      </c>
      <c r="BB298" s="278"/>
      <c r="BC298" s="255"/>
      <c r="BD298" s="255"/>
    </row>
    <row r="299" spans="1:56" s="256" customFormat="1" ht="20" hidden="1" customHeight="1">
      <c r="A299" s="260">
        <v>299</v>
      </c>
      <c r="B299" s="277"/>
      <c r="C299" s="278"/>
      <c r="D299" s="278"/>
      <c r="E299" s="278"/>
      <c r="F299" s="278"/>
      <c r="G299" s="279" t="e">
        <f>"YB"&amp;RIGHT(#REF!,6)</f>
        <v>#REF!</v>
      </c>
      <c r="H299" s="280"/>
      <c r="I299" s="280"/>
      <c r="J299" s="281">
        <f t="shared" si="70"/>
        <v>0</v>
      </c>
      <c r="K299" s="282"/>
      <c r="L299" s="282"/>
      <c r="M299" s="339"/>
      <c r="N299" s="278"/>
      <c r="O299" s="278"/>
      <c r="P299" s="283"/>
      <c r="Q299" s="278"/>
      <c r="R299" s="284"/>
      <c r="S299" s="282"/>
      <c r="T299" s="285"/>
      <c r="U299" s="286"/>
      <c r="V299" s="287"/>
      <c r="W299" s="288"/>
      <c r="X299" s="286"/>
      <c r="Y299" s="289"/>
      <c r="Z299" s="289"/>
      <c r="AA299" s="290">
        <f t="shared" si="77"/>
        <v>0</v>
      </c>
      <c r="AB299" s="291">
        <f t="shared" si="76"/>
        <v>0</v>
      </c>
      <c r="AC299" s="292">
        <f t="shared" si="67"/>
        <v>0</v>
      </c>
      <c r="AD299" s="293"/>
      <c r="AE299" s="293"/>
      <c r="AF299" s="294"/>
      <c r="AG299" s="291"/>
      <c r="AH299" s="295"/>
      <c r="AI299" s="291"/>
      <c r="AJ299" s="295"/>
      <c r="AK299" s="291"/>
      <c r="AL299" s="291"/>
      <c r="AM299" s="291"/>
      <c r="AN299" s="296">
        <v>35000</v>
      </c>
      <c r="AO299" s="296">
        <v>30000</v>
      </c>
      <c r="AP299" s="296"/>
      <c r="AQ299" s="296"/>
      <c r="AR299" s="296"/>
      <c r="AS299" s="296">
        <f t="shared" si="71"/>
        <v>65000</v>
      </c>
      <c r="AT299" s="297">
        <f t="shared" si="72"/>
        <v>-65000</v>
      </c>
      <c r="AU299" s="297">
        <f t="shared" si="68"/>
        <v>-65000</v>
      </c>
      <c r="AV299" s="297">
        <f t="shared" si="69"/>
        <v>0</v>
      </c>
      <c r="AW299" s="297">
        <f t="shared" si="73"/>
        <v>-32500</v>
      </c>
      <c r="AX299" s="297">
        <f t="shared" si="74"/>
        <v>-29250</v>
      </c>
      <c r="AY299" s="298">
        <v>50000</v>
      </c>
      <c r="AZ299" s="298"/>
      <c r="BA299" s="297">
        <f t="shared" si="75"/>
        <v>-79250</v>
      </c>
      <c r="BB299" s="278"/>
      <c r="BC299" s="255"/>
      <c r="BD299" s="255"/>
    </row>
    <row r="300" spans="1:56" s="256" customFormat="1" ht="20" hidden="1" customHeight="1">
      <c r="A300" s="260">
        <v>300</v>
      </c>
      <c r="B300" s="277"/>
      <c r="C300" s="278"/>
      <c r="D300" s="278"/>
      <c r="E300" s="278"/>
      <c r="F300" s="278"/>
      <c r="G300" s="279" t="e">
        <f>"YB"&amp;RIGHT(#REF!,6)</f>
        <v>#REF!</v>
      </c>
      <c r="H300" s="280"/>
      <c r="I300" s="280"/>
      <c r="J300" s="281">
        <f t="shared" si="70"/>
        <v>0</v>
      </c>
      <c r="K300" s="282"/>
      <c r="L300" s="282"/>
      <c r="M300" s="339"/>
      <c r="N300" s="278"/>
      <c r="O300" s="278"/>
      <c r="P300" s="283"/>
      <c r="Q300" s="278"/>
      <c r="R300" s="284"/>
      <c r="S300" s="282"/>
      <c r="T300" s="285"/>
      <c r="U300" s="286"/>
      <c r="V300" s="287"/>
      <c r="W300" s="288"/>
      <c r="X300" s="286"/>
      <c r="Y300" s="289"/>
      <c r="Z300" s="289"/>
      <c r="AA300" s="290">
        <f t="shared" si="77"/>
        <v>0</v>
      </c>
      <c r="AB300" s="291">
        <f t="shared" si="76"/>
        <v>0</v>
      </c>
      <c r="AC300" s="292">
        <f t="shared" si="67"/>
        <v>0</v>
      </c>
      <c r="AD300" s="293"/>
      <c r="AE300" s="293"/>
      <c r="AF300" s="294"/>
      <c r="AG300" s="291"/>
      <c r="AH300" s="295"/>
      <c r="AI300" s="291"/>
      <c r="AJ300" s="295"/>
      <c r="AK300" s="291"/>
      <c r="AL300" s="291"/>
      <c r="AM300" s="291"/>
      <c r="AN300" s="296">
        <v>35000</v>
      </c>
      <c r="AO300" s="296">
        <v>30000</v>
      </c>
      <c r="AP300" s="296"/>
      <c r="AQ300" s="296"/>
      <c r="AR300" s="296"/>
      <c r="AS300" s="296">
        <f t="shared" si="71"/>
        <v>65000</v>
      </c>
      <c r="AT300" s="297">
        <f t="shared" si="72"/>
        <v>-65000</v>
      </c>
      <c r="AU300" s="297">
        <f t="shared" si="68"/>
        <v>-65000</v>
      </c>
      <c r="AV300" s="297">
        <f t="shared" si="69"/>
        <v>0</v>
      </c>
      <c r="AW300" s="297">
        <f t="shared" si="73"/>
        <v>-32500</v>
      </c>
      <c r="AX300" s="297">
        <f t="shared" si="74"/>
        <v>-29250</v>
      </c>
      <c r="AY300" s="298">
        <v>50000</v>
      </c>
      <c r="AZ300" s="298"/>
      <c r="BA300" s="297">
        <f t="shared" si="75"/>
        <v>-79250</v>
      </c>
      <c r="BB300" s="278"/>
      <c r="BC300" s="255"/>
      <c r="BD300" s="255"/>
    </row>
    <row r="301" spans="1:56" s="256" customFormat="1" ht="20" hidden="1" customHeight="1">
      <c r="A301" s="260">
        <v>301</v>
      </c>
      <c r="B301" s="277"/>
      <c r="C301" s="278"/>
      <c r="D301" s="278"/>
      <c r="E301" s="278"/>
      <c r="F301" s="278"/>
      <c r="G301" s="279" t="e">
        <f>"YB"&amp;RIGHT(#REF!,6)</f>
        <v>#REF!</v>
      </c>
      <c r="H301" s="280"/>
      <c r="I301" s="280"/>
      <c r="J301" s="281">
        <f t="shared" si="70"/>
        <v>0</v>
      </c>
      <c r="K301" s="282"/>
      <c r="L301" s="282"/>
      <c r="M301" s="339"/>
      <c r="N301" s="278"/>
      <c r="O301" s="278"/>
      <c r="P301" s="283"/>
      <c r="Q301" s="278"/>
      <c r="R301" s="284"/>
      <c r="S301" s="282"/>
      <c r="T301" s="285"/>
      <c r="U301" s="286"/>
      <c r="V301" s="287"/>
      <c r="W301" s="288"/>
      <c r="X301" s="286"/>
      <c r="Y301" s="289"/>
      <c r="Z301" s="289"/>
      <c r="AA301" s="290">
        <f t="shared" si="77"/>
        <v>0</v>
      </c>
      <c r="AB301" s="291">
        <f t="shared" si="76"/>
        <v>0</v>
      </c>
      <c r="AC301" s="292">
        <f t="shared" si="67"/>
        <v>0</v>
      </c>
      <c r="AD301" s="293"/>
      <c r="AE301" s="293"/>
      <c r="AF301" s="294"/>
      <c r="AG301" s="291"/>
      <c r="AH301" s="295"/>
      <c r="AI301" s="291"/>
      <c r="AJ301" s="295"/>
      <c r="AK301" s="291"/>
      <c r="AL301" s="291"/>
      <c r="AM301" s="291"/>
      <c r="AN301" s="296">
        <v>35000</v>
      </c>
      <c r="AO301" s="296">
        <v>30000</v>
      </c>
      <c r="AP301" s="296"/>
      <c r="AQ301" s="296"/>
      <c r="AR301" s="296"/>
      <c r="AS301" s="296">
        <f t="shared" si="71"/>
        <v>65000</v>
      </c>
      <c r="AT301" s="297">
        <f t="shared" si="72"/>
        <v>-65000</v>
      </c>
      <c r="AU301" s="297">
        <f t="shared" si="68"/>
        <v>-65000</v>
      </c>
      <c r="AV301" s="297">
        <f t="shared" si="69"/>
        <v>0</v>
      </c>
      <c r="AW301" s="297">
        <f t="shared" si="73"/>
        <v>-32500</v>
      </c>
      <c r="AX301" s="297">
        <f t="shared" si="74"/>
        <v>-29250</v>
      </c>
      <c r="AY301" s="298">
        <v>50000</v>
      </c>
      <c r="AZ301" s="298"/>
      <c r="BA301" s="297">
        <f t="shared" si="75"/>
        <v>-79250</v>
      </c>
      <c r="BB301" s="278"/>
      <c r="BC301" s="255"/>
      <c r="BD301" s="255"/>
    </row>
    <row r="302" spans="1:56" s="256" customFormat="1" ht="20" hidden="1" customHeight="1">
      <c r="A302" s="260">
        <v>302</v>
      </c>
      <c r="B302" s="277"/>
      <c r="C302" s="278"/>
      <c r="D302" s="278"/>
      <c r="E302" s="278"/>
      <c r="F302" s="278"/>
      <c r="G302" s="279" t="e">
        <f>"YB"&amp;RIGHT(#REF!,6)</f>
        <v>#REF!</v>
      </c>
      <c r="H302" s="280"/>
      <c r="I302" s="280"/>
      <c r="J302" s="281">
        <f t="shared" si="70"/>
        <v>0</v>
      </c>
      <c r="K302" s="282"/>
      <c r="L302" s="282"/>
      <c r="M302" s="339"/>
      <c r="N302" s="278"/>
      <c r="O302" s="278"/>
      <c r="P302" s="283"/>
      <c r="Q302" s="278"/>
      <c r="R302" s="284"/>
      <c r="S302" s="282"/>
      <c r="T302" s="285"/>
      <c r="U302" s="286"/>
      <c r="V302" s="287"/>
      <c r="W302" s="288"/>
      <c r="X302" s="286"/>
      <c r="Y302" s="289"/>
      <c r="Z302" s="289"/>
      <c r="AA302" s="290">
        <f t="shared" si="77"/>
        <v>0</v>
      </c>
      <c r="AB302" s="291">
        <f t="shared" si="76"/>
        <v>0</v>
      </c>
      <c r="AC302" s="292">
        <f t="shared" si="67"/>
        <v>0</v>
      </c>
      <c r="AD302" s="293"/>
      <c r="AE302" s="293"/>
      <c r="AF302" s="294"/>
      <c r="AG302" s="291"/>
      <c r="AH302" s="295"/>
      <c r="AI302" s="291"/>
      <c r="AJ302" s="295"/>
      <c r="AK302" s="291"/>
      <c r="AL302" s="291"/>
      <c r="AM302" s="291"/>
      <c r="AN302" s="296">
        <v>35000</v>
      </c>
      <c r="AO302" s="296">
        <v>30000</v>
      </c>
      <c r="AP302" s="296"/>
      <c r="AQ302" s="296"/>
      <c r="AR302" s="296"/>
      <c r="AS302" s="296">
        <f t="shared" si="71"/>
        <v>65000</v>
      </c>
      <c r="AT302" s="297">
        <f t="shared" si="72"/>
        <v>-65000</v>
      </c>
      <c r="AU302" s="297">
        <f t="shared" si="68"/>
        <v>-65000</v>
      </c>
      <c r="AV302" s="297">
        <f t="shared" si="69"/>
        <v>0</v>
      </c>
      <c r="AW302" s="297">
        <f t="shared" si="73"/>
        <v>-32500</v>
      </c>
      <c r="AX302" s="297">
        <f t="shared" si="74"/>
        <v>-29250</v>
      </c>
      <c r="AY302" s="298">
        <v>50000</v>
      </c>
      <c r="AZ302" s="298"/>
      <c r="BA302" s="297">
        <f t="shared" si="75"/>
        <v>-79250</v>
      </c>
      <c r="BB302" s="278"/>
      <c r="BC302" s="255"/>
      <c r="BD302" s="255"/>
    </row>
    <row r="303" spans="1:56" s="256" customFormat="1" ht="20" hidden="1" customHeight="1">
      <c r="A303" s="260">
        <v>303</v>
      </c>
      <c r="B303" s="277"/>
      <c r="C303" s="278"/>
      <c r="D303" s="278"/>
      <c r="E303" s="278"/>
      <c r="F303" s="278"/>
      <c r="G303" s="279" t="e">
        <f>"YB"&amp;RIGHT(#REF!,6)</f>
        <v>#REF!</v>
      </c>
      <c r="H303" s="280"/>
      <c r="I303" s="280"/>
      <c r="J303" s="281">
        <f t="shared" ref="J303:J366" si="78">H303+I303</f>
        <v>0</v>
      </c>
      <c r="K303" s="282"/>
      <c r="L303" s="282"/>
      <c r="M303" s="339"/>
      <c r="N303" s="278"/>
      <c r="O303" s="278"/>
      <c r="P303" s="283"/>
      <c r="Q303" s="278"/>
      <c r="R303" s="284"/>
      <c r="S303" s="282"/>
      <c r="T303" s="285"/>
      <c r="U303" s="286"/>
      <c r="V303" s="287"/>
      <c r="W303" s="288"/>
      <c r="X303" s="286"/>
      <c r="Y303" s="289"/>
      <c r="Z303" s="289"/>
      <c r="AA303" s="290">
        <f t="shared" si="77"/>
        <v>0</v>
      </c>
      <c r="AB303" s="291">
        <f t="shared" si="76"/>
        <v>0</v>
      </c>
      <c r="AC303" s="292">
        <f t="shared" ref="AC303:AC366" si="79">SUM(AB303-AA303)</f>
        <v>0</v>
      </c>
      <c r="AD303" s="293"/>
      <c r="AE303" s="293"/>
      <c r="AF303" s="294"/>
      <c r="AG303" s="291"/>
      <c r="AH303" s="295"/>
      <c r="AI303" s="291"/>
      <c r="AJ303" s="295"/>
      <c r="AK303" s="291"/>
      <c r="AL303" s="291"/>
      <c r="AM303" s="291"/>
      <c r="AN303" s="296">
        <v>35000</v>
      </c>
      <c r="AO303" s="296">
        <v>30000</v>
      </c>
      <c r="AP303" s="296"/>
      <c r="AQ303" s="296"/>
      <c r="AR303" s="296"/>
      <c r="AS303" s="296">
        <f t="shared" si="71"/>
        <v>65000</v>
      </c>
      <c r="AT303" s="297">
        <f t="shared" si="72"/>
        <v>-65000</v>
      </c>
      <c r="AU303" s="297">
        <f t="shared" ref="AU303:AU366" si="80">SUM(AT303-J303)</f>
        <v>-65000</v>
      </c>
      <c r="AV303" s="297">
        <f t="shared" ref="AV303:AV366" si="81">SUM(0.09*H303)</f>
        <v>0</v>
      </c>
      <c r="AW303" s="297">
        <f t="shared" si="73"/>
        <v>-32500</v>
      </c>
      <c r="AX303" s="297">
        <f t="shared" si="74"/>
        <v>-29250</v>
      </c>
      <c r="AY303" s="298">
        <v>50000</v>
      </c>
      <c r="AZ303" s="298"/>
      <c r="BA303" s="297">
        <f t="shared" si="75"/>
        <v>-79250</v>
      </c>
      <c r="BB303" s="278"/>
      <c r="BC303" s="255"/>
      <c r="BD303" s="255"/>
    </row>
    <row r="304" spans="1:56" s="256" customFormat="1" ht="20" hidden="1" customHeight="1">
      <c r="A304" s="260">
        <v>304</v>
      </c>
      <c r="B304" s="277"/>
      <c r="C304" s="278"/>
      <c r="D304" s="278"/>
      <c r="E304" s="278"/>
      <c r="F304" s="278"/>
      <c r="G304" s="279" t="e">
        <f>"YB"&amp;RIGHT(#REF!,6)</f>
        <v>#REF!</v>
      </c>
      <c r="H304" s="280"/>
      <c r="I304" s="280"/>
      <c r="J304" s="281">
        <f t="shared" si="78"/>
        <v>0</v>
      </c>
      <c r="K304" s="282"/>
      <c r="L304" s="282"/>
      <c r="M304" s="339"/>
      <c r="N304" s="278"/>
      <c r="O304" s="278"/>
      <c r="P304" s="283"/>
      <c r="Q304" s="278"/>
      <c r="R304" s="284"/>
      <c r="S304" s="282"/>
      <c r="T304" s="285"/>
      <c r="U304" s="286"/>
      <c r="V304" s="287"/>
      <c r="W304" s="288"/>
      <c r="X304" s="286"/>
      <c r="Y304" s="289"/>
      <c r="Z304" s="289"/>
      <c r="AA304" s="290">
        <f t="shared" si="77"/>
        <v>0</v>
      </c>
      <c r="AB304" s="291">
        <f t="shared" si="76"/>
        <v>0</v>
      </c>
      <c r="AC304" s="292">
        <f t="shared" si="79"/>
        <v>0</v>
      </c>
      <c r="AD304" s="293"/>
      <c r="AE304" s="293"/>
      <c r="AF304" s="294"/>
      <c r="AG304" s="291"/>
      <c r="AH304" s="295"/>
      <c r="AI304" s="291"/>
      <c r="AJ304" s="295"/>
      <c r="AK304" s="291"/>
      <c r="AL304" s="291"/>
      <c r="AM304" s="291"/>
      <c r="AN304" s="296">
        <v>35000</v>
      </c>
      <c r="AO304" s="296">
        <v>30000</v>
      </c>
      <c r="AP304" s="296"/>
      <c r="AQ304" s="296"/>
      <c r="AR304" s="296"/>
      <c r="AS304" s="296">
        <f t="shared" si="71"/>
        <v>65000</v>
      </c>
      <c r="AT304" s="297">
        <f t="shared" si="72"/>
        <v>-65000</v>
      </c>
      <c r="AU304" s="297">
        <f t="shared" si="80"/>
        <v>-65000</v>
      </c>
      <c r="AV304" s="297">
        <f t="shared" si="81"/>
        <v>0</v>
      </c>
      <c r="AW304" s="297">
        <f t="shared" si="73"/>
        <v>-32500</v>
      </c>
      <c r="AX304" s="297">
        <f t="shared" si="74"/>
        <v>-29250</v>
      </c>
      <c r="AY304" s="298">
        <v>50000</v>
      </c>
      <c r="AZ304" s="298"/>
      <c r="BA304" s="297">
        <f t="shared" si="75"/>
        <v>-79250</v>
      </c>
      <c r="BB304" s="278"/>
      <c r="BC304" s="255"/>
      <c r="BD304" s="255"/>
    </row>
    <row r="305" spans="1:56" s="256" customFormat="1" ht="20" hidden="1" customHeight="1">
      <c r="A305" s="260">
        <v>305</v>
      </c>
      <c r="B305" s="277"/>
      <c r="C305" s="278"/>
      <c r="D305" s="278"/>
      <c r="E305" s="278"/>
      <c r="F305" s="278"/>
      <c r="G305" s="279" t="e">
        <f>"YB"&amp;RIGHT(#REF!,6)</f>
        <v>#REF!</v>
      </c>
      <c r="H305" s="280"/>
      <c r="I305" s="280"/>
      <c r="J305" s="281">
        <f t="shared" si="78"/>
        <v>0</v>
      </c>
      <c r="K305" s="282"/>
      <c r="L305" s="282"/>
      <c r="M305" s="339"/>
      <c r="N305" s="278"/>
      <c r="O305" s="278"/>
      <c r="P305" s="283"/>
      <c r="Q305" s="278"/>
      <c r="R305" s="284"/>
      <c r="S305" s="282"/>
      <c r="T305" s="285"/>
      <c r="U305" s="286"/>
      <c r="V305" s="287"/>
      <c r="W305" s="288"/>
      <c r="X305" s="286"/>
      <c r="Y305" s="289"/>
      <c r="Z305" s="289"/>
      <c r="AA305" s="290">
        <f t="shared" si="77"/>
        <v>0</v>
      </c>
      <c r="AB305" s="291">
        <f t="shared" si="76"/>
        <v>0</v>
      </c>
      <c r="AC305" s="292">
        <f t="shared" si="79"/>
        <v>0</v>
      </c>
      <c r="AD305" s="293"/>
      <c r="AE305" s="293"/>
      <c r="AF305" s="294"/>
      <c r="AG305" s="291"/>
      <c r="AH305" s="295"/>
      <c r="AI305" s="291"/>
      <c r="AJ305" s="295"/>
      <c r="AK305" s="291"/>
      <c r="AL305" s="291"/>
      <c r="AM305" s="291"/>
      <c r="AN305" s="296">
        <v>35000</v>
      </c>
      <c r="AO305" s="296">
        <v>30000</v>
      </c>
      <c r="AP305" s="296"/>
      <c r="AQ305" s="296"/>
      <c r="AR305" s="296"/>
      <c r="AS305" s="296">
        <f t="shared" si="71"/>
        <v>65000</v>
      </c>
      <c r="AT305" s="297">
        <f t="shared" si="72"/>
        <v>-65000</v>
      </c>
      <c r="AU305" s="297">
        <f t="shared" si="80"/>
        <v>-65000</v>
      </c>
      <c r="AV305" s="297">
        <f t="shared" si="81"/>
        <v>0</v>
      </c>
      <c r="AW305" s="297">
        <f t="shared" si="73"/>
        <v>-32500</v>
      </c>
      <c r="AX305" s="297">
        <f t="shared" si="74"/>
        <v>-29250</v>
      </c>
      <c r="AY305" s="298">
        <v>50000</v>
      </c>
      <c r="AZ305" s="298"/>
      <c r="BA305" s="297">
        <f t="shared" si="75"/>
        <v>-79250</v>
      </c>
      <c r="BB305" s="278"/>
      <c r="BC305" s="255"/>
      <c r="BD305" s="255"/>
    </row>
    <row r="306" spans="1:56" s="256" customFormat="1" ht="20" hidden="1" customHeight="1">
      <c r="A306" s="260">
        <v>306</v>
      </c>
      <c r="B306" s="277"/>
      <c r="C306" s="278"/>
      <c r="D306" s="278"/>
      <c r="E306" s="278"/>
      <c r="F306" s="278"/>
      <c r="G306" s="279" t="e">
        <f>"YB"&amp;RIGHT(#REF!,6)</f>
        <v>#REF!</v>
      </c>
      <c r="H306" s="280"/>
      <c r="I306" s="280"/>
      <c r="J306" s="281">
        <f t="shared" si="78"/>
        <v>0</v>
      </c>
      <c r="K306" s="282"/>
      <c r="L306" s="282"/>
      <c r="M306" s="339"/>
      <c r="N306" s="278"/>
      <c r="O306" s="278"/>
      <c r="P306" s="283"/>
      <c r="Q306" s="278"/>
      <c r="R306" s="284"/>
      <c r="S306" s="282"/>
      <c r="T306" s="285"/>
      <c r="U306" s="286"/>
      <c r="V306" s="287"/>
      <c r="W306" s="288"/>
      <c r="X306" s="286"/>
      <c r="Y306" s="289"/>
      <c r="Z306" s="289"/>
      <c r="AA306" s="290">
        <f t="shared" si="77"/>
        <v>0</v>
      </c>
      <c r="AB306" s="291">
        <f t="shared" si="76"/>
        <v>0</v>
      </c>
      <c r="AC306" s="292">
        <f t="shared" si="79"/>
        <v>0</v>
      </c>
      <c r="AD306" s="293"/>
      <c r="AE306" s="293"/>
      <c r="AF306" s="294"/>
      <c r="AG306" s="291"/>
      <c r="AH306" s="295"/>
      <c r="AI306" s="291"/>
      <c r="AJ306" s="295"/>
      <c r="AK306" s="291"/>
      <c r="AL306" s="291"/>
      <c r="AM306" s="291"/>
      <c r="AN306" s="296">
        <v>35000</v>
      </c>
      <c r="AO306" s="296">
        <v>30000</v>
      </c>
      <c r="AP306" s="296"/>
      <c r="AQ306" s="296"/>
      <c r="AR306" s="296"/>
      <c r="AS306" s="296">
        <f t="shared" si="71"/>
        <v>65000</v>
      </c>
      <c r="AT306" s="297">
        <f t="shared" si="72"/>
        <v>-65000</v>
      </c>
      <c r="AU306" s="297">
        <f t="shared" si="80"/>
        <v>-65000</v>
      </c>
      <c r="AV306" s="297">
        <f t="shared" si="81"/>
        <v>0</v>
      </c>
      <c r="AW306" s="297">
        <f t="shared" si="73"/>
        <v>-32500</v>
      </c>
      <c r="AX306" s="297">
        <f t="shared" si="74"/>
        <v>-29250</v>
      </c>
      <c r="AY306" s="298">
        <v>50000</v>
      </c>
      <c r="AZ306" s="298"/>
      <c r="BA306" s="297">
        <f t="shared" si="75"/>
        <v>-79250</v>
      </c>
      <c r="BB306" s="278"/>
      <c r="BC306" s="255"/>
      <c r="BD306" s="255"/>
    </row>
    <row r="307" spans="1:56" s="256" customFormat="1" ht="20" hidden="1" customHeight="1">
      <c r="A307" s="260">
        <v>307</v>
      </c>
      <c r="B307" s="277"/>
      <c r="C307" s="278"/>
      <c r="D307" s="278"/>
      <c r="E307" s="278"/>
      <c r="F307" s="278"/>
      <c r="G307" s="279" t="e">
        <f>"YB"&amp;RIGHT(#REF!,6)</f>
        <v>#REF!</v>
      </c>
      <c r="H307" s="280"/>
      <c r="I307" s="280"/>
      <c r="J307" s="281">
        <f t="shared" si="78"/>
        <v>0</v>
      </c>
      <c r="K307" s="282"/>
      <c r="L307" s="282"/>
      <c r="M307" s="339"/>
      <c r="N307" s="278"/>
      <c r="O307" s="278"/>
      <c r="P307" s="283"/>
      <c r="Q307" s="278"/>
      <c r="R307" s="284"/>
      <c r="S307" s="282"/>
      <c r="T307" s="285"/>
      <c r="U307" s="286"/>
      <c r="V307" s="287"/>
      <c r="W307" s="288"/>
      <c r="X307" s="286"/>
      <c r="Y307" s="289"/>
      <c r="Z307" s="289"/>
      <c r="AA307" s="290">
        <f t="shared" si="77"/>
        <v>0</v>
      </c>
      <c r="AB307" s="291">
        <f t="shared" si="76"/>
        <v>0</v>
      </c>
      <c r="AC307" s="292">
        <f t="shared" si="79"/>
        <v>0</v>
      </c>
      <c r="AD307" s="293"/>
      <c r="AE307" s="293"/>
      <c r="AF307" s="294"/>
      <c r="AG307" s="291"/>
      <c r="AH307" s="295"/>
      <c r="AI307" s="291"/>
      <c r="AJ307" s="295"/>
      <c r="AK307" s="291"/>
      <c r="AL307" s="291"/>
      <c r="AM307" s="291"/>
      <c r="AN307" s="296">
        <v>35000</v>
      </c>
      <c r="AO307" s="296">
        <v>30000</v>
      </c>
      <c r="AP307" s="296"/>
      <c r="AQ307" s="296"/>
      <c r="AR307" s="296"/>
      <c r="AS307" s="296">
        <f t="shared" si="71"/>
        <v>65000</v>
      </c>
      <c r="AT307" s="297">
        <f t="shared" si="72"/>
        <v>-65000</v>
      </c>
      <c r="AU307" s="297">
        <f t="shared" si="80"/>
        <v>-65000</v>
      </c>
      <c r="AV307" s="297">
        <f t="shared" si="81"/>
        <v>0</v>
      </c>
      <c r="AW307" s="297">
        <f t="shared" si="73"/>
        <v>-32500</v>
      </c>
      <c r="AX307" s="297">
        <f t="shared" si="74"/>
        <v>-29250</v>
      </c>
      <c r="AY307" s="298">
        <v>50000</v>
      </c>
      <c r="AZ307" s="298"/>
      <c r="BA307" s="297">
        <f t="shared" si="75"/>
        <v>-79250</v>
      </c>
      <c r="BB307" s="278"/>
      <c r="BC307" s="255"/>
      <c r="BD307" s="255"/>
    </row>
    <row r="308" spans="1:56" s="256" customFormat="1" ht="20" hidden="1" customHeight="1">
      <c r="A308" s="260">
        <v>308</v>
      </c>
      <c r="B308" s="277"/>
      <c r="C308" s="278"/>
      <c r="D308" s="278"/>
      <c r="E308" s="278"/>
      <c r="F308" s="278"/>
      <c r="G308" s="279" t="e">
        <f>"YB"&amp;RIGHT(#REF!,6)</f>
        <v>#REF!</v>
      </c>
      <c r="H308" s="280"/>
      <c r="I308" s="280"/>
      <c r="J308" s="281">
        <f t="shared" si="78"/>
        <v>0</v>
      </c>
      <c r="K308" s="282"/>
      <c r="L308" s="282"/>
      <c r="M308" s="339"/>
      <c r="N308" s="278"/>
      <c r="O308" s="278"/>
      <c r="P308" s="283"/>
      <c r="Q308" s="278"/>
      <c r="R308" s="284"/>
      <c r="S308" s="282"/>
      <c r="T308" s="285"/>
      <c r="U308" s="286"/>
      <c r="V308" s="287"/>
      <c r="W308" s="288"/>
      <c r="X308" s="286"/>
      <c r="Y308" s="289"/>
      <c r="Z308" s="289"/>
      <c r="AA308" s="290">
        <f t="shared" si="77"/>
        <v>0</v>
      </c>
      <c r="AB308" s="291">
        <f t="shared" si="76"/>
        <v>0</v>
      </c>
      <c r="AC308" s="292">
        <f t="shared" si="79"/>
        <v>0</v>
      </c>
      <c r="AD308" s="293"/>
      <c r="AE308" s="293"/>
      <c r="AF308" s="294"/>
      <c r="AG308" s="291"/>
      <c r="AH308" s="295"/>
      <c r="AI308" s="291"/>
      <c r="AJ308" s="295"/>
      <c r="AK308" s="291"/>
      <c r="AL308" s="291"/>
      <c r="AM308" s="291"/>
      <c r="AN308" s="296">
        <v>35000</v>
      </c>
      <c r="AO308" s="296">
        <v>30000</v>
      </c>
      <c r="AP308" s="296"/>
      <c r="AQ308" s="296"/>
      <c r="AR308" s="296"/>
      <c r="AS308" s="296">
        <f t="shared" si="71"/>
        <v>65000</v>
      </c>
      <c r="AT308" s="297">
        <f t="shared" si="72"/>
        <v>-65000</v>
      </c>
      <c r="AU308" s="297">
        <f t="shared" si="80"/>
        <v>-65000</v>
      </c>
      <c r="AV308" s="297">
        <f t="shared" si="81"/>
        <v>0</v>
      </c>
      <c r="AW308" s="297">
        <f t="shared" si="73"/>
        <v>-32500</v>
      </c>
      <c r="AX308" s="297">
        <f t="shared" si="74"/>
        <v>-29250</v>
      </c>
      <c r="AY308" s="298">
        <v>50000</v>
      </c>
      <c r="AZ308" s="298"/>
      <c r="BA308" s="297">
        <f t="shared" si="75"/>
        <v>-79250</v>
      </c>
      <c r="BB308" s="278"/>
      <c r="BC308" s="255"/>
      <c r="BD308" s="255"/>
    </row>
    <row r="309" spans="1:56" s="256" customFormat="1" ht="20" hidden="1" customHeight="1">
      <c r="A309" s="260">
        <v>309</v>
      </c>
      <c r="B309" s="277"/>
      <c r="C309" s="278"/>
      <c r="D309" s="278"/>
      <c r="E309" s="278"/>
      <c r="F309" s="278"/>
      <c r="G309" s="279" t="e">
        <f>"YB"&amp;RIGHT(#REF!,6)</f>
        <v>#REF!</v>
      </c>
      <c r="H309" s="280"/>
      <c r="I309" s="280"/>
      <c r="J309" s="281">
        <f t="shared" si="78"/>
        <v>0</v>
      </c>
      <c r="K309" s="282"/>
      <c r="L309" s="282"/>
      <c r="M309" s="339"/>
      <c r="N309" s="278"/>
      <c r="O309" s="278"/>
      <c r="P309" s="283" t="s">
        <v>321</v>
      </c>
      <c r="Q309" s="278"/>
      <c r="R309" s="284"/>
      <c r="S309" s="282"/>
      <c r="T309" s="285"/>
      <c r="U309" s="286"/>
      <c r="V309" s="287"/>
      <c r="W309" s="288"/>
      <c r="X309" s="286"/>
      <c r="Y309" s="289"/>
      <c r="Z309" s="289"/>
      <c r="AA309" s="290">
        <f t="shared" si="77"/>
        <v>0</v>
      </c>
      <c r="AB309" s="291">
        <f t="shared" si="76"/>
        <v>0</v>
      </c>
      <c r="AC309" s="292">
        <f t="shared" si="79"/>
        <v>0</v>
      </c>
      <c r="AD309" s="293"/>
      <c r="AE309" s="293"/>
      <c r="AF309" s="294"/>
      <c r="AG309" s="291"/>
      <c r="AH309" s="295"/>
      <c r="AI309" s="291"/>
      <c r="AJ309" s="295"/>
      <c r="AK309" s="291"/>
      <c r="AL309" s="291"/>
      <c r="AM309" s="291"/>
      <c r="AN309" s="296">
        <v>35000</v>
      </c>
      <c r="AO309" s="296">
        <v>30000</v>
      </c>
      <c r="AP309" s="296"/>
      <c r="AQ309" s="296"/>
      <c r="AR309" s="296"/>
      <c r="AS309" s="296">
        <f t="shared" si="71"/>
        <v>65000</v>
      </c>
      <c r="AT309" s="297">
        <f t="shared" si="72"/>
        <v>-65000</v>
      </c>
      <c r="AU309" s="297">
        <f t="shared" si="80"/>
        <v>-65000</v>
      </c>
      <c r="AV309" s="297">
        <f t="shared" si="81"/>
        <v>0</v>
      </c>
      <c r="AW309" s="297">
        <f t="shared" si="73"/>
        <v>-32500</v>
      </c>
      <c r="AX309" s="297">
        <f t="shared" si="74"/>
        <v>-29250</v>
      </c>
      <c r="AY309" s="298">
        <v>50000</v>
      </c>
      <c r="AZ309" s="298"/>
      <c r="BA309" s="297">
        <f t="shared" si="75"/>
        <v>-79250</v>
      </c>
      <c r="BB309" s="278"/>
      <c r="BC309" s="255"/>
      <c r="BD309" s="255"/>
    </row>
    <row r="310" spans="1:56" s="256" customFormat="1" ht="20" hidden="1" customHeight="1">
      <c r="A310" s="260">
        <v>310</v>
      </c>
      <c r="B310" s="277"/>
      <c r="C310" s="278"/>
      <c r="D310" s="278"/>
      <c r="E310" s="278"/>
      <c r="F310" s="278"/>
      <c r="G310" s="279" t="e">
        <f>"YB"&amp;RIGHT(#REF!,6)</f>
        <v>#REF!</v>
      </c>
      <c r="H310" s="280"/>
      <c r="I310" s="280"/>
      <c r="J310" s="281">
        <f t="shared" si="78"/>
        <v>0</v>
      </c>
      <c r="K310" s="282"/>
      <c r="L310" s="282"/>
      <c r="M310" s="339"/>
      <c r="N310" s="278"/>
      <c r="O310" s="278"/>
      <c r="P310" s="283"/>
      <c r="Q310" s="278"/>
      <c r="R310" s="284"/>
      <c r="S310" s="282"/>
      <c r="T310" s="285"/>
      <c r="U310" s="286"/>
      <c r="V310" s="287"/>
      <c r="W310" s="288"/>
      <c r="X310" s="286"/>
      <c r="Y310" s="289"/>
      <c r="Z310" s="289"/>
      <c r="AA310" s="290">
        <f t="shared" si="77"/>
        <v>0</v>
      </c>
      <c r="AB310" s="291">
        <f t="shared" si="76"/>
        <v>0</v>
      </c>
      <c r="AC310" s="292">
        <f t="shared" si="79"/>
        <v>0</v>
      </c>
      <c r="AD310" s="293"/>
      <c r="AE310" s="293"/>
      <c r="AF310" s="294"/>
      <c r="AG310" s="291"/>
      <c r="AH310" s="295"/>
      <c r="AI310" s="291"/>
      <c r="AJ310" s="295"/>
      <c r="AK310" s="291"/>
      <c r="AL310" s="291"/>
      <c r="AM310" s="291"/>
      <c r="AN310" s="296">
        <v>35000</v>
      </c>
      <c r="AO310" s="296">
        <v>30000</v>
      </c>
      <c r="AP310" s="296"/>
      <c r="AQ310" s="296"/>
      <c r="AR310" s="296"/>
      <c r="AS310" s="296">
        <f t="shared" si="71"/>
        <v>65000</v>
      </c>
      <c r="AT310" s="297">
        <f t="shared" si="72"/>
        <v>-65000</v>
      </c>
      <c r="AU310" s="297">
        <f t="shared" si="80"/>
        <v>-65000</v>
      </c>
      <c r="AV310" s="297">
        <f t="shared" si="81"/>
        <v>0</v>
      </c>
      <c r="AW310" s="297">
        <f t="shared" si="73"/>
        <v>-32500</v>
      </c>
      <c r="AX310" s="297">
        <f t="shared" si="74"/>
        <v>-29250</v>
      </c>
      <c r="AY310" s="298">
        <v>50000</v>
      </c>
      <c r="AZ310" s="298"/>
      <c r="BA310" s="297">
        <f t="shared" si="75"/>
        <v>-79250</v>
      </c>
      <c r="BB310" s="278"/>
      <c r="BC310" s="255"/>
      <c r="BD310" s="255"/>
    </row>
    <row r="311" spans="1:56" s="256" customFormat="1" ht="20" hidden="1" customHeight="1">
      <c r="A311" s="260">
        <v>311</v>
      </c>
      <c r="B311" s="277"/>
      <c r="C311" s="278"/>
      <c r="D311" s="278"/>
      <c r="E311" s="278"/>
      <c r="F311" s="278"/>
      <c r="G311" s="279" t="e">
        <f>"YB"&amp;RIGHT(#REF!,6)</f>
        <v>#REF!</v>
      </c>
      <c r="H311" s="280"/>
      <c r="I311" s="280"/>
      <c r="J311" s="281">
        <f t="shared" si="78"/>
        <v>0</v>
      </c>
      <c r="K311" s="282"/>
      <c r="L311" s="282"/>
      <c r="M311" s="339"/>
      <c r="N311" s="278"/>
      <c r="O311" s="278"/>
      <c r="P311" s="283"/>
      <c r="Q311" s="278"/>
      <c r="R311" s="284"/>
      <c r="S311" s="282"/>
      <c r="T311" s="285"/>
      <c r="U311" s="286"/>
      <c r="V311" s="287"/>
      <c r="W311" s="288"/>
      <c r="X311" s="286"/>
      <c r="Y311" s="289"/>
      <c r="Z311" s="289"/>
      <c r="AA311" s="290">
        <f t="shared" si="77"/>
        <v>0</v>
      </c>
      <c r="AB311" s="291">
        <f t="shared" si="76"/>
        <v>0</v>
      </c>
      <c r="AC311" s="292">
        <f t="shared" si="79"/>
        <v>0</v>
      </c>
      <c r="AD311" s="293"/>
      <c r="AE311" s="293"/>
      <c r="AF311" s="294"/>
      <c r="AG311" s="291"/>
      <c r="AH311" s="295"/>
      <c r="AI311" s="291"/>
      <c r="AJ311" s="295"/>
      <c r="AK311" s="291"/>
      <c r="AL311" s="291"/>
      <c r="AM311" s="291"/>
      <c r="AN311" s="296">
        <v>35000</v>
      </c>
      <c r="AO311" s="296">
        <v>30000</v>
      </c>
      <c r="AP311" s="296"/>
      <c r="AQ311" s="296"/>
      <c r="AR311" s="296"/>
      <c r="AS311" s="296">
        <f t="shared" si="71"/>
        <v>65000</v>
      </c>
      <c r="AT311" s="297">
        <f t="shared" si="72"/>
        <v>-65000</v>
      </c>
      <c r="AU311" s="297">
        <f t="shared" si="80"/>
        <v>-65000</v>
      </c>
      <c r="AV311" s="297">
        <f t="shared" si="81"/>
        <v>0</v>
      </c>
      <c r="AW311" s="297">
        <f t="shared" si="73"/>
        <v>-32500</v>
      </c>
      <c r="AX311" s="297">
        <f t="shared" si="74"/>
        <v>-29250</v>
      </c>
      <c r="AY311" s="298">
        <v>50000</v>
      </c>
      <c r="AZ311" s="298"/>
      <c r="BA311" s="297">
        <f t="shared" si="75"/>
        <v>-79250</v>
      </c>
      <c r="BB311" s="278"/>
      <c r="BC311" s="255"/>
      <c r="BD311" s="255"/>
    </row>
    <row r="312" spans="1:56" s="256" customFormat="1" ht="20" hidden="1" customHeight="1">
      <c r="A312" s="260">
        <v>312</v>
      </c>
      <c r="B312" s="277"/>
      <c r="C312" s="278"/>
      <c r="D312" s="278"/>
      <c r="E312" s="278"/>
      <c r="F312" s="278"/>
      <c r="G312" s="279" t="e">
        <f>"YB"&amp;RIGHT(#REF!,6)</f>
        <v>#REF!</v>
      </c>
      <c r="H312" s="280"/>
      <c r="I312" s="280"/>
      <c r="J312" s="281">
        <f t="shared" si="78"/>
        <v>0</v>
      </c>
      <c r="K312" s="282"/>
      <c r="L312" s="282"/>
      <c r="M312" s="339"/>
      <c r="N312" s="278"/>
      <c r="O312" s="278"/>
      <c r="P312" s="283"/>
      <c r="Q312" s="278"/>
      <c r="R312" s="284"/>
      <c r="S312" s="282"/>
      <c r="T312" s="285"/>
      <c r="U312" s="286"/>
      <c r="V312" s="287"/>
      <c r="W312" s="288"/>
      <c r="X312" s="286"/>
      <c r="Y312" s="289"/>
      <c r="Z312" s="289"/>
      <c r="AA312" s="290">
        <f t="shared" si="77"/>
        <v>0</v>
      </c>
      <c r="AB312" s="291">
        <f t="shared" si="76"/>
        <v>0</v>
      </c>
      <c r="AC312" s="292">
        <f t="shared" si="79"/>
        <v>0</v>
      </c>
      <c r="AD312" s="293"/>
      <c r="AE312" s="293"/>
      <c r="AF312" s="294"/>
      <c r="AG312" s="291"/>
      <c r="AH312" s="295"/>
      <c r="AI312" s="291"/>
      <c r="AJ312" s="295"/>
      <c r="AK312" s="291"/>
      <c r="AL312" s="291"/>
      <c r="AM312" s="291"/>
      <c r="AN312" s="296">
        <v>35000</v>
      </c>
      <c r="AO312" s="296">
        <v>30000</v>
      </c>
      <c r="AP312" s="296"/>
      <c r="AQ312" s="296"/>
      <c r="AR312" s="296"/>
      <c r="AS312" s="296">
        <f t="shared" si="71"/>
        <v>65000</v>
      </c>
      <c r="AT312" s="297">
        <f t="shared" si="72"/>
        <v>-65000</v>
      </c>
      <c r="AU312" s="297">
        <f t="shared" si="80"/>
        <v>-65000</v>
      </c>
      <c r="AV312" s="297">
        <f t="shared" si="81"/>
        <v>0</v>
      </c>
      <c r="AW312" s="297">
        <f t="shared" si="73"/>
        <v>-32500</v>
      </c>
      <c r="AX312" s="297">
        <f t="shared" si="74"/>
        <v>-29250</v>
      </c>
      <c r="AY312" s="298">
        <v>50000</v>
      </c>
      <c r="AZ312" s="298"/>
      <c r="BA312" s="297">
        <f t="shared" si="75"/>
        <v>-79250</v>
      </c>
      <c r="BB312" s="278"/>
      <c r="BC312" s="255"/>
      <c r="BD312" s="255"/>
    </row>
    <row r="313" spans="1:56" s="256" customFormat="1" ht="20" hidden="1" customHeight="1">
      <c r="A313" s="260">
        <v>313</v>
      </c>
      <c r="B313" s="277"/>
      <c r="C313" s="278"/>
      <c r="D313" s="278"/>
      <c r="E313" s="278"/>
      <c r="F313" s="278"/>
      <c r="G313" s="279" t="e">
        <f>"YB"&amp;RIGHT(#REF!,6)</f>
        <v>#REF!</v>
      </c>
      <c r="H313" s="280"/>
      <c r="I313" s="280"/>
      <c r="J313" s="281">
        <f t="shared" si="78"/>
        <v>0</v>
      </c>
      <c r="K313" s="282"/>
      <c r="L313" s="282"/>
      <c r="M313" s="339"/>
      <c r="N313" s="278"/>
      <c r="O313" s="278"/>
      <c r="P313" s="283"/>
      <c r="Q313" s="278"/>
      <c r="R313" s="284"/>
      <c r="S313" s="282"/>
      <c r="T313" s="285"/>
      <c r="U313" s="286"/>
      <c r="V313" s="287"/>
      <c r="W313" s="288"/>
      <c r="X313" s="286"/>
      <c r="Y313" s="289"/>
      <c r="Z313" s="289"/>
      <c r="AA313" s="290">
        <f t="shared" si="77"/>
        <v>0</v>
      </c>
      <c r="AB313" s="291">
        <f t="shared" si="76"/>
        <v>0</v>
      </c>
      <c r="AC313" s="292">
        <f t="shared" si="79"/>
        <v>0</v>
      </c>
      <c r="AD313" s="293"/>
      <c r="AE313" s="293"/>
      <c r="AF313" s="294"/>
      <c r="AG313" s="291"/>
      <c r="AH313" s="295"/>
      <c r="AI313" s="291"/>
      <c r="AJ313" s="295"/>
      <c r="AK313" s="291"/>
      <c r="AL313" s="291"/>
      <c r="AM313" s="291"/>
      <c r="AN313" s="296">
        <v>35000</v>
      </c>
      <c r="AO313" s="296">
        <v>30000</v>
      </c>
      <c r="AP313" s="296"/>
      <c r="AQ313" s="296"/>
      <c r="AR313" s="296"/>
      <c r="AS313" s="296">
        <f t="shared" si="71"/>
        <v>65000</v>
      </c>
      <c r="AT313" s="297">
        <f t="shared" si="72"/>
        <v>-65000</v>
      </c>
      <c r="AU313" s="297">
        <f t="shared" si="80"/>
        <v>-65000</v>
      </c>
      <c r="AV313" s="297">
        <f t="shared" si="81"/>
        <v>0</v>
      </c>
      <c r="AW313" s="297">
        <f t="shared" si="73"/>
        <v>-32500</v>
      </c>
      <c r="AX313" s="297">
        <f t="shared" si="74"/>
        <v>-29250</v>
      </c>
      <c r="AY313" s="298">
        <v>50000</v>
      </c>
      <c r="AZ313" s="298"/>
      <c r="BA313" s="297">
        <f t="shared" si="75"/>
        <v>-79250</v>
      </c>
      <c r="BB313" s="278"/>
      <c r="BC313" s="255"/>
      <c r="BD313" s="255"/>
    </row>
    <row r="314" spans="1:56" s="256" customFormat="1" ht="20" hidden="1" customHeight="1">
      <c r="A314" s="260">
        <v>314</v>
      </c>
      <c r="B314" s="277"/>
      <c r="C314" s="278"/>
      <c r="D314" s="278"/>
      <c r="E314" s="278"/>
      <c r="F314" s="278"/>
      <c r="G314" s="279" t="e">
        <f>"YB"&amp;RIGHT(#REF!,6)</f>
        <v>#REF!</v>
      </c>
      <c r="H314" s="280"/>
      <c r="I314" s="280"/>
      <c r="J314" s="281">
        <f t="shared" si="78"/>
        <v>0</v>
      </c>
      <c r="K314" s="282"/>
      <c r="L314" s="282"/>
      <c r="M314" s="339"/>
      <c r="N314" s="278"/>
      <c r="O314" s="278"/>
      <c r="P314" s="283"/>
      <c r="Q314" s="278"/>
      <c r="R314" s="284"/>
      <c r="S314" s="282"/>
      <c r="T314" s="285"/>
      <c r="U314" s="286"/>
      <c r="V314" s="287"/>
      <c r="W314" s="288"/>
      <c r="X314" s="286"/>
      <c r="Y314" s="289"/>
      <c r="Z314" s="289"/>
      <c r="AA314" s="290">
        <f t="shared" si="77"/>
        <v>0</v>
      </c>
      <c r="AB314" s="291">
        <f t="shared" si="76"/>
        <v>0</v>
      </c>
      <c r="AC314" s="292">
        <f t="shared" si="79"/>
        <v>0</v>
      </c>
      <c r="AD314" s="293"/>
      <c r="AE314" s="293"/>
      <c r="AF314" s="294"/>
      <c r="AG314" s="291"/>
      <c r="AH314" s="295"/>
      <c r="AI314" s="291"/>
      <c r="AJ314" s="295"/>
      <c r="AK314" s="291"/>
      <c r="AL314" s="291"/>
      <c r="AM314" s="291"/>
      <c r="AN314" s="296">
        <v>35000</v>
      </c>
      <c r="AO314" s="296">
        <v>30000</v>
      </c>
      <c r="AP314" s="296"/>
      <c r="AQ314" s="296"/>
      <c r="AR314" s="296"/>
      <c r="AS314" s="296">
        <f t="shared" si="71"/>
        <v>65000</v>
      </c>
      <c r="AT314" s="297">
        <f t="shared" si="72"/>
        <v>-65000</v>
      </c>
      <c r="AU314" s="297">
        <f t="shared" si="80"/>
        <v>-65000</v>
      </c>
      <c r="AV314" s="297">
        <f t="shared" si="81"/>
        <v>0</v>
      </c>
      <c r="AW314" s="297">
        <f t="shared" si="73"/>
        <v>-32500</v>
      </c>
      <c r="AX314" s="297">
        <f t="shared" si="74"/>
        <v>-29250</v>
      </c>
      <c r="AY314" s="298">
        <v>50000</v>
      </c>
      <c r="AZ314" s="298"/>
      <c r="BA314" s="297">
        <f t="shared" si="75"/>
        <v>-79250</v>
      </c>
      <c r="BB314" s="278"/>
      <c r="BC314" s="255"/>
      <c r="BD314" s="255"/>
    </row>
    <row r="315" spans="1:56" s="256" customFormat="1" ht="20" hidden="1" customHeight="1">
      <c r="A315" s="260">
        <v>315</v>
      </c>
      <c r="B315" s="277"/>
      <c r="C315" s="278"/>
      <c r="D315" s="278"/>
      <c r="E315" s="278"/>
      <c r="F315" s="278"/>
      <c r="G315" s="279" t="e">
        <f>"YB"&amp;RIGHT(#REF!,6)</f>
        <v>#REF!</v>
      </c>
      <c r="H315" s="280"/>
      <c r="I315" s="280"/>
      <c r="J315" s="281">
        <f t="shared" si="78"/>
        <v>0</v>
      </c>
      <c r="K315" s="282"/>
      <c r="L315" s="282"/>
      <c r="M315" s="339"/>
      <c r="N315" s="278"/>
      <c r="O315" s="278"/>
      <c r="P315" s="283"/>
      <c r="Q315" s="278"/>
      <c r="R315" s="284"/>
      <c r="S315" s="282"/>
      <c r="T315" s="285"/>
      <c r="U315" s="286"/>
      <c r="V315" s="287"/>
      <c r="W315" s="288"/>
      <c r="X315" s="286"/>
      <c r="Y315" s="289"/>
      <c r="Z315" s="289"/>
      <c r="AA315" s="290">
        <f t="shared" si="77"/>
        <v>0</v>
      </c>
      <c r="AB315" s="291">
        <f t="shared" si="76"/>
        <v>0</v>
      </c>
      <c r="AC315" s="292">
        <f t="shared" si="79"/>
        <v>0</v>
      </c>
      <c r="AD315" s="293"/>
      <c r="AE315" s="293"/>
      <c r="AF315" s="294"/>
      <c r="AG315" s="291"/>
      <c r="AH315" s="295"/>
      <c r="AI315" s="291"/>
      <c r="AJ315" s="295"/>
      <c r="AK315" s="291"/>
      <c r="AL315" s="291"/>
      <c r="AM315" s="291"/>
      <c r="AN315" s="296">
        <v>35000</v>
      </c>
      <c r="AO315" s="296">
        <v>30000</v>
      </c>
      <c r="AP315" s="296"/>
      <c r="AQ315" s="296"/>
      <c r="AR315" s="296"/>
      <c r="AS315" s="296">
        <f t="shared" si="71"/>
        <v>65000</v>
      </c>
      <c r="AT315" s="297">
        <f t="shared" si="72"/>
        <v>-65000</v>
      </c>
      <c r="AU315" s="297">
        <f t="shared" si="80"/>
        <v>-65000</v>
      </c>
      <c r="AV315" s="297">
        <f t="shared" si="81"/>
        <v>0</v>
      </c>
      <c r="AW315" s="297">
        <f t="shared" si="73"/>
        <v>-32500</v>
      </c>
      <c r="AX315" s="297">
        <f t="shared" si="74"/>
        <v>-29250</v>
      </c>
      <c r="AY315" s="298">
        <v>50000</v>
      </c>
      <c r="AZ315" s="298"/>
      <c r="BA315" s="297">
        <f t="shared" si="75"/>
        <v>-79250</v>
      </c>
      <c r="BB315" s="278"/>
      <c r="BC315" s="255"/>
      <c r="BD315" s="255"/>
    </row>
    <row r="316" spans="1:56" s="256" customFormat="1" ht="20" hidden="1" customHeight="1">
      <c r="A316" s="260">
        <v>316</v>
      </c>
      <c r="B316" s="277"/>
      <c r="C316" s="278"/>
      <c r="D316" s="278"/>
      <c r="E316" s="278"/>
      <c r="F316" s="278"/>
      <c r="G316" s="279" t="e">
        <f>"YB"&amp;RIGHT(#REF!,6)</f>
        <v>#REF!</v>
      </c>
      <c r="H316" s="280"/>
      <c r="I316" s="280"/>
      <c r="J316" s="281">
        <f t="shared" si="78"/>
        <v>0</v>
      </c>
      <c r="K316" s="282"/>
      <c r="L316" s="282"/>
      <c r="M316" s="339"/>
      <c r="N316" s="278"/>
      <c r="O316" s="278"/>
      <c r="P316" s="283"/>
      <c r="Q316" s="278"/>
      <c r="R316" s="284"/>
      <c r="S316" s="282"/>
      <c r="T316" s="285"/>
      <c r="U316" s="286"/>
      <c r="V316" s="287"/>
      <c r="W316" s="288"/>
      <c r="X316" s="286"/>
      <c r="Y316" s="289"/>
      <c r="Z316" s="289"/>
      <c r="AA316" s="290">
        <f t="shared" si="77"/>
        <v>0</v>
      </c>
      <c r="AB316" s="291">
        <f t="shared" si="76"/>
        <v>0</v>
      </c>
      <c r="AC316" s="292">
        <f t="shared" si="79"/>
        <v>0</v>
      </c>
      <c r="AD316" s="293"/>
      <c r="AE316" s="293"/>
      <c r="AF316" s="294"/>
      <c r="AG316" s="291"/>
      <c r="AH316" s="295"/>
      <c r="AI316" s="291"/>
      <c r="AJ316" s="295"/>
      <c r="AK316" s="291"/>
      <c r="AL316" s="291"/>
      <c r="AM316" s="291"/>
      <c r="AN316" s="296">
        <v>35000</v>
      </c>
      <c r="AO316" s="296">
        <v>30000</v>
      </c>
      <c r="AP316" s="296"/>
      <c r="AQ316" s="296"/>
      <c r="AR316" s="296"/>
      <c r="AS316" s="296">
        <f t="shared" si="71"/>
        <v>65000</v>
      </c>
      <c r="AT316" s="297">
        <f t="shared" si="72"/>
        <v>-65000</v>
      </c>
      <c r="AU316" s="297">
        <f t="shared" si="80"/>
        <v>-65000</v>
      </c>
      <c r="AV316" s="297">
        <f t="shared" si="81"/>
        <v>0</v>
      </c>
      <c r="AW316" s="297">
        <f t="shared" si="73"/>
        <v>-32500</v>
      </c>
      <c r="AX316" s="297">
        <f t="shared" si="74"/>
        <v>-29250</v>
      </c>
      <c r="AY316" s="298">
        <v>50000</v>
      </c>
      <c r="AZ316" s="298"/>
      <c r="BA316" s="297">
        <f t="shared" si="75"/>
        <v>-79250</v>
      </c>
      <c r="BB316" s="278"/>
      <c r="BC316" s="255"/>
      <c r="BD316" s="255"/>
    </row>
    <row r="317" spans="1:56" s="256" customFormat="1" ht="20" hidden="1" customHeight="1">
      <c r="A317" s="260">
        <v>317</v>
      </c>
      <c r="B317" s="277"/>
      <c r="C317" s="278"/>
      <c r="D317" s="278"/>
      <c r="E317" s="278"/>
      <c r="F317" s="278"/>
      <c r="G317" s="279" t="e">
        <f>"YB"&amp;RIGHT(#REF!,6)</f>
        <v>#REF!</v>
      </c>
      <c r="H317" s="280"/>
      <c r="I317" s="280"/>
      <c r="J317" s="281">
        <f t="shared" si="78"/>
        <v>0</v>
      </c>
      <c r="K317" s="282"/>
      <c r="L317" s="282"/>
      <c r="M317" s="339"/>
      <c r="N317" s="278"/>
      <c r="O317" s="278"/>
      <c r="P317" s="283"/>
      <c r="Q317" s="278"/>
      <c r="R317" s="284"/>
      <c r="S317" s="282"/>
      <c r="T317" s="285"/>
      <c r="U317" s="286"/>
      <c r="V317" s="287"/>
      <c r="W317" s="288"/>
      <c r="X317" s="286"/>
      <c r="Y317" s="289"/>
      <c r="Z317" s="289"/>
      <c r="AA317" s="290">
        <f t="shared" si="77"/>
        <v>0</v>
      </c>
      <c r="AB317" s="291">
        <f t="shared" si="76"/>
        <v>0</v>
      </c>
      <c r="AC317" s="292">
        <f t="shared" si="79"/>
        <v>0</v>
      </c>
      <c r="AD317" s="293"/>
      <c r="AE317" s="293"/>
      <c r="AF317" s="294"/>
      <c r="AG317" s="291"/>
      <c r="AH317" s="295"/>
      <c r="AI317" s="291"/>
      <c r="AJ317" s="295"/>
      <c r="AK317" s="291"/>
      <c r="AL317" s="291"/>
      <c r="AM317" s="291"/>
      <c r="AN317" s="296">
        <v>35000</v>
      </c>
      <c r="AO317" s="296">
        <v>30000</v>
      </c>
      <c r="AP317" s="296"/>
      <c r="AQ317" s="296"/>
      <c r="AR317" s="296"/>
      <c r="AS317" s="296">
        <f t="shared" si="71"/>
        <v>65000</v>
      </c>
      <c r="AT317" s="297">
        <f t="shared" si="72"/>
        <v>-65000</v>
      </c>
      <c r="AU317" s="297">
        <f t="shared" si="80"/>
        <v>-65000</v>
      </c>
      <c r="AV317" s="297">
        <f t="shared" si="81"/>
        <v>0</v>
      </c>
      <c r="AW317" s="297">
        <f t="shared" si="73"/>
        <v>-32500</v>
      </c>
      <c r="AX317" s="297">
        <f t="shared" si="74"/>
        <v>-29250</v>
      </c>
      <c r="AY317" s="298">
        <v>50000</v>
      </c>
      <c r="AZ317" s="298"/>
      <c r="BA317" s="297">
        <f t="shared" si="75"/>
        <v>-79250</v>
      </c>
      <c r="BB317" s="278"/>
      <c r="BC317" s="255"/>
      <c r="BD317" s="255"/>
    </row>
    <row r="318" spans="1:56" s="256" customFormat="1" ht="20" hidden="1" customHeight="1">
      <c r="A318" s="260">
        <v>318</v>
      </c>
      <c r="B318" s="277"/>
      <c r="C318" s="278"/>
      <c r="D318" s="278"/>
      <c r="E318" s="278"/>
      <c r="F318" s="278"/>
      <c r="G318" s="279" t="e">
        <f>"YB"&amp;RIGHT(#REF!,6)</f>
        <v>#REF!</v>
      </c>
      <c r="H318" s="280"/>
      <c r="I318" s="280"/>
      <c r="J318" s="281">
        <f t="shared" si="78"/>
        <v>0</v>
      </c>
      <c r="K318" s="282"/>
      <c r="L318" s="282"/>
      <c r="M318" s="339"/>
      <c r="N318" s="278"/>
      <c r="O318" s="278"/>
      <c r="P318" s="283"/>
      <c r="Q318" s="278"/>
      <c r="R318" s="284"/>
      <c r="S318" s="282"/>
      <c r="T318" s="285"/>
      <c r="U318" s="286"/>
      <c r="V318" s="287"/>
      <c r="W318" s="288"/>
      <c r="X318" s="286"/>
      <c r="Y318" s="289"/>
      <c r="Z318" s="289"/>
      <c r="AA318" s="290">
        <f t="shared" si="77"/>
        <v>0</v>
      </c>
      <c r="AB318" s="291">
        <f t="shared" si="76"/>
        <v>0</v>
      </c>
      <c r="AC318" s="292">
        <f t="shared" si="79"/>
        <v>0</v>
      </c>
      <c r="AD318" s="293"/>
      <c r="AE318" s="293"/>
      <c r="AF318" s="294"/>
      <c r="AG318" s="291"/>
      <c r="AH318" s="295"/>
      <c r="AI318" s="291"/>
      <c r="AJ318" s="295"/>
      <c r="AK318" s="291"/>
      <c r="AL318" s="291"/>
      <c r="AM318" s="291"/>
      <c r="AN318" s="296">
        <v>35000</v>
      </c>
      <c r="AO318" s="296">
        <v>30000</v>
      </c>
      <c r="AP318" s="296"/>
      <c r="AQ318" s="296"/>
      <c r="AR318" s="296"/>
      <c r="AS318" s="296">
        <f t="shared" si="71"/>
        <v>65000</v>
      </c>
      <c r="AT318" s="297">
        <f t="shared" si="72"/>
        <v>-65000</v>
      </c>
      <c r="AU318" s="297">
        <f t="shared" si="80"/>
        <v>-65000</v>
      </c>
      <c r="AV318" s="297">
        <f t="shared" si="81"/>
        <v>0</v>
      </c>
      <c r="AW318" s="297">
        <f t="shared" si="73"/>
        <v>-32500</v>
      </c>
      <c r="AX318" s="297">
        <f t="shared" si="74"/>
        <v>-29250</v>
      </c>
      <c r="AY318" s="298">
        <v>50000</v>
      </c>
      <c r="AZ318" s="298"/>
      <c r="BA318" s="297">
        <f t="shared" si="75"/>
        <v>-79250</v>
      </c>
      <c r="BB318" s="278"/>
      <c r="BC318" s="255"/>
      <c r="BD318" s="255"/>
    </row>
    <row r="319" spans="1:56" s="256" customFormat="1" ht="20" hidden="1" customHeight="1">
      <c r="A319" s="260">
        <v>319</v>
      </c>
      <c r="B319" s="277"/>
      <c r="C319" s="278"/>
      <c r="D319" s="278"/>
      <c r="E319" s="278"/>
      <c r="F319" s="278"/>
      <c r="G319" s="279" t="e">
        <f>"YB"&amp;RIGHT(#REF!,6)</f>
        <v>#REF!</v>
      </c>
      <c r="H319" s="280"/>
      <c r="I319" s="280"/>
      <c r="J319" s="281">
        <f t="shared" si="78"/>
        <v>0</v>
      </c>
      <c r="K319" s="282"/>
      <c r="L319" s="282"/>
      <c r="M319" s="339"/>
      <c r="N319" s="278"/>
      <c r="O319" s="278"/>
      <c r="P319" s="283"/>
      <c r="Q319" s="278"/>
      <c r="R319" s="284"/>
      <c r="S319" s="282"/>
      <c r="T319" s="285"/>
      <c r="U319" s="286"/>
      <c r="V319" s="287"/>
      <c r="W319" s="288"/>
      <c r="X319" s="286"/>
      <c r="Y319" s="289"/>
      <c r="Z319" s="289"/>
      <c r="AA319" s="290">
        <f t="shared" si="77"/>
        <v>0</v>
      </c>
      <c r="AB319" s="291">
        <f t="shared" si="76"/>
        <v>0</v>
      </c>
      <c r="AC319" s="292">
        <f t="shared" si="79"/>
        <v>0</v>
      </c>
      <c r="AD319" s="293"/>
      <c r="AE319" s="293"/>
      <c r="AF319" s="294"/>
      <c r="AG319" s="291"/>
      <c r="AH319" s="295"/>
      <c r="AI319" s="291"/>
      <c r="AJ319" s="295"/>
      <c r="AK319" s="291"/>
      <c r="AL319" s="291"/>
      <c r="AM319" s="291"/>
      <c r="AN319" s="296">
        <v>35000</v>
      </c>
      <c r="AO319" s="296">
        <v>30000</v>
      </c>
      <c r="AP319" s="296"/>
      <c r="AQ319" s="296"/>
      <c r="AR319" s="296"/>
      <c r="AS319" s="296">
        <f t="shared" si="71"/>
        <v>65000</v>
      </c>
      <c r="AT319" s="297">
        <f t="shared" si="72"/>
        <v>-65000</v>
      </c>
      <c r="AU319" s="297">
        <f t="shared" si="80"/>
        <v>-65000</v>
      </c>
      <c r="AV319" s="297">
        <f t="shared" si="81"/>
        <v>0</v>
      </c>
      <c r="AW319" s="297">
        <f t="shared" si="73"/>
        <v>-32500</v>
      </c>
      <c r="AX319" s="297">
        <f t="shared" si="74"/>
        <v>-29250</v>
      </c>
      <c r="AY319" s="298">
        <v>50000</v>
      </c>
      <c r="AZ319" s="298"/>
      <c r="BA319" s="297">
        <f t="shared" si="75"/>
        <v>-79250</v>
      </c>
      <c r="BB319" s="278"/>
      <c r="BC319" s="255"/>
      <c r="BD319" s="255"/>
    </row>
    <row r="320" spans="1:56" s="256" customFormat="1" ht="20" hidden="1" customHeight="1">
      <c r="A320" s="260">
        <v>320</v>
      </c>
      <c r="B320" s="277"/>
      <c r="C320" s="278"/>
      <c r="D320" s="278"/>
      <c r="E320" s="278"/>
      <c r="F320" s="278"/>
      <c r="G320" s="279" t="e">
        <f>"YB"&amp;RIGHT(#REF!,6)</f>
        <v>#REF!</v>
      </c>
      <c r="H320" s="280"/>
      <c r="I320" s="280"/>
      <c r="J320" s="281">
        <f t="shared" si="78"/>
        <v>0</v>
      </c>
      <c r="K320" s="282"/>
      <c r="L320" s="282"/>
      <c r="M320" s="339"/>
      <c r="N320" s="278"/>
      <c r="O320" s="278"/>
      <c r="P320" s="283"/>
      <c r="Q320" s="278"/>
      <c r="R320" s="284"/>
      <c r="S320" s="282"/>
      <c r="T320" s="285"/>
      <c r="U320" s="286"/>
      <c r="V320" s="287"/>
      <c r="W320" s="288"/>
      <c r="X320" s="286"/>
      <c r="Y320" s="289"/>
      <c r="Z320" s="289"/>
      <c r="AA320" s="290">
        <f t="shared" si="77"/>
        <v>0</v>
      </c>
      <c r="AB320" s="291">
        <f t="shared" si="76"/>
        <v>0</v>
      </c>
      <c r="AC320" s="292">
        <f t="shared" si="79"/>
        <v>0</v>
      </c>
      <c r="AD320" s="293"/>
      <c r="AE320" s="293"/>
      <c r="AF320" s="294"/>
      <c r="AG320" s="291"/>
      <c r="AH320" s="295"/>
      <c r="AI320" s="291"/>
      <c r="AJ320" s="295"/>
      <c r="AK320" s="291"/>
      <c r="AL320" s="291"/>
      <c r="AM320" s="291"/>
      <c r="AN320" s="296">
        <v>35000</v>
      </c>
      <c r="AO320" s="296">
        <v>30000</v>
      </c>
      <c r="AP320" s="296"/>
      <c r="AQ320" s="296"/>
      <c r="AR320" s="296"/>
      <c r="AS320" s="296">
        <f t="shared" si="71"/>
        <v>65000</v>
      </c>
      <c r="AT320" s="297">
        <f t="shared" si="72"/>
        <v>-65000</v>
      </c>
      <c r="AU320" s="297">
        <f t="shared" si="80"/>
        <v>-65000</v>
      </c>
      <c r="AV320" s="297">
        <f t="shared" si="81"/>
        <v>0</v>
      </c>
      <c r="AW320" s="297">
        <f t="shared" si="73"/>
        <v>-32500</v>
      </c>
      <c r="AX320" s="297">
        <f t="shared" si="74"/>
        <v>-29250</v>
      </c>
      <c r="AY320" s="298">
        <v>50000</v>
      </c>
      <c r="AZ320" s="298"/>
      <c r="BA320" s="297">
        <f t="shared" si="75"/>
        <v>-79250</v>
      </c>
      <c r="BB320" s="278"/>
      <c r="BC320" s="255"/>
      <c r="BD320" s="255"/>
    </row>
    <row r="321" spans="1:56" s="256" customFormat="1" ht="20" hidden="1" customHeight="1">
      <c r="A321" s="260">
        <v>321</v>
      </c>
      <c r="B321" s="277"/>
      <c r="C321" s="278"/>
      <c r="D321" s="278"/>
      <c r="E321" s="278"/>
      <c r="F321" s="278"/>
      <c r="G321" s="279" t="e">
        <f>"YB"&amp;RIGHT(#REF!,6)</f>
        <v>#REF!</v>
      </c>
      <c r="H321" s="280"/>
      <c r="I321" s="280"/>
      <c r="J321" s="281">
        <f t="shared" si="78"/>
        <v>0</v>
      </c>
      <c r="K321" s="282"/>
      <c r="L321" s="282"/>
      <c r="M321" s="339"/>
      <c r="N321" s="278"/>
      <c r="O321" s="278"/>
      <c r="P321" s="283"/>
      <c r="Q321" s="278"/>
      <c r="R321" s="284"/>
      <c r="S321" s="282"/>
      <c r="T321" s="285"/>
      <c r="U321" s="286"/>
      <c r="V321" s="287"/>
      <c r="W321" s="288"/>
      <c r="X321" s="286"/>
      <c r="Y321" s="289"/>
      <c r="Z321" s="289"/>
      <c r="AA321" s="290">
        <f t="shared" si="77"/>
        <v>0</v>
      </c>
      <c r="AB321" s="291">
        <f t="shared" si="76"/>
        <v>0</v>
      </c>
      <c r="AC321" s="292">
        <f t="shared" si="79"/>
        <v>0</v>
      </c>
      <c r="AD321" s="293"/>
      <c r="AE321" s="293"/>
      <c r="AF321" s="294"/>
      <c r="AG321" s="291"/>
      <c r="AH321" s="295"/>
      <c r="AI321" s="291"/>
      <c r="AJ321" s="295"/>
      <c r="AK321" s="291"/>
      <c r="AL321" s="291"/>
      <c r="AM321" s="291"/>
      <c r="AN321" s="296">
        <v>35000</v>
      </c>
      <c r="AO321" s="296">
        <v>30000</v>
      </c>
      <c r="AP321" s="296"/>
      <c r="AQ321" s="296"/>
      <c r="AR321" s="296"/>
      <c r="AS321" s="296">
        <f t="shared" si="71"/>
        <v>65000</v>
      </c>
      <c r="AT321" s="297">
        <f t="shared" si="72"/>
        <v>-65000</v>
      </c>
      <c r="AU321" s="297">
        <f t="shared" si="80"/>
        <v>-65000</v>
      </c>
      <c r="AV321" s="297">
        <f t="shared" si="81"/>
        <v>0</v>
      </c>
      <c r="AW321" s="297">
        <f t="shared" si="73"/>
        <v>-32500</v>
      </c>
      <c r="AX321" s="297">
        <f t="shared" si="74"/>
        <v>-29250</v>
      </c>
      <c r="AY321" s="298">
        <v>50000</v>
      </c>
      <c r="AZ321" s="298"/>
      <c r="BA321" s="297">
        <f t="shared" si="75"/>
        <v>-79250</v>
      </c>
      <c r="BB321" s="278"/>
      <c r="BC321" s="255"/>
      <c r="BD321" s="255"/>
    </row>
    <row r="322" spans="1:56" s="256" customFormat="1" ht="20" hidden="1" customHeight="1">
      <c r="A322" s="260">
        <v>322</v>
      </c>
      <c r="B322" s="277"/>
      <c r="C322" s="278"/>
      <c r="D322" s="278"/>
      <c r="E322" s="278"/>
      <c r="F322" s="278"/>
      <c r="G322" s="279" t="e">
        <f>"YB"&amp;RIGHT(#REF!,6)</f>
        <v>#REF!</v>
      </c>
      <c r="H322" s="280"/>
      <c r="I322" s="280"/>
      <c r="J322" s="281">
        <f t="shared" si="78"/>
        <v>0</v>
      </c>
      <c r="K322" s="282"/>
      <c r="L322" s="282"/>
      <c r="M322" s="339"/>
      <c r="N322" s="278"/>
      <c r="O322" s="278"/>
      <c r="P322" s="283"/>
      <c r="Q322" s="278"/>
      <c r="R322" s="284"/>
      <c r="S322" s="282"/>
      <c r="T322" s="285"/>
      <c r="U322" s="286"/>
      <c r="V322" s="287"/>
      <c r="W322" s="288"/>
      <c r="X322" s="286"/>
      <c r="Y322" s="289"/>
      <c r="Z322" s="289"/>
      <c r="AA322" s="290">
        <f t="shared" si="77"/>
        <v>0</v>
      </c>
      <c r="AB322" s="291">
        <f t="shared" si="76"/>
        <v>0</v>
      </c>
      <c r="AC322" s="292">
        <f t="shared" si="79"/>
        <v>0</v>
      </c>
      <c r="AD322" s="293"/>
      <c r="AE322" s="293"/>
      <c r="AF322" s="294"/>
      <c r="AG322" s="291"/>
      <c r="AH322" s="295"/>
      <c r="AI322" s="291"/>
      <c r="AJ322" s="295"/>
      <c r="AK322" s="291"/>
      <c r="AL322" s="291"/>
      <c r="AM322" s="291"/>
      <c r="AN322" s="296">
        <v>35000</v>
      </c>
      <c r="AO322" s="296">
        <v>30000</v>
      </c>
      <c r="AP322" s="296"/>
      <c r="AQ322" s="296"/>
      <c r="AR322" s="296"/>
      <c r="AS322" s="296">
        <f t="shared" ref="AS322:AS385" si="82">SUM(AN322:AR322)</f>
        <v>65000</v>
      </c>
      <c r="AT322" s="297">
        <f t="shared" ref="AT322:AT385" si="83">SUM(AA322-W322)*U322-AS322</f>
        <v>-65000</v>
      </c>
      <c r="AU322" s="297">
        <f t="shared" si="80"/>
        <v>-65000</v>
      </c>
      <c r="AV322" s="297">
        <f t="shared" si="81"/>
        <v>0</v>
      </c>
      <c r="AW322" s="297">
        <f t="shared" ref="AW322:AW385" si="84">SUM(AU322:AV322)/2</f>
        <v>-32500</v>
      </c>
      <c r="AX322" s="297">
        <f t="shared" ref="AX322:AX385" si="85">AW322-(AW322*10%)</f>
        <v>-29250</v>
      </c>
      <c r="AY322" s="298">
        <v>50000</v>
      </c>
      <c r="AZ322" s="298"/>
      <c r="BA322" s="297">
        <f t="shared" ref="BA322:BA385" si="86">SUM(AX322-AY322-AZ322)</f>
        <v>-79250</v>
      </c>
      <c r="BB322" s="278"/>
      <c r="BC322" s="255"/>
      <c r="BD322" s="255"/>
    </row>
    <row r="323" spans="1:56" s="256" customFormat="1" ht="20" hidden="1" customHeight="1">
      <c r="A323" s="260">
        <v>323</v>
      </c>
      <c r="B323" s="277"/>
      <c r="C323" s="278"/>
      <c r="D323" s="278"/>
      <c r="E323" s="278"/>
      <c r="F323" s="278"/>
      <c r="G323" s="279" t="e">
        <f>"YB"&amp;RIGHT(#REF!,6)</f>
        <v>#REF!</v>
      </c>
      <c r="H323" s="280"/>
      <c r="I323" s="280"/>
      <c r="J323" s="281">
        <f t="shared" si="78"/>
        <v>0</v>
      </c>
      <c r="K323" s="282"/>
      <c r="L323" s="282"/>
      <c r="M323" s="339"/>
      <c r="N323" s="278"/>
      <c r="O323" s="278"/>
      <c r="P323" s="283"/>
      <c r="Q323" s="278"/>
      <c r="R323" s="284"/>
      <c r="S323" s="282"/>
      <c r="T323" s="285"/>
      <c r="U323" s="286"/>
      <c r="V323" s="287"/>
      <c r="W323" s="288"/>
      <c r="X323" s="286"/>
      <c r="Y323" s="289"/>
      <c r="Z323" s="289"/>
      <c r="AA323" s="290">
        <f t="shared" si="77"/>
        <v>0</v>
      </c>
      <c r="AB323" s="291">
        <f t="shared" si="76"/>
        <v>0</v>
      </c>
      <c r="AC323" s="292">
        <f t="shared" si="79"/>
        <v>0</v>
      </c>
      <c r="AD323" s="293"/>
      <c r="AE323" s="293"/>
      <c r="AF323" s="294"/>
      <c r="AG323" s="291"/>
      <c r="AH323" s="295"/>
      <c r="AI323" s="291"/>
      <c r="AJ323" s="295"/>
      <c r="AK323" s="291"/>
      <c r="AL323" s="291"/>
      <c r="AM323" s="291"/>
      <c r="AN323" s="296">
        <v>35000</v>
      </c>
      <c r="AO323" s="296">
        <v>30000</v>
      </c>
      <c r="AP323" s="296"/>
      <c r="AQ323" s="296"/>
      <c r="AR323" s="296"/>
      <c r="AS323" s="296">
        <f t="shared" si="82"/>
        <v>65000</v>
      </c>
      <c r="AT323" s="297">
        <f t="shared" si="83"/>
        <v>-65000</v>
      </c>
      <c r="AU323" s="297">
        <f t="shared" si="80"/>
        <v>-65000</v>
      </c>
      <c r="AV323" s="297">
        <f t="shared" si="81"/>
        <v>0</v>
      </c>
      <c r="AW323" s="297">
        <f t="shared" si="84"/>
        <v>-32500</v>
      </c>
      <c r="AX323" s="297">
        <f t="shared" si="85"/>
        <v>-29250</v>
      </c>
      <c r="AY323" s="298">
        <v>50000</v>
      </c>
      <c r="AZ323" s="298"/>
      <c r="BA323" s="297">
        <f t="shared" si="86"/>
        <v>-79250</v>
      </c>
      <c r="BB323" s="278"/>
      <c r="BC323" s="255"/>
      <c r="BD323" s="255"/>
    </row>
    <row r="324" spans="1:56" s="256" customFormat="1" ht="20" hidden="1" customHeight="1">
      <c r="A324" s="260">
        <v>324</v>
      </c>
      <c r="B324" s="277"/>
      <c r="C324" s="278"/>
      <c r="D324" s="278"/>
      <c r="E324" s="278"/>
      <c r="F324" s="278"/>
      <c r="G324" s="279" t="e">
        <f>"YB"&amp;RIGHT(#REF!,6)</f>
        <v>#REF!</v>
      </c>
      <c r="H324" s="280"/>
      <c r="I324" s="280"/>
      <c r="J324" s="281">
        <f t="shared" si="78"/>
        <v>0</v>
      </c>
      <c r="K324" s="282"/>
      <c r="L324" s="282"/>
      <c r="M324" s="339"/>
      <c r="N324" s="278"/>
      <c r="O324" s="278"/>
      <c r="P324" s="283"/>
      <c r="Q324" s="278"/>
      <c r="R324" s="284"/>
      <c r="S324" s="282"/>
      <c r="T324" s="285"/>
      <c r="U324" s="286"/>
      <c r="V324" s="287"/>
      <c r="W324" s="288"/>
      <c r="X324" s="286"/>
      <c r="Y324" s="289"/>
      <c r="Z324" s="289"/>
      <c r="AA324" s="290">
        <f t="shared" si="77"/>
        <v>0</v>
      </c>
      <c r="AB324" s="291">
        <f t="shared" si="76"/>
        <v>0</v>
      </c>
      <c r="AC324" s="292">
        <f t="shared" si="79"/>
        <v>0</v>
      </c>
      <c r="AD324" s="293"/>
      <c r="AE324" s="293"/>
      <c r="AF324" s="294"/>
      <c r="AG324" s="291"/>
      <c r="AH324" s="295"/>
      <c r="AI324" s="291"/>
      <c r="AJ324" s="295"/>
      <c r="AK324" s="291"/>
      <c r="AL324" s="291"/>
      <c r="AM324" s="291"/>
      <c r="AN324" s="296">
        <v>35000</v>
      </c>
      <c r="AO324" s="296">
        <v>30000</v>
      </c>
      <c r="AP324" s="296"/>
      <c r="AQ324" s="296"/>
      <c r="AR324" s="296"/>
      <c r="AS324" s="296">
        <f t="shared" si="82"/>
        <v>65000</v>
      </c>
      <c r="AT324" s="297">
        <f t="shared" si="83"/>
        <v>-65000</v>
      </c>
      <c r="AU324" s="297">
        <f t="shared" si="80"/>
        <v>-65000</v>
      </c>
      <c r="AV324" s="297">
        <f t="shared" si="81"/>
        <v>0</v>
      </c>
      <c r="AW324" s="297">
        <f t="shared" si="84"/>
        <v>-32500</v>
      </c>
      <c r="AX324" s="297">
        <f t="shared" si="85"/>
        <v>-29250</v>
      </c>
      <c r="AY324" s="298">
        <v>50000</v>
      </c>
      <c r="AZ324" s="298"/>
      <c r="BA324" s="297">
        <f t="shared" si="86"/>
        <v>-79250</v>
      </c>
      <c r="BB324" s="278"/>
      <c r="BC324" s="255"/>
      <c r="BD324" s="255"/>
    </row>
    <row r="325" spans="1:56" s="256" customFormat="1" ht="20" hidden="1" customHeight="1">
      <c r="A325" s="260">
        <v>325</v>
      </c>
      <c r="B325" s="277"/>
      <c r="C325" s="278"/>
      <c r="D325" s="278"/>
      <c r="E325" s="278"/>
      <c r="F325" s="278"/>
      <c r="G325" s="279" t="e">
        <f>"YB"&amp;RIGHT(#REF!,6)</f>
        <v>#REF!</v>
      </c>
      <c r="H325" s="280"/>
      <c r="I325" s="280"/>
      <c r="J325" s="281">
        <f t="shared" si="78"/>
        <v>0</v>
      </c>
      <c r="K325" s="282"/>
      <c r="L325" s="282"/>
      <c r="M325" s="339"/>
      <c r="N325" s="278"/>
      <c r="O325" s="278"/>
      <c r="P325" s="283"/>
      <c r="Q325" s="278"/>
      <c r="R325" s="284"/>
      <c r="S325" s="282"/>
      <c r="T325" s="285"/>
      <c r="U325" s="286"/>
      <c r="V325" s="287"/>
      <c r="W325" s="288"/>
      <c r="X325" s="286"/>
      <c r="Y325" s="289"/>
      <c r="Z325" s="289"/>
      <c r="AA325" s="290">
        <f t="shared" si="77"/>
        <v>0</v>
      </c>
      <c r="AB325" s="291">
        <f t="shared" si="76"/>
        <v>0</v>
      </c>
      <c r="AC325" s="292">
        <f t="shared" si="79"/>
        <v>0</v>
      </c>
      <c r="AD325" s="293"/>
      <c r="AE325" s="293"/>
      <c r="AF325" s="294"/>
      <c r="AG325" s="291"/>
      <c r="AH325" s="295"/>
      <c r="AI325" s="291"/>
      <c r="AJ325" s="295"/>
      <c r="AK325" s="291"/>
      <c r="AL325" s="291"/>
      <c r="AM325" s="291"/>
      <c r="AN325" s="296">
        <v>35000</v>
      </c>
      <c r="AO325" s="296">
        <v>30000</v>
      </c>
      <c r="AP325" s="296"/>
      <c r="AQ325" s="296"/>
      <c r="AR325" s="296"/>
      <c r="AS325" s="296">
        <f t="shared" si="82"/>
        <v>65000</v>
      </c>
      <c r="AT325" s="297">
        <f t="shared" si="83"/>
        <v>-65000</v>
      </c>
      <c r="AU325" s="297">
        <f t="shared" si="80"/>
        <v>-65000</v>
      </c>
      <c r="AV325" s="297">
        <f t="shared" si="81"/>
        <v>0</v>
      </c>
      <c r="AW325" s="297">
        <f t="shared" si="84"/>
        <v>-32500</v>
      </c>
      <c r="AX325" s="297">
        <f t="shared" si="85"/>
        <v>-29250</v>
      </c>
      <c r="AY325" s="298">
        <v>50000</v>
      </c>
      <c r="AZ325" s="298"/>
      <c r="BA325" s="297">
        <f t="shared" si="86"/>
        <v>-79250</v>
      </c>
      <c r="BB325" s="278"/>
      <c r="BC325" s="255"/>
      <c r="BD325" s="255"/>
    </row>
    <row r="326" spans="1:56" s="256" customFormat="1" ht="20" hidden="1" customHeight="1">
      <c r="A326" s="260">
        <v>326</v>
      </c>
      <c r="B326" s="277"/>
      <c r="C326" s="278"/>
      <c r="D326" s="278"/>
      <c r="E326" s="278"/>
      <c r="F326" s="278"/>
      <c r="G326" s="279" t="e">
        <f>"YB"&amp;RIGHT(#REF!,6)</f>
        <v>#REF!</v>
      </c>
      <c r="H326" s="280"/>
      <c r="I326" s="280"/>
      <c r="J326" s="281">
        <f t="shared" si="78"/>
        <v>0</v>
      </c>
      <c r="K326" s="282"/>
      <c r="L326" s="282"/>
      <c r="M326" s="339"/>
      <c r="N326" s="278"/>
      <c r="O326" s="278"/>
      <c r="P326" s="283"/>
      <c r="Q326" s="278"/>
      <c r="R326" s="284"/>
      <c r="S326" s="282"/>
      <c r="T326" s="285"/>
      <c r="U326" s="286"/>
      <c r="V326" s="287"/>
      <c r="W326" s="288"/>
      <c r="X326" s="286"/>
      <c r="Y326" s="289"/>
      <c r="Z326" s="289"/>
      <c r="AA326" s="290">
        <f t="shared" si="77"/>
        <v>0</v>
      </c>
      <c r="AB326" s="291">
        <f t="shared" si="76"/>
        <v>0</v>
      </c>
      <c r="AC326" s="292">
        <f t="shared" si="79"/>
        <v>0</v>
      </c>
      <c r="AD326" s="293"/>
      <c r="AE326" s="293"/>
      <c r="AF326" s="294"/>
      <c r="AG326" s="291"/>
      <c r="AH326" s="295"/>
      <c r="AI326" s="291"/>
      <c r="AJ326" s="295"/>
      <c r="AK326" s="291"/>
      <c r="AL326" s="291"/>
      <c r="AM326" s="291"/>
      <c r="AN326" s="296">
        <v>35000</v>
      </c>
      <c r="AO326" s="296">
        <v>30000</v>
      </c>
      <c r="AP326" s="296"/>
      <c r="AQ326" s="296"/>
      <c r="AR326" s="296"/>
      <c r="AS326" s="296">
        <f t="shared" si="82"/>
        <v>65000</v>
      </c>
      <c r="AT326" s="297">
        <f t="shared" si="83"/>
        <v>-65000</v>
      </c>
      <c r="AU326" s="297">
        <f t="shared" si="80"/>
        <v>-65000</v>
      </c>
      <c r="AV326" s="297">
        <f t="shared" si="81"/>
        <v>0</v>
      </c>
      <c r="AW326" s="297">
        <f t="shared" si="84"/>
        <v>-32500</v>
      </c>
      <c r="AX326" s="297">
        <f t="shared" si="85"/>
        <v>-29250</v>
      </c>
      <c r="AY326" s="298">
        <v>50000</v>
      </c>
      <c r="AZ326" s="298"/>
      <c r="BA326" s="297">
        <f t="shared" si="86"/>
        <v>-79250</v>
      </c>
      <c r="BB326" s="278"/>
      <c r="BC326" s="255"/>
      <c r="BD326" s="255"/>
    </row>
    <row r="327" spans="1:56" s="256" customFormat="1" ht="20" hidden="1" customHeight="1">
      <c r="A327" s="260">
        <v>327</v>
      </c>
      <c r="B327" s="277"/>
      <c r="C327" s="278"/>
      <c r="D327" s="278"/>
      <c r="E327" s="278"/>
      <c r="F327" s="278"/>
      <c r="G327" s="279" t="e">
        <f>"YB"&amp;RIGHT(#REF!,6)</f>
        <v>#REF!</v>
      </c>
      <c r="H327" s="280"/>
      <c r="I327" s="280"/>
      <c r="J327" s="281">
        <f t="shared" si="78"/>
        <v>0</v>
      </c>
      <c r="K327" s="282"/>
      <c r="L327" s="282"/>
      <c r="M327" s="339"/>
      <c r="N327" s="278"/>
      <c r="O327" s="278"/>
      <c r="P327" s="283"/>
      <c r="Q327" s="278"/>
      <c r="R327" s="284"/>
      <c r="S327" s="282"/>
      <c r="T327" s="285"/>
      <c r="U327" s="286"/>
      <c r="V327" s="287"/>
      <c r="W327" s="288"/>
      <c r="X327" s="286"/>
      <c r="Y327" s="289"/>
      <c r="Z327" s="289"/>
      <c r="AA327" s="290">
        <f t="shared" si="77"/>
        <v>0</v>
      </c>
      <c r="AB327" s="291">
        <f t="shared" si="76"/>
        <v>0</v>
      </c>
      <c r="AC327" s="292">
        <f t="shared" si="79"/>
        <v>0</v>
      </c>
      <c r="AD327" s="293"/>
      <c r="AE327" s="293"/>
      <c r="AF327" s="294"/>
      <c r="AG327" s="291"/>
      <c r="AH327" s="295"/>
      <c r="AI327" s="291"/>
      <c r="AJ327" s="295"/>
      <c r="AK327" s="291"/>
      <c r="AL327" s="291"/>
      <c r="AM327" s="291"/>
      <c r="AN327" s="296">
        <v>35000</v>
      </c>
      <c r="AO327" s="296">
        <v>30000</v>
      </c>
      <c r="AP327" s="296"/>
      <c r="AQ327" s="296"/>
      <c r="AR327" s="296"/>
      <c r="AS327" s="296">
        <f t="shared" si="82"/>
        <v>65000</v>
      </c>
      <c r="AT327" s="297">
        <f t="shared" si="83"/>
        <v>-65000</v>
      </c>
      <c r="AU327" s="297">
        <f t="shared" si="80"/>
        <v>-65000</v>
      </c>
      <c r="AV327" s="297">
        <f t="shared" si="81"/>
        <v>0</v>
      </c>
      <c r="AW327" s="297">
        <f t="shared" si="84"/>
        <v>-32500</v>
      </c>
      <c r="AX327" s="297">
        <f t="shared" si="85"/>
        <v>-29250</v>
      </c>
      <c r="AY327" s="298">
        <v>50000</v>
      </c>
      <c r="AZ327" s="298"/>
      <c r="BA327" s="297">
        <f t="shared" si="86"/>
        <v>-79250</v>
      </c>
      <c r="BB327" s="278"/>
      <c r="BC327" s="255"/>
      <c r="BD327" s="255"/>
    </row>
    <row r="328" spans="1:56" s="256" customFormat="1" ht="20" hidden="1" customHeight="1">
      <c r="A328" s="260">
        <v>328</v>
      </c>
      <c r="B328" s="277"/>
      <c r="C328" s="278"/>
      <c r="D328" s="278"/>
      <c r="E328" s="278"/>
      <c r="F328" s="278"/>
      <c r="G328" s="279" t="e">
        <f>"YB"&amp;RIGHT(#REF!,6)</f>
        <v>#REF!</v>
      </c>
      <c r="H328" s="280"/>
      <c r="I328" s="280"/>
      <c r="J328" s="281">
        <f t="shared" si="78"/>
        <v>0</v>
      </c>
      <c r="K328" s="282"/>
      <c r="L328" s="282"/>
      <c r="M328" s="339"/>
      <c r="N328" s="278"/>
      <c r="O328" s="278"/>
      <c r="P328" s="283"/>
      <c r="Q328" s="278"/>
      <c r="R328" s="284"/>
      <c r="S328" s="282"/>
      <c r="T328" s="285"/>
      <c r="U328" s="286"/>
      <c r="V328" s="287"/>
      <c r="W328" s="288"/>
      <c r="X328" s="286"/>
      <c r="Y328" s="289"/>
      <c r="Z328" s="289"/>
      <c r="AA328" s="290">
        <f t="shared" si="77"/>
        <v>0</v>
      </c>
      <c r="AB328" s="291">
        <f t="shared" si="76"/>
        <v>0</v>
      </c>
      <c r="AC328" s="292">
        <f t="shared" si="79"/>
        <v>0</v>
      </c>
      <c r="AD328" s="293"/>
      <c r="AE328" s="293"/>
      <c r="AF328" s="294"/>
      <c r="AG328" s="291"/>
      <c r="AH328" s="295"/>
      <c r="AI328" s="291"/>
      <c r="AJ328" s="295"/>
      <c r="AK328" s="291"/>
      <c r="AL328" s="291"/>
      <c r="AM328" s="291"/>
      <c r="AN328" s="296">
        <v>35000</v>
      </c>
      <c r="AO328" s="296">
        <v>30000</v>
      </c>
      <c r="AP328" s="296"/>
      <c r="AQ328" s="296"/>
      <c r="AR328" s="296"/>
      <c r="AS328" s="296">
        <f t="shared" si="82"/>
        <v>65000</v>
      </c>
      <c r="AT328" s="297">
        <f t="shared" si="83"/>
        <v>-65000</v>
      </c>
      <c r="AU328" s="297">
        <f t="shared" si="80"/>
        <v>-65000</v>
      </c>
      <c r="AV328" s="297">
        <f t="shared" si="81"/>
        <v>0</v>
      </c>
      <c r="AW328" s="297">
        <f t="shared" si="84"/>
        <v>-32500</v>
      </c>
      <c r="AX328" s="297">
        <f t="shared" si="85"/>
        <v>-29250</v>
      </c>
      <c r="AY328" s="298">
        <v>50000</v>
      </c>
      <c r="AZ328" s="298"/>
      <c r="BA328" s="297">
        <f t="shared" si="86"/>
        <v>-79250</v>
      </c>
      <c r="BB328" s="278"/>
      <c r="BC328" s="255"/>
      <c r="BD328" s="255"/>
    </row>
    <row r="329" spans="1:56" s="256" customFormat="1" ht="20" hidden="1" customHeight="1">
      <c r="A329" s="260">
        <v>329</v>
      </c>
      <c r="B329" s="277"/>
      <c r="C329" s="278"/>
      <c r="D329" s="278"/>
      <c r="E329" s="278"/>
      <c r="F329" s="278"/>
      <c r="G329" s="279" t="e">
        <f>"YB"&amp;RIGHT(#REF!,6)</f>
        <v>#REF!</v>
      </c>
      <c r="H329" s="280"/>
      <c r="I329" s="280"/>
      <c r="J329" s="281">
        <f t="shared" si="78"/>
        <v>0</v>
      </c>
      <c r="K329" s="282"/>
      <c r="L329" s="282"/>
      <c r="M329" s="339"/>
      <c r="N329" s="278"/>
      <c r="O329" s="278"/>
      <c r="P329" s="283"/>
      <c r="Q329" s="278"/>
      <c r="R329" s="284"/>
      <c r="S329" s="282"/>
      <c r="T329" s="285"/>
      <c r="U329" s="286"/>
      <c r="V329" s="287"/>
      <c r="W329" s="288"/>
      <c r="X329" s="286"/>
      <c r="Y329" s="289"/>
      <c r="Z329" s="289"/>
      <c r="AA329" s="290">
        <f t="shared" si="77"/>
        <v>0</v>
      </c>
      <c r="AB329" s="291">
        <f t="shared" si="76"/>
        <v>0</v>
      </c>
      <c r="AC329" s="292">
        <f t="shared" si="79"/>
        <v>0</v>
      </c>
      <c r="AD329" s="293"/>
      <c r="AE329" s="293"/>
      <c r="AF329" s="294"/>
      <c r="AG329" s="291"/>
      <c r="AH329" s="295"/>
      <c r="AI329" s="291"/>
      <c r="AJ329" s="295"/>
      <c r="AK329" s="291"/>
      <c r="AL329" s="291"/>
      <c r="AM329" s="291"/>
      <c r="AN329" s="296">
        <v>35000</v>
      </c>
      <c r="AO329" s="296">
        <v>30000</v>
      </c>
      <c r="AP329" s="296"/>
      <c r="AQ329" s="296"/>
      <c r="AR329" s="296"/>
      <c r="AS329" s="296">
        <f t="shared" si="82"/>
        <v>65000</v>
      </c>
      <c r="AT329" s="297">
        <f t="shared" si="83"/>
        <v>-65000</v>
      </c>
      <c r="AU329" s="297">
        <f t="shared" si="80"/>
        <v>-65000</v>
      </c>
      <c r="AV329" s="297">
        <f t="shared" si="81"/>
        <v>0</v>
      </c>
      <c r="AW329" s="297">
        <f t="shared" si="84"/>
        <v>-32500</v>
      </c>
      <c r="AX329" s="297">
        <f t="shared" si="85"/>
        <v>-29250</v>
      </c>
      <c r="AY329" s="298">
        <v>50000</v>
      </c>
      <c r="AZ329" s="298"/>
      <c r="BA329" s="297">
        <f t="shared" si="86"/>
        <v>-79250</v>
      </c>
      <c r="BB329" s="278"/>
      <c r="BC329" s="255"/>
      <c r="BD329" s="255"/>
    </row>
    <row r="330" spans="1:56" s="256" customFormat="1" ht="20" hidden="1" customHeight="1">
      <c r="A330" s="260">
        <v>330</v>
      </c>
      <c r="B330" s="277"/>
      <c r="C330" s="278"/>
      <c r="D330" s="278"/>
      <c r="E330" s="278"/>
      <c r="F330" s="278"/>
      <c r="G330" s="279" t="e">
        <f>"YB"&amp;RIGHT(#REF!,6)</f>
        <v>#REF!</v>
      </c>
      <c r="H330" s="280"/>
      <c r="I330" s="280"/>
      <c r="J330" s="281">
        <f t="shared" si="78"/>
        <v>0</v>
      </c>
      <c r="K330" s="282"/>
      <c r="L330" s="282"/>
      <c r="M330" s="339"/>
      <c r="N330" s="278"/>
      <c r="O330" s="278"/>
      <c r="P330" s="283"/>
      <c r="Q330" s="278"/>
      <c r="R330" s="284"/>
      <c r="S330" s="282"/>
      <c r="T330" s="285"/>
      <c r="U330" s="286"/>
      <c r="V330" s="287"/>
      <c r="W330" s="288"/>
      <c r="X330" s="286"/>
      <c r="Y330" s="289"/>
      <c r="Z330" s="289"/>
      <c r="AA330" s="290">
        <f t="shared" si="77"/>
        <v>0</v>
      </c>
      <c r="AB330" s="291">
        <f t="shared" si="76"/>
        <v>0</v>
      </c>
      <c r="AC330" s="292">
        <f t="shared" si="79"/>
        <v>0</v>
      </c>
      <c r="AD330" s="293"/>
      <c r="AE330" s="293"/>
      <c r="AF330" s="294"/>
      <c r="AG330" s="291"/>
      <c r="AH330" s="295"/>
      <c r="AI330" s="291"/>
      <c r="AJ330" s="295"/>
      <c r="AK330" s="291"/>
      <c r="AL330" s="291"/>
      <c r="AM330" s="291"/>
      <c r="AN330" s="296">
        <v>35000</v>
      </c>
      <c r="AO330" s="296">
        <v>30000</v>
      </c>
      <c r="AP330" s="296"/>
      <c r="AQ330" s="296"/>
      <c r="AR330" s="296"/>
      <c r="AS330" s="296">
        <f t="shared" si="82"/>
        <v>65000</v>
      </c>
      <c r="AT330" s="297">
        <f t="shared" si="83"/>
        <v>-65000</v>
      </c>
      <c r="AU330" s="297">
        <f t="shared" si="80"/>
        <v>-65000</v>
      </c>
      <c r="AV330" s="297">
        <f t="shared" si="81"/>
        <v>0</v>
      </c>
      <c r="AW330" s="297">
        <f t="shared" si="84"/>
        <v>-32500</v>
      </c>
      <c r="AX330" s="297">
        <f t="shared" si="85"/>
        <v>-29250</v>
      </c>
      <c r="AY330" s="298">
        <v>50000</v>
      </c>
      <c r="AZ330" s="298"/>
      <c r="BA330" s="297">
        <f t="shared" si="86"/>
        <v>-79250</v>
      </c>
      <c r="BB330" s="278"/>
      <c r="BC330" s="255"/>
      <c r="BD330" s="255"/>
    </row>
    <row r="331" spans="1:56" s="256" customFormat="1" ht="20" hidden="1" customHeight="1">
      <c r="A331" s="260">
        <v>331</v>
      </c>
      <c r="B331" s="277"/>
      <c r="C331" s="278"/>
      <c r="D331" s="278"/>
      <c r="E331" s="278"/>
      <c r="F331" s="278"/>
      <c r="G331" s="279" t="e">
        <f>"YB"&amp;RIGHT(#REF!,6)</f>
        <v>#REF!</v>
      </c>
      <c r="H331" s="280"/>
      <c r="I331" s="280"/>
      <c r="J331" s="281">
        <f t="shared" si="78"/>
        <v>0</v>
      </c>
      <c r="K331" s="282"/>
      <c r="L331" s="282"/>
      <c r="M331" s="339"/>
      <c r="N331" s="278"/>
      <c r="O331" s="278"/>
      <c r="P331" s="283"/>
      <c r="Q331" s="278"/>
      <c r="R331" s="284"/>
      <c r="S331" s="282"/>
      <c r="T331" s="285"/>
      <c r="U331" s="286"/>
      <c r="V331" s="287"/>
      <c r="W331" s="288"/>
      <c r="X331" s="286"/>
      <c r="Y331" s="289"/>
      <c r="Z331" s="289"/>
      <c r="AA331" s="290">
        <f t="shared" si="77"/>
        <v>0</v>
      </c>
      <c r="AB331" s="291">
        <f t="shared" si="76"/>
        <v>0</v>
      </c>
      <c r="AC331" s="292">
        <f t="shared" si="79"/>
        <v>0</v>
      </c>
      <c r="AD331" s="293"/>
      <c r="AE331" s="293"/>
      <c r="AF331" s="294"/>
      <c r="AG331" s="291"/>
      <c r="AH331" s="295"/>
      <c r="AI331" s="291"/>
      <c r="AJ331" s="295"/>
      <c r="AK331" s="291"/>
      <c r="AL331" s="291"/>
      <c r="AM331" s="291"/>
      <c r="AN331" s="296">
        <v>35000</v>
      </c>
      <c r="AO331" s="296">
        <v>30000</v>
      </c>
      <c r="AP331" s="296"/>
      <c r="AQ331" s="296"/>
      <c r="AR331" s="296"/>
      <c r="AS331" s="296">
        <f t="shared" si="82"/>
        <v>65000</v>
      </c>
      <c r="AT331" s="297">
        <f t="shared" si="83"/>
        <v>-65000</v>
      </c>
      <c r="AU331" s="297">
        <f t="shared" si="80"/>
        <v>-65000</v>
      </c>
      <c r="AV331" s="297">
        <f t="shared" si="81"/>
        <v>0</v>
      </c>
      <c r="AW331" s="297">
        <f t="shared" si="84"/>
        <v>-32500</v>
      </c>
      <c r="AX331" s="297">
        <f t="shared" si="85"/>
        <v>-29250</v>
      </c>
      <c r="AY331" s="298">
        <v>50000</v>
      </c>
      <c r="AZ331" s="298"/>
      <c r="BA331" s="297">
        <f t="shared" si="86"/>
        <v>-79250</v>
      </c>
      <c r="BB331" s="278"/>
      <c r="BC331" s="255"/>
      <c r="BD331" s="255"/>
    </row>
    <row r="332" spans="1:56" s="256" customFormat="1" ht="20" hidden="1" customHeight="1">
      <c r="A332" s="260">
        <v>332</v>
      </c>
      <c r="B332" s="277"/>
      <c r="C332" s="278"/>
      <c r="D332" s="278"/>
      <c r="E332" s="278"/>
      <c r="F332" s="278"/>
      <c r="G332" s="279" t="e">
        <f>"YB"&amp;RIGHT(#REF!,6)</f>
        <v>#REF!</v>
      </c>
      <c r="H332" s="280"/>
      <c r="I332" s="280"/>
      <c r="J332" s="281">
        <f t="shared" si="78"/>
        <v>0</v>
      </c>
      <c r="K332" s="282"/>
      <c r="L332" s="282"/>
      <c r="M332" s="339"/>
      <c r="N332" s="278"/>
      <c r="O332" s="278"/>
      <c r="P332" s="283"/>
      <c r="Q332" s="278"/>
      <c r="R332" s="284"/>
      <c r="S332" s="282"/>
      <c r="T332" s="285"/>
      <c r="U332" s="286"/>
      <c r="V332" s="287"/>
      <c r="W332" s="288"/>
      <c r="X332" s="286"/>
      <c r="Y332" s="289"/>
      <c r="Z332" s="289"/>
      <c r="AA332" s="290">
        <f t="shared" si="77"/>
        <v>0</v>
      </c>
      <c r="AB332" s="291">
        <f t="shared" si="76"/>
        <v>0</v>
      </c>
      <c r="AC332" s="292">
        <f t="shared" si="79"/>
        <v>0</v>
      </c>
      <c r="AD332" s="293"/>
      <c r="AE332" s="293"/>
      <c r="AF332" s="294"/>
      <c r="AG332" s="291"/>
      <c r="AH332" s="295"/>
      <c r="AI332" s="291"/>
      <c r="AJ332" s="295"/>
      <c r="AK332" s="291"/>
      <c r="AL332" s="291"/>
      <c r="AM332" s="291"/>
      <c r="AN332" s="296">
        <v>35000</v>
      </c>
      <c r="AO332" s="296">
        <v>30000</v>
      </c>
      <c r="AP332" s="296"/>
      <c r="AQ332" s="296"/>
      <c r="AR332" s="296"/>
      <c r="AS332" s="296">
        <f t="shared" si="82"/>
        <v>65000</v>
      </c>
      <c r="AT332" s="297">
        <f t="shared" si="83"/>
        <v>-65000</v>
      </c>
      <c r="AU332" s="297">
        <f t="shared" si="80"/>
        <v>-65000</v>
      </c>
      <c r="AV332" s="297">
        <f t="shared" si="81"/>
        <v>0</v>
      </c>
      <c r="AW332" s="297">
        <f t="shared" si="84"/>
        <v>-32500</v>
      </c>
      <c r="AX332" s="297">
        <f t="shared" si="85"/>
        <v>-29250</v>
      </c>
      <c r="AY332" s="298">
        <v>50000</v>
      </c>
      <c r="AZ332" s="298"/>
      <c r="BA332" s="297">
        <f t="shared" si="86"/>
        <v>-79250</v>
      </c>
      <c r="BB332" s="278"/>
      <c r="BC332" s="255"/>
      <c r="BD332" s="255"/>
    </row>
    <row r="333" spans="1:56" s="256" customFormat="1" ht="20" hidden="1" customHeight="1">
      <c r="A333" s="260">
        <v>333</v>
      </c>
      <c r="B333" s="277"/>
      <c r="C333" s="278"/>
      <c r="D333" s="278"/>
      <c r="E333" s="278"/>
      <c r="F333" s="278"/>
      <c r="G333" s="279" t="e">
        <f>"YB"&amp;RIGHT(#REF!,6)</f>
        <v>#REF!</v>
      </c>
      <c r="H333" s="280"/>
      <c r="I333" s="280"/>
      <c r="J333" s="281">
        <f t="shared" si="78"/>
        <v>0</v>
      </c>
      <c r="K333" s="282"/>
      <c r="L333" s="282"/>
      <c r="M333" s="339"/>
      <c r="N333" s="278"/>
      <c r="O333" s="278"/>
      <c r="P333" s="283"/>
      <c r="Q333" s="278"/>
      <c r="R333" s="284"/>
      <c r="S333" s="282"/>
      <c r="T333" s="285"/>
      <c r="U333" s="286"/>
      <c r="V333" s="287"/>
      <c r="W333" s="288"/>
      <c r="X333" s="286"/>
      <c r="Y333" s="289"/>
      <c r="Z333" s="289"/>
      <c r="AA333" s="290">
        <f t="shared" si="77"/>
        <v>0</v>
      </c>
      <c r="AB333" s="291">
        <f t="shared" si="76"/>
        <v>0</v>
      </c>
      <c r="AC333" s="292">
        <f t="shared" si="79"/>
        <v>0</v>
      </c>
      <c r="AD333" s="293"/>
      <c r="AE333" s="293"/>
      <c r="AF333" s="294"/>
      <c r="AG333" s="291"/>
      <c r="AH333" s="295"/>
      <c r="AI333" s="291"/>
      <c r="AJ333" s="295"/>
      <c r="AK333" s="291"/>
      <c r="AL333" s="291"/>
      <c r="AM333" s="291"/>
      <c r="AN333" s="296">
        <v>35000</v>
      </c>
      <c r="AO333" s="296">
        <v>30000</v>
      </c>
      <c r="AP333" s="296"/>
      <c r="AQ333" s="296"/>
      <c r="AR333" s="296"/>
      <c r="AS333" s="296">
        <f t="shared" si="82"/>
        <v>65000</v>
      </c>
      <c r="AT333" s="297">
        <f t="shared" si="83"/>
        <v>-65000</v>
      </c>
      <c r="AU333" s="297">
        <f t="shared" si="80"/>
        <v>-65000</v>
      </c>
      <c r="AV333" s="297">
        <f t="shared" si="81"/>
        <v>0</v>
      </c>
      <c r="AW333" s="297">
        <f t="shared" si="84"/>
        <v>-32500</v>
      </c>
      <c r="AX333" s="297">
        <f t="shared" si="85"/>
        <v>-29250</v>
      </c>
      <c r="AY333" s="298">
        <v>50000</v>
      </c>
      <c r="AZ333" s="298"/>
      <c r="BA333" s="297">
        <f t="shared" si="86"/>
        <v>-79250</v>
      </c>
      <c r="BB333" s="278"/>
      <c r="BC333" s="255"/>
      <c r="BD333" s="255"/>
    </row>
    <row r="334" spans="1:56" s="256" customFormat="1" ht="20" hidden="1" customHeight="1">
      <c r="A334" s="260">
        <v>334</v>
      </c>
      <c r="B334" s="277"/>
      <c r="C334" s="278"/>
      <c r="D334" s="278"/>
      <c r="E334" s="278"/>
      <c r="F334" s="278"/>
      <c r="G334" s="279" t="e">
        <f>"YB"&amp;RIGHT(#REF!,6)</f>
        <v>#REF!</v>
      </c>
      <c r="H334" s="280"/>
      <c r="I334" s="280"/>
      <c r="J334" s="281">
        <f t="shared" si="78"/>
        <v>0</v>
      </c>
      <c r="K334" s="282"/>
      <c r="L334" s="282"/>
      <c r="M334" s="339"/>
      <c r="N334" s="278"/>
      <c r="O334" s="278"/>
      <c r="P334" s="283"/>
      <c r="Q334" s="278"/>
      <c r="R334" s="284"/>
      <c r="S334" s="282"/>
      <c r="T334" s="285"/>
      <c r="U334" s="286"/>
      <c r="V334" s="287"/>
      <c r="W334" s="288"/>
      <c r="X334" s="286"/>
      <c r="Y334" s="289"/>
      <c r="Z334" s="289"/>
      <c r="AA334" s="290">
        <f t="shared" si="77"/>
        <v>0</v>
      </c>
      <c r="AB334" s="291">
        <f t="shared" si="76"/>
        <v>0</v>
      </c>
      <c r="AC334" s="292">
        <f t="shared" si="79"/>
        <v>0</v>
      </c>
      <c r="AD334" s="293"/>
      <c r="AE334" s="293"/>
      <c r="AF334" s="294"/>
      <c r="AG334" s="291"/>
      <c r="AH334" s="295"/>
      <c r="AI334" s="291"/>
      <c r="AJ334" s="295"/>
      <c r="AK334" s="291"/>
      <c r="AL334" s="291"/>
      <c r="AM334" s="291"/>
      <c r="AN334" s="296">
        <v>35000</v>
      </c>
      <c r="AO334" s="296">
        <v>30000</v>
      </c>
      <c r="AP334" s="296"/>
      <c r="AQ334" s="296"/>
      <c r="AR334" s="296"/>
      <c r="AS334" s="296">
        <f t="shared" si="82"/>
        <v>65000</v>
      </c>
      <c r="AT334" s="297">
        <f t="shared" si="83"/>
        <v>-65000</v>
      </c>
      <c r="AU334" s="297">
        <f t="shared" si="80"/>
        <v>-65000</v>
      </c>
      <c r="AV334" s="297">
        <f t="shared" si="81"/>
        <v>0</v>
      </c>
      <c r="AW334" s="297">
        <f t="shared" si="84"/>
        <v>-32500</v>
      </c>
      <c r="AX334" s="297">
        <f t="shared" si="85"/>
        <v>-29250</v>
      </c>
      <c r="AY334" s="298">
        <v>50000</v>
      </c>
      <c r="AZ334" s="298"/>
      <c r="BA334" s="297">
        <f t="shared" si="86"/>
        <v>-79250</v>
      </c>
      <c r="BB334" s="278"/>
      <c r="BC334" s="255"/>
      <c r="BD334" s="255"/>
    </row>
    <row r="335" spans="1:56" s="256" customFormat="1" ht="20" hidden="1" customHeight="1">
      <c r="A335" s="260">
        <v>335</v>
      </c>
      <c r="B335" s="277"/>
      <c r="C335" s="278"/>
      <c r="D335" s="278"/>
      <c r="E335" s="278"/>
      <c r="F335" s="278"/>
      <c r="G335" s="279" t="e">
        <f>"YB"&amp;RIGHT(#REF!,6)</f>
        <v>#REF!</v>
      </c>
      <c r="H335" s="280"/>
      <c r="I335" s="280"/>
      <c r="J335" s="281">
        <f t="shared" si="78"/>
        <v>0</v>
      </c>
      <c r="K335" s="282"/>
      <c r="L335" s="282"/>
      <c r="M335" s="339"/>
      <c r="N335" s="278"/>
      <c r="O335" s="278"/>
      <c r="P335" s="283"/>
      <c r="Q335" s="278"/>
      <c r="R335" s="284"/>
      <c r="S335" s="282"/>
      <c r="T335" s="285"/>
      <c r="U335" s="286"/>
      <c r="V335" s="287"/>
      <c r="W335" s="288"/>
      <c r="X335" s="286"/>
      <c r="Y335" s="289"/>
      <c r="Z335" s="289"/>
      <c r="AA335" s="290">
        <f t="shared" si="77"/>
        <v>0</v>
      </c>
      <c r="AB335" s="291">
        <f t="shared" si="76"/>
        <v>0</v>
      </c>
      <c r="AC335" s="292">
        <f t="shared" si="79"/>
        <v>0</v>
      </c>
      <c r="AD335" s="293"/>
      <c r="AE335" s="293"/>
      <c r="AF335" s="294"/>
      <c r="AG335" s="291"/>
      <c r="AH335" s="295"/>
      <c r="AI335" s="291"/>
      <c r="AJ335" s="295"/>
      <c r="AK335" s="291"/>
      <c r="AL335" s="291"/>
      <c r="AM335" s="291"/>
      <c r="AN335" s="296">
        <v>35000</v>
      </c>
      <c r="AO335" s="296">
        <v>30000</v>
      </c>
      <c r="AP335" s="296"/>
      <c r="AQ335" s="296"/>
      <c r="AR335" s="296"/>
      <c r="AS335" s="296">
        <f t="shared" si="82"/>
        <v>65000</v>
      </c>
      <c r="AT335" s="297">
        <f t="shared" si="83"/>
        <v>-65000</v>
      </c>
      <c r="AU335" s="297">
        <f t="shared" si="80"/>
        <v>-65000</v>
      </c>
      <c r="AV335" s="297">
        <f t="shared" si="81"/>
        <v>0</v>
      </c>
      <c r="AW335" s="297">
        <f t="shared" si="84"/>
        <v>-32500</v>
      </c>
      <c r="AX335" s="297">
        <f t="shared" si="85"/>
        <v>-29250</v>
      </c>
      <c r="AY335" s="298">
        <v>50000</v>
      </c>
      <c r="AZ335" s="298"/>
      <c r="BA335" s="297">
        <f t="shared" si="86"/>
        <v>-79250</v>
      </c>
      <c r="BB335" s="278"/>
      <c r="BC335" s="255"/>
      <c r="BD335" s="255"/>
    </row>
    <row r="336" spans="1:56" s="256" customFormat="1" ht="20" hidden="1" customHeight="1">
      <c r="A336" s="260">
        <v>336</v>
      </c>
      <c r="B336" s="277"/>
      <c r="C336" s="278"/>
      <c r="D336" s="278"/>
      <c r="E336" s="278"/>
      <c r="F336" s="278"/>
      <c r="G336" s="279" t="e">
        <f>"YB"&amp;RIGHT(#REF!,6)</f>
        <v>#REF!</v>
      </c>
      <c r="H336" s="280"/>
      <c r="I336" s="280"/>
      <c r="J336" s="281">
        <f t="shared" si="78"/>
        <v>0</v>
      </c>
      <c r="K336" s="282"/>
      <c r="L336" s="282"/>
      <c r="M336" s="339"/>
      <c r="N336" s="278"/>
      <c r="O336" s="278"/>
      <c r="P336" s="283"/>
      <c r="Q336" s="278"/>
      <c r="R336" s="284"/>
      <c r="S336" s="282"/>
      <c r="T336" s="285"/>
      <c r="U336" s="286"/>
      <c r="V336" s="287"/>
      <c r="W336" s="288"/>
      <c r="X336" s="286"/>
      <c r="Y336" s="289"/>
      <c r="Z336" s="289"/>
      <c r="AA336" s="290">
        <f t="shared" si="77"/>
        <v>0</v>
      </c>
      <c r="AB336" s="291">
        <f t="shared" si="76"/>
        <v>0</v>
      </c>
      <c r="AC336" s="292">
        <f t="shared" si="79"/>
        <v>0</v>
      </c>
      <c r="AD336" s="293"/>
      <c r="AE336" s="293"/>
      <c r="AF336" s="294"/>
      <c r="AG336" s="291"/>
      <c r="AH336" s="295"/>
      <c r="AI336" s="291"/>
      <c r="AJ336" s="295"/>
      <c r="AK336" s="291"/>
      <c r="AL336" s="291"/>
      <c r="AM336" s="291"/>
      <c r="AN336" s="296">
        <v>35000</v>
      </c>
      <c r="AO336" s="296">
        <v>30000</v>
      </c>
      <c r="AP336" s="296"/>
      <c r="AQ336" s="296"/>
      <c r="AR336" s="296"/>
      <c r="AS336" s="296">
        <f t="shared" si="82"/>
        <v>65000</v>
      </c>
      <c r="AT336" s="297">
        <f t="shared" si="83"/>
        <v>-65000</v>
      </c>
      <c r="AU336" s="297">
        <f t="shared" si="80"/>
        <v>-65000</v>
      </c>
      <c r="AV336" s="297">
        <f t="shared" si="81"/>
        <v>0</v>
      </c>
      <c r="AW336" s="297">
        <f t="shared" si="84"/>
        <v>-32500</v>
      </c>
      <c r="AX336" s="297">
        <f t="shared" si="85"/>
        <v>-29250</v>
      </c>
      <c r="AY336" s="298">
        <v>50000</v>
      </c>
      <c r="AZ336" s="298"/>
      <c r="BA336" s="297">
        <f t="shared" si="86"/>
        <v>-79250</v>
      </c>
      <c r="BB336" s="278"/>
      <c r="BC336" s="255"/>
      <c r="BD336" s="255"/>
    </row>
    <row r="337" spans="1:56" s="256" customFormat="1" ht="20" hidden="1" customHeight="1">
      <c r="A337" s="260">
        <v>337</v>
      </c>
      <c r="B337" s="277"/>
      <c r="C337" s="278"/>
      <c r="D337" s="278"/>
      <c r="E337" s="278"/>
      <c r="F337" s="278"/>
      <c r="G337" s="279" t="e">
        <f>"YB"&amp;RIGHT(#REF!,6)</f>
        <v>#REF!</v>
      </c>
      <c r="H337" s="280"/>
      <c r="I337" s="280"/>
      <c r="J337" s="281">
        <f t="shared" si="78"/>
        <v>0</v>
      </c>
      <c r="K337" s="282"/>
      <c r="L337" s="282"/>
      <c r="M337" s="339"/>
      <c r="N337" s="278"/>
      <c r="O337" s="278"/>
      <c r="P337" s="283"/>
      <c r="Q337" s="278"/>
      <c r="R337" s="284"/>
      <c r="S337" s="282"/>
      <c r="T337" s="285"/>
      <c r="U337" s="286"/>
      <c r="V337" s="287"/>
      <c r="W337" s="288"/>
      <c r="X337" s="286"/>
      <c r="Y337" s="289"/>
      <c r="Z337" s="289"/>
      <c r="AA337" s="290">
        <f t="shared" si="77"/>
        <v>0</v>
      </c>
      <c r="AB337" s="291">
        <f t="shared" si="76"/>
        <v>0</v>
      </c>
      <c r="AC337" s="292">
        <f t="shared" si="79"/>
        <v>0</v>
      </c>
      <c r="AD337" s="293"/>
      <c r="AE337" s="293"/>
      <c r="AF337" s="294"/>
      <c r="AG337" s="291"/>
      <c r="AH337" s="295"/>
      <c r="AI337" s="291"/>
      <c r="AJ337" s="295"/>
      <c r="AK337" s="291"/>
      <c r="AL337" s="291"/>
      <c r="AM337" s="291"/>
      <c r="AN337" s="296">
        <v>35000</v>
      </c>
      <c r="AO337" s="296">
        <v>30000</v>
      </c>
      <c r="AP337" s="296"/>
      <c r="AQ337" s="296"/>
      <c r="AR337" s="296"/>
      <c r="AS337" s="296">
        <f t="shared" si="82"/>
        <v>65000</v>
      </c>
      <c r="AT337" s="297">
        <f t="shared" si="83"/>
        <v>-65000</v>
      </c>
      <c r="AU337" s="297">
        <f t="shared" si="80"/>
        <v>-65000</v>
      </c>
      <c r="AV337" s="297">
        <f t="shared" si="81"/>
        <v>0</v>
      </c>
      <c r="AW337" s="297">
        <f t="shared" si="84"/>
        <v>-32500</v>
      </c>
      <c r="AX337" s="297">
        <f t="shared" si="85"/>
        <v>-29250</v>
      </c>
      <c r="AY337" s="298">
        <v>50000</v>
      </c>
      <c r="AZ337" s="298"/>
      <c r="BA337" s="297">
        <f t="shared" si="86"/>
        <v>-79250</v>
      </c>
      <c r="BB337" s="278"/>
      <c r="BC337" s="255"/>
      <c r="BD337" s="255"/>
    </row>
    <row r="338" spans="1:56" s="256" customFormat="1" ht="20" hidden="1" customHeight="1">
      <c r="A338" s="260">
        <v>338</v>
      </c>
      <c r="B338" s="277"/>
      <c r="C338" s="278"/>
      <c r="D338" s="278"/>
      <c r="E338" s="278"/>
      <c r="F338" s="278"/>
      <c r="G338" s="279" t="e">
        <f>"YB"&amp;RIGHT(#REF!,6)</f>
        <v>#REF!</v>
      </c>
      <c r="H338" s="280"/>
      <c r="I338" s="280"/>
      <c r="J338" s="281">
        <f t="shared" si="78"/>
        <v>0</v>
      </c>
      <c r="K338" s="282"/>
      <c r="L338" s="282"/>
      <c r="M338" s="339"/>
      <c r="N338" s="278"/>
      <c r="O338" s="278"/>
      <c r="P338" s="283"/>
      <c r="Q338" s="278"/>
      <c r="R338" s="284"/>
      <c r="S338" s="282"/>
      <c r="T338" s="285"/>
      <c r="U338" s="286"/>
      <c r="V338" s="287"/>
      <c r="W338" s="288"/>
      <c r="X338" s="286"/>
      <c r="Y338" s="289"/>
      <c r="Z338" s="289"/>
      <c r="AA338" s="290">
        <f t="shared" si="77"/>
        <v>0</v>
      </c>
      <c r="AB338" s="291">
        <f t="shared" si="76"/>
        <v>0</v>
      </c>
      <c r="AC338" s="292">
        <f t="shared" si="79"/>
        <v>0</v>
      </c>
      <c r="AD338" s="293"/>
      <c r="AE338" s="293"/>
      <c r="AF338" s="294"/>
      <c r="AG338" s="291"/>
      <c r="AH338" s="295"/>
      <c r="AI338" s="291"/>
      <c r="AJ338" s="295"/>
      <c r="AK338" s="291"/>
      <c r="AL338" s="291"/>
      <c r="AM338" s="291"/>
      <c r="AN338" s="296">
        <v>35000</v>
      </c>
      <c r="AO338" s="296">
        <v>30000</v>
      </c>
      <c r="AP338" s="296"/>
      <c r="AQ338" s="296"/>
      <c r="AR338" s="296"/>
      <c r="AS338" s="296">
        <f t="shared" si="82"/>
        <v>65000</v>
      </c>
      <c r="AT338" s="297">
        <f t="shared" si="83"/>
        <v>-65000</v>
      </c>
      <c r="AU338" s="297">
        <f t="shared" si="80"/>
        <v>-65000</v>
      </c>
      <c r="AV338" s="297">
        <f t="shared" si="81"/>
        <v>0</v>
      </c>
      <c r="AW338" s="297">
        <f t="shared" si="84"/>
        <v>-32500</v>
      </c>
      <c r="AX338" s="297">
        <f t="shared" si="85"/>
        <v>-29250</v>
      </c>
      <c r="AY338" s="298">
        <v>50000</v>
      </c>
      <c r="AZ338" s="298"/>
      <c r="BA338" s="297">
        <f t="shared" si="86"/>
        <v>-79250</v>
      </c>
      <c r="BB338" s="278"/>
      <c r="BC338" s="255"/>
      <c r="BD338" s="255"/>
    </row>
    <row r="339" spans="1:56" s="256" customFormat="1" ht="20" hidden="1" customHeight="1">
      <c r="A339" s="260">
        <v>339</v>
      </c>
      <c r="B339" s="277"/>
      <c r="C339" s="278"/>
      <c r="D339" s="278"/>
      <c r="E339" s="278"/>
      <c r="F339" s="278"/>
      <c r="G339" s="279" t="e">
        <f>"YB"&amp;RIGHT(#REF!,6)</f>
        <v>#REF!</v>
      </c>
      <c r="H339" s="280"/>
      <c r="I339" s="280"/>
      <c r="J339" s="281">
        <f t="shared" si="78"/>
        <v>0</v>
      </c>
      <c r="K339" s="282"/>
      <c r="L339" s="282"/>
      <c r="M339" s="339"/>
      <c r="N339" s="278"/>
      <c r="O339" s="278"/>
      <c r="P339" s="283"/>
      <c r="Q339" s="278"/>
      <c r="R339" s="284"/>
      <c r="S339" s="282"/>
      <c r="T339" s="285"/>
      <c r="U339" s="286"/>
      <c r="V339" s="287"/>
      <c r="W339" s="288"/>
      <c r="X339" s="286"/>
      <c r="Y339" s="289"/>
      <c r="Z339" s="289"/>
      <c r="AA339" s="290">
        <f t="shared" si="77"/>
        <v>0</v>
      </c>
      <c r="AB339" s="291">
        <f t="shared" si="76"/>
        <v>0</v>
      </c>
      <c r="AC339" s="292">
        <f t="shared" si="79"/>
        <v>0</v>
      </c>
      <c r="AD339" s="293"/>
      <c r="AE339" s="293"/>
      <c r="AF339" s="294"/>
      <c r="AG339" s="291"/>
      <c r="AH339" s="295"/>
      <c r="AI339" s="291"/>
      <c r="AJ339" s="295"/>
      <c r="AK339" s="291"/>
      <c r="AL339" s="291"/>
      <c r="AM339" s="291"/>
      <c r="AN339" s="296">
        <v>35000</v>
      </c>
      <c r="AO339" s="296">
        <v>30000</v>
      </c>
      <c r="AP339" s="296"/>
      <c r="AQ339" s="296"/>
      <c r="AR339" s="296"/>
      <c r="AS339" s="296">
        <f t="shared" si="82"/>
        <v>65000</v>
      </c>
      <c r="AT339" s="297">
        <f t="shared" si="83"/>
        <v>-65000</v>
      </c>
      <c r="AU339" s="297">
        <f t="shared" si="80"/>
        <v>-65000</v>
      </c>
      <c r="AV339" s="297">
        <f t="shared" si="81"/>
        <v>0</v>
      </c>
      <c r="AW339" s="297">
        <f t="shared" si="84"/>
        <v>-32500</v>
      </c>
      <c r="AX339" s="297">
        <f t="shared" si="85"/>
        <v>-29250</v>
      </c>
      <c r="AY339" s="298">
        <v>50000</v>
      </c>
      <c r="AZ339" s="298"/>
      <c r="BA339" s="297">
        <f t="shared" si="86"/>
        <v>-79250</v>
      </c>
      <c r="BB339" s="278"/>
      <c r="BC339" s="255"/>
      <c r="BD339" s="255"/>
    </row>
    <row r="340" spans="1:56" s="256" customFormat="1" ht="20" hidden="1" customHeight="1">
      <c r="A340" s="260">
        <v>340</v>
      </c>
      <c r="B340" s="277"/>
      <c r="C340" s="278"/>
      <c r="D340" s="278"/>
      <c r="E340" s="278"/>
      <c r="F340" s="278"/>
      <c r="G340" s="279" t="e">
        <f>"YB"&amp;RIGHT(#REF!,6)</f>
        <v>#REF!</v>
      </c>
      <c r="H340" s="280"/>
      <c r="I340" s="280"/>
      <c r="J340" s="281">
        <f t="shared" si="78"/>
        <v>0</v>
      </c>
      <c r="K340" s="282"/>
      <c r="L340" s="282"/>
      <c r="M340" s="339"/>
      <c r="N340" s="278"/>
      <c r="O340" s="278"/>
      <c r="P340" s="283"/>
      <c r="Q340" s="278"/>
      <c r="R340" s="284"/>
      <c r="S340" s="282"/>
      <c r="T340" s="285"/>
      <c r="U340" s="286"/>
      <c r="V340" s="287"/>
      <c r="W340" s="288"/>
      <c r="X340" s="286"/>
      <c r="Y340" s="289"/>
      <c r="Z340" s="289"/>
      <c r="AA340" s="290">
        <f t="shared" si="77"/>
        <v>0</v>
      </c>
      <c r="AB340" s="291">
        <f t="shared" si="76"/>
        <v>0</v>
      </c>
      <c r="AC340" s="292">
        <f t="shared" si="79"/>
        <v>0</v>
      </c>
      <c r="AD340" s="293"/>
      <c r="AE340" s="293"/>
      <c r="AF340" s="294"/>
      <c r="AG340" s="291"/>
      <c r="AH340" s="295"/>
      <c r="AI340" s="291"/>
      <c r="AJ340" s="295"/>
      <c r="AK340" s="291"/>
      <c r="AL340" s="291"/>
      <c r="AM340" s="291"/>
      <c r="AN340" s="296">
        <v>35000</v>
      </c>
      <c r="AO340" s="296">
        <v>30000</v>
      </c>
      <c r="AP340" s="296"/>
      <c r="AQ340" s="296"/>
      <c r="AR340" s="296"/>
      <c r="AS340" s="296">
        <f t="shared" si="82"/>
        <v>65000</v>
      </c>
      <c r="AT340" s="297">
        <f t="shared" si="83"/>
        <v>-65000</v>
      </c>
      <c r="AU340" s="297">
        <f t="shared" si="80"/>
        <v>-65000</v>
      </c>
      <c r="AV340" s="297">
        <f t="shared" si="81"/>
        <v>0</v>
      </c>
      <c r="AW340" s="297">
        <f t="shared" si="84"/>
        <v>-32500</v>
      </c>
      <c r="AX340" s="297">
        <f t="shared" si="85"/>
        <v>-29250</v>
      </c>
      <c r="AY340" s="298">
        <v>50000</v>
      </c>
      <c r="AZ340" s="298"/>
      <c r="BA340" s="297">
        <f t="shared" si="86"/>
        <v>-79250</v>
      </c>
      <c r="BB340" s="278"/>
      <c r="BC340" s="255"/>
      <c r="BD340" s="255"/>
    </row>
    <row r="341" spans="1:56" s="256" customFormat="1" ht="20" hidden="1" customHeight="1">
      <c r="A341" s="260">
        <v>341</v>
      </c>
      <c r="B341" s="277"/>
      <c r="C341" s="278"/>
      <c r="D341" s="278"/>
      <c r="E341" s="278"/>
      <c r="F341" s="278"/>
      <c r="G341" s="279" t="e">
        <f>"YB"&amp;RIGHT(#REF!,6)</f>
        <v>#REF!</v>
      </c>
      <c r="H341" s="280"/>
      <c r="I341" s="280"/>
      <c r="J341" s="281">
        <f t="shared" si="78"/>
        <v>0</v>
      </c>
      <c r="K341" s="282"/>
      <c r="L341" s="282"/>
      <c r="M341" s="339"/>
      <c r="N341" s="278"/>
      <c r="O341" s="278"/>
      <c r="P341" s="283"/>
      <c r="Q341" s="278"/>
      <c r="R341" s="284"/>
      <c r="S341" s="282"/>
      <c r="T341" s="285"/>
      <c r="U341" s="286"/>
      <c r="V341" s="287"/>
      <c r="W341" s="288"/>
      <c r="X341" s="286"/>
      <c r="Y341" s="289"/>
      <c r="Z341" s="289"/>
      <c r="AA341" s="290">
        <f t="shared" si="77"/>
        <v>0</v>
      </c>
      <c r="AB341" s="291">
        <f t="shared" si="76"/>
        <v>0</v>
      </c>
      <c r="AC341" s="292">
        <f t="shared" si="79"/>
        <v>0</v>
      </c>
      <c r="AD341" s="293"/>
      <c r="AE341" s="293"/>
      <c r="AF341" s="294"/>
      <c r="AG341" s="291"/>
      <c r="AH341" s="295"/>
      <c r="AI341" s="291"/>
      <c r="AJ341" s="295"/>
      <c r="AK341" s="291"/>
      <c r="AL341" s="291"/>
      <c r="AM341" s="291"/>
      <c r="AN341" s="296">
        <v>35000</v>
      </c>
      <c r="AO341" s="296">
        <v>30000</v>
      </c>
      <c r="AP341" s="296"/>
      <c r="AQ341" s="296"/>
      <c r="AR341" s="296"/>
      <c r="AS341" s="296">
        <f t="shared" si="82"/>
        <v>65000</v>
      </c>
      <c r="AT341" s="297">
        <f t="shared" si="83"/>
        <v>-65000</v>
      </c>
      <c r="AU341" s="297">
        <f t="shared" si="80"/>
        <v>-65000</v>
      </c>
      <c r="AV341" s="297">
        <f t="shared" si="81"/>
        <v>0</v>
      </c>
      <c r="AW341" s="297">
        <f t="shared" si="84"/>
        <v>-32500</v>
      </c>
      <c r="AX341" s="297">
        <f t="shared" si="85"/>
        <v>-29250</v>
      </c>
      <c r="AY341" s="298">
        <v>50000</v>
      </c>
      <c r="AZ341" s="298"/>
      <c r="BA341" s="297">
        <f t="shared" si="86"/>
        <v>-79250</v>
      </c>
      <c r="BB341" s="278"/>
      <c r="BC341" s="255"/>
      <c r="BD341" s="255"/>
    </row>
    <row r="342" spans="1:56" s="256" customFormat="1" ht="20" hidden="1" customHeight="1">
      <c r="A342" s="260">
        <v>342</v>
      </c>
      <c r="B342" s="277"/>
      <c r="C342" s="278"/>
      <c r="D342" s="278"/>
      <c r="E342" s="278"/>
      <c r="F342" s="278"/>
      <c r="G342" s="279" t="e">
        <f>"YB"&amp;RIGHT(#REF!,6)</f>
        <v>#REF!</v>
      </c>
      <c r="H342" s="280"/>
      <c r="I342" s="280"/>
      <c r="J342" s="281">
        <f t="shared" si="78"/>
        <v>0</v>
      </c>
      <c r="K342" s="282"/>
      <c r="L342" s="282"/>
      <c r="M342" s="339"/>
      <c r="N342" s="278"/>
      <c r="O342" s="278"/>
      <c r="P342" s="283"/>
      <c r="Q342" s="278"/>
      <c r="R342" s="284"/>
      <c r="S342" s="282"/>
      <c r="T342" s="285"/>
      <c r="U342" s="286"/>
      <c r="V342" s="287"/>
      <c r="W342" s="288"/>
      <c r="X342" s="286"/>
      <c r="Y342" s="289"/>
      <c r="Z342" s="289"/>
      <c r="AA342" s="290">
        <f t="shared" si="77"/>
        <v>0</v>
      </c>
      <c r="AB342" s="291">
        <f t="shared" si="76"/>
        <v>0</v>
      </c>
      <c r="AC342" s="292">
        <f t="shared" si="79"/>
        <v>0</v>
      </c>
      <c r="AD342" s="293"/>
      <c r="AE342" s="293"/>
      <c r="AF342" s="294"/>
      <c r="AG342" s="291"/>
      <c r="AH342" s="295"/>
      <c r="AI342" s="291"/>
      <c r="AJ342" s="295"/>
      <c r="AK342" s="291"/>
      <c r="AL342" s="291"/>
      <c r="AM342" s="291"/>
      <c r="AN342" s="296">
        <v>35000</v>
      </c>
      <c r="AO342" s="296">
        <v>30000</v>
      </c>
      <c r="AP342" s="296"/>
      <c r="AQ342" s="296"/>
      <c r="AR342" s="296"/>
      <c r="AS342" s="296">
        <f t="shared" si="82"/>
        <v>65000</v>
      </c>
      <c r="AT342" s="297">
        <f t="shared" si="83"/>
        <v>-65000</v>
      </c>
      <c r="AU342" s="297">
        <f t="shared" si="80"/>
        <v>-65000</v>
      </c>
      <c r="AV342" s="297">
        <f t="shared" si="81"/>
        <v>0</v>
      </c>
      <c r="AW342" s="297">
        <f t="shared" si="84"/>
        <v>-32500</v>
      </c>
      <c r="AX342" s="297">
        <f t="shared" si="85"/>
        <v>-29250</v>
      </c>
      <c r="AY342" s="298">
        <v>50000</v>
      </c>
      <c r="AZ342" s="298"/>
      <c r="BA342" s="297">
        <f t="shared" si="86"/>
        <v>-79250</v>
      </c>
      <c r="BB342" s="278"/>
      <c r="BC342" s="255"/>
      <c r="BD342" s="255"/>
    </row>
    <row r="343" spans="1:56" s="256" customFormat="1" ht="20" hidden="1" customHeight="1">
      <c r="A343" s="260">
        <v>343</v>
      </c>
      <c r="B343" s="277"/>
      <c r="C343" s="278"/>
      <c r="D343" s="278"/>
      <c r="E343" s="278"/>
      <c r="F343" s="278"/>
      <c r="G343" s="279" t="e">
        <f>"YB"&amp;RIGHT(#REF!,6)</f>
        <v>#REF!</v>
      </c>
      <c r="H343" s="280"/>
      <c r="I343" s="280"/>
      <c r="J343" s="281">
        <f t="shared" si="78"/>
        <v>0</v>
      </c>
      <c r="K343" s="282"/>
      <c r="L343" s="282"/>
      <c r="M343" s="339"/>
      <c r="N343" s="278"/>
      <c r="O343" s="278"/>
      <c r="P343" s="283"/>
      <c r="Q343" s="278"/>
      <c r="R343" s="284"/>
      <c r="S343" s="282"/>
      <c r="T343" s="285"/>
      <c r="U343" s="286"/>
      <c r="V343" s="287"/>
      <c r="W343" s="288"/>
      <c r="X343" s="286"/>
      <c r="Y343" s="289"/>
      <c r="Z343" s="289"/>
      <c r="AA343" s="290">
        <f t="shared" si="77"/>
        <v>0</v>
      </c>
      <c r="AB343" s="291">
        <f t="shared" si="76"/>
        <v>0</v>
      </c>
      <c r="AC343" s="292">
        <f t="shared" si="79"/>
        <v>0</v>
      </c>
      <c r="AD343" s="293"/>
      <c r="AE343" s="293"/>
      <c r="AF343" s="294"/>
      <c r="AG343" s="291"/>
      <c r="AH343" s="295"/>
      <c r="AI343" s="291"/>
      <c r="AJ343" s="295"/>
      <c r="AK343" s="291"/>
      <c r="AL343" s="291"/>
      <c r="AM343" s="291"/>
      <c r="AN343" s="296">
        <v>35000</v>
      </c>
      <c r="AO343" s="296">
        <v>30000</v>
      </c>
      <c r="AP343" s="296"/>
      <c r="AQ343" s="296"/>
      <c r="AR343" s="296"/>
      <c r="AS343" s="296">
        <f t="shared" si="82"/>
        <v>65000</v>
      </c>
      <c r="AT343" s="297">
        <f t="shared" si="83"/>
        <v>-65000</v>
      </c>
      <c r="AU343" s="297">
        <f t="shared" si="80"/>
        <v>-65000</v>
      </c>
      <c r="AV343" s="297">
        <f t="shared" si="81"/>
        <v>0</v>
      </c>
      <c r="AW343" s="297">
        <f t="shared" si="84"/>
        <v>-32500</v>
      </c>
      <c r="AX343" s="297">
        <f t="shared" si="85"/>
        <v>-29250</v>
      </c>
      <c r="AY343" s="298">
        <v>50000</v>
      </c>
      <c r="AZ343" s="298"/>
      <c r="BA343" s="297">
        <f t="shared" si="86"/>
        <v>-79250</v>
      </c>
      <c r="BB343" s="278"/>
      <c r="BC343" s="255"/>
      <c r="BD343" s="255"/>
    </row>
    <row r="344" spans="1:56" s="256" customFormat="1" ht="20" hidden="1" customHeight="1">
      <c r="A344" s="260">
        <v>344</v>
      </c>
      <c r="B344" s="277"/>
      <c r="C344" s="278"/>
      <c r="D344" s="278"/>
      <c r="E344" s="278"/>
      <c r="F344" s="278"/>
      <c r="G344" s="279" t="e">
        <f>"YB"&amp;RIGHT(#REF!,6)</f>
        <v>#REF!</v>
      </c>
      <c r="H344" s="280"/>
      <c r="I344" s="280"/>
      <c r="J344" s="281">
        <f t="shared" si="78"/>
        <v>0</v>
      </c>
      <c r="K344" s="282"/>
      <c r="L344" s="282"/>
      <c r="M344" s="339"/>
      <c r="N344" s="278"/>
      <c r="O344" s="278"/>
      <c r="P344" s="283"/>
      <c r="Q344" s="278"/>
      <c r="R344" s="284"/>
      <c r="S344" s="282"/>
      <c r="T344" s="285"/>
      <c r="U344" s="286"/>
      <c r="V344" s="287"/>
      <c r="W344" s="288"/>
      <c r="X344" s="286"/>
      <c r="Y344" s="289"/>
      <c r="Z344" s="289"/>
      <c r="AA344" s="290">
        <f t="shared" si="77"/>
        <v>0</v>
      </c>
      <c r="AB344" s="291">
        <f t="shared" si="76"/>
        <v>0</v>
      </c>
      <c r="AC344" s="292">
        <f t="shared" si="79"/>
        <v>0</v>
      </c>
      <c r="AD344" s="293"/>
      <c r="AE344" s="293"/>
      <c r="AF344" s="294"/>
      <c r="AG344" s="291"/>
      <c r="AH344" s="295"/>
      <c r="AI344" s="291"/>
      <c r="AJ344" s="295"/>
      <c r="AK344" s="291"/>
      <c r="AL344" s="291"/>
      <c r="AM344" s="291"/>
      <c r="AN344" s="296">
        <v>35000</v>
      </c>
      <c r="AO344" s="296">
        <v>30000</v>
      </c>
      <c r="AP344" s="296"/>
      <c r="AQ344" s="296"/>
      <c r="AR344" s="296"/>
      <c r="AS344" s="296">
        <f t="shared" si="82"/>
        <v>65000</v>
      </c>
      <c r="AT344" s="297">
        <f t="shared" si="83"/>
        <v>-65000</v>
      </c>
      <c r="AU344" s="297">
        <f t="shared" si="80"/>
        <v>-65000</v>
      </c>
      <c r="AV344" s="297">
        <f t="shared" si="81"/>
        <v>0</v>
      </c>
      <c r="AW344" s="297">
        <f t="shared" si="84"/>
        <v>-32500</v>
      </c>
      <c r="AX344" s="297">
        <f t="shared" si="85"/>
        <v>-29250</v>
      </c>
      <c r="AY344" s="298">
        <v>50000</v>
      </c>
      <c r="AZ344" s="298"/>
      <c r="BA344" s="297">
        <f t="shared" si="86"/>
        <v>-79250</v>
      </c>
      <c r="BB344" s="278"/>
      <c r="BC344" s="255"/>
      <c r="BD344" s="255"/>
    </row>
    <row r="345" spans="1:56" s="256" customFormat="1" ht="20" hidden="1" customHeight="1">
      <c r="A345" s="260">
        <v>345</v>
      </c>
      <c r="B345" s="277"/>
      <c r="C345" s="278"/>
      <c r="D345" s="278"/>
      <c r="E345" s="278"/>
      <c r="F345" s="278"/>
      <c r="G345" s="279" t="e">
        <f>"YB"&amp;RIGHT(#REF!,6)</f>
        <v>#REF!</v>
      </c>
      <c r="H345" s="280"/>
      <c r="I345" s="280"/>
      <c r="J345" s="281">
        <f t="shared" si="78"/>
        <v>0</v>
      </c>
      <c r="K345" s="282"/>
      <c r="L345" s="282"/>
      <c r="M345" s="339"/>
      <c r="N345" s="278"/>
      <c r="O345" s="278"/>
      <c r="P345" s="283"/>
      <c r="Q345" s="278"/>
      <c r="R345" s="284"/>
      <c r="S345" s="282"/>
      <c r="T345" s="285"/>
      <c r="U345" s="286"/>
      <c r="V345" s="287"/>
      <c r="W345" s="288"/>
      <c r="X345" s="286"/>
      <c r="Y345" s="289"/>
      <c r="Z345" s="289"/>
      <c r="AA345" s="290">
        <f t="shared" si="77"/>
        <v>0</v>
      </c>
      <c r="AB345" s="291">
        <f t="shared" si="76"/>
        <v>0</v>
      </c>
      <c r="AC345" s="292">
        <f t="shared" si="79"/>
        <v>0</v>
      </c>
      <c r="AD345" s="293"/>
      <c r="AE345" s="293"/>
      <c r="AF345" s="294"/>
      <c r="AG345" s="291"/>
      <c r="AH345" s="295"/>
      <c r="AI345" s="291"/>
      <c r="AJ345" s="295"/>
      <c r="AK345" s="291"/>
      <c r="AL345" s="291"/>
      <c r="AM345" s="291"/>
      <c r="AN345" s="296">
        <v>35000</v>
      </c>
      <c r="AO345" s="296">
        <v>30000</v>
      </c>
      <c r="AP345" s="296"/>
      <c r="AQ345" s="296"/>
      <c r="AR345" s="296"/>
      <c r="AS345" s="296">
        <f t="shared" si="82"/>
        <v>65000</v>
      </c>
      <c r="AT345" s="297">
        <f t="shared" si="83"/>
        <v>-65000</v>
      </c>
      <c r="AU345" s="297">
        <f t="shared" si="80"/>
        <v>-65000</v>
      </c>
      <c r="AV345" s="297">
        <f t="shared" si="81"/>
        <v>0</v>
      </c>
      <c r="AW345" s="297">
        <f t="shared" si="84"/>
        <v>-32500</v>
      </c>
      <c r="AX345" s="297">
        <f t="shared" si="85"/>
        <v>-29250</v>
      </c>
      <c r="AY345" s="298">
        <v>50000</v>
      </c>
      <c r="AZ345" s="298"/>
      <c r="BA345" s="297">
        <f t="shared" si="86"/>
        <v>-79250</v>
      </c>
      <c r="BB345" s="278"/>
      <c r="BC345" s="255"/>
      <c r="BD345" s="255"/>
    </row>
    <row r="346" spans="1:56" s="256" customFormat="1" ht="20" hidden="1" customHeight="1">
      <c r="A346" s="260">
        <v>346</v>
      </c>
      <c r="B346" s="277"/>
      <c r="C346" s="278"/>
      <c r="D346" s="278"/>
      <c r="E346" s="278"/>
      <c r="F346" s="278"/>
      <c r="G346" s="279" t="e">
        <f>"YB"&amp;RIGHT(#REF!,6)</f>
        <v>#REF!</v>
      </c>
      <c r="H346" s="280"/>
      <c r="I346" s="280"/>
      <c r="J346" s="281">
        <f t="shared" si="78"/>
        <v>0</v>
      </c>
      <c r="K346" s="282"/>
      <c r="L346" s="282"/>
      <c r="M346" s="339"/>
      <c r="N346" s="278"/>
      <c r="O346" s="278"/>
      <c r="P346" s="283"/>
      <c r="Q346" s="278"/>
      <c r="R346" s="284"/>
      <c r="S346" s="282"/>
      <c r="T346" s="285"/>
      <c r="U346" s="286"/>
      <c r="V346" s="287"/>
      <c r="W346" s="288"/>
      <c r="X346" s="286"/>
      <c r="Y346" s="289"/>
      <c r="Z346" s="289"/>
      <c r="AA346" s="290">
        <f t="shared" si="77"/>
        <v>0</v>
      </c>
      <c r="AB346" s="291">
        <f t="shared" si="76"/>
        <v>0</v>
      </c>
      <c r="AC346" s="292">
        <f t="shared" si="79"/>
        <v>0</v>
      </c>
      <c r="AD346" s="293"/>
      <c r="AE346" s="293"/>
      <c r="AF346" s="294"/>
      <c r="AG346" s="291"/>
      <c r="AH346" s="295"/>
      <c r="AI346" s="291"/>
      <c r="AJ346" s="295"/>
      <c r="AK346" s="291"/>
      <c r="AL346" s="291"/>
      <c r="AM346" s="291"/>
      <c r="AN346" s="296">
        <v>35000</v>
      </c>
      <c r="AO346" s="296">
        <v>30000</v>
      </c>
      <c r="AP346" s="296"/>
      <c r="AQ346" s="296"/>
      <c r="AR346" s="296"/>
      <c r="AS346" s="296">
        <f t="shared" si="82"/>
        <v>65000</v>
      </c>
      <c r="AT346" s="297">
        <f t="shared" si="83"/>
        <v>-65000</v>
      </c>
      <c r="AU346" s="297">
        <f t="shared" si="80"/>
        <v>-65000</v>
      </c>
      <c r="AV346" s="297">
        <f t="shared" si="81"/>
        <v>0</v>
      </c>
      <c r="AW346" s="297">
        <f t="shared" si="84"/>
        <v>-32500</v>
      </c>
      <c r="AX346" s="297">
        <f t="shared" si="85"/>
        <v>-29250</v>
      </c>
      <c r="AY346" s="298">
        <v>50000</v>
      </c>
      <c r="AZ346" s="298"/>
      <c r="BA346" s="297">
        <f t="shared" si="86"/>
        <v>-79250</v>
      </c>
      <c r="BB346" s="278"/>
      <c r="BC346" s="255"/>
      <c r="BD346" s="255"/>
    </row>
    <row r="347" spans="1:56" s="256" customFormat="1" ht="20" hidden="1" customHeight="1">
      <c r="A347" s="260">
        <v>347</v>
      </c>
      <c r="B347" s="277"/>
      <c r="C347" s="278"/>
      <c r="D347" s="278"/>
      <c r="E347" s="278"/>
      <c r="F347" s="278"/>
      <c r="G347" s="279" t="e">
        <f>"YB"&amp;RIGHT(#REF!,6)</f>
        <v>#REF!</v>
      </c>
      <c r="H347" s="280"/>
      <c r="I347" s="280"/>
      <c r="J347" s="281">
        <f t="shared" si="78"/>
        <v>0</v>
      </c>
      <c r="K347" s="282"/>
      <c r="L347" s="282"/>
      <c r="M347" s="339"/>
      <c r="N347" s="278"/>
      <c r="O347" s="278"/>
      <c r="P347" s="283"/>
      <c r="Q347" s="278"/>
      <c r="R347" s="284"/>
      <c r="S347" s="282"/>
      <c r="T347" s="285"/>
      <c r="U347" s="286"/>
      <c r="V347" s="287"/>
      <c r="W347" s="288"/>
      <c r="X347" s="286"/>
      <c r="Y347" s="289"/>
      <c r="Z347" s="289"/>
      <c r="AA347" s="290">
        <f t="shared" si="77"/>
        <v>0</v>
      </c>
      <c r="AB347" s="291">
        <f t="shared" si="76"/>
        <v>0</v>
      </c>
      <c r="AC347" s="292">
        <f t="shared" si="79"/>
        <v>0</v>
      </c>
      <c r="AD347" s="293"/>
      <c r="AE347" s="293"/>
      <c r="AF347" s="294"/>
      <c r="AG347" s="291"/>
      <c r="AH347" s="295"/>
      <c r="AI347" s="291"/>
      <c r="AJ347" s="295"/>
      <c r="AK347" s="291"/>
      <c r="AL347" s="291"/>
      <c r="AM347" s="291"/>
      <c r="AN347" s="296">
        <v>35000</v>
      </c>
      <c r="AO347" s="296">
        <v>30000</v>
      </c>
      <c r="AP347" s="296"/>
      <c r="AQ347" s="296"/>
      <c r="AR347" s="296"/>
      <c r="AS347" s="296">
        <f t="shared" si="82"/>
        <v>65000</v>
      </c>
      <c r="AT347" s="297">
        <f t="shared" si="83"/>
        <v>-65000</v>
      </c>
      <c r="AU347" s="297">
        <f t="shared" si="80"/>
        <v>-65000</v>
      </c>
      <c r="AV347" s="297">
        <f t="shared" si="81"/>
        <v>0</v>
      </c>
      <c r="AW347" s="297">
        <f t="shared" si="84"/>
        <v>-32500</v>
      </c>
      <c r="AX347" s="297">
        <f t="shared" si="85"/>
        <v>-29250</v>
      </c>
      <c r="AY347" s="298">
        <v>50000</v>
      </c>
      <c r="AZ347" s="298"/>
      <c r="BA347" s="297">
        <f t="shared" si="86"/>
        <v>-79250</v>
      </c>
      <c r="BB347" s="278"/>
      <c r="BC347" s="255"/>
      <c r="BD347" s="255"/>
    </row>
    <row r="348" spans="1:56" s="256" customFormat="1" ht="20" hidden="1" customHeight="1">
      <c r="A348" s="260">
        <v>348</v>
      </c>
      <c r="B348" s="277"/>
      <c r="C348" s="278"/>
      <c r="D348" s="278"/>
      <c r="E348" s="278"/>
      <c r="F348" s="278"/>
      <c r="G348" s="279" t="e">
        <f>"YB"&amp;RIGHT(#REF!,6)</f>
        <v>#REF!</v>
      </c>
      <c r="H348" s="280"/>
      <c r="I348" s="280"/>
      <c r="J348" s="281">
        <f t="shared" si="78"/>
        <v>0</v>
      </c>
      <c r="K348" s="282"/>
      <c r="L348" s="282"/>
      <c r="M348" s="339"/>
      <c r="N348" s="278"/>
      <c r="O348" s="278"/>
      <c r="P348" s="283"/>
      <c r="Q348" s="278"/>
      <c r="R348" s="284"/>
      <c r="S348" s="282"/>
      <c r="T348" s="285"/>
      <c r="U348" s="286"/>
      <c r="V348" s="287"/>
      <c r="W348" s="288"/>
      <c r="X348" s="286"/>
      <c r="Y348" s="289"/>
      <c r="Z348" s="289"/>
      <c r="AA348" s="290">
        <f t="shared" si="77"/>
        <v>0</v>
      </c>
      <c r="AB348" s="291">
        <f t="shared" si="76"/>
        <v>0</v>
      </c>
      <c r="AC348" s="292">
        <f t="shared" si="79"/>
        <v>0</v>
      </c>
      <c r="AD348" s="293"/>
      <c r="AE348" s="293"/>
      <c r="AF348" s="294"/>
      <c r="AG348" s="291"/>
      <c r="AH348" s="295"/>
      <c r="AI348" s="291"/>
      <c r="AJ348" s="295"/>
      <c r="AK348" s="291"/>
      <c r="AL348" s="291"/>
      <c r="AM348" s="291"/>
      <c r="AN348" s="296">
        <v>35000</v>
      </c>
      <c r="AO348" s="296">
        <v>30000</v>
      </c>
      <c r="AP348" s="296"/>
      <c r="AQ348" s="296"/>
      <c r="AR348" s="296"/>
      <c r="AS348" s="296">
        <f t="shared" si="82"/>
        <v>65000</v>
      </c>
      <c r="AT348" s="297">
        <f t="shared" si="83"/>
        <v>-65000</v>
      </c>
      <c r="AU348" s="297">
        <f t="shared" si="80"/>
        <v>-65000</v>
      </c>
      <c r="AV348" s="297">
        <f t="shared" si="81"/>
        <v>0</v>
      </c>
      <c r="AW348" s="297">
        <f t="shared" si="84"/>
        <v>-32500</v>
      </c>
      <c r="AX348" s="297">
        <f t="shared" si="85"/>
        <v>-29250</v>
      </c>
      <c r="AY348" s="298">
        <v>50000</v>
      </c>
      <c r="AZ348" s="298"/>
      <c r="BA348" s="297">
        <f t="shared" si="86"/>
        <v>-79250</v>
      </c>
      <c r="BB348" s="278"/>
      <c r="BC348" s="255"/>
      <c r="BD348" s="255"/>
    </row>
    <row r="349" spans="1:56" s="256" customFormat="1" ht="20" hidden="1" customHeight="1">
      <c r="A349" s="260">
        <v>349</v>
      </c>
      <c r="B349" s="277"/>
      <c r="C349" s="278"/>
      <c r="D349" s="278"/>
      <c r="E349" s="278"/>
      <c r="F349" s="278"/>
      <c r="G349" s="279" t="e">
        <f>"YB"&amp;RIGHT(#REF!,6)</f>
        <v>#REF!</v>
      </c>
      <c r="H349" s="280"/>
      <c r="I349" s="280"/>
      <c r="J349" s="281">
        <f t="shared" si="78"/>
        <v>0</v>
      </c>
      <c r="K349" s="282"/>
      <c r="L349" s="282"/>
      <c r="M349" s="339"/>
      <c r="N349" s="278"/>
      <c r="O349" s="278"/>
      <c r="P349" s="283"/>
      <c r="Q349" s="278"/>
      <c r="R349" s="284"/>
      <c r="S349" s="282"/>
      <c r="T349" s="285"/>
      <c r="U349" s="286"/>
      <c r="V349" s="287"/>
      <c r="W349" s="288"/>
      <c r="X349" s="286"/>
      <c r="Y349" s="289"/>
      <c r="Z349" s="289"/>
      <c r="AA349" s="290">
        <f t="shared" si="77"/>
        <v>0</v>
      </c>
      <c r="AB349" s="291">
        <f t="shared" si="76"/>
        <v>0</v>
      </c>
      <c r="AC349" s="292">
        <f t="shared" si="79"/>
        <v>0</v>
      </c>
      <c r="AD349" s="293"/>
      <c r="AE349" s="293"/>
      <c r="AF349" s="294"/>
      <c r="AG349" s="291"/>
      <c r="AH349" s="295"/>
      <c r="AI349" s="291"/>
      <c r="AJ349" s="295"/>
      <c r="AK349" s="291"/>
      <c r="AL349" s="291"/>
      <c r="AM349" s="291"/>
      <c r="AN349" s="296">
        <v>35000</v>
      </c>
      <c r="AO349" s="296">
        <v>30000</v>
      </c>
      <c r="AP349" s="296"/>
      <c r="AQ349" s="296"/>
      <c r="AR349" s="296"/>
      <c r="AS349" s="296">
        <f t="shared" si="82"/>
        <v>65000</v>
      </c>
      <c r="AT349" s="297">
        <f t="shared" si="83"/>
        <v>-65000</v>
      </c>
      <c r="AU349" s="297">
        <f t="shared" si="80"/>
        <v>-65000</v>
      </c>
      <c r="AV349" s="297">
        <f t="shared" si="81"/>
        <v>0</v>
      </c>
      <c r="AW349" s="297">
        <f t="shared" si="84"/>
        <v>-32500</v>
      </c>
      <c r="AX349" s="297">
        <f t="shared" si="85"/>
        <v>-29250</v>
      </c>
      <c r="AY349" s="298">
        <v>50000</v>
      </c>
      <c r="AZ349" s="298"/>
      <c r="BA349" s="297">
        <f t="shared" si="86"/>
        <v>-79250</v>
      </c>
      <c r="BB349" s="278"/>
      <c r="BC349" s="255"/>
      <c r="BD349" s="255"/>
    </row>
    <row r="350" spans="1:56" s="256" customFormat="1" ht="20" hidden="1" customHeight="1">
      <c r="A350" s="260">
        <v>350</v>
      </c>
      <c r="B350" s="277"/>
      <c r="C350" s="278"/>
      <c r="D350" s="278"/>
      <c r="E350" s="278"/>
      <c r="F350" s="278"/>
      <c r="G350" s="279" t="e">
        <f>"YB"&amp;RIGHT(#REF!,6)</f>
        <v>#REF!</v>
      </c>
      <c r="H350" s="280"/>
      <c r="I350" s="280"/>
      <c r="J350" s="281">
        <f t="shared" si="78"/>
        <v>0</v>
      </c>
      <c r="K350" s="282"/>
      <c r="L350" s="282"/>
      <c r="M350" s="339"/>
      <c r="N350" s="278"/>
      <c r="O350" s="278"/>
      <c r="P350" s="283"/>
      <c r="Q350" s="278"/>
      <c r="R350" s="284"/>
      <c r="S350" s="282"/>
      <c r="T350" s="285"/>
      <c r="U350" s="286"/>
      <c r="V350" s="287"/>
      <c r="W350" s="288"/>
      <c r="X350" s="286"/>
      <c r="Y350" s="289"/>
      <c r="Z350" s="289"/>
      <c r="AA350" s="290">
        <f t="shared" si="77"/>
        <v>0</v>
      </c>
      <c r="AB350" s="291">
        <f t="shared" ref="AB350:AB413" si="87">SUM(AG350+AI350+AK350+AL350-AM350)</f>
        <v>0</v>
      </c>
      <c r="AC350" s="292">
        <f t="shared" si="79"/>
        <v>0</v>
      </c>
      <c r="AD350" s="293"/>
      <c r="AE350" s="293"/>
      <c r="AF350" s="294"/>
      <c r="AG350" s="291"/>
      <c r="AH350" s="295"/>
      <c r="AI350" s="291"/>
      <c r="AJ350" s="295"/>
      <c r="AK350" s="291"/>
      <c r="AL350" s="291"/>
      <c r="AM350" s="291"/>
      <c r="AN350" s="296">
        <v>35000</v>
      </c>
      <c r="AO350" s="296">
        <v>30000</v>
      </c>
      <c r="AP350" s="296"/>
      <c r="AQ350" s="296"/>
      <c r="AR350" s="296"/>
      <c r="AS350" s="296">
        <f t="shared" si="82"/>
        <v>65000</v>
      </c>
      <c r="AT350" s="297">
        <f t="shared" si="83"/>
        <v>-65000</v>
      </c>
      <c r="AU350" s="297">
        <f t="shared" si="80"/>
        <v>-65000</v>
      </c>
      <c r="AV350" s="297">
        <f t="shared" si="81"/>
        <v>0</v>
      </c>
      <c r="AW350" s="297">
        <f t="shared" si="84"/>
        <v>-32500</v>
      </c>
      <c r="AX350" s="297">
        <f t="shared" si="85"/>
        <v>-29250</v>
      </c>
      <c r="AY350" s="298">
        <v>50000</v>
      </c>
      <c r="AZ350" s="298"/>
      <c r="BA350" s="297">
        <f t="shared" si="86"/>
        <v>-79250</v>
      </c>
      <c r="BB350" s="278"/>
      <c r="BC350" s="255"/>
      <c r="BD350" s="255"/>
    </row>
    <row r="351" spans="1:56" s="256" customFormat="1" ht="20" hidden="1" customHeight="1">
      <c r="A351" s="260">
        <v>351</v>
      </c>
      <c r="B351" s="277"/>
      <c r="C351" s="278"/>
      <c r="D351" s="278"/>
      <c r="E351" s="278"/>
      <c r="F351" s="278"/>
      <c r="G351" s="279" t="e">
        <f>"YB"&amp;RIGHT(#REF!,6)</f>
        <v>#REF!</v>
      </c>
      <c r="H351" s="280"/>
      <c r="I351" s="280"/>
      <c r="J351" s="281">
        <f t="shared" si="78"/>
        <v>0</v>
      </c>
      <c r="K351" s="282"/>
      <c r="L351" s="282"/>
      <c r="M351" s="339"/>
      <c r="N351" s="278"/>
      <c r="O351" s="278"/>
      <c r="P351" s="283"/>
      <c r="Q351" s="278"/>
      <c r="R351" s="284"/>
      <c r="S351" s="282"/>
      <c r="T351" s="285"/>
      <c r="U351" s="286"/>
      <c r="V351" s="287"/>
      <c r="W351" s="288"/>
      <c r="X351" s="286"/>
      <c r="Y351" s="289"/>
      <c r="Z351" s="289"/>
      <c r="AA351" s="290">
        <f t="shared" si="77"/>
        <v>0</v>
      </c>
      <c r="AB351" s="291">
        <f t="shared" si="87"/>
        <v>0</v>
      </c>
      <c r="AC351" s="292">
        <f t="shared" si="79"/>
        <v>0</v>
      </c>
      <c r="AD351" s="293"/>
      <c r="AE351" s="293"/>
      <c r="AF351" s="294"/>
      <c r="AG351" s="291"/>
      <c r="AH351" s="295"/>
      <c r="AI351" s="291"/>
      <c r="AJ351" s="295"/>
      <c r="AK351" s="291"/>
      <c r="AL351" s="291"/>
      <c r="AM351" s="291"/>
      <c r="AN351" s="296">
        <v>35000</v>
      </c>
      <c r="AO351" s="296">
        <v>30000</v>
      </c>
      <c r="AP351" s="296"/>
      <c r="AQ351" s="296"/>
      <c r="AR351" s="296"/>
      <c r="AS351" s="296">
        <f t="shared" si="82"/>
        <v>65000</v>
      </c>
      <c r="AT351" s="297">
        <f t="shared" si="83"/>
        <v>-65000</v>
      </c>
      <c r="AU351" s="297">
        <f t="shared" si="80"/>
        <v>-65000</v>
      </c>
      <c r="AV351" s="297">
        <f t="shared" si="81"/>
        <v>0</v>
      </c>
      <c r="AW351" s="297">
        <f t="shared" si="84"/>
        <v>-32500</v>
      </c>
      <c r="AX351" s="297">
        <f t="shared" si="85"/>
        <v>-29250</v>
      </c>
      <c r="AY351" s="298">
        <v>50000</v>
      </c>
      <c r="AZ351" s="298"/>
      <c r="BA351" s="297">
        <f t="shared" si="86"/>
        <v>-79250</v>
      </c>
      <c r="BB351" s="278"/>
      <c r="BC351" s="255"/>
      <c r="BD351" s="255"/>
    </row>
    <row r="352" spans="1:56" s="256" customFormat="1" ht="20" hidden="1" customHeight="1">
      <c r="A352" s="260">
        <v>352</v>
      </c>
      <c r="B352" s="277"/>
      <c r="C352" s="278"/>
      <c r="D352" s="278"/>
      <c r="E352" s="278"/>
      <c r="F352" s="278"/>
      <c r="G352" s="279" t="e">
        <f>"YB"&amp;RIGHT(#REF!,6)</f>
        <v>#REF!</v>
      </c>
      <c r="H352" s="280"/>
      <c r="I352" s="280"/>
      <c r="J352" s="281">
        <f t="shared" si="78"/>
        <v>0</v>
      </c>
      <c r="K352" s="282"/>
      <c r="L352" s="282"/>
      <c r="M352" s="339"/>
      <c r="N352" s="278"/>
      <c r="O352" s="278"/>
      <c r="P352" s="283"/>
      <c r="Q352" s="278"/>
      <c r="R352" s="284"/>
      <c r="S352" s="282"/>
      <c r="T352" s="285"/>
      <c r="U352" s="286"/>
      <c r="V352" s="287"/>
      <c r="W352" s="288"/>
      <c r="X352" s="286"/>
      <c r="Y352" s="289"/>
      <c r="Z352" s="289"/>
      <c r="AA352" s="290">
        <f t="shared" si="77"/>
        <v>0</v>
      </c>
      <c r="AB352" s="291">
        <f t="shared" si="87"/>
        <v>0</v>
      </c>
      <c r="AC352" s="292">
        <f t="shared" si="79"/>
        <v>0</v>
      </c>
      <c r="AD352" s="293"/>
      <c r="AE352" s="293"/>
      <c r="AF352" s="294"/>
      <c r="AG352" s="291"/>
      <c r="AH352" s="295"/>
      <c r="AI352" s="291"/>
      <c r="AJ352" s="295"/>
      <c r="AK352" s="291"/>
      <c r="AL352" s="291"/>
      <c r="AM352" s="291"/>
      <c r="AN352" s="296">
        <v>35000</v>
      </c>
      <c r="AO352" s="296">
        <v>30000</v>
      </c>
      <c r="AP352" s="296"/>
      <c r="AQ352" s="296"/>
      <c r="AR352" s="296"/>
      <c r="AS352" s="296">
        <f t="shared" si="82"/>
        <v>65000</v>
      </c>
      <c r="AT352" s="297">
        <f t="shared" si="83"/>
        <v>-65000</v>
      </c>
      <c r="AU352" s="297">
        <f t="shared" si="80"/>
        <v>-65000</v>
      </c>
      <c r="AV352" s="297">
        <f t="shared" si="81"/>
        <v>0</v>
      </c>
      <c r="AW352" s="297">
        <f t="shared" si="84"/>
        <v>-32500</v>
      </c>
      <c r="AX352" s="297">
        <f t="shared" si="85"/>
        <v>-29250</v>
      </c>
      <c r="AY352" s="298">
        <v>50000</v>
      </c>
      <c r="AZ352" s="298"/>
      <c r="BA352" s="297">
        <f t="shared" si="86"/>
        <v>-79250</v>
      </c>
      <c r="BB352" s="278"/>
      <c r="BC352" s="255"/>
      <c r="BD352" s="255"/>
    </row>
    <row r="353" spans="1:56" s="256" customFormat="1" ht="20" hidden="1" customHeight="1">
      <c r="A353" s="260">
        <v>353</v>
      </c>
      <c r="B353" s="277"/>
      <c r="C353" s="278"/>
      <c r="D353" s="278"/>
      <c r="E353" s="278"/>
      <c r="F353" s="278"/>
      <c r="G353" s="279" t="e">
        <f>"YB"&amp;RIGHT(#REF!,6)</f>
        <v>#REF!</v>
      </c>
      <c r="H353" s="280"/>
      <c r="I353" s="280"/>
      <c r="J353" s="281">
        <f t="shared" si="78"/>
        <v>0</v>
      </c>
      <c r="K353" s="282"/>
      <c r="L353" s="282"/>
      <c r="M353" s="339"/>
      <c r="N353" s="278"/>
      <c r="O353" s="278"/>
      <c r="P353" s="283" t="s">
        <v>321</v>
      </c>
      <c r="Q353" s="278"/>
      <c r="R353" s="284"/>
      <c r="S353" s="282"/>
      <c r="T353" s="285"/>
      <c r="U353" s="286"/>
      <c r="V353" s="287"/>
      <c r="W353" s="288"/>
      <c r="X353" s="286"/>
      <c r="Y353" s="289"/>
      <c r="Z353" s="289"/>
      <c r="AA353" s="290">
        <f t="shared" si="77"/>
        <v>0</v>
      </c>
      <c r="AB353" s="291">
        <f t="shared" si="87"/>
        <v>0</v>
      </c>
      <c r="AC353" s="292">
        <f t="shared" si="79"/>
        <v>0</v>
      </c>
      <c r="AD353" s="293"/>
      <c r="AE353" s="293"/>
      <c r="AF353" s="294"/>
      <c r="AG353" s="291"/>
      <c r="AH353" s="295"/>
      <c r="AI353" s="291"/>
      <c r="AJ353" s="295"/>
      <c r="AK353" s="291"/>
      <c r="AL353" s="291"/>
      <c r="AM353" s="291"/>
      <c r="AN353" s="296">
        <v>35000</v>
      </c>
      <c r="AO353" s="296">
        <v>30000</v>
      </c>
      <c r="AP353" s="296"/>
      <c r="AQ353" s="296"/>
      <c r="AR353" s="296"/>
      <c r="AS353" s="296">
        <f t="shared" si="82"/>
        <v>65000</v>
      </c>
      <c r="AT353" s="297">
        <f t="shared" si="83"/>
        <v>-65000</v>
      </c>
      <c r="AU353" s="297">
        <f t="shared" si="80"/>
        <v>-65000</v>
      </c>
      <c r="AV353" s="297">
        <f t="shared" si="81"/>
        <v>0</v>
      </c>
      <c r="AW353" s="297">
        <f t="shared" si="84"/>
        <v>-32500</v>
      </c>
      <c r="AX353" s="297">
        <f t="shared" si="85"/>
        <v>-29250</v>
      </c>
      <c r="AY353" s="298">
        <v>50000</v>
      </c>
      <c r="AZ353" s="298"/>
      <c r="BA353" s="297">
        <f t="shared" si="86"/>
        <v>-79250</v>
      </c>
      <c r="BB353" s="278"/>
      <c r="BC353" s="255"/>
      <c r="BD353" s="255"/>
    </row>
    <row r="354" spans="1:56" s="256" customFormat="1" ht="20" hidden="1" customHeight="1">
      <c r="A354" s="260">
        <v>354</v>
      </c>
      <c r="B354" s="277"/>
      <c r="C354" s="278"/>
      <c r="D354" s="278"/>
      <c r="E354" s="278"/>
      <c r="F354" s="278"/>
      <c r="G354" s="279" t="e">
        <f>"YB"&amp;RIGHT(#REF!,6)</f>
        <v>#REF!</v>
      </c>
      <c r="H354" s="280"/>
      <c r="I354" s="280"/>
      <c r="J354" s="281">
        <f t="shared" si="78"/>
        <v>0</v>
      </c>
      <c r="K354" s="282"/>
      <c r="L354" s="282"/>
      <c r="M354" s="339"/>
      <c r="N354" s="278"/>
      <c r="O354" s="278"/>
      <c r="P354" s="283"/>
      <c r="Q354" s="278"/>
      <c r="R354" s="284"/>
      <c r="S354" s="282"/>
      <c r="T354" s="285"/>
      <c r="U354" s="286"/>
      <c r="V354" s="287"/>
      <c r="W354" s="288"/>
      <c r="X354" s="286"/>
      <c r="Y354" s="289"/>
      <c r="Z354" s="289"/>
      <c r="AA354" s="290">
        <f t="shared" si="77"/>
        <v>0</v>
      </c>
      <c r="AB354" s="291">
        <f t="shared" si="87"/>
        <v>0</v>
      </c>
      <c r="AC354" s="292">
        <f t="shared" si="79"/>
        <v>0</v>
      </c>
      <c r="AD354" s="293"/>
      <c r="AE354" s="293"/>
      <c r="AF354" s="294"/>
      <c r="AG354" s="291"/>
      <c r="AH354" s="295"/>
      <c r="AI354" s="291"/>
      <c r="AJ354" s="295"/>
      <c r="AK354" s="291"/>
      <c r="AL354" s="291"/>
      <c r="AM354" s="291"/>
      <c r="AN354" s="296">
        <v>35000</v>
      </c>
      <c r="AO354" s="296">
        <v>30000</v>
      </c>
      <c r="AP354" s="296"/>
      <c r="AQ354" s="296"/>
      <c r="AR354" s="296"/>
      <c r="AS354" s="296">
        <f t="shared" si="82"/>
        <v>65000</v>
      </c>
      <c r="AT354" s="297">
        <f t="shared" si="83"/>
        <v>-65000</v>
      </c>
      <c r="AU354" s="297">
        <f t="shared" si="80"/>
        <v>-65000</v>
      </c>
      <c r="AV354" s="297">
        <f t="shared" si="81"/>
        <v>0</v>
      </c>
      <c r="AW354" s="297">
        <f t="shared" si="84"/>
        <v>-32500</v>
      </c>
      <c r="AX354" s="297">
        <f t="shared" si="85"/>
        <v>-29250</v>
      </c>
      <c r="AY354" s="298">
        <v>50000</v>
      </c>
      <c r="AZ354" s="298"/>
      <c r="BA354" s="297">
        <f t="shared" si="86"/>
        <v>-79250</v>
      </c>
      <c r="BB354" s="278"/>
      <c r="BC354" s="255"/>
      <c r="BD354" s="255"/>
    </row>
    <row r="355" spans="1:56" s="256" customFormat="1" ht="20" hidden="1" customHeight="1">
      <c r="A355" s="260">
        <v>355</v>
      </c>
      <c r="B355" s="277"/>
      <c r="C355" s="278"/>
      <c r="D355" s="278"/>
      <c r="E355" s="278"/>
      <c r="F355" s="278"/>
      <c r="G355" s="279" t="e">
        <f>"YB"&amp;RIGHT(#REF!,6)</f>
        <v>#REF!</v>
      </c>
      <c r="H355" s="280"/>
      <c r="I355" s="280"/>
      <c r="J355" s="281">
        <f t="shared" si="78"/>
        <v>0</v>
      </c>
      <c r="K355" s="282"/>
      <c r="L355" s="282"/>
      <c r="M355" s="339"/>
      <c r="N355" s="278"/>
      <c r="O355" s="278"/>
      <c r="P355" s="283"/>
      <c r="Q355" s="278"/>
      <c r="R355" s="284"/>
      <c r="S355" s="282"/>
      <c r="T355" s="285"/>
      <c r="U355" s="286"/>
      <c r="V355" s="287"/>
      <c r="W355" s="288"/>
      <c r="X355" s="286"/>
      <c r="Y355" s="289"/>
      <c r="Z355" s="289"/>
      <c r="AA355" s="290">
        <f t="shared" ref="AA355:AA418" si="88">SUM(T355,W355:Z355)</f>
        <v>0</v>
      </c>
      <c r="AB355" s="291">
        <f t="shared" si="87"/>
        <v>0</v>
      </c>
      <c r="AC355" s="292">
        <f t="shared" si="79"/>
        <v>0</v>
      </c>
      <c r="AD355" s="293"/>
      <c r="AE355" s="293"/>
      <c r="AF355" s="294"/>
      <c r="AG355" s="291"/>
      <c r="AH355" s="295"/>
      <c r="AI355" s="291"/>
      <c r="AJ355" s="295"/>
      <c r="AK355" s="291"/>
      <c r="AL355" s="291"/>
      <c r="AM355" s="291"/>
      <c r="AN355" s="296">
        <v>35000</v>
      </c>
      <c r="AO355" s="296">
        <v>30000</v>
      </c>
      <c r="AP355" s="296"/>
      <c r="AQ355" s="296"/>
      <c r="AR355" s="296"/>
      <c r="AS355" s="296">
        <f t="shared" si="82"/>
        <v>65000</v>
      </c>
      <c r="AT355" s="297">
        <f t="shared" si="83"/>
        <v>-65000</v>
      </c>
      <c r="AU355" s="297">
        <f t="shared" si="80"/>
        <v>-65000</v>
      </c>
      <c r="AV355" s="297">
        <f t="shared" si="81"/>
        <v>0</v>
      </c>
      <c r="AW355" s="297">
        <f t="shared" si="84"/>
        <v>-32500</v>
      </c>
      <c r="AX355" s="297">
        <f t="shared" si="85"/>
        <v>-29250</v>
      </c>
      <c r="AY355" s="298">
        <v>50000</v>
      </c>
      <c r="AZ355" s="298"/>
      <c r="BA355" s="297">
        <f t="shared" si="86"/>
        <v>-79250</v>
      </c>
      <c r="BB355" s="278"/>
      <c r="BC355" s="255"/>
      <c r="BD355" s="255"/>
    </row>
    <row r="356" spans="1:56" s="256" customFormat="1" ht="20" hidden="1" customHeight="1">
      <c r="A356" s="260">
        <v>356</v>
      </c>
      <c r="B356" s="277"/>
      <c r="C356" s="278"/>
      <c r="D356" s="278"/>
      <c r="E356" s="278"/>
      <c r="F356" s="278"/>
      <c r="G356" s="279" t="e">
        <f>"YB"&amp;RIGHT(#REF!,6)</f>
        <v>#REF!</v>
      </c>
      <c r="H356" s="280"/>
      <c r="I356" s="280"/>
      <c r="J356" s="281">
        <f t="shared" si="78"/>
        <v>0</v>
      </c>
      <c r="K356" s="282"/>
      <c r="L356" s="282"/>
      <c r="M356" s="339"/>
      <c r="N356" s="278"/>
      <c r="O356" s="278"/>
      <c r="P356" s="283"/>
      <c r="Q356" s="278"/>
      <c r="R356" s="284"/>
      <c r="S356" s="282"/>
      <c r="T356" s="285"/>
      <c r="U356" s="286"/>
      <c r="V356" s="287"/>
      <c r="W356" s="288"/>
      <c r="X356" s="286"/>
      <c r="Y356" s="289"/>
      <c r="Z356" s="289"/>
      <c r="AA356" s="290">
        <f t="shared" si="88"/>
        <v>0</v>
      </c>
      <c r="AB356" s="291">
        <f t="shared" si="87"/>
        <v>0</v>
      </c>
      <c r="AC356" s="292">
        <f t="shared" si="79"/>
        <v>0</v>
      </c>
      <c r="AD356" s="293"/>
      <c r="AE356" s="293"/>
      <c r="AF356" s="294"/>
      <c r="AG356" s="291"/>
      <c r="AH356" s="295"/>
      <c r="AI356" s="291"/>
      <c r="AJ356" s="295"/>
      <c r="AK356" s="291"/>
      <c r="AL356" s="291"/>
      <c r="AM356" s="291"/>
      <c r="AN356" s="296">
        <v>35000</v>
      </c>
      <c r="AO356" s="296">
        <v>30000</v>
      </c>
      <c r="AP356" s="296"/>
      <c r="AQ356" s="296"/>
      <c r="AR356" s="296"/>
      <c r="AS356" s="296">
        <f t="shared" si="82"/>
        <v>65000</v>
      </c>
      <c r="AT356" s="297">
        <f t="shared" si="83"/>
        <v>-65000</v>
      </c>
      <c r="AU356" s="297">
        <f t="shared" si="80"/>
        <v>-65000</v>
      </c>
      <c r="AV356" s="297">
        <f t="shared" si="81"/>
        <v>0</v>
      </c>
      <c r="AW356" s="297">
        <f t="shared" si="84"/>
        <v>-32500</v>
      </c>
      <c r="AX356" s="297">
        <f t="shared" si="85"/>
        <v>-29250</v>
      </c>
      <c r="AY356" s="298">
        <v>50000</v>
      </c>
      <c r="AZ356" s="298"/>
      <c r="BA356" s="297">
        <f t="shared" si="86"/>
        <v>-79250</v>
      </c>
      <c r="BB356" s="278"/>
      <c r="BC356" s="255"/>
      <c r="BD356" s="255"/>
    </row>
    <row r="357" spans="1:56" s="256" customFormat="1" ht="20" hidden="1" customHeight="1">
      <c r="A357" s="260">
        <v>357</v>
      </c>
      <c r="B357" s="277"/>
      <c r="C357" s="278"/>
      <c r="D357" s="278"/>
      <c r="E357" s="278"/>
      <c r="F357" s="278"/>
      <c r="G357" s="279" t="e">
        <f>"YB"&amp;RIGHT(#REF!,6)</f>
        <v>#REF!</v>
      </c>
      <c r="H357" s="280"/>
      <c r="I357" s="280"/>
      <c r="J357" s="281">
        <f t="shared" si="78"/>
        <v>0</v>
      </c>
      <c r="K357" s="282"/>
      <c r="L357" s="282"/>
      <c r="M357" s="339"/>
      <c r="N357" s="278"/>
      <c r="O357" s="278"/>
      <c r="P357" s="283"/>
      <c r="Q357" s="278"/>
      <c r="R357" s="284"/>
      <c r="S357" s="282"/>
      <c r="T357" s="285"/>
      <c r="U357" s="286"/>
      <c r="V357" s="287"/>
      <c r="W357" s="288"/>
      <c r="X357" s="286"/>
      <c r="Y357" s="289"/>
      <c r="Z357" s="289"/>
      <c r="AA357" s="290">
        <f t="shared" si="88"/>
        <v>0</v>
      </c>
      <c r="AB357" s="291">
        <f t="shared" si="87"/>
        <v>0</v>
      </c>
      <c r="AC357" s="292">
        <f t="shared" si="79"/>
        <v>0</v>
      </c>
      <c r="AD357" s="293"/>
      <c r="AE357" s="293"/>
      <c r="AF357" s="294"/>
      <c r="AG357" s="291"/>
      <c r="AH357" s="295"/>
      <c r="AI357" s="291"/>
      <c r="AJ357" s="295"/>
      <c r="AK357" s="291"/>
      <c r="AL357" s="291"/>
      <c r="AM357" s="291"/>
      <c r="AN357" s="296">
        <v>35000</v>
      </c>
      <c r="AO357" s="296">
        <v>30000</v>
      </c>
      <c r="AP357" s="296"/>
      <c r="AQ357" s="296"/>
      <c r="AR357" s="296"/>
      <c r="AS357" s="296">
        <f t="shared" si="82"/>
        <v>65000</v>
      </c>
      <c r="AT357" s="297">
        <f t="shared" si="83"/>
        <v>-65000</v>
      </c>
      <c r="AU357" s="297">
        <f t="shared" si="80"/>
        <v>-65000</v>
      </c>
      <c r="AV357" s="297">
        <f t="shared" si="81"/>
        <v>0</v>
      </c>
      <c r="AW357" s="297">
        <f t="shared" si="84"/>
        <v>-32500</v>
      </c>
      <c r="AX357" s="297">
        <f t="shared" si="85"/>
        <v>-29250</v>
      </c>
      <c r="AY357" s="298">
        <v>50000</v>
      </c>
      <c r="AZ357" s="298"/>
      <c r="BA357" s="297">
        <f t="shared" si="86"/>
        <v>-79250</v>
      </c>
      <c r="BB357" s="278"/>
      <c r="BC357" s="255"/>
      <c r="BD357" s="255"/>
    </row>
    <row r="358" spans="1:56" s="256" customFormat="1" ht="20" hidden="1" customHeight="1">
      <c r="A358" s="260">
        <v>358</v>
      </c>
      <c r="B358" s="277"/>
      <c r="C358" s="278"/>
      <c r="D358" s="278"/>
      <c r="E358" s="278"/>
      <c r="F358" s="278"/>
      <c r="G358" s="279" t="e">
        <f>"YB"&amp;RIGHT(#REF!,6)</f>
        <v>#REF!</v>
      </c>
      <c r="H358" s="280"/>
      <c r="I358" s="280"/>
      <c r="J358" s="281">
        <f t="shared" si="78"/>
        <v>0</v>
      </c>
      <c r="K358" s="282"/>
      <c r="L358" s="282"/>
      <c r="M358" s="339"/>
      <c r="N358" s="278"/>
      <c r="O358" s="278"/>
      <c r="P358" s="283"/>
      <c r="Q358" s="278"/>
      <c r="R358" s="284"/>
      <c r="S358" s="282"/>
      <c r="T358" s="285"/>
      <c r="U358" s="286"/>
      <c r="V358" s="287"/>
      <c r="W358" s="288"/>
      <c r="X358" s="286"/>
      <c r="Y358" s="289"/>
      <c r="Z358" s="289"/>
      <c r="AA358" s="290">
        <f t="shared" si="88"/>
        <v>0</v>
      </c>
      <c r="AB358" s="291">
        <f t="shared" si="87"/>
        <v>0</v>
      </c>
      <c r="AC358" s="292">
        <f t="shared" si="79"/>
        <v>0</v>
      </c>
      <c r="AD358" s="293"/>
      <c r="AE358" s="293"/>
      <c r="AF358" s="294"/>
      <c r="AG358" s="291"/>
      <c r="AH358" s="295"/>
      <c r="AI358" s="291"/>
      <c r="AJ358" s="295"/>
      <c r="AK358" s="291"/>
      <c r="AL358" s="291"/>
      <c r="AM358" s="291"/>
      <c r="AN358" s="296">
        <v>35000</v>
      </c>
      <c r="AO358" s="296">
        <v>30000</v>
      </c>
      <c r="AP358" s="296"/>
      <c r="AQ358" s="296"/>
      <c r="AR358" s="296"/>
      <c r="AS358" s="296">
        <f t="shared" si="82"/>
        <v>65000</v>
      </c>
      <c r="AT358" s="297">
        <f t="shared" si="83"/>
        <v>-65000</v>
      </c>
      <c r="AU358" s="297">
        <f t="shared" si="80"/>
        <v>-65000</v>
      </c>
      <c r="AV358" s="297">
        <f t="shared" si="81"/>
        <v>0</v>
      </c>
      <c r="AW358" s="297">
        <f t="shared" si="84"/>
        <v>-32500</v>
      </c>
      <c r="AX358" s="297">
        <f t="shared" si="85"/>
        <v>-29250</v>
      </c>
      <c r="AY358" s="298">
        <v>50000</v>
      </c>
      <c r="AZ358" s="298"/>
      <c r="BA358" s="297">
        <f t="shared" si="86"/>
        <v>-79250</v>
      </c>
      <c r="BB358" s="278"/>
      <c r="BC358" s="255"/>
      <c r="BD358" s="255"/>
    </row>
    <row r="359" spans="1:56" s="256" customFormat="1" ht="20" hidden="1" customHeight="1">
      <c r="A359" s="260">
        <v>359</v>
      </c>
      <c r="B359" s="277"/>
      <c r="C359" s="278"/>
      <c r="D359" s="278"/>
      <c r="E359" s="278"/>
      <c r="F359" s="278"/>
      <c r="G359" s="279" t="e">
        <f>"YB"&amp;RIGHT(#REF!,6)</f>
        <v>#REF!</v>
      </c>
      <c r="H359" s="280"/>
      <c r="I359" s="280"/>
      <c r="J359" s="281">
        <f t="shared" si="78"/>
        <v>0</v>
      </c>
      <c r="K359" s="282"/>
      <c r="L359" s="282"/>
      <c r="M359" s="339"/>
      <c r="N359" s="278"/>
      <c r="O359" s="278"/>
      <c r="P359" s="283"/>
      <c r="Q359" s="278"/>
      <c r="R359" s="284"/>
      <c r="S359" s="282"/>
      <c r="T359" s="285"/>
      <c r="U359" s="286"/>
      <c r="V359" s="287"/>
      <c r="W359" s="288"/>
      <c r="X359" s="286"/>
      <c r="Y359" s="289"/>
      <c r="Z359" s="289"/>
      <c r="AA359" s="290">
        <f t="shared" si="88"/>
        <v>0</v>
      </c>
      <c r="AB359" s="291">
        <f t="shared" si="87"/>
        <v>0</v>
      </c>
      <c r="AC359" s="292">
        <f t="shared" si="79"/>
        <v>0</v>
      </c>
      <c r="AD359" s="293"/>
      <c r="AE359" s="293"/>
      <c r="AF359" s="294"/>
      <c r="AG359" s="291"/>
      <c r="AH359" s="295"/>
      <c r="AI359" s="291"/>
      <c r="AJ359" s="295"/>
      <c r="AK359" s="291"/>
      <c r="AL359" s="291"/>
      <c r="AM359" s="291"/>
      <c r="AN359" s="296">
        <v>35000</v>
      </c>
      <c r="AO359" s="296">
        <v>30000</v>
      </c>
      <c r="AP359" s="296"/>
      <c r="AQ359" s="296"/>
      <c r="AR359" s="296"/>
      <c r="AS359" s="296">
        <f t="shared" si="82"/>
        <v>65000</v>
      </c>
      <c r="AT359" s="297">
        <f t="shared" si="83"/>
        <v>-65000</v>
      </c>
      <c r="AU359" s="297">
        <f t="shared" si="80"/>
        <v>-65000</v>
      </c>
      <c r="AV359" s="297">
        <f t="shared" si="81"/>
        <v>0</v>
      </c>
      <c r="AW359" s="297">
        <f t="shared" si="84"/>
        <v>-32500</v>
      </c>
      <c r="AX359" s="297">
        <f t="shared" si="85"/>
        <v>-29250</v>
      </c>
      <c r="AY359" s="298">
        <v>50000</v>
      </c>
      <c r="AZ359" s="298"/>
      <c r="BA359" s="297">
        <f t="shared" si="86"/>
        <v>-79250</v>
      </c>
      <c r="BB359" s="278"/>
      <c r="BC359" s="255"/>
      <c r="BD359" s="255"/>
    </row>
    <row r="360" spans="1:56" s="256" customFormat="1" ht="20" hidden="1" customHeight="1">
      <c r="A360" s="260">
        <v>360</v>
      </c>
      <c r="B360" s="277"/>
      <c r="C360" s="278"/>
      <c r="D360" s="278"/>
      <c r="E360" s="278"/>
      <c r="F360" s="278"/>
      <c r="G360" s="279" t="e">
        <f>"YB"&amp;RIGHT(#REF!,6)</f>
        <v>#REF!</v>
      </c>
      <c r="H360" s="280"/>
      <c r="I360" s="280"/>
      <c r="J360" s="281">
        <f t="shared" si="78"/>
        <v>0</v>
      </c>
      <c r="K360" s="282"/>
      <c r="L360" s="282"/>
      <c r="M360" s="339"/>
      <c r="N360" s="278"/>
      <c r="O360" s="278"/>
      <c r="P360" s="283"/>
      <c r="Q360" s="278"/>
      <c r="R360" s="284"/>
      <c r="S360" s="282"/>
      <c r="T360" s="285"/>
      <c r="U360" s="286"/>
      <c r="V360" s="287"/>
      <c r="W360" s="288"/>
      <c r="X360" s="286"/>
      <c r="Y360" s="289"/>
      <c r="Z360" s="289"/>
      <c r="AA360" s="290">
        <f t="shared" si="88"/>
        <v>0</v>
      </c>
      <c r="AB360" s="291">
        <f t="shared" si="87"/>
        <v>0</v>
      </c>
      <c r="AC360" s="292">
        <f t="shared" si="79"/>
        <v>0</v>
      </c>
      <c r="AD360" s="293"/>
      <c r="AE360" s="293"/>
      <c r="AF360" s="294"/>
      <c r="AG360" s="291"/>
      <c r="AH360" s="295"/>
      <c r="AI360" s="291"/>
      <c r="AJ360" s="295"/>
      <c r="AK360" s="291"/>
      <c r="AL360" s="291"/>
      <c r="AM360" s="291"/>
      <c r="AN360" s="296">
        <v>35000</v>
      </c>
      <c r="AO360" s="296">
        <v>30000</v>
      </c>
      <c r="AP360" s="296"/>
      <c r="AQ360" s="296"/>
      <c r="AR360" s="296"/>
      <c r="AS360" s="296">
        <f t="shared" si="82"/>
        <v>65000</v>
      </c>
      <c r="AT360" s="297">
        <f t="shared" si="83"/>
        <v>-65000</v>
      </c>
      <c r="AU360" s="297">
        <f t="shared" si="80"/>
        <v>-65000</v>
      </c>
      <c r="AV360" s="297">
        <f t="shared" si="81"/>
        <v>0</v>
      </c>
      <c r="AW360" s="297">
        <f t="shared" si="84"/>
        <v>-32500</v>
      </c>
      <c r="AX360" s="297">
        <f t="shared" si="85"/>
        <v>-29250</v>
      </c>
      <c r="AY360" s="298">
        <v>50000</v>
      </c>
      <c r="AZ360" s="298"/>
      <c r="BA360" s="297">
        <f t="shared" si="86"/>
        <v>-79250</v>
      </c>
      <c r="BB360" s="278"/>
      <c r="BC360" s="255"/>
      <c r="BD360" s="255"/>
    </row>
    <row r="361" spans="1:56" s="256" customFormat="1" ht="20" hidden="1" customHeight="1">
      <c r="A361" s="260">
        <v>361</v>
      </c>
      <c r="B361" s="277"/>
      <c r="C361" s="278"/>
      <c r="D361" s="278"/>
      <c r="E361" s="278"/>
      <c r="F361" s="278"/>
      <c r="G361" s="279" t="e">
        <f>"YB"&amp;RIGHT(#REF!,6)</f>
        <v>#REF!</v>
      </c>
      <c r="H361" s="280"/>
      <c r="I361" s="280"/>
      <c r="J361" s="281">
        <f t="shared" si="78"/>
        <v>0</v>
      </c>
      <c r="K361" s="282"/>
      <c r="L361" s="282"/>
      <c r="M361" s="339"/>
      <c r="N361" s="278"/>
      <c r="O361" s="278"/>
      <c r="P361" s="283"/>
      <c r="Q361" s="278"/>
      <c r="R361" s="284"/>
      <c r="S361" s="282"/>
      <c r="T361" s="285"/>
      <c r="U361" s="286"/>
      <c r="V361" s="287"/>
      <c r="W361" s="288"/>
      <c r="X361" s="286"/>
      <c r="Y361" s="289"/>
      <c r="Z361" s="289"/>
      <c r="AA361" s="290">
        <f t="shared" si="88"/>
        <v>0</v>
      </c>
      <c r="AB361" s="291">
        <f t="shared" si="87"/>
        <v>0</v>
      </c>
      <c r="AC361" s="292">
        <f t="shared" si="79"/>
        <v>0</v>
      </c>
      <c r="AD361" s="293"/>
      <c r="AE361" s="293"/>
      <c r="AF361" s="294"/>
      <c r="AG361" s="291"/>
      <c r="AH361" s="295"/>
      <c r="AI361" s="291"/>
      <c r="AJ361" s="295"/>
      <c r="AK361" s="291"/>
      <c r="AL361" s="291"/>
      <c r="AM361" s="291"/>
      <c r="AN361" s="296">
        <v>35000</v>
      </c>
      <c r="AO361" s="296">
        <v>30000</v>
      </c>
      <c r="AP361" s="296"/>
      <c r="AQ361" s="296"/>
      <c r="AR361" s="296"/>
      <c r="AS361" s="296">
        <f t="shared" si="82"/>
        <v>65000</v>
      </c>
      <c r="AT361" s="297">
        <f t="shared" si="83"/>
        <v>-65000</v>
      </c>
      <c r="AU361" s="297">
        <f t="shared" si="80"/>
        <v>-65000</v>
      </c>
      <c r="AV361" s="297">
        <f t="shared" si="81"/>
        <v>0</v>
      </c>
      <c r="AW361" s="297">
        <f t="shared" si="84"/>
        <v>-32500</v>
      </c>
      <c r="AX361" s="297">
        <f t="shared" si="85"/>
        <v>-29250</v>
      </c>
      <c r="AY361" s="298">
        <v>50000</v>
      </c>
      <c r="AZ361" s="298"/>
      <c r="BA361" s="297">
        <f t="shared" si="86"/>
        <v>-79250</v>
      </c>
      <c r="BB361" s="278"/>
      <c r="BC361" s="255"/>
      <c r="BD361" s="255"/>
    </row>
    <row r="362" spans="1:56" s="256" customFormat="1" ht="20" hidden="1" customHeight="1">
      <c r="A362" s="260">
        <v>362</v>
      </c>
      <c r="B362" s="277"/>
      <c r="C362" s="278"/>
      <c r="D362" s="278"/>
      <c r="E362" s="278"/>
      <c r="F362" s="278"/>
      <c r="G362" s="279" t="e">
        <f>"YB"&amp;RIGHT(#REF!,6)</f>
        <v>#REF!</v>
      </c>
      <c r="H362" s="280"/>
      <c r="I362" s="280"/>
      <c r="J362" s="281">
        <f t="shared" si="78"/>
        <v>0</v>
      </c>
      <c r="K362" s="282"/>
      <c r="L362" s="282"/>
      <c r="M362" s="339"/>
      <c r="N362" s="278"/>
      <c r="O362" s="278"/>
      <c r="P362" s="283"/>
      <c r="Q362" s="278"/>
      <c r="R362" s="284"/>
      <c r="S362" s="282"/>
      <c r="T362" s="285"/>
      <c r="U362" s="286"/>
      <c r="V362" s="287"/>
      <c r="W362" s="288"/>
      <c r="X362" s="286"/>
      <c r="Y362" s="289"/>
      <c r="Z362" s="289"/>
      <c r="AA362" s="290">
        <f t="shared" si="88"/>
        <v>0</v>
      </c>
      <c r="AB362" s="291">
        <f t="shared" si="87"/>
        <v>0</v>
      </c>
      <c r="AC362" s="292">
        <f t="shared" si="79"/>
        <v>0</v>
      </c>
      <c r="AD362" s="293"/>
      <c r="AE362" s="293"/>
      <c r="AF362" s="294"/>
      <c r="AG362" s="291"/>
      <c r="AH362" s="295"/>
      <c r="AI362" s="291"/>
      <c r="AJ362" s="295"/>
      <c r="AK362" s="291"/>
      <c r="AL362" s="291"/>
      <c r="AM362" s="291"/>
      <c r="AN362" s="296">
        <v>35000</v>
      </c>
      <c r="AO362" s="296">
        <v>30000</v>
      </c>
      <c r="AP362" s="296"/>
      <c r="AQ362" s="296"/>
      <c r="AR362" s="296"/>
      <c r="AS362" s="296">
        <f t="shared" si="82"/>
        <v>65000</v>
      </c>
      <c r="AT362" s="297">
        <f t="shared" si="83"/>
        <v>-65000</v>
      </c>
      <c r="AU362" s="297">
        <f t="shared" si="80"/>
        <v>-65000</v>
      </c>
      <c r="AV362" s="297">
        <f t="shared" si="81"/>
        <v>0</v>
      </c>
      <c r="AW362" s="297">
        <f t="shared" si="84"/>
        <v>-32500</v>
      </c>
      <c r="AX362" s="297">
        <f t="shared" si="85"/>
        <v>-29250</v>
      </c>
      <c r="AY362" s="298">
        <v>50000</v>
      </c>
      <c r="AZ362" s="298"/>
      <c r="BA362" s="297">
        <f t="shared" si="86"/>
        <v>-79250</v>
      </c>
      <c r="BB362" s="278"/>
      <c r="BC362" s="255"/>
      <c r="BD362" s="255"/>
    </row>
    <row r="363" spans="1:56" s="256" customFormat="1" ht="20" hidden="1" customHeight="1">
      <c r="A363" s="260">
        <v>363</v>
      </c>
      <c r="B363" s="277"/>
      <c r="C363" s="278"/>
      <c r="D363" s="278"/>
      <c r="E363" s="278"/>
      <c r="F363" s="278"/>
      <c r="G363" s="279" t="e">
        <f>"YB"&amp;RIGHT(#REF!,6)</f>
        <v>#REF!</v>
      </c>
      <c r="H363" s="280"/>
      <c r="I363" s="280"/>
      <c r="J363" s="281">
        <f t="shared" si="78"/>
        <v>0</v>
      </c>
      <c r="K363" s="282"/>
      <c r="L363" s="282"/>
      <c r="M363" s="339"/>
      <c r="N363" s="278"/>
      <c r="O363" s="278"/>
      <c r="P363" s="283"/>
      <c r="Q363" s="278"/>
      <c r="R363" s="284"/>
      <c r="S363" s="282"/>
      <c r="T363" s="285"/>
      <c r="U363" s="286"/>
      <c r="V363" s="287"/>
      <c r="W363" s="288"/>
      <c r="X363" s="286"/>
      <c r="Y363" s="289"/>
      <c r="Z363" s="289"/>
      <c r="AA363" s="290">
        <f t="shared" si="88"/>
        <v>0</v>
      </c>
      <c r="AB363" s="291">
        <f t="shared" si="87"/>
        <v>0</v>
      </c>
      <c r="AC363" s="292">
        <f t="shared" si="79"/>
        <v>0</v>
      </c>
      <c r="AD363" s="293"/>
      <c r="AE363" s="293"/>
      <c r="AF363" s="294"/>
      <c r="AG363" s="291"/>
      <c r="AH363" s="295"/>
      <c r="AI363" s="291"/>
      <c r="AJ363" s="295"/>
      <c r="AK363" s="291"/>
      <c r="AL363" s="291"/>
      <c r="AM363" s="291"/>
      <c r="AN363" s="296">
        <v>35000</v>
      </c>
      <c r="AO363" s="296">
        <v>30000</v>
      </c>
      <c r="AP363" s="296"/>
      <c r="AQ363" s="296"/>
      <c r="AR363" s="296"/>
      <c r="AS363" s="296">
        <f t="shared" si="82"/>
        <v>65000</v>
      </c>
      <c r="AT363" s="297">
        <f t="shared" si="83"/>
        <v>-65000</v>
      </c>
      <c r="AU363" s="297">
        <f t="shared" si="80"/>
        <v>-65000</v>
      </c>
      <c r="AV363" s="297">
        <f t="shared" si="81"/>
        <v>0</v>
      </c>
      <c r="AW363" s="297">
        <f t="shared" si="84"/>
        <v>-32500</v>
      </c>
      <c r="AX363" s="297">
        <f t="shared" si="85"/>
        <v>-29250</v>
      </c>
      <c r="AY363" s="298">
        <v>50000</v>
      </c>
      <c r="AZ363" s="298"/>
      <c r="BA363" s="297">
        <f t="shared" si="86"/>
        <v>-79250</v>
      </c>
      <c r="BB363" s="278"/>
      <c r="BC363" s="255"/>
      <c r="BD363" s="255"/>
    </row>
    <row r="364" spans="1:56" s="256" customFormat="1" ht="20" hidden="1" customHeight="1">
      <c r="A364" s="260">
        <v>364</v>
      </c>
      <c r="B364" s="277"/>
      <c r="C364" s="278"/>
      <c r="D364" s="278"/>
      <c r="E364" s="278"/>
      <c r="F364" s="278"/>
      <c r="G364" s="279" t="e">
        <f>"YB"&amp;RIGHT(#REF!,6)</f>
        <v>#REF!</v>
      </c>
      <c r="H364" s="280"/>
      <c r="I364" s="280"/>
      <c r="J364" s="281">
        <f t="shared" si="78"/>
        <v>0</v>
      </c>
      <c r="K364" s="282"/>
      <c r="L364" s="282"/>
      <c r="M364" s="339"/>
      <c r="N364" s="278"/>
      <c r="O364" s="278"/>
      <c r="P364" s="283"/>
      <c r="Q364" s="278"/>
      <c r="R364" s="284"/>
      <c r="S364" s="282"/>
      <c r="T364" s="285"/>
      <c r="U364" s="286"/>
      <c r="V364" s="287"/>
      <c r="W364" s="288"/>
      <c r="X364" s="286"/>
      <c r="Y364" s="289"/>
      <c r="Z364" s="289"/>
      <c r="AA364" s="290">
        <f t="shared" si="88"/>
        <v>0</v>
      </c>
      <c r="AB364" s="291">
        <f t="shared" si="87"/>
        <v>0</v>
      </c>
      <c r="AC364" s="292">
        <f t="shared" si="79"/>
        <v>0</v>
      </c>
      <c r="AD364" s="293"/>
      <c r="AE364" s="293"/>
      <c r="AF364" s="294"/>
      <c r="AG364" s="291"/>
      <c r="AH364" s="295"/>
      <c r="AI364" s="291"/>
      <c r="AJ364" s="295"/>
      <c r="AK364" s="291"/>
      <c r="AL364" s="291"/>
      <c r="AM364" s="291"/>
      <c r="AN364" s="296">
        <v>35000</v>
      </c>
      <c r="AO364" s="296">
        <v>30000</v>
      </c>
      <c r="AP364" s="296"/>
      <c r="AQ364" s="296"/>
      <c r="AR364" s="296"/>
      <c r="AS364" s="296">
        <f t="shared" si="82"/>
        <v>65000</v>
      </c>
      <c r="AT364" s="297">
        <f t="shared" si="83"/>
        <v>-65000</v>
      </c>
      <c r="AU364" s="297">
        <f t="shared" si="80"/>
        <v>-65000</v>
      </c>
      <c r="AV364" s="297">
        <f t="shared" si="81"/>
        <v>0</v>
      </c>
      <c r="AW364" s="297">
        <f t="shared" si="84"/>
        <v>-32500</v>
      </c>
      <c r="AX364" s="297">
        <f t="shared" si="85"/>
        <v>-29250</v>
      </c>
      <c r="AY364" s="298">
        <v>50000</v>
      </c>
      <c r="AZ364" s="298"/>
      <c r="BA364" s="297">
        <f t="shared" si="86"/>
        <v>-79250</v>
      </c>
      <c r="BB364" s="278"/>
      <c r="BC364" s="255"/>
      <c r="BD364" s="255"/>
    </row>
    <row r="365" spans="1:56" s="256" customFormat="1" ht="20" hidden="1" customHeight="1">
      <c r="A365" s="260">
        <v>365</v>
      </c>
      <c r="B365" s="277"/>
      <c r="C365" s="278"/>
      <c r="D365" s="278"/>
      <c r="E365" s="278"/>
      <c r="F365" s="278"/>
      <c r="G365" s="279" t="e">
        <f>"YB"&amp;RIGHT(#REF!,6)</f>
        <v>#REF!</v>
      </c>
      <c r="H365" s="280"/>
      <c r="I365" s="280"/>
      <c r="J365" s="281">
        <f t="shared" si="78"/>
        <v>0</v>
      </c>
      <c r="K365" s="282"/>
      <c r="L365" s="282"/>
      <c r="M365" s="339"/>
      <c r="N365" s="278"/>
      <c r="O365" s="278"/>
      <c r="P365" s="283"/>
      <c r="Q365" s="278"/>
      <c r="R365" s="284"/>
      <c r="S365" s="282"/>
      <c r="T365" s="285"/>
      <c r="U365" s="286"/>
      <c r="V365" s="287"/>
      <c r="W365" s="288"/>
      <c r="X365" s="286"/>
      <c r="Y365" s="289"/>
      <c r="Z365" s="289"/>
      <c r="AA365" s="290">
        <f t="shared" si="88"/>
        <v>0</v>
      </c>
      <c r="AB365" s="291">
        <f t="shared" si="87"/>
        <v>0</v>
      </c>
      <c r="AC365" s="292">
        <f t="shared" si="79"/>
        <v>0</v>
      </c>
      <c r="AD365" s="293"/>
      <c r="AE365" s="293"/>
      <c r="AF365" s="294"/>
      <c r="AG365" s="291"/>
      <c r="AH365" s="295"/>
      <c r="AI365" s="291"/>
      <c r="AJ365" s="295"/>
      <c r="AK365" s="291"/>
      <c r="AL365" s="291"/>
      <c r="AM365" s="291"/>
      <c r="AN365" s="296">
        <v>35000</v>
      </c>
      <c r="AO365" s="296">
        <v>30000</v>
      </c>
      <c r="AP365" s="296"/>
      <c r="AQ365" s="296"/>
      <c r="AR365" s="296"/>
      <c r="AS365" s="296">
        <f t="shared" si="82"/>
        <v>65000</v>
      </c>
      <c r="AT365" s="297">
        <f t="shared" si="83"/>
        <v>-65000</v>
      </c>
      <c r="AU365" s="297">
        <f t="shared" si="80"/>
        <v>-65000</v>
      </c>
      <c r="AV365" s="297">
        <f t="shared" si="81"/>
        <v>0</v>
      </c>
      <c r="AW365" s="297">
        <f t="shared" si="84"/>
        <v>-32500</v>
      </c>
      <c r="AX365" s="297">
        <f t="shared" si="85"/>
        <v>-29250</v>
      </c>
      <c r="AY365" s="298">
        <v>50000</v>
      </c>
      <c r="AZ365" s="298"/>
      <c r="BA365" s="297">
        <f t="shared" si="86"/>
        <v>-79250</v>
      </c>
      <c r="BB365" s="278"/>
      <c r="BC365" s="255"/>
      <c r="BD365" s="255"/>
    </row>
    <row r="366" spans="1:56" s="256" customFormat="1" ht="20" hidden="1" customHeight="1">
      <c r="A366" s="260">
        <v>366</v>
      </c>
      <c r="B366" s="277"/>
      <c r="C366" s="278"/>
      <c r="D366" s="278"/>
      <c r="E366" s="278"/>
      <c r="F366" s="278"/>
      <c r="G366" s="279" t="e">
        <f>"YB"&amp;RIGHT(#REF!,6)</f>
        <v>#REF!</v>
      </c>
      <c r="H366" s="280"/>
      <c r="I366" s="280"/>
      <c r="J366" s="281">
        <f t="shared" si="78"/>
        <v>0</v>
      </c>
      <c r="K366" s="282"/>
      <c r="L366" s="282"/>
      <c r="M366" s="339"/>
      <c r="N366" s="278"/>
      <c r="O366" s="278"/>
      <c r="P366" s="283"/>
      <c r="Q366" s="278"/>
      <c r="R366" s="284"/>
      <c r="S366" s="282"/>
      <c r="T366" s="285"/>
      <c r="U366" s="286"/>
      <c r="V366" s="287"/>
      <c r="W366" s="288"/>
      <c r="X366" s="286"/>
      <c r="Y366" s="289"/>
      <c r="Z366" s="289"/>
      <c r="AA366" s="290">
        <f t="shared" si="88"/>
        <v>0</v>
      </c>
      <c r="AB366" s="291">
        <f t="shared" si="87"/>
        <v>0</v>
      </c>
      <c r="AC366" s="292">
        <f t="shared" si="79"/>
        <v>0</v>
      </c>
      <c r="AD366" s="293"/>
      <c r="AE366" s="293"/>
      <c r="AF366" s="294"/>
      <c r="AG366" s="291"/>
      <c r="AH366" s="295"/>
      <c r="AI366" s="291"/>
      <c r="AJ366" s="295"/>
      <c r="AK366" s="291"/>
      <c r="AL366" s="291"/>
      <c r="AM366" s="291"/>
      <c r="AN366" s="296">
        <v>35000</v>
      </c>
      <c r="AO366" s="296">
        <v>30000</v>
      </c>
      <c r="AP366" s="296"/>
      <c r="AQ366" s="296"/>
      <c r="AR366" s="296"/>
      <c r="AS366" s="296">
        <f t="shared" si="82"/>
        <v>65000</v>
      </c>
      <c r="AT366" s="297">
        <f t="shared" si="83"/>
        <v>-65000</v>
      </c>
      <c r="AU366" s="297">
        <f t="shared" si="80"/>
        <v>-65000</v>
      </c>
      <c r="AV366" s="297">
        <f t="shared" si="81"/>
        <v>0</v>
      </c>
      <c r="AW366" s="297">
        <f t="shared" si="84"/>
        <v>-32500</v>
      </c>
      <c r="AX366" s="297">
        <f t="shared" si="85"/>
        <v>-29250</v>
      </c>
      <c r="AY366" s="298">
        <v>50000</v>
      </c>
      <c r="AZ366" s="298"/>
      <c r="BA366" s="297">
        <f t="shared" si="86"/>
        <v>-79250</v>
      </c>
      <c r="BB366" s="278"/>
      <c r="BC366" s="255"/>
      <c r="BD366" s="255"/>
    </row>
    <row r="367" spans="1:56" s="256" customFormat="1" ht="20" hidden="1" customHeight="1">
      <c r="A367" s="260">
        <v>367</v>
      </c>
      <c r="B367" s="277"/>
      <c r="C367" s="278"/>
      <c r="D367" s="278"/>
      <c r="E367" s="278"/>
      <c r="F367" s="278"/>
      <c r="G367" s="279" t="e">
        <f>"YB"&amp;RIGHT(#REF!,6)</f>
        <v>#REF!</v>
      </c>
      <c r="H367" s="280"/>
      <c r="I367" s="280"/>
      <c r="J367" s="281">
        <f t="shared" ref="J367:J430" si="89">H367+I367</f>
        <v>0</v>
      </c>
      <c r="K367" s="282"/>
      <c r="L367" s="282"/>
      <c r="M367" s="339"/>
      <c r="N367" s="278"/>
      <c r="O367" s="278"/>
      <c r="P367" s="283"/>
      <c r="Q367" s="278"/>
      <c r="R367" s="284"/>
      <c r="S367" s="282"/>
      <c r="T367" s="285"/>
      <c r="U367" s="286"/>
      <c r="V367" s="287"/>
      <c r="W367" s="288"/>
      <c r="X367" s="286"/>
      <c r="Y367" s="289"/>
      <c r="Z367" s="289"/>
      <c r="AA367" s="290">
        <f t="shared" si="88"/>
        <v>0</v>
      </c>
      <c r="AB367" s="291">
        <f t="shared" si="87"/>
        <v>0</v>
      </c>
      <c r="AC367" s="292">
        <f t="shared" ref="AC367:AC430" si="90">SUM(AB367-AA367)</f>
        <v>0</v>
      </c>
      <c r="AD367" s="293"/>
      <c r="AE367" s="293"/>
      <c r="AF367" s="294"/>
      <c r="AG367" s="291"/>
      <c r="AH367" s="295"/>
      <c r="AI367" s="291"/>
      <c r="AJ367" s="295"/>
      <c r="AK367" s="291"/>
      <c r="AL367" s="291"/>
      <c r="AM367" s="291"/>
      <c r="AN367" s="296">
        <v>35000</v>
      </c>
      <c r="AO367" s="296">
        <v>30000</v>
      </c>
      <c r="AP367" s="296"/>
      <c r="AQ367" s="296"/>
      <c r="AR367" s="296"/>
      <c r="AS367" s="296">
        <f t="shared" si="82"/>
        <v>65000</v>
      </c>
      <c r="AT367" s="297">
        <f t="shared" si="83"/>
        <v>-65000</v>
      </c>
      <c r="AU367" s="297">
        <f t="shared" ref="AU367:AU430" si="91">SUM(AT367-J367)</f>
        <v>-65000</v>
      </c>
      <c r="AV367" s="297">
        <f t="shared" ref="AV367:AV430" si="92">SUM(0.09*H367)</f>
        <v>0</v>
      </c>
      <c r="AW367" s="297">
        <f t="shared" si="84"/>
        <v>-32500</v>
      </c>
      <c r="AX367" s="297">
        <f t="shared" si="85"/>
        <v>-29250</v>
      </c>
      <c r="AY367" s="298">
        <v>50000</v>
      </c>
      <c r="AZ367" s="298"/>
      <c r="BA367" s="297">
        <f t="shared" si="86"/>
        <v>-79250</v>
      </c>
      <c r="BB367" s="278"/>
      <c r="BC367" s="255"/>
      <c r="BD367" s="255"/>
    </row>
    <row r="368" spans="1:56" s="256" customFormat="1" ht="20" hidden="1" customHeight="1">
      <c r="A368" s="260">
        <v>368</v>
      </c>
      <c r="B368" s="277"/>
      <c r="C368" s="278"/>
      <c r="D368" s="278"/>
      <c r="E368" s="278"/>
      <c r="F368" s="278"/>
      <c r="G368" s="279" t="e">
        <f>"YB"&amp;RIGHT(#REF!,6)</f>
        <v>#REF!</v>
      </c>
      <c r="H368" s="280"/>
      <c r="I368" s="280"/>
      <c r="J368" s="281">
        <f t="shared" si="89"/>
        <v>0</v>
      </c>
      <c r="K368" s="282"/>
      <c r="L368" s="282"/>
      <c r="M368" s="339"/>
      <c r="N368" s="278"/>
      <c r="O368" s="278"/>
      <c r="P368" s="283"/>
      <c r="Q368" s="278"/>
      <c r="R368" s="284"/>
      <c r="S368" s="282"/>
      <c r="T368" s="285"/>
      <c r="U368" s="286"/>
      <c r="V368" s="287"/>
      <c r="W368" s="288"/>
      <c r="X368" s="286"/>
      <c r="Y368" s="289"/>
      <c r="Z368" s="289"/>
      <c r="AA368" s="290">
        <f t="shared" si="88"/>
        <v>0</v>
      </c>
      <c r="AB368" s="291">
        <f t="shared" si="87"/>
        <v>0</v>
      </c>
      <c r="AC368" s="292">
        <f t="shared" si="90"/>
        <v>0</v>
      </c>
      <c r="AD368" s="293"/>
      <c r="AE368" s="293"/>
      <c r="AF368" s="294"/>
      <c r="AG368" s="291"/>
      <c r="AH368" s="295"/>
      <c r="AI368" s="291"/>
      <c r="AJ368" s="295"/>
      <c r="AK368" s="291"/>
      <c r="AL368" s="291"/>
      <c r="AM368" s="291"/>
      <c r="AN368" s="296">
        <v>35000</v>
      </c>
      <c r="AO368" s="296">
        <v>30000</v>
      </c>
      <c r="AP368" s="296"/>
      <c r="AQ368" s="296"/>
      <c r="AR368" s="296"/>
      <c r="AS368" s="296">
        <f t="shared" si="82"/>
        <v>65000</v>
      </c>
      <c r="AT368" s="297">
        <f t="shared" si="83"/>
        <v>-65000</v>
      </c>
      <c r="AU368" s="297">
        <f t="shared" si="91"/>
        <v>-65000</v>
      </c>
      <c r="AV368" s="297">
        <f t="shared" si="92"/>
        <v>0</v>
      </c>
      <c r="AW368" s="297">
        <f t="shared" si="84"/>
        <v>-32500</v>
      </c>
      <c r="AX368" s="297">
        <f t="shared" si="85"/>
        <v>-29250</v>
      </c>
      <c r="AY368" s="298">
        <v>50000</v>
      </c>
      <c r="AZ368" s="298"/>
      <c r="BA368" s="297">
        <f t="shared" si="86"/>
        <v>-79250</v>
      </c>
      <c r="BB368" s="278"/>
      <c r="BC368" s="255"/>
      <c r="BD368" s="255"/>
    </row>
    <row r="369" spans="1:56" s="256" customFormat="1" ht="20" hidden="1" customHeight="1">
      <c r="A369" s="260">
        <v>369</v>
      </c>
      <c r="B369" s="277"/>
      <c r="C369" s="278"/>
      <c r="D369" s="278"/>
      <c r="E369" s="278"/>
      <c r="F369" s="278"/>
      <c r="G369" s="279" t="e">
        <f>"YB"&amp;RIGHT(#REF!,6)</f>
        <v>#REF!</v>
      </c>
      <c r="H369" s="280"/>
      <c r="I369" s="280"/>
      <c r="J369" s="281">
        <f t="shared" si="89"/>
        <v>0</v>
      </c>
      <c r="K369" s="282"/>
      <c r="L369" s="282"/>
      <c r="M369" s="339"/>
      <c r="N369" s="278"/>
      <c r="O369" s="278"/>
      <c r="P369" s="283"/>
      <c r="Q369" s="278"/>
      <c r="R369" s="284"/>
      <c r="S369" s="282"/>
      <c r="T369" s="285"/>
      <c r="U369" s="286"/>
      <c r="V369" s="287"/>
      <c r="W369" s="288"/>
      <c r="X369" s="286"/>
      <c r="Y369" s="289"/>
      <c r="Z369" s="289"/>
      <c r="AA369" s="290">
        <f t="shared" si="88"/>
        <v>0</v>
      </c>
      <c r="AB369" s="291">
        <f t="shared" si="87"/>
        <v>0</v>
      </c>
      <c r="AC369" s="292">
        <f t="shared" si="90"/>
        <v>0</v>
      </c>
      <c r="AD369" s="293"/>
      <c r="AE369" s="293"/>
      <c r="AF369" s="294"/>
      <c r="AG369" s="291"/>
      <c r="AH369" s="295"/>
      <c r="AI369" s="291"/>
      <c r="AJ369" s="295"/>
      <c r="AK369" s="291"/>
      <c r="AL369" s="291"/>
      <c r="AM369" s="291"/>
      <c r="AN369" s="296">
        <v>35000</v>
      </c>
      <c r="AO369" s="296">
        <v>30000</v>
      </c>
      <c r="AP369" s="296"/>
      <c r="AQ369" s="296"/>
      <c r="AR369" s="296"/>
      <c r="AS369" s="296">
        <f t="shared" si="82"/>
        <v>65000</v>
      </c>
      <c r="AT369" s="297">
        <f t="shared" si="83"/>
        <v>-65000</v>
      </c>
      <c r="AU369" s="297">
        <f t="shared" si="91"/>
        <v>-65000</v>
      </c>
      <c r="AV369" s="297">
        <f t="shared" si="92"/>
        <v>0</v>
      </c>
      <c r="AW369" s="297">
        <f t="shared" si="84"/>
        <v>-32500</v>
      </c>
      <c r="AX369" s="297">
        <f t="shared" si="85"/>
        <v>-29250</v>
      </c>
      <c r="AY369" s="298">
        <v>50000</v>
      </c>
      <c r="AZ369" s="298"/>
      <c r="BA369" s="297">
        <f t="shared" si="86"/>
        <v>-79250</v>
      </c>
      <c r="BB369" s="278"/>
      <c r="BC369" s="255"/>
      <c r="BD369" s="255"/>
    </row>
    <row r="370" spans="1:56" s="256" customFormat="1" ht="20" hidden="1" customHeight="1">
      <c r="A370" s="260">
        <v>370</v>
      </c>
      <c r="B370" s="277"/>
      <c r="C370" s="278"/>
      <c r="D370" s="278"/>
      <c r="E370" s="278"/>
      <c r="F370" s="278"/>
      <c r="G370" s="279" t="e">
        <f>"YB"&amp;RIGHT(#REF!,6)</f>
        <v>#REF!</v>
      </c>
      <c r="H370" s="280"/>
      <c r="I370" s="280"/>
      <c r="J370" s="281">
        <f t="shared" si="89"/>
        <v>0</v>
      </c>
      <c r="K370" s="282"/>
      <c r="L370" s="282"/>
      <c r="M370" s="339"/>
      <c r="N370" s="278"/>
      <c r="O370" s="278"/>
      <c r="P370" s="283"/>
      <c r="Q370" s="278"/>
      <c r="R370" s="284"/>
      <c r="S370" s="282"/>
      <c r="T370" s="285"/>
      <c r="U370" s="286"/>
      <c r="V370" s="287"/>
      <c r="W370" s="288"/>
      <c r="X370" s="286"/>
      <c r="Y370" s="289"/>
      <c r="Z370" s="289"/>
      <c r="AA370" s="290">
        <f t="shared" si="88"/>
        <v>0</v>
      </c>
      <c r="AB370" s="291">
        <f t="shared" si="87"/>
        <v>0</v>
      </c>
      <c r="AC370" s="292">
        <f t="shared" si="90"/>
        <v>0</v>
      </c>
      <c r="AD370" s="293"/>
      <c r="AE370" s="293"/>
      <c r="AF370" s="294"/>
      <c r="AG370" s="291"/>
      <c r="AH370" s="295"/>
      <c r="AI370" s="291"/>
      <c r="AJ370" s="295"/>
      <c r="AK370" s="291"/>
      <c r="AL370" s="291"/>
      <c r="AM370" s="291"/>
      <c r="AN370" s="296">
        <v>35000</v>
      </c>
      <c r="AO370" s="296">
        <v>30000</v>
      </c>
      <c r="AP370" s="296"/>
      <c r="AQ370" s="296"/>
      <c r="AR370" s="296"/>
      <c r="AS370" s="296">
        <f t="shared" si="82"/>
        <v>65000</v>
      </c>
      <c r="AT370" s="297">
        <f t="shared" si="83"/>
        <v>-65000</v>
      </c>
      <c r="AU370" s="297">
        <f t="shared" si="91"/>
        <v>-65000</v>
      </c>
      <c r="AV370" s="297">
        <f t="shared" si="92"/>
        <v>0</v>
      </c>
      <c r="AW370" s="297">
        <f t="shared" si="84"/>
        <v>-32500</v>
      </c>
      <c r="AX370" s="297">
        <f t="shared" si="85"/>
        <v>-29250</v>
      </c>
      <c r="AY370" s="298">
        <v>50000</v>
      </c>
      <c r="AZ370" s="298"/>
      <c r="BA370" s="297">
        <f t="shared" si="86"/>
        <v>-79250</v>
      </c>
      <c r="BB370" s="278"/>
      <c r="BC370" s="255"/>
      <c r="BD370" s="255"/>
    </row>
    <row r="371" spans="1:56" s="256" customFormat="1" ht="20" hidden="1" customHeight="1">
      <c r="A371" s="260">
        <v>371</v>
      </c>
      <c r="B371" s="277"/>
      <c r="C371" s="278"/>
      <c r="D371" s="278"/>
      <c r="E371" s="278"/>
      <c r="F371" s="278"/>
      <c r="G371" s="279" t="e">
        <f>"YB"&amp;RIGHT(#REF!,6)</f>
        <v>#REF!</v>
      </c>
      <c r="H371" s="280"/>
      <c r="I371" s="280"/>
      <c r="J371" s="281">
        <f t="shared" si="89"/>
        <v>0</v>
      </c>
      <c r="K371" s="282"/>
      <c r="L371" s="282"/>
      <c r="M371" s="339"/>
      <c r="N371" s="278"/>
      <c r="O371" s="278"/>
      <c r="P371" s="283"/>
      <c r="Q371" s="278"/>
      <c r="R371" s="284"/>
      <c r="S371" s="282"/>
      <c r="T371" s="285"/>
      <c r="U371" s="286"/>
      <c r="V371" s="287"/>
      <c r="W371" s="288"/>
      <c r="X371" s="286"/>
      <c r="Y371" s="289"/>
      <c r="Z371" s="289"/>
      <c r="AA371" s="290">
        <f t="shared" si="88"/>
        <v>0</v>
      </c>
      <c r="AB371" s="291">
        <f t="shared" si="87"/>
        <v>0</v>
      </c>
      <c r="AC371" s="292">
        <f t="shared" si="90"/>
        <v>0</v>
      </c>
      <c r="AD371" s="293"/>
      <c r="AE371" s="293"/>
      <c r="AF371" s="294"/>
      <c r="AG371" s="291"/>
      <c r="AH371" s="295"/>
      <c r="AI371" s="291"/>
      <c r="AJ371" s="295"/>
      <c r="AK371" s="291"/>
      <c r="AL371" s="291"/>
      <c r="AM371" s="291"/>
      <c r="AN371" s="296">
        <v>35000</v>
      </c>
      <c r="AO371" s="296">
        <v>30000</v>
      </c>
      <c r="AP371" s="296"/>
      <c r="AQ371" s="296"/>
      <c r="AR371" s="296"/>
      <c r="AS371" s="296">
        <f t="shared" si="82"/>
        <v>65000</v>
      </c>
      <c r="AT371" s="297">
        <f t="shared" si="83"/>
        <v>-65000</v>
      </c>
      <c r="AU371" s="297">
        <f t="shared" si="91"/>
        <v>-65000</v>
      </c>
      <c r="AV371" s="297">
        <f t="shared" si="92"/>
        <v>0</v>
      </c>
      <c r="AW371" s="297">
        <f t="shared" si="84"/>
        <v>-32500</v>
      </c>
      <c r="AX371" s="297">
        <f t="shared" si="85"/>
        <v>-29250</v>
      </c>
      <c r="AY371" s="298">
        <v>50000</v>
      </c>
      <c r="AZ371" s="298"/>
      <c r="BA371" s="297">
        <f t="shared" si="86"/>
        <v>-79250</v>
      </c>
      <c r="BB371" s="278"/>
      <c r="BC371" s="255"/>
      <c r="BD371" s="255"/>
    </row>
    <row r="372" spans="1:56" s="256" customFormat="1" ht="20" hidden="1" customHeight="1">
      <c r="A372" s="260">
        <v>372</v>
      </c>
      <c r="B372" s="277"/>
      <c r="C372" s="278"/>
      <c r="D372" s="278"/>
      <c r="E372" s="278"/>
      <c r="F372" s="278"/>
      <c r="G372" s="279" t="e">
        <f>"YB"&amp;RIGHT(#REF!,6)</f>
        <v>#REF!</v>
      </c>
      <c r="H372" s="280"/>
      <c r="I372" s="280"/>
      <c r="J372" s="281">
        <f t="shared" si="89"/>
        <v>0</v>
      </c>
      <c r="K372" s="282"/>
      <c r="L372" s="282"/>
      <c r="M372" s="339"/>
      <c r="N372" s="278"/>
      <c r="O372" s="278"/>
      <c r="P372" s="283"/>
      <c r="Q372" s="278"/>
      <c r="R372" s="284"/>
      <c r="S372" s="282"/>
      <c r="T372" s="285"/>
      <c r="U372" s="286"/>
      <c r="V372" s="287"/>
      <c r="W372" s="288"/>
      <c r="X372" s="286"/>
      <c r="Y372" s="289"/>
      <c r="Z372" s="289"/>
      <c r="AA372" s="290">
        <f t="shared" si="88"/>
        <v>0</v>
      </c>
      <c r="AB372" s="291">
        <f t="shared" si="87"/>
        <v>0</v>
      </c>
      <c r="AC372" s="292">
        <f t="shared" si="90"/>
        <v>0</v>
      </c>
      <c r="AD372" s="293"/>
      <c r="AE372" s="293"/>
      <c r="AF372" s="294"/>
      <c r="AG372" s="291"/>
      <c r="AH372" s="295"/>
      <c r="AI372" s="291"/>
      <c r="AJ372" s="295"/>
      <c r="AK372" s="291"/>
      <c r="AL372" s="291"/>
      <c r="AM372" s="291"/>
      <c r="AN372" s="296">
        <v>35000</v>
      </c>
      <c r="AO372" s="296">
        <v>30000</v>
      </c>
      <c r="AP372" s="296"/>
      <c r="AQ372" s="296"/>
      <c r="AR372" s="296"/>
      <c r="AS372" s="296">
        <f t="shared" si="82"/>
        <v>65000</v>
      </c>
      <c r="AT372" s="297">
        <f t="shared" si="83"/>
        <v>-65000</v>
      </c>
      <c r="AU372" s="297">
        <f t="shared" si="91"/>
        <v>-65000</v>
      </c>
      <c r="AV372" s="297">
        <f t="shared" si="92"/>
        <v>0</v>
      </c>
      <c r="AW372" s="297">
        <f t="shared" si="84"/>
        <v>-32500</v>
      </c>
      <c r="AX372" s="297">
        <f t="shared" si="85"/>
        <v>-29250</v>
      </c>
      <c r="AY372" s="298">
        <v>50000</v>
      </c>
      <c r="AZ372" s="298"/>
      <c r="BA372" s="297">
        <f t="shared" si="86"/>
        <v>-79250</v>
      </c>
      <c r="BB372" s="278"/>
      <c r="BC372" s="255"/>
      <c r="BD372" s="255"/>
    </row>
    <row r="373" spans="1:56" s="256" customFormat="1" ht="20" hidden="1" customHeight="1">
      <c r="A373" s="260">
        <v>373</v>
      </c>
      <c r="B373" s="277"/>
      <c r="C373" s="278"/>
      <c r="D373" s="278"/>
      <c r="E373" s="278"/>
      <c r="F373" s="278"/>
      <c r="G373" s="279" t="e">
        <f>"YB"&amp;RIGHT(#REF!,6)</f>
        <v>#REF!</v>
      </c>
      <c r="H373" s="280"/>
      <c r="I373" s="280"/>
      <c r="J373" s="281">
        <f t="shared" si="89"/>
        <v>0</v>
      </c>
      <c r="K373" s="282"/>
      <c r="L373" s="282"/>
      <c r="M373" s="339"/>
      <c r="N373" s="278"/>
      <c r="O373" s="278"/>
      <c r="P373" s="283"/>
      <c r="Q373" s="278"/>
      <c r="R373" s="284"/>
      <c r="S373" s="282"/>
      <c r="T373" s="285"/>
      <c r="U373" s="286"/>
      <c r="V373" s="287"/>
      <c r="W373" s="288"/>
      <c r="X373" s="286"/>
      <c r="Y373" s="289"/>
      <c r="Z373" s="289"/>
      <c r="AA373" s="290">
        <f t="shared" si="88"/>
        <v>0</v>
      </c>
      <c r="AB373" s="291">
        <f t="shared" si="87"/>
        <v>0</v>
      </c>
      <c r="AC373" s="292">
        <f t="shared" si="90"/>
        <v>0</v>
      </c>
      <c r="AD373" s="293"/>
      <c r="AE373" s="293"/>
      <c r="AF373" s="294"/>
      <c r="AG373" s="291"/>
      <c r="AH373" s="295"/>
      <c r="AI373" s="291"/>
      <c r="AJ373" s="295"/>
      <c r="AK373" s="291"/>
      <c r="AL373" s="291"/>
      <c r="AM373" s="291"/>
      <c r="AN373" s="296">
        <v>35000</v>
      </c>
      <c r="AO373" s="296">
        <v>30000</v>
      </c>
      <c r="AP373" s="296"/>
      <c r="AQ373" s="296"/>
      <c r="AR373" s="296"/>
      <c r="AS373" s="296">
        <f t="shared" si="82"/>
        <v>65000</v>
      </c>
      <c r="AT373" s="297">
        <f t="shared" si="83"/>
        <v>-65000</v>
      </c>
      <c r="AU373" s="297">
        <f t="shared" si="91"/>
        <v>-65000</v>
      </c>
      <c r="AV373" s="297">
        <f t="shared" si="92"/>
        <v>0</v>
      </c>
      <c r="AW373" s="297">
        <f t="shared" si="84"/>
        <v>-32500</v>
      </c>
      <c r="AX373" s="297">
        <f t="shared" si="85"/>
        <v>-29250</v>
      </c>
      <c r="AY373" s="298">
        <v>50000</v>
      </c>
      <c r="AZ373" s="298"/>
      <c r="BA373" s="297">
        <f t="shared" si="86"/>
        <v>-79250</v>
      </c>
      <c r="BB373" s="278"/>
      <c r="BC373" s="255"/>
      <c r="BD373" s="255"/>
    </row>
    <row r="374" spans="1:56" s="256" customFormat="1" ht="20" hidden="1" customHeight="1">
      <c r="A374" s="260">
        <v>374</v>
      </c>
      <c r="B374" s="277"/>
      <c r="C374" s="278"/>
      <c r="D374" s="278"/>
      <c r="E374" s="278"/>
      <c r="F374" s="278"/>
      <c r="G374" s="279" t="e">
        <f>"YB"&amp;RIGHT(#REF!,6)</f>
        <v>#REF!</v>
      </c>
      <c r="H374" s="280"/>
      <c r="I374" s="280"/>
      <c r="J374" s="281">
        <f t="shared" si="89"/>
        <v>0</v>
      </c>
      <c r="K374" s="282"/>
      <c r="L374" s="282"/>
      <c r="M374" s="339"/>
      <c r="N374" s="278"/>
      <c r="O374" s="278"/>
      <c r="P374" s="283"/>
      <c r="Q374" s="278"/>
      <c r="R374" s="284"/>
      <c r="S374" s="282"/>
      <c r="T374" s="285"/>
      <c r="U374" s="286"/>
      <c r="V374" s="287"/>
      <c r="W374" s="288"/>
      <c r="X374" s="286"/>
      <c r="Y374" s="289"/>
      <c r="Z374" s="289"/>
      <c r="AA374" s="290">
        <f t="shared" si="88"/>
        <v>0</v>
      </c>
      <c r="AB374" s="291">
        <f t="shared" si="87"/>
        <v>0</v>
      </c>
      <c r="AC374" s="292">
        <f t="shared" si="90"/>
        <v>0</v>
      </c>
      <c r="AD374" s="293"/>
      <c r="AE374" s="293"/>
      <c r="AF374" s="294"/>
      <c r="AG374" s="291"/>
      <c r="AH374" s="295"/>
      <c r="AI374" s="291"/>
      <c r="AJ374" s="295"/>
      <c r="AK374" s="291"/>
      <c r="AL374" s="291"/>
      <c r="AM374" s="291"/>
      <c r="AN374" s="296">
        <v>35000</v>
      </c>
      <c r="AO374" s="296">
        <v>30000</v>
      </c>
      <c r="AP374" s="296"/>
      <c r="AQ374" s="296"/>
      <c r="AR374" s="296"/>
      <c r="AS374" s="296">
        <f t="shared" si="82"/>
        <v>65000</v>
      </c>
      <c r="AT374" s="297">
        <f t="shared" si="83"/>
        <v>-65000</v>
      </c>
      <c r="AU374" s="297">
        <f t="shared" si="91"/>
        <v>-65000</v>
      </c>
      <c r="AV374" s="297">
        <f t="shared" si="92"/>
        <v>0</v>
      </c>
      <c r="AW374" s="297">
        <f t="shared" si="84"/>
        <v>-32500</v>
      </c>
      <c r="AX374" s="297">
        <f t="shared" si="85"/>
        <v>-29250</v>
      </c>
      <c r="AY374" s="298">
        <v>50000</v>
      </c>
      <c r="AZ374" s="298"/>
      <c r="BA374" s="297">
        <f t="shared" si="86"/>
        <v>-79250</v>
      </c>
      <c r="BB374" s="278"/>
      <c r="BC374" s="255"/>
      <c r="BD374" s="255"/>
    </row>
    <row r="375" spans="1:56" s="256" customFormat="1" ht="20" hidden="1" customHeight="1">
      <c r="A375" s="260">
        <v>375</v>
      </c>
      <c r="B375" s="277"/>
      <c r="C375" s="278"/>
      <c r="D375" s="278"/>
      <c r="E375" s="278"/>
      <c r="F375" s="278"/>
      <c r="G375" s="279" t="e">
        <f>"YB"&amp;RIGHT(#REF!,6)</f>
        <v>#REF!</v>
      </c>
      <c r="H375" s="280"/>
      <c r="I375" s="280"/>
      <c r="J375" s="281">
        <f t="shared" si="89"/>
        <v>0</v>
      </c>
      <c r="K375" s="282"/>
      <c r="L375" s="282"/>
      <c r="M375" s="339"/>
      <c r="N375" s="278"/>
      <c r="O375" s="278"/>
      <c r="P375" s="283"/>
      <c r="Q375" s="278"/>
      <c r="R375" s="284"/>
      <c r="S375" s="282"/>
      <c r="T375" s="285"/>
      <c r="U375" s="286"/>
      <c r="V375" s="287"/>
      <c r="W375" s="288"/>
      <c r="X375" s="286"/>
      <c r="Y375" s="289"/>
      <c r="Z375" s="289"/>
      <c r="AA375" s="290">
        <f t="shared" si="88"/>
        <v>0</v>
      </c>
      <c r="AB375" s="291">
        <f t="shared" si="87"/>
        <v>0</v>
      </c>
      <c r="AC375" s="292">
        <f t="shared" si="90"/>
        <v>0</v>
      </c>
      <c r="AD375" s="293"/>
      <c r="AE375" s="293"/>
      <c r="AF375" s="294"/>
      <c r="AG375" s="291"/>
      <c r="AH375" s="295"/>
      <c r="AI375" s="291"/>
      <c r="AJ375" s="295"/>
      <c r="AK375" s="291"/>
      <c r="AL375" s="291"/>
      <c r="AM375" s="291"/>
      <c r="AN375" s="296">
        <v>35000</v>
      </c>
      <c r="AO375" s="296">
        <v>30000</v>
      </c>
      <c r="AP375" s="296"/>
      <c r="AQ375" s="296"/>
      <c r="AR375" s="296"/>
      <c r="AS375" s="296">
        <f t="shared" si="82"/>
        <v>65000</v>
      </c>
      <c r="AT375" s="297">
        <f t="shared" si="83"/>
        <v>-65000</v>
      </c>
      <c r="AU375" s="297">
        <f t="shared" si="91"/>
        <v>-65000</v>
      </c>
      <c r="AV375" s="297">
        <f t="shared" si="92"/>
        <v>0</v>
      </c>
      <c r="AW375" s="297">
        <f t="shared" si="84"/>
        <v>-32500</v>
      </c>
      <c r="AX375" s="297">
        <f t="shared" si="85"/>
        <v>-29250</v>
      </c>
      <c r="AY375" s="298">
        <v>50000</v>
      </c>
      <c r="AZ375" s="298"/>
      <c r="BA375" s="297">
        <f t="shared" si="86"/>
        <v>-79250</v>
      </c>
      <c r="BB375" s="278"/>
      <c r="BC375" s="255"/>
      <c r="BD375" s="255"/>
    </row>
    <row r="376" spans="1:56" s="256" customFormat="1" ht="20" hidden="1" customHeight="1">
      <c r="A376" s="260">
        <v>376</v>
      </c>
      <c r="B376" s="277"/>
      <c r="C376" s="278"/>
      <c r="D376" s="278"/>
      <c r="E376" s="278"/>
      <c r="F376" s="278"/>
      <c r="G376" s="279" t="e">
        <f>"YB"&amp;RIGHT(#REF!,6)</f>
        <v>#REF!</v>
      </c>
      <c r="H376" s="280"/>
      <c r="I376" s="280"/>
      <c r="J376" s="281">
        <f t="shared" si="89"/>
        <v>0</v>
      </c>
      <c r="K376" s="282"/>
      <c r="L376" s="282"/>
      <c r="M376" s="339"/>
      <c r="N376" s="278"/>
      <c r="O376" s="278"/>
      <c r="P376" s="283"/>
      <c r="Q376" s="278"/>
      <c r="R376" s="284"/>
      <c r="S376" s="282"/>
      <c r="T376" s="285"/>
      <c r="U376" s="286"/>
      <c r="V376" s="287"/>
      <c r="W376" s="288"/>
      <c r="X376" s="286"/>
      <c r="Y376" s="289"/>
      <c r="Z376" s="289"/>
      <c r="AA376" s="290">
        <f t="shared" si="88"/>
        <v>0</v>
      </c>
      <c r="AB376" s="291">
        <f t="shared" si="87"/>
        <v>0</v>
      </c>
      <c r="AC376" s="292">
        <f t="shared" si="90"/>
        <v>0</v>
      </c>
      <c r="AD376" s="293"/>
      <c r="AE376" s="293"/>
      <c r="AF376" s="294"/>
      <c r="AG376" s="291"/>
      <c r="AH376" s="295"/>
      <c r="AI376" s="291"/>
      <c r="AJ376" s="295"/>
      <c r="AK376" s="291"/>
      <c r="AL376" s="291"/>
      <c r="AM376" s="291"/>
      <c r="AN376" s="296">
        <v>35000</v>
      </c>
      <c r="AO376" s="296">
        <v>30000</v>
      </c>
      <c r="AP376" s="296"/>
      <c r="AQ376" s="296"/>
      <c r="AR376" s="296"/>
      <c r="AS376" s="296">
        <f t="shared" si="82"/>
        <v>65000</v>
      </c>
      <c r="AT376" s="297">
        <f t="shared" si="83"/>
        <v>-65000</v>
      </c>
      <c r="AU376" s="297">
        <f t="shared" si="91"/>
        <v>-65000</v>
      </c>
      <c r="AV376" s="297">
        <f t="shared" si="92"/>
        <v>0</v>
      </c>
      <c r="AW376" s="297">
        <f t="shared" si="84"/>
        <v>-32500</v>
      </c>
      <c r="AX376" s="297">
        <f t="shared" si="85"/>
        <v>-29250</v>
      </c>
      <c r="AY376" s="298">
        <v>50000</v>
      </c>
      <c r="AZ376" s="298"/>
      <c r="BA376" s="297">
        <f t="shared" si="86"/>
        <v>-79250</v>
      </c>
      <c r="BB376" s="278"/>
      <c r="BC376" s="255"/>
      <c r="BD376" s="255"/>
    </row>
    <row r="377" spans="1:56" s="256" customFormat="1" ht="20" hidden="1" customHeight="1">
      <c r="A377" s="260">
        <v>377</v>
      </c>
      <c r="B377" s="277"/>
      <c r="C377" s="278"/>
      <c r="D377" s="278"/>
      <c r="E377" s="278"/>
      <c r="F377" s="278"/>
      <c r="G377" s="279" t="e">
        <f>"YB"&amp;RIGHT(#REF!,6)</f>
        <v>#REF!</v>
      </c>
      <c r="H377" s="280"/>
      <c r="I377" s="280"/>
      <c r="J377" s="281">
        <f t="shared" si="89"/>
        <v>0</v>
      </c>
      <c r="K377" s="282"/>
      <c r="L377" s="282"/>
      <c r="M377" s="339"/>
      <c r="N377" s="278"/>
      <c r="O377" s="278"/>
      <c r="P377" s="283"/>
      <c r="Q377" s="278"/>
      <c r="R377" s="284"/>
      <c r="S377" s="282"/>
      <c r="T377" s="285"/>
      <c r="U377" s="286"/>
      <c r="V377" s="287"/>
      <c r="W377" s="288"/>
      <c r="X377" s="286"/>
      <c r="Y377" s="289"/>
      <c r="Z377" s="289"/>
      <c r="AA377" s="290">
        <f t="shared" si="88"/>
        <v>0</v>
      </c>
      <c r="AB377" s="291">
        <f t="shared" si="87"/>
        <v>0</v>
      </c>
      <c r="AC377" s="292">
        <f t="shared" si="90"/>
        <v>0</v>
      </c>
      <c r="AD377" s="293"/>
      <c r="AE377" s="293"/>
      <c r="AF377" s="294"/>
      <c r="AG377" s="291"/>
      <c r="AH377" s="295"/>
      <c r="AI377" s="291"/>
      <c r="AJ377" s="295"/>
      <c r="AK377" s="291"/>
      <c r="AL377" s="291"/>
      <c r="AM377" s="291"/>
      <c r="AN377" s="296">
        <v>35000</v>
      </c>
      <c r="AO377" s="296">
        <v>30000</v>
      </c>
      <c r="AP377" s="296"/>
      <c r="AQ377" s="296"/>
      <c r="AR377" s="296"/>
      <c r="AS377" s="296">
        <f t="shared" si="82"/>
        <v>65000</v>
      </c>
      <c r="AT377" s="297">
        <f t="shared" si="83"/>
        <v>-65000</v>
      </c>
      <c r="AU377" s="297">
        <f t="shared" si="91"/>
        <v>-65000</v>
      </c>
      <c r="AV377" s="297">
        <f t="shared" si="92"/>
        <v>0</v>
      </c>
      <c r="AW377" s="297">
        <f t="shared" si="84"/>
        <v>-32500</v>
      </c>
      <c r="AX377" s="297">
        <f t="shared" si="85"/>
        <v>-29250</v>
      </c>
      <c r="AY377" s="298">
        <v>50000</v>
      </c>
      <c r="AZ377" s="298"/>
      <c r="BA377" s="297">
        <f t="shared" si="86"/>
        <v>-79250</v>
      </c>
      <c r="BB377" s="278"/>
      <c r="BC377" s="255"/>
      <c r="BD377" s="255"/>
    </row>
    <row r="378" spans="1:56" s="256" customFormat="1" ht="20" hidden="1" customHeight="1">
      <c r="A378" s="260">
        <v>378</v>
      </c>
      <c r="B378" s="277"/>
      <c r="C378" s="278"/>
      <c r="D378" s="278"/>
      <c r="E378" s="278"/>
      <c r="F378" s="278"/>
      <c r="G378" s="279" t="e">
        <f>"YB"&amp;RIGHT(#REF!,6)</f>
        <v>#REF!</v>
      </c>
      <c r="H378" s="280"/>
      <c r="I378" s="280"/>
      <c r="J378" s="281">
        <f t="shared" si="89"/>
        <v>0</v>
      </c>
      <c r="K378" s="282"/>
      <c r="L378" s="282"/>
      <c r="M378" s="339"/>
      <c r="N378" s="278"/>
      <c r="O378" s="278"/>
      <c r="P378" s="283"/>
      <c r="Q378" s="278"/>
      <c r="R378" s="284"/>
      <c r="S378" s="282"/>
      <c r="T378" s="285"/>
      <c r="U378" s="286"/>
      <c r="V378" s="287"/>
      <c r="W378" s="288"/>
      <c r="X378" s="286"/>
      <c r="Y378" s="289"/>
      <c r="Z378" s="289"/>
      <c r="AA378" s="290">
        <f t="shared" si="88"/>
        <v>0</v>
      </c>
      <c r="AB378" s="291">
        <f t="shared" si="87"/>
        <v>0</v>
      </c>
      <c r="AC378" s="292">
        <f t="shared" si="90"/>
        <v>0</v>
      </c>
      <c r="AD378" s="293"/>
      <c r="AE378" s="293"/>
      <c r="AF378" s="294"/>
      <c r="AG378" s="291"/>
      <c r="AH378" s="295"/>
      <c r="AI378" s="291"/>
      <c r="AJ378" s="295"/>
      <c r="AK378" s="291"/>
      <c r="AL378" s="291"/>
      <c r="AM378" s="291"/>
      <c r="AN378" s="296">
        <v>35000</v>
      </c>
      <c r="AO378" s="296">
        <v>30000</v>
      </c>
      <c r="AP378" s="296"/>
      <c r="AQ378" s="296"/>
      <c r="AR378" s="296"/>
      <c r="AS378" s="296">
        <f t="shared" si="82"/>
        <v>65000</v>
      </c>
      <c r="AT378" s="297">
        <f t="shared" si="83"/>
        <v>-65000</v>
      </c>
      <c r="AU378" s="297">
        <f t="shared" si="91"/>
        <v>-65000</v>
      </c>
      <c r="AV378" s="297">
        <f t="shared" si="92"/>
        <v>0</v>
      </c>
      <c r="AW378" s="297">
        <f t="shared" si="84"/>
        <v>-32500</v>
      </c>
      <c r="AX378" s="297">
        <f t="shared" si="85"/>
        <v>-29250</v>
      </c>
      <c r="AY378" s="298">
        <v>50000</v>
      </c>
      <c r="AZ378" s="298"/>
      <c r="BA378" s="297">
        <f t="shared" si="86"/>
        <v>-79250</v>
      </c>
      <c r="BB378" s="278"/>
      <c r="BC378" s="255"/>
      <c r="BD378" s="255"/>
    </row>
    <row r="379" spans="1:56" s="256" customFormat="1" ht="20" hidden="1" customHeight="1">
      <c r="A379" s="260">
        <v>379</v>
      </c>
      <c r="B379" s="277"/>
      <c r="C379" s="278"/>
      <c r="D379" s="278"/>
      <c r="E379" s="278"/>
      <c r="F379" s="278"/>
      <c r="G379" s="279" t="e">
        <f>"YB"&amp;RIGHT(#REF!,6)</f>
        <v>#REF!</v>
      </c>
      <c r="H379" s="280"/>
      <c r="I379" s="280"/>
      <c r="J379" s="281">
        <f t="shared" si="89"/>
        <v>0</v>
      </c>
      <c r="K379" s="282"/>
      <c r="L379" s="282"/>
      <c r="M379" s="339"/>
      <c r="N379" s="278"/>
      <c r="O379" s="278"/>
      <c r="P379" s="283"/>
      <c r="Q379" s="278"/>
      <c r="R379" s="284"/>
      <c r="S379" s="282"/>
      <c r="T379" s="285"/>
      <c r="U379" s="286"/>
      <c r="V379" s="287"/>
      <c r="W379" s="288"/>
      <c r="X379" s="286"/>
      <c r="Y379" s="289"/>
      <c r="Z379" s="289"/>
      <c r="AA379" s="290">
        <f t="shared" si="88"/>
        <v>0</v>
      </c>
      <c r="AB379" s="291">
        <f t="shared" si="87"/>
        <v>0</v>
      </c>
      <c r="AC379" s="292">
        <f t="shared" si="90"/>
        <v>0</v>
      </c>
      <c r="AD379" s="293"/>
      <c r="AE379" s="293"/>
      <c r="AF379" s="294"/>
      <c r="AG379" s="291"/>
      <c r="AH379" s="295"/>
      <c r="AI379" s="291"/>
      <c r="AJ379" s="295"/>
      <c r="AK379" s="291"/>
      <c r="AL379" s="291"/>
      <c r="AM379" s="291"/>
      <c r="AN379" s="296">
        <v>35000</v>
      </c>
      <c r="AO379" s="296">
        <v>30000</v>
      </c>
      <c r="AP379" s="296"/>
      <c r="AQ379" s="296"/>
      <c r="AR379" s="296"/>
      <c r="AS379" s="296">
        <f t="shared" si="82"/>
        <v>65000</v>
      </c>
      <c r="AT379" s="297">
        <f t="shared" si="83"/>
        <v>-65000</v>
      </c>
      <c r="AU379" s="297">
        <f t="shared" si="91"/>
        <v>-65000</v>
      </c>
      <c r="AV379" s="297">
        <f t="shared" si="92"/>
        <v>0</v>
      </c>
      <c r="AW379" s="297">
        <f t="shared" si="84"/>
        <v>-32500</v>
      </c>
      <c r="AX379" s="297">
        <f t="shared" si="85"/>
        <v>-29250</v>
      </c>
      <c r="AY379" s="298">
        <v>50000</v>
      </c>
      <c r="AZ379" s="298"/>
      <c r="BA379" s="297">
        <f t="shared" si="86"/>
        <v>-79250</v>
      </c>
      <c r="BB379" s="278"/>
      <c r="BC379" s="255"/>
      <c r="BD379" s="255"/>
    </row>
    <row r="380" spans="1:56" s="256" customFormat="1" ht="20" hidden="1" customHeight="1">
      <c r="A380" s="260">
        <v>380</v>
      </c>
      <c r="B380" s="277"/>
      <c r="C380" s="278"/>
      <c r="D380" s="278"/>
      <c r="E380" s="278"/>
      <c r="F380" s="278"/>
      <c r="G380" s="279" t="e">
        <f>"YB"&amp;RIGHT(#REF!,6)</f>
        <v>#REF!</v>
      </c>
      <c r="H380" s="280"/>
      <c r="I380" s="280"/>
      <c r="J380" s="281">
        <f t="shared" si="89"/>
        <v>0</v>
      </c>
      <c r="K380" s="282"/>
      <c r="L380" s="282"/>
      <c r="M380" s="339"/>
      <c r="N380" s="278"/>
      <c r="O380" s="278"/>
      <c r="P380" s="283"/>
      <c r="Q380" s="278"/>
      <c r="R380" s="284"/>
      <c r="S380" s="282"/>
      <c r="T380" s="285"/>
      <c r="U380" s="286"/>
      <c r="V380" s="287"/>
      <c r="W380" s="288"/>
      <c r="X380" s="286"/>
      <c r="Y380" s="289"/>
      <c r="Z380" s="289"/>
      <c r="AA380" s="290">
        <f t="shared" si="88"/>
        <v>0</v>
      </c>
      <c r="AB380" s="291">
        <f t="shared" si="87"/>
        <v>0</v>
      </c>
      <c r="AC380" s="292">
        <f t="shared" si="90"/>
        <v>0</v>
      </c>
      <c r="AD380" s="293"/>
      <c r="AE380" s="293"/>
      <c r="AF380" s="294"/>
      <c r="AG380" s="291"/>
      <c r="AH380" s="295"/>
      <c r="AI380" s="291"/>
      <c r="AJ380" s="295"/>
      <c r="AK380" s="291"/>
      <c r="AL380" s="291"/>
      <c r="AM380" s="291"/>
      <c r="AN380" s="296">
        <v>35000</v>
      </c>
      <c r="AO380" s="296">
        <v>30000</v>
      </c>
      <c r="AP380" s="296"/>
      <c r="AQ380" s="296"/>
      <c r="AR380" s="296"/>
      <c r="AS380" s="296">
        <f t="shared" si="82"/>
        <v>65000</v>
      </c>
      <c r="AT380" s="297">
        <f t="shared" si="83"/>
        <v>-65000</v>
      </c>
      <c r="AU380" s="297">
        <f t="shared" si="91"/>
        <v>-65000</v>
      </c>
      <c r="AV380" s="297">
        <f t="shared" si="92"/>
        <v>0</v>
      </c>
      <c r="AW380" s="297">
        <f t="shared" si="84"/>
        <v>-32500</v>
      </c>
      <c r="AX380" s="297">
        <f t="shared" si="85"/>
        <v>-29250</v>
      </c>
      <c r="AY380" s="298">
        <v>50000</v>
      </c>
      <c r="AZ380" s="298"/>
      <c r="BA380" s="297">
        <f t="shared" si="86"/>
        <v>-79250</v>
      </c>
      <c r="BB380" s="278"/>
      <c r="BC380" s="255"/>
      <c r="BD380" s="255"/>
    </row>
    <row r="381" spans="1:56" s="256" customFormat="1" ht="20" hidden="1" customHeight="1">
      <c r="A381" s="260">
        <v>381</v>
      </c>
      <c r="B381" s="277"/>
      <c r="C381" s="278"/>
      <c r="D381" s="278"/>
      <c r="E381" s="278"/>
      <c r="F381" s="278"/>
      <c r="G381" s="279" t="e">
        <f>"YB"&amp;RIGHT(#REF!,6)</f>
        <v>#REF!</v>
      </c>
      <c r="H381" s="280"/>
      <c r="I381" s="280"/>
      <c r="J381" s="281">
        <f t="shared" si="89"/>
        <v>0</v>
      </c>
      <c r="K381" s="282"/>
      <c r="L381" s="282"/>
      <c r="M381" s="339"/>
      <c r="N381" s="278"/>
      <c r="O381" s="278"/>
      <c r="P381" s="283"/>
      <c r="Q381" s="278"/>
      <c r="R381" s="284"/>
      <c r="S381" s="282"/>
      <c r="T381" s="285"/>
      <c r="U381" s="286"/>
      <c r="V381" s="287"/>
      <c r="W381" s="288"/>
      <c r="X381" s="286"/>
      <c r="Y381" s="289"/>
      <c r="Z381" s="289"/>
      <c r="AA381" s="290">
        <f t="shared" si="88"/>
        <v>0</v>
      </c>
      <c r="AB381" s="291">
        <f t="shared" si="87"/>
        <v>0</v>
      </c>
      <c r="AC381" s="292">
        <f t="shared" si="90"/>
        <v>0</v>
      </c>
      <c r="AD381" s="293"/>
      <c r="AE381" s="293"/>
      <c r="AF381" s="294"/>
      <c r="AG381" s="291"/>
      <c r="AH381" s="295"/>
      <c r="AI381" s="291"/>
      <c r="AJ381" s="295"/>
      <c r="AK381" s="291"/>
      <c r="AL381" s="291"/>
      <c r="AM381" s="291"/>
      <c r="AN381" s="296">
        <v>35000</v>
      </c>
      <c r="AO381" s="296">
        <v>30000</v>
      </c>
      <c r="AP381" s="296"/>
      <c r="AQ381" s="296"/>
      <c r="AR381" s="296"/>
      <c r="AS381" s="296">
        <f t="shared" si="82"/>
        <v>65000</v>
      </c>
      <c r="AT381" s="297">
        <f t="shared" si="83"/>
        <v>-65000</v>
      </c>
      <c r="AU381" s="297">
        <f t="shared" si="91"/>
        <v>-65000</v>
      </c>
      <c r="AV381" s="297">
        <f t="shared" si="92"/>
        <v>0</v>
      </c>
      <c r="AW381" s="297">
        <f t="shared" si="84"/>
        <v>-32500</v>
      </c>
      <c r="AX381" s="297">
        <f t="shared" si="85"/>
        <v>-29250</v>
      </c>
      <c r="AY381" s="298">
        <v>50000</v>
      </c>
      <c r="AZ381" s="298"/>
      <c r="BA381" s="297">
        <f t="shared" si="86"/>
        <v>-79250</v>
      </c>
      <c r="BB381" s="278"/>
      <c r="BC381" s="255"/>
      <c r="BD381" s="255"/>
    </row>
    <row r="382" spans="1:56" s="256" customFormat="1" ht="20" hidden="1" customHeight="1">
      <c r="A382" s="260">
        <v>382</v>
      </c>
      <c r="B382" s="277"/>
      <c r="C382" s="278"/>
      <c r="D382" s="278"/>
      <c r="E382" s="278"/>
      <c r="F382" s="278"/>
      <c r="G382" s="279" t="e">
        <f>"YB"&amp;RIGHT(#REF!,6)</f>
        <v>#REF!</v>
      </c>
      <c r="H382" s="280"/>
      <c r="I382" s="280"/>
      <c r="J382" s="281">
        <f t="shared" si="89"/>
        <v>0</v>
      </c>
      <c r="K382" s="282"/>
      <c r="L382" s="282"/>
      <c r="M382" s="339"/>
      <c r="N382" s="278"/>
      <c r="O382" s="278"/>
      <c r="P382" s="283"/>
      <c r="Q382" s="278"/>
      <c r="R382" s="284"/>
      <c r="S382" s="282"/>
      <c r="T382" s="285"/>
      <c r="U382" s="286"/>
      <c r="V382" s="287"/>
      <c r="W382" s="288"/>
      <c r="X382" s="286"/>
      <c r="Y382" s="289"/>
      <c r="Z382" s="289"/>
      <c r="AA382" s="290">
        <f t="shared" si="88"/>
        <v>0</v>
      </c>
      <c r="AB382" s="291">
        <f t="shared" si="87"/>
        <v>0</v>
      </c>
      <c r="AC382" s="292">
        <f t="shared" si="90"/>
        <v>0</v>
      </c>
      <c r="AD382" s="293"/>
      <c r="AE382" s="293"/>
      <c r="AF382" s="294"/>
      <c r="AG382" s="291"/>
      <c r="AH382" s="295"/>
      <c r="AI382" s="291"/>
      <c r="AJ382" s="295"/>
      <c r="AK382" s="291"/>
      <c r="AL382" s="291"/>
      <c r="AM382" s="291"/>
      <c r="AN382" s="296">
        <v>35000</v>
      </c>
      <c r="AO382" s="296">
        <v>30000</v>
      </c>
      <c r="AP382" s="296"/>
      <c r="AQ382" s="296"/>
      <c r="AR382" s="296"/>
      <c r="AS382" s="296">
        <f t="shared" si="82"/>
        <v>65000</v>
      </c>
      <c r="AT382" s="297">
        <f t="shared" si="83"/>
        <v>-65000</v>
      </c>
      <c r="AU382" s="297">
        <f t="shared" si="91"/>
        <v>-65000</v>
      </c>
      <c r="AV382" s="297">
        <f t="shared" si="92"/>
        <v>0</v>
      </c>
      <c r="AW382" s="297">
        <f t="shared" si="84"/>
        <v>-32500</v>
      </c>
      <c r="AX382" s="297">
        <f t="shared" si="85"/>
        <v>-29250</v>
      </c>
      <c r="AY382" s="298">
        <v>50000</v>
      </c>
      <c r="AZ382" s="298"/>
      <c r="BA382" s="297">
        <f t="shared" si="86"/>
        <v>-79250</v>
      </c>
      <c r="BB382" s="278"/>
      <c r="BC382" s="255"/>
      <c r="BD382" s="255"/>
    </row>
    <row r="383" spans="1:56" s="256" customFormat="1" ht="20" hidden="1" customHeight="1">
      <c r="A383" s="260">
        <v>383</v>
      </c>
      <c r="B383" s="277"/>
      <c r="C383" s="278"/>
      <c r="D383" s="278"/>
      <c r="E383" s="278"/>
      <c r="F383" s="278"/>
      <c r="G383" s="279" t="e">
        <f>"YB"&amp;RIGHT(#REF!,6)</f>
        <v>#REF!</v>
      </c>
      <c r="H383" s="280"/>
      <c r="I383" s="280"/>
      <c r="J383" s="281">
        <f t="shared" si="89"/>
        <v>0</v>
      </c>
      <c r="K383" s="282"/>
      <c r="L383" s="282"/>
      <c r="M383" s="339"/>
      <c r="N383" s="278"/>
      <c r="O383" s="278"/>
      <c r="P383" s="283"/>
      <c r="Q383" s="278"/>
      <c r="R383" s="284"/>
      <c r="S383" s="282"/>
      <c r="T383" s="285"/>
      <c r="U383" s="286"/>
      <c r="V383" s="287"/>
      <c r="W383" s="288"/>
      <c r="X383" s="286"/>
      <c r="Y383" s="289"/>
      <c r="Z383" s="289"/>
      <c r="AA383" s="290">
        <f t="shared" si="88"/>
        <v>0</v>
      </c>
      <c r="AB383" s="291">
        <f t="shared" si="87"/>
        <v>0</v>
      </c>
      <c r="AC383" s="292">
        <f t="shared" si="90"/>
        <v>0</v>
      </c>
      <c r="AD383" s="293"/>
      <c r="AE383" s="293"/>
      <c r="AF383" s="294"/>
      <c r="AG383" s="291"/>
      <c r="AH383" s="295"/>
      <c r="AI383" s="291"/>
      <c r="AJ383" s="295"/>
      <c r="AK383" s="291"/>
      <c r="AL383" s="291"/>
      <c r="AM383" s="291"/>
      <c r="AN383" s="296">
        <v>35000</v>
      </c>
      <c r="AO383" s="296">
        <v>30000</v>
      </c>
      <c r="AP383" s="296"/>
      <c r="AQ383" s="296"/>
      <c r="AR383" s="296"/>
      <c r="AS383" s="296">
        <f t="shared" si="82"/>
        <v>65000</v>
      </c>
      <c r="AT383" s="297">
        <f t="shared" si="83"/>
        <v>-65000</v>
      </c>
      <c r="AU383" s="297">
        <f t="shared" si="91"/>
        <v>-65000</v>
      </c>
      <c r="AV383" s="297">
        <f t="shared" si="92"/>
        <v>0</v>
      </c>
      <c r="AW383" s="297">
        <f t="shared" si="84"/>
        <v>-32500</v>
      </c>
      <c r="AX383" s="297">
        <f t="shared" si="85"/>
        <v>-29250</v>
      </c>
      <c r="AY383" s="298">
        <v>50000</v>
      </c>
      <c r="AZ383" s="298"/>
      <c r="BA383" s="297">
        <f t="shared" si="86"/>
        <v>-79250</v>
      </c>
      <c r="BB383" s="278"/>
      <c r="BC383" s="255"/>
      <c r="BD383" s="255"/>
    </row>
    <row r="384" spans="1:56" s="256" customFormat="1" ht="20" hidden="1" customHeight="1">
      <c r="A384" s="260">
        <v>384</v>
      </c>
      <c r="B384" s="277"/>
      <c r="C384" s="278"/>
      <c r="D384" s="278"/>
      <c r="E384" s="278"/>
      <c r="F384" s="278"/>
      <c r="G384" s="279" t="e">
        <f>"YB"&amp;RIGHT(#REF!,6)</f>
        <v>#REF!</v>
      </c>
      <c r="H384" s="280"/>
      <c r="I384" s="280"/>
      <c r="J384" s="281">
        <f t="shared" si="89"/>
        <v>0</v>
      </c>
      <c r="K384" s="282"/>
      <c r="L384" s="282"/>
      <c r="M384" s="339"/>
      <c r="N384" s="278"/>
      <c r="O384" s="278"/>
      <c r="P384" s="283"/>
      <c r="Q384" s="278"/>
      <c r="R384" s="284"/>
      <c r="S384" s="282"/>
      <c r="T384" s="285"/>
      <c r="U384" s="286"/>
      <c r="V384" s="287"/>
      <c r="W384" s="288"/>
      <c r="X384" s="286"/>
      <c r="Y384" s="289"/>
      <c r="Z384" s="289"/>
      <c r="AA384" s="290">
        <f t="shared" si="88"/>
        <v>0</v>
      </c>
      <c r="AB384" s="291">
        <f t="shared" si="87"/>
        <v>0</v>
      </c>
      <c r="AC384" s="292">
        <f t="shared" si="90"/>
        <v>0</v>
      </c>
      <c r="AD384" s="293"/>
      <c r="AE384" s="293"/>
      <c r="AF384" s="294"/>
      <c r="AG384" s="291"/>
      <c r="AH384" s="295"/>
      <c r="AI384" s="291"/>
      <c r="AJ384" s="295"/>
      <c r="AK384" s="291"/>
      <c r="AL384" s="291"/>
      <c r="AM384" s="291"/>
      <c r="AN384" s="296">
        <v>35000</v>
      </c>
      <c r="AO384" s="296">
        <v>30000</v>
      </c>
      <c r="AP384" s="296"/>
      <c r="AQ384" s="296"/>
      <c r="AR384" s="296"/>
      <c r="AS384" s="296">
        <f t="shared" si="82"/>
        <v>65000</v>
      </c>
      <c r="AT384" s="297">
        <f t="shared" si="83"/>
        <v>-65000</v>
      </c>
      <c r="AU384" s="297">
        <f t="shared" si="91"/>
        <v>-65000</v>
      </c>
      <c r="AV384" s="297">
        <f t="shared" si="92"/>
        <v>0</v>
      </c>
      <c r="AW384" s="297">
        <f t="shared" si="84"/>
        <v>-32500</v>
      </c>
      <c r="AX384" s="297">
        <f t="shared" si="85"/>
        <v>-29250</v>
      </c>
      <c r="AY384" s="298">
        <v>50000</v>
      </c>
      <c r="AZ384" s="298"/>
      <c r="BA384" s="297">
        <f t="shared" si="86"/>
        <v>-79250</v>
      </c>
      <c r="BB384" s="278"/>
      <c r="BC384" s="255"/>
      <c r="BD384" s="255"/>
    </row>
    <row r="385" spans="1:56" s="256" customFormat="1" ht="20" hidden="1" customHeight="1">
      <c r="A385" s="260">
        <v>385</v>
      </c>
      <c r="B385" s="277"/>
      <c r="C385" s="278"/>
      <c r="D385" s="278"/>
      <c r="E385" s="278"/>
      <c r="F385" s="278"/>
      <c r="G385" s="279" t="e">
        <f>"YB"&amp;RIGHT(#REF!,6)</f>
        <v>#REF!</v>
      </c>
      <c r="H385" s="280"/>
      <c r="I385" s="280"/>
      <c r="J385" s="281">
        <f t="shared" si="89"/>
        <v>0</v>
      </c>
      <c r="K385" s="282"/>
      <c r="L385" s="282"/>
      <c r="M385" s="339"/>
      <c r="N385" s="278"/>
      <c r="O385" s="278"/>
      <c r="P385" s="283"/>
      <c r="Q385" s="278"/>
      <c r="R385" s="284"/>
      <c r="S385" s="282"/>
      <c r="T385" s="285"/>
      <c r="U385" s="286"/>
      <c r="V385" s="287"/>
      <c r="W385" s="288"/>
      <c r="X385" s="286"/>
      <c r="Y385" s="289"/>
      <c r="Z385" s="289"/>
      <c r="AA385" s="290">
        <f t="shared" si="88"/>
        <v>0</v>
      </c>
      <c r="AB385" s="291">
        <f t="shared" si="87"/>
        <v>0</v>
      </c>
      <c r="AC385" s="292">
        <f t="shared" si="90"/>
        <v>0</v>
      </c>
      <c r="AD385" s="293"/>
      <c r="AE385" s="293"/>
      <c r="AF385" s="294"/>
      <c r="AG385" s="291"/>
      <c r="AH385" s="295"/>
      <c r="AI385" s="291"/>
      <c r="AJ385" s="295"/>
      <c r="AK385" s="291"/>
      <c r="AL385" s="291"/>
      <c r="AM385" s="291"/>
      <c r="AN385" s="296">
        <v>35000</v>
      </c>
      <c r="AO385" s="296">
        <v>30000</v>
      </c>
      <c r="AP385" s="296"/>
      <c r="AQ385" s="296"/>
      <c r="AR385" s="296"/>
      <c r="AS385" s="296">
        <f t="shared" si="82"/>
        <v>65000</v>
      </c>
      <c r="AT385" s="297">
        <f t="shared" si="83"/>
        <v>-65000</v>
      </c>
      <c r="AU385" s="297">
        <f t="shared" si="91"/>
        <v>-65000</v>
      </c>
      <c r="AV385" s="297">
        <f t="shared" si="92"/>
        <v>0</v>
      </c>
      <c r="AW385" s="297">
        <f t="shared" si="84"/>
        <v>-32500</v>
      </c>
      <c r="AX385" s="297">
        <f t="shared" si="85"/>
        <v>-29250</v>
      </c>
      <c r="AY385" s="298">
        <v>50000</v>
      </c>
      <c r="AZ385" s="298"/>
      <c r="BA385" s="297">
        <f t="shared" si="86"/>
        <v>-79250</v>
      </c>
      <c r="BB385" s="278"/>
      <c r="BC385" s="255"/>
      <c r="BD385" s="255"/>
    </row>
    <row r="386" spans="1:56" s="256" customFormat="1" ht="20" hidden="1" customHeight="1">
      <c r="A386" s="260">
        <v>386</v>
      </c>
      <c r="B386" s="277"/>
      <c r="C386" s="278"/>
      <c r="D386" s="278"/>
      <c r="E386" s="278"/>
      <c r="F386" s="278"/>
      <c r="G386" s="279" t="e">
        <f>"YB"&amp;RIGHT(#REF!,6)</f>
        <v>#REF!</v>
      </c>
      <c r="H386" s="280"/>
      <c r="I386" s="280"/>
      <c r="J386" s="281">
        <f t="shared" si="89"/>
        <v>0</v>
      </c>
      <c r="K386" s="282"/>
      <c r="L386" s="282"/>
      <c r="M386" s="339"/>
      <c r="N386" s="278"/>
      <c r="O386" s="278"/>
      <c r="P386" s="283"/>
      <c r="Q386" s="278"/>
      <c r="R386" s="284"/>
      <c r="S386" s="282"/>
      <c r="T386" s="285"/>
      <c r="U386" s="286"/>
      <c r="V386" s="287"/>
      <c r="W386" s="288"/>
      <c r="X386" s="286"/>
      <c r="Y386" s="289"/>
      <c r="Z386" s="289"/>
      <c r="AA386" s="290">
        <f t="shared" si="88"/>
        <v>0</v>
      </c>
      <c r="AB386" s="291">
        <f t="shared" si="87"/>
        <v>0</v>
      </c>
      <c r="AC386" s="292">
        <f t="shared" si="90"/>
        <v>0</v>
      </c>
      <c r="AD386" s="293"/>
      <c r="AE386" s="293"/>
      <c r="AF386" s="294"/>
      <c r="AG386" s="291"/>
      <c r="AH386" s="295"/>
      <c r="AI386" s="291"/>
      <c r="AJ386" s="295"/>
      <c r="AK386" s="291"/>
      <c r="AL386" s="291"/>
      <c r="AM386" s="291"/>
      <c r="AN386" s="296">
        <v>35000</v>
      </c>
      <c r="AO386" s="296">
        <v>30000</v>
      </c>
      <c r="AP386" s="296"/>
      <c r="AQ386" s="296"/>
      <c r="AR386" s="296"/>
      <c r="AS386" s="296">
        <f t="shared" ref="AS386:AS449" si="93">SUM(AN386:AR386)</f>
        <v>65000</v>
      </c>
      <c r="AT386" s="297">
        <f t="shared" ref="AT386:AT449" si="94">SUM(AA386-W386)*U386-AS386</f>
        <v>-65000</v>
      </c>
      <c r="AU386" s="297">
        <f t="shared" si="91"/>
        <v>-65000</v>
      </c>
      <c r="AV386" s="297">
        <f t="shared" si="92"/>
        <v>0</v>
      </c>
      <c r="AW386" s="297">
        <f t="shared" ref="AW386:AW449" si="95">SUM(AU386:AV386)/2</f>
        <v>-32500</v>
      </c>
      <c r="AX386" s="297">
        <f t="shared" ref="AX386:AX449" si="96">AW386-(AW386*10%)</f>
        <v>-29250</v>
      </c>
      <c r="AY386" s="298">
        <v>50000</v>
      </c>
      <c r="AZ386" s="298"/>
      <c r="BA386" s="297">
        <f t="shared" ref="BA386:BA449" si="97">SUM(AX386-AY386-AZ386)</f>
        <v>-79250</v>
      </c>
      <c r="BB386" s="278"/>
      <c r="BC386" s="255"/>
      <c r="BD386" s="255"/>
    </row>
    <row r="387" spans="1:56" s="256" customFormat="1" ht="20" hidden="1" customHeight="1">
      <c r="A387" s="260">
        <v>387</v>
      </c>
      <c r="B387" s="277"/>
      <c r="C387" s="278"/>
      <c r="D387" s="278"/>
      <c r="E387" s="278"/>
      <c r="F387" s="278"/>
      <c r="G387" s="279" t="e">
        <f>"YB"&amp;RIGHT(#REF!,6)</f>
        <v>#REF!</v>
      </c>
      <c r="H387" s="280"/>
      <c r="I387" s="280"/>
      <c r="J387" s="281">
        <f t="shared" si="89"/>
        <v>0</v>
      </c>
      <c r="K387" s="282"/>
      <c r="L387" s="282"/>
      <c r="M387" s="339"/>
      <c r="N387" s="278"/>
      <c r="O387" s="278"/>
      <c r="P387" s="283"/>
      <c r="Q387" s="278"/>
      <c r="R387" s="284"/>
      <c r="S387" s="282"/>
      <c r="T387" s="285"/>
      <c r="U387" s="286"/>
      <c r="V387" s="287"/>
      <c r="W387" s="288"/>
      <c r="X387" s="286"/>
      <c r="Y387" s="289"/>
      <c r="Z387" s="289"/>
      <c r="AA387" s="290">
        <f t="shared" si="88"/>
        <v>0</v>
      </c>
      <c r="AB387" s="291">
        <f t="shared" si="87"/>
        <v>0</v>
      </c>
      <c r="AC387" s="292">
        <f t="shared" si="90"/>
        <v>0</v>
      </c>
      <c r="AD387" s="293"/>
      <c r="AE387" s="293"/>
      <c r="AF387" s="294"/>
      <c r="AG387" s="291"/>
      <c r="AH387" s="295"/>
      <c r="AI387" s="291"/>
      <c r="AJ387" s="295"/>
      <c r="AK387" s="291"/>
      <c r="AL387" s="291"/>
      <c r="AM387" s="291"/>
      <c r="AN387" s="296">
        <v>35000</v>
      </c>
      <c r="AO387" s="296">
        <v>30000</v>
      </c>
      <c r="AP387" s="296"/>
      <c r="AQ387" s="296"/>
      <c r="AR387" s="296"/>
      <c r="AS387" s="296">
        <f t="shared" si="93"/>
        <v>65000</v>
      </c>
      <c r="AT387" s="297">
        <f t="shared" si="94"/>
        <v>-65000</v>
      </c>
      <c r="AU387" s="297">
        <f t="shared" si="91"/>
        <v>-65000</v>
      </c>
      <c r="AV387" s="297">
        <f t="shared" si="92"/>
        <v>0</v>
      </c>
      <c r="AW387" s="297">
        <f t="shared" si="95"/>
        <v>-32500</v>
      </c>
      <c r="AX387" s="297">
        <f t="shared" si="96"/>
        <v>-29250</v>
      </c>
      <c r="AY387" s="298">
        <v>50000</v>
      </c>
      <c r="AZ387" s="298"/>
      <c r="BA387" s="297">
        <f t="shared" si="97"/>
        <v>-79250</v>
      </c>
      <c r="BB387" s="278"/>
      <c r="BC387" s="255"/>
      <c r="BD387" s="255"/>
    </row>
    <row r="388" spans="1:56" s="256" customFormat="1" ht="20" hidden="1" customHeight="1">
      <c r="A388" s="260">
        <v>388</v>
      </c>
      <c r="B388" s="277"/>
      <c r="C388" s="278"/>
      <c r="D388" s="278"/>
      <c r="E388" s="278"/>
      <c r="F388" s="278"/>
      <c r="G388" s="279" t="e">
        <f>"YB"&amp;RIGHT(#REF!,6)</f>
        <v>#REF!</v>
      </c>
      <c r="H388" s="280"/>
      <c r="I388" s="280"/>
      <c r="J388" s="281">
        <f t="shared" si="89"/>
        <v>0</v>
      </c>
      <c r="K388" s="282"/>
      <c r="L388" s="282"/>
      <c r="M388" s="339"/>
      <c r="N388" s="278"/>
      <c r="O388" s="278"/>
      <c r="P388" s="283"/>
      <c r="Q388" s="278"/>
      <c r="R388" s="284"/>
      <c r="S388" s="282"/>
      <c r="T388" s="285"/>
      <c r="U388" s="286"/>
      <c r="V388" s="287"/>
      <c r="W388" s="288"/>
      <c r="X388" s="286"/>
      <c r="Y388" s="289"/>
      <c r="Z388" s="289"/>
      <c r="AA388" s="290">
        <f t="shared" si="88"/>
        <v>0</v>
      </c>
      <c r="AB388" s="291">
        <f t="shared" si="87"/>
        <v>0</v>
      </c>
      <c r="AC388" s="292">
        <f t="shared" si="90"/>
        <v>0</v>
      </c>
      <c r="AD388" s="293"/>
      <c r="AE388" s="293"/>
      <c r="AF388" s="294"/>
      <c r="AG388" s="291"/>
      <c r="AH388" s="295"/>
      <c r="AI388" s="291"/>
      <c r="AJ388" s="295"/>
      <c r="AK388" s="291"/>
      <c r="AL388" s="291"/>
      <c r="AM388" s="291"/>
      <c r="AN388" s="296">
        <v>35000</v>
      </c>
      <c r="AO388" s="296">
        <v>30000</v>
      </c>
      <c r="AP388" s="296"/>
      <c r="AQ388" s="296"/>
      <c r="AR388" s="296"/>
      <c r="AS388" s="296">
        <f t="shared" si="93"/>
        <v>65000</v>
      </c>
      <c r="AT388" s="297">
        <f t="shared" si="94"/>
        <v>-65000</v>
      </c>
      <c r="AU388" s="297">
        <f t="shared" si="91"/>
        <v>-65000</v>
      </c>
      <c r="AV388" s="297">
        <f t="shared" si="92"/>
        <v>0</v>
      </c>
      <c r="AW388" s="297">
        <f t="shared" si="95"/>
        <v>-32500</v>
      </c>
      <c r="AX388" s="297">
        <f t="shared" si="96"/>
        <v>-29250</v>
      </c>
      <c r="AY388" s="298">
        <v>50000</v>
      </c>
      <c r="AZ388" s="298"/>
      <c r="BA388" s="297">
        <f t="shared" si="97"/>
        <v>-79250</v>
      </c>
      <c r="BB388" s="278"/>
      <c r="BC388" s="255"/>
      <c r="BD388" s="255"/>
    </row>
    <row r="389" spans="1:56" s="256" customFormat="1" ht="20" hidden="1" customHeight="1">
      <c r="A389" s="260">
        <v>389</v>
      </c>
      <c r="B389" s="277"/>
      <c r="C389" s="278"/>
      <c r="D389" s="278"/>
      <c r="E389" s="278"/>
      <c r="F389" s="278"/>
      <c r="G389" s="279" t="e">
        <f>"YB"&amp;RIGHT(#REF!,6)</f>
        <v>#REF!</v>
      </c>
      <c r="H389" s="280"/>
      <c r="I389" s="280"/>
      <c r="J389" s="281">
        <f t="shared" si="89"/>
        <v>0</v>
      </c>
      <c r="K389" s="282"/>
      <c r="L389" s="282"/>
      <c r="M389" s="339"/>
      <c r="N389" s="278"/>
      <c r="O389" s="278"/>
      <c r="P389" s="283"/>
      <c r="Q389" s="278"/>
      <c r="R389" s="284"/>
      <c r="S389" s="282"/>
      <c r="T389" s="285"/>
      <c r="U389" s="286"/>
      <c r="V389" s="287"/>
      <c r="W389" s="288"/>
      <c r="X389" s="286"/>
      <c r="Y389" s="289"/>
      <c r="Z389" s="289"/>
      <c r="AA389" s="290">
        <f t="shared" si="88"/>
        <v>0</v>
      </c>
      <c r="AB389" s="291">
        <f t="shared" si="87"/>
        <v>0</v>
      </c>
      <c r="AC389" s="292">
        <f t="shared" si="90"/>
        <v>0</v>
      </c>
      <c r="AD389" s="293"/>
      <c r="AE389" s="293"/>
      <c r="AF389" s="294"/>
      <c r="AG389" s="291"/>
      <c r="AH389" s="295"/>
      <c r="AI389" s="291"/>
      <c r="AJ389" s="295"/>
      <c r="AK389" s="291"/>
      <c r="AL389" s="291"/>
      <c r="AM389" s="291"/>
      <c r="AN389" s="296">
        <v>35000</v>
      </c>
      <c r="AO389" s="296">
        <v>30000</v>
      </c>
      <c r="AP389" s="296"/>
      <c r="AQ389" s="296"/>
      <c r="AR389" s="296"/>
      <c r="AS389" s="296">
        <f t="shared" si="93"/>
        <v>65000</v>
      </c>
      <c r="AT389" s="297">
        <f t="shared" si="94"/>
        <v>-65000</v>
      </c>
      <c r="AU389" s="297">
        <f t="shared" si="91"/>
        <v>-65000</v>
      </c>
      <c r="AV389" s="297">
        <f t="shared" si="92"/>
        <v>0</v>
      </c>
      <c r="AW389" s="297">
        <f t="shared" si="95"/>
        <v>-32500</v>
      </c>
      <c r="AX389" s="297">
        <f t="shared" si="96"/>
        <v>-29250</v>
      </c>
      <c r="AY389" s="298">
        <v>50000</v>
      </c>
      <c r="AZ389" s="298"/>
      <c r="BA389" s="297">
        <f t="shared" si="97"/>
        <v>-79250</v>
      </c>
      <c r="BB389" s="278"/>
      <c r="BC389" s="255"/>
      <c r="BD389" s="255"/>
    </row>
    <row r="390" spans="1:56" s="256" customFormat="1" ht="20" hidden="1" customHeight="1">
      <c r="A390" s="260">
        <v>390</v>
      </c>
      <c r="B390" s="277"/>
      <c r="C390" s="278"/>
      <c r="D390" s="278"/>
      <c r="E390" s="278"/>
      <c r="F390" s="278"/>
      <c r="G390" s="279" t="e">
        <f>"YB"&amp;RIGHT(#REF!,6)</f>
        <v>#REF!</v>
      </c>
      <c r="H390" s="280"/>
      <c r="I390" s="280"/>
      <c r="J390" s="281">
        <f t="shared" si="89"/>
        <v>0</v>
      </c>
      <c r="K390" s="282"/>
      <c r="L390" s="282"/>
      <c r="M390" s="339"/>
      <c r="N390" s="278"/>
      <c r="O390" s="278"/>
      <c r="P390" s="283"/>
      <c r="Q390" s="278"/>
      <c r="R390" s="284"/>
      <c r="S390" s="282"/>
      <c r="T390" s="285"/>
      <c r="U390" s="286"/>
      <c r="V390" s="287"/>
      <c r="W390" s="288"/>
      <c r="X390" s="286"/>
      <c r="Y390" s="289"/>
      <c r="Z390" s="289"/>
      <c r="AA390" s="290">
        <f t="shared" si="88"/>
        <v>0</v>
      </c>
      <c r="AB390" s="291">
        <f t="shared" si="87"/>
        <v>0</v>
      </c>
      <c r="AC390" s="292">
        <f t="shared" si="90"/>
        <v>0</v>
      </c>
      <c r="AD390" s="293"/>
      <c r="AE390" s="293"/>
      <c r="AF390" s="294"/>
      <c r="AG390" s="291"/>
      <c r="AH390" s="295"/>
      <c r="AI390" s="291"/>
      <c r="AJ390" s="295"/>
      <c r="AK390" s="291"/>
      <c r="AL390" s="291"/>
      <c r="AM390" s="291"/>
      <c r="AN390" s="296">
        <v>35000</v>
      </c>
      <c r="AO390" s="296">
        <v>30000</v>
      </c>
      <c r="AP390" s="296"/>
      <c r="AQ390" s="296"/>
      <c r="AR390" s="296"/>
      <c r="AS390" s="296">
        <f t="shared" si="93"/>
        <v>65000</v>
      </c>
      <c r="AT390" s="297">
        <f t="shared" si="94"/>
        <v>-65000</v>
      </c>
      <c r="AU390" s="297">
        <f t="shared" si="91"/>
        <v>-65000</v>
      </c>
      <c r="AV390" s="297">
        <f t="shared" si="92"/>
        <v>0</v>
      </c>
      <c r="AW390" s="297">
        <f t="shared" si="95"/>
        <v>-32500</v>
      </c>
      <c r="AX390" s="297">
        <f t="shared" si="96"/>
        <v>-29250</v>
      </c>
      <c r="AY390" s="298">
        <v>50000</v>
      </c>
      <c r="AZ390" s="298"/>
      <c r="BA390" s="297">
        <f t="shared" si="97"/>
        <v>-79250</v>
      </c>
      <c r="BB390" s="278"/>
      <c r="BC390" s="255"/>
      <c r="BD390" s="255"/>
    </row>
    <row r="391" spans="1:56" s="256" customFormat="1" ht="20" hidden="1" customHeight="1">
      <c r="A391" s="260">
        <v>391</v>
      </c>
      <c r="B391" s="277"/>
      <c r="C391" s="278"/>
      <c r="D391" s="278"/>
      <c r="E391" s="278"/>
      <c r="F391" s="278"/>
      <c r="G391" s="279" t="e">
        <f>"YB"&amp;RIGHT(#REF!,6)</f>
        <v>#REF!</v>
      </c>
      <c r="H391" s="280"/>
      <c r="I391" s="280"/>
      <c r="J391" s="281">
        <f t="shared" si="89"/>
        <v>0</v>
      </c>
      <c r="K391" s="282"/>
      <c r="L391" s="282"/>
      <c r="M391" s="339"/>
      <c r="N391" s="278"/>
      <c r="O391" s="278"/>
      <c r="P391" s="283"/>
      <c r="Q391" s="278"/>
      <c r="R391" s="284"/>
      <c r="S391" s="282"/>
      <c r="T391" s="285"/>
      <c r="U391" s="286"/>
      <c r="V391" s="287"/>
      <c r="W391" s="288"/>
      <c r="X391" s="286"/>
      <c r="Y391" s="289"/>
      <c r="Z391" s="289"/>
      <c r="AA391" s="290">
        <f t="shared" si="88"/>
        <v>0</v>
      </c>
      <c r="AB391" s="291">
        <f t="shared" si="87"/>
        <v>0</v>
      </c>
      <c r="AC391" s="292">
        <f t="shared" si="90"/>
        <v>0</v>
      </c>
      <c r="AD391" s="293"/>
      <c r="AE391" s="293"/>
      <c r="AF391" s="294"/>
      <c r="AG391" s="291"/>
      <c r="AH391" s="295"/>
      <c r="AI391" s="291"/>
      <c r="AJ391" s="295"/>
      <c r="AK391" s="291"/>
      <c r="AL391" s="291"/>
      <c r="AM391" s="291"/>
      <c r="AN391" s="296">
        <v>35000</v>
      </c>
      <c r="AO391" s="296">
        <v>30000</v>
      </c>
      <c r="AP391" s="296"/>
      <c r="AQ391" s="296"/>
      <c r="AR391" s="296"/>
      <c r="AS391" s="296">
        <f t="shared" si="93"/>
        <v>65000</v>
      </c>
      <c r="AT391" s="297">
        <f t="shared" si="94"/>
        <v>-65000</v>
      </c>
      <c r="AU391" s="297">
        <f t="shared" si="91"/>
        <v>-65000</v>
      </c>
      <c r="AV391" s="297">
        <f t="shared" si="92"/>
        <v>0</v>
      </c>
      <c r="AW391" s="297">
        <f t="shared" si="95"/>
        <v>-32500</v>
      </c>
      <c r="AX391" s="297">
        <f t="shared" si="96"/>
        <v>-29250</v>
      </c>
      <c r="AY391" s="298">
        <v>50000</v>
      </c>
      <c r="AZ391" s="298"/>
      <c r="BA391" s="297">
        <f t="shared" si="97"/>
        <v>-79250</v>
      </c>
      <c r="BB391" s="278"/>
      <c r="BC391" s="255"/>
      <c r="BD391" s="255"/>
    </row>
    <row r="392" spans="1:56" s="256" customFormat="1" ht="20" hidden="1" customHeight="1">
      <c r="A392" s="260">
        <v>392</v>
      </c>
      <c r="B392" s="277"/>
      <c r="C392" s="278"/>
      <c r="D392" s="278"/>
      <c r="E392" s="278"/>
      <c r="F392" s="278"/>
      <c r="G392" s="279" t="e">
        <f>"YB"&amp;RIGHT(#REF!,6)</f>
        <v>#REF!</v>
      </c>
      <c r="H392" s="280"/>
      <c r="I392" s="280"/>
      <c r="J392" s="281">
        <f t="shared" si="89"/>
        <v>0</v>
      </c>
      <c r="K392" s="282"/>
      <c r="L392" s="282"/>
      <c r="M392" s="339"/>
      <c r="N392" s="278"/>
      <c r="O392" s="278"/>
      <c r="P392" s="283"/>
      <c r="Q392" s="278"/>
      <c r="R392" s="284"/>
      <c r="S392" s="282"/>
      <c r="T392" s="285"/>
      <c r="U392" s="286"/>
      <c r="V392" s="287"/>
      <c r="W392" s="288"/>
      <c r="X392" s="286"/>
      <c r="Y392" s="289"/>
      <c r="Z392" s="289"/>
      <c r="AA392" s="290">
        <f t="shared" si="88"/>
        <v>0</v>
      </c>
      <c r="AB392" s="291">
        <f t="shared" si="87"/>
        <v>0</v>
      </c>
      <c r="AC392" s="292">
        <f t="shared" si="90"/>
        <v>0</v>
      </c>
      <c r="AD392" s="293"/>
      <c r="AE392" s="293"/>
      <c r="AF392" s="294"/>
      <c r="AG392" s="291"/>
      <c r="AH392" s="295"/>
      <c r="AI392" s="291"/>
      <c r="AJ392" s="295"/>
      <c r="AK392" s="291"/>
      <c r="AL392" s="291"/>
      <c r="AM392" s="291"/>
      <c r="AN392" s="296">
        <v>35000</v>
      </c>
      <c r="AO392" s="296">
        <v>30000</v>
      </c>
      <c r="AP392" s="296"/>
      <c r="AQ392" s="296"/>
      <c r="AR392" s="296"/>
      <c r="AS392" s="296">
        <f t="shared" si="93"/>
        <v>65000</v>
      </c>
      <c r="AT392" s="297">
        <f t="shared" si="94"/>
        <v>-65000</v>
      </c>
      <c r="AU392" s="297">
        <f t="shared" si="91"/>
        <v>-65000</v>
      </c>
      <c r="AV392" s="297">
        <f t="shared" si="92"/>
        <v>0</v>
      </c>
      <c r="AW392" s="297">
        <f t="shared" si="95"/>
        <v>-32500</v>
      </c>
      <c r="AX392" s="297">
        <f t="shared" si="96"/>
        <v>-29250</v>
      </c>
      <c r="AY392" s="298">
        <v>50000</v>
      </c>
      <c r="AZ392" s="298"/>
      <c r="BA392" s="297">
        <f t="shared" si="97"/>
        <v>-79250</v>
      </c>
      <c r="BB392" s="278"/>
      <c r="BC392" s="255"/>
      <c r="BD392" s="255"/>
    </row>
    <row r="393" spans="1:56" s="256" customFormat="1" ht="20" hidden="1" customHeight="1">
      <c r="A393" s="260">
        <v>393</v>
      </c>
      <c r="B393" s="277"/>
      <c r="C393" s="278"/>
      <c r="D393" s="278"/>
      <c r="E393" s="278"/>
      <c r="F393" s="278"/>
      <c r="G393" s="279" t="e">
        <f>"YB"&amp;RIGHT(#REF!,6)</f>
        <v>#REF!</v>
      </c>
      <c r="H393" s="280"/>
      <c r="I393" s="280"/>
      <c r="J393" s="281">
        <f t="shared" si="89"/>
        <v>0</v>
      </c>
      <c r="K393" s="282"/>
      <c r="L393" s="282"/>
      <c r="M393" s="339"/>
      <c r="N393" s="278"/>
      <c r="O393" s="278"/>
      <c r="P393" s="283"/>
      <c r="Q393" s="278"/>
      <c r="R393" s="284"/>
      <c r="S393" s="282"/>
      <c r="T393" s="285"/>
      <c r="U393" s="286"/>
      <c r="V393" s="287"/>
      <c r="W393" s="288"/>
      <c r="X393" s="286"/>
      <c r="Y393" s="289"/>
      <c r="Z393" s="289"/>
      <c r="AA393" s="290">
        <f t="shared" si="88"/>
        <v>0</v>
      </c>
      <c r="AB393" s="291">
        <f t="shared" si="87"/>
        <v>0</v>
      </c>
      <c r="AC393" s="292">
        <f t="shared" si="90"/>
        <v>0</v>
      </c>
      <c r="AD393" s="293"/>
      <c r="AE393" s="293"/>
      <c r="AF393" s="294"/>
      <c r="AG393" s="291"/>
      <c r="AH393" s="295"/>
      <c r="AI393" s="291"/>
      <c r="AJ393" s="295"/>
      <c r="AK393" s="291"/>
      <c r="AL393" s="291"/>
      <c r="AM393" s="291"/>
      <c r="AN393" s="296">
        <v>35000</v>
      </c>
      <c r="AO393" s="296">
        <v>30000</v>
      </c>
      <c r="AP393" s="296"/>
      <c r="AQ393" s="296"/>
      <c r="AR393" s="296"/>
      <c r="AS393" s="296">
        <f t="shared" si="93"/>
        <v>65000</v>
      </c>
      <c r="AT393" s="297">
        <f t="shared" si="94"/>
        <v>-65000</v>
      </c>
      <c r="AU393" s="297">
        <f t="shared" si="91"/>
        <v>-65000</v>
      </c>
      <c r="AV393" s="297">
        <f t="shared" si="92"/>
        <v>0</v>
      </c>
      <c r="AW393" s="297">
        <f t="shared" si="95"/>
        <v>-32500</v>
      </c>
      <c r="AX393" s="297">
        <f t="shared" si="96"/>
        <v>-29250</v>
      </c>
      <c r="AY393" s="298">
        <v>50000</v>
      </c>
      <c r="AZ393" s="298"/>
      <c r="BA393" s="297">
        <f t="shared" si="97"/>
        <v>-79250</v>
      </c>
      <c r="BB393" s="278"/>
      <c r="BC393" s="255"/>
      <c r="BD393" s="255"/>
    </row>
    <row r="394" spans="1:56" s="256" customFormat="1" ht="20" hidden="1" customHeight="1">
      <c r="A394" s="260">
        <v>394</v>
      </c>
      <c r="B394" s="277"/>
      <c r="C394" s="278"/>
      <c r="D394" s="278"/>
      <c r="E394" s="278"/>
      <c r="F394" s="278"/>
      <c r="G394" s="279" t="e">
        <f>"YB"&amp;RIGHT(#REF!,6)</f>
        <v>#REF!</v>
      </c>
      <c r="H394" s="280"/>
      <c r="I394" s="280"/>
      <c r="J394" s="281">
        <f t="shared" si="89"/>
        <v>0</v>
      </c>
      <c r="K394" s="282"/>
      <c r="L394" s="282"/>
      <c r="M394" s="339"/>
      <c r="N394" s="278"/>
      <c r="O394" s="278"/>
      <c r="P394" s="283"/>
      <c r="Q394" s="278"/>
      <c r="R394" s="284"/>
      <c r="S394" s="282"/>
      <c r="T394" s="285"/>
      <c r="U394" s="286"/>
      <c r="V394" s="287"/>
      <c r="W394" s="288"/>
      <c r="X394" s="286"/>
      <c r="Y394" s="289"/>
      <c r="Z394" s="289"/>
      <c r="AA394" s="290">
        <f t="shared" si="88"/>
        <v>0</v>
      </c>
      <c r="AB394" s="291">
        <f t="shared" si="87"/>
        <v>0</v>
      </c>
      <c r="AC394" s="292">
        <f t="shared" si="90"/>
        <v>0</v>
      </c>
      <c r="AD394" s="293"/>
      <c r="AE394" s="293"/>
      <c r="AF394" s="294"/>
      <c r="AG394" s="291"/>
      <c r="AH394" s="295"/>
      <c r="AI394" s="291"/>
      <c r="AJ394" s="295"/>
      <c r="AK394" s="291"/>
      <c r="AL394" s="291"/>
      <c r="AM394" s="291"/>
      <c r="AN394" s="296">
        <v>35000</v>
      </c>
      <c r="AO394" s="296">
        <v>30000</v>
      </c>
      <c r="AP394" s="296"/>
      <c r="AQ394" s="296"/>
      <c r="AR394" s="296"/>
      <c r="AS394" s="296">
        <f t="shared" si="93"/>
        <v>65000</v>
      </c>
      <c r="AT394" s="297">
        <f t="shared" si="94"/>
        <v>-65000</v>
      </c>
      <c r="AU394" s="297">
        <f t="shared" si="91"/>
        <v>-65000</v>
      </c>
      <c r="AV394" s="297">
        <f t="shared" si="92"/>
        <v>0</v>
      </c>
      <c r="AW394" s="297">
        <f t="shared" si="95"/>
        <v>-32500</v>
      </c>
      <c r="AX394" s="297">
        <f t="shared" si="96"/>
        <v>-29250</v>
      </c>
      <c r="AY394" s="298">
        <v>50000</v>
      </c>
      <c r="AZ394" s="298"/>
      <c r="BA394" s="297">
        <f t="shared" si="97"/>
        <v>-79250</v>
      </c>
      <c r="BB394" s="278"/>
      <c r="BC394" s="255"/>
      <c r="BD394" s="255"/>
    </row>
    <row r="395" spans="1:56" s="256" customFormat="1" ht="20" hidden="1" customHeight="1">
      <c r="A395" s="260">
        <v>395</v>
      </c>
      <c r="B395" s="277"/>
      <c r="C395" s="278"/>
      <c r="D395" s="278"/>
      <c r="E395" s="278"/>
      <c r="F395" s="278"/>
      <c r="G395" s="279" t="e">
        <f>"YB"&amp;RIGHT(#REF!,6)</f>
        <v>#REF!</v>
      </c>
      <c r="H395" s="280"/>
      <c r="I395" s="280"/>
      <c r="J395" s="281">
        <f t="shared" si="89"/>
        <v>0</v>
      </c>
      <c r="K395" s="282"/>
      <c r="L395" s="282"/>
      <c r="M395" s="339"/>
      <c r="N395" s="278"/>
      <c r="O395" s="278"/>
      <c r="P395" s="283"/>
      <c r="Q395" s="278"/>
      <c r="R395" s="284"/>
      <c r="S395" s="282"/>
      <c r="T395" s="285"/>
      <c r="U395" s="286"/>
      <c r="V395" s="287"/>
      <c r="W395" s="288"/>
      <c r="X395" s="286"/>
      <c r="Y395" s="289"/>
      <c r="Z395" s="289"/>
      <c r="AA395" s="290">
        <f t="shared" si="88"/>
        <v>0</v>
      </c>
      <c r="AB395" s="291">
        <f t="shared" si="87"/>
        <v>0</v>
      </c>
      <c r="AC395" s="292">
        <f t="shared" si="90"/>
        <v>0</v>
      </c>
      <c r="AD395" s="293"/>
      <c r="AE395" s="293"/>
      <c r="AF395" s="294"/>
      <c r="AG395" s="291"/>
      <c r="AH395" s="295"/>
      <c r="AI395" s="291"/>
      <c r="AJ395" s="295"/>
      <c r="AK395" s="291"/>
      <c r="AL395" s="291"/>
      <c r="AM395" s="291"/>
      <c r="AN395" s="296">
        <v>35000</v>
      </c>
      <c r="AO395" s="296">
        <v>30000</v>
      </c>
      <c r="AP395" s="296"/>
      <c r="AQ395" s="296"/>
      <c r="AR395" s="296"/>
      <c r="AS395" s="296">
        <f t="shared" si="93"/>
        <v>65000</v>
      </c>
      <c r="AT395" s="297">
        <f t="shared" si="94"/>
        <v>-65000</v>
      </c>
      <c r="AU395" s="297">
        <f t="shared" si="91"/>
        <v>-65000</v>
      </c>
      <c r="AV395" s="297">
        <f t="shared" si="92"/>
        <v>0</v>
      </c>
      <c r="AW395" s="297">
        <f t="shared" si="95"/>
        <v>-32500</v>
      </c>
      <c r="AX395" s="297">
        <f t="shared" si="96"/>
        <v>-29250</v>
      </c>
      <c r="AY395" s="298">
        <v>50000</v>
      </c>
      <c r="AZ395" s="298"/>
      <c r="BA395" s="297">
        <f t="shared" si="97"/>
        <v>-79250</v>
      </c>
      <c r="BB395" s="278"/>
      <c r="BC395" s="255"/>
      <c r="BD395" s="255"/>
    </row>
    <row r="396" spans="1:56" s="256" customFormat="1" ht="20" hidden="1" customHeight="1">
      <c r="A396" s="260">
        <v>396</v>
      </c>
      <c r="B396" s="277"/>
      <c r="C396" s="278"/>
      <c r="D396" s="278"/>
      <c r="E396" s="278"/>
      <c r="F396" s="278"/>
      <c r="G396" s="279" t="e">
        <f>"YB"&amp;RIGHT(#REF!,6)</f>
        <v>#REF!</v>
      </c>
      <c r="H396" s="280"/>
      <c r="I396" s="280"/>
      <c r="J396" s="281">
        <f t="shared" si="89"/>
        <v>0</v>
      </c>
      <c r="K396" s="282"/>
      <c r="L396" s="282"/>
      <c r="M396" s="339"/>
      <c r="N396" s="278"/>
      <c r="O396" s="278"/>
      <c r="P396" s="283"/>
      <c r="Q396" s="278"/>
      <c r="R396" s="284"/>
      <c r="S396" s="282"/>
      <c r="T396" s="285"/>
      <c r="U396" s="286"/>
      <c r="V396" s="287"/>
      <c r="W396" s="288"/>
      <c r="X396" s="286"/>
      <c r="Y396" s="289"/>
      <c r="Z396" s="289"/>
      <c r="AA396" s="290">
        <f t="shared" si="88"/>
        <v>0</v>
      </c>
      <c r="AB396" s="291">
        <f t="shared" si="87"/>
        <v>0</v>
      </c>
      <c r="AC396" s="292">
        <f t="shared" si="90"/>
        <v>0</v>
      </c>
      <c r="AD396" s="293"/>
      <c r="AE396" s="293"/>
      <c r="AF396" s="294"/>
      <c r="AG396" s="291"/>
      <c r="AH396" s="295"/>
      <c r="AI396" s="291"/>
      <c r="AJ396" s="295"/>
      <c r="AK396" s="291"/>
      <c r="AL396" s="291"/>
      <c r="AM396" s="291"/>
      <c r="AN396" s="296">
        <v>35000</v>
      </c>
      <c r="AO396" s="296">
        <v>30000</v>
      </c>
      <c r="AP396" s="296"/>
      <c r="AQ396" s="296"/>
      <c r="AR396" s="296"/>
      <c r="AS396" s="296">
        <f t="shared" si="93"/>
        <v>65000</v>
      </c>
      <c r="AT396" s="297">
        <f t="shared" si="94"/>
        <v>-65000</v>
      </c>
      <c r="AU396" s="297">
        <f t="shared" si="91"/>
        <v>-65000</v>
      </c>
      <c r="AV396" s="297">
        <f t="shared" si="92"/>
        <v>0</v>
      </c>
      <c r="AW396" s="297">
        <f t="shared" si="95"/>
        <v>-32500</v>
      </c>
      <c r="AX396" s="297">
        <f t="shared" si="96"/>
        <v>-29250</v>
      </c>
      <c r="AY396" s="298">
        <v>50000</v>
      </c>
      <c r="AZ396" s="298"/>
      <c r="BA396" s="297">
        <f t="shared" si="97"/>
        <v>-79250</v>
      </c>
      <c r="BB396" s="278"/>
      <c r="BC396" s="255"/>
      <c r="BD396" s="255"/>
    </row>
    <row r="397" spans="1:56" s="256" customFormat="1" ht="20" hidden="1" customHeight="1">
      <c r="A397" s="260">
        <v>397</v>
      </c>
      <c r="B397" s="277"/>
      <c r="C397" s="278"/>
      <c r="D397" s="278"/>
      <c r="E397" s="278"/>
      <c r="F397" s="278"/>
      <c r="G397" s="279" t="e">
        <f>"YB"&amp;RIGHT(#REF!,6)</f>
        <v>#REF!</v>
      </c>
      <c r="H397" s="280"/>
      <c r="I397" s="280"/>
      <c r="J397" s="281">
        <f t="shared" si="89"/>
        <v>0</v>
      </c>
      <c r="K397" s="282"/>
      <c r="L397" s="282"/>
      <c r="M397" s="339"/>
      <c r="N397" s="278"/>
      <c r="O397" s="278"/>
      <c r="P397" s="283"/>
      <c r="Q397" s="278"/>
      <c r="R397" s="284"/>
      <c r="S397" s="282"/>
      <c r="T397" s="285"/>
      <c r="U397" s="286"/>
      <c r="V397" s="287"/>
      <c r="W397" s="288"/>
      <c r="X397" s="286"/>
      <c r="Y397" s="289"/>
      <c r="Z397" s="289"/>
      <c r="AA397" s="290">
        <f t="shared" si="88"/>
        <v>0</v>
      </c>
      <c r="AB397" s="291">
        <f t="shared" si="87"/>
        <v>0</v>
      </c>
      <c r="AC397" s="292">
        <f t="shared" si="90"/>
        <v>0</v>
      </c>
      <c r="AD397" s="293"/>
      <c r="AE397" s="293"/>
      <c r="AF397" s="294"/>
      <c r="AG397" s="291"/>
      <c r="AH397" s="295"/>
      <c r="AI397" s="291"/>
      <c r="AJ397" s="295"/>
      <c r="AK397" s="291"/>
      <c r="AL397" s="291"/>
      <c r="AM397" s="291"/>
      <c r="AN397" s="296">
        <v>35000</v>
      </c>
      <c r="AO397" s="296">
        <v>30000</v>
      </c>
      <c r="AP397" s="296"/>
      <c r="AQ397" s="296"/>
      <c r="AR397" s="296"/>
      <c r="AS397" s="296">
        <f t="shared" si="93"/>
        <v>65000</v>
      </c>
      <c r="AT397" s="297">
        <f t="shared" si="94"/>
        <v>-65000</v>
      </c>
      <c r="AU397" s="297">
        <f t="shared" si="91"/>
        <v>-65000</v>
      </c>
      <c r="AV397" s="297">
        <f t="shared" si="92"/>
        <v>0</v>
      </c>
      <c r="AW397" s="297">
        <f t="shared" si="95"/>
        <v>-32500</v>
      </c>
      <c r="AX397" s="297">
        <f t="shared" si="96"/>
        <v>-29250</v>
      </c>
      <c r="AY397" s="298">
        <v>50000</v>
      </c>
      <c r="AZ397" s="298"/>
      <c r="BA397" s="297">
        <f t="shared" si="97"/>
        <v>-79250</v>
      </c>
      <c r="BB397" s="278"/>
      <c r="BC397" s="255"/>
      <c r="BD397" s="255"/>
    </row>
    <row r="398" spans="1:56" s="256" customFormat="1" ht="20" hidden="1" customHeight="1">
      <c r="A398" s="260">
        <v>398</v>
      </c>
      <c r="B398" s="277"/>
      <c r="C398" s="278"/>
      <c r="D398" s="278"/>
      <c r="E398" s="278"/>
      <c r="F398" s="278"/>
      <c r="G398" s="279" t="e">
        <f>"YB"&amp;RIGHT(#REF!,6)</f>
        <v>#REF!</v>
      </c>
      <c r="H398" s="280"/>
      <c r="I398" s="280"/>
      <c r="J398" s="281">
        <f t="shared" si="89"/>
        <v>0</v>
      </c>
      <c r="K398" s="282"/>
      <c r="L398" s="282"/>
      <c r="M398" s="339"/>
      <c r="N398" s="278"/>
      <c r="O398" s="278"/>
      <c r="P398" s="283"/>
      <c r="Q398" s="278"/>
      <c r="R398" s="284"/>
      <c r="S398" s="282"/>
      <c r="T398" s="285"/>
      <c r="U398" s="286"/>
      <c r="V398" s="287"/>
      <c r="W398" s="288"/>
      <c r="X398" s="286"/>
      <c r="Y398" s="289"/>
      <c r="Z398" s="289"/>
      <c r="AA398" s="290">
        <f t="shared" si="88"/>
        <v>0</v>
      </c>
      <c r="AB398" s="291">
        <f t="shared" si="87"/>
        <v>0</v>
      </c>
      <c r="AC398" s="292">
        <f t="shared" si="90"/>
        <v>0</v>
      </c>
      <c r="AD398" s="293"/>
      <c r="AE398" s="293"/>
      <c r="AF398" s="294"/>
      <c r="AG398" s="291"/>
      <c r="AH398" s="295"/>
      <c r="AI398" s="291"/>
      <c r="AJ398" s="295"/>
      <c r="AK398" s="291"/>
      <c r="AL398" s="291"/>
      <c r="AM398" s="291"/>
      <c r="AN398" s="296">
        <v>35000</v>
      </c>
      <c r="AO398" s="296">
        <v>30000</v>
      </c>
      <c r="AP398" s="296"/>
      <c r="AQ398" s="296"/>
      <c r="AR398" s="296"/>
      <c r="AS398" s="296">
        <f t="shared" si="93"/>
        <v>65000</v>
      </c>
      <c r="AT398" s="297">
        <f t="shared" si="94"/>
        <v>-65000</v>
      </c>
      <c r="AU398" s="297">
        <f t="shared" si="91"/>
        <v>-65000</v>
      </c>
      <c r="AV398" s="297">
        <f t="shared" si="92"/>
        <v>0</v>
      </c>
      <c r="AW398" s="297">
        <f t="shared" si="95"/>
        <v>-32500</v>
      </c>
      <c r="AX398" s="297">
        <f t="shared" si="96"/>
        <v>-29250</v>
      </c>
      <c r="AY398" s="298">
        <v>50000</v>
      </c>
      <c r="AZ398" s="298"/>
      <c r="BA398" s="297">
        <f t="shared" si="97"/>
        <v>-79250</v>
      </c>
      <c r="BB398" s="278"/>
      <c r="BC398" s="255"/>
      <c r="BD398" s="255"/>
    </row>
    <row r="399" spans="1:56" s="256" customFormat="1" ht="20" hidden="1" customHeight="1">
      <c r="A399" s="260">
        <v>399</v>
      </c>
      <c r="B399" s="277"/>
      <c r="C399" s="278"/>
      <c r="D399" s="278"/>
      <c r="E399" s="278"/>
      <c r="F399" s="278"/>
      <c r="G399" s="279" t="e">
        <f>"YB"&amp;RIGHT(#REF!,6)</f>
        <v>#REF!</v>
      </c>
      <c r="H399" s="280"/>
      <c r="I399" s="280"/>
      <c r="J399" s="281">
        <f t="shared" si="89"/>
        <v>0</v>
      </c>
      <c r="K399" s="282"/>
      <c r="L399" s="282"/>
      <c r="M399" s="339"/>
      <c r="N399" s="278"/>
      <c r="O399" s="278"/>
      <c r="P399" s="283"/>
      <c r="Q399" s="278"/>
      <c r="R399" s="284"/>
      <c r="S399" s="282"/>
      <c r="T399" s="285"/>
      <c r="U399" s="286"/>
      <c r="V399" s="287"/>
      <c r="W399" s="288"/>
      <c r="X399" s="286"/>
      <c r="Y399" s="289"/>
      <c r="Z399" s="289"/>
      <c r="AA399" s="290">
        <f t="shared" si="88"/>
        <v>0</v>
      </c>
      <c r="AB399" s="291">
        <f t="shared" si="87"/>
        <v>0</v>
      </c>
      <c r="AC399" s="292">
        <f t="shared" si="90"/>
        <v>0</v>
      </c>
      <c r="AD399" s="293"/>
      <c r="AE399" s="293"/>
      <c r="AF399" s="294"/>
      <c r="AG399" s="291"/>
      <c r="AH399" s="295"/>
      <c r="AI399" s="291"/>
      <c r="AJ399" s="295"/>
      <c r="AK399" s="291"/>
      <c r="AL399" s="291"/>
      <c r="AM399" s="291"/>
      <c r="AN399" s="296">
        <v>35000</v>
      </c>
      <c r="AO399" s="296">
        <v>30000</v>
      </c>
      <c r="AP399" s="296"/>
      <c r="AQ399" s="296"/>
      <c r="AR399" s="296"/>
      <c r="AS399" s="296">
        <f t="shared" si="93"/>
        <v>65000</v>
      </c>
      <c r="AT399" s="297">
        <f t="shared" si="94"/>
        <v>-65000</v>
      </c>
      <c r="AU399" s="297">
        <f t="shared" si="91"/>
        <v>-65000</v>
      </c>
      <c r="AV399" s="297">
        <f t="shared" si="92"/>
        <v>0</v>
      </c>
      <c r="AW399" s="297">
        <f t="shared" si="95"/>
        <v>-32500</v>
      </c>
      <c r="AX399" s="297">
        <f t="shared" si="96"/>
        <v>-29250</v>
      </c>
      <c r="AY399" s="298">
        <v>50000</v>
      </c>
      <c r="AZ399" s="298"/>
      <c r="BA399" s="297">
        <f t="shared" si="97"/>
        <v>-79250</v>
      </c>
      <c r="BB399" s="278"/>
      <c r="BC399" s="255"/>
      <c r="BD399" s="255"/>
    </row>
    <row r="400" spans="1:56" s="256" customFormat="1" ht="20" hidden="1" customHeight="1">
      <c r="A400" s="260">
        <v>400</v>
      </c>
      <c r="B400" s="277"/>
      <c r="C400" s="278"/>
      <c r="D400" s="278"/>
      <c r="E400" s="278"/>
      <c r="F400" s="278"/>
      <c r="G400" s="279" t="e">
        <f>"YB"&amp;RIGHT(#REF!,6)</f>
        <v>#REF!</v>
      </c>
      <c r="H400" s="280"/>
      <c r="I400" s="280"/>
      <c r="J400" s="281">
        <f t="shared" si="89"/>
        <v>0</v>
      </c>
      <c r="K400" s="282"/>
      <c r="L400" s="282"/>
      <c r="M400" s="339"/>
      <c r="N400" s="278"/>
      <c r="O400" s="278"/>
      <c r="P400" s="283"/>
      <c r="Q400" s="278"/>
      <c r="R400" s="284"/>
      <c r="S400" s="282"/>
      <c r="T400" s="285"/>
      <c r="U400" s="286"/>
      <c r="V400" s="287"/>
      <c r="W400" s="288"/>
      <c r="X400" s="286"/>
      <c r="Y400" s="289"/>
      <c r="Z400" s="289"/>
      <c r="AA400" s="290">
        <f t="shared" si="88"/>
        <v>0</v>
      </c>
      <c r="AB400" s="291">
        <f t="shared" si="87"/>
        <v>0</v>
      </c>
      <c r="AC400" s="292">
        <f t="shared" si="90"/>
        <v>0</v>
      </c>
      <c r="AD400" s="293"/>
      <c r="AE400" s="293"/>
      <c r="AF400" s="294"/>
      <c r="AG400" s="291"/>
      <c r="AH400" s="295"/>
      <c r="AI400" s="291"/>
      <c r="AJ400" s="295"/>
      <c r="AK400" s="291"/>
      <c r="AL400" s="291"/>
      <c r="AM400" s="291"/>
      <c r="AN400" s="296">
        <v>35000</v>
      </c>
      <c r="AO400" s="296">
        <v>30000</v>
      </c>
      <c r="AP400" s="296"/>
      <c r="AQ400" s="296"/>
      <c r="AR400" s="296"/>
      <c r="AS400" s="296">
        <f t="shared" si="93"/>
        <v>65000</v>
      </c>
      <c r="AT400" s="297">
        <f t="shared" si="94"/>
        <v>-65000</v>
      </c>
      <c r="AU400" s="297">
        <f t="shared" si="91"/>
        <v>-65000</v>
      </c>
      <c r="AV400" s="297">
        <f t="shared" si="92"/>
        <v>0</v>
      </c>
      <c r="AW400" s="297">
        <f t="shared" si="95"/>
        <v>-32500</v>
      </c>
      <c r="AX400" s="297">
        <f t="shared" si="96"/>
        <v>-29250</v>
      </c>
      <c r="AY400" s="298">
        <v>50000</v>
      </c>
      <c r="AZ400" s="298"/>
      <c r="BA400" s="297">
        <f t="shared" si="97"/>
        <v>-79250</v>
      </c>
      <c r="BB400" s="278"/>
      <c r="BC400" s="255"/>
      <c r="BD400" s="255"/>
    </row>
    <row r="401" spans="1:56" s="256" customFormat="1" ht="20" hidden="1" customHeight="1">
      <c r="A401" s="260">
        <v>401</v>
      </c>
      <c r="B401" s="277"/>
      <c r="C401" s="278"/>
      <c r="D401" s="278"/>
      <c r="E401" s="278"/>
      <c r="F401" s="278"/>
      <c r="G401" s="279" t="e">
        <f>"YB"&amp;RIGHT(#REF!,6)</f>
        <v>#REF!</v>
      </c>
      <c r="H401" s="280"/>
      <c r="I401" s="280"/>
      <c r="J401" s="281">
        <f t="shared" si="89"/>
        <v>0</v>
      </c>
      <c r="K401" s="282"/>
      <c r="L401" s="282"/>
      <c r="M401" s="339"/>
      <c r="N401" s="278"/>
      <c r="O401" s="278"/>
      <c r="P401" s="283"/>
      <c r="Q401" s="278"/>
      <c r="R401" s="284"/>
      <c r="S401" s="282"/>
      <c r="T401" s="285"/>
      <c r="U401" s="286"/>
      <c r="V401" s="287"/>
      <c r="W401" s="288"/>
      <c r="X401" s="286"/>
      <c r="Y401" s="289"/>
      <c r="Z401" s="289"/>
      <c r="AA401" s="290">
        <f t="shared" si="88"/>
        <v>0</v>
      </c>
      <c r="AB401" s="291">
        <f t="shared" si="87"/>
        <v>0</v>
      </c>
      <c r="AC401" s="292">
        <f t="shared" si="90"/>
        <v>0</v>
      </c>
      <c r="AD401" s="293"/>
      <c r="AE401" s="293"/>
      <c r="AF401" s="294"/>
      <c r="AG401" s="291"/>
      <c r="AH401" s="295"/>
      <c r="AI401" s="291"/>
      <c r="AJ401" s="295"/>
      <c r="AK401" s="291"/>
      <c r="AL401" s="291"/>
      <c r="AM401" s="291"/>
      <c r="AN401" s="296">
        <v>35000</v>
      </c>
      <c r="AO401" s="296">
        <v>30000</v>
      </c>
      <c r="AP401" s="296"/>
      <c r="AQ401" s="296"/>
      <c r="AR401" s="296"/>
      <c r="AS401" s="296">
        <f t="shared" si="93"/>
        <v>65000</v>
      </c>
      <c r="AT401" s="297">
        <f t="shared" si="94"/>
        <v>-65000</v>
      </c>
      <c r="AU401" s="297">
        <f t="shared" si="91"/>
        <v>-65000</v>
      </c>
      <c r="AV401" s="297">
        <f t="shared" si="92"/>
        <v>0</v>
      </c>
      <c r="AW401" s="297">
        <f t="shared" si="95"/>
        <v>-32500</v>
      </c>
      <c r="AX401" s="297">
        <f t="shared" si="96"/>
        <v>-29250</v>
      </c>
      <c r="AY401" s="298">
        <v>50000</v>
      </c>
      <c r="AZ401" s="298"/>
      <c r="BA401" s="297">
        <f t="shared" si="97"/>
        <v>-79250</v>
      </c>
      <c r="BB401" s="278"/>
      <c r="BC401" s="255"/>
      <c r="BD401" s="255"/>
    </row>
    <row r="402" spans="1:56" s="256" customFormat="1" ht="20" hidden="1" customHeight="1">
      <c r="A402" s="260">
        <v>402</v>
      </c>
      <c r="B402" s="277"/>
      <c r="C402" s="278"/>
      <c r="D402" s="278"/>
      <c r="E402" s="278"/>
      <c r="F402" s="278"/>
      <c r="G402" s="279" t="e">
        <f>"YB"&amp;RIGHT(#REF!,6)</f>
        <v>#REF!</v>
      </c>
      <c r="H402" s="280"/>
      <c r="I402" s="280"/>
      <c r="J402" s="281">
        <f t="shared" si="89"/>
        <v>0</v>
      </c>
      <c r="K402" s="282"/>
      <c r="L402" s="282"/>
      <c r="M402" s="339"/>
      <c r="N402" s="278"/>
      <c r="O402" s="278"/>
      <c r="P402" s="283"/>
      <c r="Q402" s="278"/>
      <c r="R402" s="284"/>
      <c r="S402" s="282"/>
      <c r="T402" s="285"/>
      <c r="U402" s="286"/>
      <c r="V402" s="287"/>
      <c r="W402" s="288"/>
      <c r="X402" s="286"/>
      <c r="Y402" s="289"/>
      <c r="Z402" s="289"/>
      <c r="AA402" s="290">
        <f t="shared" si="88"/>
        <v>0</v>
      </c>
      <c r="AB402" s="291">
        <f t="shared" si="87"/>
        <v>0</v>
      </c>
      <c r="AC402" s="292">
        <f t="shared" si="90"/>
        <v>0</v>
      </c>
      <c r="AD402" s="293"/>
      <c r="AE402" s="293"/>
      <c r="AF402" s="294"/>
      <c r="AG402" s="291"/>
      <c r="AH402" s="295"/>
      <c r="AI402" s="291"/>
      <c r="AJ402" s="295"/>
      <c r="AK402" s="291"/>
      <c r="AL402" s="291"/>
      <c r="AM402" s="291"/>
      <c r="AN402" s="296">
        <v>35000</v>
      </c>
      <c r="AO402" s="296">
        <v>30000</v>
      </c>
      <c r="AP402" s="296"/>
      <c r="AQ402" s="296"/>
      <c r="AR402" s="296"/>
      <c r="AS402" s="296">
        <f t="shared" si="93"/>
        <v>65000</v>
      </c>
      <c r="AT402" s="297">
        <f t="shared" si="94"/>
        <v>-65000</v>
      </c>
      <c r="AU402" s="297">
        <f t="shared" si="91"/>
        <v>-65000</v>
      </c>
      <c r="AV402" s="297">
        <f t="shared" si="92"/>
        <v>0</v>
      </c>
      <c r="AW402" s="297">
        <f t="shared" si="95"/>
        <v>-32500</v>
      </c>
      <c r="AX402" s="297">
        <f t="shared" si="96"/>
        <v>-29250</v>
      </c>
      <c r="AY402" s="298">
        <v>50000</v>
      </c>
      <c r="AZ402" s="298"/>
      <c r="BA402" s="297">
        <f t="shared" si="97"/>
        <v>-79250</v>
      </c>
      <c r="BB402" s="278"/>
      <c r="BC402" s="255"/>
      <c r="BD402" s="255"/>
    </row>
    <row r="403" spans="1:56" s="256" customFormat="1" ht="20" hidden="1" customHeight="1">
      <c r="A403" s="260">
        <v>403</v>
      </c>
      <c r="B403" s="277"/>
      <c r="C403" s="278"/>
      <c r="D403" s="278"/>
      <c r="E403" s="278"/>
      <c r="F403" s="278"/>
      <c r="G403" s="279" t="e">
        <f>"YB"&amp;RIGHT(#REF!,6)</f>
        <v>#REF!</v>
      </c>
      <c r="H403" s="280"/>
      <c r="I403" s="280"/>
      <c r="J403" s="281">
        <f t="shared" si="89"/>
        <v>0</v>
      </c>
      <c r="K403" s="282"/>
      <c r="L403" s="282"/>
      <c r="M403" s="339"/>
      <c r="N403" s="278"/>
      <c r="O403" s="278"/>
      <c r="P403" s="283"/>
      <c r="Q403" s="278"/>
      <c r="R403" s="284"/>
      <c r="S403" s="282"/>
      <c r="T403" s="285"/>
      <c r="U403" s="286"/>
      <c r="V403" s="287"/>
      <c r="W403" s="288"/>
      <c r="X403" s="286"/>
      <c r="Y403" s="289"/>
      <c r="Z403" s="289"/>
      <c r="AA403" s="290">
        <f t="shared" si="88"/>
        <v>0</v>
      </c>
      <c r="AB403" s="291">
        <f t="shared" si="87"/>
        <v>0</v>
      </c>
      <c r="AC403" s="292">
        <f t="shared" si="90"/>
        <v>0</v>
      </c>
      <c r="AD403" s="293"/>
      <c r="AE403" s="293"/>
      <c r="AF403" s="294"/>
      <c r="AG403" s="291"/>
      <c r="AH403" s="295"/>
      <c r="AI403" s="291"/>
      <c r="AJ403" s="295"/>
      <c r="AK403" s="291"/>
      <c r="AL403" s="291"/>
      <c r="AM403" s="291"/>
      <c r="AN403" s="296">
        <v>35000</v>
      </c>
      <c r="AO403" s="296">
        <v>30000</v>
      </c>
      <c r="AP403" s="296"/>
      <c r="AQ403" s="296"/>
      <c r="AR403" s="296"/>
      <c r="AS403" s="296">
        <f t="shared" si="93"/>
        <v>65000</v>
      </c>
      <c r="AT403" s="297">
        <f t="shared" si="94"/>
        <v>-65000</v>
      </c>
      <c r="AU403" s="297">
        <f t="shared" si="91"/>
        <v>-65000</v>
      </c>
      <c r="AV403" s="297">
        <f t="shared" si="92"/>
        <v>0</v>
      </c>
      <c r="AW403" s="297">
        <f t="shared" si="95"/>
        <v>-32500</v>
      </c>
      <c r="AX403" s="297">
        <f t="shared" si="96"/>
        <v>-29250</v>
      </c>
      <c r="AY403" s="298">
        <v>50000</v>
      </c>
      <c r="AZ403" s="298"/>
      <c r="BA403" s="297">
        <f t="shared" si="97"/>
        <v>-79250</v>
      </c>
      <c r="BB403" s="278"/>
      <c r="BC403" s="255"/>
      <c r="BD403" s="255"/>
    </row>
    <row r="404" spans="1:56" s="256" customFormat="1" ht="20" hidden="1" customHeight="1">
      <c r="A404" s="260">
        <v>404</v>
      </c>
      <c r="B404" s="277"/>
      <c r="C404" s="278"/>
      <c r="D404" s="278"/>
      <c r="E404" s="278"/>
      <c r="F404" s="278"/>
      <c r="G404" s="279" t="e">
        <f>"YB"&amp;RIGHT(#REF!,6)</f>
        <v>#REF!</v>
      </c>
      <c r="H404" s="280"/>
      <c r="I404" s="280"/>
      <c r="J404" s="281">
        <f t="shared" si="89"/>
        <v>0</v>
      </c>
      <c r="K404" s="282"/>
      <c r="L404" s="282"/>
      <c r="M404" s="339"/>
      <c r="N404" s="278"/>
      <c r="O404" s="278"/>
      <c r="P404" s="283"/>
      <c r="Q404" s="278"/>
      <c r="R404" s="284"/>
      <c r="S404" s="282"/>
      <c r="T404" s="285"/>
      <c r="U404" s="286"/>
      <c r="V404" s="287"/>
      <c r="W404" s="288"/>
      <c r="X404" s="286"/>
      <c r="Y404" s="289"/>
      <c r="Z404" s="289"/>
      <c r="AA404" s="290">
        <f t="shared" si="88"/>
        <v>0</v>
      </c>
      <c r="AB404" s="291">
        <f t="shared" si="87"/>
        <v>0</v>
      </c>
      <c r="AC404" s="292">
        <f t="shared" si="90"/>
        <v>0</v>
      </c>
      <c r="AD404" s="293"/>
      <c r="AE404" s="293"/>
      <c r="AF404" s="294"/>
      <c r="AG404" s="291"/>
      <c r="AH404" s="295"/>
      <c r="AI404" s="291"/>
      <c r="AJ404" s="295"/>
      <c r="AK404" s="291"/>
      <c r="AL404" s="291"/>
      <c r="AM404" s="291"/>
      <c r="AN404" s="296">
        <v>35000</v>
      </c>
      <c r="AO404" s="296">
        <v>30000</v>
      </c>
      <c r="AP404" s="296"/>
      <c r="AQ404" s="296"/>
      <c r="AR404" s="296"/>
      <c r="AS404" s="296">
        <f t="shared" si="93"/>
        <v>65000</v>
      </c>
      <c r="AT404" s="297">
        <f t="shared" si="94"/>
        <v>-65000</v>
      </c>
      <c r="AU404" s="297">
        <f t="shared" si="91"/>
        <v>-65000</v>
      </c>
      <c r="AV404" s="297">
        <f t="shared" si="92"/>
        <v>0</v>
      </c>
      <c r="AW404" s="297">
        <f t="shared" si="95"/>
        <v>-32500</v>
      </c>
      <c r="AX404" s="297">
        <f t="shared" si="96"/>
        <v>-29250</v>
      </c>
      <c r="AY404" s="298">
        <v>50000</v>
      </c>
      <c r="AZ404" s="298"/>
      <c r="BA404" s="297">
        <f t="shared" si="97"/>
        <v>-79250</v>
      </c>
      <c r="BB404" s="278"/>
      <c r="BC404" s="255"/>
      <c r="BD404" s="255"/>
    </row>
    <row r="405" spans="1:56" s="256" customFormat="1" ht="20" hidden="1" customHeight="1">
      <c r="A405" s="260">
        <v>405</v>
      </c>
      <c r="B405" s="277"/>
      <c r="C405" s="278"/>
      <c r="D405" s="278"/>
      <c r="E405" s="278"/>
      <c r="F405" s="278"/>
      <c r="G405" s="279" t="e">
        <f>"YB"&amp;RIGHT(#REF!,6)</f>
        <v>#REF!</v>
      </c>
      <c r="H405" s="280"/>
      <c r="I405" s="280"/>
      <c r="J405" s="281">
        <f t="shared" si="89"/>
        <v>0</v>
      </c>
      <c r="K405" s="282"/>
      <c r="L405" s="282"/>
      <c r="M405" s="339"/>
      <c r="N405" s="278"/>
      <c r="O405" s="278"/>
      <c r="P405" s="283"/>
      <c r="Q405" s="278"/>
      <c r="R405" s="284"/>
      <c r="S405" s="282"/>
      <c r="T405" s="285"/>
      <c r="U405" s="286"/>
      <c r="V405" s="287"/>
      <c r="W405" s="288"/>
      <c r="X405" s="286"/>
      <c r="Y405" s="289"/>
      <c r="Z405" s="289"/>
      <c r="AA405" s="290">
        <f t="shared" si="88"/>
        <v>0</v>
      </c>
      <c r="AB405" s="291">
        <f t="shared" si="87"/>
        <v>0</v>
      </c>
      <c r="AC405" s="292">
        <f t="shared" si="90"/>
        <v>0</v>
      </c>
      <c r="AD405" s="293"/>
      <c r="AE405" s="293"/>
      <c r="AF405" s="294"/>
      <c r="AG405" s="291"/>
      <c r="AH405" s="295"/>
      <c r="AI405" s="291"/>
      <c r="AJ405" s="295"/>
      <c r="AK405" s="291"/>
      <c r="AL405" s="291"/>
      <c r="AM405" s="291"/>
      <c r="AN405" s="296">
        <v>35000</v>
      </c>
      <c r="AO405" s="296">
        <v>30000</v>
      </c>
      <c r="AP405" s="296"/>
      <c r="AQ405" s="296"/>
      <c r="AR405" s="296"/>
      <c r="AS405" s="296">
        <f t="shared" si="93"/>
        <v>65000</v>
      </c>
      <c r="AT405" s="297">
        <f t="shared" si="94"/>
        <v>-65000</v>
      </c>
      <c r="AU405" s="297">
        <f t="shared" si="91"/>
        <v>-65000</v>
      </c>
      <c r="AV405" s="297">
        <f t="shared" si="92"/>
        <v>0</v>
      </c>
      <c r="AW405" s="297">
        <f t="shared" si="95"/>
        <v>-32500</v>
      </c>
      <c r="AX405" s="297">
        <f t="shared" si="96"/>
        <v>-29250</v>
      </c>
      <c r="AY405" s="298">
        <v>50000</v>
      </c>
      <c r="AZ405" s="298"/>
      <c r="BA405" s="297">
        <f t="shared" si="97"/>
        <v>-79250</v>
      </c>
      <c r="BB405" s="278"/>
      <c r="BC405" s="255"/>
      <c r="BD405" s="255"/>
    </row>
    <row r="406" spans="1:56" s="256" customFormat="1" ht="20" hidden="1" customHeight="1">
      <c r="A406" s="260">
        <v>406</v>
      </c>
      <c r="B406" s="277"/>
      <c r="C406" s="278"/>
      <c r="D406" s="278"/>
      <c r="E406" s="278"/>
      <c r="F406" s="278"/>
      <c r="G406" s="279" t="e">
        <f>"YB"&amp;RIGHT(#REF!,6)</f>
        <v>#REF!</v>
      </c>
      <c r="H406" s="280"/>
      <c r="I406" s="280"/>
      <c r="J406" s="281">
        <f t="shared" si="89"/>
        <v>0</v>
      </c>
      <c r="K406" s="282"/>
      <c r="L406" s="282"/>
      <c r="M406" s="339"/>
      <c r="N406" s="278"/>
      <c r="O406" s="278"/>
      <c r="P406" s="283"/>
      <c r="Q406" s="278"/>
      <c r="R406" s="284"/>
      <c r="S406" s="282"/>
      <c r="T406" s="285"/>
      <c r="U406" s="286"/>
      <c r="V406" s="287"/>
      <c r="W406" s="288"/>
      <c r="X406" s="286"/>
      <c r="Y406" s="289"/>
      <c r="Z406" s="289"/>
      <c r="AA406" s="290">
        <f t="shared" si="88"/>
        <v>0</v>
      </c>
      <c r="AB406" s="291">
        <f t="shared" si="87"/>
        <v>0</v>
      </c>
      <c r="AC406" s="292">
        <f t="shared" si="90"/>
        <v>0</v>
      </c>
      <c r="AD406" s="293"/>
      <c r="AE406" s="293"/>
      <c r="AF406" s="294"/>
      <c r="AG406" s="291"/>
      <c r="AH406" s="295"/>
      <c r="AI406" s="291"/>
      <c r="AJ406" s="295"/>
      <c r="AK406" s="291"/>
      <c r="AL406" s="291"/>
      <c r="AM406" s="291"/>
      <c r="AN406" s="296">
        <v>35000</v>
      </c>
      <c r="AO406" s="296">
        <v>30000</v>
      </c>
      <c r="AP406" s="296"/>
      <c r="AQ406" s="296"/>
      <c r="AR406" s="296"/>
      <c r="AS406" s="296">
        <f t="shared" si="93"/>
        <v>65000</v>
      </c>
      <c r="AT406" s="297">
        <f t="shared" si="94"/>
        <v>-65000</v>
      </c>
      <c r="AU406" s="297">
        <f t="shared" si="91"/>
        <v>-65000</v>
      </c>
      <c r="AV406" s="297">
        <f t="shared" si="92"/>
        <v>0</v>
      </c>
      <c r="AW406" s="297">
        <f t="shared" si="95"/>
        <v>-32500</v>
      </c>
      <c r="AX406" s="297">
        <f t="shared" si="96"/>
        <v>-29250</v>
      </c>
      <c r="AY406" s="298">
        <v>50000</v>
      </c>
      <c r="AZ406" s="298"/>
      <c r="BA406" s="297">
        <f t="shared" si="97"/>
        <v>-79250</v>
      </c>
      <c r="BB406" s="278"/>
      <c r="BC406" s="255"/>
      <c r="BD406" s="255"/>
    </row>
    <row r="407" spans="1:56" s="256" customFormat="1" ht="20" hidden="1" customHeight="1">
      <c r="A407" s="260">
        <v>407</v>
      </c>
      <c r="B407" s="277"/>
      <c r="C407" s="278"/>
      <c r="D407" s="278"/>
      <c r="E407" s="278"/>
      <c r="F407" s="278"/>
      <c r="G407" s="279" t="e">
        <f>"YB"&amp;RIGHT(#REF!,6)</f>
        <v>#REF!</v>
      </c>
      <c r="H407" s="280"/>
      <c r="I407" s="280"/>
      <c r="J407" s="281">
        <f t="shared" si="89"/>
        <v>0</v>
      </c>
      <c r="K407" s="282"/>
      <c r="L407" s="282"/>
      <c r="M407" s="339"/>
      <c r="N407" s="278"/>
      <c r="O407" s="278"/>
      <c r="P407" s="283"/>
      <c r="Q407" s="278"/>
      <c r="R407" s="284"/>
      <c r="S407" s="282"/>
      <c r="T407" s="285"/>
      <c r="U407" s="286"/>
      <c r="V407" s="287"/>
      <c r="W407" s="288"/>
      <c r="X407" s="286"/>
      <c r="Y407" s="289"/>
      <c r="Z407" s="289"/>
      <c r="AA407" s="290">
        <f t="shared" si="88"/>
        <v>0</v>
      </c>
      <c r="AB407" s="291">
        <f t="shared" si="87"/>
        <v>0</v>
      </c>
      <c r="AC407" s="292">
        <f t="shared" si="90"/>
        <v>0</v>
      </c>
      <c r="AD407" s="293"/>
      <c r="AE407" s="293"/>
      <c r="AF407" s="294"/>
      <c r="AG407" s="291"/>
      <c r="AH407" s="295"/>
      <c r="AI407" s="291"/>
      <c r="AJ407" s="295"/>
      <c r="AK407" s="291"/>
      <c r="AL407" s="291"/>
      <c r="AM407" s="291"/>
      <c r="AN407" s="296">
        <v>35000</v>
      </c>
      <c r="AO407" s="296">
        <v>30000</v>
      </c>
      <c r="AP407" s="296"/>
      <c r="AQ407" s="296"/>
      <c r="AR407" s="296"/>
      <c r="AS407" s="296">
        <f t="shared" si="93"/>
        <v>65000</v>
      </c>
      <c r="AT407" s="297">
        <f t="shared" si="94"/>
        <v>-65000</v>
      </c>
      <c r="AU407" s="297">
        <f t="shared" si="91"/>
        <v>-65000</v>
      </c>
      <c r="AV407" s="297">
        <f t="shared" si="92"/>
        <v>0</v>
      </c>
      <c r="AW407" s="297">
        <f t="shared" si="95"/>
        <v>-32500</v>
      </c>
      <c r="AX407" s="297">
        <f t="shared" si="96"/>
        <v>-29250</v>
      </c>
      <c r="AY407" s="298">
        <v>50000</v>
      </c>
      <c r="AZ407" s="298"/>
      <c r="BA407" s="297">
        <f t="shared" si="97"/>
        <v>-79250</v>
      </c>
      <c r="BB407" s="278"/>
      <c r="BC407" s="255"/>
      <c r="BD407" s="255"/>
    </row>
    <row r="408" spans="1:56" s="256" customFormat="1" ht="20" hidden="1" customHeight="1">
      <c r="A408" s="260">
        <v>408</v>
      </c>
      <c r="B408" s="277"/>
      <c r="C408" s="278"/>
      <c r="D408" s="278"/>
      <c r="E408" s="278"/>
      <c r="F408" s="278"/>
      <c r="G408" s="279" t="e">
        <f>"YB"&amp;RIGHT(#REF!,6)</f>
        <v>#REF!</v>
      </c>
      <c r="H408" s="280"/>
      <c r="I408" s="280"/>
      <c r="J408" s="281">
        <f t="shared" si="89"/>
        <v>0</v>
      </c>
      <c r="K408" s="282"/>
      <c r="L408" s="282"/>
      <c r="M408" s="339"/>
      <c r="N408" s="278"/>
      <c r="O408" s="278"/>
      <c r="P408" s="283"/>
      <c r="Q408" s="278"/>
      <c r="R408" s="284"/>
      <c r="S408" s="282"/>
      <c r="T408" s="285"/>
      <c r="U408" s="286"/>
      <c r="V408" s="287"/>
      <c r="W408" s="288"/>
      <c r="X408" s="286"/>
      <c r="Y408" s="289"/>
      <c r="Z408" s="289"/>
      <c r="AA408" s="290">
        <f t="shared" si="88"/>
        <v>0</v>
      </c>
      <c r="AB408" s="291">
        <f t="shared" si="87"/>
        <v>0</v>
      </c>
      <c r="AC408" s="292">
        <f t="shared" si="90"/>
        <v>0</v>
      </c>
      <c r="AD408" s="293"/>
      <c r="AE408" s="293"/>
      <c r="AF408" s="294"/>
      <c r="AG408" s="291"/>
      <c r="AH408" s="295"/>
      <c r="AI408" s="291"/>
      <c r="AJ408" s="295"/>
      <c r="AK408" s="291"/>
      <c r="AL408" s="291"/>
      <c r="AM408" s="291"/>
      <c r="AN408" s="296">
        <v>35000</v>
      </c>
      <c r="AO408" s="296">
        <v>30000</v>
      </c>
      <c r="AP408" s="296"/>
      <c r="AQ408" s="296"/>
      <c r="AR408" s="296"/>
      <c r="AS408" s="296">
        <f t="shared" si="93"/>
        <v>65000</v>
      </c>
      <c r="AT408" s="297">
        <f t="shared" si="94"/>
        <v>-65000</v>
      </c>
      <c r="AU408" s="297">
        <f t="shared" si="91"/>
        <v>-65000</v>
      </c>
      <c r="AV408" s="297">
        <f t="shared" si="92"/>
        <v>0</v>
      </c>
      <c r="AW408" s="297">
        <f t="shared" si="95"/>
        <v>-32500</v>
      </c>
      <c r="AX408" s="297">
        <f t="shared" si="96"/>
        <v>-29250</v>
      </c>
      <c r="AY408" s="298">
        <v>50000</v>
      </c>
      <c r="AZ408" s="298"/>
      <c r="BA408" s="297">
        <f t="shared" si="97"/>
        <v>-79250</v>
      </c>
      <c r="BB408" s="278"/>
      <c r="BC408" s="255"/>
      <c r="BD408" s="255"/>
    </row>
    <row r="409" spans="1:56" s="256" customFormat="1" ht="20" hidden="1" customHeight="1">
      <c r="A409" s="260">
        <v>409</v>
      </c>
      <c r="B409" s="277"/>
      <c r="C409" s="278"/>
      <c r="D409" s="278"/>
      <c r="E409" s="278"/>
      <c r="F409" s="278"/>
      <c r="G409" s="279" t="e">
        <f>"YB"&amp;RIGHT(#REF!,6)</f>
        <v>#REF!</v>
      </c>
      <c r="H409" s="280"/>
      <c r="I409" s="280"/>
      <c r="J409" s="281">
        <f t="shared" si="89"/>
        <v>0</v>
      </c>
      <c r="K409" s="282"/>
      <c r="L409" s="282"/>
      <c r="M409" s="339"/>
      <c r="N409" s="278"/>
      <c r="O409" s="278"/>
      <c r="P409" s="283"/>
      <c r="Q409" s="278"/>
      <c r="R409" s="284"/>
      <c r="S409" s="282"/>
      <c r="T409" s="285"/>
      <c r="U409" s="286"/>
      <c r="V409" s="287"/>
      <c r="W409" s="288"/>
      <c r="X409" s="286"/>
      <c r="Y409" s="289"/>
      <c r="Z409" s="289"/>
      <c r="AA409" s="290">
        <f t="shared" si="88"/>
        <v>0</v>
      </c>
      <c r="AB409" s="291">
        <f t="shared" si="87"/>
        <v>0</v>
      </c>
      <c r="AC409" s="292">
        <f t="shared" si="90"/>
        <v>0</v>
      </c>
      <c r="AD409" s="293"/>
      <c r="AE409" s="293"/>
      <c r="AF409" s="294"/>
      <c r="AG409" s="291"/>
      <c r="AH409" s="295"/>
      <c r="AI409" s="291"/>
      <c r="AJ409" s="295"/>
      <c r="AK409" s="291"/>
      <c r="AL409" s="291"/>
      <c r="AM409" s="291"/>
      <c r="AN409" s="296">
        <v>35000</v>
      </c>
      <c r="AO409" s="296">
        <v>30000</v>
      </c>
      <c r="AP409" s="296"/>
      <c r="AQ409" s="296"/>
      <c r="AR409" s="296"/>
      <c r="AS409" s="296">
        <f t="shared" si="93"/>
        <v>65000</v>
      </c>
      <c r="AT409" s="297">
        <f t="shared" si="94"/>
        <v>-65000</v>
      </c>
      <c r="AU409" s="297">
        <f t="shared" si="91"/>
        <v>-65000</v>
      </c>
      <c r="AV409" s="297">
        <f t="shared" si="92"/>
        <v>0</v>
      </c>
      <c r="AW409" s="297">
        <f t="shared" si="95"/>
        <v>-32500</v>
      </c>
      <c r="AX409" s="297">
        <f t="shared" si="96"/>
        <v>-29250</v>
      </c>
      <c r="AY409" s="298">
        <v>50000</v>
      </c>
      <c r="AZ409" s="298"/>
      <c r="BA409" s="297">
        <f t="shared" si="97"/>
        <v>-79250</v>
      </c>
      <c r="BB409" s="278"/>
      <c r="BC409" s="255"/>
      <c r="BD409" s="255"/>
    </row>
    <row r="410" spans="1:56" s="256" customFormat="1" ht="20" hidden="1" customHeight="1">
      <c r="A410" s="260">
        <v>410</v>
      </c>
      <c r="B410" s="277"/>
      <c r="C410" s="278"/>
      <c r="D410" s="278"/>
      <c r="E410" s="278"/>
      <c r="F410" s="278"/>
      <c r="G410" s="279" t="e">
        <f>"YB"&amp;RIGHT(#REF!,6)</f>
        <v>#REF!</v>
      </c>
      <c r="H410" s="280"/>
      <c r="I410" s="280"/>
      <c r="J410" s="281">
        <f t="shared" si="89"/>
        <v>0</v>
      </c>
      <c r="K410" s="282"/>
      <c r="L410" s="282"/>
      <c r="M410" s="339"/>
      <c r="N410" s="278"/>
      <c r="O410" s="278"/>
      <c r="P410" s="283"/>
      <c r="Q410" s="278"/>
      <c r="R410" s="284"/>
      <c r="S410" s="282"/>
      <c r="T410" s="285"/>
      <c r="U410" s="286"/>
      <c r="V410" s="287"/>
      <c r="W410" s="288"/>
      <c r="X410" s="286"/>
      <c r="Y410" s="289"/>
      <c r="Z410" s="289"/>
      <c r="AA410" s="290">
        <f t="shared" si="88"/>
        <v>0</v>
      </c>
      <c r="AB410" s="291">
        <f t="shared" si="87"/>
        <v>0</v>
      </c>
      <c r="AC410" s="292">
        <f t="shared" si="90"/>
        <v>0</v>
      </c>
      <c r="AD410" s="293"/>
      <c r="AE410" s="293"/>
      <c r="AF410" s="294"/>
      <c r="AG410" s="291"/>
      <c r="AH410" s="295"/>
      <c r="AI410" s="291"/>
      <c r="AJ410" s="295"/>
      <c r="AK410" s="291"/>
      <c r="AL410" s="291"/>
      <c r="AM410" s="291"/>
      <c r="AN410" s="296">
        <v>35000</v>
      </c>
      <c r="AO410" s="296">
        <v>30000</v>
      </c>
      <c r="AP410" s="296"/>
      <c r="AQ410" s="296"/>
      <c r="AR410" s="296"/>
      <c r="AS410" s="296">
        <f t="shared" si="93"/>
        <v>65000</v>
      </c>
      <c r="AT410" s="297">
        <f t="shared" si="94"/>
        <v>-65000</v>
      </c>
      <c r="AU410" s="297">
        <f t="shared" si="91"/>
        <v>-65000</v>
      </c>
      <c r="AV410" s="297">
        <f t="shared" si="92"/>
        <v>0</v>
      </c>
      <c r="AW410" s="297">
        <f t="shared" si="95"/>
        <v>-32500</v>
      </c>
      <c r="AX410" s="297">
        <f t="shared" si="96"/>
        <v>-29250</v>
      </c>
      <c r="AY410" s="298">
        <v>50000</v>
      </c>
      <c r="AZ410" s="298"/>
      <c r="BA410" s="297">
        <f t="shared" si="97"/>
        <v>-79250</v>
      </c>
      <c r="BB410" s="278"/>
      <c r="BC410" s="255"/>
      <c r="BD410" s="255"/>
    </row>
    <row r="411" spans="1:56" s="256" customFormat="1" ht="20" hidden="1" customHeight="1">
      <c r="A411" s="260">
        <v>411</v>
      </c>
      <c r="B411" s="277"/>
      <c r="C411" s="278"/>
      <c r="D411" s="278"/>
      <c r="E411" s="278"/>
      <c r="F411" s="278"/>
      <c r="G411" s="279" t="e">
        <f>"YB"&amp;RIGHT(#REF!,6)</f>
        <v>#REF!</v>
      </c>
      <c r="H411" s="280"/>
      <c r="I411" s="280"/>
      <c r="J411" s="281">
        <f t="shared" si="89"/>
        <v>0</v>
      </c>
      <c r="K411" s="282"/>
      <c r="L411" s="282"/>
      <c r="M411" s="339"/>
      <c r="N411" s="278"/>
      <c r="O411" s="278"/>
      <c r="P411" s="283"/>
      <c r="Q411" s="278"/>
      <c r="R411" s="284"/>
      <c r="S411" s="282"/>
      <c r="T411" s="285"/>
      <c r="U411" s="286"/>
      <c r="V411" s="287"/>
      <c r="W411" s="288"/>
      <c r="X411" s="286"/>
      <c r="Y411" s="289"/>
      <c r="Z411" s="289"/>
      <c r="AA411" s="290">
        <f t="shared" si="88"/>
        <v>0</v>
      </c>
      <c r="AB411" s="291">
        <f t="shared" si="87"/>
        <v>0</v>
      </c>
      <c r="AC411" s="292">
        <f t="shared" si="90"/>
        <v>0</v>
      </c>
      <c r="AD411" s="293"/>
      <c r="AE411" s="293"/>
      <c r="AF411" s="294"/>
      <c r="AG411" s="291"/>
      <c r="AH411" s="295"/>
      <c r="AI411" s="291"/>
      <c r="AJ411" s="295"/>
      <c r="AK411" s="291"/>
      <c r="AL411" s="291"/>
      <c r="AM411" s="291"/>
      <c r="AN411" s="296">
        <v>35000</v>
      </c>
      <c r="AO411" s="296">
        <v>30000</v>
      </c>
      <c r="AP411" s="296"/>
      <c r="AQ411" s="296"/>
      <c r="AR411" s="296"/>
      <c r="AS411" s="296">
        <f t="shared" si="93"/>
        <v>65000</v>
      </c>
      <c r="AT411" s="297">
        <f t="shared" si="94"/>
        <v>-65000</v>
      </c>
      <c r="AU411" s="297">
        <f t="shared" si="91"/>
        <v>-65000</v>
      </c>
      <c r="AV411" s="297">
        <f t="shared" si="92"/>
        <v>0</v>
      </c>
      <c r="AW411" s="297">
        <f t="shared" si="95"/>
        <v>-32500</v>
      </c>
      <c r="AX411" s="297">
        <f t="shared" si="96"/>
        <v>-29250</v>
      </c>
      <c r="AY411" s="298">
        <v>50000</v>
      </c>
      <c r="AZ411" s="298"/>
      <c r="BA411" s="297">
        <f t="shared" si="97"/>
        <v>-79250</v>
      </c>
      <c r="BB411" s="278"/>
      <c r="BC411" s="255"/>
      <c r="BD411" s="255"/>
    </row>
    <row r="412" spans="1:56" s="256" customFormat="1" ht="20" hidden="1" customHeight="1">
      <c r="A412" s="260">
        <v>412</v>
      </c>
      <c r="B412" s="277"/>
      <c r="C412" s="278"/>
      <c r="D412" s="278"/>
      <c r="E412" s="278"/>
      <c r="F412" s="278"/>
      <c r="G412" s="279" t="e">
        <f>"YB"&amp;RIGHT(#REF!,6)</f>
        <v>#REF!</v>
      </c>
      <c r="H412" s="280"/>
      <c r="I412" s="280"/>
      <c r="J412" s="281">
        <f t="shared" si="89"/>
        <v>0</v>
      </c>
      <c r="K412" s="282"/>
      <c r="L412" s="282"/>
      <c r="M412" s="339"/>
      <c r="N412" s="278"/>
      <c r="O412" s="278"/>
      <c r="P412" s="283"/>
      <c r="Q412" s="278"/>
      <c r="R412" s="284"/>
      <c r="S412" s="282"/>
      <c r="T412" s="285"/>
      <c r="U412" s="286"/>
      <c r="V412" s="287"/>
      <c r="W412" s="288"/>
      <c r="X412" s="286"/>
      <c r="Y412" s="289"/>
      <c r="Z412" s="289"/>
      <c r="AA412" s="290">
        <f t="shared" si="88"/>
        <v>0</v>
      </c>
      <c r="AB412" s="291">
        <f t="shared" si="87"/>
        <v>0</v>
      </c>
      <c r="AC412" s="292">
        <f t="shared" si="90"/>
        <v>0</v>
      </c>
      <c r="AD412" s="293"/>
      <c r="AE412" s="293"/>
      <c r="AF412" s="294"/>
      <c r="AG412" s="291"/>
      <c r="AH412" s="295"/>
      <c r="AI412" s="291"/>
      <c r="AJ412" s="295"/>
      <c r="AK412" s="291"/>
      <c r="AL412" s="291"/>
      <c r="AM412" s="291"/>
      <c r="AN412" s="296">
        <v>35000</v>
      </c>
      <c r="AO412" s="296">
        <v>30000</v>
      </c>
      <c r="AP412" s="296"/>
      <c r="AQ412" s="296"/>
      <c r="AR412" s="296"/>
      <c r="AS412" s="296">
        <f t="shared" si="93"/>
        <v>65000</v>
      </c>
      <c r="AT412" s="297">
        <f t="shared" si="94"/>
        <v>-65000</v>
      </c>
      <c r="AU412" s="297">
        <f t="shared" si="91"/>
        <v>-65000</v>
      </c>
      <c r="AV412" s="297">
        <f t="shared" si="92"/>
        <v>0</v>
      </c>
      <c r="AW412" s="297">
        <f t="shared" si="95"/>
        <v>-32500</v>
      </c>
      <c r="AX412" s="297">
        <f t="shared" si="96"/>
        <v>-29250</v>
      </c>
      <c r="AY412" s="298">
        <v>50000</v>
      </c>
      <c r="AZ412" s="298"/>
      <c r="BA412" s="297">
        <f t="shared" si="97"/>
        <v>-79250</v>
      </c>
      <c r="BB412" s="278"/>
      <c r="BC412" s="255"/>
      <c r="BD412" s="255"/>
    </row>
    <row r="413" spans="1:56" s="256" customFormat="1" ht="20" hidden="1" customHeight="1">
      <c r="A413" s="260">
        <v>413</v>
      </c>
      <c r="B413" s="277"/>
      <c r="C413" s="278"/>
      <c r="D413" s="278"/>
      <c r="E413" s="278"/>
      <c r="F413" s="278"/>
      <c r="G413" s="279" t="e">
        <f>"YB"&amp;RIGHT(#REF!,6)</f>
        <v>#REF!</v>
      </c>
      <c r="H413" s="280"/>
      <c r="I413" s="280"/>
      <c r="J413" s="281">
        <f t="shared" si="89"/>
        <v>0</v>
      </c>
      <c r="K413" s="282"/>
      <c r="L413" s="282"/>
      <c r="M413" s="339"/>
      <c r="N413" s="278"/>
      <c r="O413" s="278"/>
      <c r="P413" s="283"/>
      <c r="Q413" s="278"/>
      <c r="R413" s="284"/>
      <c r="S413" s="282"/>
      <c r="T413" s="285"/>
      <c r="U413" s="286"/>
      <c r="V413" s="287"/>
      <c r="W413" s="288"/>
      <c r="X413" s="286"/>
      <c r="Y413" s="289"/>
      <c r="Z413" s="289"/>
      <c r="AA413" s="290">
        <f t="shared" si="88"/>
        <v>0</v>
      </c>
      <c r="AB413" s="291">
        <f t="shared" si="87"/>
        <v>0</v>
      </c>
      <c r="AC413" s="292">
        <f t="shared" si="90"/>
        <v>0</v>
      </c>
      <c r="AD413" s="293"/>
      <c r="AE413" s="293"/>
      <c r="AF413" s="294"/>
      <c r="AG413" s="291"/>
      <c r="AH413" s="295"/>
      <c r="AI413" s="291"/>
      <c r="AJ413" s="295"/>
      <c r="AK413" s="291"/>
      <c r="AL413" s="291"/>
      <c r="AM413" s="291"/>
      <c r="AN413" s="296">
        <v>35000</v>
      </c>
      <c r="AO413" s="296">
        <v>30000</v>
      </c>
      <c r="AP413" s="296"/>
      <c r="AQ413" s="296"/>
      <c r="AR413" s="296"/>
      <c r="AS413" s="296">
        <f t="shared" si="93"/>
        <v>65000</v>
      </c>
      <c r="AT413" s="297">
        <f t="shared" si="94"/>
        <v>-65000</v>
      </c>
      <c r="AU413" s="297">
        <f t="shared" si="91"/>
        <v>-65000</v>
      </c>
      <c r="AV413" s="297">
        <f t="shared" si="92"/>
        <v>0</v>
      </c>
      <c r="AW413" s="297">
        <f t="shared" si="95"/>
        <v>-32500</v>
      </c>
      <c r="AX413" s="297">
        <f t="shared" si="96"/>
        <v>-29250</v>
      </c>
      <c r="AY413" s="298">
        <v>50000</v>
      </c>
      <c r="AZ413" s="298"/>
      <c r="BA413" s="297">
        <f t="shared" si="97"/>
        <v>-79250</v>
      </c>
      <c r="BB413" s="278"/>
      <c r="BC413" s="255"/>
      <c r="BD413" s="255"/>
    </row>
    <row r="414" spans="1:56" s="256" customFormat="1" ht="20" hidden="1" customHeight="1">
      <c r="A414" s="260">
        <v>414</v>
      </c>
      <c r="B414" s="277"/>
      <c r="C414" s="278"/>
      <c r="D414" s="278"/>
      <c r="E414" s="278"/>
      <c r="F414" s="278"/>
      <c r="G414" s="279" t="e">
        <f>"YB"&amp;RIGHT(#REF!,6)</f>
        <v>#REF!</v>
      </c>
      <c r="H414" s="280"/>
      <c r="I414" s="280"/>
      <c r="J414" s="281">
        <f t="shared" si="89"/>
        <v>0</v>
      </c>
      <c r="K414" s="282"/>
      <c r="L414" s="282"/>
      <c r="M414" s="339"/>
      <c r="N414" s="278"/>
      <c r="O414" s="278"/>
      <c r="P414" s="283"/>
      <c r="Q414" s="278"/>
      <c r="R414" s="284"/>
      <c r="S414" s="282"/>
      <c r="T414" s="285"/>
      <c r="U414" s="286"/>
      <c r="V414" s="287"/>
      <c r="W414" s="288"/>
      <c r="X414" s="286"/>
      <c r="Y414" s="289"/>
      <c r="Z414" s="289"/>
      <c r="AA414" s="290">
        <f t="shared" si="88"/>
        <v>0</v>
      </c>
      <c r="AB414" s="291">
        <f t="shared" ref="AB414:AB472" si="98">SUM(AG414+AI414+AK414+AL414-AM414)</f>
        <v>0</v>
      </c>
      <c r="AC414" s="292">
        <f t="shared" si="90"/>
        <v>0</v>
      </c>
      <c r="AD414" s="293"/>
      <c r="AE414" s="293"/>
      <c r="AF414" s="294"/>
      <c r="AG414" s="291"/>
      <c r="AH414" s="295"/>
      <c r="AI414" s="291"/>
      <c r="AJ414" s="295"/>
      <c r="AK414" s="291"/>
      <c r="AL414" s="291"/>
      <c r="AM414" s="291"/>
      <c r="AN414" s="296">
        <v>35000</v>
      </c>
      <c r="AO414" s="296">
        <v>30000</v>
      </c>
      <c r="AP414" s="296"/>
      <c r="AQ414" s="296"/>
      <c r="AR414" s="296"/>
      <c r="AS414" s="296">
        <f t="shared" si="93"/>
        <v>65000</v>
      </c>
      <c r="AT414" s="297">
        <f t="shared" si="94"/>
        <v>-65000</v>
      </c>
      <c r="AU414" s="297">
        <f t="shared" si="91"/>
        <v>-65000</v>
      </c>
      <c r="AV414" s="297">
        <f t="shared" si="92"/>
        <v>0</v>
      </c>
      <c r="AW414" s="297">
        <f t="shared" si="95"/>
        <v>-32500</v>
      </c>
      <c r="AX414" s="297">
        <f t="shared" si="96"/>
        <v>-29250</v>
      </c>
      <c r="AY414" s="298">
        <v>50000</v>
      </c>
      <c r="AZ414" s="298"/>
      <c r="BA414" s="297">
        <f t="shared" si="97"/>
        <v>-79250</v>
      </c>
      <c r="BB414" s="278"/>
      <c r="BC414" s="255"/>
      <c r="BD414" s="255"/>
    </row>
    <row r="415" spans="1:56" s="256" customFormat="1" ht="20" hidden="1" customHeight="1">
      <c r="A415" s="260">
        <v>415</v>
      </c>
      <c r="B415" s="277"/>
      <c r="C415" s="278"/>
      <c r="D415" s="278"/>
      <c r="E415" s="278"/>
      <c r="F415" s="278"/>
      <c r="G415" s="279" t="e">
        <f>"YB"&amp;RIGHT(#REF!,6)</f>
        <v>#REF!</v>
      </c>
      <c r="H415" s="280"/>
      <c r="I415" s="280"/>
      <c r="J415" s="281">
        <f t="shared" si="89"/>
        <v>0</v>
      </c>
      <c r="K415" s="282"/>
      <c r="L415" s="282"/>
      <c r="M415" s="339"/>
      <c r="N415" s="278"/>
      <c r="O415" s="278"/>
      <c r="P415" s="283"/>
      <c r="Q415" s="278"/>
      <c r="R415" s="284"/>
      <c r="S415" s="282"/>
      <c r="T415" s="285"/>
      <c r="U415" s="286"/>
      <c r="V415" s="287"/>
      <c r="W415" s="288"/>
      <c r="X415" s="286"/>
      <c r="Y415" s="289"/>
      <c r="Z415" s="289"/>
      <c r="AA415" s="290">
        <f t="shared" si="88"/>
        <v>0</v>
      </c>
      <c r="AB415" s="291">
        <f t="shared" si="98"/>
        <v>0</v>
      </c>
      <c r="AC415" s="292">
        <f t="shared" si="90"/>
        <v>0</v>
      </c>
      <c r="AD415" s="293"/>
      <c r="AE415" s="293"/>
      <c r="AF415" s="294"/>
      <c r="AG415" s="291"/>
      <c r="AH415" s="295"/>
      <c r="AI415" s="291"/>
      <c r="AJ415" s="295"/>
      <c r="AK415" s="291"/>
      <c r="AL415" s="291"/>
      <c r="AM415" s="291"/>
      <c r="AN415" s="296">
        <v>35000</v>
      </c>
      <c r="AO415" s="296">
        <v>30000</v>
      </c>
      <c r="AP415" s="296"/>
      <c r="AQ415" s="296"/>
      <c r="AR415" s="296"/>
      <c r="AS415" s="296">
        <f t="shared" si="93"/>
        <v>65000</v>
      </c>
      <c r="AT415" s="297">
        <f t="shared" si="94"/>
        <v>-65000</v>
      </c>
      <c r="AU415" s="297">
        <f t="shared" si="91"/>
        <v>-65000</v>
      </c>
      <c r="AV415" s="297">
        <f t="shared" si="92"/>
        <v>0</v>
      </c>
      <c r="AW415" s="297">
        <f t="shared" si="95"/>
        <v>-32500</v>
      </c>
      <c r="AX415" s="297">
        <f t="shared" si="96"/>
        <v>-29250</v>
      </c>
      <c r="AY415" s="298">
        <v>50000</v>
      </c>
      <c r="AZ415" s="298"/>
      <c r="BA415" s="297">
        <f t="shared" si="97"/>
        <v>-79250</v>
      </c>
      <c r="BB415" s="278"/>
      <c r="BC415" s="255"/>
      <c r="BD415" s="255"/>
    </row>
    <row r="416" spans="1:56" s="256" customFormat="1" ht="20" hidden="1" customHeight="1">
      <c r="A416" s="260">
        <v>416</v>
      </c>
      <c r="B416" s="277"/>
      <c r="C416" s="278"/>
      <c r="D416" s="278"/>
      <c r="E416" s="278"/>
      <c r="F416" s="278"/>
      <c r="G416" s="279" t="e">
        <f>"YB"&amp;RIGHT(#REF!,6)</f>
        <v>#REF!</v>
      </c>
      <c r="H416" s="280"/>
      <c r="I416" s="280"/>
      <c r="J416" s="281">
        <f t="shared" si="89"/>
        <v>0</v>
      </c>
      <c r="K416" s="282"/>
      <c r="L416" s="282"/>
      <c r="M416" s="339"/>
      <c r="N416" s="278"/>
      <c r="O416" s="278"/>
      <c r="P416" s="283"/>
      <c r="Q416" s="278"/>
      <c r="R416" s="284"/>
      <c r="S416" s="282"/>
      <c r="T416" s="285"/>
      <c r="U416" s="286"/>
      <c r="V416" s="287"/>
      <c r="W416" s="288"/>
      <c r="X416" s="286"/>
      <c r="Y416" s="289"/>
      <c r="Z416" s="289"/>
      <c r="AA416" s="290">
        <f t="shared" si="88"/>
        <v>0</v>
      </c>
      <c r="AB416" s="291">
        <f t="shared" si="98"/>
        <v>0</v>
      </c>
      <c r="AC416" s="292">
        <f t="shared" si="90"/>
        <v>0</v>
      </c>
      <c r="AD416" s="293"/>
      <c r="AE416" s="293"/>
      <c r="AF416" s="294"/>
      <c r="AG416" s="291"/>
      <c r="AH416" s="295"/>
      <c r="AI416" s="291"/>
      <c r="AJ416" s="295"/>
      <c r="AK416" s="291"/>
      <c r="AL416" s="291"/>
      <c r="AM416" s="291"/>
      <c r="AN416" s="296">
        <v>35000</v>
      </c>
      <c r="AO416" s="296">
        <v>30000</v>
      </c>
      <c r="AP416" s="296"/>
      <c r="AQ416" s="296"/>
      <c r="AR416" s="296"/>
      <c r="AS416" s="296">
        <f t="shared" si="93"/>
        <v>65000</v>
      </c>
      <c r="AT416" s="297">
        <f t="shared" si="94"/>
        <v>-65000</v>
      </c>
      <c r="AU416" s="297">
        <f t="shared" si="91"/>
        <v>-65000</v>
      </c>
      <c r="AV416" s="297">
        <f t="shared" si="92"/>
        <v>0</v>
      </c>
      <c r="AW416" s="297">
        <f t="shared" si="95"/>
        <v>-32500</v>
      </c>
      <c r="AX416" s="297">
        <f t="shared" si="96"/>
        <v>-29250</v>
      </c>
      <c r="AY416" s="298">
        <v>50000</v>
      </c>
      <c r="AZ416" s="298"/>
      <c r="BA416" s="297">
        <f t="shared" si="97"/>
        <v>-79250</v>
      </c>
      <c r="BB416" s="278"/>
      <c r="BC416" s="255"/>
      <c r="BD416" s="255"/>
    </row>
    <row r="417" spans="1:56" s="256" customFormat="1" ht="20" hidden="1" customHeight="1">
      <c r="A417" s="260">
        <v>417</v>
      </c>
      <c r="B417" s="277"/>
      <c r="C417" s="278"/>
      <c r="D417" s="278"/>
      <c r="E417" s="278"/>
      <c r="F417" s="278"/>
      <c r="G417" s="279" t="e">
        <f>"YB"&amp;RIGHT(#REF!,6)</f>
        <v>#REF!</v>
      </c>
      <c r="H417" s="280"/>
      <c r="I417" s="280"/>
      <c r="J417" s="281">
        <f t="shared" si="89"/>
        <v>0</v>
      </c>
      <c r="K417" s="282"/>
      <c r="L417" s="282"/>
      <c r="M417" s="339"/>
      <c r="N417" s="278"/>
      <c r="O417" s="278"/>
      <c r="P417" s="283"/>
      <c r="Q417" s="278"/>
      <c r="R417" s="284"/>
      <c r="S417" s="282"/>
      <c r="T417" s="285"/>
      <c r="U417" s="286"/>
      <c r="V417" s="287"/>
      <c r="W417" s="288"/>
      <c r="X417" s="286"/>
      <c r="Y417" s="289"/>
      <c r="Z417" s="289"/>
      <c r="AA417" s="290">
        <f t="shared" si="88"/>
        <v>0</v>
      </c>
      <c r="AB417" s="291">
        <f t="shared" si="98"/>
        <v>0</v>
      </c>
      <c r="AC417" s="292">
        <f t="shared" si="90"/>
        <v>0</v>
      </c>
      <c r="AD417" s="293"/>
      <c r="AE417" s="293"/>
      <c r="AF417" s="294"/>
      <c r="AG417" s="291"/>
      <c r="AH417" s="295"/>
      <c r="AI417" s="291"/>
      <c r="AJ417" s="295"/>
      <c r="AK417" s="291"/>
      <c r="AL417" s="291"/>
      <c r="AM417" s="291"/>
      <c r="AN417" s="296">
        <v>35000</v>
      </c>
      <c r="AO417" s="296">
        <v>30000</v>
      </c>
      <c r="AP417" s="296"/>
      <c r="AQ417" s="296"/>
      <c r="AR417" s="296"/>
      <c r="AS417" s="296">
        <f t="shared" si="93"/>
        <v>65000</v>
      </c>
      <c r="AT417" s="297">
        <f t="shared" si="94"/>
        <v>-65000</v>
      </c>
      <c r="AU417" s="297">
        <f t="shared" si="91"/>
        <v>-65000</v>
      </c>
      <c r="AV417" s="297">
        <f t="shared" si="92"/>
        <v>0</v>
      </c>
      <c r="AW417" s="297">
        <f t="shared" si="95"/>
        <v>-32500</v>
      </c>
      <c r="AX417" s="297">
        <f t="shared" si="96"/>
        <v>-29250</v>
      </c>
      <c r="AY417" s="298">
        <v>50000</v>
      </c>
      <c r="AZ417" s="298"/>
      <c r="BA417" s="297">
        <f t="shared" si="97"/>
        <v>-79250</v>
      </c>
      <c r="BB417" s="278"/>
      <c r="BC417" s="255"/>
      <c r="BD417" s="255"/>
    </row>
    <row r="418" spans="1:56" s="256" customFormat="1" ht="20" hidden="1" customHeight="1">
      <c r="A418" s="260">
        <v>418</v>
      </c>
      <c r="B418" s="277"/>
      <c r="C418" s="278"/>
      <c r="D418" s="278"/>
      <c r="E418" s="278"/>
      <c r="F418" s="278"/>
      <c r="G418" s="279" t="e">
        <f>"YB"&amp;RIGHT(#REF!,6)</f>
        <v>#REF!</v>
      </c>
      <c r="H418" s="280"/>
      <c r="I418" s="280"/>
      <c r="J418" s="281">
        <f t="shared" si="89"/>
        <v>0</v>
      </c>
      <c r="K418" s="282"/>
      <c r="L418" s="282"/>
      <c r="M418" s="339"/>
      <c r="N418" s="278"/>
      <c r="O418" s="278"/>
      <c r="P418" s="283"/>
      <c r="Q418" s="278"/>
      <c r="R418" s="284"/>
      <c r="S418" s="282"/>
      <c r="T418" s="285"/>
      <c r="U418" s="286"/>
      <c r="V418" s="287"/>
      <c r="W418" s="288"/>
      <c r="X418" s="286"/>
      <c r="Y418" s="289"/>
      <c r="Z418" s="289"/>
      <c r="AA418" s="290">
        <f t="shared" si="88"/>
        <v>0</v>
      </c>
      <c r="AB418" s="291">
        <f t="shared" si="98"/>
        <v>0</v>
      </c>
      <c r="AC418" s="292">
        <f t="shared" si="90"/>
        <v>0</v>
      </c>
      <c r="AD418" s="293"/>
      <c r="AE418" s="293"/>
      <c r="AF418" s="294"/>
      <c r="AG418" s="291"/>
      <c r="AH418" s="295"/>
      <c r="AI418" s="291"/>
      <c r="AJ418" s="295"/>
      <c r="AK418" s="291"/>
      <c r="AL418" s="291"/>
      <c r="AM418" s="291"/>
      <c r="AN418" s="296">
        <v>35000</v>
      </c>
      <c r="AO418" s="296">
        <v>30000</v>
      </c>
      <c r="AP418" s="296"/>
      <c r="AQ418" s="296"/>
      <c r="AR418" s="296"/>
      <c r="AS418" s="296">
        <f t="shared" si="93"/>
        <v>65000</v>
      </c>
      <c r="AT418" s="297">
        <f t="shared" si="94"/>
        <v>-65000</v>
      </c>
      <c r="AU418" s="297">
        <f t="shared" si="91"/>
        <v>-65000</v>
      </c>
      <c r="AV418" s="297">
        <f t="shared" si="92"/>
        <v>0</v>
      </c>
      <c r="AW418" s="297">
        <f t="shared" si="95"/>
        <v>-32500</v>
      </c>
      <c r="AX418" s="297">
        <f t="shared" si="96"/>
        <v>-29250</v>
      </c>
      <c r="AY418" s="298">
        <v>50000</v>
      </c>
      <c r="AZ418" s="298"/>
      <c r="BA418" s="297">
        <f t="shared" si="97"/>
        <v>-79250</v>
      </c>
      <c r="BB418" s="278"/>
      <c r="BC418" s="255"/>
      <c r="BD418" s="255"/>
    </row>
    <row r="419" spans="1:56" s="256" customFormat="1" ht="20" hidden="1" customHeight="1">
      <c r="A419" s="260">
        <v>419</v>
      </c>
      <c r="B419" s="277"/>
      <c r="C419" s="278"/>
      <c r="D419" s="278"/>
      <c r="E419" s="278"/>
      <c r="F419" s="278"/>
      <c r="G419" s="279" t="e">
        <f>"YB"&amp;RIGHT(#REF!,6)</f>
        <v>#REF!</v>
      </c>
      <c r="H419" s="280"/>
      <c r="I419" s="280"/>
      <c r="J419" s="281">
        <f t="shared" si="89"/>
        <v>0</v>
      </c>
      <c r="K419" s="282"/>
      <c r="L419" s="282"/>
      <c r="M419" s="339"/>
      <c r="N419" s="278"/>
      <c r="O419" s="278"/>
      <c r="P419" s="283"/>
      <c r="Q419" s="278"/>
      <c r="R419" s="284"/>
      <c r="S419" s="282"/>
      <c r="T419" s="285"/>
      <c r="U419" s="286"/>
      <c r="V419" s="287"/>
      <c r="W419" s="288"/>
      <c r="X419" s="286"/>
      <c r="Y419" s="289"/>
      <c r="Z419" s="289"/>
      <c r="AA419" s="290">
        <f t="shared" ref="AA419:AA472" si="99">SUM(T419,W419:Z419)</f>
        <v>0</v>
      </c>
      <c r="AB419" s="291">
        <f t="shared" si="98"/>
        <v>0</v>
      </c>
      <c r="AC419" s="292">
        <f t="shared" si="90"/>
        <v>0</v>
      </c>
      <c r="AD419" s="293"/>
      <c r="AE419" s="293"/>
      <c r="AF419" s="294"/>
      <c r="AG419" s="291"/>
      <c r="AH419" s="295"/>
      <c r="AI419" s="291"/>
      <c r="AJ419" s="295"/>
      <c r="AK419" s="291"/>
      <c r="AL419" s="291"/>
      <c r="AM419" s="291"/>
      <c r="AN419" s="296">
        <v>35000</v>
      </c>
      <c r="AO419" s="296">
        <v>30000</v>
      </c>
      <c r="AP419" s="296"/>
      <c r="AQ419" s="296"/>
      <c r="AR419" s="296"/>
      <c r="AS419" s="296">
        <f t="shared" si="93"/>
        <v>65000</v>
      </c>
      <c r="AT419" s="297">
        <f t="shared" si="94"/>
        <v>-65000</v>
      </c>
      <c r="AU419" s="297">
        <f t="shared" si="91"/>
        <v>-65000</v>
      </c>
      <c r="AV419" s="297">
        <f t="shared" si="92"/>
        <v>0</v>
      </c>
      <c r="AW419" s="297">
        <f t="shared" si="95"/>
        <v>-32500</v>
      </c>
      <c r="AX419" s="297">
        <f t="shared" si="96"/>
        <v>-29250</v>
      </c>
      <c r="AY419" s="298">
        <v>50000</v>
      </c>
      <c r="AZ419" s="298"/>
      <c r="BA419" s="297">
        <f t="shared" si="97"/>
        <v>-79250</v>
      </c>
      <c r="BB419" s="278"/>
      <c r="BC419" s="255"/>
      <c r="BD419" s="255"/>
    </row>
    <row r="420" spans="1:56" s="256" customFormat="1" ht="20" hidden="1" customHeight="1">
      <c r="A420" s="260">
        <v>420</v>
      </c>
      <c r="B420" s="277"/>
      <c r="C420" s="278"/>
      <c r="D420" s="278"/>
      <c r="E420" s="278"/>
      <c r="F420" s="278"/>
      <c r="G420" s="279" t="e">
        <f>"YB"&amp;RIGHT(#REF!,6)</f>
        <v>#REF!</v>
      </c>
      <c r="H420" s="280"/>
      <c r="I420" s="280"/>
      <c r="J420" s="281">
        <f t="shared" si="89"/>
        <v>0</v>
      </c>
      <c r="K420" s="282"/>
      <c r="L420" s="282"/>
      <c r="M420" s="339"/>
      <c r="N420" s="278"/>
      <c r="O420" s="278"/>
      <c r="P420" s="283"/>
      <c r="Q420" s="278"/>
      <c r="R420" s="284"/>
      <c r="S420" s="282"/>
      <c r="T420" s="285"/>
      <c r="U420" s="286"/>
      <c r="V420" s="287"/>
      <c r="W420" s="288"/>
      <c r="X420" s="286"/>
      <c r="Y420" s="289"/>
      <c r="Z420" s="289"/>
      <c r="AA420" s="290">
        <f t="shared" si="99"/>
        <v>0</v>
      </c>
      <c r="AB420" s="291">
        <f t="shared" si="98"/>
        <v>0</v>
      </c>
      <c r="AC420" s="292">
        <f t="shared" si="90"/>
        <v>0</v>
      </c>
      <c r="AD420" s="293"/>
      <c r="AE420" s="293"/>
      <c r="AF420" s="294"/>
      <c r="AG420" s="291"/>
      <c r="AH420" s="295"/>
      <c r="AI420" s="291"/>
      <c r="AJ420" s="295"/>
      <c r="AK420" s="291"/>
      <c r="AL420" s="291"/>
      <c r="AM420" s="291"/>
      <c r="AN420" s="296">
        <v>35000</v>
      </c>
      <c r="AO420" s="296">
        <v>30000</v>
      </c>
      <c r="AP420" s="296"/>
      <c r="AQ420" s="296"/>
      <c r="AR420" s="296"/>
      <c r="AS420" s="296">
        <f t="shared" si="93"/>
        <v>65000</v>
      </c>
      <c r="AT420" s="297">
        <f t="shared" si="94"/>
        <v>-65000</v>
      </c>
      <c r="AU420" s="297">
        <f t="shared" si="91"/>
        <v>-65000</v>
      </c>
      <c r="AV420" s="297">
        <f t="shared" si="92"/>
        <v>0</v>
      </c>
      <c r="AW420" s="297">
        <f t="shared" si="95"/>
        <v>-32500</v>
      </c>
      <c r="AX420" s="297">
        <f t="shared" si="96"/>
        <v>-29250</v>
      </c>
      <c r="AY420" s="298">
        <v>50000</v>
      </c>
      <c r="AZ420" s="298"/>
      <c r="BA420" s="297">
        <f t="shared" si="97"/>
        <v>-79250</v>
      </c>
      <c r="BB420" s="278"/>
      <c r="BC420" s="255"/>
      <c r="BD420" s="255"/>
    </row>
    <row r="421" spans="1:56" s="256" customFormat="1" ht="20" hidden="1" customHeight="1">
      <c r="A421" s="260">
        <v>421</v>
      </c>
      <c r="B421" s="277"/>
      <c r="C421" s="278"/>
      <c r="D421" s="278"/>
      <c r="E421" s="278"/>
      <c r="F421" s="278"/>
      <c r="G421" s="279" t="e">
        <f>"YB"&amp;RIGHT(#REF!,6)</f>
        <v>#REF!</v>
      </c>
      <c r="H421" s="280"/>
      <c r="I421" s="280"/>
      <c r="J421" s="281">
        <f t="shared" si="89"/>
        <v>0</v>
      </c>
      <c r="K421" s="282"/>
      <c r="L421" s="282"/>
      <c r="M421" s="339"/>
      <c r="N421" s="278"/>
      <c r="O421" s="278"/>
      <c r="P421" s="283"/>
      <c r="Q421" s="278"/>
      <c r="R421" s="284"/>
      <c r="S421" s="282"/>
      <c r="T421" s="285"/>
      <c r="U421" s="286"/>
      <c r="V421" s="287"/>
      <c r="W421" s="288"/>
      <c r="X421" s="286"/>
      <c r="Y421" s="289"/>
      <c r="Z421" s="289"/>
      <c r="AA421" s="290">
        <f t="shared" si="99"/>
        <v>0</v>
      </c>
      <c r="AB421" s="291">
        <f t="shared" si="98"/>
        <v>0</v>
      </c>
      <c r="AC421" s="292">
        <f t="shared" si="90"/>
        <v>0</v>
      </c>
      <c r="AD421" s="293"/>
      <c r="AE421" s="293"/>
      <c r="AF421" s="294"/>
      <c r="AG421" s="291"/>
      <c r="AH421" s="295"/>
      <c r="AI421" s="291"/>
      <c r="AJ421" s="295"/>
      <c r="AK421" s="291"/>
      <c r="AL421" s="291"/>
      <c r="AM421" s="291"/>
      <c r="AN421" s="296">
        <v>35000</v>
      </c>
      <c r="AO421" s="296">
        <v>30000</v>
      </c>
      <c r="AP421" s="296"/>
      <c r="AQ421" s="296"/>
      <c r="AR421" s="296"/>
      <c r="AS421" s="296">
        <f t="shared" si="93"/>
        <v>65000</v>
      </c>
      <c r="AT421" s="297">
        <f t="shared" si="94"/>
        <v>-65000</v>
      </c>
      <c r="AU421" s="297">
        <f t="shared" si="91"/>
        <v>-65000</v>
      </c>
      <c r="AV421" s="297">
        <f t="shared" si="92"/>
        <v>0</v>
      </c>
      <c r="AW421" s="297">
        <f t="shared" si="95"/>
        <v>-32500</v>
      </c>
      <c r="AX421" s="297">
        <f t="shared" si="96"/>
        <v>-29250</v>
      </c>
      <c r="AY421" s="298">
        <v>50000</v>
      </c>
      <c r="AZ421" s="298"/>
      <c r="BA421" s="297">
        <f t="shared" si="97"/>
        <v>-79250</v>
      </c>
      <c r="BB421" s="278"/>
      <c r="BC421" s="255"/>
      <c r="BD421" s="255"/>
    </row>
    <row r="422" spans="1:56" s="256" customFormat="1" ht="20" hidden="1" customHeight="1">
      <c r="A422" s="260">
        <v>422</v>
      </c>
      <c r="B422" s="277"/>
      <c r="C422" s="278"/>
      <c r="D422" s="278"/>
      <c r="E422" s="278"/>
      <c r="F422" s="278"/>
      <c r="G422" s="279" t="e">
        <f>"YB"&amp;RIGHT(#REF!,6)</f>
        <v>#REF!</v>
      </c>
      <c r="H422" s="280"/>
      <c r="I422" s="280"/>
      <c r="J422" s="281">
        <f t="shared" si="89"/>
        <v>0</v>
      </c>
      <c r="K422" s="282"/>
      <c r="L422" s="282"/>
      <c r="M422" s="339"/>
      <c r="N422" s="278"/>
      <c r="O422" s="278"/>
      <c r="P422" s="283"/>
      <c r="Q422" s="278"/>
      <c r="R422" s="284"/>
      <c r="S422" s="282"/>
      <c r="T422" s="285"/>
      <c r="U422" s="286"/>
      <c r="V422" s="287"/>
      <c r="W422" s="288"/>
      <c r="X422" s="286"/>
      <c r="Y422" s="289"/>
      <c r="Z422" s="289"/>
      <c r="AA422" s="290">
        <f t="shared" si="99"/>
        <v>0</v>
      </c>
      <c r="AB422" s="291">
        <f t="shared" si="98"/>
        <v>0</v>
      </c>
      <c r="AC422" s="292">
        <f t="shared" si="90"/>
        <v>0</v>
      </c>
      <c r="AD422" s="293"/>
      <c r="AE422" s="293"/>
      <c r="AF422" s="294"/>
      <c r="AG422" s="291"/>
      <c r="AH422" s="295"/>
      <c r="AI422" s="291"/>
      <c r="AJ422" s="295"/>
      <c r="AK422" s="291"/>
      <c r="AL422" s="291"/>
      <c r="AM422" s="291"/>
      <c r="AN422" s="296">
        <v>35000</v>
      </c>
      <c r="AO422" s="296">
        <v>30000</v>
      </c>
      <c r="AP422" s="296"/>
      <c r="AQ422" s="296"/>
      <c r="AR422" s="296"/>
      <c r="AS422" s="296">
        <f t="shared" si="93"/>
        <v>65000</v>
      </c>
      <c r="AT422" s="297">
        <f t="shared" si="94"/>
        <v>-65000</v>
      </c>
      <c r="AU422" s="297">
        <f t="shared" si="91"/>
        <v>-65000</v>
      </c>
      <c r="AV422" s="297">
        <f t="shared" si="92"/>
        <v>0</v>
      </c>
      <c r="AW422" s="297">
        <f t="shared" si="95"/>
        <v>-32500</v>
      </c>
      <c r="AX422" s="297">
        <f t="shared" si="96"/>
        <v>-29250</v>
      </c>
      <c r="AY422" s="298">
        <v>50000</v>
      </c>
      <c r="AZ422" s="298"/>
      <c r="BA422" s="297">
        <f t="shared" si="97"/>
        <v>-79250</v>
      </c>
      <c r="BB422" s="278"/>
      <c r="BC422" s="255"/>
      <c r="BD422" s="255"/>
    </row>
    <row r="423" spans="1:56" s="256" customFormat="1" ht="20" hidden="1" customHeight="1">
      <c r="A423" s="260">
        <v>423</v>
      </c>
      <c r="B423" s="277"/>
      <c r="C423" s="278"/>
      <c r="D423" s="278"/>
      <c r="E423" s="278"/>
      <c r="F423" s="278"/>
      <c r="G423" s="279" t="e">
        <f>"YB"&amp;RIGHT(#REF!,6)</f>
        <v>#REF!</v>
      </c>
      <c r="H423" s="280"/>
      <c r="I423" s="280"/>
      <c r="J423" s="281">
        <f t="shared" si="89"/>
        <v>0</v>
      </c>
      <c r="K423" s="282"/>
      <c r="L423" s="282"/>
      <c r="M423" s="339"/>
      <c r="N423" s="278"/>
      <c r="O423" s="278"/>
      <c r="P423" s="283"/>
      <c r="Q423" s="278"/>
      <c r="R423" s="284"/>
      <c r="S423" s="282"/>
      <c r="T423" s="285"/>
      <c r="U423" s="286"/>
      <c r="V423" s="287"/>
      <c r="W423" s="288"/>
      <c r="X423" s="286"/>
      <c r="Y423" s="289"/>
      <c r="Z423" s="289"/>
      <c r="AA423" s="290">
        <f t="shared" si="99"/>
        <v>0</v>
      </c>
      <c r="AB423" s="291">
        <f t="shared" si="98"/>
        <v>0</v>
      </c>
      <c r="AC423" s="292">
        <f t="shared" si="90"/>
        <v>0</v>
      </c>
      <c r="AD423" s="293"/>
      <c r="AE423" s="293"/>
      <c r="AF423" s="294"/>
      <c r="AG423" s="291"/>
      <c r="AH423" s="295"/>
      <c r="AI423" s="291"/>
      <c r="AJ423" s="295"/>
      <c r="AK423" s="291"/>
      <c r="AL423" s="291"/>
      <c r="AM423" s="291"/>
      <c r="AN423" s="296">
        <v>35000</v>
      </c>
      <c r="AO423" s="296">
        <v>30000</v>
      </c>
      <c r="AP423" s="296"/>
      <c r="AQ423" s="296"/>
      <c r="AR423" s="296"/>
      <c r="AS423" s="296">
        <f t="shared" si="93"/>
        <v>65000</v>
      </c>
      <c r="AT423" s="297">
        <f t="shared" si="94"/>
        <v>-65000</v>
      </c>
      <c r="AU423" s="297">
        <f t="shared" si="91"/>
        <v>-65000</v>
      </c>
      <c r="AV423" s="297">
        <f t="shared" si="92"/>
        <v>0</v>
      </c>
      <c r="AW423" s="297">
        <f t="shared" si="95"/>
        <v>-32500</v>
      </c>
      <c r="AX423" s="297">
        <f t="shared" si="96"/>
        <v>-29250</v>
      </c>
      <c r="AY423" s="298">
        <v>50000</v>
      </c>
      <c r="AZ423" s="298"/>
      <c r="BA423" s="297">
        <f t="shared" si="97"/>
        <v>-79250</v>
      </c>
      <c r="BB423" s="278"/>
      <c r="BC423" s="255"/>
      <c r="BD423" s="255"/>
    </row>
    <row r="424" spans="1:56" s="256" customFormat="1" ht="20" hidden="1" customHeight="1">
      <c r="A424" s="260">
        <v>424</v>
      </c>
      <c r="B424" s="277"/>
      <c r="C424" s="278"/>
      <c r="D424" s="278"/>
      <c r="E424" s="278"/>
      <c r="F424" s="278"/>
      <c r="G424" s="279" t="e">
        <f>"YB"&amp;RIGHT(#REF!,6)</f>
        <v>#REF!</v>
      </c>
      <c r="H424" s="280"/>
      <c r="I424" s="280"/>
      <c r="J424" s="281">
        <f t="shared" si="89"/>
        <v>0</v>
      </c>
      <c r="K424" s="282"/>
      <c r="L424" s="282"/>
      <c r="M424" s="339"/>
      <c r="N424" s="278"/>
      <c r="O424" s="278"/>
      <c r="P424" s="283"/>
      <c r="Q424" s="278"/>
      <c r="R424" s="284"/>
      <c r="S424" s="282"/>
      <c r="T424" s="285"/>
      <c r="U424" s="286"/>
      <c r="V424" s="287"/>
      <c r="W424" s="288"/>
      <c r="X424" s="286"/>
      <c r="Y424" s="289"/>
      <c r="Z424" s="289"/>
      <c r="AA424" s="290">
        <f t="shared" si="99"/>
        <v>0</v>
      </c>
      <c r="AB424" s="291">
        <f t="shared" si="98"/>
        <v>0</v>
      </c>
      <c r="AC424" s="292">
        <f t="shared" si="90"/>
        <v>0</v>
      </c>
      <c r="AD424" s="293"/>
      <c r="AE424" s="293"/>
      <c r="AF424" s="294"/>
      <c r="AG424" s="291"/>
      <c r="AH424" s="295"/>
      <c r="AI424" s="291"/>
      <c r="AJ424" s="295"/>
      <c r="AK424" s="291"/>
      <c r="AL424" s="291"/>
      <c r="AM424" s="291"/>
      <c r="AN424" s="296">
        <v>35000</v>
      </c>
      <c r="AO424" s="296">
        <v>30000</v>
      </c>
      <c r="AP424" s="296"/>
      <c r="AQ424" s="296"/>
      <c r="AR424" s="296"/>
      <c r="AS424" s="296">
        <f t="shared" si="93"/>
        <v>65000</v>
      </c>
      <c r="AT424" s="297">
        <f t="shared" si="94"/>
        <v>-65000</v>
      </c>
      <c r="AU424" s="297">
        <f t="shared" si="91"/>
        <v>-65000</v>
      </c>
      <c r="AV424" s="297">
        <f t="shared" si="92"/>
        <v>0</v>
      </c>
      <c r="AW424" s="297">
        <f t="shared" si="95"/>
        <v>-32500</v>
      </c>
      <c r="AX424" s="297">
        <f t="shared" si="96"/>
        <v>-29250</v>
      </c>
      <c r="AY424" s="298">
        <v>50000</v>
      </c>
      <c r="AZ424" s="298"/>
      <c r="BA424" s="297">
        <f t="shared" si="97"/>
        <v>-79250</v>
      </c>
      <c r="BB424" s="278"/>
      <c r="BC424" s="255"/>
      <c r="BD424" s="255"/>
    </row>
    <row r="425" spans="1:56" s="256" customFormat="1" ht="20" hidden="1" customHeight="1">
      <c r="A425" s="260">
        <v>425</v>
      </c>
      <c r="B425" s="277"/>
      <c r="C425" s="278"/>
      <c r="D425" s="278"/>
      <c r="E425" s="278"/>
      <c r="F425" s="278"/>
      <c r="G425" s="279" t="e">
        <f>"YB"&amp;RIGHT(#REF!,6)</f>
        <v>#REF!</v>
      </c>
      <c r="H425" s="280"/>
      <c r="I425" s="280"/>
      <c r="J425" s="281">
        <f t="shared" si="89"/>
        <v>0</v>
      </c>
      <c r="K425" s="282"/>
      <c r="L425" s="282"/>
      <c r="M425" s="339"/>
      <c r="N425" s="278"/>
      <c r="O425" s="278"/>
      <c r="P425" s="283"/>
      <c r="Q425" s="278"/>
      <c r="R425" s="284"/>
      <c r="S425" s="282"/>
      <c r="T425" s="285"/>
      <c r="U425" s="286"/>
      <c r="V425" s="287"/>
      <c r="W425" s="288"/>
      <c r="X425" s="286"/>
      <c r="Y425" s="289"/>
      <c r="Z425" s="289"/>
      <c r="AA425" s="290">
        <f t="shared" si="99"/>
        <v>0</v>
      </c>
      <c r="AB425" s="291">
        <f t="shared" si="98"/>
        <v>0</v>
      </c>
      <c r="AC425" s="292">
        <f t="shared" si="90"/>
        <v>0</v>
      </c>
      <c r="AD425" s="293"/>
      <c r="AE425" s="293"/>
      <c r="AF425" s="294"/>
      <c r="AG425" s="291"/>
      <c r="AH425" s="295"/>
      <c r="AI425" s="291"/>
      <c r="AJ425" s="295"/>
      <c r="AK425" s="291"/>
      <c r="AL425" s="291"/>
      <c r="AM425" s="291"/>
      <c r="AN425" s="296">
        <v>35000</v>
      </c>
      <c r="AO425" s="296">
        <v>30000</v>
      </c>
      <c r="AP425" s="296"/>
      <c r="AQ425" s="296"/>
      <c r="AR425" s="296"/>
      <c r="AS425" s="296">
        <f t="shared" si="93"/>
        <v>65000</v>
      </c>
      <c r="AT425" s="297">
        <f t="shared" si="94"/>
        <v>-65000</v>
      </c>
      <c r="AU425" s="297">
        <f t="shared" si="91"/>
        <v>-65000</v>
      </c>
      <c r="AV425" s="297">
        <f t="shared" si="92"/>
        <v>0</v>
      </c>
      <c r="AW425" s="297">
        <f t="shared" si="95"/>
        <v>-32500</v>
      </c>
      <c r="AX425" s="297">
        <f t="shared" si="96"/>
        <v>-29250</v>
      </c>
      <c r="AY425" s="298">
        <v>50000</v>
      </c>
      <c r="AZ425" s="298"/>
      <c r="BA425" s="297">
        <f t="shared" si="97"/>
        <v>-79250</v>
      </c>
      <c r="BB425" s="278"/>
      <c r="BC425" s="255"/>
      <c r="BD425" s="255"/>
    </row>
    <row r="426" spans="1:56" s="256" customFormat="1" ht="20" hidden="1" customHeight="1">
      <c r="A426" s="260">
        <v>426</v>
      </c>
      <c r="B426" s="277"/>
      <c r="C426" s="278"/>
      <c r="D426" s="278"/>
      <c r="E426" s="278"/>
      <c r="F426" s="278"/>
      <c r="G426" s="279" t="e">
        <f>"YB"&amp;RIGHT(#REF!,6)</f>
        <v>#REF!</v>
      </c>
      <c r="H426" s="280"/>
      <c r="I426" s="280"/>
      <c r="J426" s="281">
        <f t="shared" si="89"/>
        <v>0</v>
      </c>
      <c r="K426" s="282"/>
      <c r="L426" s="282"/>
      <c r="M426" s="339"/>
      <c r="N426" s="278"/>
      <c r="O426" s="278"/>
      <c r="P426" s="283"/>
      <c r="Q426" s="278"/>
      <c r="R426" s="284"/>
      <c r="S426" s="282"/>
      <c r="T426" s="285"/>
      <c r="U426" s="286"/>
      <c r="V426" s="287"/>
      <c r="W426" s="288"/>
      <c r="X426" s="286"/>
      <c r="Y426" s="289"/>
      <c r="Z426" s="289"/>
      <c r="AA426" s="290">
        <f t="shared" si="99"/>
        <v>0</v>
      </c>
      <c r="AB426" s="291">
        <f t="shared" si="98"/>
        <v>0</v>
      </c>
      <c r="AC426" s="292">
        <f t="shared" si="90"/>
        <v>0</v>
      </c>
      <c r="AD426" s="293"/>
      <c r="AE426" s="293"/>
      <c r="AF426" s="294"/>
      <c r="AG426" s="291"/>
      <c r="AH426" s="295"/>
      <c r="AI426" s="291"/>
      <c r="AJ426" s="295"/>
      <c r="AK426" s="291"/>
      <c r="AL426" s="291"/>
      <c r="AM426" s="291"/>
      <c r="AN426" s="296">
        <v>35000</v>
      </c>
      <c r="AO426" s="296">
        <v>30000</v>
      </c>
      <c r="AP426" s="296"/>
      <c r="AQ426" s="296"/>
      <c r="AR426" s="296"/>
      <c r="AS426" s="296">
        <f t="shared" si="93"/>
        <v>65000</v>
      </c>
      <c r="AT426" s="297">
        <f t="shared" si="94"/>
        <v>-65000</v>
      </c>
      <c r="AU426" s="297">
        <f t="shared" si="91"/>
        <v>-65000</v>
      </c>
      <c r="AV426" s="297">
        <f t="shared" si="92"/>
        <v>0</v>
      </c>
      <c r="AW426" s="297">
        <f t="shared" si="95"/>
        <v>-32500</v>
      </c>
      <c r="AX426" s="297">
        <f t="shared" si="96"/>
        <v>-29250</v>
      </c>
      <c r="AY426" s="298">
        <v>50000</v>
      </c>
      <c r="AZ426" s="298"/>
      <c r="BA426" s="297">
        <f t="shared" si="97"/>
        <v>-79250</v>
      </c>
      <c r="BB426" s="278"/>
      <c r="BC426" s="255"/>
      <c r="BD426" s="255"/>
    </row>
    <row r="427" spans="1:56" s="256" customFormat="1" ht="20" hidden="1" customHeight="1">
      <c r="A427" s="260">
        <v>427</v>
      </c>
      <c r="B427" s="277"/>
      <c r="C427" s="278"/>
      <c r="D427" s="278"/>
      <c r="E427" s="278"/>
      <c r="F427" s="278"/>
      <c r="G427" s="279" t="e">
        <f>"YB"&amp;RIGHT(#REF!,6)</f>
        <v>#REF!</v>
      </c>
      <c r="H427" s="280"/>
      <c r="I427" s="280"/>
      <c r="J427" s="281">
        <f t="shared" si="89"/>
        <v>0</v>
      </c>
      <c r="K427" s="282"/>
      <c r="L427" s="282"/>
      <c r="M427" s="339"/>
      <c r="N427" s="278"/>
      <c r="O427" s="278"/>
      <c r="P427" s="283"/>
      <c r="Q427" s="278"/>
      <c r="R427" s="284"/>
      <c r="S427" s="282"/>
      <c r="T427" s="285"/>
      <c r="U427" s="286"/>
      <c r="V427" s="287"/>
      <c r="W427" s="288"/>
      <c r="X427" s="286"/>
      <c r="Y427" s="289"/>
      <c r="Z427" s="289"/>
      <c r="AA427" s="290">
        <f t="shared" si="99"/>
        <v>0</v>
      </c>
      <c r="AB427" s="291">
        <f t="shared" si="98"/>
        <v>0</v>
      </c>
      <c r="AC427" s="292">
        <f t="shared" si="90"/>
        <v>0</v>
      </c>
      <c r="AD427" s="293"/>
      <c r="AE427" s="293"/>
      <c r="AF427" s="294"/>
      <c r="AG427" s="291"/>
      <c r="AH427" s="295"/>
      <c r="AI427" s="291"/>
      <c r="AJ427" s="295"/>
      <c r="AK427" s="291"/>
      <c r="AL427" s="291"/>
      <c r="AM427" s="291"/>
      <c r="AN427" s="296">
        <v>35000</v>
      </c>
      <c r="AO427" s="296">
        <v>30000</v>
      </c>
      <c r="AP427" s="296"/>
      <c r="AQ427" s="296"/>
      <c r="AR427" s="296"/>
      <c r="AS427" s="296">
        <f t="shared" si="93"/>
        <v>65000</v>
      </c>
      <c r="AT427" s="297">
        <f t="shared" si="94"/>
        <v>-65000</v>
      </c>
      <c r="AU427" s="297">
        <f t="shared" si="91"/>
        <v>-65000</v>
      </c>
      <c r="AV427" s="297">
        <f t="shared" si="92"/>
        <v>0</v>
      </c>
      <c r="AW427" s="297">
        <f t="shared" si="95"/>
        <v>-32500</v>
      </c>
      <c r="AX427" s="297">
        <f t="shared" si="96"/>
        <v>-29250</v>
      </c>
      <c r="AY427" s="298">
        <v>50000</v>
      </c>
      <c r="AZ427" s="298"/>
      <c r="BA427" s="297">
        <f t="shared" si="97"/>
        <v>-79250</v>
      </c>
      <c r="BB427" s="278"/>
      <c r="BC427" s="255"/>
      <c r="BD427" s="255"/>
    </row>
    <row r="428" spans="1:56" s="256" customFormat="1" ht="20" hidden="1" customHeight="1">
      <c r="A428" s="260">
        <v>428</v>
      </c>
      <c r="B428" s="277"/>
      <c r="C428" s="278"/>
      <c r="D428" s="278"/>
      <c r="E428" s="278"/>
      <c r="F428" s="278"/>
      <c r="G428" s="279" t="e">
        <f>"YB"&amp;RIGHT(#REF!,6)</f>
        <v>#REF!</v>
      </c>
      <c r="H428" s="280"/>
      <c r="I428" s="280"/>
      <c r="J428" s="281">
        <f t="shared" si="89"/>
        <v>0</v>
      </c>
      <c r="K428" s="282"/>
      <c r="L428" s="282"/>
      <c r="M428" s="339"/>
      <c r="N428" s="278"/>
      <c r="O428" s="278"/>
      <c r="P428" s="283"/>
      <c r="Q428" s="278"/>
      <c r="R428" s="284"/>
      <c r="S428" s="282"/>
      <c r="T428" s="285"/>
      <c r="U428" s="286"/>
      <c r="V428" s="287"/>
      <c r="W428" s="288"/>
      <c r="X428" s="286"/>
      <c r="Y428" s="289"/>
      <c r="Z428" s="289"/>
      <c r="AA428" s="290">
        <f t="shared" si="99"/>
        <v>0</v>
      </c>
      <c r="AB428" s="291">
        <f t="shared" si="98"/>
        <v>0</v>
      </c>
      <c r="AC428" s="292">
        <f t="shared" si="90"/>
        <v>0</v>
      </c>
      <c r="AD428" s="293"/>
      <c r="AE428" s="293"/>
      <c r="AF428" s="294"/>
      <c r="AG428" s="291"/>
      <c r="AH428" s="295"/>
      <c r="AI428" s="291"/>
      <c r="AJ428" s="295"/>
      <c r="AK428" s="291"/>
      <c r="AL428" s="291"/>
      <c r="AM428" s="291"/>
      <c r="AN428" s="296">
        <v>35000</v>
      </c>
      <c r="AO428" s="296">
        <v>30000</v>
      </c>
      <c r="AP428" s="296"/>
      <c r="AQ428" s="296"/>
      <c r="AR428" s="296"/>
      <c r="AS428" s="296">
        <f t="shared" si="93"/>
        <v>65000</v>
      </c>
      <c r="AT428" s="297">
        <f t="shared" si="94"/>
        <v>-65000</v>
      </c>
      <c r="AU428" s="297">
        <f t="shared" si="91"/>
        <v>-65000</v>
      </c>
      <c r="AV428" s="297">
        <f t="shared" si="92"/>
        <v>0</v>
      </c>
      <c r="AW428" s="297">
        <f t="shared" si="95"/>
        <v>-32500</v>
      </c>
      <c r="AX428" s="297">
        <f t="shared" si="96"/>
        <v>-29250</v>
      </c>
      <c r="AY428" s="298">
        <v>50000</v>
      </c>
      <c r="AZ428" s="298"/>
      <c r="BA428" s="297">
        <f t="shared" si="97"/>
        <v>-79250</v>
      </c>
      <c r="BB428" s="278"/>
      <c r="BC428" s="255"/>
      <c r="BD428" s="255"/>
    </row>
    <row r="429" spans="1:56" s="256" customFormat="1" ht="20" hidden="1" customHeight="1">
      <c r="A429" s="260">
        <v>429</v>
      </c>
      <c r="B429" s="277"/>
      <c r="C429" s="278"/>
      <c r="D429" s="278"/>
      <c r="E429" s="278"/>
      <c r="F429" s="278"/>
      <c r="G429" s="279" t="e">
        <f>"YB"&amp;RIGHT(#REF!,6)</f>
        <v>#REF!</v>
      </c>
      <c r="H429" s="280"/>
      <c r="I429" s="280"/>
      <c r="J429" s="281">
        <f t="shared" si="89"/>
        <v>0</v>
      </c>
      <c r="K429" s="282"/>
      <c r="L429" s="282"/>
      <c r="M429" s="339"/>
      <c r="N429" s="278"/>
      <c r="O429" s="278"/>
      <c r="P429" s="283"/>
      <c r="Q429" s="278"/>
      <c r="R429" s="284"/>
      <c r="S429" s="282"/>
      <c r="T429" s="285"/>
      <c r="U429" s="286"/>
      <c r="V429" s="287"/>
      <c r="W429" s="288"/>
      <c r="X429" s="286"/>
      <c r="Y429" s="289"/>
      <c r="Z429" s="289"/>
      <c r="AA429" s="290">
        <f t="shared" si="99"/>
        <v>0</v>
      </c>
      <c r="AB429" s="291">
        <f t="shared" si="98"/>
        <v>0</v>
      </c>
      <c r="AC429" s="292">
        <f t="shared" si="90"/>
        <v>0</v>
      </c>
      <c r="AD429" s="293"/>
      <c r="AE429" s="293"/>
      <c r="AF429" s="294"/>
      <c r="AG429" s="291"/>
      <c r="AH429" s="295"/>
      <c r="AI429" s="291"/>
      <c r="AJ429" s="295"/>
      <c r="AK429" s="291"/>
      <c r="AL429" s="291"/>
      <c r="AM429" s="291"/>
      <c r="AN429" s="296">
        <v>35000</v>
      </c>
      <c r="AO429" s="296">
        <v>30000</v>
      </c>
      <c r="AP429" s="296"/>
      <c r="AQ429" s="296"/>
      <c r="AR429" s="296"/>
      <c r="AS429" s="296">
        <f t="shared" si="93"/>
        <v>65000</v>
      </c>
      <c r="AT429" s="297">
        <f t="shared" si="94"/>
        <v>-65000</v>
      </c>
      <c r="AU429" s="297">
        <f t="shared" si="91"/>
        <v>-65000</v>
      </c>
      <c r="AV429" s="297">
        <f t="shared" si="92"/>
        <v>0</v>
      </c>
      <c r="AW429" s="297">
        <f t="shared" si="95"/>
        <v>-32500</v>
      </c>
      <c r="AX429" s="297">
        <f t="shared" si="96"/>
        <v>-29250</v>
      </c>
      <c r="AY429" s="298">
        <v>50000</v>
      </c>
      <c r="AZ429" s="298"/>
      <c r="BA429" s="297">
        <f t="shared" si="97"/>
        <v>-79250</v>
      </c>
      <c r="BB429" s="278"/>
      <c r="BC429" s="255"/>
      <c r="BD429" s="255"/>
    </row>
    <row r="430" spans="1:56" s="256" customFormat="1" ht="20" hidden="1" customHeight="1">
      <c r="A430" s="260">
        <v>430</v>
      </c>
      <c r="B430" s="277"/>
      <c r="C430" s="278"/>
      <c r="D430" s="278"/>
      <c r="E430" s="278"/>
      <c r="F430" s="278"/>
      <c r="G430" s="279" t="e">
        <f>"YB"&amp;RIGHT(#REF!,6)</f>
        <v>#REF!</v>
      </c>
      <c r="H430" s="280"/>
      <c r="I430" s="280"/>
      <c r="J430" s="281">
        <f t="shared" si="89"/>
        <v>0</v>
      </c>
      <c r="K430" s="282"/>
      <c r="L430" s="282"/>
      <c r="M430" s="339"/>
      <c r="N430" s="278"/>
      <c r="O430" s="278"/>
      <c r="P430" s="283"/>
      <c r="Q430" s="278"/>
      <c r="R430" s="284"/>
      <c r="S430" s="282"/>
      <c r="T430" s="285"/>
      <c r="U430" s="286"/>
      <c r="V430" s="287"/>
      <c r="W430" s="288"/>
      <c r="X430" s="286"/>
      <c r="Y430" s="289"/>
      <c r="Z430" s="289"/>
      <c r="AA430" s="290">
        <f t="shared" si="99"/>
        <v>0</v>
      </c>
      <c r="AB430" s="291">
        <f t="shared" si="98"/>
        <v>0</v>
      </c>
      <c r="AC430" s="292">
        <f t="shared" si="90"/>
        <v>0</v>
      </c>
      <c r="AD430" s="293"/>
      <c r="AE430" s="293"/>
      <c r="AF430" s="294"/>
      <c r="AG430" s="291"/>
      <c r="AH430" s="295"/>
      <c r="AI430" s="291"/>
      <c r="AJ430" s="295"/>
      <c r="AK430" s="291"/>
      <c r="AL430" s="291"/>
      <c r="AM430" s="291"/>
      <c r="AN430" s="296">
        <v>35000</v>
      </c>
      <c r="AO430" s="296">
        <v>30000</v>
      </c>
      <c r="AP430" s="296"/>
      <c r="AQ430" s="296"/>
      <c r="AR430" s="296"/>
      <c r="AS430" s="296">
        <f t="shared" si="93"/>
        <v>65000</v>
      </c>
      <c r="AT430" s="297">
        <f t="shared" si="94"/>
        <v>-65000</v>
      </c>
      <c r="AU430" s="297">
        <f t="shared" si="91"/>
        <v>-65000</v>
      </c>
      <c r="AV430" s="297">
        <f t="shared" si="92"/>
        <v>0</v>
      </c>
      <c r="AW430" s="297">
        <f t="shared" si="95"/>
        <v>-32500</v>
      </c>
      <c r="AX430" s="297">
        <f t="shared" si="96"/>
        <v>-29250</v>
      </c>
      <c r="AY430" s="298">
        <v>50000</v>
      </c>
      <c r="AZ430" s="298"/>
      <c r="BA430" s="297">
        <f t="shared" si="97"/>
        <v>-79250</v>
      </c>
      <c r="BB430" s="278"/>
      <c r="BC430" s="255"/>
      <c r="BD430" s="255"/>
    </row>
    <row r="431" spans="1:56" s="256" customFormat="1" ht="20" hidden="1" customHeight="1">
      <c r="A431" s="260">
        <v>431</v>
      </c>
      <c r="B431" s="277"/>
      <c r="C431" s="278"/>
      <c r="D431" s="278"/>
      <c r="E431" s="278"/>
      <c r="F431" s="278"/>
      <c r="G431" s="279" t="e">
        <f>"YB"&amp;RIGHT(#REF!,6)</f>
        <v>#REF!</v>
      </c>
      <c r="H431" s="280"/>
      <c r="I431" s="280"/>
      <c r="J431" s="281">
        <f t="shared" ref="J431:J472" si="100">H431+I431</f>
        <v>0</v>
      </c>
      <c r="K431" s="282"/>
      <c r="L431" s="282"/>
      <c r="M431" s="339"/>
      <c r="N431" s="278"/>
      <c r="O431" s="278"/>
      <c r="P431" s="283"/>
      <c r="Q431" s="278"/>
      <c r="R431" s="284"/>
      <c r="S431" s="282"/>
      <c r="T431" s="285"/>
      <c r="U431" s="286"/>
      <c r="V431" s="287"/>
      <c r="W431" s="288"/>
      <c r="X431" s="286"/>
      <c r="Y431" s="289"/>
      <c r="Z431" s="289"/>
      <c r="AA431" s="290">
        <f t="shared" si="99"/>
        <v>0</v>
      </c>
      <c r="AB431" s="291">
        <f t="shared" si="98"/>
        <v>0</v>
      </c>
      <c r="AC431" s="292">
        <f t="shared" ref="AC431:AC472" si="101">SUM(AB431-AA431)</f>
        <v>0</v>
      </c>
      <c r="AD431" s="293"/>
      <c r="AE431" s="293"/>
      <c r="AF431" s="294"/>
      <c r="AG431" s="291"/>
      <c r="AH431" s="295"/>
      <c r="AI431" s="291"/>
      <c r="AJ431" s="295"/>
      <c r="AK431" s="291"/>
      <c r="AL431" s="291"/>
      <c r="AM431" s="291"/>
      <c r="AN431" s="296">
        <v>35000</v>
      </c>
      <c r="AO431" s="296">
        <v>30000</v>
      </c>
      <c r="AP431" s="296"/>
      <c r="AQ431" s="296"/>
      <c r="AR431" s="296"/>
      <c r="AS431" s="296">
        <f t="shared" si="93"/>
        <v>65000</v>
      </c>
      <c r="AT431" s="297">
        <f t="shared" si="94"/>
        <v>-65000</v>
      </c>
      <c r="AU431" s="297">
        <f t="shared" ref="AU431:AU494" si="102">SUM(AT431-J431)</f>
        <v>-65000</v>
      </c>
      <c r="AV431" s="297">
        <f t="shared" ref="AV431:AV494" si="103">SUM(0.09*H431)</f>
        <v>0</v>
      </c>
      <c r="AW431" s="297">
        <f t="shared" si="95"/>
        <v>-32500</v>
      </c>
      <c r="AX431" s="297">
        <f t="shared" si="96"/>
        <v>-29250</v>
      </c>
      <c r="AY431" s="298">
        <v>50000</v>
      </c>
      <c r="AZ431" s="298"/>
      <c r="BA431" s="297">
        <f t="shared" si="97"/>
        <v>-79250</v>
      </c>
      <c r="BB431" s="278"/>
      <c r="BC431" s="255"/>
      <c r="BD431" s="255"/>
    </row>
    <row r="432" spans="1:56" s="256" customFormat="1" ht="20" hidden="1" customHeight="1">
      <c r="A432" s="260">
        <v>432</v>
      </c>
      <c r="B432" s="277"/>
      <c r="C432" s="278"/>
      <c r="D432" s="278"/>
      <c r="E432" s="278"/>
      <c r="F432" s="278"/>
      <c r="G432" s="279" t="e">
        <f>"YB"&amp;RIGHT(#REF!,6)</f>
        <v>#REF!</v>
      </c>
      <c r="H432" s="280"/>
      <c r="I432" s="280"/>
      <c r="J432" s="281">
        <f t="shared" si="100"/>
        <v>0</v>
      </c>
      <c r="K432" s="282"/>
      <c r="L432" s="282"/>
      <c r="M432" s="339"/>
      <c r="N432" s="278"/>
      <c r="O432" s="278"/>
      <c r="P432" s="283"/>
      <c r="Q432" s="278"/>
      <c r="R432" s="284"/>
      <c r="S432" s="282"/>
      <c r="T432" s="285"/>
      <c r="U432" s="286"/>
      <c r="V432" s="287"/>
      <c r="W432" s="288"/>
      <c r="X432" s="286"/>
      <c r="Y432" s="289"/>
      <c r="Z432" s="289"/>
      <c r="AA432" s="290">
        <f t="shared" si="99"/>
        <v>0</v>
      </c>
      <c r="AB432" s="291">
        <f t="shared" si="98"/>
        <v>0</v>
      </c>
      <c r="AC432" s="292">
        <f t="shared" si="101"/>
        <v>0</v>
      </c>
      <c r="AD432" s="293"/>
      <c r="AE432" s="293"/>
      <c r="AF432" s="294"/>
      <c r="AG432" s="291"/>
      <c r="AH432" s="295"/>
      <c r="AI432" s="291"/>
      <c r="AJ432" s="295"/>
      <c r="AK432" s="291"/>
      <c r="AL432" s="291"/>
      <c r="AM432" s="291"/>
      <c r="AN432" s="296">
        <v>35000</v>
      </c>
      <c r="AO432" s="296">
        <v>30000</v>
      </c>
      <c r="AP432" s="296"/>
      <c r="AQ432" s="296"/>
      <c r="AR432" s="296"/>
      <c r="AS432" s="296">
        <f t="shared" si="93"/>
        <v>65000</v>
      </c>
      <c r="AT432" s="297">
        <f t="shared" si="94"/>
        <v>-65000</v>
      </c>
      <c r="AU432" s="297">
        <f t="shared" si="102"/>
        <v>-65000</v>
      </c>
      <c r="AV432" s="297">
        <f t="shared" si="103"/>
        <v>0</v>
      </c>
      <c r="AW432" s="297">
        <f t="shared" si="95"/>
        <v>-32500</v>
      </c>
      <c r="AX432" s="297">
        <f t="shared" si="96"/>
        <v>-29250</v>
      </c>
      <c r="AY432" s="298">
        <v>50000</v>
      </c>
      <c r="AZ432" s="298"/>
      <c r="BA432" s="297">
        <f t="shared" si="97"/>
        <v>-79250</v>
      </c>
      <c r="BB432" s="278"/>
      <c r="BC432" s="255"/>
      <c r="BD432" s="255"/>
    </row>
    <row r="433" spans="1:56" s="256" customFormat="1" ht="20" hidden="1" customHeight="1">
      <c r="A433" s="260">
        <v>433</v>
      </c>
      <c r="B433" s="277"/>
      <c r="C433" s="278"/>
      <c r="D433" s="278"/>
      <c r="E433" s="278"/>
      <c r="F433" s="278"/>
      <c r="G433" s="279" t="e">
        <f>"YB"&amp;RIGHT(#REF!,6)</f>
        <v>#REF!</v>
      </c>
      <c r="H433" s="280"/>
      <c r="I433" s="280"/>
      <c r="J433" s="281">
        <f t="shared" si="100"/>
        <v>0</v>
      </c>
      <c r="K433" s="282"/>
      <c r="L433" s="282"/>
      <c r="M433" s="339"/>
      <c r="N433" s="278"/>
      <c r="O433" s="278"/>
      <c r="P433" s="283"/>
      <c r="Q433" s="278"/>
      <c r="R433" s="284"/>
      <c r="S433" s="282"/>
      <c r="T433" s="285"/>
      <c r="U433" s="286"/>
      <c r="V433" s="287"/>
      <c r="W433" s="288"/>
      <c r="X433" s="286"/>
      <c r="Y433" s="289"/>
      <c r="Z433" s="289"/>
      <c r="AA433" s="290">
        <f t="shared" si="99"/>
        <v>0</v>
      </c>
      <c r="AB433" s="291">
        <f t="shared" si="98"/>
        <v>0</v>
      </c>
      <c r="AC433" s="292">
        <f t="shared" si="101"/>
        <v>0</v>
      </c>
      <c r="AD433" s="293"/>
      <c r="AE433" s="293"/>
      <c r="AF433" s="294"/>
      <c r="AG433" s="291"/>
      <c r="AH433" s="295"/>
      <c r="AI433" s="291"/>
      <c r="AJ433" s="295"/>
      <c r="AK433" s="291"/>
      <c r="AL433" s="291"/>
      <c r="AM433" s="291"/>
      <c r="AN433" s="296">
        <v>35000</v>
      </c>
      <c r="AO433" s="296">
        <v>30000</v>
      </c>
      <c r="AP433" s="296"/>
      <c r="AQ433" s="296"/>
      <c r="AR433" s="296"/>
      <c r="AS433" s="296">
        <f t="shared" si="93"/>
        <v>65000</v>
      </c>
      <c r="AT433" s="297">
        <f t="shared" si="94"/>
        <v>-65000</v>
      </c>
      <c r="AU433" s="297">
        <f t="shared" si="102"/>
        <v>-65000</v>
      </c>
      <c r="AV433" s="297">
        <f t="shared" si="103"/>
        <v>0</v>
      </c>
      <c r="AW433" s="297">
        <f t="shared" si="95"/>
        <v>-32500</v>
      </c>
      <c r="AX433" s="297">
        <f t="shared" si="96"/>
        <v>-29250</v>
      </c>
      <c r="AY433" s="298">
        <v>50000</v>
      </c>
      <c r="AZ433" s="298"/>
      <c r="BA433" s="297">
        <f t="shared" si="97"/>
        <v>-79250</v>
      </c>
      <c r="BB433" s="278"/>
      <c r="BC433" s="255"/>
      <c r="BD433" s="255"/>
    </row>
    <row r="434" spans="1:56" s="256" customFormat="1" ht="20" hidden="1" customHeight="1">
      <c r="A434" s="260">
        <v>434</v>
      </c>
      <c r="B434" s="277"/>
      <c r="C434" s="278"/>
      <c r="D434" s="278"/>
      <c r="E434" s="278"/>
      <c r="F434" s="278"/>
      <c r="G434" s="279" t="e">
        <f>"YB"&amp;RIGHT(#REF!,6)</f>
        <v>#REF!</v>
      </c>
      <c r="H434" s="280"/>
      <c r="I434" s="280"/>
      <c r="J434" s="281">
        <f t="shared" si="100"/>
        <v>0</v>
      </c>
      <c r="K434" s="282"/>
      <c r="L434" s="282"/>
      <c r="M434" s="339"/>
      <c r="N434" s="278"/>
      <c r="O434" s="278"/>
      <c r="P434" s="283"/>
      <c r="Q434" s="278"/>
      <c r="R434" s="284"/>
      <c r="S434" s="282"/>
      <c r="T434" s="285"/>
      <c r="U434" s="286"/>
      <c r="V434" s="287"/>
      <c r="W434" s="288"/>
      <c r="X434" s="286"/>
      <c r="Y434" s="289"/>
      <c r="Z434" s="289"/>
      <c r="AA434" s="290">
        <f t="shared" si="99"/>
        <v>0</v>
      </c>
      <c r="AB434" s="291">
        <f t="shared" si="98"/>
        <v>0</v>
      </c>
      <c r="AC434" s="292">
        <f t="shared" si="101"/>
        <v>0</v>
      </c>
      <c r="AD434" s="293"/>
      <c r="AE434" s="293"/>
      <c r="AF434" s="294"/>
      <c r="AG434" s="291"/>
      <c r="AH434" s="295"/>
      <c r="AI434" s="291"/>
      <c r="AJ434" s="295"/>
      <c r="AK434" s="291"/>
      <c r="AL434" s="291"/>
      <c r="AM434" s="291"/>
      <c r="AN434" s="296">
        <v>35000</v>
      </c>
      <c r="AO434" s="296">
        <v>30000</v>
      </c>
      <c r="AP434" s="296"/>
      <c r="AQ434" s="296"/>
      <c r="AR434" s="296"/>
      <c r="AS434" s="296">
        <f t="shared" si="93"/>
        <v>65000</v>
      </c>
      <c r="AT434" s="297">
        <f t="shared" si="94"/>
        <v>-65000</v>
      </c>
      <c r="AU434" s="297">
        <f t="shared" si="102"/>
        <v>-65000</v>
      </c>
      <c r="AV434" s="297">
        <f t="shared" si="103"/>
        <v>0</v>
      </c>
      <c r="AW434" s="297">
        <f t="shared" si="95"/>
        <v>-32500</v>
      </c>
      <c r="AX434" s="297">
        <f t="shared" si="96"/>
        <v>-29250</v>
      </c>
      <c r="AY434" s="298">
        <v>50000</v>
      </c>
      <c r="AZ434" s="298"/>
      <c r="BA434" s="297">
        <f t="shared" si="97"/>
        <v>-79250</v>
      </c>
      <c r="BB434" s="278"/>
      <c r="BC434" s="255"/>
      <c r="BD434" s="255"/>
    </row>
    <row r="435" spans="1:56" s="256" customFormat="1" ht="20" hidden="1" customHeight="1">
      <c r="A435" s="260">
        <v>435</v>
      </c>
      <c r="B435" s="277"/>
      <c r="C435" s="278"/>
      <c r="D435" s="278"/>
      <c r="E435" s="278"/>
      <c r="F435" s="278"/>
      <c r="G435" s="279" t="e">
        <f>"YB"&amp;RIGHT(#REF!,6)</f>
        <v>#REF!</v>
      </c>
      <c r="H435" s="280"/>
      <c r="I435" s="280"/>
      <c r="J435" s="281">
        <f t="shared" si="100"/>
        <v>0</v>
      </c>
      <c r="K435" s="282"/>
      <c r="L435" s="282"/>
      <c r="M435" s="339"/>
      <c r="N435" s="278"/>
      <c r="O435" s="278"/>
      <c r="P435" s="283"/>
      <c r="Q435" s="278"/>
      <c r="R435" s="284"/>
      <c r="S435" s="282"/>
      <c r="T435" s="285"/>
      <c r="U435" s="286"/>
      <c r="V435" s="287"/>
      <c r="W435" s="288"/>
      <c r="X435" s="286"/>
      <c r="Y435" s="289"/>
      <c r="Z435" s="289"/>
      <c r="AA435" s="290">
        <f t="shared" si="99"/>
        <v>0</v>
      </c>
      <c r="AB435" s="291">
        <f t="shared" si="98"/>
        <v>0</v>
      </c>
      <c r="AC435" s="292">
        <f t="shared" si="101"/>
        <v>0</v>
      </c>
      <c r="AD435" s="293"/>
      <c r="AE435" s="293"/>
      <c r="AF435" s="294"/>
      <c r="AG435" s="291"/>
      <c r="AH435" s="295"/>
      <c r="AI435" s="291"/>
      <c r="AJ435" s="295"/>
      <c r="AK435" s="291"/>
      <c r="AL435" s="291"/>
      <c r="AM435" s="291"/>
      <c r="AN435" s="296">
        <v>35000</v>
      </c>
      <c r="AO435" s="296">
        <v>30000</v>
      </c>
      <c r="AP435" s="296"/>
      <c r="AQ435" s="296"/>
      <c r="AR435" s="296"/>
      <c r="AS435" s="296">
        <f t="shared" si="93"/>
        <v>65000</v>
      </c>
      <c r="AT435" s="297">
        <f t="shared" si="94"/>
        <v>-65000</v>
      </c>
      <c r="AU435" s="297">
        <f t="shared" si="102"/>
        <v>-65000</v>
      </c>
      <c r="AV435" s="297">
        <f t="shared" si="103"/>
        <v>0</v>
      </c>
      <c r="AW435" s="297">
        <f t="shared" si="95"/>
        <v>-32500</v>
      </c>
      <c r="AX435" s="297">
        <f t="shared" si="96"/>
        <v>-29250</v>
      </c>
      <c r="AY435" s="298">
        <v>50000</v>
      </c>
      <c r="AZ435" s="298"/>
      <c r="BA435" s="297">
        <f t="shared" si="97"/>
        <v>-79250</v>
      </c>
      <c r="BB435" s="278"/>
      <c r="BC435" s="255"/>
      <c r="BD435" s="255"/>
    </row>
    <row r="436" spans="1:56" s="256" customFormat="1" ht="20" hidden="1" customHeight="1">
      <c r="A436" s="260">
        <v>436</v>
      </c>
      <c r="B436" s="277"/>
      <c r="C436" s="278"/>
      <c r="D436" s="278"/>
      <c r="E436" s="278"/>
      <c r="F436" s="278"/>
      <c r="G436" s="279" t="e">
        <f>"YB"&amp;RIGHT(#REF!,6)</f>
        <v>#REF!</v>
      </c>
      <c r="H436" s="280"/>
      <c r="I436" s="280"/>
      <c r="J436" s="281">
        <f t="shared" si="100"/>
        <v>0</v>
      </c>
      <c r="K436" s="282"/>
      <c r="L436" s="282"/>
      <c r="M436" s="339"/>
      <c r="N436" s="278"/>
      <c r="O436" s="278"/>
      <c r="P436" s="283"/>
      <c r="Q436" s="278"/>
      <c r="R436" s="284"/>
      <c r="S436" s="282"/>
      <c r="T436" s="285"/>
      <c r="U436" s="286"/>
      <c r="V436" s="287"/>
      <c r="W436" s="288"/>
      <c r="X436" s="286"/>
      <c r="Y436" s="289"/>
      <c r="Z436" s="289"/>
      <c r="AA436" s="290">
        <f t="shared" si="99"/>
        <v>0</v>
      </c>
      <c r="AB436" s="291">
        <f t="shared" si="98"/>
        <v>0</v>
      </c>
      <c r="AC436" s="292">
        <f t="shared" si="101"/>
        <v>0</v>
      </c>
      <c r="AD436" s="293"/>
      <c r="AE436" s="293"/>
      <c r="AF436" s="294"/>
      <c r="AG436" s="291"/>
      <c r="AH436" s="295"/>
      <c r="AI436" s="291"/>
      <c r="AJ436" s="295"/>
      <c r="AK436" s="291"/>
      <c r="AL436" s="291"/>
      <c r="AM436" s="291"/>
      <c r="AN436" s="296">
        <v>35000</v>
      </c>
      <c r="AO436" s="296">
        <v>30000</v>
      </c>
      <c r="AP436" s="296"/>
      <c r="AQ436" s="296"/>
      <c r="AR436" s="296"/>
      <c r="AS436" s="296">
        <f t="shared" si="93"/>
        <v>65000</v>
      </c>
      <c r="AT436" s="297">
        <f t="shared" si="94"/>
        <v>-65000</v>
      </c>
      <c r="AU436" s="297">
        <f t="shared" si="102"/>
        <v>-65000</v>
      </c>
      <c r="AV436" s="297">
        <f t="shared" si="103"/>
        <v>0</v>
      </c>
      <c r="AW436" s="297">
        <f t="shared" si="95"/>
        <v>-32500</v>
      </c>
      <c r="AX436" s="297">
        <f t="shared" si="96"/>
        <v>-29250</v>
      </c>
      <c r="AY436" s="298">
        <v>50000</v>
      </c>
      <c r="AZ436" s="298"/>
      <c r="BA436" s="297">
        <f t="shared" si="97"/>
        <v>-79250</v>
      </c>
      <c r="BB436" s="278"/>
      <c r="BC436" s="255"/>
      <c r="BD436" s="255"/>
    </row>
    <row r="437" spans="1:56" s="256" customFormat="1" ht="20" hidden="1" customHeight="1">
      <c r="A437" s="260">
        <v>437</v>
      </c>
      <c r="B437" s="277"/>
      <c r="C437" s="278"/>
      <c r="D437" s="278"/>
      <c r="E437" s="278"/>
      <c r="F437" s="278"/>
      <c r="G437" s="279" t="e">
        <f>"YB"&amp;RIGHT(#REF!,6)</f>
        <v>#REF!</v>
      </c>
      <c r="H437" s="280"/>
      <c r="I437" s="280"/>
      <c r="J437" s="281">
        <f t="shared" si="100"/>
        <v>0</v>
      </c>
      <c r="K437" s="282"/>
      <c r="L437" s="282"/>
      <c r="M437" s="339"/>
      <c r="N437" s="278"/>
      <c r="O437" s="278"/>
      <c r="P437" s="283"/>
      <c r="Q437" s="278"/>
      <c r="R437" s="284"/>
      <c r="S437" s="282"/>
      <c r="T437" s="285"/>
      <c r="U437" s="286"/>
      <c r="V437" s="287"/>
      <c r="W437" s="288"/>
      <c r="X437" s="286"/>
      <c r="Y437" s="289"/>
      <c r="Z437" s="289"/>
      <c r="AA437" s="290">
        <f t="shared" si="99"/>
        <v>0</v>
      </c>
      <c r="AB437" s="291">
        <f t="shared" si="98"/>
        <v>0</v>
      </c>
      <c r="AC437" s="292">
        <f t="shared" si="101"/>
        <v>0</v>
      </c>
      <c r="AD437" s="293"/>
      <c r="AE437" s="293"/>
      <c r="AF437" s="294"/>
      <c r="AG437" s="291"/>
      <c r="AH437" s="295"/>
      <c r="AI437" s="291"/>
      <c r="AJ437" s="295"/>
      <c r="AK437" s="291"/>
      <c r="AL437" s="291"/>
      <c r="AM437" s="291"/>
      <c r="AN437" s="296">
        <v>35000</v>
      </c>
      <c r="AO437" s="296">
        <v>30000</v>
      </c>
      <c r="AP437" s="296"/>
      <c r="AQ437" s="296"/>
      <c r="AR437" s="296"/>
      <c r="AS437" s="296">
        <f t="shared" si="93"/>
        <v>65000</v>
      </c>
      <c r="AT437" s="297">
        <f t="shared" si="94"/>
        <v>-65000</v>
      </c>
      <c r="AU437" s="297">
        <f t="shared" si="102"/>
        <v>-65000</v>
      </c>
      <c r="AV437" s="297">
        <f t="shared" si="103"/>
        <v>0</v>
      </c>
      <c r="AW437" s="297">
        <f t="shared" si="95"/>
        <v>-32500</v>
      </c>
      <c r="AX437" s="297">
        <f t="shared" si="96"/>
        <v>-29250</v>
      </c>
      <c r="AY437" s="298">
        <v>50000</v>
      </c>
      <c r="AZ437" s="298"/>
      <c r="BA437" s="297">
        <f t="shared" si="97"/>
        <v>-79250</v>
      </c>
      <c r="BB437" s="278"/>
      <c r="BC437" s="255"/>
      <c r="BD437" s="255"/>
    </row>
    <row r="438" spans="1:56" s="256" customFormat="1" ht="20" hidden="1" customHeight="1">
      <c r="A438" s="260">
        <v>438</v>
      </c>
      <c r="B438" s="277"/>
      <c r="C438" s="278"/>
      <c r="D438" s="278"/>
      <c r="E438" s="278"/>
      <c r="F438" s="278"/>
      <c r="G438" s="279" t="e">
        <f>"YB"&amp;RIGHT(#REF!,6)</f>
        <v>#REF!</v>
      </c>
      <c r="H438" s="280"/>
      <c r="I438" s="280"/>
      <c r="J438" s="281">
        <f t="shared" si="100"/>
        <v>0</v>
      </c>
      <c r="K438" s="282"/>
      <c r="L438" s="282"/>
      <c r="M438" s="339"/>
      <c r="N438" s="278"/>
      <c r="O438" s="278"/>
      <c r="P438" s="283"/>
      <c r="Q438" s="278"/>
      <c r="R438" s="284"/>
      <c r="S438" s="282"/>
      <c r="T438" s="285"/>
      <c r="U438" s="286"/>
      <c r="V438" s="287"/>
      <c r="W438" s="288"/>
      <c r="X438" s="286"/>
      <c r="Y438" s="289"/>
      <c r="Z438" s="289"/>
      <c r="AA438" s="290">
        <f t="shared" si="99"/>
        <v>0</v>
      </c>
      <c r="AB438" s="291">
        <f t="shared" si="98"/>
        <v>0</v>
      </c>
      <c r="AC438" s="292">
        <f t="shared" si="101"/>
        <v>0</v>
      </c>
      <c r="AD438" s="293"/>
      <c r="AE438" s="293"/>
      <c r="AF438" s="294"/>
      <c r="AG438" s="291"/>
      <c r="AH438" s="295"/>
      <c r="AI438" s="291"/>
      <c r="AJ438" s="295"/>
      <c r="AK438" s="291"/>
      <c r="AL438" s="291"/>
      <c r="AM438" s="291"/>
      <c r="AN438" s="296">
        <v>35000</v>
      </c>
      <c r="AO438" s="296">
        <v>30000</v>
      </c>
      <c r="AP438" s="296"/>
      <c r="AQ438" s="296"/>
      <c r="AR438" s="296"/>
      <c r="AS438" s="296">
        <f t="shared" si="93"/>
        <v>65000</v>
      </c>
      <c r="AT438" s="297">
        <f t="shared" si="94"/>
        <v>-65000</v>
      </c>
      <c r="AU438" s="297">
        <f t="shared" si="102"/>
        <v>-65000</v>
      </c>
      <c r="AV438" s="297">
        <f t="shared" si="103"/>
        <v>0</v>
      </c>
      <c r="AW438" s="297">
        <f t="shared" si="95"/>
        <v>-32500</v>
      </c>
      <c r="AX438" s="297">
        <f t="shared" si="96"/>
        <v>-29250</v>
      </c>
      <c r="AY438" s="298">
        <v>50000</v>
      </c>
      <c r="AZ438" s="298"/>
      <c r="BA438" s="297">
        <f t="shared" si="97"/>
        <v>-79250</v>
      </c>
      <c r="BB438" s="278"/>
      <c r="BC438" s="255"/>
      <c r="BD438" s="255"/>
    </row>
    <row r="439" spans="1:56" s="256" customFormat="1" ht="20" hidden="1" customHeight="1">
      <c r="A439" s="260">
        <v>439</v>
      </c>
      <c r="B439" s="277"/>
      <c r="C439" s="278"/>
      <c r="D439" s="278"/>
      <c r="E439" s="278"/>
      <c r="F439" s="278"/>
      <c r="G439" s="279" t="e">
        <f>"YB"&amp;RIGHT(#REF!,6)</f>
        <v>#REF!</v>
      </c>
      <c r="H439" s="280"/>
      <c r="I439" s="280"/>
      <c r="J439" s="281">
        <f t="shared" si="100"/>
        <v>0</v>
      </c>
      <c r="K439" s="282"/>
      <c r="L439" s="282"/>
      <c r="M439" s="339"/>
      <c r="N439" s="278"/>
      <c r="O439" s="278"/>
      <c r="P439" s="283"/>
      <c r="Q439" s="278"/>
      <c r="R439" s="284"/>
      <c r="S439" s="282"/>
      <c r="T439" s="285"/>
      <c r="U439" s="286"/>
      <c r="V439" s="287"/>
      <c r="W439" s="288"/>
      <c r="X439" s="286"/>
      <c r="Y439" s="289"/>
      <c r="Z439" s="289"/>
      <c r="AA439" s="290">
        <f t="shared" si="99"/>
        <v>0</v>
      </c>
      <c r="AB439" s="291">
        <f t="shared" si="98"/>
        <v>0</v>
      </c>
      <c r="AC439" s="292">
        <f t="shared" si="101"/>
        <v>0</v>
      </c>
      <c r="AD439" s="293"/>
      <c r="AE439" s="293"/>
      <c r="AF439" s="294"/>
      <c r="AG439" s="291"/>
      <c r="AH439" s="295"/>
      <c r="AI439" s="291"/>
      <c r="AJ439" s="295"/>
      <c r="AK439" s="291"/>
      <c r="AL439" s="291"/>
      <c r="AM439" s="291"/>
      <c r="AN439" s="296">
        <v>35000</v>
      </c>
      <c r="AO439" s="296">
        <v>30000</v>
      </c>
      <c r="AP439" s="296"/>
      <c r="AQ439" s="296"/>
      <c r="AR439" s="296"/>
      <c r="AS439" s="296">
        <f t="shared" si="93"/>
        <v>65000</v>
      </c>
      <c r="AT439" s="297">
        <f t="shared" si="94"/>
        <v>-65000</v>
      </c>
      <c r="AU439" s="297">
        <f t="shared" si="102"/>
        <v>-65000</v>
      </c>
      <c r="AV439" s="297">
        <f t="shared" si="103"/>
        <v>0</v>
      </c>
      <c r="AW439" s="297">
        <f t="shared" si="95"/>
        <v>-32500</v>
      </c>
      <c r="AX439" s="297">
        <f t="shared" si="96"/>
        <v>-29250</v>
      </c>
      <c r="AY439" s="298">
        <v>50000</v>
      </c>
      <c r="AZ439" s="298"/>
      <c r="BA439" s="297">
        <f t="shared" si="97"/>
        <v>-79250</v>
      </c>
      <c r="BB439" s="278"/>
      <c r="BC439" s="255"/>
      <c r="BD439" s="255"/>
    </row>
    <row r="440" spans="1:56" s="256" customFormat="1" ht="20" hidden="1" customHeight="1">
      <c r="A440" s="260">
        <v>440</v>
      </c>
      <c r="B440" s="277"/>
      <c r="C440" s="278"/>
      <c r="D440" s="278"/>
      <c r="E440" s="278"/>
      <c r="F440" s="278"/>
      <c r="G440" s="279" t="e">
        <f>"YB"&amp;RIGHT(#REF!,6)</f>
        <v>#REF!</v>
      </c>
      <c r="H440" s="280"/>
      <c r="I440" s="280"/>
      <c r="J440" s="281">
        <f t="shared" si="100"/>
        <v>0</v>
      </c>
      <c r="K440" s="282"/>
      <c r="L440" s="282"/>
      <c r="M440" s="339"/>
      <c r="N440" s="278"/>
      <c r="O440" s="278"/>
      <c r="P440" s="283"/>
      <c r="Q440" s="278"/>
      <c r="R440" s="284"/>
      <c r="S440" s="282"/>
      <c r="T440" s="285"/>
      <c r="U440" s="286"/>
      <c r="V440" s="287"/>
      <c r="W440" s="288"/>
      <c r="X440" s="286"/>
      <c r="Y440" s="289"/>
      <c r="Z440" s="289"/>
      <c r="AA440" s="290">
        <f t="shared" si="99"/>
        <v>0</v>
      </c>
      <c r="AB440" s="291">
        <f t="shared" si="98"/>
        <v>0</v>
      </c>
      <c r="AC440" s="292">
        <f t="shared" si="101"/>
        <v>0</v>
      </c>
      <c r="AD440" s="293"/>
      <c r="AE440" s="293"/>
      <c r="AF440" s="294"/>
      <c r="AG440" s="291"/>
      <c r="AH440" s="295"/>
      <c r="AI440" s="291"/>
      <c r="AJ440" s="295"/>
      <c r="AK440" s="291"/>
      <c r="AL440" s="291"/>
      <c r="AM440" s="291"/>
      <c r="AN440" s="296">
        <v>35000</v>
      </c>
      <c r="AO440" s="296">
        <v>30000</v>
      </c>
      <c r="AP440" s="296"/>
      <c r="AQ440" s="296"/>
      <c r="AR440" s="296"/>
      <c r="AS440" s="296">
        <f t="shared" si="93"/>
        <v>65000</v>
      </c>
      <c r="AT440" s="297">
        <f t="shared" si="94"/>
        <v>-65000</v>
      </c>
      <c r="AU440" s="297">
        <f t="shared" si="102"/>
        <v>-65000</v>
      </c>
      <c r="AV440" s="297">
        <f t="shared" si="103"/>
        <v>0</v>
      </c>
      <c r="AW440" s="297">
        <f t="shared" si="95"/>
        <v>-32500</v>
      </c>
      <c r="AX440" s="297">
        <f t="shared" si="96"/>
        <v>-29250</v>
      </c>
      <c r="AY440" s="298">
        <v>50000</v>
      </c>
      <c r="AZ440" s="298"/>
      <c r="BA440" s="297">
        <f t="shared" si="97"/>
        <v>-79250</v>
      </c>
      <c r="BB440" s="278"/>
      <c r="BC440" s="255"/>
      <c r="BD440" s="255"/>
    </row>
    <row r="441" spans="1:56" s="256" customFormat="1" ht="20" hidden="1" customHeight="1">
      <c r="A441" s="260">
        <v>441</v>
      </c>
      <c r="B441" s="277"/>
      <c r="C441" s="278"/>
      <c r="D441" s="278"/>
      <c r="E441" s="278"/>
      <c r="F441" s="278"/>
      <c r="G441" s="279" t="e">
        <f>"YB"&amp;RIGHT(#REF!,6)</f>
        <v>#REF!</v>
      </c>
      <c r="H441" s="280"/>
      <c r="I441" s="280"/>
      <c r="J441" s="281">
        <f t="shared" si="100"/>
        <v>0</v>
      </c>
      <c r="K441" s="282"/>
      <c r="L441" s="282"/>
      <c r="M441" s="339"/>
      <c r="N441" s="278"/>
      <c r="O441" s="278"/>
      <c r="P441" s="283"/>
      <c r="Q441" s="278"/>
      <c r="R441" s="284"/>
      <c r="S441" s="282"/>
      <c r="T441" s="285"/>
      <c r="U441" s="286"/>
      <c r="V441" s="287"/>
      <c r="W441" s="288"/>
      <c r="X441" s="286"/>
      <c r="Y441" s="289"/>
      <c r="Z441" s="289"/>
      <c r="AA441" s="290">
        <f t="shared" si="99"/>
        <v>0</v>
      </c>
      <c r="AB441" s="291">
        <f t="shared" si="98"/>
        <v>0</v>
      </c>
      <c r="AC441" s="292">
        <f t="shared" si="101"/>
        <v>0</v>
      </c>
      <c r="AD441" s="293"/>
      <c r="AE441" s="293"/>
      <c r="AF441" s="294"/>
      <c r="AG441" s="291"/>
      <c r="AH441" s="295"/>
      <c r="AI441" s="291"/>
      <c r="AJ441" s="295"/>
      <c r="AK441" s="291"/>
      <c r="AL441" s="291"/>
      <c r="AM441" s="291"/>
      <c r="AN441" s="296">
        <v>35000</v>
      </c>
      <c r="AO441" s="296">
        <v>30000</v>
      </c>
      <c r="AP441" s="296"/>
      <c r="AQ441" s="296"/>
      <c r="AR441" s="296"/>
      <c r="AS441" s="296">
        <f t="shared" si="93"/>
        <v>65000</v>
      </c>
      <c r="AT441" s="297">
        <f t="shared" si="94"/>
        <v>-65000</v>
      </c>
      <c r="AU441" s="297">
        <f t="shared" si="102"/>
        <v>-65000</v>
      </c>
      <c r="AV441" s="297">
        <f t="shared" si="103"/>
        <v>0</v>
      </c>
      <c r="AW441" s="297">
        <f t="shared" si="95"/>
        <v>-32500</v>
      </c>
      <c r="AX441" s="297">
        <f t="shared" si="96"/>
        <v>-29250</v>
      </c>
      <c r="AY441" s="298">
        <v>50000</v>
      </c>
      <c r="AZ441" s="298"/>
      <c r="BA441" s="297">
        <f t="shared" si="97"/>
        <v>-79250</v>
      </c>
      <c r="BB441" s="278"/>
      <c r="BC441" s="255"/>
      <c r="BD441" s="255"/>
    </row>
    <row r="442" spans="1:56" s="256" customFormat="1" ht="20" hidden="1" customHeight="1">
      <c r="A442" s="260">
        <v>442</v>
      </c>
      <c r="B442" s="277"/>
      <c r="C442" s="278"/>
      <c r="D442" s="278"/>
      <c r="E442" s="278"/>
      <c r="F442" s="278"/>
      <c r="G442" s="279" t="e">
        <f>"YB"&amp;RIGHT(#REF!,6)</f>
        <v>#REF!</v>
      </c>
      <c r="H442" s="280"/>
      <c r="I442" s="280"/>
      <c r="J442" s="281">
        <f t="shared" si="100"/>
        <v>0</v>
      </c>
      <c r="K442" s="282"/>
      <c r="L442" s="282"/>
      <c r="M442" s="339"/>
      <c r="N442" s="278"/>
      <c r="O442" s="278"/>
      <c r="P442" s="283"/>
      <c r="Q442" s="278"/>
      <c r="R442" s="284"/>
      <c r="S442" s="282"/>
      <c r="T442" s="285"/>
      <c r="U442" s="286"/>
      <c r="V442" s="287"/>
      <c r="W442" s="288"/>
      <c r="X442" s="286"/>
      <c r="Y442" s="289"/>
      <c r="Z442" s="289"/>
      <c r="AA442" s="290">
        <f t="shared" si="99"/>
        <v>0</v>
      </c>
      <c r="AB442" s="291">
        <f t="shared" si="98"/>
        <v>0</v>
      </c>
      <c r="AC442" s="292">
        <f t="shared" si="101"/>
        <v>0</v>
      </c>
      <c r="AD442" s="293"/>
      <c r="AE442" s="293"/>
      <c r="AF442" s="294"/>
      <c r="AG442" s="291"/>
      <c r="AH442" s="295"/>
      <c r="AI442" s="291"/>
      <c r="AJ442" s="295"/>
      <c r="AK442" s="291"/>
      <c r="AL442" s="291"/>
      <c r="AM442" s="291"/>
      <c r="AN442" s="296">
        <v>35000</v>
      </c>
      <c r="AO442" s="296">
        <v>30000</v>
      </c>
      <c r="AP442" s="296"/>
      <c r="AQ442" s="296"/>
      <c r="AR442" s="296"/>
      <c r="AS442" s="296">
        <f t="shared" si="93"/>
        <v>65000</v>
      </c>
      <c r="AT442" s="297">
        <f t="shared" si="94"/>
        <v>-65000</v>
      </c>
      <c r="AU442" s="297">
        <f t="shared" si="102"/>
        <v>-65000</v>
      </c>
      <c r="AV442" s="297">
        <f t="shared" si="103"/>
        <v>0</v>
      </c>
      <c r="AW442" s="297">
        <f t="shared" si="95"/>
        <v>-32500</v>
      </c>
      <c r="AX442" s="297">
        <f t="shared" si="96"/>
        <v>-29250</v>
      </c>
      <c r="AY442" s="298">
        <v>50000</v>
      </c>
      <c r="AZ442" s="298"/>
      <c r="BA442" s="297">
        <f t="shared" si="97"/>
        <v>-79250</v>
      </c>
      <c r="BB442" s="278"/>
      <c r="BC442" s="255"/>
      <c r="BD442" s="255"/>
    </row>
    <row r="443" spans="1:56" s="256" customFormat="1" ht="20" hidden="1" customHeight="1">
      <c r="A443" s="260">
        <v>443</v>
      </c>
      <c r="B443" s="277"/>
      <c r="C443" s="278"/>
      <c r="D443" s="278"/>
      <c r="E443" s="278"/>
      <c r="F443" s="278"/>
      <c r="G443" s="279" t="e">
        <f>"YB"&amp;RIGHT(#REF!,6)</f>
        <v>#REF!</v>
      </c>
      <c r="H443" s="280"/>
      <c r="I443" s="280"/>
      <c r="J443" s="281">
        <f t="shared" si="100"/>
        <v>0</v>
      </c>
      <c r="K443" s="282"/>
      <c r="L443" s="282"/>
      <c r="M443" s="339"/>
      <c r="N443" s="278"/>
      <c r="O443" s="278"/>
      <c r="P443" s="283"/>
      <c r="Q443" s="278"/>
      <c r="R443" s="284"/>
      <c r="S443" s="282"/>
      <c r="T443" s="285"/>
      <c r="U443" s="286"/>
      <c r="V443" s="287"/>
      <c r="W443" s="288"/>
      <c r="X443" s="286"/>
      <c r="Y443" s="289"/>
      <c r="Z443" s="289"/>
      <c r="AA443" s="290">
        <f t="shared" si="99"/>
        <v>0</v>
      </c>
      <c r="AB443" s="291">
        <f t="shared" si="98"/>
        <v>0</v>
      </c>
      <c r="AC443" s="292">
        <f t="shared" si="101"/>
        <v>0</v>
      </c>
      <c r="AD443" s="293"/>
      <c r="AE443" s="293"/>
      <c r="AF443" s="294"/>
      <c r="AG443" s="291"/>
      <c r="AH443" s="295"/>
      <c r="AI443" s="291"/>
      <c r="AJ443" s="295"/>
      <c r="AK443" s="291"/>
      <c r="AL443" s="291"/>
      <c r="AM443" s="291"/>
      <c r="AN443" s="296">
        <v>35000</v>
      </c>
      <c r="AO443" s="296">
        <v>30000</v>
      </c>
      <c r="AP443" s="296"/>
      <c r="AQ443" s="296"/>
      <c r="AR443" s="296"/>
      <c r="AS443" s="296">
        <f t="shared" si="93"/>
        <v>65000</v>
      </c>
      <c r="AT443" s="297">
        <f t="shared" si="94"/>
        <v>-65000</v>
      </c>
      <c r="AU443" s="297">
        <f t="shared" si="102"/>
        <v>-65000</v>
      </c>
      <c r="AV443" s="297">
        <f t="shared" si="103"/>
        <v>0</v>
      </c>
      <c r="AW443" s="297">
        <f t="shared" si="95"/>
        <v>-32500</v>
      </c>
      <c r="AX443" s="297">
        <f t="shared" si="96"/>
        <v>-29250</v>
      </c>
      <c r="AY443" s="298">
        <v>50000</v>
      </c>
      <c r="AZ443" s="298"/>
      <c r="BA443" s="297">
        <f t="shared" si="97"/>
        <v>-79250</v>
      </c>
      <c r="BB443" s="278"/>
      <c r="BC443" s="255"/>
      <c r="BD443" s="255"/>
    </row>
    <row r="444" spans="1:56" s="256" customFormat="1" ht="20" hidden="1" customHeight="1">
      <c r="A444" s="260">
        <v>444</v>
      </c>
      <c r="B444" s="277"/>
      <c r="C444" s="278"/>
      <c r="D444" s="278"/>
      <c r="E444" s="278"/>
      <c r="F444" s="278"/>
      <c r="G444" s="279" t="e">
        <f>"YB"&amp;RIGHT(#REF!,6)</f>
        <v>#REF!</v>
      </c>
      <c r="H444" s="280"/>
      <c r="I444" s="280"/>
      <c r="J444" s="281">
        <f t="shared" si="100"/>
        <v>0</v>
      </c>
      <c r="K444" s="282"/>
      <c r="L444" s="282"/>
      <c r="M444" s="339"/>
      <c r="N444" s="278"/>
      <c r="O444" s="278"/>
      <c r="P444" s="283"/>
      <c r="Q444" s="278"/>
      <c r="R444" s="284"/>
      <c r="S444" s="282"/>
      <c r="T444" s="285"/>
      <c r="U444" s="286"/>
      <c r="V444" s="287"/>
      <c r="W444" s="288"/>
      <c r="X444" s="286"/>
      <c r="Y444" s="289"/>
      <c r="Z444" s="289"/>
      <c r="AA444" s="290">
        <f t="shared" si="99"/>
        <v>0</v>
      </c>
      <c r="AB444" s="291">
        <f t="shared" si="98"/>
        <v>0</v>
      </c>
      <c r="AC444" s="292">
        <f t="shared" si="101"/>
        <v>0</v>
      </c>
      <c r="AD444" s="293"/>
      <c r="AE444" s="293"/>
      <c r="AF444" s="294"/>
      <c r="AG444" s="291"/>
      <c r="AH444" s="295"/>
      <c r="AI444" s="291"/>
      <c r="AJ444" s="295"/>
      <c r="AK444" s="291"/>
      <c r="AL444" s="291"/>
      <c r="AM444" s="291"/>
      <c r="AN444" s="296">
        <v>35000</v>
      </c>
      <c r="AO444" s="296">
        <v>30000</v>
      </c>
      <c r="AP444" s="296"/>
      <c r="AQ444" s="296"/>
      <c r="AR444" s="296"/>
      <c r="AS444" s="296">
        <f t="shared" si="93"/>
        <v>65000</v>
      </c>
      <c r="AT444" s="297">
        <f t="shared" si="94"/>
        <v>-65000</v>
      </c>
      <c r="AU444" s="297">
        <f t="shared" si="102"/>
        <v>-65000</v>
      </c>
      <c r="AV444" s="297">
        <f t="shared" si="103"/>
        <v>0</v>
      </c>
      <c r="AW444" s="297">
        <f t="shared" si="95"/>
        <v>-32500</v>
      </c>
      <c r="AX444" s="297">
        <f t="shared" si="96"/>
        <v>-29250</v>
      </c>
      <c r="AY444" s="298">
        <v>50000</v>
      </c>
      <c r="AZ444" s="298"/>
      <c r="BA444" s="297">
        <f t="shared" si="97"/>
        <v>-79250</v>
      </c>
      <c r="BB444" s="278"/>
      <c r="BC444" s="255"/>
      <c r="BD444" s="255"/>
    </row>
    <row r="445" spans="1:56" s="256" customFormat="1" ht="20" hidden="1" customHeight="1">
      <c r="A445" s="260">
        <v>445</v>
      </c>
      <c r="B445" s="277"/>
      <c r="C445" s="278"/>
      <c r="D445" s="278"/>
      <c r="E445" s="278"/>
      <c r="F445" s="278"/>
      <c r="G445" s="279" t="e">
        <f>"YB"&amp;RIGHT(#REF!,6)</f>
        <v>#REF!</v>
      </c>
      <c r="H445" s="280"/>
      <c r="I445" s="280"/>
      <c r="J445" s="281">
        <f t="shared" si="100"/>
        <v>0</v>
      </c>
      <c r="K445" s="282"/>
      <c r="L445" s="282"/>
      <c r="M445" s="339"/>
      <c r="N445" s="278"/>
      <c r="O445" s="278"/>
      <c r="P445" s="283"/>
      <c r="Q445" s="278"/>
      <c r="R445" s="284"/>
      <c r="S445" s="282"/>
      <c r="T445" s="285"/>
      <c r="U445" s="286"/>
      <c r="V445" s="287"/>
      <c r="W445" s="288"/>
      <c r="X445" s="286"/>
      <c r="Y445" s="289"/>
      <c r="Z445" s="289"/>
      <c r="AA445" s="290">
        <f t="shared" si="99"/>
        <v>0</v>
      </c>
      <c r="AB445" s="291">
        <f t="shared" si="98"/>
        <v>0</v>
      </c>
      <c r="AC445" s="292">
        <f t="shared" si="101"/>
        <v>0</v>
      </c>
      <c r="AD445" s="293"/>
      <c r="AE445" s="293"/>
      <c r="AF445" s="294"/>
      <c r="AG445" s="291"/>
      <c r="AH445" s="295"/>
      <c r="AI445" s="291"/>
      <c r="AJ445" s="295"/>
      <c r="AK445" s="291"/>
      <c r="AL445" s="291"/>
      <c r="AM445" s="291"/>
      <c r="AN445" s="296">
        <v>35000</v>
      </c>
      <c r="AO445" s="296">
        <v>30000</v>
      </c>
      <c r="AP445" s="296"/>
      <c r="AQ445" s="296"/>
      <c r="AR445" s="296"/>
      <c r="AS445" s="296">
        <f t="shared" si="93"/>
        <v>65000</v>
      </c>
      <c r="AT445" s="297">
        <f t="shared" si="94"/>
        <v>-65000</v>
      </c>
      <c r="AU445" s="297">
        <f t="shared" si="102"/>
        <v>-65000</v>
      </c>
      <c r="AV445" s="297">
        <f t="shared" si="103"/>
        <v>0</v>
      </c>
      <c r="AW445" s="297">
        <f t="shared" si="95"/>
        <v>-32500</v>
      </c>
      <c r="AX445" s="297">
        <f t="shared" si="96"/>
        <v>-29250</v>
      </c>
      <c r="AY445" s="298">
        <v>50000</v>
      </c>
      <c r="AZ445" s="298"/>
      <c r="BA445" s="297">
        <f t="shared" si="97"/>
        <v>-79250</v>
      </c>
      <c r="BB445" s="278"/>
      <c r="BC445" s="255"/>
      <c r="BD445" s="255"/>
    </row>
    <row r="446" spans="1:56" s="256" customFormat="1" ht="20" hidden="1" customHeight="1">
      <c r="A446" s="260">
        <v>446</v>
      </c>
      <c r="B446" s="277"/>
      <c r="C446" s="278"/>
      <c r="D446" s="278"/>
      <c r="E446" s="278"/>
      <c r="F446" s="278"/>
      <c r="G446" s="279" t="e">
        <f>"YB"&amp;RIGHT(#REF!,6)</f>
        <v>#REF!</v>
      </c>
      <c r="H446" s="280"/>
      <c r="I446" s="280"/>
      <c r="J446" s="281">
        <f t="shared" si="100"/>
        <v>0</v>
      </c>
      <c r="K446" s="282"/>
      <c r="L446" s="282"/>
      <c r="M446" s="339"/>
      <c r="N446" s="278"/>
      <c r="O446" s="278"/>
      <c r="P446" s="283"/>
      <c r="Q446" s="278"/>
      <c r="R446" s="284"/>
      <c r="S446" s="282"/>
      <c r="T446" s="285"/>
      <c r="U446" s="286"/>
      <c r="V446" s="287"/>
      <c r="W446" s="288"/>
      <c r="X446" s="286"/>
      <c r="Y446" s="289"/>
      <c r="Z446" s="289"/>
      <c r="AA446" s="290">
        <f t="shared" si="99"/>
        <v>0</v>
      </c>
      <c r="AB446" s="291">
        <f t="shared" si="98"/>
        <v>0</v>
      </c>
      <c r="AC446" s="292">
        <f t="shared" si="101"/>
        <v>0</v>
      </c>
      <c r="AD446" s="293"/>
      <c r="AE446" s="293"/>
      <c r="AF446" s="294"/>
      <c r="AG446" s="291"/>
      <c r="AH446" s="295"/>
      <c r="AI446" s="291"/>
      <c r="AJ446" s="295"/>
      <c r="AK446" s="291"/>
      <c r="AL446" s="291"/>
      <c r="AM446" s="291"/>
      <c r="AN446" s="296">
        <v>35000</v>
      </c>
      <c r="AO446" s="296">
        <v>30000</v>
      </c>
      <c r="AP446" s="296"/>
      <c r="AQ446" s="296"/>
      <c r="AR446" s="296"/>
      <c r="AS446" s="296">
        <f t="shared" si="93"/>
        <v>65000</v>
      </c>
      <c r="AT446" s="297">
        <f t="shared" si="94"/>
        <v>-65000</v>
      </c>
      <c r="AU446" s="297">
        <f t="shared" si="102"/>
        <v>-65000</v>
      </c>
      <c r="AV446" s="297">
        <f t="shared" si="103"/>
        <v>0</v>
      </c>
      <c r="AW446" s="297">
        <f t="shared" si="95"/>
        <v>-32500</v>
      </c>
      <c r="AX446" s="297">
        <f t="shared" si="96"/>
        <v>-29250</v>
      </c>
      <c r="AY446" s="298">
        <v>50000</v>
      </c>
      <c r="AZ446" s="298"/>
      <c r="BA446" s="297">
        <f t="shared" si="97"/>
        <v>-79250</v>
      </c>
      <c r="BB446" s="278"/>
      <c r="BC446" s="255"/>
      <c r="BD446" s="255"/>
    </row>
    <row r="447" spans="1:56" s="256" customFormat="1" ht="20" hidden="1" customHeight="1">
      <c r="A447" s="260">
        <v>447</v>
      </c>
      <c r="B447" s="277"/>
      <c r="C447" s="278"/>
      <c r="D447" s="278"/>
      <c r="E447" s="278"/>
      <c r="F447" s="278"/>
      <c r="G447" s="279" t="e">
        <f>"YB"&amp;RIGHT(#REF!,6)</f>
        <v>#REF!</v>
      </c>
      <c r="H447" s="280"/>
      <c r="I447" s="280"/>
      <c r="J447" s="281">
        <f t="shared" si="100"/>
        <v>0</v>
      </c>
      <c r="K447" s="282"/>
      <c r="L447" s="282"/>
      <c r="M447" s="339"/>
      <c r="N447" s="278"/>
      <c r="O447" s="278"/>
      <c r="P447" s="283"/>
      <c r="Q447" s="278"/>
      <c r="R447" s="284"/>
      <c r="S447" s="282"/>
      <c r="T447" s="285"/>
      <c r="U447" s="286"/>
      <c r="V447" s="287"/>
      <c r="W447" s="288"/>
      <c r="X447" s="286"/>
      <c r="Y447" s="289"/>
      <c r="Z447" s="289"/>
      <c r="AA447" s="290">
        <f t="shared" si="99"/>
        <v>0</v>
      </c>
      <c r="AB447" s="291">
        <f t="shared" si="98"/>
        <v>0</v>
      </c>
      <c r="AC447" s="292">
        <f t="shared" si="101"/>
        <v>0</v>
      </c>
      <c r="AD447" s="293"/>
      <c r="AE447" s="293"/>
      <c r="AF447" s="294"/>
      <c r="AG447" s="291"/>
      <c r="AH447" s="295"/>
      <c r="AI447" s="291"/>
      <c r="AJ447" s="295"/>
      <c r="AK447" s="291"/>
      <c r="AL447" s="291"/>
      <c r="AM447" s="291"/>
      <c r="AN447" s="296">
        <v>35000</v>
      </c>
      <c r="AO447" s="296">
        <v>30000</v>
      </c>
      <c r="AP447" s="296"/>
      <c r="AQ447" s="296"/>
      <c r="AR447" s="296"/>
      <c r="AS447" s="296">
        <f t="shared" si="93"/>
        <v>65000</v>
      </c>
      <c r="AT447" s="297">
        <f t="shared" si="94"/>
        <v>-65000</v>
      </c>
      <c r="AU447" s="297">
        <f t="shared" si="102"/>
        <v>-65000</v>
      </c>
      <c r="AV447" s="297">
        <f t="shared" si="103"/>
        <v>0</v>
      </c>
      <c r="AW447" s="297">
        <f t="shared" si="95"/>
        <v>-32500</v>
      </c>
      <c r="AX447" s="297">
        <f t="shared" si="96"/>
        <v>-29250</v>
      </c>
      <c r="AY447" s="298">
        <v>50000</v>
      </c>
      <c r="AZ447" s="298"/>
      <c r="BA447" s="297">
        <f t="shared" si="97"/>
        <v>-79250</v>
      </c>
      <c r="BB447" s="278"/>
      <c r="BC447" s="255"/>
      <c r="BD447" s="255"/>
    </row>
    <row r="448" spans="1:56" s="256" customFormat="1" ht="20" hidden="1" customHeight="1">
      <c r="A448" s="260">
        <v>448</v>
      </c>
      <c r="B448" s="277"/>
      <c r="C448" s="278"/>
      <c r="D448" s="278"/>
      <c r="E448" s="278"/>
      <c r="F448" s="278"/>
      <c r="G448" s="279" t="e">
        <f>"YB"&amp;RIGHT(#REF!,6)</f>
        <v>#REF!</v>
      </c>
      <c r="H448" s="280"/>
      <c r="I448" s="280"/>
      <c r="J448" s="281">
        <f t="shared" si="100"/>
        <v>0</v>
      </c>
      <c r="K448" s="282"/>
      <c r="L448" s="282"/>
      <c r="M448" s="339"/>
      <c r="N448" s="278"/>
      <c r="O448" s="278"/>
      <c r="P448" s="283"/>
      <c r="Q448" s="278"/>
      <c r="R448" s="284"/>
      <c r="S448" s="282"/>
      <c r="T448" s="285"/>
      <c r="U448" s="286"/>
      <c r="V448" s="287"/>
      <c r="W448" s="288"/>
      <c r="X448" s="286"/>
      <c r="Y448" s="289"/>
      <c r="Z448" s="289"/>
      <c r="AA448" s="290">
        <f t="shared" si="99"/>
        <v>0</v>
      </c>
      <c r="AB448" s="291">
        <f t="shared" si="98"/>
        <v>0</v>
      </c>
      <c r="AC448" s="292">
        <f t="shared" si="101"/>
        <v>0</v>
      </c>
      <c r="AD448" s="293"/>
      <c r="AE448" s="293"/>
      <c r="AF448" s="294"/>
      <c r="AG448" s="291"/>
      <c r="AH448" s="295"/>
      <c r="AI448" s="291"/>
      <c r="AJ448" s="295"/>
      <c r="AK448" s="291"/>
      <c r="AL448" s="291"/>
      <c r="AM448" s="291"/>
      <c r="AN448" s="296">
        <v>35000</v>
      </c>
      <c r="AO448" s="296">
        <v>30000</v>
      </c>
      <c r="AP448" s="296"/>
      <c r="AQ448" s="296"/>
      <c r="AR448" s="296"/>
      <c r="AS448" s="296">
        <f t="shared" si="93"/>
        <v>65000</v>
      </c>
      <c r="AT448" s="297">
        <f t="shared" si="94"/>
        <v>-65000</v>
      </c>
      <c r="AU448" s="297">
        <f t="shared" si="102"/>
        <v>-65000</v>
      </c>
      <c r="AV448" s="297">
        <f t="shared" si="103"/>
        <v>0</v>
      </c>
      <c r="AW448" s="297">
        <f t="shared" si="95"/>
        <v>-32500</v>
      </c>
      <c r="AX448" s="297">
        <f t="shared" si="96"/>
        <v>-29250</v>
      </c>
      <c r="AY448" s="298">
        <v>50000</v>
      </c>
      <c r="AZ448" s="298"/>
      <c r="BA448" s="297">
        <f t="shared" si="97"/>
        <v>-79250</v>
      </c>
      <c r="BB448" s="278"/>
      <c r="BC448" s="255"/>
      <c r="BD448" s="255"/>
    </row>
    <row r="449" spans="1:56" s="256" customFormat="1" ht="20" hidden="1" customHeight="1">
      <c r="A449" s="260">
        <v>449</v>
      </c>
      <c r="B449" s="277"/>
      <c r="C449" s="278"/>
      <c r="D449" s="278"/>
      <c r="E449" s="278"/>
      <c r="F449" s="278"/>
      <c r="G449" s="279" t="e">
        <f>"YB"&amp;RIGHT(#REF!,6)</f>
        <v>#REF!</v>
      </c>
      <c r="H449" s="280"/>
      <c r="I449" s="280"/>
      <c r="J449" s="281">
        <f t="shared" si="100"/>
        <v>0</v>
      </c>
      <c r="K449" s="282"/>
      <c r="L449" s="282"/>
      <c r="M449" s="339"/>
      <c r="N449" s="278"/>
      <c r="O449" s="278"/>
      <c r="P449" s="283"/>
      <c r="Q449" s="278"/>
      <c r="R449" s="284"/>
      <c r="S449" s="282"/>
      <c r="T449" s="285"/>
      <c r="U449" s="286"/>
      <c r="V449" s="287"/>
      <c r="W449" s="288"/>
      <c r="X449" s="286"/>
      <c r="Y449" s="289"/>
      <c r="Z449" s="289"/>
      <c r="AA449" s="290">
        <f t="shared" si="99"/>
        <v>0</v>
      </c>
      <c r="AB449" s="291">
        <f t="shared" si="98"/>
        <v>0</v>
      </c>
      <c r="AC449" s="292">
        <f t="shared" si="101"/>
        <v>0</v>
      </c>
      <c r="AD449" s="293"/>
      <c r="AE449" s="293"/>
      <c r="AF449" s="294"/>
      <c r="AG449" s="291"/>
      <c r="AH449" s="295"/>
      <c r="AI449" s="291"/>
      <c r="AJ449" s="295"/>
      <c r="AK449" s="291"/>
      <c r="AL449" s="291"/>
      <c r="AM449" s="291"/>
      <c r="AN449" s="296">
        <v>35000</v>
      </c>
      <c r="AO449" s="296">
        <v>30000</v>
      </c>
      <c r="AP449" s="296"/>
      <c r="AQ449" s="296"/>
      <c r="AR449" s="296"/>
      <c r="AS449" s="296">
        <f t="shared" si="93"/>
        <v>65000</v>
      </c>
      <c r="AT449" s="297">
        <f t="shared" si="94"/>
        <v>-65000</v>
      </c>
      <c r="AU449" s="297">
        <f t="shared" si="102"/>
        <v>-65000</v>
      </c>
      <c r="AV449" s="297">
        <f t="shared" si="103"/>
        <v>0</v>
      </c>
      <c r="AW449" s="297">
        <f t="shared" si="95"/>
        <v>-32500</v>
      </c>
      <c r="AX449" s="297">
        <f t="shared" si="96"/>
        <v>-29250</v>
      </c>
      <c r="AY449" s="298">
        <v>50000</v>
      </c>
      <c r="AZ449" s="298"/>
      <c r="BA449" s="297">
        <f t="shared" si="97"/>
        <v>-79250</v>
      </c>
      <c r="BB449" s="278"/>
      <c r="BC449" s="255"/>
      <c r="BD449" s="255"/>
    </row>
    <row r="450" spans="1:56" s="256" customFormat="1" ht="20" hidden="1" customHeight="1">
      <c r="A450" s="260">
        <v>450</v>
      </c>
      <c r="B450" s="277"/>
      <c r="C450" s="278"/>
      <c r="D450" s="278"/>
      <c r="E450" s="278"/>
      <c r="F450" s="278"/>
      <c r="G450" s="279" t="e">
        <f>"YB"&amp;RIGHT(#REF!,6)</f>
        <v>#REF!</v>
      </c>
      <c r="H450" s="280"/>
      <c r="I450" s="280"/>
      <c r="J450" s="281">
        <f t="shared" si="100"/>
        <v>0</v>
      </c>
      <c r="K450" s="282"/>
      <c r="L450" s="282"/>
      <c r="M450" s="339"/>
      <c r="N450" s="278"/>
      <c r="O450" s="278"/>
      <c r="P450" s="283"/>
      <c r="Q450" s="278"/>
      <c r="R450" s="284"/>
      <c r="S450" s="282"/>
      <c r="T450" s="285"/>
      <c r="U450" s="286"/>
      <c r="V450" s="287"/>
      <c r="W450" s="288"/>
      <c r="X450" s="286"/>
      <c r="Y450" s="289"/>
      <c r="Z450" s="289"/>
      <c r="AA450" s="290">
        <f t="shared" si="99"/>
        <v>0</v>
      </c>
      <c r="AB450" s="291">
        <f t="shared" si="98"/>
        <v>0</v>
      </c>
      <c r="AC450" s="292">
        <f t="shared" si="101"/>
        <v>0</v>
      </c>
      <c r="AD450" s="293"/>
      <c r="AE450" s="293"/>
      <c r="AF450" s="294"/>
      <c r="AG450" s="291"/>
      <c r="AH450" s="295"/>
      <c r="AI450" s="291"/>
      <c r="AJ450" s="295"/>
      <c r="AK450" s="291"/>
      <c r="AL450" s="291"/>
      <c r="AM450" s="291"/>
      <c r="AN450" s="296">
        <v>35000</v>
      </c>
      <c r="AO450" s="296">
        <v>30000</v>
      </c>
      <c r="AP450" s="296"/>
      <c r="AQ450" s="296"/>
      <c r="AR450" s="296"/>
      <c r="AS450" s="296">
        <f t="shared" ref="AS450:AS472" si="104">SUM(AN450:AR450)</f>
        <v>65000</v>
      </c>
      <c r="AT450" s="297">
        <f t="shared" ref="AT450:AT472" si="105">SUM(AA450-W450)*U450-AS450</f>
        <v>-65000</v>
      </c>
      <c r="AU450" s="297">
        <f t="shared" si="102"/>
        <v>-65000</v>
      </c>
      <c r="AV450" s="297">
        <f t="shared" si="103"/>
        <v>0</v>
      </c>
      <c r="AW450" s="297">
        <f t="shared" ref="AW450:AW472" si="106">SUM(AU450:AV450)/2</f>
        <v>-32500</v>
      </c>
      <c r="AX450" s="297">
        <f t="shared" ref="AX450:AX472" si="107">AW450-(AW450*10%)</f>
        <v>-29250</v>
      </c>
      <c r="AY450" s="298">
        <v>50000</v>
      </c>
      <c r="AZ450" s="298"/>
      <c r="BA450" s="297">
        <f t="shared" ref="BA450:BA472" si="108">SUM(AX450-AY450-AZ450)</f>
        <v>-79250</v>
      </c>
      <c r="BB450" s="278"/>
      <c r="BC450" s="255"/>
      <c r="BD450" s="255"/>
    </row>
    <row r="451" spans="1:56" s="256" customFormat="1" ht="20" hidden="1" customHeight="1">
      <c r="A451" s="260">
        <v>451</v>
      </c>
      <c r="B451" s="277"/>
      <c r="C451" s="278"/>
      <c r="D451" s="278"/>
      <c r="E451" s="278"/>
      <c r="F451" s="278"/>
      <c r="G451" s="279" t="e">
        <f>"YB"&amp;RIGHT(#REF!,6)</f>
        <v>#REF!</v>
      </c>
      <c r="H451" s="280"/>
      <c r="I451" s="280"/>
      <c r="J451" s="281">
        <f t="shared" si="100"/>
        <v>0</v>
      </c>
      <c r="K451" s="282"/>
      <c r="L451" s="282"/>
      <c r="M451" s="339"/>
      <c r="N451" s="278"/>
      <c r="O451" s="278"/>
      <c r="P451" s="283"/>
      <c r="Q451" s="278"/>
      <c r="R451" s="284"/>
      <c r="S451" s="282"/>
      <c r="T451" s="285"/>
      <c r="U451" s="286"/>
      <c r="V451" s="287"/>
      <c r="W451" s="288"/>
      <c r="X451" s="286"/>
      <c r="Y451" s="289"/>
      <c r="Z451" s="289"/>
      <c r="AA451" s="290">
        <f t="shared" si="99"/>
        <v>0</v>
      </c>
      <c r="AB451" s="291">
        <f t="shared" si="98"/>
        <v>0</v>
      </c>
      <c r="AC451" s="292">
        <f t="shared" si="101"/>
        <v>0</v>
      </c>
      <c r="AD451" s="293"/>
      <c r="AE451" s="293"/>
      <c r="AF451" s="294"/>
      <c r="AG451" s="291"/>
      <c r="AH451" s="295"/>
      <c r="AI451" s="291"/>
      <c r="AJ451" s="295"/>
      <c r="AK451" s="291"/>
      <c r="AL451" s="291"/>
      <c r="AM451" s="291"/>
      <c r="AN451" s="296">
        <v>35000</v>
      </c>
      <c r="AO451" s="296">
        <v>30000</v>
      </c>
      <c r="AP451" s="296"/>
      <c r="AQ451" s="296"/>
      <c r="AR451" s="296"/>
      <c r="AS451" s="296">
        <f t="shared" si="104"/>
        <v>65000</v>
      </c>
      <c r="AT451" s="297">
        <f t="shared" si="105"/>
        <v>-65000</v>
      </c>
      <c r="AU451" s="297">
        <f t="shared" si="102"/>
        <v>-65000</v>
      </c>
      <c r="AV451" s="297">
        <f t="shared" si="103"/>
        <v>0</v>
      </c>
      <c r="AW451" s="297">
        <f t="shared" si="106"/>
        <v>-32500</v>
      </c>
      <c r="AX451" s="297">
        <f t="shared" si="107"/>
        <v>-29250</v>
      </c>
      <c r="AY451" s="298">
        <v>50000</v>
      </c>
      <c r="AZ451" s="298"/>
      <c r="BA451" s="297">
        <f t="shared" si="108"/>
        <v>-79250</v>
      </c>
      <c r="BB451" s="278"/>
      <c r="BC451" s="255"/>
      <c r="BD451" s="255"/>
    </row>
    <row r="452" spans="1:56" s="256" customFormat="1" ht="20" hidden="1" customHeight="1">
      <c r="A452" s="260">
        <v>452</v>
      </c>
      <c r="B452" s="277"/>
      <c r="C452" s="278"/>
      <c r="D452" s="278"/>
      <c r="E452" s="278"/>
      <c r="F452" s="278"/>
      <c r="G452" s="279" t="e">
        <f>"YB"&amp;RIGHT(#REF!,6)</f>
        <v>#REF!</v>
      </c>
      <c r="H452" s="280"/>
      <c r="I452" s="280"/>
      <c r="J452" s="281">
        <f t="shared" si="100"/>
        <v>0</v>
      </c>
      <c r="K452" s="282"/>
      <c r="L452" s="282"/>
      <c r="M452" s="339"/>
      <c r="N452" s="278"/>
      <c r="O452" s="278"/>
      <c r="P452" s="283"/>
      <c r="Q452" s="278"/>
      <c r="R452" s="284"/>
      <c r="S452" s="282"/>
      <c r="T452" s="285"/>
      <c r="U452" s="286"/>
      <c r="V452" s="287"/>
      <c r="W452" s="288"/>
      <c r="X452" s="286"/>
      <c r="Y452" s="289"/>
      <c r="Z452" s="289"/>
      <c r="AA452" s="290">
        <f t="shared" si="99"/>
        <v>0</v>
      </c>
      <c r="AB452" s="291">
        <f t="shared" si="98"/>
        <v>0</v>
      </c>
      <c r="AC452" s="292">
        <f t="shared" si="101"/>
        <v>0</v>
      </c>
      <c r="AD452" s="293"/>
      <c r="AE452" s="293"/>
      <c r="AF452" s="294"/>
      <c r="AG452" s="291"/>
      <c r="AH452" s="295"/>
      <c r="AI452" s="291"/>
      <c r="AJ452" s="295"/>
      <c r="AK452" s="291"/>
      <c r="AL452" s="291"/>
      <c r="AM452" s="291"/>
      <c r="AN452" s="296">
        <v>35000</v>
      </c>
      <c r="AO452" s="296">
        <v>30000</v>
      </c>
      <c r="AP452" s="296"/>
      <c r="AQ452" s="296"/>
      <c r="AR452" s="296"/>
      <c r="AS452" s="296">
        <f t="shared" si="104"/>
        <v>65000</v>
      </c>
      <c r="AT452" s="297">
        <f t="shared" si="105"/>
        <v>-65000</v>
      </c>
      <c r="AU452" s="297">
        <f t="shared" si="102"/>
        <v>-65000</v>
      </c>
      <c r="AV452" s="297">
        <f t="shared" si="103"/>
        <v>0</v>
      </c>
      <c r="AW452" s="297">
        <f t="shared" si="106"/>
        <v>-32500</v>
      </c>
      <c r="AX452" s="297">
        <f t="shared" si="107"/>
        <v>-29250</v>
      </c>
      <c r="AY452" s="298">
        <v>50000</v>
      </c>
      <c r="AZ452" s="298"/>
      <c r="BA452" s="297">
        <f t="shared" si="108"/>
        <v>-79250</v>
      </c>
      <c r="BB452" s="278"/>
      <c r="BC452" s="255"/>
      <c r="BD452" s="255"/>
    </row>
    <row r="453" spans="1:56" s="256" customFormat="1" ht="20" hidden="1" customHeight="1">
      <c r="A453" s="260">
        <v>453</v>
      </c>
      <c r="B453" s="277"/>
      <c r="C453" s="278"/>
      <c r="D453" s="278"/>
      <c r="E453" s="278"/>
      <c r="F453" s="278"/>
      <c r="G453" s="279" t="e">
        <f>"YB"&amp;RIGHT(#REF!,6)</f>
        <v>#REF!</v>
      </c>
      <c r="H453" s="280"/>
      <c r="I453" s="280"/>
      <c r="J453" s="281">
        <f t="shared" si="100"/>
        <v>0</v>
      </c>
      <c r="K453" s="282"/>
      <c r="L453" s="282"/>
      <c r="M453" s="339"/>
      <c r="N453" s="278"/>
      <c r="O453" s="278"/>
      <c r="P453" s="283"/>
      <c r="Q453" s="278"/>
      <c r="R453" s="284"/>
      <c r="S453" s="282"/>
      <c r="T453" s="285"/>
      <c r="U453" s="286"/>
      <c r="V453" s="287"/>
      <c r="W453" s="288"/>
      <c r="X453" s="286"/>
      <c r="Y453" s="289"/>
      <c r="Z453" s="289"/>
      <c r="AA453" s="290">
        <f t="shared" si="99"/>
        <v>0</v>
      </c>
      <c r="AB453" s="291">
        <f t="shared" si="98"/>
        <v>0</v>
      </c>
      <c r="AC453" s="292">
        <f t="shared" si="101"/>
        <v>0</v>
      </c>
      <c r="AD453" s="293"/>
      <c r="AE453" s="293"/>
      <c r="AF453" s="294"/>
      <c r="AG453" s="291"/>
      <c r="AH453" s="295"/>
      <c r="AI453" s="291"/>
      <c r="AJ453" s="295"/>
      <c r="AK453" s="291"/>
      <c r="AL453" s="291"/>
      <c r="AM453" s="291"/>
      <c r="AN453" s="296">
        <v>35000</v>
      </c>
      <c r="AO453" s="296">
        <v>30000</v>
      </c>
      <c r="AP453" s="296"/>
      <c r="AQ453" s="296"/>
      <c r="AR453" s="296"/>
      <c r="AS453" s="296">
        <f t="shared" si="104"/>
        <v>65000</v>
      </c>
      <c r="AT453" s="297">
        <f t="shared" si="105"/>
        <v>-65000</v>
      </c>
      <c r="AU453" s="297">
        <f t="shared" si="102"/>
        <v>-65000</v>
      </c>
      <c r="AV453" s="297">
        <f t="shared" si="103"/>
        <v>0</v>
      </c>
      <c r="AW453" s="297">
        <f t="shared" si="106"/>
        <v>-32500</v>
      </c>
      <c r="AX453" s="297">
        <f t="shared" si="107"/>
        <v>-29250</v>
      </c>
      <c r="AY453" s="298">
        <v>50000</v>
      </c>
      <c r="AZ453" s="298"/>
      <c r="BA453" s="297">
        <f t="shared" si="108"/>
        <v>-79250</v>
      </c>
      <c r="BB453" s="278"/>
      <c r="BC453" s="255"/>
      <c r="BD453" s="255"/>
    </row>
    <row r="454" spans="1:56" s="256" customFormat="1" ht="20" hidden="1" customHeight="1">
      <c r="A454" s="260">
        <v>454</v>
      </c>
      <c r="B454" s="277"/>
      <c r="C454" s="278"/>
      <c r="D454" s="278"/>
      <c r="E454" s="278"/>
      <c r="F454" s="278"/>
      <c r="G454" s="279" t="e">
        <f>"YB"&amp;RIGHT(#REF!,6)</f>
        <v>#REF!</v>
      </c>
      <c r="H454" s="280"/>
      <c r="I454" s="280"/>
      <c r="J454" s="281">
        <f t="shared" si="100"/>
        <v>0</v>
      </c>
      <c r="K454" s="282"/>
      <c r="L454" s="282"/>
      <c r="M454" s="339"/>
      <c r="N454" s="278"/>
      <c r="O454" s="278"/>
      <c r="P454" s="283"/>
      <c r="Q454" s="278"/>
      <c r="R454" s="284"/>
      <c r="S454" s="282"/>
      <c r="T454" s="285"/>
      <c r="U454" s="286"/>
      <c r="V454" s="287"/>
      <c r="W454" s="288"/>
      <c r="X454" s="286"/>
      <c r="Y454" s="289"/>
      <c r="Z454" s="289"/>
      <c r="AA454" s="290">
        <f t="shared" si="99"/>
        <v>0</v>
      </c>
      <c r="AB454" s="291">
        <f t="shared" si="98"/>
        <v>0</v>
      </c>
      <c r="AC454" s="292">
        <f t="shared" si="101"/>
        <v>0</v>
      </c>
      <c r="AD454" s="293"/>
      <c r="AE454" s="293"/>
      <c r="AF454" s="294"/>
      <c r="AG454" s="291"/>
      <c r="AH454" s="295"/>
      <c r="AI454" s="291"/>
      <c r="AJ454" s="295"/>
      <c r="AK454" s="291"/>
      <c r="AL454" s="291"/>
      <c r="AM454" s="291"/>
      <c r="AN454" s="296">
        <v>35000</v>
      </c>
      <c r="AO454" s="296">
        <v>30000</v>
      </c>
      <c r="AP454" s="296"/>
      <c r="AQ454" s="296"/>
      <c r="AR454" s="296"/>
      <c r="AS454" s="296">
        <f t="shared" si="104"/>
        <v>65000</v>
      </c>
      <c r="AT454" s="297">
        <f t="shared" si="105"/>
        <v>-65000</v>
      </c>
      <c r="AU454" s="297">
        <f t="shared" si="102"/>
        <v>-65000</v>
      </c>
      <c r="AV454" s="297">
        <f t="shared" si="103"/>
        <v>0</v>
      </c>
      <c r="AW454" s="297">
        <f t="shared" si="106"/>
        <v>-32500</v>
      </c>
      <c r="AX454" s="297">
        <f t="shared" si="107"/>
        <v>-29250</v>
      </c>
      <c r="AY454" s="298">
        <v>50000</v>
      </c>
      <c r="AZ454" s="298"/>
      <c r="BA454" s="297">
        <f t="shared" si="108"/>
        <v>-79250</v>
      </c>
      <c r="BB454" s="278"/>
      <c r="BC454" s="255"/>
      <c r="BD454" s="255"/>
    </row>
    <row r="455" spans="1:56" s="256" customFormat="1" ht="20" hidden="1" customHeight="1">
      <c r="A455" s="260">
        <v>455</v>
      </c>
      <c r="B455" s="277"/>
      <c r="C455" s="278"/>
      <c r="D455" s="278"/>
      <c r="E455" s="278"/>
      <c r="F455" s="278"/>
      <c r="G455" s="279" t="e">
        <f>"YB"&amp;RIGHT(#REF!,6)</f>
        <v>#REF!</v>
      </c>
      <c r="H455" s="280"/>
      <c r="I455" s="280"/>
      <c r="J455" s="281">
        <f t="shared" si="100"/>
        <v>0</v>
      </c>
      <c r="K455" s="282"/>
      <c r="L455" s="282"/>
      <c r="M455" s="339"/>
      <c r="N455" s="278"/>
      <c r="O455" s="278"/>
      <c r="P455" s="283"/>
      <c r="Q455" s="278"/>
      <c r="R455" s="284"/>
      <c r="S455" s="282"/>
      <c r="T455" s="285"/>
      <c r="U455" s="286"/>
      <c r="V455" s="287"/>
      <c r="W455" s="288"/>
      <c r="X455" s="286"/>
      <c r="Y455" s="289"/>
      <c r="Z455" s="289"/>
      <c r="AA455" s="290">
        <f t="shared" si="99"/>
        <v>0</v>
      </c>
      <c r="AB455" s="291">
        <f t="shared" si="98"/>
        <v>0</v>
      </c>
      <c r="AC455" s="292">
        <f t="shared" si="101"/>
        <v>0</v>
      </c>
      <c r="AD455" s="293"/>
      <c r="AE455" s="293"/>
      <c r="AF455" s="294"/>
      <c r="AG455" s="291"/>
      <c r="AH455" s="295"/>
      <c r="AI455" s="291"/>
      <c r="AJ455" s="295"/>
      <c r="AK455" s="291"/>
      <c r="AL455" s="291"/>
      <c r="AM455" s="291"/>
      <c r="AN455" s="296">
        <v>35000</v>
      </c>
      <c r="AO455" s="296">
        <v>30000</v>
      </c>
      <c r="AP455" s="296"/>
      <c r="AQ455" s="296"/>
      <c r="AR455" s="296"/>
      <c r="AS455" s="296">
        <f t="shared" si="104"/>
        <v>65000</v>
      </c>
      <c r="AT455" s="297">
        <f t="shared" si="105"/>
        <v>-65000</v>
      </c>
      <c r="AU455" s="297">
        <f t="shared" si="102"/>
        <v>-65000</v>
      </c>
      <c r="AV455" s="297">
        <f t="shared" si="103"/>
        <v>0</v>
      </c>
      <c r="AW455" s="297">
        <f t="shared" si="106"/>
        <v>-32500</v>
      </c>
      <c r="AX455" s="297">
        <f t="shared" si="107"/>
        <v>-29250</v>
      </c>
      <c r="AY455" s="298">
        <v>50000</v>
      </c>
      <c r="AZ455" s="298"/>
      <c r="BA455" s="297">
        <f t="shared" si="108"/>
        <v>-79250</v>
      </c>
      <c r="BB455" s="278"/>
      <c r="BC455" s="255"/>
      <c r="BD455" s="255"/>
    </row>
    <row r="456" spans="1:56" s="256" customFormat="1" ht="20" hidden="1" customHeight="1">
      <c r="A456" s="260">
        <v>456</v>
      </c>
      <c r="B456" s="277"/>
      <c r="C456" s="278"/>
      <c r="D456" s="278"/>
      <c r="E456" s="278"/>
      <c r="F456" s="278"/>
      <c r="G456" s="279" t="e">
        <f>"YB"&amp;RIGHT(#REF!,6)</f>
        <v>#REF!</v>
      </c>
      <c r="H456" s="280"/>
      <c r="I456" s="280"/>
      <c r="J456" s="281">
        <f t="shared" si="100"/>
        <v>0</v>
      </c>
      <c r="K456" s="282"/>
      <c r="L456" s="282"/>
      <c r="M456" s="339"/>
      <c r="N456" s="278"/>
      <c r="O456" s="278"/>
      <c r="P456" s="283"/>
      <c r="Q456" s="278"/>
      <c r="R456" s="284"/>
      <c r="S456" s="282"/>
      <c r="T456" s="285"/>
      <c r="U456" s="286"/>
      <c r="V456" s="287"/>
      <c r="W456" s="288"/>
      <c r="X456" s="286"/>
      <c r="Y456" s="289"/>
      <c r="Z456" s="289"/>
      <c r="AA456" s="290">
        <f t="shared" si="99"/>
        <v>0</v>
      </c>
      <c r="AB456" s="291">
        <f t="shared" si="98"/>
        <v>0</v>
      </c>
      <c r="AC456" s="292">
        <f t="shared" si="101"/>
        <v>0</v>
      </c>
      <c r="AD456" s="293"/>
      <c r="AE456" s="293"/>
      <c r="AF456" s="294"/>
      <c r="AG456" s="291"/>
      <c r="AH456" s="295"/>
      <c r="AI456" s="291"/>
      <c r="AJ456" s="295"/>
      <c r="AK456" s="291"/>
      <c r="AL456" s="291"/>
      <c r="AM456" s="291"/>
      <c r="AN456" s="296">
        <v>35000</v>
      </c>
      <c r="AO456" s="296">
        <v>30000</v>
      </c>
      <c r="AP456" s="296"/>
      <c r="AQ456" s="296"/>
      <c r="AR456" s="296"/>
      <c r="AS456" s="296">
        <f t="shared" si="104"/>
        <v>65000</v>
      </c>
      <c r="AT456" s="297">
        <f t="shared" si="105"/>
        <v>-65000</v>
      </c>
      <c r="AU456" s="297">
        <f t="shared" si="102"/>
        <v>-65000</v>
      </c>
      <c r="AV456" s="297">
        <f t="shared" si="103"/>
        <v>0</v>
      </c>
      <c r="AW456" s="297">
        <f t="shared" si="106"/>
        <v>-32500</v>
      </c>
      <c r="AX456" s="297">
        <f t="shared" si="107"/>
        <v>-29250</v>
      </c>
      <c r="AY456" s="298">
        <v>50000</v>
      </c>
      <c r="AZ456" s="298"/>
      <c r="BA456" s="297">
        <f t="shared" si="108"/>
        <v>-79250</v>
      </c>
      <c r="BB456" s="278"/>
      <c r="BC456" s="255"/>
      <c r="BD456" s="255"/>
    </row>
    <row r="457" spans="1:56" s="256" customFormat="1" ht="20" hidden="1" customHeight="1">
      <c r="A457" s="260">
        <v>457</v>
      </c>
      <c r="B457" s="277"/>
      <c r="C457" s="278"/>
      <c r="D457" s="278"/>
      <c r="E457" s="278"/>
      <c r="F457" s="278"/>
      <c r="G457" s="279" t="e">
        <f>"YB"&amp;RIGHT(#REF!,6)</f>
        <v>#REF!</v>
      </c>
      <c r="H457" s="280"/>
      <c r="I457" s="280"/>
      <c r="J457" s="281">
        <f t="shared" si="100"/>
        <v>0</v>
      </c>
      <c r="K457" s="282"/>
      <c r="L457" s="282"/>
      <c r="M457" s="339"/>
      <c r="N457" s="278"/>
      <c r="O457" s="278"/>
      <c r="P457" s="283"/>
      <c r="Q457" s="278"/>
      <c r="R457" s="284"/>
      <c r="S457" s="282"/>
      <c r="T457" s="285"/>
      <c r="U457" s="286"/>
      <c r="V457" s="287"/>
      <c r="W457" s="288"/>
      <c r="X457" s="286"/>
      <c r="Y457" s="289"/>
      <c r="Z457" s="289"/>
      <c r="AA457" s="290">
        <f t="shared" si="99"/>
        <v>0</v>
      </c>
      <c r="AB457" s="291">
        <f t="shared" si="98"/>
        <v>0</v>
      </c>
      <c r="AC457" s="292">
        <f t="shared" si="101"/>
        <v>0</v>
      </c>
      <c r="AD457" s="293"/>
      <c r="AE457" s="293"/>
      <c r="AF457" s="294"/>
      <c r="AG457" s="291"/>
      <c r="AH457" s="295"/>
      <c r="AI457" s="291"/>
      <c r="AJ457" s="295"/>
      <c r="AK457" s="291"/>
      <c r="AL457" s="291"/>
      <c r="AM457" s="291"/>
      <c r="AN457" s="296">
        <v>35000</v>
      </c>
      <c r="AO457" s="296">
        <v>30000</v>
      </c>
      <c r="AP457" s="296"/>
      <c r="AQ457" s="296"/>
      <c r="AR457" s="296"/>
      <c r="AS457" s="296">
        <f t="shared" si="104"/>
        <v>65000</v>
      </c>
      <c r="AT457" s="297">
        <f t="shared" si="105"/>
        <v>-65000</v>
      </c>
      <c r="AU457" s="297">
        <f t="shared" si="102"/>
        <v>-65000</v>
      </c>
      <c r="AV457" s="297">
        <f t="shared" si="103"/>
        <v>0</v>
      </c>
      <c r="AW457" s="297">
        <f t="shared" si="106"/>
        <v>-32500</v>
      </c>
      <c r="AX457" s="297">
        <f t="shared" si="107"/>
        <v>-29250</v>
      </c>
      <c r="AY457" s="298">
        <v>50000</v>
      </c>
      <c r="AZ457" s="298"/>
      <c r="BA457" s="297">
        <f t="shared" si="108"/>
        <v>-79250</v>
      </c>
      <c r="BB457" s="278"/>
      <c r="BC457" s="255"/>
      <c r="BD457" s="255"/>
    </row>
    <row r="458" spans="1:56" s="256" customFormat="1" ht="20" hidden="1" customHeight="1">
      <c r="A458" s="260">
        <v>458</v>
      </c>
      <c r="B458" s="277"/>
      <c r="C458" s="278"/>
      <c r="D458" s="278"/>
      <c r="E458" s="278"/>
      <c r="F458" s="278"/>
      <c r="G458" s="279" t="e">
        <f>"YB"&amp;RIGHT(#REF!,6)</f>
        <v>#REF!</v>
      </c>
      <c r="H458" s="280"/>
      <c r="I458" s="280"/>
      <c r="J458" s="281">
        <f t="shared" si="100"/>
        <v>0</v>
      </c>
      <c r="K458" s="282"/>
      <c r="L458" s="282"/>
      <c r="M458" s="339"/>
      <c r="N458" s="278"/>
      <c r="O458" s="278"/>
      <c r="P458" s="283"/>
      <c r="Q458" s="278"/>
      <c r="R458" s="284"/>
      <c r="S458" s="282"/>
      <c r="T458" s="285"/>
      <c r="U458" s="286"/>
      <c r="V458" s="287"/>
      <c r="W458" s="288"/>
      <c r="X458" s="286"/>
      <c r="Y458" s="289"/>
      <c r="Z458" s="289"/>
      <c r="AA458" s="290">
        <f t="shared" si="99"/>
        <v>0</v>
      </c>
      <c r="AB458" s="291">
        <f t="shared" si="98"/>
        <v>0</v>
      </c>
      <c r="AC458" s="292">
        <f t="shared" si="101"/>
        <v>0</v>
      </c>
      <c r="AD458" s="293"/>
      <c r="AE458" s="293"/>
      <c r="AF458" s="294"/>
      <c r="AG458" s="291"/>
      <c r="AH458" s="295"/>
      <c r="AI458" s="291"/>
      <c r="AJ458" s="295"/>
      <c r="AK458" s="291"/>
      <c r="AL458" s="291"/>
      <c r="AM458" s="291"/>
      <c r="AN458" s="296">
        <v>35000</v>
      </c>
      <c r="AO458" s="296">
        <v>30000</v>
      </c>
      <c r="AP458" s="296"/>
      <c r="AQ458" s="296"/>
      <c r="AR458" s="296"/>
      <c r="AS458" s="296">
        <f t="shared" si="104"/>
        <v>65000</v>
      </c>
      <c r="AT458" s="297">
        <f t="shared" si="105"/>
        <v>-65000</v>
      </c>
      <c r="AU458" s="297">
        <f t="shared" si="102"/>
        <v>-65000</v>
      </c>
      <c r="AV458" s="297">
        <f t="shared" si="103"/>
        <v>0</v>
      </c>
      <c r="AW458" s="297">
        <f t="shared" si="106"/>
        <v>-32500</v>
      </c>
      <c r="AX458" s="297">
        <f t="shared" si="107"/>
        <v>-29250</v>
      </c>
      <c r="AY458" s="298">
        <v>50000</v>
      </c>
      <c r="AZ458" s="298"/>
      <c r="BA458" s="297">
        <f t="shared" si="108"/>
        <v>-79250</v>
      </c>
      <c r="BB458" s="278"/>
      <c r="BC458" s="255"/>
      <c r="BD458" s="255"/>
    </row>
    <row r="459" spans="1:56" s="256" customFormat="1" ht="20" hidden="1" customHeight="1">
      <c r="A459" s="260">
        <v>459</v>
      </c>
      <c r="B459" s="277"/>
      <c r="C459" s="278"/>
      <c r="D459" s="278"/>
      <c r="E459" s="278"/>
      <c r="F459" s="278"/>
      <c r="G459" s="279" t="e">
        <f>"YB"&amp;RIGHT(#REF!,6)</f>
        <v>#REF!</v>
      </c>
      <c r="H459" s="280"/>
      <c r="I459" s="280"/>
      <c r="J459" s="281">
        <f t="shared" si="100"/>
        <v>0</v>
      </c>
      <c r="K459" s="282"/>
      <c r="L459" s="282"/>
      <c r="M459" s="339"/>
      <c r="N459" s="278"/>
      <c r="O459" s="278"/>
      <c r="P459" s="283"/>
      <c r="Q459" s="278"/>
      <c r="R459" s="284"/>
      <c r="S459" s="282"/>
      <c r="T459" s="285"/>
      <c r="U459" s="286"/>
      <c r="V459" s="287"/>
      <c r="W459" s="288"/>
      <c r="X459" s="286"/>
      <c r="Y459" s="289"/>
      <c r="Z459" s="289"/>
      <c r="AA459" s="290">
        <f t="shared" si="99"/>
        <v>0</v>
      </c>
      <c r="AB459" s="291">
        <f t="shared" si="98"/>
        <v>0</v>
      </c>
      <c r="AC459" s="292">
        <f t="shared" si="101"/>
        <v>0</v>
      </c>
      <c r="AD459" s="293"/>
      <c r="AE459" s="293"/>
      <c r="AF459" s="294"/>
      <c r="AG459" s="291"/>
      <c r="AH459" s="295"/>
      <c r="AI459" s="291"/>
      <c r="AJ459" s="295"/>
      <c r="AK459" s="291"/>
      <c r="AL459" s="291"/>
      <c r="AM459" s="291"/>
      <c r="AN459" s="296">
        <v>35000</v>
      </c>
      <c r="AO459" s="296">
        <v>30000</v>
      </c>
      <c r="AP459" s="296"/>
      <c r="AQ459" s="296"/>
      <c r="AR459" s="296"/>
      <c r="AS459" s="296">
        <f t="shared" si="104"/>
        <v>65000</v>
      </c>
      <c r="AT459" s="297">
        <f t="shared" si="105"/>
        <v>-65000</v>
      </c>
      <c r="AU459" s="297">
        <f t="shared" si="102"/>
        <v>-65000</v>
      </c>
      <c r="AV459" s="297">
        <f t="shared" si="103"/>
        <v>0</v>
      </c>
      <c r="AW459" s="297">
        <f t="shared" si="106"/>
        <v>-32500</v>
      </c>
      <c r="AX459" s="297">
        <f t="shared" si="107"/>
        <v>-29250</v>
      </c>
      <c r="AY459" s="298">
        <v>50000</v>
      </c>
      <c r="AZ459" s="298"/>
      <c r="BA459" s="297">
        <f t="shared" si="108"/>
        <v>-79250</v>
      </c>
      <c r="BB459" s="278"/>
      <c r="BC459" s="255"/>
      <c r="BD459" s="255"/>
    </row>
    <row r="460" spans="1:56" s="256" customFormat="1" ht="20" hidden="1" customHeight="1">
      <c r="A460" s="260">
        <v>460</v>
      </c>
      <c r="B460" s="277"/>
      <c r="C460" s="278"/>
      <c r="D460" s="278"/>
      <c r="E460" s="278"/>
      <c r="F460" s="278"/>
      <c r="G460" s="279" t="e">
        <f>"YB"&amp;RIGHT(#REF!,6)</f>
        <v>#REF!</v>
      </c>
      <c r="H460" s="280"/>
      <c r="I460" s="280"/>
      <c r="J460" s="281">
        <f t="shared" si="100"/>
        <v>0</v>
      </c>
      <c r="K460" s="282"/>
      <c r="L460" s="282"/>
      <c r="M460" s="339"/>
      <c r="N460" s="278"/>
      <c r="O460" s="278"/>
      <c r="P460" s="283"/>
      <c r="Q460" s="278"/>
      <c r="R460" s="284"/>
      <c r="S460" s="282"/>
      <c r="T460" s="285"/>
      <c r="U460" s="286"/>
      <c r="V460" s="287"/>
      <c r="W460" s="288"/>
      <c r="X460" s="286"/>
      <c r="Y460" s="289"/>
      <c r="Z460" s="289"/>
      <c r="AA460" s="290">
        <f t="shared" si="99"/>
        <v>0</v>
      </c>
      <c r="AB460" s="291">
        <f t="shared" si="98"/>
        <v>0</v>
      </c>
      <c r="AC460" s="292">
        <f t="shared" si="101"/>
        <v>0</v>
      </c>
      <c r="AD460" s="293"/>
      <c r="AE460" s="293"/>
      <c r="AF460" s="294"/>
      <c r="AG460" s="291"/>
      <c r="AH460" s="295"/>
      <c r="AI460" s="291"/>
      <c r="AJ460" s="295"/>
      <c r="AK460" s="291"/>
      <c r="AL460" s="291"/>
      <c r="AM460" s="291"/>
      <c r="AN460" s="296">
        <v>35000</v>
      </c>
      <c r="AO460" s="296">
        <v>30000</v>
      </c>
      <c r="AP460" s="296"/>
      <c r="AQ460" s="296"/>
      <c r="AR460" s="296"/>
      <c r="AS460" s="296">
        <f t="shared" si="104"/>
        <v>65000</v>
      </c>
      <c r="AT460" s="297">
        <f t="shared" si="105"/>
        <v>-65000</v>
      </c>
      <c r="AU460" s="297">
        <f t="shared" si="102"/>
        <v>-65000</v>
      </c>
      <c r="AV460" s="297">
        <f t="shared" si="103"/>
        <v>0</v>
      </c>
      <c r="AW460" s="297">
        <f t="shared" si="106"/>
        <v>-32500</v>
      </c>
      <c r="AX460" s="297">
        <f t="shared" si="107"/>
        <v>-29250</v>
      </c>
      <c r="AY460" s="298">
        <v>50000</v>
      </c>
      <c r="AZ460" s="298"/>
      <c r="BA460" s="297">
        <f t="shared" si="108"/>
        <v>-79250</v>
      </c>
      <c r="BB460" s="278"/>
      <c r="BC460" s="255"/>
      <c r="BD460" s="255"/>
    </row>
    <row r="461" spans="1:56" s="256" customFormat="1" ht="20" hidden="1" customHeight="1">
      <c r="A461" s="260">
        <v>461</v>
      </c>
      <c r="B461" s="277"/>
      <c r="C461" s="278"/>
      <c r="D461" s="278"/>
      <c r="E461" s="278"/>
      <c r="F461" s="278"/>
      <c r="G461" s="279" t="e">
        <f>"YB"&amp;RIGHT(#REF!,6)</f>
        <v>#REF!</v>
      </c>
      <c r="H461" s="280"/>
      <c r="I461" s="280"/>
      <c r="J461" s="281">
        <f t="shared" si="100"/>
        <v>0</v>
      </c>
      <c r="K461" s="282"/>
      <c r="L461" s="282"/>
      <c r="M461" s="339"/>
      <c r="N461" s="278"/>
      <c r="O461" s="278"/>
      <c r="P461" s="283"/>
      <c r="Q461" s="278"/>
      <c r="R461" s="284"/>
      <c r="S461" s="282"/>
      <c r="T461" s="285"/>
      <c r="U461" s="286"/>
      <c r="V461" s="287"/>
      <c r="W461" s="288"/>
      <c r="X461" s="286"/>
      <c r="Y461" s="289"/>
      <c r="Z461" s="289"/>
      <c r="AA461" s="290">
        <f t="shared" si="99"/>
        <v>0</v>
      </c>
      <c r="AB461" s="291">
        <f t="shared" si="98"/>
        <v>0</v>
      </c>
      <c r="AC461" s="292">
        <f t="shared" si="101"/>
        <v>0</v>
      </c>
      <c r="AD461" s="293"/>
      <c r="AE461" s="293"/>
      <c r="AF461" s="294"/>
      <c r="AG461" s="291"/>
      <c r="AH461" s="295"/>
      <c r="AI461" s="291"/>
      <c r="AJ461" s="295"/>
      <c r="AK461" s="291"/>
      <c r="AL461" s="291"/>
      <c r="AM461" s="291"/>
      <c r="AN461" s="296">
        <v>35000</v>
      </c>
      <c r="AO461" s="296">
        <v>30000</v>
      </c>
      <c r="AP461" s="296"/>
      <c r="AQ461" s="296"/>
      <c r="AR461" s="296"/>
      <c r="AS461" s="296">
        <f t="shared" si="104"/>
        <v>65000</v>
      </c>
      <c r="AT461" s="297">
        <f t="shared" si="105"/>
        <v>-65000</v>
      </c>
      <c r="AU461" s="297">
        <f t="shared" si="102"/>
        <v>-65000</v>
      </c>
      <c r="AV461" s="297">
        <f t="shared" si="103"/>
        <v>0</v>
      </c>
      <c r="AW461" s="297">
        <f t="shared" si="106"/>
        <v>-32500</v>
      </c>
      <c r="AX461" s="297">
        <f t="shared" si="107"/>
        <v>-29250</v>
      </c>
      <c r="AY461" s="298">
        <v>50000</v>
      </c>
      <c r="AZ461" s="298"/>
      <c r="BA461" s="297">
        <f t="shared" si="108"/>
        <v>-79250</v>
      </c>
      <c r="BB461" s="278"/>
      <c r="BC461" s="255"/>
      <c r="BD461" s="255"/>
    </row>
    <row r="462" spans="1:56" s="256" customFormat="1" ht="20" hidden="1" customHeight="1">
      <c r="A462" s="260">
        <v>462</v>
      </c>
      <c r="B462" s="277"/>
      <c r="C462" s="278"/>
      <c r="D462" s="278"/>
      <c r="E462" s="278"/>
      <c r="F462" s="278"/>
      <c r="G462" s="279" t="e">
        <f>"YB"&amp;RIGHT(#REF!,6)</f>
        <v>#REF!</v>
      </c>
      <c r="H462" s="280"/>
      <c r="I462" s="280"/>
      <c r="J462" s="281">
        <f t="shared" si="100"/>
        <v>0</v>
      </c>
      <c r="K462" s="282"/>
      <c r="L462" s="282"/>
      <c r="M462" s="339"/>
      <c r="N462" s="278"/>
      <c r="O462" s="278"/>
      <c r="P462" s="283"/>
      <c r="Q462" s="278"/>
      <c r="R462" s="284"/>
      <c r="S462" s="282"/>
      <c r="T462" s="285"/>
      <c r="U462" s="286"/>
      <c r="V462" s="287"/>
      <c r="W462" s="288"/>
      <c r="X462" s="286"/>
      <c r="Y462" s="289"/>
      <c r="Z462" s="289"/>
      <c r="AA462" s="290">
        <f t="shared" si="99"/>
        <v>0</v>
      </c>
      <c r="AB462" s="291">
        <f t="shared" si="98"/>
        <v>0</v>
      </c>
      <c r="AC462" s="292">
        <f t="shared" si="101"/>
        <v>0</v>
      </c>
      <c r="AD462" s="293"/>
      <c r="AE462" s="293"/>
      <c r="AF462" s="294"/>
      <c r="AG462" s="291"/>
      <c r="AH462" s="295"/>
      <c r="AI462" s="291"/>
      <c r="AJ462" s="295"/>
      <c r="AK462" s="291"/>
      <c r="AL462" s="291"/>
      <c r="AM462" s="291"/>
      <c r="AN462" s="296">
        <v>35000</v>
      </c>
      <c r="AO462" s="296">
        <v>30000</v>
      </c>
      <c r="AP462" s="296"/>
      <c r="AQ462" s="296"/>
      <c r="AR462" s="296"/>
      <c r="AS462" s="296">
        <f t="shared" si="104"/>
        <v>65000</v>
      </c>
      <c r="AT462" s="297">
        <f t="shared" si="105"/>
        <v>-65000</v>
      </c>
      <c r="AU462" s="297">
        <f t="shared" si="102"/>
        <v>-65000</v>
      </c>
      <c r="AV462" s="297">
        <f t="shared" si="103"/>
        <v>0</v>
      </c>
      <c r="AW462" s="297">
        <f t="shared" si="106"/>
        <v>-32500</v>
      </c>
      <c r="AX462" s="297">
        <f t="shared" si="107"/>
        <v>-29250</v>
      </c>
      <c r="AY462" s="298">
        <v>50000</v>
      </c>
      <c r="AZ462" s="298"/>
      <c r="BA462" s="297">
        <f t="shared" si="108"/>
        <v>-79250</v>
      </c>
      <c r="BB462" s="278"/>
      <c r="BC462" s="255"/>
      <c r="BD462" s="255"/>
    </row>
    <row r="463" spans="1:56" s="256" customFormat="1" ht="20" hidden="1" customHeight="1">
      <c r="A463" s="260">
        <v>463</v>
      </c>
      <c r="B463" s="277"/>
      <c r="C463" s="278"/>
      <c r="D463" s="278"/>
      <c r="E463" s="278"/>
      <c r="F463" s="278"/>
      <c r="G463" s="279" t="e">
        <f>"YB"&amp;RIGHT(#REF!,6)</f>
        <v>#REF!</v>
      </c>
      <c r="H463" s="280"/>
      <c r="I463" s="280"/>
      <c r="J463" s="281">
        <f t="shared" si="100"/>
        <v>0</v>
      </c>
      <c r="K463" s="282"/>
      <c r="L463" s="282"/>
      <c r="M463" s="339"/>
      <c r="N463" s="278"/>
      <c r="O463" s="278"/>
      <c r="P463" s="283"/>
      <c r="Q463" s="278"/>
      <c r="R463" s="284"/>
      <c r="S463" s="282"/>
      <c r="T463" s="285"/>
      <c r="U463" s="286"/>
      <c r="V463" s="287"/>
      <c r="W463" s="288"/>
      <c r="X463" s="286"/>
      <c r="Y463" s="289"/>
      <c r="Z463" s="289"/>
      <c r="AA463" s="290">
        <f t="shared" si="99"/>
        <v>0</v>
      </c>
      <c r="AB463" s="291">
        <f t="shared" si="98"/>
        <v>0</v>
      </c>
      <c r="AC463" s="292">
        <f t="shared" si="101"/>
        <v>0</v>
      </c>
      <c r="AD463" s="293"/>
      <c r="AE463" s="293"/>
      <c r="AF463" s="294"/>
      <c r="AG463" s="291"/>
      <c r="AH463" s="295"/>
      <c r="AI463" s="291"/>
      <c r="AJ463" s="295"/>
      <c r="AK463" s="291"/>
      <c r="AL463" s="291"/>
      <c r="AM463" s="291"/>
      <c r="AN463" s="296">
        <v>35000</v>
      </c>
      <c r="AO463" s="296">
        <v>30000</v>
      </c>
      <c r="AP463" s="296"/>
      <c r="AQ463" s="296"/>
      <c r="AR463" s="296"/>
      <c r="AS463" s="296">
        <f t="shared" si="104"/>
        <v>65000</v>
      </c>
      <c r="AT463" s="297">
        <f t="shared" si="105"/>
        <v>-65000</v>
      </c>
      <c r="AU463" s="297">
        <f t="shared" si="102"/>
        <v>-65000</v>
      </c>
      <c r="AV463" s="297">
        <f t="shared" si="103"/>
        <v>0</v>
      </c>
      <c r="AW463" s="297">
        <f t="shared" si="106"/>
        <v>-32500</v>
      </c>
      <c r="AX463" s="297">
        <f t="shared" si="107"/>
        <v>-29250</v>
      </c>
      <c r="AY463" s="298">
        <v>50000</v>
      </c>
      <c r="AZ463" s="298"/>
      <c r="BA463" s="297">
        <f t="shared" si="108"/>
        <v>-79250</v>
      </c>
      <c r="BB463" s="278"/>
      <c r="BC463" s="255"/>
      <c r="BD463" s="255"/>
    </row>
    <row r="464" spans="1:56" s="256" customFormat="1" ht="20" hidden="1" customHeight="1">
      <c r="A464" s="260">
        <v>464</v>
      </c>
      <c r="B464" s="277"/>
      <c r="C464" s="278"/>
      <c r="D464" s="278"/>
      <c r="E464" s="278"/>
      <c r="F464" s="278"/>
      <c r="G464" s="279" t="e">
        <f>"YB"&amp;RIGHT(#REF!,6)</f>
        <v>#REF!</v>
      </c>
      <c r="H464" s="280"/>
      <c r="I464" s="280"/>
      <c r="J464" s="281">
        <f t="shared" si="100"/>
        <v>0</v>
      </c>
      <c r="K464" s="282"/>
      <c r="L464" s="282"/>
      <c r="M464" s="339"/>
      <c r="N464" s="278"/>
      <c r="O464" s="278"/>
      <c r="P464" s="283"/>
      <c r="Q464" s="278"/>
      <c r="R464" s="284"/>
      <c r="S464" s="282"/>
      <c r="T464" s="285"/>
      <c r="U464" s="286"/>
      <c r="V464" s="287"/>
      <c r="W464" s="288"/>
      <c r="X464" s="286"/>
      <c r="Y464" s="289"/>
      <c r="Z464" s="289"/>
      <c r="AA464" s="290">
        <f t="shared" si="99"/>
        <v>0</v>
      </c>
      <c r="AB464" s="291">
        <f t="shared" si="98"/>
        <v>0</v>
      </c>
      <c r="AC464" s="292">
        <f t="shared" si="101"/>
        <v>0</v>
      </c>
      <c r="AD464" s="293"/>
      <c r="AE464" s="293"/>
      <c r="AF464" s="294"/>
      <c r="AG464" s="291"/>
      <c r="AH464" s="295"/>
      <c r="AI464" s="291"/>
      <c r="AJ464" s="295"/>
      <c r="AK464" s="291"/>
      <c r="AL464" s="291"/>
      <c r="AM464" s="291"/>
      <c r="AN464" s="296">
        <v>35000</v>
      </c>
      <c r="AO464" s="296">
        <v>30000</v>
      </c>
      <c r="AP464" s="296"/>
      <c r="AQ464" s="296"/>
      <c r="AR464" s="296"/>
      <c r="AS464" s="296">
        <f t="shared" si="104"/>
        <v>65000</v>
      </c>
      <c r="AT464" s="297">
        <f t="shared" si="105"/>
        <v>-65000</v>
      </c>
      <c r="AU464" s="297">
        <f t="shared" si="102"/>
        <v>-65000</v>
      </c>
      <c r="AV464" s="297">
        <f t="shared" si="103"/>
        <v>0</v>
      </c>
      <c r="AW464" s="297">
        <f t="shared" si="106"/>
        <v>-32500</v>
      </c>
      <c r="AX464" s="297">
        <f t="shared" si="107"/>
        <v>-29250</v>
      </c>
      <c r="AY464" s="298">
        <v>50000</v>
      </c>
      <c r="AZ464" s="298"/>
      <c r="BA464" s="297">
        <f t="shared" si="108"/>
        <v>-79250</v>
      </c>
      <c r="BB464" s="278"/>
      <c r="BC464" s="255"/>
      <c r="BD464" s="255"/>
    </row>
    <row r="465" spans="1:56" s="256" customFormat="1" ht="20" hidden="1" customHeight="1">
      <c r="A465" s="260">
        <v>465</v>
      </c>
      <c r="B465" s="277"/>
      <c r="C465" s="278"/>
      <c r="D465" s="278"/>
      <c r="E465" s="278"/>
      <c r="F465" s="278"/>
      <c r="G465" s="279" t="e">
        <f>"YB"&amp;RIGHT(#REF!,6)</f>
        <v>#REF!</v>
      </c>
      <c r="H465" s="280"/>
      <c r="I465" s="280"/>
      <c r="J465" s="281">
        <f t="shared" si="100"/>
        <v>0</v>
      </c>
      <c r="K465" s="282"/>
      <c r="L465" s="282"/>
      <c r="M465" s="339"/>
      <c r="N465" s="278"/>
      <c r="O465" s="278"/>
      <c r="P465" s="283"/>
      <c r="Q465" s="278"/>
      <c r="R465" s="284"/>
      <c r="S465" s="282"/>
      <c r="T465" s="285"/>
      <c r="U465" s="286"/>
      <c r="V465" s="287"/>
      <c r="W465" s="288"/>
      <c r="X465" s="286"/>
      <c r="Y465" s="289"/>
      <c r="Z465" s="289"/>
      <c r="AA465" s="290">
        <f t="shared" si="99"/>
        <v>0</v>
      </c>
      <c r="AB465" s="291">
        <f t="shared" si="98"/>
        <v>0</v>
      </c>
      <c r="AC465" s="292">
        <f t="shared" si="101"/>
        <v>0</v>
      </c>
      <c r="AD465" s="293"/>
      <c r="AE465" s="293"/>
      <c r="AF465" s="294"/>
      <c r="AG465" s="291"/>
      <c r="AH465" s="295"/>
      <c r="AI465" s="291"/>
      <c r="AJ465" s="295"/>
      <c r="AK465" s="291"/>
      <c r="AL465" s="291"/>
      <c r="AM465" s="291"/>
      <c r="AN465" s="296">
        <v>35000</v>
      </c>
      <c r="AO465" s="296">
        <v>30000</v>
      </c>
      <c r="AP465" s="296"/>
      <c r="AQ465" s="296"/>
      <c r="AR465" s="296"/>
      <c r="AS465" s="296">
        <f t="shared" si="104"/>
        <v>65000</v>
      </c>
      <c r="AT465" s="297">
        <f t="shared" si="105"/>
        <v>-65000</v>
      </c>
      <c r="AU465" s="297">
        <f t="shared" si="102"/>
        <v>-65000</v>
      </c>
      <c r="AV465" s="297">
        <f t="shared" si="103"/>
        <v>0</v>
      </c>
      <c r="AW465" s="297">
        <f t="shared" si="106"/>
        <v>-32500</v>
      </c>
      <c r="AX465" s="297">
        <f t="shared" si="107"/>
        <v>-29250</v>
      </c>
      <c r="AY465" s="298">
        <v>50000</v>
      </c>
      <c r="AZ465" s="298"/>
      <c r="BA465" s="297">
        <f t="shared" si="108"/>
        <v>-79250</v>
      </c>
      <c r="BB465" s="278"/>
      <c r="BC465" s="255"/>
      <c r="BD465" s="255"/>
    </row>
    <row r="466" spans="1:56" s="256" customFormat="1" ht="20" hidden="1" customHeight="1">
      <c r="A466" s="260">
        <v>466</v>
      </c>
      <c r="B466" s="277"/>
      <c r="C466" s="278"/>
      <c r="D466" s="278"/>
      <c r="E466" s="278"/>
      <c r="F466" s="278"/>
      <c r="G466" s="279" t="e">
        <f>"YB"&amp;RIGHT(#REF!,6)</f>
        <v>#REF!</v>
      </c>
      <c r="H466" s="280"/>
      <c r="I466" s="280"/>
      <c r="J466" s="281">
        <f t="shared" si="100"/>
        <v>0</v>
      </c>
      <c r="K466" s="282"/>
      <c r="L466" s="282"/>
      <c r="M466" s="339"/>
      <c r="N466" s="278"/>
      <c r="O466" s="278"/>
      <c r="P466" s="283"/>
      <c r="Q466" s="278"/>
      <c r="R466" s="284"/>
      <c r="S466" s="282"/>
      <c r="T466" s="285"/>
      <c r="U466" s="286"/>
      <c r="V466" s="287"/>
      <c r="W466" s="288"/>
      <c r="X466" s="286"/>
      <c r="Y466" s="289"/>
      <c r="Z466" s="289"/>
      <c r="AA466" s="290">
        <f t="shared" si="99"/>
        <v>0</v>
      </c>
      <c r="AB466" s="291">
        <f t="shared" si="98"/>
        <v>0</v>
      </c>
      <c r="AC466" s="292">
        <f t="shared" si="101"/>
        <v>0</v>
      </c>
      <c r="AD466" s="293"/>
      <c r="AE466" s="293"/>
      <c r="AF466" s="294"/>
      <c r="AG466" s="291"/>
      <c r="AH466" s="295"/>
      <c r="AI466" s="291"/>
      <c r="AJ466" s="295"/>
      <c r="AK466" s="291"/>
      <c r="AL466" s="291"/>
      <c r="AM466" s="291"/>
      <c r="AN466" s="296">
        <v>35000</v>
      </c>
      <c r="AO466" s="296">
        <v>30000</v>
      </c>
      <c r="AP466" s="296"/>
      <c r="AQ466" s="296"/>
      <c r="AR466" s="296"/>
      <c r="AS466" s="296">
        <f t="shared" si="104"/>
        <v>65000</v>
      </c>
      <c r="AT466" s="297">
        <f t="shared" si="105"/>
        <v>-65000</v>
      </c>
      <c r="AU466" s="297">
        <f t="shared" si="102"/>
        <v>-65000</v>
      </c>
      <c r="AV466" s="297">
        <f t="shared" si="103"/>
        <v>0</v>
      </c>
      <c r="AW466" s="297">
        <f t="shared" si="106"/>
        <v>-32500</v>
      </c>
      <c r="AX466" s="297">
        <f t="shared" si="107"/>
        <v>-29250</v>
      </c>
      <c r="AY466" s="298">
        <v>50000</v>
      </c>
      <c r="AZ466" s="298"/>
      <c r="BA466" s="297">
        <f t="shared" si="108"/>
        <v>-79250</v>
      </c>
      <c r="BB466" s="278"/>
      <c r="BC466" s="255"/>
      <c r="BD466" s="255"/>
    </row>
    <row r="467" spans="1:56" s="256" customFormat="1" ht="20" hidden="1" customHeight="1">
      <c r="A467" s="260">
        <v>467</v>
      </c>
      <c r="B467" s="277"/>
      <c r="C467" s="278"/>
      <c r="D467" s="278"/>
      <c r="E467" s="278"/>
      <c r="F467" s="278"/>
      <c r="G467" s="279" t="e">
        <f>"YB"&amp;RIGHT(#REF!,6)</f>
        <v>#REF!</v>
      </c>
      <c r="H467" s="280"/>
      <c r="I467" s="280"/>
      <c r="J467" s="281">
        <f t="shared" si="100"/>
        <v>0</v>
      </c>
      <c r="K467" s="282"/>
      <c r="L467" s="282"/>
      <c r="M467" s="339"/>
      <c r="N467" s="278"/>
      <c r="O467" s="278"/>
      <c r="P467" s="283"/>
      <c r="Q467" s="278"/>
      <c r="R467" s="284"/>
      <c r="S467" s="282"/>
      <c r="T467" s="285"/>
      <c r="U467" s="286"/>
      <c r="V467" s="287"/>
      <c r="W467" s="288"/>
      <c r="X467" s="286"/>
      <c r="Y467" s="289"/>
      <c r="Z467" s="289"/>
      <c r="AA467" s="290">
        <f t="shared" si="99"/>
        <v>0</v>
      </c>
      <c r="AB467" s="291">
        <f t="shared" si="98"/>
        <v>0</v>
      </c>
      <c r="AC467" s="292">
        <f t="shared" si="101"/>
        <v>0</v>
      </c>
      <c r="AD467" s="293"/>
      <c r="AE467" s="293"/>
      <c r="AF467" s="294"/>
      <c r="AG467" s="291"/>
      <c r="AH467" s="295"/>
      <c r="AI467" s="291"/>
      <c r="AJ467" s="295"/>
      <c r="AK467" s="291"/>
      <c r="AL467" s="291"/>
      <c r="AM467" s="291"/>
      <c r="AN467" s="296">
        <v>35000</v>
      </c>
      <c r="AO467" s="296">
        <v>30000</v>
      </c>
      <c r="AP467" s="296"/>
      <c r="AQ467" s="296"/>
      <c r="AR467" s="296"/>
      <c r="AS467" s="296">
        <f t="shared" si="104"/>
        <v>65000</v>
      </c>
      <c r="AT467" s="297">
        <f t="shared" si="105"/>
        <v>-65000</v>
      </c>
      <c r="AU467" s="297">
        <f t="shared" si="102"/>
        <v>-65000</v>
      </c>
      <c r="AV467" s="297">
        <f t="shared" si="103"/>
        <v>0</v>
      </c>
      <c r="AW467" s="297">
        <f t="shared" si="106"/>
        <v>-32500</v>
      </c>
      <c r="AX467" s="297">
        <f t="shared" si="107"/>
        <v>-29250</v>
      </c>
      <c r="AY467" s="298">
        <v>50000</v>
      </c>
      <c r="AZ467" s="298"/>
      <c r="BA467" s="297">
        <f t="shared" si="108"/>
        <v>-79250</v>
      </c>
      <c r="BB467" s="278"/>
      <c r="BC467" s="255"/>
      <c r="BD467" s="255"/>
    </row>
    <row r="468" spans="1:56" s="256" customFormat="1" ht="20" hidden="1" customHeight="1">
      <c r="A468" s="260">
        <v>468</v>
      </c>
      <c r="B468" s="277"/>
      <c r="C468" s="278"/>
      <c r="D468" s="278"/>
      <c r="E468" s="278"/>
      <c r="F468" s="278"/>
      <c r="G468" s="279" t="e">
        <f>"YB"&amp;RIGHT(#REF!,6)</f>
        <v>#REF!</v>
      </c>
      <c r="H468" s="280"/>
      <c r="I468" s="280"/>
      <c r="J468" s="281">
        <f t="shared" si="100"/>
        <v>0</v>
      </c>
      <c r="K468" s="282"/>
      <c r="L468" s="282"/>
      <c r="M468" s="339"/>
      <c r="N468" s="278"/>
      <c r="O468" s="278"/>
      <c r="P468" s="283"/>
      <c r="Q468" s="278"/>
      <c r="R468" s="284"/>
      <c r="S468" s="282"/>
      <c r="T468" s="285"/>
      <c r="U468" s="286"/>
      <c r="V468" s="287"/>
      <c r="W468" s="288"/>
      <c r="X468" s="286"/>
      <c r="Y468" s="289"/>
      <c r="Z468" s="289"/>
      <c r="AA468" s="290">
        <f t="shared" si="99"/>
        <v>0</v>
      </c>
      <c r="AB468" s="291">
        <f t="shared" si="98"/>
        <v>0</v>
      </c>
      <c r="AC468" s="292">
        <f t="shared" si="101"/>
        <v>0</v>
      </c>
      <c r="AD468" s="293"/>
      <c r="AE468" s="293"/>
      <c r="AF468" s="294"/>
      <c r="AG468" s="291"/>
      <c r="AH468" s="295"/>
      <c r="AI468" s="291"/>
      <c r="AJ468" s="295"/>
      <c r="AK468" s="291"/>
      <c r="AL468" s="291"/>
      <c r="AM468" s="291"/>
      <c r="AN468" s="296">
        <v>35000</v>
      </c>
      <c r="AO468" s="296">
        <v>30000</v>
      </c>
      <c r="AP468" s="296"/>
      <c r="AQ468" s="296"/>
      <c r="AR468" s="296"/>
      <c r="AS468" s="296">
        <f t="shared" si="104"/>
        <v>65000</v>
      </c>
      <c r="AT468" s="297">
        <f t="shared" si="105"/>
        <v>-65000</v>
      </c>
      <c r="AU468" s="297">
        <f t="shared" si="102"/>
        <v>-65000</v>
      </c>
      <c r="AV468" s="297">
        <f t="shared" si="103"/>
        <v>0</v>
      </c>
      <c r="AW468" s="297">
        <f t="shared" si="106"/>
        <v>-32500</v>
      </c>
      <c r="AX468" s="297">
        <f t="shared" si="107"/>
        <v>-29250</v>
      </c>
      <c r="AY468" s="298">
        <v>50000</v>
      </c>
      <c r="AZ468" s="298"/>
      <c r="BA468" s="297">
        <f t="shared" si="108"/>
        <v>-79250</v>
      </c>
      <c r="BB468" s="278"/>
      <c r="BC468" s="255"/>
      <c r="BD468" s="255"/>
    </row>
    <row r="469" spans="1:56" s="256" customFormat="1" ht="20" hidden="1" customHeight="1">
      <c r="A469" s="260">
        <v>469</v>
      </c>
      <c r="B469" s="277"/>
      <c r="C469" s="278"/>
      <c r="D469" s="278"/>
      <c r="E469" s="278"/>
      <c r="F469" s="278"/>
      <c r="G469" s="279" t="e">
        <f>"YB"&amp;RIGHT(#REF!,6)</f>
        <v>#REF!</v>
      </c>
      <c r="H469" s="280"/>
      <c r="I469" s="280"/>
      <c r="J469" s="281">
        <f t="shared" si="100"/>
        <v>0</v>
      </c>
      <c r="K469" s="282"/>
      <c r="L469" s="282"/>
      <c r="M469" s="339"/>
      <c r="N469" s="278"/>
      <c r="O469" s="278"/>
      <c r="P469" s="283"/>
      <c r="Q469" s="278"/>
      <c r="R469" s="284"/>
      <c r="S469" s="282"/>
      <c r="T469" s="285"/>
      <c r="U469" s="286"/>
      <c r="V469" s="287"/>
      <c r="W469" s="288"/>
      <c r="X469" s="286"/>
      <c r="Y469" s="289"/>
      <c r="Z469" s="289"/>
      <c r="AA469" s="290">
        <f t="shared" si="99"/>
        <v>0</v>
      </c>
      <c r="AB469" s="291">
        <f t="shared" si="98"/>
        <v>0</v>
      </c>
      <c r="AC469" s="292">
        <f t="shared" si="101"/>
        <v>0</v>
      </c>
      <c r="AD469" s="293"/>
      <c r="AE469" s="293"/>
      <c r="AF469" s="294"/>
      <c r="AG469" s="291"/>
      <c r="AH469" s="295"/>
      <c r="AI469" s="291"/>
      <c r="AJ469" s="295"/>
      <c r="AK469" s="291"/>
      <c r="AL469" s="291"/>
      <c r="AM469" s="291"/>
      <c r="AN469" s="296">
        <v>35000</v>
      </c>
      <c r="AO469" s="296">
        <v>30000</v>
      </c>
      <c r="AP469" s="296"/>
      <c r="AQ469" s="296"/>
      <c r="AR469" s="296"/>
      <c r="AS469" s="296">
        <f t="shared" si="104"/>
        <v>65000</v>
      </c>
      <c r="AT469" s="297">
        <f t="shared" si="105"/>
        <v>-65000</v>
      </c>
      <c r="AU469" s="297">
        <f t="shared" si="102"/>
        <v>-65000</v>
      </c>
      <c r="AV469" s="297">
        <f t="shared" si="103"/>
        <v>0</v>
      </c>
      <c r="AW469" s="297">
        <f t="shared" si="106"/>
        <v>-32500</v>
      </c>
      <c r="AX469" s="297">
        <f t="shared" si="107"/>
        <v>-29250</v>
      </c>
      <c r="AY469" s="298">
        <v>50000</v>
      </c>
      <c r="AZ469" s="298"/>
      <c r="BA469" s="297">
        <f t="shared" si="108"/>
        <v>-79250</v>
      </c>
      <c r="BB469" s="278"/>
      <c r="BC469" s="255"/>
      <c r="BD469" s="255"/>
    </row>
    <row r="470" spans="1:56" s="256" customFormat="1" ht="20" hidden="1" customHeight="1">
      <c r="A470" s="260">
        <v>470</v>
      </c>
      <c r="B470" s="277"/>
      <c r="C470" s="278"/>
      <c r="D470" s="278"/>
      <c r="E470" s="278"/>
      <c r="F470" s="278"/>
      <c r="G470" s="279" t="e">
        <f>"YB"&amp;RIGHT(#REF!,6)</f>
        <v>#REF!</v>
      </c>
      <c r="H470" s="280"/>
      <c r="I470" s="280"/>
      <c r="J470" s="281">
        <f t="shared" si="100"/>
        <v>0</v>
      </c>
      <c r="K470" s="282"/>
      <c r="L470" s="282"/>
      <c r="M470" s="339"/>
      <c r="N470" s="278"/>
      <c r="O470" s="278"/>
      <c r="P470" s="283"/>
      <c r="Q470" s="278"/>
      <c r="R470" s="284"/>
      <c r="S470" s="282"/>
      <c r="T470" s="285"/>
      <c r="U470" s="286"/>
      <c r="V470" s="287"/>
      <c r="W470" s="288"/>
      <c r="X470" s="286"/>
      <c r="Y470" s="289"/>
      <c r="Z470" s="289"/>
      <c r="AA470" s="290">
        <f t="shared" si="99"/>
        <v>0</v>
      </c>
      <c r="AB470" s="291">
        <f t="shared" si="98"/>
        <v>0</v>
      </c>
      <c r="AC470" s="292">
        <f t="shared" si="101"/>
        <v>0</v>
      </c>
      <c r="AD470" s="293"/>
      <c r="AE470" s="293"/>
      <c r="AF470" s="294"/>
      <c r="AG470" s="291"/>
      <c r="AH470" s="295"/>
      <c r="AI470" s="291"/>
      <c r="AJ470" s="295"/>
      <c r="AK470" s="291"/>
      <c r="AL470" s="291"/>
      <c r="AM470" s="291"/>
      <c r="AN470" s="296">
        <v>35000</v>
      </c>
      <c r="AO470" s="296">
        <v>30000</v>
      </c>
      <c r="AP470" s="296"/>
      <c r="AQ470" s="296"/>
      <c r="AR470" s="296"/>
      <c r="AS470" s="296">
        <f t="shared" si="104"/>
        <v>65000</v>
      </c>
      <c r="AT470" s="297">
        <f t="shared" si="105"/>
        <v>-65000</v>
      </c>
      <c r="AU470" s="297">
        <f t="shared" si="102"/>
        <v>-65000</v>
      </c>
      <c r="AV470" s="297">
        <f t="shared" si="103"/>
        <v>0</v>
      </c>
      <c r="AW470" s="297">
        <f t="shared" si="106"/>
        <v>-32500</v>
      </c>
      <c r="AX470" s="297">
        <f t="shared" si="107"/>
        <v>-29250</v>
      </c>
      <c r="AY470" s="298">
        <v>50000</v>
      </c>
      <c r="AZ470" s="298"/>
      <c r="BA470" s="297">
        <f t="shared" si="108"/>
        <v>-79250</v>
      </c>
      <c r="BB470" s="278"/>
      <c r="BC470" s="255"/>
      <c r="BD470" s="255"/>
    </row>
    <row r="471" spans="1:56" s="256" customFormat="1" ht="20" hidden="1" customHeight="1">
      <c r="A471" s="260">
        <v>471</v>
      </c>
      <c r="B471" s="277"/>
      <c r="C471" s="278"/>
      <c r="D471" s="278"/>
      <c r="E471" s="278"/>
      <c r="F471" s="278"/>
      <c r="G471" s="279"/>
      <c r="H471" s="280"/>
      <c r="I471" s="280"/>
      <c r="J471" s="281">
        <f t="shared" si="100"/>
        <v>0</v>
      </c>
      <c r="K471" s="282"/>
      <c r="L471" s="282"/>
      <c r="M471" s="339"/>
      <c r="N471" s="278"/>
      <c r="O471" s="278"/>
      <c r="P471" s="283"/>
      <c r="Q471" s="278"/>
      <c r="R471" s="284"/>
      <c r="S471" s="282"/>
      <c r="T471" s="285"/>
      <c r="U471" s="286"/>
      <c r="V471" s="287"/>
      <c r="W471" s="288"/>
      <c r="X471" s="286"/>
      <c r="Y471" s="289"/>
      <c r="Z471" s="289"/>
      <c r="AA471" s="290">
        <f t="shared" si="99"/>
        <v>0</v>
      </c>
      <c r="AB471" s="291">
        <f t="shared" si="98"/>
        <v>0</v>
      </c>
      <c r="AC471" s="292">
        <f t="shared" si="101"/>
        <v>0</v>
      </c>
      <c r="AD471" s="293"/>
      <c r="AE471" s="293"/>
      <c r="AF471" s="294"/>
      <c r="AG471" s="291"/>
      <c r="AH471" s="295"/>
      <c r="AI471" s="291"/>
      <c r="AJ471" s="295"/>
      <c r="AK471" s="291"/>
      <c r="AL471" s="291"/>
      <c r="AM471" s="291"/>
      <c r="AN471" s="296">
        <v>35000</v>
      </c>
      <c r="AO471" s="296">
        <v>30000</v>
      </c>
      <c r="AP471" s="296"/>
      <c r="AQ471" s="296"/>
      <c r="AR471" s="296"/>
      <c r="AS471" s="296">
        <f t="shared" si="104"/>
        <v>65000</v>
      </c>
      <c r="AT471" s="297">
        <f t="shared" si="105"/>
        <v>-65000</v>
      </c>
      <c r="AU471" s="297">
        <f t="shared" si="102"/>
        <v>-65000</v>
      </c>
      <c r="AV471" s="297">
        <f t="shared" si="103"/>
        <v>0</v>
      </c>
      <c r="AW471" s="297">
        <f t="shared" si="106"/>
        <v>-32500</v>
      </c>
      <c r="AX471" s="297">
        <f t="shared" si="107"/>
        <v>-29250</v>
      </c>
      <c r="AY471" s="298">
        <v>50000</v>
      </c>
      <c r="AZ471" s="298"/>
      <c r="BA471" s="297">
        <f t="shared" si="108"/>
        <v>-79250</v>
      </c>
      <c r="BB471" s="278"/>
      <c r="BC471" s="255"/>
      <c r="BD471" s="255"/>
    </row>
    <row r="472" spans="1:56" s="256" customFormat="1" ht="20" hidden="1" customHeight="1">
      <c r="A472" s="260">
        <v>472</v>
      </c>
      <c r="B472" s="277"/>
      <c r="C472" s="278"/>
      <c r="D472" s="278"/>
      <c r="E472" s="278"/>
      <c r="F472" s="278"/>
      <c r="G472" s="279"/>
      <c r="H472" s="280"/>
      <c r="I472" s="280"/>
      <c r="J472" s="281">
        <f t="shared" si="100"/>
        <v>0</v>
      </c>
      <c r="K472" s="282"/>
      <c r="L472" s="282"/>
      <c r="M472" s="339"/>
      <c r="N472" s="278"/>
      <c r="O472" s="278"/>
      <c r="P472" s="283"/>
      <c r="Q472" s="278"/>
      <c r="R472" s="284"/>
      <c r="S472" s="282"/>
      <c r="T472" s="285"/>
      <c r="U472" s="286"/>
      <c r="V472" s="287"/>
      <c r="W472" s="288"/>
      <c r="X472" s="286"/>
      <c r="Y472" s="289"/>
      <c r="Z472" s="289"/>
      <c r="AA472" s="290">
        <f t="shared" si="99"/>
        <v>0</v>
      </c>
      <c r="AB472" s="291">
        <f t="shared" si="98"/>
        <v>0</v>
      </c>
      <c r="AC472" s="292">
        <f t="shared" si="101"/>
        <v>0</v>
      </c>
      <c r="AD472" s="293"/>
      <c r="AE472" s="293"/>
      <c r="AF472" s="294"/>
      <c r="AG472" s="291"/>
      <c r="AH472" s="295"/>
      <c r="AI472" s="291"/>
      <c r="AJ472" s="295"/>
      <c r="AK472" s="291"/>
      <c r="AL472" s="291"/>
      <c r="AM472" s="291"/>
      <c r="AN472" s="296">
        <v>35000</v>
      </c>
      <c r="AO472" s="296">
        <v>30000</v>
      </c>
      <c r="AP472" s="296"/>
      <c r="AQ472" s="296"/>
      <c r="AR472" s="296"/>
      <c r="AS472" s="296">
        <f t="shared" si="104"/>
        <v>65000</v>
      </c>
      <c r="AT472" s="297">
        <f t="shared" si="105"/>
        <v>-65000</v>
      </c>
      <c r="AU472" s="297">
        <f t="shared" si="102"/>
        <v>-65000</v>
      </c>
      <c r="AV472" s="297">
        <f t="shared" si="103"/>
        <v>0</v>
      </c>
      <c r="AW472" s="297">
        <f t="shared" si="106"/>
        <v>-32500</v>
      </c>
      <c r="AX472" s="297">
        <f t="shared" si="107"/>
        <v>-29250</v>
      </c>
      <c r="AY472" s="298">
        <v>50000</v>
      </c>
      <c r="AZ472" s="298"/>
      <c r="BA472" s="297">
        <f t="shared" si="108"/>
        <v>-79250</v>
      </c>
      <c r="BB472" s="278"/>
      <c r="BC472" s="255"/>
      <c r="BD472" s="255"/>
    </row>
    <row r="473" spans="1:56" s="256" customFormat="1" ht="20" hidden="1" customHeight="1">
      <c r="A473" s="260">
        <v>473</v>
      </c>
      <c r="B473" s="323"/>
      <c r="C473" s="323"/>
      <c r="D473" s="323"/>
      <c r="E473" s="323"/>
      <c r="F473" s="323"/>
      <c r="G473" s="323"/>
      <c r="H473" s="323"/>
      <c r="I473" s="323"/>
      <c r="J473" s="323"/>
      <c r="K473" s="323"/>
      <c r="L473" s="323"/>
      <c r="M473" s="340"/>
      <c r="N473" s="278"/>
      <c r="O473" s="278"/>
      <c r="P473" s="283"/>
      <c r="Q473" s="278"/>
      <c r="R473" s="284"/>
      <c r="S473" s="282"/>
      <c r="T473" s="285"/>
      <c r="U473" s="286"/>
      <c r="V473" s="287"/>
      <c r="W473" s="288"/>
      <c r="X473" s="286"/>
      <c r="Y473" s="289"/>
      <c r="Z473" s="289"/>
      <c r="AA473" s="290"/>
      <c r="AB473" s="291"/>
      <c r="AC473" s="292"/>
      <c r="AD473" s="293"/>
      <c r="AE473" s="293"/>
      <c r="AF473" s="294"/>
      <c r="AG473" s="291"/>
      <c r="AH473" s="295"/>
      <c r="AI473" s="291"/>
      <c r="AJ473" s="295"/>
      <c r="AK473" s="291"/>
      <c r="AL473" s="291"/>
      <c r="AM473" s="291"/>
      <c r="AN473" s="296"/>
      <c r="AO473" s="296"/>
      <c r="AP473" s="296"/>
      <c r="AQ473" s="296"/>
      <c r="AR473" s="296"/>
      <c r="AS473" s="296"/>
      <c r="AT473" s="297"/>
      <c r="AU473" s="297">
        <f t="shared" si="102"/>
        <v>0</v>
      </c>
      <c r="AV473" s="297">
        <f t="shared" si="103"/>
        <v>0</v>
      </c>
      <c r="AW473" s="297"/>
      <c r="AX473" s="297"/>
      <c r="AY473" s="298"/>
      <c r="AZ473" s="298"/>
      <c r="BA473" s="297"/>
      <c r="BB473" s="323"/>
    </row>
    <row r="474" spans="1:56" s="256" customFormat="1" ht="20" hidden="1" customHeight="1">
      <c r="A474" s="260">
        <v>474</v>
      </c>
      <c r="B474" s="323"/>
      <c r="C474" s="323"/>
      <c r="D474" s="323"/>
      <c r="E474" s="323"/>
      <c r="F474" s="323"/>
      <c r="G474" s="323"/>
      <c r="H474" s="323"/>
      <c r="I474" s="323"/>
      <c r="J474" s="323"/>
      <c r="K474" s="323"/>
      <c r="L474" s="323"/>
      <c r="M474" s="340"/>
      <c r="N474" s="278"/>
      <c r="O474" s="278"/>
      <c r="P474" s="283"/>
      <c r="Q474" s="278"/>
      <c r="R474" s="284"/>
      <c r="S474" s="282"/>
      <c r="T474" s="285"/>
      <c r="U474" s="286"/>
      <c r="V474" s="287"/>
      <c r="W474" s="288"/>
      <c r="X474" s="286"/>
      <c r="Y474" s="289"/>
      <c r="Z474" s="289"/>
      <c r="AA474" s="290"/>
      <c r="AB474" s="291"/>
      <c r="AC474" s="292"/>
      <c r="AD474" s="293"/>
      <c r="AE474" s="293"/>
      <c r="AF474" s="294"/>
      <c r="AG474" s="291"/>
      <c r="AH474" s="295"/>
      <c r="AI474" s="291"/>
      <c r="AJ474" s="295"/>
      <c r="AK474" s="291"/>
      <c r="AL474" s="291"/>
      <c r="AM474" s="291"/>
      <c r="AN474" s="296"/>
      <c r="AO474" s="296"/>
      <c r="AP474" s="296"/>
      <c r="AQ474" s="296"/>
      <c r="AR474" s="296"/>
      <c r="AS474" s="296"/>
      <c r="AT474" s="297"/>
      <c r="AU474" s="297">
        <f t="shared" si="102"/>
        <v>0</v>
      </c>
      <c r="AV474" s="297">
        <f t="shared" si="103"/>
        <v>0</v>
      </c>
      <c r="AW474" s="297"/>
      <c r="AX474" s="297"/>
      <c r="AY474" s="298"/>
      <c r="AZ474" s="298"/>
      <c r="BA474" s="297"/>
      <c r="BB474" s="323"/>
    </row>
    <row r="475" spans="1:56" s="256" customFormat="1" ht="20" hidden="1" customHeight="1">
      <c r="A475" s="260">
        <v>475</v>
      </c>
      <c r="B475" s="323"/>
      <c r="C475" s="323"/>
      <c r="D475" s="323"/>
      <c r="E475" s="323"/>
      <c r="F475" s="323"/>
      <c r="G475" s="323"/>
      <c r="H475" s="323"/>
      <c r="I475" s="323"/>
      <c r="J475" s="323"/>
      <c r="K475" s="323"/>
      <c r="L475" s="323"/>
      <c r="M475" s="340"/>
      <c r="N475" s="278"/>
      <c r="O475" s="278"/>
      <c r="P475" s="283"/>
      <c r="Q475" s="278"/>
      <c r="R475" s="284"/>
      <c r="S475" s="282"/>
      <c r="T475" s="285"/>
      <c r="U475" s="286"/>
      <c r="V475" s="287"/>
      <c r="W475" s="288"/>
      <c r="X475" s="286"/>
      <c r="Y475" s="289"/>
      <c r="Z475" s="289"/>
      <c r="AA475" s="290"/>
      <c r="AB475" s="291"/>
      <c r="AC475" s="292"/>
      <c r="AD475" s="293"/>
      <c r="AE475" s="293"/>
      <c r="AF475" s="294"/>
      <c r="AG475" s="291"/>
      <c r="AH475" s="295"/>
      <c r="AI475" s="291"/>
      <c r="AJ475" s="295"/>
      <c r="AK475" s="291"/>
      <c r="AL475" s="291"/>
      <c r="AM475" s="291"/>
      <c r="AN475" s="296"/>
      <c r="AO475" s="296"/>
      <c r="AP475" s="296"/>
      <c r="AQ475" s="296"/>
      <c r="AR475" s="296"/>
      <c r="AS475" s="296"/>
      <c r="AT475" s="297"/>
      <c r="AU475" s="297">
        <f t="shared" si="102"/>
        <v>0</v>
      </c>
      <c r="AV475" s="297">
        <f t="shared" si="103"/>
        <v>0</v>
      </c>
      <c r="AW475" s="297"/>
      <c r="AX475" s="297"/>
      <c r="AY475" s="298"/>
      <c r="AZ475" s="298"/>
      <c r="BA475" s="297"/>
      <c r="BB475" s="323"/>
    </row>
    <row r="476" spans="1:56" s="256" customFormat="1" ht="20" hidden="1" customHeight="1">
      <c r="A476" s="260">
        <v>476</v>
      </c>
      <c r="B476" s="323"/>
      <c r="C476" s="323"/>
      <c r="D476" s="323"/>
      <c r="E476" s="323"/>
      <c r="F476" s="323"/>
      <c r="G476" s="323"/>
      <c r="H476" s="323"/>
      <c r="I476" s="323"/>
      <c r="J476" s="323"/>
      <c r="K476" s="323"/>
      <c r="L476" s="323"/>
      <c r="M476" s="340"/>
      <c r="N476" s="278"/>
      <c r="O476" s="278"/>
      <c r="P476" s="283"/>
      <c r="Q476" s="278"/>
      <c r="R476" s="284"/>
      <c r="S476" s="282"/>
      <c r="T476" s="285"/>
      <c r="U476" s="286"/>
      <c r="V476" s="287"/>
      <c r="W476" s="288"/>
      <c r="X476" s="286"/>
      <c r="Y476" s="289"/>
      <c r="Z476" s="289"/>
      <c r="AA476" s="290"/>
      <c r="AB476" s="291"/>
      <c r="AC476" s="292"/>
      <c r="AD476" s="293"/>
      <c r="AE476" s="293"/>
      <c r="AF476" s="294"/>
      <c r="AG476" s="291"/>
      <c r="AH476" s="295"/>
      <c r="AI476" s="291"/>
      <c r="AJ476" s="295"/>
      <c r="AK476" s="291"/>
      <c r="AL476" s="291"/>
      <c r="AM476" s="291"/>
      <c r="AN476" s="296"/>
      <c r="AO476" s="296"/>
      <c r="AP476" s="296"/>
      <c r="AQ476" s="296"/>
      <c r="AR476" s="296"/>
      <c r="AS476" s="296"/>
      <c r="AT476" s="297"/>
      <c r="AU476" s="297">
        <f t="shared" si="102"/>
        <v>0</v>
      </c>
      <c r="AV476" s="297">
        <f t="shared" si="103"/>
        <v>0</v>
      </c>
      <c r="AW476" s="297"/>
      <c r="AX476" s="297"/>
      <c r="AY476" s="298"/>
      <c r="AZ476" s="298"/>
      <c r="BA476" s="297" t="s">
        <v>247</v>
      </c>
      <c r="BB476" s="323"/>
    </row>
    <row r="477" spans="1:56" s="256" customFormat="1" ht="20" hidden="1" customHeight="1">
      <c r="A477" s="260">
        <v>477</v>
      </c>
      <c r="B477" s="323"/>
      <c r="C477" s="323"/>
      <c r="D477" s="323"/>
      <c r="E477" s="323"/>
      <c r="F477" s="323"/>
      <c r="G477" s="323"/>
      <c r="H477" s="323"/>
      <c r="I477" s="323"/>
      <c r="J477" s="323"/>
      <c r="K477" s="323"/>
      <c r="L477" s="323"/>
      <c r="M477" s="340"/>
      <c r="N477" s="278"/>
      <c r="O477" s="278"/>
      <c r="P477" s="283"/>
      <c r="Q477" s="278"/>
      <c r="R477" s="284"/>
      <c r="S477" s="282"/>
      <c r="T477" s="285"/>
      <c r="U477" s="286"/>
      <c r="V477" s="287"/>
      <c r="W477" s="288"/>
      <c r="X477" s="286"/>
      <c r="Y477" s="289"/>
      <c r="Z477" s="289"/>
      <c r="AA477" s="290"/>
      <c r="AB477" s="291"/>
      <c r="AC477" s="292"/>
      <c r="AD477" s="293"/>
      <c r="AE477" s="293"/>
      <c r="AF477" s="294"/>
      <c r="AG477" s="291"/>
      <c r="AH477" s="295"/>
      <c r="AI477" s="291"/>
      <c r="AJ477" s="295"/>
      <c r="AK477" s="291"/>
      <c r="AL477" s="291"/>
      <c r="AM477" s="291"/>
      <c r="AN477" s="296"/>
      <c r="AO477" s="296"/>
      <c r="AP477" s="296"/>
      <c r="AQ477" s="296"/>
      <c r="AR477" s="296"/>
      <c r="AS477" s="296"/>
      <c r="AT477" s="297"/>
      <c r="AU477" s="297">
        <f t="shared" si="102"/>
        <v>0</v>
      </c>
      <c r="AV477" s="297">
        <f t="shared" si="103"/>
        <v>0</v>
      </c>
      <c r="AW477" s="297"/>
      <c r="AX477" s="297"/>
      <c r="AY477" s="298"/>
      <c r="AZ477" s="298"/>
      <c r="BA477" s="297"/>
      <c r="BB477" s="323"/>
    </row>
    <row r="478" spans="1:56" s="256" customFormat="1" ht="20" hidden="1" customHeight="1">
      <c r="A478" s="260">
        <v>478</v>
      </c>
      <c r="B478" s="323"/>
      <c r="C478" s="323"/>
      <c r="D478" s="323"/>
      <c r="E478" s="323"/>
      <c r="F478" s="323"/>
      <c r="G478" s="323"/>
      <c r="H478" s="323"/>
      <c r="I478" s="323"/>
      <c r="J478" s="323"/>
      <c r="K478" s="323"/>
      <c r="L478" s="323"/>
      <c r="M478" s="340"/>
      <c r="N478" s="278"/>
      <c r="O478" s="278"/>
      <c r="P478" s="283"/>
      <c r="Q478" s="278"/>
      <c r="R478" s="284"/>
      <c r="S478" s="282"/>
      <c r="T478" s="285"/>
      <c r="U478" s="286"/>
      <c r="V478" s="287"/>
      <c r="W478" s="288"/>
      <c r="X478" s="286"/>
      <c r="Y478" s="289"/>
      <c r="Z478" s="289"/>
      <c r="AA478" s="290"/>
      <c r="AB478" s="291"/>
      <c r="AC478" s="292"/>
      <c r="AD478" s="293"/>
      <c r="AE478" s="293"/>
      <c r="AF478" s="294"/>
      <c r="AG478" s="291"/>
      <c r="AH478" s="295"/>
      <c r="AI478" s="291"/>
      <c r="AJ478" s="295"/>
      <c r="AK478" s="291"/>
      <c r="AL478" s="291"/>
      <c r="AM478" s="291"/>
      <c r="AN478" s="296"/>
      <c r="AO478" s="296"/>
      <c r="AP478" s="296"/>
      <c r="AQ478" s="296"/>
      <c r="AR478" s="296"/>
      <c r="AS478" s="296"/>
      <c r="AT478" s="297"/>
      <c r="AU478" s="297">
        <f t="shared" si="102"/>
        <v>0</v>
      </c>
      <c r="AV478" s="297">
        <f t="shared" si="103"/>
        <v>0</v>
      </c>
      <c r="AW478" s="297"/>
      <c r="AX478" s="297"/>
      <c r="AY478" s="298"/>
      <c r="AZ478" s="298"/>
      <c r="BA478" s="297"/>
      <c r="BB478" s="323"/>
    </row>
    <row r="479" spans="1:56" s="256" customFormat="1" ht="20" hidden="1" customHeight="1">
      <c r="A479" s="260">
        <v>479</v>
      </c>
      <c r="B479" s="323"/>
      <c r="C479" s="323"/>
      <c r="D479" s="323"/>
      <c r="E479" s="323"/>
      <c r="F479" s="323"/>
      <c r="G479" s="323"/>
      <c r="H479" s="323"/>
      <c r="I479" s="323"/>
      <c r="J479" s="323"/>
      <c r="K479" s="323"/>
      <c r="L479" s="323"/>
      <c r="M479" s="340"/>
      <c r="N479" s="278"/>
      <c r="O479" s="278"/>
      <c r="P479" s="283"/>
      <c r="Q479" s="278"/>
      <c r="R479" s="284"/>
      <c r="S479" s="282"/>
      <c r="T479" s="285"/>
      <c r="U479" s="286"/>
      <c r="V479" s="287"/>
      <c r="W479" s="288"/>
      <c r="X479" s="286"/>
      <c r="Y479" s="289"/>
      <c r="Z479" s="289"/>
      <c r="AA479" s="290"/>
      <c r="AB479" s="291"/>
      <c r="AC479" s="292"/>
      <c r="AD479" s="293"/>
      <c r="AE479" s="293"/>
      <c r="AF479" s="294"/>
      <c r="AG479" s="291"/>
      <c r="AH479" s="295"/>
      <c r="AI479" s="291"/>
      <c r="AJ479" s="295"/>
      <c r="AK479" s="291"/>
      <c r="AL479" s="291"/>
      <c r="AM479" s="291"/>
      <c r="AN479" s="296"/>
      <c r="AO479" s="296"/>
      <c r="AP479" s="296"/>
      <c r="AQ479" s="296"/>
      <c r="AR479" s="296"/>
      <c r="AS479" s="296"/>
      <c r="AT479" s="297"/>
      <c r="AU479" s="297">
        <f t="shared" si="102"/>
        <v>0</v>
      </c>
      <c r="AV479" s="297">
        <f t="shared" si="103"/>
        <v>0</v>
      </c>
      <c r="AW479" s="297"/>
      <c r="AX479" s="297"/>
      <c r="AY479" s="298"/>
      <c r="AZ479" s="298"/>
      <c r="BA479" s="297"/>
      <c r="BB479" s="323"/>
    </row>
    <row r="480" spans="1:56" s="256" customFormat="1" ht="20" hidden="1" customHeight="1">
      <c r="A480" s="260">
        <v>480</v>
      </c>
      <c r="B480" s="323"/>
      <c r="C480" s="323"/>
      <c r="D480" s="323"/>
      <c r="E480" s="323"/>
      <c r="F480" s="323"/>
      <c r="G480" s="323"/>
      <c r="H480" s="323"/>
      <c r="I480" s="323"/>
      <c r="J480" s="323"/>
      <c r="K480" s="323"/>
      <c r="L480" s="323"/>
      <c r="M480" s="340"/>
      <c r="N480" s="278"/>
      <c r="O480" s="278"/>
      <c r="P480" s="283"/>
      <c r="Q480" s="278"/>
      <c r="R480" s="284"/>
      <c r="S480" s="282"/>
      <c r="T480" s="285"/>
      <c r="U480" s="286"/>
      <c r="V480" s="287"/>
      <c r="W480" s="288"/>
      <c r="X480" s="286"/>
      <c r="Y480" s="289"/>
      <c r="Z480" s="289"/>
      <c r="AA480" s="290"/>
      <c r="AB480" s="291"/>
      <c r="AC480" s="292"/>
      <c r="AD480" s="293"/>
      <c r="AE480" s="293"/>
      <c r="AF480" s="294"/>
      <c r="AG480" s="291"/>
      <c r="AH480" s="295"/>
      <c r="AI480" s="291"/>
      <c r="AJ480" s="295"/>
      <c r="AK480" s="291"/>
      <c r="AL480" s="291"/>
      <c r="AM480" s="291"/>
      <c r="AN480" s="296"/>
      <c r="AO480" s="296"/>
      <c r="AP480" s="296"/>
      <c r="AQ480" s="296"/>
      <c r="AR480" s="296"/>
      <c r="AS480" s="296"/>
      <c r="AT480" s="297"/>
      <c r="AU480" s="297">
        <f t="shared" si="102"/>
        <v>0</v>
      </c>
      <c r="AV480" s="297">
        <f t="shared" si="103"/>
        <v>0</v>
      </c>
      <c r="AW480" s="297"/>
      <c r="AX480" s="297"/>
      <c r="AY480" s="298"/>
      <c r="AZ480" s="298"/>
      <c r="BA480" s="297"/>
      <c r="BB480" s="323"/>
    </row>
    <row r="481" spans="1:54" s="256" customFormat="1" ht="20" hidden="1" customHeight="1">
      <c r="A481" s="260">
        <v>481</v>
      </c>
      <c r="B481" s="323"/>
      <c r="C481" s="323"/>
      <c r="D481" s="323"/>
      <c r="E481" s="323"/>
      <c r="F481" s="323"/>
      <c r="G481" s="323"/>
      <c r="H481" s="323"/>
      <c r="I481" s="323"/>
      <c r="J481" s="323"/>
      <c r="K481" s="323"/>
      <c r="L481" s="323"/>
      <c r="M481" s="340"/>
      <c r="N481" s="278"/>
      <c r="O481" s="278"/>
      <c r="P481" s="283"/>
      <c r="Q481" s="278"/>
      <c r="R481" s="284"/>
      <c r="S481" s="282"/>
      <c r="T481" s="285"/>
      <c r="U481" s="286"/>
      <c r="V481" s="287"/>
      <c r="W481" s="288"/>
      <c r="X481" s="286"/>
      <c r="Y481" s="289"/>
      <c r="Z481" s="289"/>
      <c r="AA481" s="290"/>
      <c r="AB481" s="291"/>
      <c r="AC481" s="292"/>
      <c r="AD481" s="293"/>
      <c r="AE481" s="293"/>
      <c r="AF481" s="294"/>
      <c r="AG481" s="291"/>
      <c r="AH481" s="295"/>
      <c r="AI481" s="291"/>
      <c r="AJ481" s="295"/>
      <c r="AK481" s="291"/>
      <c r="AL481" s="291"/>
      <c r="AM481" s="291"/>
      <c r="AN481" s="296"/>
      <c r="AO481" s="296"/>
      <c r="AP481" s="296"/>
      <c r="AQ481" s="296"/>
      <c r="AR481" s="296"/>
      <c r="AS481" s="296"/>
      <c r="AT481" s="297"/>
      <c r="AU481" s="297">
        <f t="shared" si="102"/>
        <v>0</v>
      </c>
      <c r="AV481" s="297">
        <f t="shared" si="103"/>
        <v>0</v>
      </c>
      <c r="AW481" s="297"/>
      <c r="AX481" s="297"/>
      <c r="AY481" s="298"/>
      <c r="AZ481" s="298"/>
      <c r="BA481" s="297"/>
      <c r="BB481" s="323"/>
    </row>
    <row r="482" spans="1:54" s="256" customFormat="1" ht="20" hidden="1" customHeight="1">
      <c r="A482" s="260">
        <v>482</v>
      </c>
      <c r="B482" s="323"/>
      <c r="C482" s="323"/>
      <c r="D482" s="323"/>
      <c r="E482" s="323"/>
      <c r="F482" s="323"/>
      <c r="G482" s="323"/>
      <c r="H482" s="323"/>
      <c r="I482" s="323"/>
      <c r="J482" s="323"/>
      <c r="K482" s="323"/>
      <c r="L482" s="323"/>
      <c r="M482" s="340"/>
      <c r="N482" s="278"/>
      <c r="O482" s="278"/>
      <c r="P482" s="283"/>
      <c r="Q482" s="278"/>
      <c r="R482" s="284"/>
      <c r="S482" s="282"/>
      <c r="T482" s="285"/>
      <c r="U482" s="286"/>
      <c r="V482" s="287"/>
      <c r="W482" s="288"/>
      <c r="X482" s="286"/>
      <c r="Y482" s="289"/>
      <c r="Z482" s="289"/>
      <c r="AA482" s="290"/>
      <c r="AB482" s="291"/>
      <c r="AC482" s="292"/>
      <c r="AD482" s="293"/>
      <c r="AE482" s="293"/>
      <c r="AF482" s="294"/>
      <c r="AG482" s="291"/>
      <c r="AH482" s="295"/>
      <c r="AI482" s="291"/>
      <c r="AJ482" s="295"/>
      <c r="AK482" s="291"/>
      <c r="AL482" s="291"/>
      <c r="AM482" s="291"/>
      <c r="AN482" s="296"/>
      <c r="AO482" s="296"/>
      <c r="AP482" s="296"/>
      <c r="AQ482" s="296"/>
      <c r="AR482" s="296"/>
      <c r="AS482" s="296"/>
      <c r="AT482" s="297"/>
      <c r="AU482" s="297">
        <f t="shared" si="102"/>
        <v>0</v>
      </c>
      <c r="AV482" s="297">
        <f t="shared" si="103"/>
        <v>0</v>
      </c>
      <c r="AW482" s="297"/>
      <c r="AX482" s="297"/>
      <c r="AY482" s="298"/>
      <c r="AZ482" s="298"/>
      <c r="BA482" s="297"/>
      <c r="BB482" s="323"/>
    </row>
    <row r="483" spans="1:54" s="256" customFormat="1" ht="20" hidden="1" customHeight="1">
      <c r="A483" s="260">
        <v>483</v>
      </c>
      <c r="B483" s="323"/>
      <c r="C483" s="323"/>
      <c r="D483" s="323"/>
      <c r="E483" s="323"/>
      <c r="F483" s="323"/>
      <c r="G483" s="323"/>
      <c r="H483" s="323"/>
      <c r="I483" s="323"/>
      <c r="J483" s="323"/>
      <c r="K483" s="323"/>
      <c r="L483" s="323"/>
      <c r="M483" s="340"/>
      <c r="N483" s="278"/>
      <c r="O483" s="278"/>
      <c r="P483" s="283"/>
      <c r="Q483" s="278"/>
      <c r="R483" s="284"/>
      <c r="S483" s="282"/>
      <c r="T483" s="285"/>
      <c r="U483" s="286"/>
      <c r="V483" s="287"/>
      <c r="W483" s="288"/>
      <c r="X483" s="286"/>
      <c r="Y483" s="289"/>
      <c r="Z483" s="289"/>
      <c r="AA483" s="290"/>
      <c r="AB483" s="291"/>
      <c r="AC483" s="292"/>
      <c r="AD483" s="293"/>
      <c r="AE483" s="293"/>
      <c r="AF483" s="294"/>
      <c r="AG483" s="291"/>
      <c r="AH483" s="295"/>
      <c r="AI483" s="291"/>
      <c r="AJ483" s="295"/>
      <c r="AK483" s="291"/>
      <c r="AL483" s="291"/>
      <c r="AM483" s="291"/>
      <c r="AN483" s="296"/>
      <c r="AO483" s="296"/>
      <c r="AP483" s="296"/>
      <c r="AQ483" s="296"/>
      <c r="AR483" s="296"/>
      <c r="AS483" s="296"/>
      <c r="AT483" s="297"/>
      <c r="AU483" s="297">
        <f t="shared" si="102"/>
        <v>0</v>
      </c>
      <c r="AV483" s="297">
        <f t="shared" si="103"/>
        <v>0</v>
      </c>
      <c r="AW483" s="297"/>
      <c r="AX483" s="297"/>
      <c r="AY483" s="298"/>
      <c r="AZ483" s="298"/>
      <c r="BA483" s="297"/>
      <c r="BB483" s="323"/>
    </row>
    <row r="484" spans="1:54" s="256" customFormat="1" ht="20" hidden="1" customHeight="1">
      <c r="A484" s="260">
        <v>484</v>
      </c>
      <c r="B484" s="323"/>
      <c r="C484" s="323"/>
      <c r="D484" s="323"/>
      <c r="E484" s="323"/>
      <c r="F484" s="323"/>
      <c r="G484" s="323"/>
      <c r="H484" s="323"/>
      <c r="I484" s="323"/>
      <c r="J484" s="323"/>
      <c r="K484" s="323"/>
      <c r="L484" s="323"/>
      <c r="M484" s="340"/>
      <c r="N484" s="278"/>
      <c r="O484" s="278"/>
      <c r="P484" s="283"/>
      <c r="Q484" s="278"/>
      <c r="R484" s="284"/>
      <c r="S484" s="282"/>
      <c r="T484" s="285"/>
      <c r="U484" s="286"/>
      <c r="V484" s="287"/>
      <c r="W484" s="288"/>
      <c r="X484" s="286"/>
      <c r="Y484" s="289"/>
      <c r="Z484" s="289"/>
      <c r="AA484" s="290"/>
      <c r="AB484" s="291"/>
      <c r="AC484" s="292"/>
      <c r="AD484" s="293"/>
      <c r="AE484" s="293"/>
      <c r="AF484" s="294"/>
      <c r="AG484" s="291"/>
      <c r="AH484" s="295"/>
      <c r="AI484" s="291"/>
      <c r="AJ484" s="295"/>
      <c r="AK484" s="291"/>
      <c r="AL484" s="291"/>
      <c r="AM484" s="291"/>
      <c r="AN484" s="296"/>
      <c r="AO484" s="296"/>
      <c r="AP484" s="296"/>
      <c r="AQ484" s="296"/>
      <c r="AR484" s="296"/>
      <c r="AS484" s="296"/>
      <c r="AT484" s="297"/>
      <c r="AU484" s="297">
        <f t="shared" si="102"/>
        <v>0</v>
      </c>
      <c r="AV484" s="297">
        <f t="shared" si="103"/>
        <v>0</v>
      </c>
      <c r="AW484" s="297"/>
      <c r="AX484" s="297"/>
      <c r="AY484" s="298"/>
      <c r="AZ484" s="298"/>
      <c r="BA484" s="297"/>
      <c r="BB484" s="323"/>
    </row>
    <row r="485" spans="1:54" s="256" customFormat="1" ht="20" hidden="1" customHeight="1">
      <c r="A485" s="260">
        <v>485</v>
      </c>
      <c r="B485" s="323"/>
      <c r="C485" s="323"/>
      <c r="D485" s="323"/>
      <c r="E485" s="323"/>
      <c r="F485" s="323"/>
      <c r="G485" s="323"/>
      <c r="H485" s="323"/>
      <c r="I485" s="323"/>
      <c r="J485" s="323"/>
      <c r="K485" s="323"/>
      <c r="L485" s="323"/>
      <c r="M485" s="340"/>
      <c r="N485" s="278"/>
      <c r="O485" s="278"/>
      <c r="P485" s="283"/>
      <c r="Q485" s="278"/>
      <c r="R485" s="284"/>
      <c r="S485" s="282"/>
      <c r="T485" s="285"/>
      <c r="U485" s="286"/>
      <c r="V485" s="287"/>
      <c r="W485" s="288"/>
      <c r="X485" s="286"/>
      <c r="Y485" s="289"/>
      <c r="Z485" s="289"/>
      <c r="AA485" s="290"/>
      <c r="AB485" s="291"/>
      <c r="AC485" s="292"/>
      <c r="AD485" s="293"/>
      <c r="AE485" s="293"/>
      <c r="AF485" s="294"/>
      <c r="AG485" s="291"/>
      <c r="AH485" s="295"/>
      <c r="AI485" s="291"/>
      <c r="AJ485" s="295"/>
      <c r="AK485" s="291"/>
      <c r="AL485" s="291"/>
      <c r="AM485" s="291"/>
      <c r="AN485" s="296"/>
      <c r="AO485" s="296"/>
      <c r="AP485" s="296"/>
      <c r="AQ485" s="296"/>
      <c r="AR485" s="296"/>
      <c r="AS485" s="296"/>
      <c r="AT485" s="297"/>
      <c r="AU485" s="297">
        <f t="shared" si="102"/>
        <v>0</v>
      </c>
      <c r="AV485" s="297">
        <f t="shared" si="103"/>
        <v>0</v>
      </c>
      <c r="AW485" s="297"/>
      <c r="AX485" s="297"/>
      <c r="AY485" s="298"/>
      <c r="AZ485" s="298"/>
      <c r="BA485" s="297"/>
      <c r="BB485" s="323"/>
    </row>
    <row r="486" spans="1:54" s="256" customFormat="1" ht="20" hidden="1" customHeight="1">
      <c r="A486" s="260">
        <v>486</v>
      </c>
      <c r="B486" s="323"/>
      <c r="C486" s="323"/>
      <c r="D486" s="323"/>
      <c r="E486" s="323"/>
      <c r="F486" s="323"/>
      <c r="G486" s="323"/>
      <c r="H486" s="323"/>
      <c r="I486" s="323"/>
      <c r="J486" s="323"/>
      <c r="K486" s="323"/>
      <c r="L486" s="323"/>
      <c r="M486" s="340"/>
      <c r="N486" s="278"/>
      <c r="O486" s="278"/>
      <c r="P486" s="283"/>
      <c r="Q486" s="278"/>
      <c r="R486" s="284"/>
      <c r="S486" s="282"/>
      <c r="T486" s="285"/>
      <c r="U486" s="286"/>
      <c r="V486" s="287"/>
      <c r="W486" s="288"/>
      <c r="X486" s="286"/>
      <c r="Y486" s="289"/>
      <c r="Z486" s="289"/>
      <c r="AA486" s="290"/>
      <c r="AB486" s="291"/>
      <c r="AC486" s="292"/>
      <c r="AD486" s="293"/>
      <c r="AE486" s="293"/>
      <c r="AF486" s="294"/>
      <c r="AG486" s="291"/>
      <c r="AH486" s="295"/>
      <c r="AI486" s="291"/>
      <c r="AJ486" s="295"/>
      <c r="AK486" s="291"/>
      <c r="AL486" s="291"/>
      <c r="AM486" s="291"/>
      <c r="AN486" s="296"/>
      <c r="AO486" s="296"/>
      <c r="AP486" s="296"/>
      <c r="AQ486" s="296"/>
      <c r="AR486" s="296"/>
      <c r="AS486" s="296"/>
      <c r="AT486" s="297"/>
      <c r="AU486" s="297">
        <f t="shared" si="102"/>
        <v>0</v>
      </c>
      <c r="AV486" s="297">
        <f t="shared" si="103"/>
        <v>0</v>
      </c>
      <c r="AW486" s="297"/>
      <c r="AX486" s="297"/>
      <c r="AY486" s="298"/>
      <c r="AZ486" s="298"/>
      <c r="BA486" s="297"/>
      <c r="BB486" s="323"/>
    </row>
    <row r="487" spans="1:54" s="256" customFormat="1" ht="20" hidden="1" customHeight="1">
      <c r="A487" s="260">
        <v>487</v>
      </c>
      <c r="B487" s="323"/>
      <c r="C487" s="323"/>
      <c r="D487" s="323"/>
      <c r="E487" s="323"/>
      <c r="F487" s="323"/>
      <c r="G487" s="323"/>
      <c r="H487" s="323"/>
      <c r="I487" s="323"/>
      <c r="J487" s="323"/>
      <c r="K487" s="323"/>
      <c r="L487" s="323"/>
      <c r="M487" s="340"/>
      <c r="N487" s="278"/>
      <c r="O487" s="278"/>
      <c r="P487" s="283"/>
      <c r="Q487" s="278"/>
      <c r="R487" s="284"/>
      <c r="S487" s="282"/>
      <c r="T487" s="285"/>
      <c r="U487" s="286"/>
      <c r="V487" s="287"/>
      <c r="W487" s="288"/>
      <c r="X487" s="286"/>
      <c r="Y487" s="289"/>
      <c r="Z487" s="289"/>
      <c r="AA487" s="290"/>
      <c r="AB487" s="291"/>
      <c r="AC487" s="292"/>
      <c r="AD487" s="293"/>
      <c r="AE487" s="293"/>
      <c r="AF487" s="294"/>
      <c r="AG487" s="291"/>
      <c r="AH487" s="295"/>
      <c r="AI487" s="291"/>
      <c r="AJ487" s="295"/>
      <c r="AK487" s="291"/>
      <c r="AL487" s="291"/>
      <c r="AM487" s="291"/>
      <c r="AN487" s="296"/>
      <c r="AO487" s="296"/>
      <c r="AP487" s="296"/>
      <c r="AQ487" s="296"/>
      <c r="AR487" s="296"/>
      <c r="AS487" s="296"/>
      <c r="AT487" s="297"/>
      <c r="AU487" s="297">
        <f t="shared" si="102"/>
        <v>0</v>
      </c>
      <c r="AV487" s="297">
        <f t="shared" si="103"/>
        <v>0</v>
      </c>
      <c r="AW487" s="297"/>
      <c r="AX487" s="297"/>
      <c r="AY487" s="298"/>
      <c r="AZ487" s="298"/>
      <c r="BA487" s="297"/>
      <c r="BB487" s="323"/>
    </row>
    <row r="488" spans="1:54" s="256" customFormat="1" ht="20" hidden="1" customHeight="1">
      <c r="A488" s="260">
        <v>488</v>
      </c>
      <c r="B488" s="323"/>
      <c r="C488" s="323"/>
      <c r="D488" s="323"/>
      <c r="E488" s="323"/>
      <c r="F488" s="323"/>
      <c r="G488" s="323"/>
      <c r="H488" s="323"/>
      <c r="I488" s="323"/>
      <c r="J488" s="323"/>
      <c r="K488" s="323"/>
      <c r="L488" s="323"/>
      <c r="M488" s="340"/>
      <c r="N488" s="278"/>
      <c r="O488" s="278"/>
      <c r="P488" s="283"/>
      <c r="Q488" s="278"/>
      <c r="R488" s="284"/>
      <c r="S488" s="282"/>
      <c r="T488" s="285"/>
      <c r="U488" s="286"/>
      <c r="V488" s="287"/>
      <c r="W488" s="288"/>
      <c r="X488" s="286"/>
      <c r="Y488" s="289"/>
      <c r="Z488" s="289"/>
      <c r="AA488" s="290"/>
      <c r="AB488" s="291"/>
      <c r="AC488" s="292"/>
      <c r="AD488" s="293"/>
      <c r="AE488" s="293"/>
      <c r="AF488" s="294"/>
      <c r="AG488" s="291"/>
      <c r="AH488" s="295"/>
      <c r="AI488" s="291"/>
      <c r="AJ488" s="295"/>
      <c r="AK488" s="291"/>
      <c r="AL488" s="291"/>
      <c r="AM488" s="291"/>
      <c r="AN488" s="296"/>
      <c r="AO488" s="296"/>
      <c r="AP488" s="296"/>
      <c r="AQ488" s="296"/>
      <c r="AR488" s="296"/>
      <c r="AS488" s="296"/>
      <c r="AT488" s="297"/>
      <c r="AU488" s="297">
        <f t="shared" si="102"/>
        <v>0</v>
      </c>
      <c r="AV488" s="297">
        <f t="shared" si="103"/>
        <v>0</v>
      </c>
      <c r="AW488" s="297"/>
      <c r="AX488" s="297"/>
      <c r="AY488" s="298"/>
      <c r="AZ488" s="298"/>
      <c r="BA488" s="297"/>
      <c r="BB488" s="323"/>
    </row>
    <row r="489" spans="1:54" s="256" customFormat="1" ht="20" hidden="1" customHeight="1">
      <c r="A489" s="260">
        <v>489</v>
      </c>
      <c r="B489" s="323"/>
      <c r="C489" s="323"/>
      <c r="D489" s="323"/>
      <c r="E489" s="323"/>
      <c r="F489" s="323"/>
      <c r="G489" s="323"/>
      <c r="H489" s="323"/>
      <c r="I489" s="323"/>
      <c r="J489" s="323"/>
      <c r="K489" s="323"/>
      <c r="L489" s="323"/>
      <c r="M489" s="340"/>
      <c r="N489" s="278"/>
      <c r="O489" s="278"/>
      <c r="P489" s="283"/>
      <c r="Q489" s="278"/>
      <c r="R489" s="284"/>
      <c r="S489" s="282"/>
      <c r="T489" s="285"/>
      <c r="U489" s="286"/>
      <c r="V489" s="287"/>
      <c r="W489" s="288"/>
      <c r="X489" s="286"/>
      <c r="Y489" s="289"/>
      <c r="Z489" s="289"/>
      <c r="AA489" s="290"/>
      <c r="AB489" s="291"/>
      <c r="AC489" s="292"/>
      <c r="AD489" s="293"/>
      <c r="AE489" s="293"/>
      <c r="AF489" s="294"/>
      <c r="AG489" s="291"/>
      <c r="AH489" s="295"/>
      <c r="AI489" s="291"/>
      <c r="AJ489" s="295"/>
      <c r="AK489" s="291"/>
      <c r="AL489" s="291"/>
      <c r="AM489" s="291"/>
      <c r="AN489" s="296"/>
      <c r="AO489" s="296"/>
      <c r="AP489" s="296"/>
      <c r="AQ489" s="296"/>
      <c r="AR489" s="296"/>
      <c r="AS489" s="296"/>
      <c r="AT489" s="297"/>
      <c r="AU489" s="297">
        <f t="shared" si="102"/>
        <v>0</v>
      </c>
      <c r="AV489" s="297">
        <f t="shared" si="103"/>
        <v>0</v>
      </c>
      <c r="AW489" s="297"/>
      <c r="AX489" s="297"/>
      <c r="AY489" s="298"/>
      <c r="AZ489" s="298"/>
      <c r="BA489" s="297"/>
      <c r="BB489" s="323"/>
    </row>
    <row r="490" spans="1:54" s="256" customFormat="1" ht="20" hidden="1" customHeight="1">
      <c r="A490" s="260">
        <v>490</v>
      </c>
      <c r="B490" s="323"/>
      <c r="C490" s="323"/>
      <c r="D490" s="323"/>
      <c r="E490" s="323"/>
      <c r="F490" s="323"/>
      <c r="G490" s="323"/>
      <c r="H490" s="323"/>
      <c r="I490" s="323"/>
      <c r="J490" s="323"/>
      <c r="K490" s="323"/>
      <c r="L490" s="323"/>
      <c r="M490" s="340"/>
      <c r="N490" s="278"/>
      <c r="O490" s="278"/>
      <c r="P490" s="283"/>
      <c r="Q490" s="278"/>
      <c r="R490" s="284"/>
      <c r="S490" s="282"/>
      <c r="T490" s="285"/>
      <c r="U490" s="286"/>
      <c r="V490" s="287"/>
      <c r="W490" s="288"/>
      <c r="X490" s="286"/>
      <c r="Y490" s="289"/>
      <c r="Z490" s="289"/>
      <c r="AA490" s="290"/>
      <c r="AB490" s="291"/>
      <c r="AC490" s="292"/>
      <c r="AD490" s="293"/>
      <c r="AE490" s="293"/>
      <c r="AF490" s="294"/>
      <c r="AG490" s="291"/>
      <c r="AH490" s="295"/>
      <c r="AI490" s="291"/>
      <c r="AJ490" s="295"/>
      <c r="AK490" s="291"/>
      <c r="AL490" s="291"/>
      <c r="AM490" s="291"/>
      <c r="AN490" s="296"/>
      <c r="AO490" s="296"/>
      <c r="AP490" s="296"/>
      <c r="AQ490" s="296"/>
      <c r="AR490" s="296"/>
      <c r="AS490" s="296"/>
      <c r="AT490" s="297"/>
      <c r="AU490" s="297">
        <f t="shared" si="102"/>
        <v>0</v>
      </c>
      <c r="AV490" s="297">
        <f t="shared" si="103"/>
        <v>0</v>
      </c>
      <c r="AW490" s="297"/>
      <c r="AX490" s="297"/>
      <c r="AY490" s="298"/>
      <c r="AZ490" s="298"/>
      <c r="BA490" s="297"/>
      <c r="BB490" s="323"/>
    </row>
    <row r="491" spans="1:54" s="256" customFormat="1" ht="20" hidden="1" customHeight="1">
      <c r="A491" s="260">
        <v>491</v>
      </c>
      <c r="B491" s="323"/>
      <c r="C491" s="323"/>
      <c r="D491" s="323"/>
      <c r="E491" s="323"/>
      <c r="F491" s="323"/>
      <c r="G491" s="323"/>
      <c r="H491" s="323"/>
      <c r="I491" s="323"/>
      <c r="J491" s="323"/>
      <c r="K491" s="323"/>
      <c r="L491" s="323"/>
      <c r="M491" s="340"/>
      <c r="N491" s="278"/>
      <c r="O491" s="278"/>
      <c r="P491" s="283"/>
      <c r="Q491" s="278"/>
      <c r="R491" s="284"/>
      <c r="S491" s="282"/>
      <c r="T491" s="285"/>
      <c r="U491" s="286"/>
      <c r="V491" s="287"/>
      <c r="W491" s="288"/>
      <c r="X491" s="286"/>
      <c r="Y491" s="289"/>
      <c r="Z491" s="289"/>
      <c r="AA491" s="290"/>
      <c r="AB491" s="291"/>
      <c r="AC491" s="292"/>
      <c r="AD491" s="293"/>
      <c r="AE491" s="293"/>
      <c r="AF491" s="294"/>
      <c r="AG491" s="291"/>
      <c r="AH491" s="295"/>
      <c r="AI491" s="291"/>
      <c r="AJ491" s="295"/>
      <c r="AK491" s="291"/>
      <c r="AL491" s="291"/>
      <c r="AM491" s="291"/>
      <c r="AN491" s="296"/>
      <c r="AO491" s="296"/>
      <c r="AP491" s="296"/>
      <c r="AQ491" s="296"/>
      <c r="AR491" s="296"/>
      <c r="AS491" s="296"/>
      <c r="AT491" s="297"/>
      <c r="AU491" s="297">
        <f t="shared" si="102"/>
        <v>0</v>
      </c>
      <c r="AV491" s="297">
        <f t="shared" si="103"/>
        <v>0</v>
      </c>
      <c r="AW491" s="297"/>
      <c r="AX491" s="297"/>
      <c r="AY491" s="298"/>
      <c r="AZ491" s="298"/>
      <c r="BA491" s="297"/>
      <c r="BB491" s="323"/>
    </row>
    <row r="492" spans="1:54" s="256" customFormat="1" ht="20" hidden="1" customHeight="1">
      <c r="A492" s="260">
        <v>492</v>
      </c>
      <c r="B492" s="323"/>
      <c r="C492" s="323"/>
      <c r="D492" s="323"/>
      <c r="E492" s="323"/>
      <c r="F492" s="323"/>
      <c r="G492" s="323"/>
      <c r="H492" s="323"/>
      <c r="I492" s="323"/>
      <c r="J492" s="323"/>
      <c r="K492" s="323"/>
      <c r="L492" s="323"/>
      <c r="M492" s="340"/>
      <c r="N492" s="278"/>
      <c r="O492" s="278"/>
      <c r="P492" s="283"/>
      <c r="Q492" s="278"/>
      <c r="R492" s="284"/>
      <c r="S492" s="282"/>
      <c r="T492" s="285"/>
      <c r="U492" s="286"/>
      <c r="V492" s="287"/>
      <c r="W492" s="288"/>
      <c r="X492" s="286"/>
      <c r="Y492" s="289"/>
      <c r="Z492" s="289"/>
      <c r="AA492" s="290"/>
      <c r="AB492" s="291"/>
      <c r="AC492" s="292"/>
      <c r="AD492" s="293"/>
      <c r="AE492" s="293"/>
      <c r="AF492" s="294"/>
      <c r="AG492" s="291"/>
      <c r="AH492" s="295"/>
      <c r="AI492" s="291"/>
      <c r="AJ492" s="295"/>
      <c r="AK492" s="291"/>
      <c r="AL492" s="291"/>
      <c r="AM492" s="291"/>
      <c r="AN492" s="296"/>
      <c r="AO492" s="296"/>
      <c r="AP492" s="296"/>
      <c r="AQ492" s="296"/>
      <c r="AR492" s="296"/>
      <c r="AS492" s="296"/>
      <c r="AT492" s="297"/>
      <c r="AU492" s="297">
        <f t="shared" si="102"/>
        <v>0</v>
      </c>
      <c r="AV492" s="297">
        <f t="shared" si="103"/>
        <v>0</v>
      </c>
      <c r="AW492" s="297"/>
      <c r="AX492" s="297"/>
      <c r="AY492" s="298"/>
      <c r="AZ492" s="298"/>
      <c r="BA492" s="297"/>
      <c r="BB492" s="323"/>
    </row>
    <row r="493" spans="1:54" s="256" customFormat="1" ht="20" hidden="1" customHeight="1">
      <c r="A493" s="260">
        <v>493</v>
      </c>
      <c r="B493" s="323"/>
      <c r="C493" s="323"/>
      <c r="D493" s="323"/>
      <c r="E493" s="323"/>
      <c r="F493" s="323"/>
      <c r="G493" s="323"/>
      <c r="H493" s="323"/>
      <c r="I493" s="323"/>
      <c r="J493" s="323"/>
      <c r="K493" s="323"/>
      <c r="L493" s="323"/>
      <c r="M493" s="340"/>
      <c r="N493" s="278"/>
      <c r="O493" s="278"/>
      <c r="P493" s="283"/>
      <c r="Q493" s="278"/>
      <c r="R493" s="284"/>
      <c r="S493" s="282"/>
      <c r="T493" s="285"/>
      <c r="U493" s="286"/>
      <c r="V493" s="287"/>
      <c r="W493" s="288"/>
      <c r="X493" s="286"/>
      <c r="Y493" s="289"/>
      <c r="Z493" s="289"/>
      <c r="AA493" s="290"/>
      <c r="AB493" s="291"/>
      <c r="AC493" s="292"/>
      <c r="AD493" s="293"/>
      <c r="AE493" s="293"/>
      <c r="AF493" s="294"/>
      <c r="AG493" s="291"/>
      <c r="AH493" s="295"/>
      <c r="AI493" s="291"/>
      <c r="AJ493" s="295"/>
      <c r="AK493" s="291"/>
      <c r="AL493" s="291"/>
      <c r="AM493" s="291"/>
      <c r="AN493" s="296"/>
      <c r="AO493" s="296"/>
      <c r="AP493" s="296"/>
      <c r="AQ493" s="296"/>
      <c r="AR493" s="296"/>
      <c r="AS493" s="296"/>
      <c r="AT493" s="297"/>
      <c r="AU493" s="297">
        <f t="shared" si="102"/>
        <v>0</v>
      </c>
      <c r="AV493" s="297">
        <f t="shared" si="103"/>
        <v>0</v>
      </c>
      <c r="AW493" s="297"/>
      <c r="AX493" s="297"/>
      <c r="AY493" s="298"/>
      <c r="AZ493" s="298"/>
      <c r="BA493" s="297"/>
      <c r="BB493" s="323"/>
    </row>
    <row r="494" spans="1:54" s="256" customFormat="1" ht="20" hidden="1" customHeight="1">
      <c r="A494" s="260">
        <v>494</v>
      </c>
      <c r="B494" s="323"/>
      <c r="C494" s="323"/>
      <c r="D494" s="323"/>
      <c r="E494" s="323"/>
      <c r="F494" s="323"/>
      <c r="G494" s="323"/>
      <c r="H494" s="323"/>
      <c r="I494" s="323"/>
      <c r="J494" s="323"/>
      <c r="K494" s="323"/>
      <c r="L494" s="323"/>
      <c r="M494" s="340"/>
      <c r="N494" s="278"/>
      <c r="O494" s="278"/>
      <c r="P494" s="283"/>
      <c r="Q494" s="278"/>
      <c r="R494" s="284"/>
      <c r="S494" s="282"/>
      <c r="T494" s="285"/>
      <c r="U494" s="286"/>
      <c r="V494" s="287"/>
      <c r="W494" s="288"/>
      <c r="X494" s="286"/>
      <c r="Y494" s="289"/>
      <c r="Z494" s="289"/>
      <c r="AA494" s="290"/>
      <c r="AB494" s="291"/>
      <c r="AC494" s="292"/>
      <c r="AD494" s="293"/>
      <c r="AE494" s="293"/>
      <c r="AF494" s="294"/>
      <c r="AG494" s="291"/>
      <c r="AH494" s="295"/>
      <c r="AI494" s="291"/>
      <c r="AJ494" s="295"/>
      <c r="AK494" s="291"/>
      <c r="AL494" s="291"/>
      <c r="AM494" s="291"/>
      <c r="AN494" s="296"/>
      <c r="AO494" s="296"/>
      <c r="AP494" s="296"/>
      <c r="AQ494" s="296"/>
      <c r="AR494" s="296"/>
      <c r="AS494" s="296"/>
      <c r="AT494" s="297"/>
      <c r="AU494" s="297">
        <f t="shared" si="102"/>
        <v>0</v>
      </c>
      <c r="AV494" s="297">
        <f t="shared" si="103"/>
        <v>0</v>
      </c>
      <c r="AW494" s="297"/>
      <c r="AX494" s="297"/>
      <c r="AY494" s="298"/>
      <c r="AZ494" s="298"/>
      <c r="BA494" s="297"/>
      <c r="BB494" s="323"/>
    </row>
    <row r="495" spans="1:54" s="256" customFormat="1" ht="20" hidden="1" customHeight="1">
      <c r="A495" s="260">
        <v>495</v>
      </c>
      <c r="B495" s="323"/>
      <c r="C495" s="323"/>
      <c r="D495" s="323"/>
      <c r="E495" s="323"/>
      <c r="F495" s="323"/>
      <c r="G495" s="323"/>
      <c r="H495" s="323"/>
      <c r="I495" s="323"/>
      <c r="J495" s="323"/>
      <c r="K495" s="323"/>
      <c r="L495" s="323"/>
      <c r="M495" s="340"/>
      <c r="N495" s="278"/>
      <c r="O495" s="278"/>
      <c r="P495" s="283"/>
      <c r="Q495" s="278"/>
      <c r="R495" s="284"/>
      <c r="S495" s="282"/>
      <c r="T495" s="285"/>
      <c r="U495" s="286"/>
      <c r="V495" s="287"/>
      <c r="W495" s="288"/>
      <c r="X495" s="286"/>
      <c r="Y495" s="289"/>
      <c r="Z495" s="289"/>
      <c r="AA495" s="290"/>
      <c r="AB495" s="291"/>
      <c r="AC495" s="292"/>
      <c r="AD495" s="293"/>
      <c r="AE495" s="293"/>
      <c r="AF495" s="294"/>
      <c r="AG495" s="291"/>
      <c r="AH495" s="295"/>
      <c r="AI495" s="291"/>
      <c r="AJ495" s="295"/>
      <c r="AK495" s="291"/>
      <c r="AL495" s="291"/>
      <c r="AM495" s="291"/>
      <c r="AN495" s="296"/>
      <c r="AO495" s="296"/>
      <c r="AP495" s="296"/>
      <c r="AQ495" s="296"/>
      <c r="AR495" s="296"/>
      <c r="AS495" s="296"/>
      <c r="AT495" s="297"/>
      <c r="AU495" s="297">
        <f t="shared" ref="AU495:AU510" si="109">SUM(AT495-J495)</f>
        <v>0</v>
      </c>
      <c r="AV495" s="297">
        <f t="shared" ref="AV495:AV502" si="110">SUM(0.09*H495)</f>
        <v>0</v>
      </c>
      <c r="AW495" s="297"/>
      <c r="AX495" s="297"/>
      <c r="AY495" s="298"/>
      <c r="AZ495" s="298"/>
      <c r="BA495" s="297"/>
      <c r="BB495" s="323"/>
    </row>
    <row r="496" spans="1:54" s="256" customFormat="1" ht="20" hidden="1" customHeight="1">
      <c r="A496" s="260">
        <v>496</v>
      </c>
      <c r="B496" s="323"/>
      <c r="C496" s="323"/>
      <c r="D496" s="323"/>
      <c r="E496" s="323"/>
      <c r="F496" s="323"/>
      <c r="G496" s="323"/>
      <c r="H496" s="323"/>
      <c r="I496" s="323"/>
      <c r="J496" s="323"/>
      <c r="K496" s="323"/>
      <c r="L496" s="323"/>
      <c r="M496" s="340"/>
      <c r="N496" s="278"/>
      <c r="O496" s="278"/>
      <c r="P496" s="283"/>
      <c r="Q496" s="278"/>
      <c r="R496" s="284"/>
      <c r="S496" s="282"/>
      <c r="T496" s="285"/>
      <c r="U496" s="286"/>
      <c r="V496" s="287"/>
      <c r="W496" s="288"/>
      <c r="X496" s="286"/>
      <c r="Y496" s="289"/>
      <c r="Z496" s="289"/>
      <c r="AA496" s="290"/>
      <c r="AB496" s="291"/>
      <c r="AC496" s="292"/>
      <c r="AD496" s="293"/>
      <c r="AE496" s="293"/>
      <c r="AF496" s="294"/>
      <c r="AG496" s="291"/>
      <c r="AH496" s="295"/>
      <c r="AI496" s="291"/>
      <c r="AJ496" s="295"/>
      <c r="AK496" s="291"/>
      <c r="AL496" s="291"/>
      <c r="AM496" s="291"/>
      <c r="AN496" s="296"/>
      <c r="AO496" s="296"/>
      <c r="AP496" s="296"/>
      <c r="AQ496" s="296"/>
      <c r="AR496" s="296"/>
      <c r="AS496" s="296"/>
      <c r="AT496" s="297"/>
      <c r="AU496" s="297">
        <f t="shared" si="109"/>
        <v>0</v>
      </c>
      <c r="AV496" s="297">
        <f t="shared" si="110"/>
        <v>0</v>
      </c>
      <c r="AW496" s="297"/>
      <c r="AX496" s="297"/>
      <c r="AY496" s="298"/>
      <c r="AZ496" s="298"/>
      <c r="BA496" s="297"/>
      <c r="BB496" s="323"/>
    </row>
    <row r="497" spans="1:54" s="256" customFormat="1" ht="20" hidden="1" customHeight="1">
      <c r="A497" s="260">
        <v>497</v>
      </c>
      <c r="B497" s="323"/>
      <c r="C497" s="323"/>
      <c r="D497" s="323"/>
      <c r="E497" s="323"/>
      <c r="F497" s="323"/>
      <c r="G497" s="323"/>
      <c r="H497" s="323"/>
      <c r="I497" s="323"/>
      <c r="J497" s="323"/>
      <c r="K497" s="323"/>
      <c r="L497" s="323"/>
      <c r="M497" s="340"/>
      <c r="N497" s="278"/>
      <c r="O497" s="278"/>
      <c r="P497" s="283"/>
      <c r="Q497" s="278"/>
      <c r="R497" s="284"/>
      <c r="S497" s="282"/>
      <c r="T497" s="285"/>
      <c r="U497" s="286"/>
      <c r="V497" s="287"/>
      <c r="W497" s="288"/>
      <c r="X497" s="286"/>
      <c r="Y497" s="289"/>
      <c r="Z497" s="289"/>
      <c r="AA497" s="290"/>
      <c r="AB497" s="291"/>
      <c r="AC497" s="292"/>
      <c r="AD497" s="293"/>
      <c r="AE497" s="293"/>
      <c r="AF497" s="294"/>
      <c r="AG497" s="291"/>
      <c r="AH497" s="295"/>
      <c r="AI497" s="291"/>
      <c r="AJ497" s="295"/>
      <c r="AK497" s="291"/>
      <c r="AL497" s="291"/>
      <c r="AM497" s="291"/>
      <c r="AN497" s="296"/>
      <c r="AO497" s="296"/>
      <c r="AP497" s="296"/>
      <c r="AQ497" s="296"/>
      <c r="AR497" s="296"/>
      <c r="AS497" s="296"/>
      <c r="AT497" s="297"/>
      <c r="AU497" s="297">
        <f t="shared" si="109"/>
        <v>0</v>
      </c>
      <c r="AV497" s="297">
        <f t="shared" si="110"/>
        <v>0</v>
      </c>
      <c r="AW497" s="297"/>
      <c r="AX497" s="297"/>
      <c r="AY497" s="298"/>
      <c r="AZ497" s="298"/>
      <c r="BA497" s="297"/>
      <c r="BB497" s="323"/>
    </row>
    <row r="498" spans="1:54" s="256" customFormat="1" ht="20" hidden="1" customHeight="1">
      <c r="A498" s="260">
        <v>498</v>
      </c>
      <c r="B498" s="323"/>
      <c r="C498" s="323"/>
      <c r="D498" s="323"/>
      <c r="E498" s="323"/>
      <c r="F498" s="323"/>
      <c r="G498" s="323"/>
      <c r="H498" s="323"/>
      <c r="I498" s="323"/>
      <c r="J498" s="323"/>
      <c r="K498" s="323"/>
      <c r="L498" s="323"/>
      <c r="M498" s="340"/>
      <c r="N498" s="278"/>
      <c r="O498" s="278"/>
      <c r="P498" s="283"/>
      <c r="Q498" s="278"/>
      <c r="R498" s="284"/>
      <c r="S498" s="282"/>
      <c r="T498" s="285"/>
      <c r="U498" s="286"/>
      <c r="V498" s="287"/>
      <c r="W498" s="288"/>
      <c r="X498" s="286"/>
      <c r="Y498" s="289"/>
      <c r="Z498" s="289"/>
      <c r="AA498" s="290"/>
      <c r="AB498" s="291"/>
      <c r="AC498" s="292"/>
      <c r="AD498" s="293"/>
      <c r="AE498" s="293"/>
      <c r="AF498" s="294"/>
      <c r="AG498" s="291"/>
      <c r="AH498" s="295"/>
      <c r="AI498" s="291"/>
      <c r="AJ498" s="295"/>
      <c r="AK498" s="291"/>
      <c r="AL498" s="291"/>
      <c r="AM498" s="291"/>
      <c r="AN498" s="296"/>
      <c r="AO498" s="296"/>
      <c r="AP498" s="296"/>
      <c r="AQ498" s="296"/>
      <c r="AR498" s="296"/>
      <c r="AS498" s="296"/>
      <c r="AT498" s="297"/>
      <c r="AU498" s="297">
        <f t="shared" si="109"/>
        <v>0</v>
      </c>
      <c r="AV498" s="297">
        <f t="shared" si="110"/>
        <v>0</v>
      </c>
      <c r="AW498" s="297"/>
      <c r="AX498" s="297"/>
      <c r="AY498" s="298"/>
      <c r="AZ498" s="298"/>
      <c r="BA498" s="297"/>
      <c r="BB498" s="323"/>
    </row>
    <row r="499" spans="1:54" s="256" customFormat="1" ht="20" hidden="1" customHeight="1">
      <c r="A499" s="260">
        <v>499</v>
      </c>
      <c r="B499" s="323"/>
      <c r="C499" s="323"/>
      <c r="D499" s="323"/>
      <c r="E499" s="323"/>
      <c r="F499" s="323"/>
      <c r="G499" s="323"/>
      <c r="H499" s="323"/>
      <c r="I499" s="323"/>
      <c r="J499" s="323"/>
      <c r="K499" s="323"/>
      <c r="L499" s="323"/>
      <c r="M499" s="340"/>
      <c r="N499" s="278"/>
      <c r="O499" s="278"/>
      <c r="P499" s="283"/>
      <c r="Q499" s="278"/>
      <c r="R499" s="284"/>
      <c r="S499" s="282"/>
      <c r="T499" s="285"/>
      <c r="U499" s="286"/>
      <c r="V499" s="287"/>
      <c r="W499" s="288"/>
      <c r="X499" s="286"/>
      <c r="Y499" s="289"/>
      <c r="Z499" s="289"/>
      <c r="AA499" s="290"/>
      <c r="AB499" s="291"/>
      <c r="AC499" s="292"/>
      <c r="AD499" s="293"/>
      <c r="AE499" s="293"/>
      <c r="AF499" s="294"/>
      <c r="AG499" s="291"/>
      <c r="AH499" s="295"/>
      <c r="AI499" s="291"/>
      <c r="AJ499" s="295"/>
      <c r="AK499" s="291"/>
      <c r="AL499" s="291"/>
      <c r="AM499" s="291"/>
      <c r="AN499" s="296"/>
      <c r="AO499" s="296"/>
      <c r="AP499" s="296"/>
      <c r="AQ499" s="296"/>
      <c r="AR499" s="296"/>
      <c r="AS499" s="296"/>
      <c r="AT499" s="297"/>
      <c r="AU499" s="297">
        <f t="shared" si="109"/>
        <v>0</v>
      </c>
      <c r="AV499" s="297">
        <f t="shared" si="110"/>
        <v>0</v>
      </c>
      <c r="AW499" s="297"/>
      <c r="AX499" s="297"/>
      <c r="AY499" s="298"/>
      <c r="AZ499" s="298"/>
      <c r="BA499" s="297"/>
      <c r="BB499" s="323"/>
    </row>
    <row r="500" spans="1:54" s="256" customFormat="1" ht="20" hidden="1" customHeight="1">
      <c r="A500" s="260">
        <v>500</v>
      </c>
      <c r="B500" s="323"/>
      <c r="C500" s="323"/>
      <c r="D500" s="323"/>
      <c r="E500" s="323"/>
      <c r="F500" s="323"/>
      <c r="G500" s="323"/>
      <c r="H500" s="323"/>
      <c r="I500" s="323"/>
      <c r="J500" s="323"/>
      <c r="K500" s="323"/>
      <c r="L500" s="323"/>
      <c r="M500" s="340"/>
      <c r="N500" s="278"/>
      <c r="O500" s="278"/>
      <c r="P500" s="283"/>
      <c r="Q500" s="278"/>
      <c r="R500" s="284"/>
      <c r="S500" s="282"/>
      <c r="T500" s="285"/>
      <c r="U500" s="286"/>
      <c r="V500" s="287"/>
      <c r="W500" s="288"/>
      <c r="X500" s="286"/>
      <c r="Y500" s="289"/>
      <c r="Z500" s="289"/>
      <c r="AA500" s="290"/>
      <c r="AB500" s="291"/>
      <c r="AC500" s="292"/>
      <c r="AD500" s="293"/>
      <c r="AE500" s="293"/>
      <c r="AF500" s="294"/>
      <c r="AG500" s="291"/>
      <c r="AH500" s="295"/>
      <c r="AI500" s="291"/>
      <c r="AJ500" s="295"/>
      <c r="AK500" s="291"/>
      <c r="AL500" s="291"/>
      <c r="AM500" s="291"/>
      <c r="AN500" s="296"/>
      <c r="AO500" s="296"/>
      <c r="AP500" s="296"/>
      <c r="AQ500" s="296"/>
      <c r="AR500" s="296"/>
      <c r="AS500" s="296"/>
      <c r="AT500" s="297"/>
      <c r="AU500" s="297">
        <f t="shared" si="109"/>
        <v>0</v>
      </c>
      <c r="AV500" s="297">
        <f t="shared" si="110"/>
        <v>0</v>
      </c>
      <c r="AW500" s="297"/>
      <c r="AX500" s="297"/>
      <c r="AY500" s="298"/>
      <c r="AZ500" s="298"/>
      <c r="BA500" s="297"/>
      <c r="BB500" s="323"/>
    </row>
    <row r="501" spans="1:54" s="256" customFormat="1" ht="20" hidden="1" customHeight="1">
      <c r="A501" s="260">
        <v>501</v>
      </c>
      <c r="B501" s="323"/>
      <c r="C501" s="323"/>
      <c r="D501" s="323"/>
      <c r="E501" s="323"/>
      <c r="F501" s="323"/>
      <c r="G501" s="323"/>
      <c r="H501" s="323"/>
      <c r="I501" s="323"/>
      <c r="J501" s="323"/>
      <c r="K501" s="323"/>
      <c r="L501" s="323"/>
      <c r="M501" s="340"/>
      <c r="N501" s="278"/>
      <c r="O501" s="278"/>
      <c r="P501" s="283"/>
      <c r="Q501" s="278"/>
      <c r="R501" s="284"/>
      <c r="S501" s="282"/>
      <c r="T501" s="285"/>
      <c r="U501" s="286"/>
      <c r="V501" s="287"/>
      <c r="W501" s="288"/>
      <c r="X501" s="286"/>
      <c r="Y501" s="289"/>
      <c r="Z501" s="289"/>
      <c r="AA501" s="290"/>
      <c r="AB501" s="291"/>
      <c r="AC501" s="292"/>
      <c r="AD501" s="293"/>
      <c r="AE501" s="293"/>
      <c r="AF501" s="294"/>
      <c r="AG501" s="291"/>
      <c r="AH501" s="295"/>
      <c r="AI501" s="291"/>
      <c r="AJ501" s="295"/>
      <c r="AK501" s="291"/>
      <c r="AL501" s="291"/>
      <c r="AM501" s="291"/>
      <c r="AN501" s="296"/>
      <c r="AO501" s="296"/>
      <c r="AP501" s="296"/>
      <c r="AQ501" s="296"/>
      <c r="AR501" s="296"/>
      <c r="AS501" s="296"/>
      <c r="AT501" s="297"/>
      <c r="AU501" s="297">
        <f t="shared" si="109"/>
        <v>0</v>
      </c>
      <c r="AV501" s="297">
        <f t="shared" si="110"/>
        <v>0</v>
      </c>
      <c r="AW501" s="297"/>
      <c r="AX501" s="297"/>
      <c r="AY501" s="298"/>
      <c r="AZ501" s="298"/>
      <c r="BA501" s="297"/>
      <c r="BB501" s="323"/>
    </row>
    <row r="502" spans="1:54" s="256" customFormat="1" ht="20" hidden="1" customHeight="1">
      <c r="A502" s="260">
        <v>502</v>
      </c>
      <c r="B502" s="323"/>
      <c r="C502" s="323"/>
      <c r="D502" s="323"/>
      <c r="E502" s="323"/>
      <c r="F502" s="323"/>
      <c r="G502" s="323"/>
      <c r="H502" s="323"/>
      <c r="I502" s="323"/>
      <c r="J502" s="323"/>
      <c r="K502" s="323"/>
      <c r="L502" s="323"/>
      <c r="M502" s="340"/>
      <c r="N502" s="278"/>
      <c r="O502" s="278"/>
      <c r="P502" s="283"/>
      <c r="Q502" s="278"/>
      <c r="R502" s="284"/>
      <c r="S502" s="282"/>
      <c r="T502" s="285"/>
      <c r="U502" s="286"/>
      <c r="V502" s="287"/>
      <c r="W502" s="288"/>
      <c r="X502" s="286"/>
      <c r="Y502" s="289"/>
      <c r="Z502" s="289"/>
      <c r="AA502" s="290"/>
      <c r="AB502" s="291"/>
      <c r="AC502" s="292"/>
      <c r="AD502" s="293"/>
      <c r="AE502" s="293"/>
      <c r="AF502" s="294"/>
      <c r="AG502" s="291"/>
      <c r="AH502" s="295"/>
      <c r="AI502" s="291"/>
      <c r="AJ502" s="295"/>
      <c r="AK502" s="291"/>
      <c r="AL502" s="291"/>
      <c r="AM502" s="291"/>
      <c r="AN502" s="296"/>
      <c r="AO502" s="296"/>
      <c r="AP502" s="296"/>
      <c r="AQ502" s="296"/>
      <c r="AR502" s="296"/>
      <c r="AS502" s="296"/>
      <c r="AT502" s="297"/>
      <c r="AU502" s="297">
        <f t="shared" si="109"/>
        <v>0</v>
      </c>
      <c r="AV502" s="297">
        <f t="shared" si="110"/>
        <v>0</v>
      </c>
      <c r="AW502" s="297"/>
      <c r="AX502" s="297"/>
      <c r="AY502" s="298"/>
      <c r="AZ502" s="298"/>
      <c r="BA502" s="297"/>
      <c r="BB502" s="323"/>
    </row>
    <row r="503" spans="1:54" s="256" customFormat="1" ht="20" hidden="1" customHeight="1">
      <c r="A503" s="260">
        <v>503</v>
      </c>
      <c r="B503" s="323"/>
      <c r="C503" s="323"/>
      <c r="D503" s="323"/>
      <c r="E503" s="323"/>
      <c r="F503" s="323"/>
      <c r="G503" s="323"/>
      <c r="H503" s="323"/>
      <c r="I503" s="323"/>
      <c r="J503" s="323"/>
      <c r="K503" s="323"/>
      <c r="L503" s="323"/>
      <c r="M503" s="340"/>
      <c r="N503" s="278"/>
      <c r="O503" s="278"/>
      <c r="P503" s="283"/>
      <c r="Q503" s="278"/>
      <c r="R503" s="284"/>
      <c r="S503" s="282"/>
      <c r="T503" s="285"/>
      <c r="U503" s="286"/>
      <c r="V503" s="287"/>
      <c r="W503" s="288"/>
      <c r="X503" s="286"/>
      <c r="Y503" s="289"/>
      <c r="Z503" s="289"/>
      <c r="AA503" s="290"/>
      <c r="AB503" s="291"/>
      <c r="AC503" s="292"/>
      <c r="AD503" s="293"/>
      <c r="AE503" s="293"/>
      <c r="AF503" s="294"/>
      <c r="AG503" s="291"/>
      <c r="AH503" s="295"/>
      <c r="AI503" s="291"/>
      <c r="AJ503" s="295"/>
      <c r="AK503" s="291"/>
      <c r="AL503" s="291"/>
      <c r="AM503" s="291"/>
      <c r="AN503" s="296"/>
      <c r="AO503" s="296"/>
      <c r="AP503" s="296"/>
      <c r="AQ503" s="296"/>
      <c r="AR503" s="296"/>
      <c r="AS503" s="296"/>
      <c r="AT503" s="297"/>
      <c r="AU503" s="297">
        <f t="shared" si="109"/>
        <v>0</v>
      </c>
      <c r="AV503" s="297"/>
      <c r="AW503" s="297"/>
      <c r="AX503" s="297"/>
      <c r="AY503" s="298"/>
      <c r="AZ503" s="298"/>
      <c r="BA503" s="297"/>
      <c r="BB503" s="323"/>
    </row>
    <row r="504" spans="1:54" s="256" customFormat="1" ht="20" hidden="1" customHeight="1">
      <c r="A504" s="260">
        <v>504</v>
      </c>
      <c r="B504" s="323"/>
      <c r="C504" s="323"/>
      <c r="D504" s="323"/>
      <c r="E504" s="323"/>
      <c r="F504" s="323"/>
      <c r="G504" s="323"/>
      <c r="H504" s="323"/>
      <c r="I504" s="323"/>
      <c r="J504" s="323"/>
      <c r="K504" s="323"/>
      <c r="L504" s="323"/>
      <c r="M504" s="340"/>
      <c r="N504" s="278"/>
      <c r="O504" s="278"/>
      <c r="P504" s="283"/>
      <c r="Q504" s="278"/>
      <c r="R504" s="284"/>
      <c r="S504" s="282"/>
      <c r="T504" s="285"/>
      <c r="U504" s="286"/>
      <c r="V504" s="287"/>
      <c r="W504" s="288"/>
      <c r="X504" s="286"/>
      <c r="Y504" s="289"/>
      <c r="Z504" s="289"/>
      <c r="AA504" s="290"/>
      <c r="AB504" s="291"/>
      <c r="AC504" s="292"/>
      <c r="AD504" s="293"/>
      <c r="AE504" s="293"/>
      <c r="AF504" s="294"/>
      <c r="AG504" s="291"/>
      <c r="AH504" s="295"/>
      <c r="AI504" s="291"/>
      <c r="AJ504" s="295"/>
      <c r="AK504" s="291"/>
      <c r="AL504" s="291"/>
      <c r="AM504" s="291"/>
      <c r="AN504" s="296"/>
      <c r="AO504" s="296"/>
      <c r="AP504" s="296"/>
      <c r="AQ504" s="296"/>
      <c r="AR504" s="296"/>
      <c r="AS504" s="296"/>
      <c r="AT504" s="297"/>
      <c r="AU504" s="297">
        <f t="shared" si="109"/>
        <v>0</v>
      </c>
      <c r="AV504" s="297"/>
      <c r="AW504" s="297"/>
      <c r="AX504" s="297"/>
      <c r="AY504" s="298"/>
      <c r="AZ504" s="298"/>
      <c r="BA504" s="297"/>
      <c r="BB504" s="323"/>
    </row>
    <row r="505" spans="1:54" s="256" customFormat="1" ht="20" hidden="1" customHeight="1">
      <c r="A505" s="260">
        <v>505</v>
      </c>
      <c r="B505" s="323"/>
      <c r="C505" s="323"/>
      <c r="D505" s="323"/>
      <c r="E505" s="323"/>
      <c r="F505" s="323"/>
      <c r="G505" s="323"/>
      <c r="H505" s="323"/>
      <c r="I505" s="323"/>
      <c r="J505" s="323"/>
      <c r="K505" s="323"/>
      <c r="L505" s="323"/>
      <c r="M505" s="340"/>
      <c r="N505" s="278"/>
      <c r="O505" s="278"/>
      <c r="P505" s="283"/>
      <c r="Q505" s="278"/>
      <c r="R505" s="284"/>
      <c r="S505" s="282"/>
      <c r="T505" s="285"/>
      <c r="U505" s="286"/>
      <c r="V505" s="287"/>
      <c r="W505" s="288"/>
      <c r="X505" s="286"/>
      <c r="Y505" s="289"/>
      <c r="Z505" s="289"/>
      <c r="AA505" s="290"/>
      <c r="AB505" s="291"/>
      <c r="AC505" s="292"/>
      <c r="AD505" s="293"/>
      <c r="AE505" s="293"/>
      <c r="AF505" s="294"/>
      <c r="AG505" s="291"/>
      <c r="AH505" s="295"/>
      <c r="AI505" s="291"/>
      <c r="AJ505" s="295"/>
      <c r="AK505" s="291"/>
      <c r="AL505" s="291"/>
      <c r="AM505" s="291"/>
      <c r="AN505" s="296"/>
      <c r="AO505" s="296"/>
      <c r="AP505" s="296"/>
      <c r="AQ505" s="296"/>
      <c r="AR505" s="296"/>
      <c r="AS505" s="296"/>
      <c r="AT505" s="297"/>
      <c r="AU505" s="297">
        <f t="shared" si="109"/>
        <v>0</v>
      </c>
      <c r="AV505" s="297"/>
      <c r="AW505" s="297"/>
      <c r="AX505" s="297"/>
      <c r="AY505" s="298"/>
      <c r="AZ505" s="298"/>
      <c r="BA505" s="297"/>
      <c r="BB505" s="323"/>
    </row>
    <row r="506" spans="1:54" s="256" customFormat="1" ht="20" hidden="1" customHeight="1">
      <c r="A506" s="260">
        <v>506</v>
      </c>
      <c r="B506" s="323"/>
      <c r="C506" s="323"/>
      <c r="D506" s="323"/>
      <c r="E506" s="323"/>
      <c r="F506" s="323"/>
      <c r="G506" s="323"/>
      <c r="H506" s="323"/>
      <c r="I506" s="323"/>
      <c r="J506" s="323"/>
      <c r="K506" s="323"/>
      <c r="L506" s="323"/>
      <c r="M506" s="340"/>
      <c r="N506" s="278"/>
      <c r="O506" s="278"/>
      <c r="P506" s="283"/>
      <c r="Q506" s="278"/>
      <c r="R506" s="284"/>
      <c r="S506" s="282"/>
      <c r="T506" s="285"/>
      <c r="U506" s="286"/>
      <c r="V506" s="287"/>
      <c r="W506" s="288"/>
      <c r="X506" s="286"/>
      <c r="Y506" s="289"/>
      <c r="Z506" s="289"/>
      <c r="AA506" s="290"/>
      <c r="AB506" s="291"/>
      <c r="AC506" s="292"/>
      <c r="AD506" s="293"/>
      <c r="AE506" s="293"/>
      <c r="AF506" s="294"/>
      <c r="AG506" s="291"/>
      <c r="AH506" s="295"/>
      <c r="AI506" s="291"/>
      <c r="AJ506" s="295"/>
      <c r="AK506" s="291"/>
      <c r="AL506" s="291"/>
      <c r="AM506" s="291"/>
      <c r="AN506" s="296"/>
      <c r="AO506" s="296"/>
      <c r="AP506" s="296"/>
      <c r="AQ506" s="296"/>
      <c r="AR506" s="296"/>
      <c r="AS506" s="296"/>
      <c r="AT506" s="297"/>
      <c r="AU506" s="297">
        <f t="shared" si="109"/>
        <v>0</v>
      </c>
      <c r="AV506" s="297"/>
      <c r="AW506" s="297"/>
      <c r="AX506" s="297"/>
      <c r="AY506" s="298"/>
      <c r="AZ506" s="298"/>
      <c r="BA506" s="297"/>
      <c r="BB506" s="323"/>
    </row>
    <row r="507" spans="1:54" s="256" customFormat="1" ht="20" hidden="1" customHeight="1">
      <c r="A507" s="260">
        <v>507</v>
      </c>
      <c r="B507" s="323"/>
      <c r="C507" s="323"/>
      <c r="D507" s="323"/>
      <c r="E507" s="323"/>
      <c r="F507" s="323"/>
      <c r="G507" s="323"/>
      <c r="H507" s="323"/>
      <c r="I507" s="323"/>
      <c r="J507" s="323"/>
      <c r="K507" s="323"/>
      <c r="L507" s="323"/>
      <c r="M507" s="340"/>
      <c r="N507" s="278"/>
      <c r="O507" s="278"/>
      <c r="P507" s="283"/>
      <c r="Q507" s="278"/>
      <c r="R507" s="284"/>
      <c r="S507" s="282"/>
      <c r="T507" s="285"/>
      <c r="U507" s="286"/>
      <c r="V507" s="287"/>
      <c r="W507" s="288"/>
      <c r="X507" s="286"/>
      <c r="Y507" s="289"/>
      <c r="Z507" s="289"/>
      <c r="AA507" s="290"/>
      <c r="AB507" s="291"/>
      <c r="AC507" s="292"/>
      <c r="AD507" s="293"/>
      <c r="AE507" s="293"/>
      <c r="AF507" s="294"/>
      <c r="AG507" s="291"/>
      <c r="AH507" s="295"/>
      <c r="AI507" s="291"/>
      <c r="AJ507" s="295"/>
      <c r="AK507" s="291"/>
      <c r="AL507" s="291"/>
      <c r="AM507" s="291"/>
      <c r="AN507" s="296"/>
      <c r="AO507" s="296"/>
      <c r="AP507" s="296"/>
      <c r="AQ507" s="296"/>
      <c r="AR507" s="296"/>
      <c r="AS507" s="296"/>
      <c r="AT507" s="297"/>
      <c r="AU507" s="297">
        <f t="shared" si="109"/>
        <v>0</v>
      </c>
      <c r="AV507" s="297"/>
      <c r="AW507" s="297"/>
      <c r="AX507" s="297"/>
      <c r="AY507" s="298"/>
      <c r="AZ507" s="298"/>
      <c r="BA507" s="297"/>
      <c r="BB507" s="323"/>
    </row>
    <row r="508" spans="1:54" s="256" customFormat="1" ht="20" hidden="1" customHeight="1">
      <c r="A508" s="260">
        <v>508</v>
      </c>
      <c r="B508" s="323"/>
      <c r="C508" s="323"/>
      <c r="D508" s="323"/>
      <c r="E508" s="323"/>
      <c r="F508" s="323"/>
      <c r="G508" s="323"/>
      <c r="H508" s="323"/>
      <c r="I508" s="323"/>
      <c r="J508" s="323"/>
      <c r="K508" s="323"/>
      <c r="L508" s="323"/>
      <c r="M508" s="340"/>
      <c r="N508" s="278"/>
      <c r="O508" s="278"/>
      <c r="P508" s="283"/>
      <c r="Q508" s="278"/>
      <c r="R508" s="284"/>
      <c r="S508" s="282"/>
      <c r="T508" s="285"/>
      <c r="U508" s="286"/>
      <c r="V508" s="287"/>
      <c r="W508" s="288"/>
      <c r="X508" s="286"/>
      <c r="Y508" s="289"/>
      <c r="Z508" s="289"/>
      <c r="AA508" s="290"/>
      <c r="AB508" s="291"/>
      <c r="AC508" s="292"/>
      <c r="AD508" s="293"/>
      <c r="AE508" s="293"/>
      <c r="AF508" s="294"/>
      <c r="AG508" s="291"/>
      <c r="AH508" s="295"/>
      <c r="AI508" s="291"/>
      <c r="AJ508" s="295"/>
      <c r="AK508" s="291"/>
      <c r="AL508" s="291"/>
      <c r="AM508" s="291"/>
      <c r="AN508" s="296"/>
      <c r="AO508" s="296"/>
      <c r="AP508" s="296"/>
      <c r="AQ508" s="296"/>
      <c r="AR508" s="296"/>
      <c r="AS508" s="296"/>
      <c r="AT508" s="297"/>
      <c r="AU508" s="297">
        <f t="shared" si="109"/>
        <v>0</v>
      </c>
      <c r="AV508" s="297"/>
      <c r="AW508" s="297"/>
      <c r="AX508" s="297"/>
      <c r="AY508" s="298"/>
      <c r="AZ508" s="298"/>
      <c r="BA508" s="297"/>
      <c r="BB508" s="323"/>
    </row>
    <row r="509" spans="1:54" s="256" customFormat="1" ht="20" hidden="1" customHeight="1">
      <c r="A509" s="260">
        <v>509</v>
      </c>
      <c r="B509" s="323"/>
      <c r="C509" s="323"/>
      <c r="D509" s="323"/>
      <c r="E509" s="323"/>
      <c r="F509" s="323"/>
      <c r="G509" s="323"/>
      <c r="H509" s="323"/>
      <c r="I509" s="323"/>
      <c r="J509" s="323"/>
      <c r="K509" s="323"/>
      <c r="L509" s="323"/>
      <c r="M509" s="340"/>
      <c r="N509" s="278"/>
      <c r="O509" s="278"/>
      <c r="P509" s="283"/>
      <c r="Q509" s="278"/>
      <c r="R509" s="284"/>
      <c r="S509" s="282"/>
      <c r="T509" s="285"/>
      <c r="U509" s="286"/>
      <c r="V509" s="287"/>
      <c r="W509" s="288"/>
      <c r="X509" s="286"/>
      <c r="Y509" s="289"/>
      <c r="Z509" s="289"/>
      <c r="AA509" s="290"/>
      <c r="AB509" s="291"/>
      <c r="AC509" s="292"/>
      <c r="AD509" s="293"/>
      <c r="AE509" s="293"/>
      <c r="AF509" s="294"/>
      <c r="AG509" s="291"/>
      <c r="AH509" s="295"/>
      <c r="AI509" s="291"/>
      <c r="AJ509" s="295"/>
      <c r="AK509" s="291"/>
      <c r="AL509" s="291"/>
      <c r="AM509" s="291"/>
      <c r="AN509" s="296"/>
      <c r="AO509" s="296"/>
      <c r="AP509" s="296"/>
      <c r="AQ509" s="296"/>
      <c r="AR509" s="296"/>
      <c r="AS509" s="296"/>
      <c r="AT509" s="297"/>
      <c r="AU509" s="297">
        <f t="shared" si="109"/>
        <v>0</v>
      </c>
      <c r="AV509" s="297"/>
      <c r="AW509" s="297"/>
      <c r="AX509" s="297"/>
      <c r="AY509" s="298"/>
      <c r="AZ509" s="298"/>
      <c r="BA509" s="297"/>
      <c r="BB509" s="323"/>
    </row>
    <row r="510" spans="1:54" s="256" customFormat="1" ht="20" hidden="1" customHeight="1">
      <c r="A510" s="260">
        <v>510</v>
      </c>
      <c r="B510" s="323"/>
      <c r="C510" s="323"/>
      <c r="D510" s="323"/>
      <c r="E510" s="323"/>
      <c r="F510" s="323"/>
      <c r="G510" s="323"/>
      <c r="H510" s="323"/>
      <c r="I510" s="323"/>
      <c r="J510" s="323"/>
      <c r="K510" s="323"/>
      <c r="L510" s="323"/>
      <c r="M510" s="340"/>
      <c r="N510" s="278"/>
      <c r="O510" s="278"/>
      <c r="P510" s="283"/>
      <c r="Q510" s="278"/>
      <c r="R510" s="284"/>
      <c r="S510" s="282"/>
      <c r="T510" s="285"/>
      <c r="U510" s="286"/>
      <c r="V510" s="287"/>
      <c r="W510" s="288"/>
      <c r="X510" s="286"/>
      <c r="Y510" s="289"/>
      <c r="Z510" s="289"/>
      <c r="AA510" s="290"/>
      <c r="AB510" s="291"/>
      <c r="AC510" s="292"/>
      <c r="AD510" s="293"/>
      <c r="AE510" s="293"/>
      <c r="AF510" s="294"/>
      <c r="AG510" s="291"/>
      <c r="AH510" s="295"/>
      <c r="AI510" s="291"/>
      <c r="AJ510" s="295"/>
      <c r="AK510" s="291"/>
      <c r="AL510" s="291"/>
      <c r="AM510" s="291"/>
      <c r="AN510" s="296"/>
      <c r="AO510" s="296"/>
      <c r="AP510" s="296"/>
      <c r="AQ510" s="296"/>
      <c r="AR510" s="296"/>
      <c r="AS510" s="296"/>
      <c r="AT510" s="297"/>
      <c r="AU510" s="297">
        <f t="shared" si="109"/>
        <v>0</v>
      </c>
      <c r="AV510" s="297"/>
      <c r="AW510" s="297"/>
      <c r="AX510" s="297"/>
      <c r="AY510" s="298"/>
      <c r="AZ510" s="298"/>
      <c r="BA510" s="297"/>
      <c r="BB510" s="323"/>
    </row>
    <row r="511" spans="1:54" s="256" customFormat="1" ht="20" hidden="1" customHeight="1">
      <c r="A511" s="260">
        <v>511</v>
      </c>
      <c r="B511" s="323"/>
      <c r="C511" s="323"/>
      <c r="D511" s="323"/>
      <c r="E511" s="323"/>
      <c r="F511" s="323"/>
      <c r="G511" s="323"/>
      <c r="H511" s="323"/>
      <c r="I511" s="323"/>
      <c r="J511" s="323"/>
      <c r="K511" s="323"/>
      <c r="L511" s="323"/>
      <c r="M511" s="340"/>
      <c r="N511" s="278"/>
      <c r="O511" s="278"/>
      <c r="P511" s="283"/>
      <c r="Q511" s="278"/>
      <c r="R511" s="284"/>
      <c r="S511" s="282"/>
      <c r="T511" s="285"/>
      <c r="U511" s="286"/>
      <c r="V511" s="287"/>
      <c r="W511" s="288"/>
      <c r="X511" s="286"/>
      <c r="Y511" s="289"/>
      <c r="Z511" s="289"/>
      <c r="AA511" s="290"/>
      <c r="AB511" s="291"/>
      <c r="AC511" s="292"/>
      <c r="AD511" s="293"/>
      <c r="AE511" s="293"/>
      <c r="AF511" s="294"/>
      <c r="AG511" s="291"/>
      <c r="AH511" s="295"/>
      <c r="AI511" s="291"/>
      <c r="AJ511" s="295"/>
      <c r="AK511" s="291"/>
      <c r="AL511" s="291"/>
      <c r="AM511" s="291"/>
      <c r="AN511" s="296"/>
      <c r="AO511" s="296"/>
      <c r="AP511" s="296"/>
      <c r="AQ511" s="296"/>
      <c r="AR511" s="296"/>
      <c r="AS511" s="296"/>
      <c r="AT511" s="297"/>
      <c r="AU511" s="297"/>
      <c r="AV511" s="297"/>
      <c r="AW511" s="297"/>
      <c r="AX511" s="297"/>
      <c r="AY511" s="298"/>
      <c r="AZ511" s="298"/>
      <c r="BA511" s="297"/>
      <c r="BB511" s="323"/>
    </row>
    <row r="512" spans="1:54" s="256" customFormat="1" ht="20" hidden="1" customHeight="1">
      <c r="A512" s="260">
        <v>512</v>
      </c>
      <c r="B512" s="323"/>
      <c r="C512" s="323"/>
      <c r="D512" s="323"/>
      <c r="E512" s="323"/>
      <c r="F512" s="323"/>
      <c r="G512" s="323"/>
      <c r="H512" s="323"/>
      <c r="I512" s="323"/>
      <c r="J512" s="323"/>
      <c r="K512" s="323"/>
      <c r="L512" s="323"/>
      <c r="M512" s="340"/>
      <c r="N512" s="278"/>
      <c r="O512" s="278"/>
      <c r="P512" s="283"/>
      <c r="Q512" s="278"/>
      <c r="R512" s="284"/>
      <c r="S512" s="282"/>
      <c r="T512" s="285"/>
      <c r="U512" s="286"/>
      <c r="V512" s="287"/>
      <c r="W512" s="288"/>
      <c r="X512" s="286"/>
      <c r="Y512" s="289"/>
      <c r="Z512" s="289"/>
      <c r="AA512" s="290"/>
      <c r="AB512" s="291"/>
      <c r="AC512" s="292"/>
      <c r="AD512" s="293"/>
      <c r="AE512" s="293"/>
      <c r="AF512" s="294"/>
      <c r="AG512" s="291"/>
      <c r="AH512" s="295"/>
      <c r="AI512" s="291"/>
      <c r="AJ512" s="295"/>
      <c r="AK512" s="291"/>
      <c r="AL512" s="291"/>
      <c r="AM512" s="291"/>
      <c r="AN512" s="296"/>
      <c r="AO512" s="296"/>
      <c r="AP512" s="296"/>
      <c r="AQ512" s="296"/>
      <c r="AR512" s="296"/>
      <c r="AS512" s="296"/>
      <c r="AT512" s="297"/>
      <c r="AU512" s="297"/>
      <c r="AV512" s="297"/>
      <c r="AW512" s="297"/>
      <c r="AX512" s="297"/>
      <c r="AY512" s="298"/>
      <c r="AZ512" s="298"/>
      <c r="BA512" s="297"/>
      <c r="BB512" s="323"/>
    </row>
    <row r="513" spans="1:54" s="256" customFormat="1" ht="20" hidden="1" customHeight="1">
      <c r="A513" s="260">
        <v>513</v>
      </c>
      <c r="B513" s="323"/>
      <c r="C513" s="323"/>
      <c r="D513" s="323"/>
      <c r="E513" s="323"/>
      <c r="F513" s="323"/>
      <c r="G513" s="323"/>
      <c r="H513" s="323"/>
      <c r="I513" s="323"/>
      <c r="J513" s="323"/>
      <c r="K513" s="323"/>
      <c r="L513" s="323"/>
      <c r="M513" s="340"/>
      <c r="N513" s="278"/>
      <c r="O513" s="278"/>
      <c r="P513" s="283"/>
      <c r="Q513" s="278"/>
      <c r="R513" s="284"/>
      <c r="S513" s="282"/>
      <c r="T513" s="285"/>
      <c r="U513" s="286"/>
      <c r="V513" s="287"/>
      <c r="W513" s="288"/>
      <c r="X513" s="286"/>
      <c r="Y513" s="289"/>
      <c r="Z513" s="289"/>
      <c r="AA513" s="290"/>
      <c r="AB513" s="291"/>
      <c r="AC513" s="292"/>
      <c r="AD513" s="293"/>
      <c r="AE513" s="293"/>
      <c r="AF513" s="294"/>
      <c r="AG513" s="291"/>
      <c r="AH513" s="295"/>
      <c r="AI513" s="291"/>
      <c r="AJ513" s="295"/>
      <c r="AK513" s="291"/>
      <c r="AL513" s="291"/>
      <c r="AM513" s="291"/>
      <c r="AN513" s="296"/>
      <c r="AO513" s="296"/>
      <c r="AP513" s="296"/>
      <c r="AQ513" s="296"/>
      <c r="AR513" s="296"/>
      <c r="AS513" s="296"/>
      <c r="AT513" s="297"/>
      <c r="AU513" s="297"/>
      <c r="AV513" s="297"/>
      <c r="AW513" s="297"/>
      <c r="AX513" s="297"/>
      <c r="AY513" s="298"/>
      <c r="AZ513" s="298"/>
      <c r="BA513" s="297"/>
      <c r="BB513" s="323"/>
    </row>
    <row r="514" spans="1:54" s="256" customFormat="1" ht="20" hidden="1" customHeight="1">
      <c r="A514" s="260">
        <v>514</v>
      </c>
      <c r="B514" s="323"/>
      <c r="C514" s="323"/>
      <c r="D514" s="323"/>
      <c r="E514" s="323"/>
      <c r="F514" s="323"/>
      <c r="G514" s="323"/>
      <c r="H514" s="323"/>
      <c r="I514" s="323"/>
      <c r="J514" s="323"/>
      <c r="K514" s="323"/>
      <c r="L514" s="323"/>
      <c r="M514" s="340"/>
      <c r="N514" s="278"/>
      <c r="O514" s="278"/>
      <c r="P514" s="283"/>
      <c r="Q514" s="278"/>
      <c r="R514" s="284"/>
      <c r="S514" s="282"/>
      <c r="T514" s="285"/>
      <c r="U514" s="286"/>
      <c r="V514" s="287"/>
      <c r="W514" s="288"/>
      <c r="X514" s="286"/>
      <c r="Y514" s="289"/>
      <c r="Z514" s="289"/>
      <c r="AA514" s="290"/>
      <c r="AB514" s="291"/>
      <c r="AC514" s="292"/>
      <c r="AD514" s="293"/>
      <c r="AE514" s="293"/>
      <c r="AF514" s="294"/>
      <c r="AG514" s="291"/>
      <c r="AH514" s="295"/>
      <c r="AI514" s="291"/>
      <c r="AJ514" s="295"/>
      <c r="AK514" s="291"/>
      <c r="AL514" s="291"/>
      <c r="AM514" s="291"/>
      <c r="AN514" s="296"/>
      <c r="AO514" s="296"/>
      <c r="AP514" s="296"/>
      <c r="AQ514" s="296"/>
      <c r="AR514" s="296"/>
      <c r="AS514" s="296"/>
      <c r="AT514" s="297"/>
      <c r="AU514" s="297"/>
      <c r="AV514" s="297"/>
      <c r="AW514" s="297"/>
      <c r="AX514" s="297"/>
      <c r="AY514" s="298"/>
      <c r="AZ514" s="298"/>
      <c r="BA514" s="297"/>
      <c r="BB514" s="323"/>
    </row>
    <row r="515" spans="1:54" s="256" customFormat="1" ht="20" hidden="1" customHeight="1">
      <c r="A515" s="260">
        <v>515</v>
      </c>
      <c r="B515" s="323"/>
      <c r="C515" s="323"/>
      <c r="D515" s="323"/>
      <c r="E515" s="323"/>
      <c r="F515" s="323"/>
      <c r="G515" s="323"/>
      <c r="H515" s="323"/>
      <c r="I515" s="323"/>
      <c r="J515" s="323"/>
      <c r="K515" s="323"/>
      <c r="L515" s="323"/>
      <c r="M515" s="340"/>
      <c r="N515" s="278"/>
      <c r="O515" s="278"/>
      <c r="P515" s="283"/>
      <c r="Q515" s="278"/>
      <c r="R515" s="284"/>
      <c r="S515" s="282"/>
      <c r="T515" s="285"/>
      <c r="U515" s="286"/>
      <c r="V515" s="287"/>
      <c r="W515" s="288"/>
      <c r="X515" s="286"/>
      <c r="Y515" s="289"/>
      <c r="Z515" s="289"/>
      <c r="AA515" s="290"/>
      <c r="AB515" s="291"/>
      <c r="AC515" s="292"/>
      <c r="AD515" s="293"/>
      <c r="AE515" s="293"/>
      <c r="AF515" s="294"/>
      <c r="AG515" s="291"/>
      <c r="AH515" s="295"/>
      <c r="AI515" s="291"/>
      <c r="AJ515" s="295"/>
      <c r="AK515" s="291"/>
      <c r="AL515" s="291"/>
      <c r="AM515" s="291"/>
      <c r="AN515" s="296"/>
      <c r="AO515" s="296"/>
      <c r="AP515" s="296"/>
      <c r="AQ515" s="296"/>
      <c r="AR515" s="296"/>
      <c r="AS515" s="296"/>
      <c r="AT515" s="297"/>
      <c r="AU515" s="297"/>
      <c r="AV515" s="297"/>
      <c r="AW515" s="297"/>
      <c r="AX515" s="297"/>
      <c r="AY515" s="298"/>
      <c r="AZ515" s="298"/>
      <c r="BA515" s="297"/>
      <c r="BB515" s="323"/>
    </row>
    <row r="516" spans="1:54" s="256" customFormat="1" ht="20" hidden="1" customHeight="1">
      <c r="A516" s="260">
        <v>516</v>
      </c>
      <c r="B516" s="323"/>
      <c r="C516" s="323"/>
      <c r="D516" s="323"/>
      <c r="E516" s="323"/>
      <c r="F516" s="323"/>
      <c r="G516" s="323"/>
      <c r="H516" s="323"/>
      <c r="I516" s="323"/>
      <c r="J516" s="323"/>
      <c r="K516" s="323"/>
      <c r="L516" s="323"/>
      <c r="M516" s="340"/>
      <c r="N516" s="278"/>
      <c r="O516" s="278"/>
      <c r="P516" s="283"/>
      <c r="Q516" s="278"/>
      <c r="R516" s="284"/>
      <c r="S516" s="282"/>
      <c r="T516" s="285"/>
      <c r="U516" s="286"/>
      <c r="V516" s="287"/>
      <c r="W516" s="288"/>
      <c r="X516" s="286"/>
      <c r="Y516" s="289"/>
      <c r="Z516" s="289"/>
      <c r="AA516" s="290"/>
      <c r="AB516" s="291"/>
      <c r="AC516" s="292"/>
      <c r="AD516" s="293"/>
      <c r="AE516" s="293"/>
      <c r="AF516" s="294"/>
      <c r="AG516" s="291"/>
      <c r="AH516" s="295"/>
      <c r="AI516" s="291"/>
      <c r="AJ516" s="295"/>
      <c r="AK516" s="291"/>
      <c r="AL516" s="291"/>
      <c r="AM516" s="291"/>
      <c r="AN516" s="296"/>
      <c r="AO516" s="296"/>
      <c r="AP516" s="296"/>
      <c r="AQ516" s="296"/>
      <c r="AR516" s="296"/>
      <c r="AS516" s="296"/>
      <c r="AT516" s="297"/>
      <c r="AU516" s="297"/>
      <c r="AV516" s="297"/>
      <c r="AW516" s="297"/>
      <c r="AX516" s="297"/>
      <c r="AY516" s="298"/>
      <c r="AZ516" s="298"/>
      <c r="BA516" s="297"/>
      <c r="BB516" s="323"/>
    </row>
    <row r="517" spans="1:54" s="256" customFormat="1" ht="20" hidden="1" customHeight="1">
      <c r="A517" s="260">
        <v>517</v>
      </c>
      <c r="B517" s="323"/>
      <c r="C517" s="323"/>
      <c r="D517" s="323"/>
      <c r="E517" s="323"/>
      <c r="F517" s="323"/>
      <c r="G517" s="323"/>
      <c r="H517" s="323"/>
      <c r="I517" s="323"/>
      <c r="J517" s="323"/>
      <c r="K517" s="323"/>
      <c r="L517" s="323"/>
      <c r="M517" s="340"/>
      <c r="N517" s="278"/>
      <c r="O517" s="278"/>
      <c r="P517" s="283"/>
      <c r="Q517" s="278"/>
      <c r="R517" s="284"/>
      <c r="S517" s="282"/>
      <c r="T517" s="285"/>
      <c r="U517" s="286"/>
      <c r="V517" s="287"/>
      <c r="W517" s="288"/>
      <c r="X517" s="286"/>
      <c r="Y517" s="289"/>
      <c r="Z517" s="289"/>
      <c r="AA517" s="290"/>
      <c r="AB517" s="291"/>
      <c r="AC517" s="292"/>
      <c r="AD517" s="293"/>
      <c r="AE517" s="293"/>
      <c r="AF517" s="294"/>
      <c r="AG517" s="291"/>
      <c r="AH517" s="295"/>
      <c r="AI517" s="291"/>
      <c r="AJ517" s="295"/>
      <c r="AK517" s="291"/>
      <c r="AL517" s="291"/>
      <c r="AM517" s="291"/>
      <c r="AN517" s="296"/>
      <c r="AO517" s="296"/>
      <c r="AP517" s="296"/>
      <c r="AQ517" s="296"/>
      <c r="AR517" s="296"/>
      <c r="AS517" s="296"/>
      <c r="AT517" s="297"/>
      <c r="AU517" s="297"/>
      <c r="AV517" s="297"/>
      <c r="AW517" s="297"/>
      <c r="AX517" s="297"/>
      <c r="AY517" s="298"/>
      <c r="AZ517" s="298"/>
      <c r="BA517" s="297"/>
      <c r="BB517" s="323"/>
    </row>
    <row r="518" spans="1:54" s="256" customFormat="1" ht="20" hidden="1" customHeight="1">
      <c r="A518" s="260">
        <v>518</v>
      </c>
      <c r="B518" s="323"/>
      <c r="C518" s="323"/>
      <c r="D518" s="323"/>
      <c r="E518" s="323"/>
      <c r="F518" s="323"/>
      <c r="G518" s="323"/>
      <c r="H518" s="323"/>
      <c r="I518" s="323"/>
      <c r="J518" s="323"/>
      <c r="K518" s="323"/>
      <c r="L518" s="323"/>
      <c r="M518" s="340"/>
      <c r="N518" s="278"/>
      <c r="O518" s="278"/>
      <c r="P518" s="283"/>
      <c r="Q518" s="278"/>
      <c r="R518" s="284"/>
      <c r="S518" s="282"/>
      <c r="T518" s="285"/>
      <c r="U518" s="286"/>
      <c r="V518" s="287"/>
      <c r="W518" s="288"/>
      <c r="X518" s="286"/>
      <c r="Y518" s="289"/>
      <c r="Z518" s="289"/>
      <c r="AA518" s="290"/>
      <c r="AB518" s="291"/>
      <c r="AC518" s="292"/>
      <c r="AD518" s="293"/>
      <c r="AE518" s="293"/>
      <c r="AF518" s="294"/>
      <c r="AG518" s="291"/>
      <c r="AH518" s="295"/>
      <c r="AI518" s="291"/>
      <c r="AJ518" s="295"/>
      <c r="AK518" s="291"/>
      <c r="AL518" s="291"/>
      <c r="AM518" s="291"/>
      <c r="AN518" s="296"/>
      <c r="AO518" s="296"/>
      <c r="AP518" s="296"/>
      <c r="AQ518" s="296"/>
      <c r="AR518" s="296"/>
      <c r="AS518" s="296"/>
      <c r="AT518" s="297"/>
      <c r="AU518" s="297"/>
      <c r="AV518" s="297"/>
      <c r="AW518" s="297"/>
      <c r="AX518" s="297"/>
      <c r="AY518" s="298"/>
      <c r="AZ518" s="298"/>
      <c r="BA518" s="297"/>
      <c r="BB518" s="323"/>
    </row>
    <row r="519" spans="1:54" s="256" customFormat="1" ht="20" hidden="1" customHeight="1">
      <c r="A519" s="260">
        <v>519</v>
      </c>
      <c r="B519" s="323"/>
      <c r="C519" s="323"/>
      <c r="D519" s="323"/>
      <c r="E519" s="323"/>
      <c r="F519" s="323"/>
      <c r="G519" s="323"/>
      <c r="H519" s="323"/>
      <c r="I519" s="323"/>
      <c r="J519" s="323"/>
      <c r="K519" s="323"/>
      <c r="L519" s="323"/>
      <c r="M519" s="340"/>
      <c r="N519" s="278"/>
      <c r="O519" s="278"/>
      <c r="P519" s="283"/>
      <c r="Q519" s="278"/>
      <c r="R519" s="284"/>
      <c r="S519" s="282"/>
      <c r="T519" s="285"/>
      <c r="U519" s="286"/>
      <c r="V519" s="287"/>
      <c r="W519" s="288"/>
      <c r="X519" s="286"/>
      <c r="Y519" s="289"/>
      <c r="Z519" s="289"/>
      <c r="AA519" s="290"/>
      <c r="AB519" s="291"/>
      <c r="AC519" s="292"/>
      <c r="AD519" s="293"/>
      <c r="AE519" s="293"/>
      <c r="AF519" s="294"/>
      <c r="AG519" s="291"/>
      <c r="AH519" s="295"/>
      <c r="AI519" s="291"/>
      <c r="AJ519" s="295"/>
      <c r="AK519" s="291"/>
      <c r="AL519" s="291"/>
      <c r="AM519" s="291"/>
      <c r="AN519" s="296"/>
      <c r="AO519" s="296"/>
      <c r="AP519" s="296"/>
      <c r="AQ519" s="296"/>
      <c r="AR519" s="296"/>
      <c r="AS519" s="296"/>
      <c r="AT519" s="297"/>
      <c r="AU519" s="297"/>
      <c r="AV519" s="297"/>
      <c r="AW519" s="297"/>
      <c r="AX519" s="297"/>
      <c r="AY519" s="298"/>
      <c r="AZ519" s="298"/>
      <c r="BA519" s="297"/>
      <c r="BB519" s="323"/>
    </row>
    <row r="520" spans="1:54" s="256" customFormat="1" ht="20" hidden="1" customHeight="1">
      <c r="A520" s="260">
        <v>520</v>
      </c>
      <c r="B520" s="323"/>
      <c r="C520" s="323"/>
      <c r="D520" s="323"/>
      <c r="E520" s="323"/>
      <c r="F520" s="323"/>
      <c r="G520" s="323"/>
      <c r="H520" s="323"/>
      <c r="I520" s="323"/>
      <c r="J520" s="323"/>
      <c r="K520" s="323"/>
      <c r="L520" s="323"/>
      <c r="M520" s="340"/>
      <c r="N520" s="278"/>
      <c r="O520" s="278"/>
      <c r="P520" s="283"/>
      <c r="Q520" s="278"/>
      <c r="R520" s="284"/>
      <c r="S520" s="282"/>
      <c r="T520" s="285"/>
      <c r="U520" s="286"/>
      <c r="V520" s="287"/>
      <c r="W520" s="288"/>
      <c r="X520" s="286"/>
      <c r="Y520" s="289"/>
      <c r="Z520" s="289"/>
      <c r="AA520" s="290"/>
      <c r="AB520" s="291"/>
      <c r="AC520" s="292"/>
      <c r="AD520" s="293"/>
      <c r="AE520" s="293"/>
      <c r="AF520" s="294"/>
      <c r="AG520" s="291"/>
      <c r="AH520" s="295"/>
      <c r="AI520" s="291"/>
      <c r="AJ520" s="295"/>
      <c r="AK520" s="291"/>
      <c r="AL520" s="291"/>
      <c r="AM520" s="291"/>
      <c r="AN520" s="296"/>
      <c r="AO520" s="296"/>
      <c r="AP520" s="296"/>
      <c r="AQ520" s="296"/>
      <c r="AR520" s="296"/>
      <c r="AS520" s="296"/>
      <c r="AT520" s="297"/>
      <c r="AU520" s="297"/>
      <c r="AV520" s="297"/>
      <c r="AW520" s="297"/>
      <c r="AX520" s="297"/>
      <c r="AY520" s="298"/>
      <c r="AZ520" s="298"/>
      <c r="BA520" s="297"/>
      <c r="BB520" s="323"/>
    </row>
    <row r="521" spans="1:54" s="256" customFormat="1" ht="20" hidden="1" customHeight="1">
      <c r="A521" s="260">
        <v>521</v>
      </c>
      <c r="B521" s="323"/>
      <c r="C521" s="323"/>
      <c r="D521" s="323"/>
      <c r="E521" s="323"/>
      <c r="F521" s="323"/>
      <c r="G521" s="323"/>
      <c r="H521" s="323"/>
      <c r="I521" s="323"/>
      <c r="J521" s="323"/>
      <c r="K521" s="323"/>
      <c r="L521" s="323"/>
      <c r="M521" s="340"/>
      <c r="N521" s="278"/>
      <c r="O521" s="278"/>
      <c r="P521" s="283"/>
      <c r="Q521" s="278"/>
      <c r="R521" s="284"/>
      <c r="S521" s="282"/>
      <c r="T521" s="285"/>
      <c r="U521" s="286"/>
      <c r="V521" s="287"/>
      <c r="W521" s="288"/>
      <c r="X521" s="286"/>
      <c r="Y521" s="289"/>
      <c r="Z521" s="289"/>
      <c r="AA521" s="290"/>
      <c r="AB521" s="291"/>
      <c r="AC521" s="292"/>
      <c r="AD521" s="293"/>
      <c r="AE521" s="293"/>
      <c r="AF521" s="294"/>
      <c r="AG521" s="291"/>
      <c r="AH521" s="295"/>
      <c r="AI521" s="291"/>
      <c r="AJ521" s="295"/>
      <c r="AK521" s="291"/>
      <c r="AL521" s="291"/>
      <c r="AM521" s="291"/>
      <c r="AN521" s="296"/>
      <c r="AO521" s="296"/>
      <c r="AP521" s="296"/>
      <c r="AQ521" s="296"/>
      <c r="AR521" s="296"/>
      <c r="AS521" s="296"/>
      <c r="AT521" s="297"/>
      <c r="AU521" s="297"/>
      <c r="AV521" s="297"/>
      <c r="AW521" s="297"/>
      <c r="AX521" s="297"/>
      <c r="AY521" s="298"/>
      <c r="AZ521" s="298"/>
      <c r="BA521" s="297"/>
      <c r="BB521" s="323"/>
    </row>
    <row r="522" spans="1:54" s="256" customFormat="1" ht="20" hidden="1" customHeight="1">
      <c r="A522" s="260">
        <v>522</v>
      </c>
      <c r="B522" s="323"/>
      <c r="C522" s="323"/>
      <c r="D522" s="323"/>
      <c r="E522" s="323"/>
      <c r="F522" s="323"/>
      <c r="G522" s="323"/>
      <c r="H522" s="323"/>
      <c r="I522" s="323"/>
      <c r="J522" s="323"/>
      <c r="K522" s="323"/>
      <c r="L522" s="323"/>
      <c r="M522" s="340"/>
      <c r="N522" s="278"/>
      <c r="O522" s="278"/>
      <c r="P522" s="283"/>
      <c r="Q522" s="278"/>
      <c r="R522" s="284"/>
      <c r="S522" s="282"/>
      <c r="T522" s="285"/>
      <c r="U522" s="286"/>
      <c r="V522" s="287"/>
      <c r="W522" s="288"/>
      <c r="X522" s="286"/>
      <c r="Y522" s="289"/>
      <c r="Z522" s="289"/>
      <c r="AA522" s="290"/>
      <c r="AB522" s="291"/>
      <c r="AC522" s="292"/>
      <c r="AD522" s="293"/>
      <c r="AE522" s="293"/>
      <c r="AF522" s="294"/>
      <c r="AG522" s="291"/>
      <c r="AH522" s="295"/>
      <c r="AI522" s="291"/>
      <c r="AJ522" s="295"/>
      <c r="AK522" s="291"/>
      <c r="AL522" s="291"/>
      <c r="AM522" s="291"/>
      <c r="AN522" s="296"/>
      <c r="AO522" s="296"/>
      <c r="AP522" s="296"/>
      <c r="AQ522" s="296"/>
      <c r="AR522" s="296"/>
      <c r="AS522" s="296"/>
      <c r="AT522" s="297"/>
      <c r="AU522" s="297"/>
      <c r="AV522" s="297"/>
      <c r="AW522" s="297"/>
      <c r="AX522" s="297"/>
      <c r="AY522" s="298"/>
      <c r="AZ522" s="298"/>
      <c r="BA522" s="297"/>
      <c r="BB522" s="323"/>
    </row>
    <row r="523" spans="1:54" s="256" customFormat="1" ht="20" hidden="1" customHeight="1">
      <c r="A523" s="260">
        <v>523</v>
      </c>
      <c r="B523" s="323"/>
      <c r="C523" s="323"/>
      <c r="D523" s="323"/>
      <c r="E523" s="323"/>
      <c r="F523" s="323"/>
      <c r="G523" s="323"/>
      <c r="H523" s="323"/>
      <c r="I523" s="323"/>
      <c r="J523" s="323"/>
      <c r="K523" s="323"/>
      <c r="L523" s="323"/>
      <c r="M523" s="340"/>
      <c r="N523" s="278"/>
      <c r="O523" s="278"/>
      <c r="P523" s="283"/>
      <c r="Q523" s="278"/>
      <c r="R523" s="284"/>
      <c r="S523" s="282"/>
      <c r="T523" s="285"/>
      <c r="U523" s="286"/>
      <c r="V523" s="287"/>
      <c r="W523" s="288"/>
      <c r="X523" s="286"/>
      <c r="Y523" s="289"/>
      <c r="Z523" s="289"/>
      <c r="AA523" s="290"/>
      <c r="AB523" s="291"/>
      <c r="AC523" s="292"/>
      <c r="AD523" s="293"/>
      <c r="AE523" s="293"/>
      <c r="AF523" s="294"/>
      <c r="AG523" s="291"/>
      <c r="AH523" s="295"/>
      <c r="AI523" s="291"/>
      <c r="AJ523" s="295"/>
      <c r="AK523" s="291"/>
      <c r="AL523" s="291"/>
      <c r="AM523" s="291"/>
      <c r="AN523" s="296"/>
      <c r="AO523" s="296"/>
      <c r="AP523" s="296"/>
      <c r="AQ523" s="296"/>
      <c r="AR523" s="296"/>
      <c r="AS523" s="296"/>
      <c r="AT523" s="297"/>
      <c r="AU523" s="297"/>
      <c r="AV523" s="297"/>
      <c r="AW523" s="297"/>
      <c r="AX523" s="297"/>
      <c r="AY523" s="298"/>
      <c r="AZ523" s="298"/>
      <c r="BA523" s="297"/>
      <c r="BB523" s="323"/>
    </row>
    <row r="524" spans="1:54" s="256" customFormat="1" ht="20" hidden="1" customHeight="1">
      <c r="A524" s="260">
        <v>524</v>
      </c>
      <c r="B524" s="323"/>
      <c r="C524" s="323"/>
      <c r="D524" s="323"/>
      <c r="E524" s="323"/>
      <c r="F524" s="323"/>
      <c r="G524" s="323"/>
      <c r="H524" s="323"/>
      <c r="I524" s="323"/>
      <c r="J524" s="323"/>
      <c r="K524" s="323"/>
      <c r="L524" s="323"/>
      <c r="M524" s="340"/>
      <c r="N524" s="278"/>
      <c r="O524" s="278"/>
      <c r="P524" s="283"/>
      <c r="Q524" s="278"/>
      <c r="R524" s="284"/>
      <c r="S524" s="282"/>
      <c r="T524" s="285"/>
      <c r="U524" s="286"/>
      <c r="V524" s="287"/>
      <c r="W524" s="288"/>
      <c r="X524" s="286"/>
      <c r="Y524" s="289"/>
      <c r="Z524" s="289"/>
      <c r="AA524" s="290"/>
      <c r="AB524" s="291"/>
      <c r="AC524" s="292"/>
      <c r="AD524" s="293"/>
      <c r="AE524" s="293"/>
      <c r="AF524" s="294"/>
      <c r="AG524" s="291"/>
      <c r="AH524" s="295"/>
      <c r="AI524" s="291"/>
      <c r="AJ524" s="295"/>
      <c r="AK524" s="291"/>
      <c r="AL524" s="291"/>
      <c r="AM524" s="291"/>
      <c r="AN524" s="296"/>
      <c r="AO524" s="296"/>
      <c r="AP524" s="296"/>
      <c r="AQ524" s="296"/>
      <c r="AR524" s="296"/>
      <c r="AS524" s="296"/>
      <c r="AT524" s="297"/>
      <c r="AU524" s="297"/>
      <c r="AV524" s="297"/>
      <c r="AW524" s="297"/>
      <c r="AX524" s="297"/>
      <c r="AY524" s="298"/>
      <c r="AZ524" s="298"/>
      <c r="BA524" s="297"/>
      <c r="BB524" s="323"/>
    </row>
    <row r="525" spans="1:54" s="256" customFormat="1" ht="20" hidden="1" customHeight="1">
      <c r="A525" s="260">
        <v>525</v>
      </c>
      <c r="B525" s="323"/>
      <c r="C525" s="323"/>
      <c r="D525" s="323"/>
      <c r="E525" s="323"/>
      <c r="F525" s="323"/>
      <c r="G525" s="323"/>
      <c r="H525" s="323"/>
      <c r="I525" s="323"/>
      <c r="J525" s="323"/>
      <c r="K525" s="323"/>
      <c r="L525" s="323"/>
      <c r="M525" s="340"/>
      <c r="N525" s="278"/>
      <c r="O525" s="278"/>
      <c r="P525" s="283"/>
      <c r="Q525" s="278"/>
      <c r="R525" s="284"/>
      <c r="S525" s="282"/>
      <c r="T525" s="285"/>
      <c r="U525" s="286"/>
      <c r="V525" s="287"/>
      <c r="W525" s="288"/>
      <c r="X525" s="286"/>
      <c r="Y525" s="289"/>
      <c r="Z525" s="289"/>
      <c r="AA525" s="290"/>
      <c r="AB525" s="291"/>
      <c r="AC525" s="292"/>
      <c r="AD525" s="293"/>
      <c r="AE525" s="293"/>
      <c r="AF525" s="294"/>
      <c r="AG525" s="291"/>
      <c r="AH525" s="295"/>
      <c r="AI525" s="291"/>
      <c r="AJ525" s="295"/>
      <c r="AK525" s="291"/>
      <c r="AL525" s="291"/>
      <c r="AM525" s="291"/>
      <c r="AN525" s="296"/>
      <c r="AO525" s="296"/>
      <c r="AP525" s="296"/>
      <c r="AQ525" s="296"/>
      <c r="AR525" s="296"/>
      <c r="AS525" s="296"/>
      <c r="AT525" s="297"/>
      <c r="AU525" s="297"/>
      <c r="AV525" s="297"/>
      <c r="AW525" s="297"/>
      <c r="AX525" s="297"/>
      <c r="AY525" s="298"/>
      <c r="AZ525" s="298"/>
      <c r="BA525" s="297"/>
      <c r="BB525" s="323"/>
    </row>
    <row r="526" spans="1:54" s="256" customFormat="1" ht="20" hidden="1" customHeight="1">
      <c r="A526" s="260">
        <v>526</v>
      </c>
      <c r="B526" s="323"/>
      <c r="C526" s="323"/>
      <c r="D526" s="323"/>
      <c r="E526" s="323"/>
      <c r="F526" s="323"/>
      <c r="G526" s="323"/>
      <c r="H526" s="323"/>
      <c r="I526" s="323"/>
      <c r="J526" s="323"/>
      <c r="K526" s="323"/>
      <c r="L526" s="323"/>
      <c r="M526" s="340"/>
      <c r="N526" s="278"/>
      <c r="O526" s="278"/>
      <c r="P526" s="283"/>
      <c r="Q526" s="278"/>
      <c r="R526" s="284"/>
      <c r="S526" s="282"/>
      <c r="T526" s="285"/>
      <c r="U526" s="286"/>
      <c r="V526" s="287"/>
      <c r="W526" s="288"/>
      <c r="X526" s="286"/>
      <c r="Y526" s="289"/>
      <c r="Z526" s="289"/>
      <c r="AA526" s="290"/>
      <c r="AB526" s="291"/>
      <c r="AC526" s="292"/>
      <c r="AD526" s="293"/>
      <c r="AE526" s="293"/>
      <c r="AF526" s="294"/>
      <c r="AG526" s="291"/>
      <c r="AH526" s="295"/>
      <c r="AI526" s="291"/>
      <c r="AJ526" s="295"/>
      <c r="AK526" s="291"/>
      <c r="AL526" s="291"/>
      <c r="AM526" s="291"/>
      <c r="AN526" s="296"/>
      <c r="AO526" s="296"/>
      <c r="AP526" s="296"/>
      <c r="AQ526" s="296"/>
      <c r="AR526" s="296"/>
      <c r="AS526" s="296"/>
      <c r="AT526" s="297"/>
      <c r="AU526" s="297"/>
      <c r="AV526" s="297"/>
      <c r="AW526" s="297"/>
      <c r="AX526" s="297"/>
      <c r="AY526" s="298"/>
      <c r="AZ526" s="298"/>
      <c r="BA526" s="297"/>
      <c r="BB526" s="323"/>
    </row>
    <row r="527" spans="1:54" s="256" customFormat="1" ht="20" hidden="1" customHeight="1">
      <c r="A527" s="260">
        <v>527</v>
      </c>
      <c r="B527" s="323"/>
      <c r="C527" s="323"/>
      <c r="D527" s="323"/>
      <c r="E527" s="323"/>
      <c r="F527" s="323"/>
      <c r="G527" s="323"/>
      <c r="H527" s="323"/>
      <c r="I527" s="323"/>
      <c r="J527" s="323"/>
      <c r="K527" s="323"/>
      <c r="L527" s="323"/>
      <c r="M527" s="340"/>
      <c r="N527" s="323"/>
      <c r="O527" s="323"/>
      <c r="P527" s="323"/>
      <c r="Q527" s="323"/>
      <c r="R527" s="323"/>
      <c r="S527" s="332"/>
      <c r="T527" s="324"/>
      <c r="U527" s="324"/>
      <c r="V527" s="325"/>
      <c r="W527" s="326"/>
      <c r="X527" s="324"/>
      <c r="Y527" s="324"/>
      <c r="Z527" s="324"/>
      <c r="AA527" s="324"/>
      <c r="AB527" s="327"/>
      <c r="AC527" s="328"/>
      <c r="AD527" s="329"/>
      <c r="AE527" s="329"/>
      <c r="AF527" s="330"/>
      <c r="AG527" s="327"/>
      <c r="AH527" s="330"/>
      <c r="AI527" s="327"/>
      <c r="AJ527" s="330"/>
      <c r="AK527" s="327"/>
      <c r="AL527" s="327"/>
      <c r="AM527" s="327"/>
      <c r="AN527" s="329"/>
      <c r="AO527" s="329"/>
      <c r="AP527" s="329"/>
      <c r="AQ527" s="329"/>
      <c r="AR527" s="329"/>
      <c r="AS527" s="329"/>
      <c r="AT527" s="329"/>
      <c r="AU527" s="329"/>
      <c r="AV527" s="329"/>
      <c r="AW527" s="329"/>
      <c r="AX527" s="329"/>
      <c r="AY527" s="329"/>
      <c r="AZ527" s="329"/>
      <c r="BA527" s="329"/>
      <c r="BB527" s="323"/>
    </row>
    <row r="528" spans="1:54" ht="22.9">
      <c r="U528" s="87"/>
      <c r="V528" s="202"/>
      <c r="X528" s="87"/>
      <c r="Y528" s="87"/>
      <c r="AA528" s="87"/>
      <c r="AB528" s="13"/>
      <c r="AC528" s="245"/>
      <c r="AD528" s="8"/>
      <c r="AE528" s="8"/>
      <c r="AF528" s="12"/>
      <c r="AG528" s="13"/>
      <c r="AH528" s="12"/>
      <c r="AI528" s="13"/>
      <c r="AJ528" s="12"/>
      <c r="AK528" s="13"/>
      <c r="AL528" s="13"/>
      <c r="AM528" s="13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</row>
    <row r="529" spans="21:53" ht="22.9">
      <c r="U529" s="87"/>
      <c r="V529" s="202"/>
      <c r="X529" s="87"/>
      <c r="Y529" s="87"/>
      <c r="AA529" s="87"/>
      <c r="AB529" s="13"/>
      <c r="AC529" s="245"/>
      <c r="AD529" s="8"/>
      <c r="AE529" s="8"/>
      <c r="AF529" s="12"/>
      <c r="AG529" s="13"/>
      <c r="AH529" s="12"/>
      <c r="AI529" s="13"/>
      <c r="AJ529" s="12"/>
      <c r="AK529" s="13"/>
      <c r="AL529" s="13"/>
      <c r="AM529" s="13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</row>
    <row r="530" spans="21:53" ht="22.9">
      <c r="U530" s="87"/>
      <c r="V530" s="202"/>
      <c r="X530" s="87"/>
      <c r="Y530" s="87"/>
      <c r="AA530" s="87"/>
      <c r="AB530" s="13"/>
      <c r="AC530" s="245"/>
      <c r="AD530" s="8"/>
      <c r="AE530" s="8"/>
      <c r="AF530" s="12"/>
      <c r="AG530" s="13"/>
      <c r="AH530" s="12"/>
      <c r="AI530" s="13"/>
      <c r="AJ530" s="12"/>
      <c r="AK530" s="13"/>
      <c r="AL530" s="13"/>
      <c r="AM530" s="13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</row>
    <row r="531" spans="21:53" ht="22.9">
      <c r="U531" s="87"/>
      <c r="V531" s="202"/>
      <c r="X531" s="87"/>
      <c r="Y531" s="87"/>
      <c r="AA531" s="87"/>
      <c r="AB531" s="13"/>
      <c r="AC531" s="245"/>
      <c r="AD531" s="8"/>
      <c r="AE531" s="8"/>
      <c r="AF531" s="12"/>
      <c r="AG531" s="13"/>
      <c r="AH531" s="12"/>
      <c r="AI531" s="13"/>
      <c r="AJ531" s="12"/>
      <c r="AK531" s="13"/>
      <c r="AL531" s="13"/>
      <c r="AM531" s="13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</row>
    <row r="532" spans="21:53" ht="22.9">
      <c r="U532" s="87"/>
      <c r="V532" s="202"/>
      <c r="X532" s="87"/>
      <c r="Y532" s="87"/>
      <c r="AA532" s="87"/>
      <c r="AB532" s="13"/>
      <c r="AC532" s="245"/>
      <c r="AD532" s="8"/>
      <c r="AE532" s="8"/>
      <c r="AF532" s="12"/>
      <c r="AG532" s="13"/>
      <c r="AH532" s="12"/>
      <c r="AI532" s="13"/>
      <c r="AJ532" s="12"/>
      <c r="AK532" s="13"/>
      <c r="AL532" s="13"/>
      <c r="AM532" s="13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</row>
    <row r="533" spans="21:53" ht="22.9">
      <c r="U533" s="87"/>
      <c r="V533" s="202"/>
      <c r="X533" s="87"/>
      <c r="Y533" s="87"/>
      <c r="AA533" s="87"/>
      <c r="AB533" s="13"/>
      <c r="AC533" s="245"/>
      <c r="AD533" s="8"/>
      <c r="AE533" s="8"/>
      <c r="AF533" s="12"/>
      <c r="AG533" s="13"/>
      <c r="AH533" s="12"/>
      <c r="AI533" s="13"/>
      <c r="AJ533" s="12"/>
      <c r="AK533" s="13"/>
      <c r="AL533" s="13"/>
      <c r="AM533" s="13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</row>
    <row r="534" spans="21:53" ht="22.9">
      <c r="U534" s="87"/>
      <c r="V534" s="202"/>
      <c r="X534" s="87"/>
      <c r="Y534" s="87"/>
      <c r="AA534" s="87"/>
      <c r="AB534" s="13"/>
      <c r="AC534" s="245"/>
      <c r="AD534" s="8"/>
      <c r="AE534" s="8"/>
      <c r="AF534" s="12"/>
      <c r="AG534" s="13"/>
      <c r="AH534" s="12"/>
      <c r="AI534" s="13"/>
      <c r="AJ534" s="12"/>
      <c r="AK534" s="13"/>
      <c r="AL534" s="13"/>
      <c r="AM534" s="13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</row>
    <row r="535" spans="21:53" ht="22.9">
      <c r="U535" s="87"/>
      <c r="V535" s="202"/>
      <c r="X535" s="87"/>
      <c r="Y535" s="87"/>
      <c r="AA535" s="87"/>
      <c r="AB535" s="13"/>
      <c r="AC535" s="245"/>
      <c r="AD535" s="8"/>
      <c r="AE535" s="8"/>
      <c r="AF535" s="12"/>
      <c r="AG535" s="13"/>
      <c r="AH535" s="12"/>
      <c r="AI535" s="13"/>
      <c r="AJ535" s="12"/>
      <c r="AK535" s="13"/>
      <c r="AL535" s="13"/>
      <c r="AM535" s="13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</row>
    <row r="536" spans="21:53" ht="22.9">
      <c r="U536" s="87"/>
      <c r="V536" s="202"/>
      <c r="X536" s="87"/>
      <c r="Y536" s="87"/>
      <c r="AA536" s="87"/>
      <c r="AB536" s="13"/>
      <c r="AC536" s="245"/>
      <c r="AD536" s="8"/>
      <c r="AE536" s="8"/>
      <c r="AF536" s="12"/>
      <c r="AG536" s="13"/>
      <c r="AH536" s="12"/>
      <c r="AI536" s="13"/>
      <c r="AJ536" s="12"/>
      <c r="AK536" s="13"/>
      <c r="AL536" s="13"/>
      <c r="AM536" s="13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</row>
    <row r="537" spans="21:53" ht="22.9">
      <c r="U537" s="87"/>
      <c r="V537" s="202"/>
      <c r="X537" s="87"/>
      <c r="Y537" s="87"/>
      <c r="AA537" s="87"/>
      <c r="AB537" s="13"/>
      <c r="AC537" s="245"/>
      <c r="AD537" s="8"/>
      <c r="AE537" s="8"/>
      <c r="AF537" s="12"/>
      <c r="AG537" s="13"/>
      <c r="AH537" s="12"/>
      <c r="AI537" s="13"/>
      <c r="AJ537" s="12"/>
      <c r="AK537" s="13"/>
      <c r="AL537" s="13"/>
      <c r="AM537" s="13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</row>
    <row r="538" spans="21:53" ht="22.9">
      <c r="U538" s="87"/>
      <c r="V538" s="202"/>
      <c r="X538" s="87"/>
      <c r="Y538" s="87"/>
      <c r="AA538" s="87"/>
      <c r="AB538" s="13"/>
      <c r="AC538" s="245"/>
      <c r="AD538" s="8"/>
      <c r="AE538" s="8"/>
      <c r="AF538" s="12"/>
      <c r="AG538" s="13"/>
      <c r="AH538" s="12"/>
      <c r="AI538" s="13"/>
      <c r="AJ538" s="12"/>
      <c r="AK538" s="13"/>
      <c r="AL538" s="13"/>
      <c r="AM538" s="13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</row>
    <row r="539" spans="21:53" ht="22.9">
      <c r="U539" s="87"/>
      <c r="V539" s="202"/>
      <c r="X539" s="87"/>
      <c r="Y539" s="87"/>
      <c r="AA539" s="87"/>
      <c r="AB539" s="13"/>
      <c r="AC539" s="245"/>
      <c r="AD539" s="8"/>
      <c r="AE539" s="8"/>
      <c r="AF539" s="12"/>
      <c r="AG539" s="13"/>
      <c r="AH539" s="12"/>
      <c r="AI539" s="13"/>
      <c r="AJ539" s="12"/>
      <c r="AK539" s="13"/>
      <c r="AL539" s="13"/>
      <c r="AM539" s="13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</row>
    <row r="540" spans="21:53" ht="22.9">
      <c r="U540" s="87"/>
      <c r="V540" s="202"/>
      <c r="X540" s="87"/>
      <c r="Y540" s="87"/>
      <c r="AA540" s="87"/>
      <c r="AB540" s="13"/>
      <c r="AC540" s="245"/>
      <c r="AD540" s="8"/>
      <c r="AE540" s="8"/>
      <c r="AF540" s="12"/>
      <c r="AG540" s="13"/>
      <c r="AH540" s="12"/>
      <c r="AI540" s="13"/>
      <c r="AJ540" s="12"/>
      <c r="AK540" s="13"/>
      <c r="AL540" s="13"/>
      <c r="AM540" s="13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</row>
    <row r="541" spans="21:53" ht="22.9">
      <c r="U541" s="87"/>
      <c r="V541" s="202"/>
      <c r="X541" s="87"/>
      <c r="Y541" s="87"/>
      <c r="AA541" s="87"/>
      <c r="AB541" s="13"/>
      <c r="AC541" s="245"/>
      <c r="AD541" s="8"/>
      <c r="AE541" s="8"/>
      <c r="AF541" s="12"/>
      <c r="AG541" s="13"/>
      <c r="AH541" s="12"/>
      <c r="AI541" s="13"/>
      <c r="AJ541" s="12"/>
      <c r="AK541" s="13"/>
      <c r="AL541" s="13"/>
      <c r="AM541" s="13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</row>
    <row r="542" spans="21:53" ht="22.9">
      <c r="U542" s="87"/>
      <c r="V542" s="202"/>
      <c r="X542" s="87"/>
      <c r="Y542" s="87"/>
      <c r="AA542" s="87"/>
      <c r="AB542" s="13"/>
      <c r="AC542" s="245"/>
      <c r="AD542" s="8"/>
      <c r="AE542" s="8"/>
      <c r="AF542" s="12"/>
      <c r="AG542" s="13"/>
      <c r="AH542" s="12"/>
      <c r="AI542" s="13"/>
      <c r="AJ542" s="12"/>
      <c r="AK542" s="13"/>
      <c r="AL542" s="13"/>
      <c r="AM542" s="13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</row>
    <row r="543" spans="21:53" ht="22.9">
      <c r="U543" s="87"/>
      <c r="V543" s="202"/>
      <c r="X543" s="87"/>
      <c r="Y543" s="87"/>
      <c r="AA543" s="87"/>
      <c r="AB543" s="13"/>
      <c r="AC543" s="245"/>
      <c r="AD543" s="8"/>
      <c r="AE543" s="8"/>
      <c r="AF543" s="12"/>
      <c r="AG543" s="13"/>
      <c r="AH543" s="12"/>
      <c r="AI543" s="13"/>
      <c r="AJ543" s="12"/>
      <c r="AK543" s="13"/>
      <c r="AL543" s="13"/>
      <c r="AM543" s="13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</row>
    <row r="544" spans="21:53" ht="22.9">
      <c r="U544" s="87"/>
      <c r="V544" s="202"/>
      <c r="X544" s="87"/>
      <c r="Y544" s="87"/>
      <c r="AA544" s="87"/>
      <c r="AB544" s="13"/>
      <c r="AC544" s="245"/>
      <c r="AD544" s="8"/>
      <c r="AE544" s="8"/>
      <c r="AF544" s="12"/>
      <c r="AG544" s="13"/>
      <c r="AH544" s="12"/>
      <c r="AI544" s="13"/>
      <c r="AJ544" s="12"/>
      <c r="AK544" s="13"/>
      <c r="AL544" s="13"/>
      <c r="AM544" s="13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</row>
    <row r="545" spans="21:53" ht="22.9">
      <c r="U545" s="87"/>
      <c r="V545" s="202"/>
      <c r="X545" s="87"/>
      <c r="Y545" s="87"/>
      <c r="AA545" s="87"/>
      <c r="AB545" s="13"/>
      <c r="AC545" s="245"/>
      <c r="AD545" s="8"/>
      <c r="AE545" s="8"/>
      <c r="AF545" s="12"/>
      <c r="AG545" s="13"/>
      <c r="AH545" s="12"/>
      <c r="AI545" s="13"/>
      <c r="AJ545" s="12"/>
      <c r="AK545" s="13"/>
      <c r="AL545" s="13"/>
      <c r="AM545" s="13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</row>
    <row r="546" spans="21:53" ht="22.9">
      <c r="U546" s="87"/>
      <c r="V546" s="202"/>
      <c r="X546" s="87"/>
      <c r="Y546" s="87"/>
      <c r="AA546" s="87"/>
      <c r="AB546" s="13"/>
      <c r="AC546" s="245"/>
      <c r="AD546" s="8"/>
      <c r="AE546" s="8"/>
      <c r="AF546" s="12"/>
      <c r="AG546" s="13"/>
      <c r="AH546" s="12"/>
      <c r="AI546" s="13"/>
      <c r="AJ546" s="12"/>
      <c r="AK546" s="13"/>
      <c r="AL546" s="13"/>
      <c r="AM546" s="13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</row>
    <row r="547" spans="21:53" ht="22.9">
      <c r="U547" s="87"/>
      <c r="V547" s="202"/>
      <c r="X547" s="87"/>
      <c r="Y547" s="87"/>
      <c r="AA547" s="87"/>
      <c r="AB547" s="13"/>
      <c r="AC547" s="245"/>
      <c r="AD547" s="8"/>
      <c r="AE547" s="8"/>
      <c r="AF547" s="12"/>
      <c r="AG547" s="13"/>
      <c r="AH547" s="12"/>
      <c r="AI547" s="13"/>
      <c r="AJ547" s="12"/>
      <c r="AK547" s="13"/>
      <c r="AL547" s="13"/>
      <c r="AM547" s="13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</row>
    <row r="548" spans="21:53" ht="22.9">
      <c r="U548" s="87"/>
      <c r="V548" s="202"/>
      <c r="X548" s="87"/>
      <c r="Y548" s="87"/>
      <c r="AA548" s="87"/>
      <c r="AB548" s="13"/>
      <c r="AC548" s="245"/>
      <c r="AD548" s="8"/>
      <c r="AE548" s="8"/>
      <c r="AF548" s="12"/>
      <c r="AG548" s="13"/>
      <c r="AH548" s="12"/>
      <c r="AI548" s="13"/>
      <c r="AJ548" s="12"/>
      <c r="AK548" s="13"/>
      <c r="AL548" s="13"/>
      <c r="AM548" s="13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</row>
    <row r="549" spans="21:53" ht="22.9">
      <c r="U549" s="87"/>
      <c r="V549" s="202"/>
      <c r="X549" s="87"/>
      <c r="Y549" s="87"/>
      <c r="AA549" s="87"/>
      <c r="AB549" s="13"/>
      <c r="AC549" s="245"/>
      <c r="AD549" s="8"/>
      <c r="AE549" s="8"/>
      <c r="AF549" s="12"/>
      <c r="AG549" s="13"/>
      <c r="AH549" s="12"/>
      <c r="AI549" s="13"/>
      <c r="AJ549" s="12"/>
      <c r="AK549" s="13"/>
      <c r="AL549" s="13"/>
      <c r="AM549" s="13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</row>
    <row r="550" spans="21:53" ht="22.9">
      <c r="U550" s="87"/>
      <c r="V550" s="202"/>
      <c r="X550" s="87"/>
      <c r="Y550" s="87"/>
      <c r="AA550" s="87"/>
      <c r="AB550" s="13"/>
      <c r="AC550" s="245"/>
      <c r="AD550" s="8"/>
      <c r="AE550" s="8"/>
      <c r="AF550" s="12"/>
      <c r="AG550" s="13"/>
      <c r="AH550" s="12"/>
      <c r="AI550" s="13"/>
      <c r="AJ550" s="12"/>
      <c r="AK550" s="13"/>
      <c r="AL550" s="13"/>
      <c r="AM550" s="13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</row>
    <row r="551" spans="21:53" ht="22.9">
      <c r="U551" s="87"/>
      <c r="V551" s="202"/>
      <c r="X551" s="87"/>
      <c r="Y551" s="87"/>
      <c r="AA551" s="87"/>
      <c r="AB551" s="13"/>
      <c r="AC551" s="245"/>
      <c r="AD551" s="8"/>
      <c r="AE551" s="8"/>
      <c r="AF551" s="12"/>
      <c r="AG551" s="13"/>
      <c r="AH551" s="12"/>
      <c r="AI551" s="13"/>
      <c r="AJ551" s="12"/>
      <c r="AK551" s="13"/>
      <c r="AL551" s="13"/>
      <c r="AM551" s="13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</row>
    <row r="552" spans="21:53" ht="22.9">
      <c r="U552" s="87"/>
      <c r="V552" s="202"/>
      <c r="X552" s="87"/>
      <c r="Y552" s="87"/>
      <c r="AA552" s="87"/>
      <c r="AB552" s="13"/>
      <c r="AC552" s="245"/>
      <c r="AD552" s="8"/>
      <c r="AE552" s="8"/>
      <c r="AF552" s="12"/>
      <c r="AG552" s="13"/>
      <c r="AH552" s="12"/>
      <c r="AI552" s="13"/>
      <c r="AJ552" s="12"/>
      <c r="AK552" s="13"/>
      <c r="AL552" s="13"/>
      <c r="AM552" s="13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</row>
    <row r="553" spans="21:53" ht="22.9">
      <c r="U553" s="87"/>
      <c r="V553" s="202"/>
      <c r="X553" s="87"/>
      <c r="Y553" s="87"/>
      <c r="AA553" s="87"/>
      <c r="AB553" s="13"/>
      <c r="AC553" s="245"/>
      <c r="AD553" s="8"/>
      <c r="AE553" s="8"/>
      <c r="AF553" s="12"/>
      <c r="AG553" s="13"/>
      <c r="AH553" s="12"/>
      <c r="AI553" s="13"/>
      <c r="AJ553" s="12"/>
      <c r="AK553" s="13"/>
      <c r="AL553" s="13"/>
      <c r="AM553" s="13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</row>
    <row r="554" spans="21:53" ht="22.9">
      <c r="U554" s="87"/>
      <c r="V554" s="202"/>
      <c r="X554" s="87"/>
      <c r="Y554" s="87"/>
      <c r="AA554" s="87"/>
      <c r="AB554" s="13"/>
      <c r="AC554" s="245"/>
      <c r="AD554" s="8"/>
      <c r="AE554" s="8"/>
      <c r="AF554" s="12"/>
      <c r="AG554" s="13"/>
      <c r="AH554" s="12"/>
      <c r="AI554" s="13"/>
      <c r="AJ554" s="12"/>
      <c r="AK554" s="13"/>
      <c r="AL554" s="13"/>
      <c r="AM554" s="13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</row>
    <row r="555" spans="21:53" ht="22.9">
      <c r="U555" s="87"/>
      <c r="V555" s="202"/>
      <c r="X555" s="87"/>
      <c r="Y555" s="87"/>
      <c r="AA555" s="87"/>
      <c r="AB555" s="13"/>
      <c r="AC555" s="245"/>
      <c r="AD555" s="8"/>
      <c r="AE555" s="8"/>
      <c r="AF555" s="12"/>
      <c r="AG555" s="13"/>
      <c r="AH555" s="12"/>
      <c r="AI555" s="13"/>
      <c r="AJ555" s="12"/>
      <c r="AK555" s="13"/>
      <c r="AL555" s="13"/>
      <c r="AM555" s="13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</row>
    <row r="556" spans="21:53" ht="22.9">
      <c r="U556" s="87"/>
      <c r="V556" s="202"/>
      <c r="X556" s="87"/>
      <c r="Y556" s="87"/>
      <c r="AA556" s="87"/>
      <c r="AB556" s="13"/>
      <c r="AC556" s="245"/>
      <c r="AD556" s="8"/>
      <c r="AE556" s="8"/>
      <c r="AF556" s="12"/>
      <c r="AG556" s="13"/>
      <c r="AH556" s="12"/>
      <c r="AI556" s="13"/>
      <c r="AJ556" s="12"/>
      <c r="AK556" s="13"/>
      <c r="AL556" s="13"/>
      <c r="AM556" s="13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</row>
    <row r="557" spans="21:53" ht="22.9">
      <c r="U557" s="87"/>
      <c r="V557" s="202"/>
      <c r="X557" s="87"/>
      <c r="Y557" s="87"/>
      <c r="AA557" s="87"/>
      <c r="AB557" s="13"/>
      <c r="AC557" s="245"/>
      <c r="AD557" s="8"/>
      <c r="AE557" s="8"/>
      <c r="AF557" s="12"/>
      <c r="AG557" s="13"/>
      <c r="AH557" s="12"/>
      <c r="AI557" s="13"/>
      <c r="AJ557" s="12"/>
      <c r="AK557" s="13"/>
      <c r="AL557" s="13"/>
      <c r="AM557" s="13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</row>
    <row r="558" spans="21:53" ht="22.9">
      <c r="U558" s="87"/>
      <c r="V558" s="202"/>
      <c r="X558" s="87"/>
      <c r="Y558" s="87"/>
      <c r="AA558" s="87"/>
      <c r="AB558" s="13"/>
      <c r="AC558" s="245"/>
      <c r="AD558" s="8"/>
      <c r="AE558" s="8"/>
      <c r="AF558" s="12"/>
      <c r="AG558" s="13"/>
      <c r="AH558" s="12"/>
      <c r="AI558" s="13"/>
      <c r="AJ558" s="12"/>
      <c r="AK558" s="13"/>
      <c r="AL558" s="13"/>
      <c r="AM558" s="13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</row>
    <row r="559" spans="21:53" ht="22.9">
      <c r="U559" s="87"/>
      <c r="V559" s="202"/>
      <c r="X559" s="87"/>
      <c r="Y559" s="87"/>
      <c r="AA559" s="87"/>
      <c r="AB559" s="13"/>
      <c r="AC559" s="245"/>
      <c r="AD559" s="8"/>
      <c r="AE559" s="8"/>
      <c r="AF559" s="12"/>
      <c r="AG559" s="13"/>
      <c r="AH559" s="12"/>
      <c r="AI559" s="13"/>
      <c r="AJ559" s="12"/>
      <c r="AK559" s="13"/>
      <c r="AL559" s="13"/>
      <c r="AM559" s="13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</row>
    <row r="560" spans="21:53" ht="22.9">
      <c r="U560" s="87"/>
      <c r="V560" s="202"/>
      <c r="X560" s="87"/>
      <c r="Y560" s="87"/>
      <c r="AA560" s="87"/>
      <c r="AB560" s="13"/>
      <c r="AC560" s="245"/>
      <c r="AD560" s="8"/>
      <c r="AE560" s="8"/>
      <c r="AF560" s="12"/>
      <c r="AG560" s="13"/>
      <c r="AH560" s="12"/>
      <c r="AI560" s="13"/>
      <c r="AJ560" s="12"/>
      <c r="AK560" s="13"/>
      <c r="AL560" s="13"/>
      <c r="AM560" s="13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</row>
    <row r="561" spans="21:53" ht="22.9">
      <c r="U561" s="87"/>
      <c r="V561" s="202"/>
      <c r="X561" s="87"/>
      <c r="Y561" s="87"/>
      <c r="AA561" s="87"/>
      <c r="AB561" s="13"/>
      <c r="AC561" s="245"/>
      <c r="AD561" s="8"/>
      <c r="AE561" s="8"/>
      <c r="AF561" s="12"/>
      <c r="AG561" s="13"/>
      <c r="AH561" s="12"/>
      <c r="AI561" s="13"/>
      <c r="AJ561" s="12"/>
      <c r="AK561" s="13"/>
      <c r="AL561" s="13"/>
      <c r="AM561" s="13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</row>
    <row r="562" spans="21:53" ht="22.9">
      <c r="U562" s="87"/>
      <c r="V562" s="202"/>
      <c r="X562" s="87"/>
      <c r="Y562" s="87"/>
      <c r="AA562" s="87"/>
      <c r="AB562" s="13"/>
      <c r="AC562" s="245"/>
      <c r="AD562" s="8"/>
      <c r="AE562" s="8"/>
      <c r="AF562" s="12"/>
      <c r="AG562" s="13"/>
      <c r="AH562" s="12"/>
      <c r="AI562" s="13"/>
      <c r="AJ562" s="12"/>
      <c r="AK562" s="13"/>
      <c r="AL562" s="13"/>
      <c r="AM562" s="13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</row>
    <row r="563" spans="21:53" ht="22.9">
      <c r="U563" s="87"/>
      <c r="V563" s="202"/>
      <c r="X563" s="87"/>
      <c r="Y563" s="87"/>
      <c r="AA563" s="87"/>
      <c r="AB563" s="13"/>
      <c r="AC563" s="245"/>
      <c r="AD563" s="8"/>
      <c r="AE563" s="8"/>
      <c r="AF563" s="12"/>
      <c r="AG563" s="13"/>
      <c r="AH563" s="12"/>
      <c r="AI563" s="13"/>
      <c r="AJ563" s="12"/>
      <c r="AK563" s="13"/>
      <c r="AL563" s="13"/>
      <c r="AM563" s="13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</row>
    <row r="564" spans="21:53" ht="22.9">
      <c r="U564" s="87"/>
      <c r="V564" s="202"/>
      <c r="X564" s="87"/>
      <c r="Y564" s="87"/>
      <c r="AA564" s="87"/>
      <c r="AB564" s="13"/>
      <c r="AC564" s="245"/>
      <c r="AD564" s="8"/>
      <c r="AE564" s="8"/>
      <c r="AF564" s="12"/>
      <c r="AG564" s="13"/>
      <c r="AH564" s="12"/>
      <c r="AI564" s="13"/>
      <c r="AJ564" s="12"/>
      <c r="AK564" s="13"/>
      <c r="AL564" s="13"/>
      <c r="AM564" s="13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</row>
    <row r="565" spans="21:53" ht="22.9">
      <c r="U565" s="87"/>
      <c r="V565" s="202"/>
      <c r="X565" s="87"/>
      <c r="Y565" s="87"/>
      <c r="AA565" s="87"/>
      <c r="AB565" s="13"/>
      <c r="AC565" s="245"/>
      <c r="AD565" s="8"/>
      <c r="AE565" s="8"/>
      <c r="AF565" s="12"/>
      <c r="AG565" s="13"/>
      <c r="AH565" s="12"/>
      <c r="AI565" s="13"/>
      <c r="AJ565" s="12"/>
      <c r="AK565" s="13"/>
      <c r="AL565" s="13"/>
      <c r="AM565" s="13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</row>
    <row r="566" spans="21:53" ht="22.9">
      <c r="U566" s="87"/>
      <c r="V566" s="202"/>
      <c r="X566" s="87"/>
      <c r="Y566" s="87"/>
      <c r="AA566" s="87"/>
      <c r="AB566" s="13"/>
      <c r="AC566" s="245"/>
      <c r="AD566" s="8"/>
      <c r="AE566" s="8"/>
      <c r="AF566" s="12"/>
      <c r="AG566" s="13"/>
      <c r="AH566" s="12"/>
      <c r="AI566" s="13"/>
      <c r="AJ566" s="12"/>
      <c r="AK566" s="13"/>
      <c r="AL566" s="13"/>
      <c r="AM566" s="13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</row>
    <row r="567" spans="21:53" ht="22.9">
      <c r="U567" s="87"/>
      <c r="V567" s="202"/>
      <c r="X567" s="87"/>
      <c r="Y567" s="87"/>
      <c r="AA567" s="87"/>
      <c r="AB567" s="13"/>
      <c r="AC567" s="245"/>
      <c r="AD567" s="8"/>
      <c r="AE567" s="8"/>
      <c r="AF567" s="12"/>
      <c r="AG567" s="13"/>
      <c r="AH567" s="12"/>
      <c r="AI567" s="13"/>
      <c r="AJ567" s="12"/>
      <c r="AK567" s="13"/>
      <c r="AL567" s="13"/>
      <c r="AM567" s="13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</row>
    <row r="568" spans="21:53" ht="22.9">
      <c r="U568" s="87"/>
      <c r="V568" s="202"/>
      <c r="X568" s="87"/>
      <c r="Y568" s="87"/>
      <c r="AA568" s="87"/>
      <c r="AB568" s="13"/>
      <c r="AC568" s="245"/>
      <c r="AD568" s="8"/>
      <c r="AE568" s="8"/>
      <c r="AF568" s="12"/>
      <c r="AG568" s="13"/>
      <c r="AH568" s="12"/>
      <c r="AI568" s="13"/>
      <c r="AJ568" s="12"/>
      <c r="AK568" s="13"/>
      <c r="AL568" s="13"/>
      <c r="AM568" s="13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</row>
    <row r="569" spans="21:53" ht="22.9">
      <c r="U569" s="87"/>
      <c r="V569" s="202"/>
      <c r="X569" s="87"/>
      <c r="Y569" s="87"/>
      <c r="AA569" s="87"/>
      <c r="AB569" s="13"/>
      <c r="AC569" s="245"/>
      <c r="AD569" s="8"/>
      <c r="AE569" s="8"/>
      <c r="AF569" s="12"/>
      <c r="AG569" s="13"/>
      <c r="AH569" s="12"/>
      <c r="AI569" s="13"/>
      <c r="AJ569" s="12"/>
      <c r="AK569" s="13"/>
      <c r="AL569" s="13"/>
      <c r="AM569" s="13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</row>
    <row r="570" spans="21:53" ht="22.9">
      <c r="U570" s="87"/>
      <c r="V570" s="202"/>
      <c r="X570" s="87"/>
      <c r="Y570" s="87"/>
      <c r="AA570" s="87"/>
      <c r="AB570" s="13"/>
      <c r="AC570" s="245"/>
      <c r="AD570" s="8"/>
      <c r="AE570" s="8"/>
      <c r="AF570" s="12"/>
      <c r="AG570" s="13"/>
      <c r="AH570" s="12"/>
      <c r="AI570" s="13"/>
      <c r="AJ570" s="12"/>
      <c r="AK570" s="13"/>
      <c r="AL570" s="13"/>
      <c r="AM570" s="13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</row>
    <row r="571" spans="21:53" ht="22.9">
      <c r="U571" s="87"/>
      <c r="V571" s="202"/>
      <c r="X571" s="87"/>
      <c r="Y571" s="87"/>
      <c r="AA571" s="87"/>
      <c r="AB571" s="13"/>
      <c r="AC571" s="245"/>
      <c r="AD571" s="8"/>
      <c r="AE571" s="8"/>
      <c r="AF571" s="12"/>
      <c r="AG571" s="13"/>
      <c r="AH571" s="12"/>
      <c r="AI571" s="13"/>
      <c r="AJ571" s="12"/>
      <c r="AK571" s="13"/>
      <c r="AL571" s="13"/>
      <c r="AM571" s="13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</row>
    <row r="572" spans="21:53" ht="22.9">
      <c r="U572" s="87"/>
      <c r="V572" s="202"/>
      <c r="X572" s="87"/>
      <c r="Y572" s="87"/>
      <c r="AA572" s="87"/>
      <c r="AB572" s="13"/>
      <c r="AC572" s="245"/>
      <c r="AD572" s="8"/>
      <c r="AE572" s="8"/>
      <c r="AF572" s="12"/>
      <c r="AG572" s="13"/>
      <c r="AH572" s="12"/>
      <c r="AI572" s="13"/>
      <c r="AJ572" s="12"/>
      <c r="AK572" s="13"/>
      <c r="AL572" s="13"/>
      <c r="AM572" s="13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</row>
    <row r="573" spans="21:53" ht="22.9">
      <c r="U573" s="87"/>
      <c r="V573" s="202"/>
      <c r="X573" s="87"/>
      <c r="Y573" s="87"/>
      <c r="AA573" s="87"/>
      <c r="AB573" s="13"/>
      <c r="AC573" s="245"/>
      <c r="AD573" s="8"/>
      <c r="AE573" s="8"/>
      <c r="AF573" s="12"/>
      <c r="AG573" s="13"/>
      <c r="AH573" s="12"/>
      <c r="AI573" s="13"/>
      <c r="AJ573" s="12"/>
      <c r="AK573" s="13"/>
      <c r="AL573" s="13"/>
      <c r="AM573" s="13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</row>
    <row r="574" spans="21:53" ht="22.9">
      <c r="U574" s="87"/>
      <c r="V574" s="202"/>
      <c r="X574" s="87"/>
      <c r="Y574" s="87"/>
      <c r="AA574" s="87"/>
      <c r="AB574" s="13"/>
      <c r="AC574" s="245"/>
      <c r="AD574" s="8"/>
      <c r="AE574" s="8"/>
      <c r="AF574" s="12"/>
      <c r="AG574" s="13"/>
      <c r="AH574" s="12"/>
      <c r="AI574" s="13"/>
      <c r="AJ574" s="12"/>
      <c r="AK574" s="13"/>
      <c r="AL574" s="13"/>
      <c r="AM574" s="13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</row>
    <row r="575" spans="21:53" ht="22.9">
      <c r="U575" s="87"/>
      <c r="V575" s="202"/>
      <c r="X575" s="87"/>
      <c r="Y575" s="87"/>
      <c r="AA575" s="87"/>
      <c r="AB575" s="13"/>
      <c r="AC575" s="245"/>
      <c r="AD575" s="8"/>
      <c r="AE575" s="8"/>
      <c r="AF575" s="12"/>
      <c r="AG575" s="13"/>
      <c r="AH575" s="12"/>
      <c r="AI575" s="13"/>
      <c r="AJ575" s="12"/>
      <c r="AK575" s="13"/>
      <c r="AL575" s="13"/>
      <c r="AM575" s="13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</row>
    <row r="576" spans="21:53" ht="22.9">
      <c r="U576" s="87"/>
      <c r="V576" s="202"/>
      <c r="X576" s="87"/>
      <c r="Y576" s="87"/>
      <c r="AA576" s="87"/>
      <c r="AB576" s="13"/>
      <c r="AC576" s="245"/>
      <c r="AD576" s="8"/>
      <c r="AE576" s="8"/>
      <c r="AF576" s="12"/>
      <c r="AG576" s="13"/>
      <c r="AH576" s="12"/>
      <c r="AI576" s="13"/>
      <c r="AJ576" s="12"/>
      <c r="AK576" s="13"/>
      <c r="AL576" s="13"/>
      <c r="AM576" s="13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</row>
    <row r="577" spans="21:53" ht="22.9">
      <c r="U577" s="87"/>
      <c r="V577" s="202"/>
      <c r="X577" s="87"/>
      <c r="Y577" s="87"/>
      <c r="AA577" s="87"/>
      <c r="AB577" s="13"/>
      <c r="AC577" s="245"/>
      <c r="AD577" s="8"/>
      <c r="AE577" s="8"/>
      <c r="AF577" s="12"/>
      <c r="AG577" s="13"/>
      <c r="AH577" s="12"/>
      <c r="AI577" s="13"/>
      <c r="AJ577" s="12"/>
      <c r="AK577" s="13"/>
      <c r="AL577" s="13"/>
      <c r="AM577" s="13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</row>
    <row r="578" spans="21:53" ht="22.9">
      <c r="U578" s="87"/>
      <c r="V578" s="202"/>
      <c r="X578" s="87"/>
      <c r="Y578" s="87"/>
      <c r="AA578" s="87"/>
      <c r="AB578" s="13"/>
      <c r="AC578" s="245"/>
      <c r="AD578" s="8"/>
      <c r="AE578" s="8"/>
      <c r="AF578" s="12"/>
      <c r="AG578" s="13"/>
      <c r="AH578" s="12"/>
      <c r="AI578" s="13"/>
      <c r="AJ578" s="12"/>
      <c r="AK578" s="13"/>
      <c r="AL578" s="13"/>
      <c r="AM578" s="13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</row>
    <row r="579" spans="21:53" ht="22.9">
      <c r="U579" s="87"/>
      <c r="V579" s="202"/>
      <c r="X579" s="87"/>
      <c r="Y579" s="87"/>
      <c r="AA579" s="87"/>
      <c r="AB579" s="13"/>
      <c r="AC579" s="245"/>
      <c r="AD579" s="8"/>
      <c r="AE579" s="8"/>
      <c r="AF579" s="12"/>
      <c r="AG579" s="13"/>
      <c r="AH579" s="12"/>
      <c r="AI579" s="13"/>
      <c r="AJ579" s="12"/>
      <c r="AK579" s="13"/>
      <c r="AL579" s="13"/>
      <c r="AM579" s="13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</row>
    <row r="580" spans="21:53" ht="22.9">
      <c r="U580" s="87"/>
      <c r="V580" s="202"/>
      <c r="X580" s="87"/>
      <c r="Y580" s="87"/>
      <c r="AA580" s="87"/>
      <c r="AB580" s="13"/>
      <c r="AC580" s="245"/>
      <c r="AD580" s="8"/>
      <c r="AE580" s="8"/>
      <c r="AF580" s="12"/>
      <c r="AG580" s="13"/>
      <c r="AH580" s="12"/>
      <c r="AI580" s="13"/>
      <c r="AJ580" s="12"/>
      <c r="AK580" s="13"/>
      <c r="AL580" s="13"/>
      <c r="AM580" s="13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</row>
    <row r="581" spans="21:53" ht="22.9">
      <c r="U581" s="87"/>
      <c r="V581" s="202"/>
      <c r="X581" s="87"/>
      <c r="Y581" s="87"/>
      <c r="AA581" s="87"/>
      <c r="AB581" s="13"/>
      <c r="AC581" s="245"/>
      <c r="AD581" s="8"/>
      <c r="AE581" s="8"/>
      <c r="AF581" s="12"/>
      <c r="AG581" s="13"/>
      <c r="AH581" s="12"/>
      <c r="AI581" s="13"/>
      <c r="AJ581" s="12"/>
      <c r="AK581" s="13"/>
      <c r="AL581" s="13"/>
      <c r="AM581" s="13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</row>
    <row r="582" spans="21:53" ht="22.9">
      <c r="U582" s="87"/>
      <c r="V582" s="202"/>
      <c r="X582" s="87"/>
      <c r="Y582" s="87"/>
      <c r="AA582" s="87"/>
      <c r="AB582" s="13"/>
      <c r="AC582" s="245"/>
      <c r="AD582" s="8"/>
      <c r="AE582" s="8"/>
      <c r="AF582" s="12"/>
      <c r="AG582" s="13"/>
      <c r="AH582" s="12"/>
      <c r="AI582" s="13"/>
      <c r="AJ582" s="12"/>
      <c r="AK582" s="13"/>
      <c r="AL582" s="13"/>
      <c r="AM582" s="13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</row>
    <row r="583" spans="21:53" ht="22.9">
      <c r="U583" s="87"/>
      <c r="V583" s="202"/>
      <c r="X583" s="87"/>
      <c r="Y583" s="87"/>
      <c r="AA583" s="87"/>
      <c r="AB583" s="13"/>
      <c r="AC583" s="245"/>
      <c r="AD583" s="8"/>
      <c r="AE583" s="8"/>
      <c r="AF583" s="12"/>
      <c r="AG583" s="13"/>
      <c r="AH583" s="12"/>
      <c r="AI583" s="13"/>
      <c r="AJ583" s="12"/>
      <c r="AK583" s="13"/>
      <c r="AL583" s="13"/>
      <c r="AM583" s="13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</row>
    <row r="584" spans="21:53" ht="22.9">
      <c r="U584" s="87"/>
      <c r="V584" s="202"/>
      <c r="X584" s="87"/>
      <c r="Y584" s="87"/>
      <c r="AA584" s="87"/>
      <c r="AB584" s="13"/>
      <c r="AC584" s="245"/>
      <c r="AD584" s="8"/>
      <c r="AE584" s="8"/>
      <c r="AF584" s="12"/>
      <c r="AG584" s="13"/>
      <c r="AH584" s="12"/>
      <c r="AI584" s="13"/>
      <c r="AJ584" s="12"/>
      <c r="AK584" s="13"/>
      <c r="AL584" s="13"/>
      <c r="AM584" s="13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</row>
    <row r="585" spans="21:53" ht="22.9">
      <c r="U585" s="87"/>
      <c r="V585" s="202"/>
      <c r="X585" s="87"/>
      <c r="Y585" s="87"/>
      <c r="AA585" s="87"/>
      <c r="AB585" s="13"/>
      <c r="AC585" s="245"/>
      <c r="AD585" s="8"/>
      <c r="AE585" s="8"/>
      <c r="AF585" s="12"/>
      <c r="AG585" s="13"/>
      <c r="AH585" s="12"/>
      <c r="AI585" s="13"/>
      <c r="AJ585" s="12"/>
      <c r="AK585" s="13"/>
      <c r="AL585" s="13"/>
      <c r="AM585" s="13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</row>
    <row r="586" spans="21:53" ht="22.9">
      <c r="U586" s="87"/>
      <c r="V586" s="202"/>
      <c r="X586" s="87"/>
      <c r="Y586" s="87"/>
      <c r="AA586" s="87"/>
      <c r="AB586" s="13"/>
      <c r="AC586" s="245"/>
      <c r="AD586" s="8"/>
      <c r="AE586" s="8"/>
      <c r="AF586" s="12"/>
      <c r="AG586" s="13"/>
      <c r="AH586" s="12"/>
      <c r="AI586" s="13"/>
      <c r="AJ586" s="12"/>
      <c r="AK586" s="13"/>
      <c r="AL586" s="13"/>
      <c r="AM586" s="13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</row>
    <row r="587" spans="21:53" ht="22.9">
      <c r="U587" s="87"/>
      <c r="V587" s="202"/>
      <c r="X587" s="87"/>
      <c r="Y587" s="87"/>
      <c r="AA587" s="87"/>
      <c r="AB587" s="13"/>
      <c r="AC587" s="245"/>
      <c r="AD587" s="8"/>
      <c r="AE587" s="8"/>
      <c r="AF587" s="12"/>
      <c r="AG587" s="13"/>
      <c r="AH587" s="12"/>
      <c r="AI587" s="13"/>
      <c r="AJ587" s="12"/>
      <c r="AK587" s="13"/>
      <c r="AL587" s="13"/>
      <c r="AM587" s="13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</row>
    <row r="588" spans="21:53" ht="22.9">
      <c r="U588" s="87"/>
      <c r="V588" s="202"/>
      <c r="X588" s="87"/>
      <c r="Y588" s="87"/>
      <c r="AA588" s="87"/>
      <c r="AB588" s="13"/>
      <c r="AC588" s="245"/>
      <c r="AD588" s="8"/>
      <c r="AE588" s="8"/>
      <c r="AF588" s="12"/>
      <c r="AG588" s="13"/>
      <c r="AH588" s="12"/>
      <c r="AI588" s="13"/>
      <c r="AJ588" s="12"/>
      <c r="AK588" s="13"/>
      <c r="AL588" s="13"/>
      <c r="AM588" s="13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</row>
    <row r="589" spans="21:53" ht="22.9">
      <c r="U589" s="87"/>
      <c r="V589" s="202"/>
      <c r="X589" s="87"/>
      <c r="Y589" s="87"/>
      <c r="AA589" s="87"/>
      <c r="AB589" s="13"/>
      <c r="AC589" s="245"/>
      <c r="AD589" s="8"/>
      <c r="AE589" s="8"/>
      <c r="AF589" s="12"/>
      <c r="AG589" s="13"/>
      <c r="AH589" s="12"/>
      <c r="AI589" s="13"/>
      <c r="AJ589" s="12"/>
      <c r="AK589" s="13"/>
      <c r="AL589" s="13"/>
      <c r="AM589" s="13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</row>
    <row r="590" spans="21:53" ht="22.9">
      <c r="U590" s="87"/>
      <c r="V590" s="202"/>
      <c r="X590" s="87"/>
      <c r="Y590" s="87"/>
      <c r="AA590" s="87"/>
      <c r="AB590" s="13"/>
      <c r="AC590" s="245"/>
      <c r="AD590" s="8"/>
      <c r="AE590" s="8"/>
      <c r="AF590" s="12"/>
      <c r="AG590" s="13"/>
      <c r="AH590" s="12"/>
      <c r="AI590" s="13"/>
      <c r="AJ590" s="12"/>
      <c r="AK590" s="13"/>
      <c r="AL590" s="13"/>
      <c r="AM590" s="13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</row>
    <row r="591" spans="21:53" ht="22.9">
      <c r="U591" s="87"/>
      <c r="V591" s="202"/>
      <c r="X591" s="87"/>
      <c r="Y591" s="87"/>
      <c r="AA591" s="87"/>
      <c r="AB591" s="13"/>
      <c r="AC591" s="245"/>
      <c r="AD591" s="8"/>
      <c r="AE591" s="8"/>
      <c r="AF591" s="12"/>
      <c r="AG591" s="13"/>
      <c r="AH591" s="12"/>
      <c r="AI591" s="13"/>
      <c r="AJ591" s="12"/>
      <c r="AK591" s="13"/>
      <c r="AL591" s="13"/>
      <c r="AM591" s="13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</row>
    <row r="592" spans="21:53" ht="22.9">
      <c r="U592" s="87"/>
      <c r="V592" s="202"/>
      <c r="X592" s="87"/>
      <c r="Y592" s="87"/>
      <c r="AA592" s="87"/>
      <c r="AB592" s="13"/>
      <c r="AC592" s="245"/>
      <c r="AD592" s="8"/>
      <c r="AE592" s="8"/>
      <c r="AF592" s="12"/>
      <c r="AG592" s="13"/>
      <c r="AH592" s="12"/>
      <c r="AI592" s="13"/>
      <c r="AJ592" s="12"/>
      <c r="AK592" s="13"/>
      <c r="AL592" s="13"/>
      <c r="AM592" s="13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</row>
    <row r="593" spans="21:53" ht="22.9">
      <c r="U593" s="87"/>
      <c r="V593" s="202"/>
      <c r="X593" s="87"/>
      <c r="Y593" s="87"/>
      <c r="AA593" s="87"/>
      <c r="AB593" s="13"/>
      <c r="AC593" s="245"/>
      <c r="AD593" s="8"/>
      <c r="AE593" s="8"/>
      <c r="AF593" s="12"/>
      <c r="AG593" s="13"/>
      <c r="AH593" s="12"/>
      <c r="AI593" s="13"/>
      <c r="AJ593" s="12"/>
      <c r="AK593" s="13"/>
      <c r="AL593" s="13"/>
      <c r="AM593" s="13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</row>
    <row r="594" spans="21:53" ht="22.9">
      <c r="U594" s="87"/>
      <c r="V594" s="202"/>
      <c r="X594" s="87"/>
      <c r="Y594" s="87"/>
      <c r="AA594" s="87"/>
      <c r="AB594" s="13"/>
      <c r="AC594" s="245"/>
      <c r="AD594" s="8"/>
      <c r="AE594" s="8"/>
      <c r="AF594" s="12"/>
      <c r="AG594" s="13"/>
      <c r="AH594" s="12"/>
      <c r="AI594" s="13"/>
      <c r="AJ594" s="12"/>
      <c r="AK594" s="13"/>
      <c r="AL594" s="13"/>
      <c r="AM594" s="13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</row>
    <row r="595" spans="21:53" ht="22.9">
      <c r="U595" s="87"/>
      <c r="V595" s="202"/>
      <c r="X595" s="87"/>
      <c r="Y595" s="87"/>
      <c r="AA595" s="87"/>
      <c r="AB595" s="13"/>
      <c r="AC595" s="245"/>
      <c r="AD595" s="8"/>
      <c r="AE595" s="8"/>
      <c r="AF595" s="12"/>
      <c r="AG595" s="13"/>
      <c r="AH595" s="12"/>
      <c r="AI595" s="13"/>
      <c r="AJ595" s="12"/>
      <c r="AK595" s="13"/>
      <c r="AL595" s="13"/>
      <c r="AM595" s="13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</row>
    <row r="596" spans="21:53" ht="22.9">
      <c r="U596" s="87"/>
      <c r="V596" s="202"/>
      <c r="X596" s="87"/>
      <c r="Y596" s="87"/>
      <c r="AA596" s="87"/>
      <c r="AB596" s="13"/>
      <c r="AC596" s="245"/>
      <c r="AD596" s="8"/>
      <c r="AE596" s="8"/>
      <c r="AF596" s="12"/>
      <c r="AG596" s="13"/>
      <c r="AH596" s="12"/>
      <c r="AI596" s="13"/>
      <c r="AJ596" s="12"/>
      <c r="AK596" s="13"/>
      <c r="AL596" s="13"/>
      <c r="AM596" s="13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</row>
    <row r="597" spans="21:53" ht="22.9">
      <c r="U597" s="87"/>
      <c r="V597" s="202"/>
      <c r="X597" s="87"/>
      <c r="Y597" s="87"/>
      <c r="AA597" s="87"/>
      <c r="AB597" s="13"/>
      <c r="AC597" s="245"/>
      <c r="AD597" s="8"/>
      <c r="AE597" s="8"/>
      <c r="AF597" s="12"/>
      <c r="AG597" s="13"/>
      <c r="AH597" s="12"/>
      <c r="AI597" s="13"/>
      <c r="AJ597" s="12"/>
      <c r="AK597" s="13"/>
      <c r="AL597" s="13"/>
      <c r="AM597" s="13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</row>
    <row r="598" spans="21:53" ht="22.9">
      <c r="U598" s="87"/>
      <c r="V598" s="202"/>
      <c r="X598" s="87"/>
      <c r="Y598" s="87"/>
      <c r="AA598" s="87"/>
      <c r="AB598" s="13"/>
      <c r="AC598" s="245"/>
      <c r="AD598" s="8"/>
      <c r="AE598" s="8"/>
      <c r="AF598" s="12"/>
      <c r="AG598" s="13"/>
      <c r="AH598" s="12"/>
      <c r="AI598" s="13"/>
      <c r="AJ598" s="12"/>
      <c r="AK598" s="13"/>
      <c r="AL598" s="13"/>
      <c r="AM598" s="13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</row>
    <row r="599" spans="21:53" ht="22.9">
      <c r="U599" s="87"/>
      <c r="V599" s="202"/>
      <c r="X599" s="87"/>
      <c r="Y599" s="87"/>
      <c r="AA599" s="87"/>
      <c r="AB599" s="13"/>
      <c r="AC599" s="245"/>
      <c r="AD599" s="8"/>
      <c r="AE599" s="8"/>
      <c r="AF599" s="12"/>
      <c r="AG599" s="13"/>
      <c r="AH599" s="12"/>
      <c r="AI599" s="13"/>
      <c r="AJ599" s="12"/>
      <c r="AK599" s="13"/>
      <c r="AL599" s="13"/>
      <c r="AM599" s="13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</row>
    <row r="600" spans="21:53" ht="22.9">
      <c r="U600" s="87"/>
      <c r="V600" s="202"/>
      <c r="X600" s="87"/>
      <c r="Y600" s="87"/>
      <c r="AA600" s="87"/>
      <c r="AB600" s="13"/>
      <c r="AC600" s="245"/>
      <c r="AD600" s="8"/>
      <c r="AE600" s="8"/>
      <c r="AF600" s="12"/>
      <c r="AG600" s="13"/>
      <c r="AH600" s="12"/>
      <c r="AI600" s="13"/>
      <c r="AJ600" s="12"/>
      <c r="AK600" s="13"/>
      <c r="AL600" s="13"/>
      <c r="AM600" s="13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</row>
    <row r="601" spans="21:53" ht="22.9">
      <c r="U601" s="87"/>
      <c r="V601" s="202"/>
      <c r="X601" s="87"/>
      <c r="Y601" s="87"/>
      <c r="AA601" s="87"/>
      <c r="AB601" s="13"/>
      <c r="AC601" s="245"/>
      <c r="AD601" s="8"/>
      <c r="AE601" s="8"/>
      <c r="AF601" s="12"/>
      <c r="AG601" s="13"/>
      <c r="AH601" s="12"/>
      <c r="AI601" s="13"/>
      <c r="AJ601" s="12"/>
      <c r="AK601" s="13"/>
      <c r="AL601" s="13"/>
      <c r="AM601" s="13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</row>
    <row r="602" spans="21:53" ht="22.9">
      <c r="U602" s="87"/>
      <c r="V602" s="202"/>
      <c r="X602" s="87"/>
      <c r="Y602" s="87"/>
      <c r="AA602" s="87"/>
      <c r="AB602" s="13"/>
      <c r="AC602" s="245"/>
      <c r="AD602" s="8"/>
      <c r="AE602" s="8"/>
      <c r="AF602" s="12"/>
      <c r="AG602" s="13"/>
      <c r="AH602" s="12"/>
      <c r="AI602" s="13"/>
      <c r="AJ602" s="12"/>
      <c r="AK602" s="13"/>
      <c r="AL602" s="13"/>
      <c r="AM602" s="13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</row>
    <row r="603" spans="21:53" ht="22.9">
      <c r="U603" s="87"/>
      <c r="V603" s="202"/>
      <c r="X603" s="87"/>
      <c r="Y603" s="87"/>
      <c r="AA603" s="87"/>
      <c r="AB603" s="13"/>
      <c r="AC603" s="245"/>
      <c r="AD603" s="8"/>
      <c r="AE603" s="8"/>
      <c r="AF603" s="12"/>
      <c r="AG603" s="13"/>
      <c r="AH603" s="12"/>
      <c r="AI603" s="13"/>
      <c r="AJ603" s="12"/>
      <c r="AK603" s="13"/>
      <c r="AL603" s="13"/>
      <c r="AM603" s="13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</row>
    <row r="604" spans="21:53" ht="22.9">
      <c r="U604" s="87"/>
      <c r="V604" s="202"/>
      <c r="X604" s="87"/>
      <c r="Y604" s="87"/>
      <c r="AA604" s="87"/>
      <c r="AB604" s="13"/>
      <c r="AC604" s="245"/>
      <c r="AD604" s="8"/>
      <c r="AE604" s="8"/>
      <c r="AF604" s="12"/>
      <c r="AG604" s="13"/>
      <c r="AH604" s="12"/>
      <c r="AI604" s="13"/>
      <c r="AJ604" s="12"/>
      <c r="AK604" s="13"/>
      <c r="AL604" s="13"/>
      <c r="AM604" s="13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</row>
    <row r="605" spans="21:53" ht="22.9">
      <c r="U605" s="87"/>
      <c r="V605" s="202"/>
      <c r="X605" s="87"/>
      <c r="Y605" s="87"/>
      <c r="AA605" s="87"/>
      <c r="AB605" s="13"/>
      <c r="AC605" s="245"/>
      <c r="AD605" s="8"/>
      <c r="AE605" s="8"/>
      <c r="AF605" s="12"/>
      <c r="AG605" s="13"/>
      <c r="AH605" s="12"/>
      <c r="AI605" s="13"/>
      <c r="AJ605" s="12"/>
      <c r="AK605" s="13"/>
      <c r="AL605" s="13"/>
      <c r="AM605" s="13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</row>
    <row r="606" spans="21:53" ht="22.9">
      <c r="U606" s="87"/>
      <c r="V606" s="202"/>
      <c r="X606" s="87"/>
      <c r="Y606" s="87"/>
      <c r="AA606" s="87"/>
      <c r="AB606" s="13"/>
      <c r="AC606" s="245"/>
      <c r="AD606" s="8"/>
      <c r="AE606" s="8"/>
      <c r="AF606" s="12"/>
      <c r="AG606" s="13"/>
      <c r="AH606" s="12"/>
      <c r="AI606" s="13"/>
      <c r="AJ606" s="12"/>
      <c r="AK606" s="13"/>
      <c r="AL606" s="13"/>
      <c r="AM606" s="13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</row>
    <row r="607" spans="21:53" ht="22.9">
      <c r="U607" s="87"/>
      <c r="V607" s="202"/>
      <c r="X607" s="87"/>
      <c r="Y607" s="87"/>
      <c r="AA607" s="87"/>
      <c r="AB607" s="13"/>
      <c r="AC607" s="245"/>
      <c r="AD607" s="8"/>
      <c r="AE607" s="8"/>
      <c r="AF607" s="12"/>
      <c r="AG607" s="13"/>
      <c r="AH607" s="12"/>
      <c r="AI607" s="13"/>
      <c r="AJ607" s="12"/>
      <c r="AK607" s="13"/>
      <c r="AL607" s="13"/>
      <c r="AM607" s="13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</row>
    <row r="608" spans="21:53" ht="22.9">
      <c r="U608" s="87"/>
      <c r="V608" s="202"/>
      <c r="X608" s="87"/>
      <c r="Y608" s="87"/>
      <c r="AA608" s="87"/>
      <c r="AB608" s="13"/>
      <c r="AC608" s="245"/>
      <c r="AD608" s="8"/>
      <c r="AE608" s="8"/>
      <c r="AF608" s="12"/>
      <c r="AG608" s="13"/>
      <c r="AH608" s="12"/>
      <c r="AI608" s="13"/>
      <c r="AJ608" s="12"/>
      <c r="AK608" s="13"/>
      <c r="AL608" s="13"/>
      <c r="AM608" s="13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</row>
    <row r="609" spans="21:53" ht="22.9">
      <c r="U609" s="87"/>
      <c r="V609" s="202"/>
      <c r="X609" s="87"/>
      <c r="Y609" s="87"/>
      <c r="AA609" s="87"/>
      <c r="AB609" s="13"/>
      <c r="AC609" s="245"/>
      <c r="AD609" s="8"/>
      <c r="AE609" s="8"/>
      <c r="AF609" s="12"/>
      <c r="AG609" s="13"/>
      <c r="AH609" s="12"/>
      <c r="AI609" s="13"/>
      <c r="AJ609" s="12"/>
      <c r="AK609" s="13"/>
      <c r="AL609" s="13"/>
      <c r="AM609" s="13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</row>
    <row r="610" spans="21:53" ht="22.9">
      <c r="U610" s="87"/>
      <c r="V610" s="202"/>
      <c r="X610" s="87"/>
      <c r="Y610" s="87"/>
      <c r="AA610" s="87"/>
      <c r="AB610" s="13"/>
      <c r="AC610" s="245"/>
      <c r="AD610" s="8"/>
      <c r="AE610" s="8"/>
      <c r="AF610" s="12"/>
      <c r="AG610" s="13"/>
      <c r="AH610" s="12"/>
      <c r="AI610" s="13"/>
      <c r="AJ610" s="12"/>
      <c r="AK610" s="13"/>
      <c r="AL610" s="13"/>
      <c r="AM610" s="13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</row>
    <row r="611" spans="21:53" ht="22.9">
      <c r="U611" s="87"/>
      <c r="V611" s="202"/>
      <c r="X611" s="87"/>
      <c r="Y611" s="87"/>
      <c r="AA611" s="87"/>
      <c r="AB611" s="13"/>
      <c r="AC611" s="245"/>
      <c r="AD611" s="8"/>
      <c r="AE611" s="8"/>
      <c r="AF611" s="12"/>
      <c r="AG611" s="13"/>
      <c r="AH611" s="12"/>
      <c r="AI611" s="13"/>
      <c r="AJ611" s="12"/>
      <c r="AK611" s="13"/>
      <c r="AL611" s="13"/>
      <c r="AM611" s="13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</row>
    <row r="612" spans="21:53" ht="22.9">
      <c r="U612" s="87"/>
      <c r="V612" s="202"/>
      <c r="X612" s="87"/>
      <c r="Y612" s="87"/>
      <c r="AA612" s="87"/>
      <c r="AB612" s="13"/>
      <c r="AC612" s="245"/>
      <c r="AD612" s="8"/>
      <c r="AE612" s="8"/>
      <c r="AF612" s="12"/>
      <c r="AG612" s="13"/>
      <c r="AH612" s="12"/>
      <c r="AI612" s="13"/>
      <c r="AJ612" s="12"/>
      <c r="AK612" s="13"/>
      <c r="AL612" s="13"/>
      <c r="AM612" s="13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</row>
    <row r="613" spans="21:53" ht="22.9">
      <c r="U613" s="87"/>
      <c r="V613" s="202"/>
      <c r="X613" s="87"/>
      <c r="Y613" s="87"/>
      <c r="AA613" s="87"/>
      <c r="AB613" s="13"/>
      <c r="AC613" s="245"/>
      <c r="AD613" s="8"/>
      <c r="AE613" s="8"/>
      <c r="AF613" s="12"/>
      <c r="AG613" s="13"/>
      <c r="AH613" s="12"/>
      <c r="AI613" s="13"/>
      <c r="AJ613" s="12"/>
      <c r="AK613" s="13"/>
      <c r="AL613" s="13"/>
      <c r="AM613" s="13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</row>
    <row r="614" spans="21:53" ht="22.9">
      <c r="U614" s="87"/>
      <c r="V614" s="202"/>
      <c r="X614" s="87"/>
      <c r="Y614" s="87"/>
      <c r="AA614" s="87"/>
      <c r="AB614" s="13"/>
      <c r="AC614" s="245"/>
      <c r="AD614" s="8"/>
      <c r="AE614" s="8"/>
      <c r="AF614" s="12"/>
      <c r="AG614" s="13"/>
      <c r="AH614" s="12"/>
      <c r="AI614" s="13"/>
      <c r="AJ614" s="12"/>
      <c r="AK614" s="13"/>
      <c r="AL614" s="13"/>
      <c r="AM614" s="13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</row>
    <row r="615" spans="21:53" ht="22.9">
      <c r="U615" s="87"/>
      <c r="V615" s="202"/>
      <c r="X615" s="87"/>
      <c r="Y615" s="87"/>
      <c r="AA615" s="87"/>
      <c r="AB615" s="13"/>
      <c r="AC615" s="245"/>
      <c r="AD615" s="8"/>
      <c r="AE615" s="8"/>
      <c r="AF615" s="12"/>
      <c r="AG615" s="13"/>
      <c r="AH615" s="12"/>
      <c r="AI615" s="13"/>
      <c r="AJ615" s="12"/>
      <c r="AK615" s="13"/>
      <c r="AL615" s="13"/>
      <c r="AM615" s="13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</row>
    <row r="616" spans="21:53" ht="22.9">
      <c r="U616" s="87"/>
      <c r="V616" s="202"/>
      <c r="X616" s="87"/>
      <c r="Y616" s="87"/>
      <c r="AA616" s="87"/>
      <c r="AB616" s="13"/>
      <c r="AC616" s="245"/>
      <c r="AD616" s="8"/>
      <c r="AE616" s="8"/>
      <c r="AF616" s="12"/>
      <c r="AG616" s="13"/>
      <c r="AH616" s="12"/>
      <c r="AI616" s="13"/>
      <c r="AJ616" s="12"/>
      <c r="AK616" s="13"/>
      <c r="AL616" s="13"/>
      <c r="AM616" s="13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</row>
    <row r="617" spans="21:53" ht="22.9">
      <c r="U617" s="87"/>
      <c r="V617" s="202"/>
      <c r="X617" s="87"/>
      <c r="Y617" s="87"/>
      <c r="AA617" s="87"/>
      <c r="AB617" s="13"/>
      <c r="AC617" s="245"/>
      <c r="AD617" s="8"/>
      <c r="AE617" s="8"/>
      <c r="AF617" s="12"/>
      <c r="AG617" s="13"/>
      <c r="AH617" s="12"/>
      <c r="AI617" s="13"/>
      <c r="AJ617" s="12"/>
      <c r="AK617" s="13"/>
      <c r="AL617" s="13"/>
      <c r="AM617" s="13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</row>
    <row r="618" spans="21:53" ht="22.9">
      <c r="U618" s="87"/>
      <c r="V618" s="202"/>
      <c r="X618" s="87"/>
      <c r="Y618" s="87"/>
      <c r="AA618" s="87"/>
      <c r="AB618" s="13"/>
      <c r="AC618" s="245"/>
      <c r="AD618" s="8"/>
      <c r="AE618" s="8"/>
      <c r="AF618" s="12"/>
      <c r="AG618" s="13"/>
      <c r="AH618" s="12"/>
      <c r="AI618" s="13"/>
      <c r="AJ618" s="12"/>
      <c r="AK618" s="13"/>
      <c r="AL618" s="13"/>
      <c r="AM618" s="13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</row>
    <row r="619" spans="21:53" ht="22.9">
      <c r="U619" s="87"/>
      <c r="V619" s="202"/>
      <c r="X619" s="87"/>
      <c r="Y619" s="87"/>
      <c r="AA619" s="87"/>
      <c r="AB619" s="13"/>
      <c r="AC619" s="245"/>
      <c r="AD619" s="8"/>
      <c r="AE619" s="8"/>
      <c r="AF619" s="12"/>
      <c r="AG619" s="13"/>
      <c r="AH619" s="12"/>
      <c r="AI619" s="13"/>
      <c r="AJ619" s="12"/>
      <c r="AK619" s="13"/>
      <c r="AL619" s="13"/>
      <c r="AM619" s="13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</row>
    <row r="620" spans="21:53" ht="22.9">
      <c r="U620" s="87"/>
      <c r="V620" s="202"/>
      <c r="X620" s="87"/>
      <c r="Y620" s="87"/>
      <c r="AA620" s="87"/>
      <c r="AB620" s="13"/>
      <c r="AC620" s="245"/>
      <c r="AD620" s="8"/>
      <c r="AE620" s="8"/>
      <c r="AF620" s="12"/>
      <c r="AG620" s="13"/>
      <c r="AH620" s="12"/>
      <c r="AI620" s="13"/>
      <c r="AJ620" s="12"/>
      <c r="AK620" s="13"/>
      <c r="AL620" s="13"/>
      <c r="AM620" s="13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</row>
    <row r="621" spans="21:53" ht="22.9">
      <c r="U621" s="87"/>
      <c r="V621" s="202"/>
      <c r="X621" s="87"/>
      <c r="Y621" s="87"/>
      <c r="AA621" s="87"/>
      <c r="AB621" s="13"/>
      <c r="AC621" s="245"/>
      <c r="AD621" s="8"/>
      <c r="AE621" s="8"/>
      <c r="AF621" s="12"/>
      <c r="AG621" s="13"/>
      <c r="AH621" s="12"/>
      <c r="AI621" s="13"/>
      <c r="AJ621" s="12"/>
      <c r="AK621" s="13"/>
      <c r="AL621" s="13"/>
      <c r="AM621" s="13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</row>
    <row r="622" spans="21:53" ht="22.9">
      <c r="U622" s="87"/>
      <c r="V622" s="202"/>
      <c r="X622" s="87"/>
      <c r="Y622" s="87"/>
      <c r="AA622" s="87"/>
      <c r="AB622" s="13"/>
      <c r="AC622" s="245"/>
      <c r="AD622" s="8"/>
      <c r="AE622" s="8"/>
      <c r="AF622" s="12"/>
      <c r="AG622" s="13"/>
      <c r="AH622" s="12"/>
      <c r="AI622" s="13"/>
      <c r="AJ622" s="12"/>
      <c r="AK622" s="13"/>
      <c r="AL622" s="13"/>
      <c r="AM622" s="13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</row>
    <row r="623" spans="21:53" ht="22.9">
      <c r="U623" s="87"/>
      <c r="V623" s="202"/>
      <c r="X623" s="87"/>
      <c r="Y623" s="87"/>
      <c r="AA623" s="87"/>
      <c r="AB623" s="13"/>
      <c r="AC623" s="245"/>
      <c r="AD623" s="8"/>
      <c r="AE623" s="8"/>
      <c r="AF623" s="12"/>
      <c r="AG623" s="13"/>
      <c r="AH623" s="12"/>
      <c r="AI623" s="13"/>
      <c r="AJ623" s="12"/>
      <c r="AK623" s="13"/>
      <c r="AL623" s="13"/>
      <c r="AM623" s="13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</row>
    <row r="624" spans="21:53" ht="22.9">
      <c r="U624" s="87"/>
      <c r="V624" s="202"/>
      <c r="X624" s="87"/>
      <c r="Y624" s="87"/>
      <c r="AA624" s="87"/>
      <c r="AB624" s="13"/>
      <c r="AC624" s="245"/>
      <c r="AD624" s="8"/>
      <c r="AE624" s="8"/>
      <c r="AF624" s="12"/>
      <c r="AG624" s="13"/>
      <c r="AH624" s="12"/>
      <c r="AI624" s="13"/>
      <c r="AJ624" s="12"/>
      <c r="AK624" s="13"/>
      <c r="AL624" s="13"/>
      <c r="AM624" s="13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</row>
    <row r="625" spans="21:53" ht="22.9">
      <c r="U625" s="87"/>
      <c r="V625" s="202"/>
      <c r="X625" s="87"/>
      <c r="Y625" s="87"/>
      <c r="AA625" s="87"/>
      <c r="AB625" s="13"/>
      <c r="AC625" s="245"/>
      <c r="AD625" s="8"/>
      <c r="AE625" s="8"/>
      <c r="AF625" s="12"/>
      <c r="AG625" s="13"/>
      <c r="AH625" s="12"/>
      <c r="AI625" s="13"/>
      <c r="AJ625" s="12"/>
      <c r="AK625" s="13"/>
      <c r="AL625" s="13"/>
      <c r="AM625" s="13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</row>
    <row r="626" spans="21:53" ht="22.9">
      <c r="U626" s="87"/>
      <c r="V626" s="202"/>
      <c r="X626" s="87"/>
      <c r="Y626" s="87"/>
      <c r="AA626" s="87"/>
      <c r="AB626" s="13"/>
      <c r="AC626" s="245"/>
      <c r="AD626" s="8"/>
      <c r="AE626" s="8"/>
      <c r="AF626" s="12"/>
      <c r="AG626" s="13"/>
      <c r="AH626" s="12"/>
      <c r="AI626" s="13"/>
      <c r="AJ626" s="12"/>
      <c r="AK626" s="13"/>
      <c r="AL626" s="13"/>
      <c r="AM626" s="13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</row>
    <row r="627" spans="21:53" ht="22.9">
      <c r="U627" s="87"/>
      <c r="V627" s="202"/>
      <c r="X627" s="87"/>
      <c r="Y627" s="87"/>
      <c r="AA627" s="87"/>
      <c r="AB627" s="13"/>
      <c r="AC627" s="245"/>
      <c r="AD627" s="8"/>
      <c r="AE627" s="8"/>
      <c r="AF627" s="12"/>
      <c r="AG627" s="13"/>
      <c r="AH627" s="12"/>
      <c r="AI627" s="13"/>
      <c r="AJ627" s="12"/>
      <c r="AK627" s="13"/>
      <c r="AL627" s="13"/>
      <c r="AM627" s="13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</row>
    <row r="628" spans="21:53" ht="22.9">
      <c r="U628" s="87"/>
      <c r="V628" s="202"/>
      <c r="X628" s="87"/>
      <c r="Y628" s="87"/>
      <c r="AA628" s="87"/>
      <c r="AB628" s="13"/>
      <c r="AC628" s="245"/>
      <c r="AD628" s="8"/>
      <c r="AE628" s="8"/>
      <c r="AF628" s="12"/>
      <c r="AG628" s="13"/>
      <c r="AH628" s="12"/>
      <c r="AI628" s="13"/>
      <c r="AJ628" s="12"/>
      <c r="AK628" s="13"/>
      <c r="AL628" s="13"/>
      <c r="AM628" s="13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</row>
    <row r="629" spans="21:53" ht="22.9">
      <c r="U629" s="87"/>
      <c r="V629" s="202"/>
      <c r="X629" s="87"/>
      <c r="Y629" s="87"/>
      <c r="AA629" s="87"/>
      <c r="AB629" s="13"/>
      <c r="AC629" s="245"/>
      <c r="AD629" s="8"/>
      <c r="AE629" s="8"/>
      <c r="AF629" s="12"/>
      <c r="AG629" s="13"/>
      <c r="AH629" s="12"/>
      <c r="AI629" s="13"/>
      <c r="AJ629" s="12"/>
      <c r="AK629" s="13"/>
      <c r="AL629" s="13"/>
      <c r="AM629" s="13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</row>
    <row r="630" spans="21:53" ht="22.9">
      <c r="U630" s="87"/>
      <c r="V630" s="202"/>
      <c r="X630" s="87"/>
      <c r="Y630" s="87"/>
      <c r="AA630" s="87"/>
      <c r="AB630" s="13"/>
      <c r="AC630" s="245"/>
      <c r="AD630" s="8"/>
      <c r="AE630" s="8"/>
      <c r="AF630" s="12"/>
      <c r="AG630" s="13"/>
      <c r="AH630" s="12"/>
      <c r="AI630" s="13"/>
      <c r="AJ630" s="12"/>
      <c r="AK630" s="13"/>
      <c r="AL630" s="13"/>
      <c r="AM630" s="13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</row>
    <row r="631" spans="21:53" ht="22.9">
      <c r="U631" s="87"/>
      <c r="V631" s="202"/>
      <c r="X631" s="87"/>
      <c r="Y631" s="87"/>
      <c r="AA631" s="87"/>
      <c r="AB631" s="13"/>
      <c r="AC631" s="245"/>
      <c r="AD631" s="8"/>
      <c r="AE631" s="8"/>
      <c r="AF631" s="12"/>
      <c r="AG631" s="13"/>
      <c r="AH631" s="12"/>
      <c r="AI631" s="13"/>
      <c r="AJ631" s="12"/>
      <c r="AK631" s="13"/>
      <c r="AL631" s="13"/>
      <c r="AM631" s="13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</row>
    <row r="632" spans="21:53" ht="22.9">
      <c r="U632" s="87"/>
      <c r="V632" s="202"/>
      <c r="X632" s="87"/>
      <c r="Y632" s="87"/>
      <c r="AA632" s="87"/>
      <c r="AB632" s="13"/>
      <c r="AC632" s="245"/>
      <c r="AD632" s="8"/>
      <c r="AE632" s="8"/>
      <c r="AF632" s="12"/>
      <c r="AG632" s="13"/>
      <c r="AH632" s="12"/>
      <c r="AI632" s="13"/>
      <c r="AJ632" s="12"/>
      <c r="AK632" s="13"/>
      <c r="AL632" s="13"/>
      <c r="AM632" s="13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</row>
    <row r="633" spans="21:53" ht="22.9">
      <c r="U633" s="87"/>
      <c r="V633" s="202"/>
      <c r="X633" s="87"/>
      <c r="Y633" s="87"/>
      <c r="AA633" s="87"/>
      <c r="AB633" s="13"/>
      <c r="AC633" s="245"/>
      <c r="AD633" s="8"/>
      <c r="AE633" s="8"/>
      <c r="AF633" s="12"/>
      <c r="AG633" s="13"/>
      <c r="AH633" s="12"/>
      <c r="AI633" s="13"/>
      <c r="AJ633" s="12"/>
      <c r="AK633" s="13"/>
      <c r="AL633" s="13"/>
      <c r="AM633" s="13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</row>
    <row r="634" spans="21:53" ht="22.9">
      <c r="U634" s="87"/>
      <c r="V634" s="202"/>
      <c r="X634" s="87"/>
      <c r="Y634" s="87"/>
      <c r="AA634" s="87"/>
      <c r="AB634" s="13"/>
      <c r="AC634" s="245"/>
      <c r="AD634" s="8"/>
      <c r="AE634" s="8"/>
      <c r="AF634" s="12"/>
      <c r="AG634" s="13"/>
      <c r="AH634" s="12"/>
      <c r="AI634" s="13"/>
      <c r="AJ634" s="12"/>
      <c r="AK634" s="13"/>
      <c r="AL634" s="13"/>
      <c r="AM634" s="13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</row>
    <row r="635" spans="21:53" ht="22.9">
      <c r="U635" s="87"/>
      <c r="V635" s="202"/>
      <c r="X635" s="87"/>
      <c r="Y635" s="87"/>
      <c r="AA635" s="87"/>
      <c r="AB635" s="13"/>
      <c r="AC635" s="245"/>
      <c r="AD635" s="8"/>
      <c r="AE635" s="8"/>
      <c r="AF635" s="12"/>
      <c r="AG635" s="13"/>
      <c r="AH635" s="12"/>
      <c r="AI635" s="13"/>
      <c r="AJ635" s="12"/>
      <c r="AK635" s="13"/>
      <c r="AL635" s="13"/>
      <c r="AM635" s="13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</row>
    <row r="636" spans="21:53" ht="22.9">
      <c r="U636" s="87"/>
      <c r="V636" s="202"/>
      <c r="X636" s="87"/>
      <c r="Y636" s="87"/>
      <c r="AA636" s="87"/>
      <c r="AB636" s="13"/>
      <c r="AC636" s="245"/>
      <c r="AD636" s="8"/>
      <c r="AE636" s="8"/>
      <c r="AF636" s="12"/>
      <c r="AG636" s="13"/>
      <c r="AH636" s="12"/>
      <c r="AI636" s="13"/>
      <c r="AJ636" s="12"/>
      <c r="AK636" s="13"/>
      <c r="AL636" s="13"/>
      <c r="AM636" s="13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</row>
    <row r="637" spans="21:53" ht="22.9">
      <c r="U637" s="87"/>
      <c r="V637" s="202"/>
      <c r="X637" s="87"/>
      <c r="Y637" s="87"/>
      <c r="AA637" s="87"/>
      <c r="AB637" s="13"/>
      <c r="AC637" s="245"/>
      <c r="AD637" s="8"/>
      <c r="AE637" s="8"/>
      <c r="AF637" s="12"/>
      <c r="AG637" s="13"/>
      <c r="AH637" s="12"/>
      <c r="AI637" s="13"/>
      <c r="AJ637" s="12"/>
      <c r="AK637" s="13"/>
      <c r="AL637" s="13"/>
      <c r="AM637" s="13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</row>
    <row r="638" spans="21:53" ht="22.9">
      <c r="U638" s="87"/>
      <c r="V638" s="202"/>
      <c r="X638" s="87"/>
      <c r="Y638" s="87"/>
      <c r="AA638" s="87"/>
      <c r="AB638" s="13"/>
      <c r="AC638" s="245"/>
      <c r="AD638" s="8"/>
      <c r="AE638" s="8"/>
      <c r="AF638" s="12"/>
      <c r="AG638" s="13"/>
      <c r="AH638" s="12"/>
      <c r="AI638" s="13"/>
      <c r="AJ638" s="12"/>
      <c r="AK638" s="13"/>
      <c r="AL638" s="13"/>
      <c r="AM638" s="13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</row>
    <row r="639" spans="21:53" ht="22.9">
      <c r="U639" s="87"/>
      <c r="V639" s="202"/>
      <c r="X639" s="87"/>
      <c r="Y639" s="87"/>
      <c r="AA639" s="87"/>
      <c r="AB639" s="13"/>
      <c r="AC639" s="245"/>
      <c r="AD639" s="8"/>
      <c r="AE639" s="8"/>
      <c r="AF639" s="12"/>
      <c r="AG639" s="13"/>
      <c r="AH639" s="12"/>
      <c r="AI639" s="13"/>
      <c r="AJ639" s="12"/>
      <c r="AK639" s="13"/>
      <c r="AL639" s="13"/>
      <c r="AM639" s="13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</row>
    <row r="640" spans="21:53" ht="22.9">
      <c r="U640" s="87"/>
      <c r="V640" s="202"/>
      <c r="X640" s="87"/>
      <c r="Y640" s="87"/>
      <c r="AA640" s="87"/>
      <c r="AB640" s="13"/>
      <c r="AC640" s="245"/>
      <c r="AD640" s="8"/>
      <c r="AE640" s="8"/>
      <c r="AF640" s="12"/>
      <c r="AG640" s="13"/>
      <c r="AH640" s="12"/>
      <c r="AI640" s="13"/>
      <c r="AJ640" s="12"/>
      <c r="AK640" s="13"/>
      <c r="AL640" s="13"/>
      <c r="AM640" s="13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</row>
    <row r="641" spans="21:53" ht="22.9">
      <c r="U641" s="87"/>
      <c r="V641" s="202"/>
      <c r="X641" s="87"/>
      <c r="Y641" s="87"/>
      <c r="AA641" s="87"/>
      <c r="AB641" s="13"/>
      <c r="AC641" s="245"/>
      <c r="AD641" s="8"/>
      <c r="AE641" s="8"/>
      <c r="AF641" s="12"/>
      <c r="AG641" s="13"/>
      <c r="AH641" s="12"/>
      <c r="AI641" s="13"/>
      <c r="AJ641" s="12"/>
      <c r="AK641" s="13"/>
      <c r="AL641" s="13"/>
      <c r="AM641" s="13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</row>
    <row r="642" spans="21:53" ht="22.9">
      <c r="U642" s="87"/>
      <c r="V642" s="202"/>
      <c r="X642" s="87"/>
      <c r="Y642" s="87"/>
      <c r="AA642" s="87"/>
      <c r="AB642" s="13"/>
      <c r="AC642" s="245"/>
      <c r="AD642" s="8"/>
      <c r="AE642" s="8"/>
      <c r="AF642" s="12"/>
      <c r="AG642" s="13"/>
      <c r="AH642" s="12"/>
      <c r="AI642" s="13"/>
      <c r="AJ642" s="12"/>
      <c r="AK642" s="13"/>
      <c r="AL642" s="13"/>
      <c r="AM642" s="13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</row>
    <row r="643" spans="21:53" ht="22.9">
      <c r="U643" s="87"/>
      <c r="V643" s="202"/>
      <c r="X643" s="87"/>
      <c r="Y643" s="87"/>
      <c r="AA643" s="87"/>
      <c r="AB643" s="13"/>
      <c r="AC643" s="245"/>
      <c r="AD643" s="8"/>
      <c r="AE643" s="8"/>
      <c r="AF643" s="12"/>
      <c r="AG643" s="13"/>
      <c r="AH643" s="12"/>
      <c r="AI643" s="13"/>
      <c r="AJ643" s="12"/>
      <c r="AK643" s="13"/>
      <c r="AL643" s="13"/>
      <c r="AM643" s="13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</row>
    <row r="644" spans="21:53" ht="22.9">
      <c r="U644" s="87"/>
      <c r="V644" s="202"/>
      <c r="X644" s="87"/>
      <c r="Y644" s="87"/>
      <c r="AA644" s="87"/>
      <c r="AB644" s="13"/>
      <c r="AC644" s="245"/>
      <c r="AD644" s="8"/>
      <c r="AE644" s="8"/>
      <c r="AF644" s="12"/>
      <c r="AG644" s="13"/>
      <c r="AH644" s="12"/>
      <c r="AI644" s="13"/>
      <c r="AJ644" s="12"/>
      <c r="AK644" s="13"/>
      <c r="AL644" s="13"/>
      <c r="AM644" s="13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</row>
    <row r="645" spans="21:53" ht="22.9">
      <c r="U645" s="87"/>
      <c r="V645" s="202"/>
      <c r="X645" s="87"/>
      <c r="Y645" s="87"/>
      <c r="AA645" s="87"/>
      <c r="AB645" s="13"/>
      <c r="AC645" s="245"/>
      <c r="AD645" s="8"/>
      <c r="AE645" s="8"/>
      <c r="AF645" s="12"/>
      <c r="AG645" s="13"/>
      <c r="AH645" s="12"/>
      <c r="AI645" s="13"/>
      <c r="AJ645" s="12"/>
      <c r="AK645" s="13"/>
      <c r="AL645" s="13"/>
      <c r="AM645" s="13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</row>
    <row r="646" spans="21:53" ht="22.9">
      <c r="U646" s="87"/>
      <c r="V646" s="202"/>
      <c r="X646" s="87"/>
      <c r="Y646" s="87"/>
      <c r="AA646" s="87"/>
      <c r="AB646" s="13"/>
      <c r="AC646" s="245"/>
      <c r="AD646" s="8"/>
      <c r="AE646" s="8"/>
      <c r="AF646" s="12"/>
      <c r="AG646" s="13"/>
      <c r="AH646" s="12"/>
      <c r="AI646" s="13"/>
      <c r="AJ646" s="12"/>
      <c r="AK646" s="13"/>
      <c r="AL646" s="13"/>
      <c r="AM646" s="13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</row>
    <row r="647" spans="21:53" ht="22.9">
      <c r="U647" s="87"/>
      <c r="V647" s="202"/>
      <c r="X647" s="87"/>
      <c r="Y647" s="87"/>
      <c r="AA647" s="87"/>
      <c r="AB647" s="13"/>
      <c r="AC647" s="245"/>
      <c r="AD647" s="8"/>
      <c r="AE647" s="8"/>
      <c r="AF647" s="12"/>
      <c r="AG647" s="13"/>
      <c r="AH647" s="12"/>
      <c r="AI647" s="13"/>
      <c r="AJ647" s="12"/>
      <c r="AK647" s="13"/>
      <c r="AL647" s="13"/>
      <c r="AM647" s="13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</row>
    <row r="648" spans="21:53" ht="22.9">
      <c r="U648" s="87"/>
      <c r="V648" s="202"/>
      <c r="X648" s="87"/>
      <c r="Y648" s="87"/>
      <c r="AA648" s="87"/>
      <c r="AB648" s="13"/>
      <c r="AC648" s="245"/>
      <c r="AD648" s="8"/>
      <c r="AE648" s="8"/>
      <c r="AF648" s="12"/>
      <c r="AG648" s="13"/>
      <c r="AH648" s="12"/>
      <c r="AI648" s="13"/>
      <c r="AJ648" s="12"/>
      <c r="AK648" s="13"/>
      <c r="AL648" s="13"/>
      <c r="AM648" s="13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</row>
    <row r="649" spans="21:53" ht="22.9">
      <c r="U649" s="87"/>
      <c r="V649" s="202"/>
      <c r="X649" s="87"/>
      <c r="Y649" s="87"/>
      <c r="AA649" s="87"/>
      <c r="AB649" s="13"/>
      <c r="AC649" s="245"/>
      <c r="AD649" s="8"/>
      <c r="AE649" s="8"/>
      <c r="AF649" s="12"/>
      <c r="AG649" s="13"/>
      <c r="AH649" s="12"/>
      <c r="AI649" s="13"/>
      <c r="AJ649" s="12"/>
      <c r="AK649" s="13"/>
      <c r="AL649" s="13"/>
      <c r="AM649" s="13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</row>
    <row r="650" spans="21:53" ht="22.9">
      <c r="U650" s="87"/>
      <c r="V650" s="202"/>
      <c r="X650" s="87"/>
      <c r="Y650" s="87"/>
      <c r="AA650" s="87"/>
      <c r="AB650" s="13"/>
      <c r="AC650" s="245"/>
      <c r="AD650" s="8"/>
      <c r="AE650" s="8"/>
      <c r="AF650" s="12"/>
      <c r="AG650" s="13"/>
      <c r="AH650" s="12"/>
      <c r="AI650" s="13"/>
      <c r="AJ650" s="12"/>
      <c r="AK650" s="13"/>
      <c r="AL650" s="13"/>
      <c r="AM650" s="13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</row>
    <row r="651" spans="21:53" ht="22.9">
      <c r="U651" s="87"/>
      <c r="V651" s="202"/>
      <c r="X651" s="87"/>
      <c r="Y651" s="87"/>
      <c r="AA651" s="87"/>
      <c r="AB651" s="13"/>
      <c r="AC651" s="245"/>
      <c r="AD651" s="8"/>
      <c r="AE651" s="8"/>
      <c r="AF651" s="12"/>
      <c r="AG651" s="13"/>
      <c r="AH651" s="12"/>
      <c r="AI651" s="13"/>
      <c r="AJ651" s="12"/>
      <c r="AK651" s="13"/>
      <c r="AL651" s="13"/>
      <c r="AM651" s="13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</row>
    <row r="652" spans="21:53" ht="22.9">
      <c r="U652" s="87"/>
      <c r="V652" s="202"/>
      <c r="X652" s="87"/>
      <c r="Y652" s="87"/>
      <c r="AA652" s="87"/>
      <c r="AB652" s="13"/>
      <c r="AC652" s="245"/>
      <c r="AD652" s="8"/>
      <c r="AE652" s="8"/>
      <c r="AF652" s="12"/>
      <c r="AG652" s="13"/>
      <c r="AH652" s="12"/>
      <c r="AI652" s="13"/>
      <c r="AJ652" s="12"/>
      <c r="AK652" s="13"/>
      <c r="AL652" s="13"/>
      <c r="AM652" s="13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</row>
    <row r="653" spans="21:53" ht="22.9">
      <c r="U653" s="87"/>
      <c r="V653" s="202"/>
      <c r="X653" s="87"/>
      <c r="Y653" s="87"/>
      <c r="AA653" s="87"/>
      <c r="AB653" s="13"/>
      <c r="AC653" s="245"/>
      <c r="AD653" s="8"/>
      <c r="AE653" s="8"/>
      <c r="AF653" s="12"/>
      <c r="AG653" s="13"/>
      <c r="AH653" s="12"/>
      <c r="AI653" s="13"/>
      <c r="AJ653" s="12"/>
      <c r="AK653" s="13"/>
      <c r="AL653" s="13"/>
      <c r="AM653" s="13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</row>
    <row r="654" spans="21:53" ht="22.9">
      <c r="U654" s="87"/>
      <c r="V654" s="202"/>
      <c r="X654" s="87"/>
      <c r="Y654" s="87"/>
      <c r="AA654" s="87"/>
      <c r="AB654" s="13"/>
      <c r="AC654" s="245"/>
      <c r="AD654" s="8"/>
      <c r="AE654" s="8"/>
      <c r="AF654" s="12"/>
      <c r="AG654" s="13"/>
      <c r="AH654" s="12"/>
      <c r="AI654" s="13"/>
      <c r="AJ654" s="12"/>
      <c r="AK654" s="13"/>
      <c r="AL654" s="13"/>
      <c r="AM654" s="13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</row>
    <row r="655" spans="21:53" ht="22.9">
      <c r="U655" s="87"/>
      <c r="V655" s="202"/>
      <c r="X655" s="87"/>
      <c r="Y655" s="87"/>
      <c r="AA655" s="87"/>
      <c r="AB655" s="13"/>
      <c r="AC655" s="245"/>
      <c r="AD655" s="8"/>
      <c r="AE655" s="8"/>
      <c r="AF655" s="12"/>
      <c r="AG655" s="13"/>
      <c r="AH655" s="12"/>
      <c r="AI655" s="13"/>
      <c r="AJ655" s="12"/>
      <c r="AK655" s="13"/>
      <c r="AL655" s="13"/>
      <c r="AM655" s="13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</row>
    <row r="656" spans="21:53" ht="22.9">
      <c r="U656" s="87"/>
      <c r="V656" s="202"/>
      <c r="X656" s="87"/>
      <c r="Y656" s="87"/>
      <c r="AA656" s="87"/>
      <c r="AB656" s="13"/>
      <c r="AC656" s="245"/>
      <c r="AD656" s="8"/>
      <c r="AE656" s="8"/>
      <c r="AF656" s="12"/>
      <c r="AG656" s="13"/>
      <c r="AH656" s="12"/>
      <c r="AI656" s="13"/>
      <c r="AJ656" s="12"/>
      <c r="AK656" s="13"/>
      <c r="AL656" s="13"/>
      <c r="AM656" s="13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</row>
    <row r="657" spans="21:53" ht="22.9">
      <c r="U657" s="87"/>
      <c r="V657" s="202"/>
      <c r="X657" s="87"/>
      <c r="Y657" s="87"/>
      <c r="AA657" s="87"/>
      <c r="AB657" s="13"/>
      <c r="AC657" s="245"/>
      <c r="AD657" s="8"/>
      <c r="AE657" s="8"/>
      <c r="AF657" s="12"/>
      <c r="AG657" s="13"/>
      <c r="AH657" s="12"/>
      <c r="AI657" s="13"/>
      <c r="AJ657" s="12"/>
      <c r="AK657" s="13"/>
      <c r="AL657" s="13"/>
      <c r="AM657" s="13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</row>
    <row r="658" spans="21:53" ht="22.9">
      <c r="U658" s="87"/>
      <c r="V658" s="202"/>
      <c r="X658" s="87"/>
      <c r="Y658" s="87"/>
      <c r="AA658" s="87"/>
      <c r="AB658" s="13"/>
      <c r="AC658" s="245"/>
      <c r="AD658" s="8"/>
      <c r="AE658" s="8"/>
      <c r="AF658" s="12"/>
      <c r="AG658" s="13"/>
      <c r="AH658" s="12"/>
      <c r="AI658" s="13"/>
      <c r="AJ658" s="12"/>
      <c r="AK658" s="13"/>
      <c r="AL658" s="13"/>
      <c r="AM658" s="13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</row>
    <row r="659" spans="21:53" ht="22.9">
      <c r="U659" s="87"/>
      <c r="V659" s="202"/>
      <c r="X659" s="87"/>
      <c r="Y659" s="87"/>
      <c r="AA659" s="87"/>
      <c r="AB659" s="13"/>
      <c r="AC659" s="245"/>
      <c r="AD659" s="8"/>
      <c r="AE659" s="8"/>
      <c r="AF659" s="12"/>
      <c r="AG659" s="13"/>
      <c r="AH659" s="12"/>
      <c r="AI659" s="13"/>
      <c r="AJ659" s="12"/>
      <c r="AK659" s="13"/>
      <c r="AL659" s="13"/>
      <c r="AM659" s="13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</row>
    <row r="660" spans="21:53" ht="22.9">
      <c r="U660" s="87"/>
      <c r="V660" s="202"/>
      <c r="X660" s="87"/>
      <c r="Y660" s="87"/>
      <c r="AA660" s="87"/>
      <c r="AB660" s="13"/>
      <c r="AC660" s="245"/>
      <c r="AD660" s="8"/>
      <c r="AE660" s="8"/>
      <c r="AF660" s="12"/>
      <c r="AG660" s="13"/>
      <c r="AH660" s="12"/>
      <c r="AI660" s="13"/>
      <c r="AJ660" s="12"/>
      <c r="AK660" s="13"/>
      <c r="AL660" s="13"/>
      <c r="AM660" s="13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</row>
    <row r="661" spans="21:53" ht="22.9">
      <c r="U661" s="87"/>
      <c r="V661" s="202"/>
      <c r="X661" s="87"/>
      <c r="Y661" s="87"/>
      <c r="AA661" s="87"/>
      <c r="AB661" s="13"/>
      <c r="AC661" s="245"/>
      <c r="AD661" s="8"/>
      <c r="AE661" s="8"/>
      <c r="AF661" s="12"/>
      <c r="AG661" s="13"/>
      <c r="AH661" s="12"/>
      <c r="AI661" s="13"/>
      <c r="AJ661" s="12"/>
      <c r="AK661" s="13"/>
      <c r="AL661" s="13"/>
      <c r="AM661" s="13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</row>
    <row r="662" spans="21:53" ht="22.9">
      <c r="U662" s="87"/>
      <c r="V662" s="202"/>
      <c r="X662" s="87"/>
      <c r="Y662" s="87"/>
      <c r="AA662" s="87"/>
      <c r="AB662" s="13"/>
      <c r="AC662" s="245"/>
      <c r="AD662" s="8"/>
      <c r="AE662" s="8"/>
      <c r="AF662" s="12"/>
      <c r="AG662" s="13"/>
      <c r="AH662" s="12"/>
      <c r="AI662" s="13"/>
      <c r="AJ662" s="12"/>
      <c r="AK662" s="13"/>
      <c r="AL662" s="13"/>
      <c r="AM662" s="13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</row>
    <row r="663" spans="21:53" ht="22.9">
      <c r="U663" s="87"/>
      <c r="V663" s="202"/>
      <c r="X663" s="87"/>
      <c r="Y663" s="87"/>
      <c r="AA663" s="87"/>
      <c r="AB663" s="13"/>
      <c r="AC663" s="245"/>
      <c r="AD663" s="8"/>
      <c r="AE663" s="8"/>
      <c r="AF663" s="12"/>
      <c r="AG663" s="13"/>
      <c r="AH663" s="12"/>
      <c r="AI663" s="13"/>
      <c r="AJ663" s="12"/>
      <c r="AK663" s="13"/>
      <c r="AL663" s="13"/>
      <c r="AM663" s="13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</row>
    <row r="664" spans="21:53" ht="22.9">
      <c r="U664" s="87"/>
      <c r="V664" s="202"/>
      <c r="X664" s="87"/>
      <c r="Y664" s="87"/>
      <c r="AA664" s="87"/>
      <c r="AB664" s="13"/>
      <c r="AC664" s="245"/>
      <c r="AD664" s="8"/>
      <c r="AE664" s="8"/>
      <c r="AF664" s="12"/>
      <c r="AG664" s="13"/>
      <c r="AH664" s="12"/>
      <c r="AI664" s="13"/>
      <c r="AJ664" s="12"/>
      <c r="AK664" s="13"/>
      <c r="AL664" s="13"/>
      <c r="AM664" s="13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</row>
    <row r="665" spans="21:53" ht="22.9">
      <c r="U665" s="87"/>
      <c r="V665" s="202"/>
      <c r="X665" s="87"/>
      <c r="Y665" s="87"/>
      <c r="AA665" s="87"/>
      <c r="AB665" s="13"/>
      <c r="AC665" s="245"/>
      <c r="AD665" s="8"/>
      <c r="AE665" s="8"/>
      <c r="AF665" s="12"/>
      <c r="AG665" s="13"/>
      <c r="AH665" s="12"/>
      <c r="AI665" s="13"/>
      <c r="AJ665" s="12"/>
      <c r="AK665" s="13"/>
      <c r="AL665" s="13"/>
      <c r="AM665" s="13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</row>
    <row r="666" spans="21:53" ht="22.9">
      <c r="U666" s="87"/>
      <c r="V666" s="202"/>
      <c r="X666" s="87"/>
      <c r="Y666" s="87"/>
      <c r="AA666" s="87"/>
      <c r="AB666" s="13"/>
      <c r="AC666" s="245"/>
      <c r="AD666" s="8"/>
      <c r="AE666" s="8"/>
      <c r="AF666" s="12"/>
      <c r="AG666" s="13"/>
      <c r="AH666" s="12"/>
      <c r="AI666" s="13"/>
      <c r="AJ666" s="12"/>
      <c r="AK666" s="13"/>
      <c r="AL666" s="13"/>
      <c r="AM666" s="13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</row>
    <row r="667" spans="21:53" ht="22.9">
      <c r="U667" s="87"/>
      <c r="V667" s="202"/>
      <c r="X667" s="87"/>
      <c r="Y667" s="87"/>
      <c r="AA667" s="87"/>
      <c r="AB667" s="13"/>
      <c r="AC667" s="245"/>
      <c r="AD667" s="8"/>
      <c r="AE667" s="8"/>
      <c r="AF667" s="12"/>
      <c r="AG667" s="13"/>
      <c r="AH667" s="12"/>
      <c r="AI667" s="13"/>
      <c r="AJ667" s="12"/>
      <c r="AK667" s="13"/>
      <c r="AL667" s="13"/>
      <c r="AM667" s="13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</row>
    <row r="668" spans="21:53" ht="22.9">
      <c r="U668" s="87"/>
      <c r="V668" s="202"/>
      <c r="X668" s="87"/>
      <c r="Y668" s="87"/>
      <c r="AA668" s="87"/>
      <c r="AB668" s="13"/>
      <c r="AC668" s="245"/>
      <c r="AD668" s="8"/>
      <c r="AE668" s="8"/>
      <c r="AF668" s="12"/>
      <c r="AG668" s="13"/>
      <c r="AH668" s="12"/>
      <c r="AI668" s="13"/>
      <c r="AJ668" s="12"/>
      <c r="AK668" s="13"/>
      <c r="AL668" s="13"/>
      <c r="AM668" s="13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</row>
    <row r="669" spans="21:53" ht="22.9">
      <c r="U669" s="87"/>
      <c r="V669" s="202"/>
      <c r="X669" s="87"/>
      <c r="Y669" s="87"/>
      <c r="AA669" s="87"/>
      <c r="AB669" s="13"/>
      <c r="AC669" s="245"/>
      <c r="AD669" s="8"/>
      <c r="AE669" s="8"/>
      <c r="AF669" s="12"/>
      <c r="AG669" s="13"/>
      <c r="AH669" s="12"/>
      <c r="AI669" s="13"/>
      <c r="AJ669" s="12"/>
      <c r="AK669" s="13"/>
      <c r="AL669" s="13"/>
      <c r="AM669" s="13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</row>
    <row r="670" spans="21:53" ht="22.9">
      <c r="U670" s="87"/>
      <c r="V670" s="202"/>
      <c r="X670" s="87"/>
      <c r="Y670" s="87"/>
      <c r="AA670" s="87"/>
      <c r="AB670" s="13"/>
      <c r="AC670" s="245"/>
      <c r="AD670" s="8"/>
      <c r="AE670" s="8"/>
      <c r="AF670" s="12"/>
      <c r="AG670" s="13"/>
      <c r="AH670" s="12"/>
      <c r="AI670" s="13"/>
      <c r="AJ670" s="12"/>
      <c r="AK670" s="13"/>
      <c r="AL670" s="13"/>
      <c r="AM670" s="13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</row>
    <row r="671" spans="21:53" ht="22.9">
      <c r="U671" s="87"/>
      <c r="V671" s="202"/>
      <c r="X671" s="87"/>
      <c r="Y671" s="87"/>
      <c r="AA671" s="87"/>
      <c r="AB671" s="13"/>
      <c r="AC671" s="245"/>
      <c r="AD671" s="8"/>
      <c r="AE671" s="8"/>
      <c r="AF671" s="12"/>
      <c r="AG671" s="13"/>
      <c r="AH671" s="12"/>
      <c r="AI671" s="13"/>
      <c r="AJ671" s="12"/>
      <c r="AK671" s="13"/>
      <c r="AL671" s="13"/>
      <c r="AM671" s="13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</row>
    <row r="672" spans="21:53" ht="22.9">
      <c r="U672" s="87"/>
      <c r="V672" s="202"/>
      <c r="X672" s="87"/>
      <c r="Y672" s="87"/>
      <c r="AA672" s="87"/>
      <c r="AB672" s="13"/>
      <c r="AC672" s="245"/>
      <c r="AD672" s="8"/>
      <c r="AE672" s="8"/>
      <c r="AF672" s="12"/>
      <c r="AG672" s="13"/>
      <c r="AH672" s="12"/>
      <c r="AI672" s="13"/>
      <c r="AJ672" s="12"/>
      <c r="AK672" s="13"/>
      <c r="AL672" s="13"/>
      <c r="AM672" s="13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</row>
    <row r="673" spans="21:53" ht="22.9">
      <c r="U673" s="87"/>
      <c r="V673" s="202"/>
      <c r="X673" s="87"/>
      <c r="Y673" s="87"/>
      <c r="AA673" s="87"/>
      <c r="AB673" s="13"/>
      <c r="AC673" s="245"/>
      <c r="AD673" s="8"/>
      <c r="AE673" s="8"/>
      <c r="AF673" s="12"/>
      <c r="AG673" s="13"/>
      <c r="AH673" s="12"/>
      <c r="AI673" s="13"/>
      <c r="AJ673" s="12"/>
      <c r="AK673" s="13"/>
      <c r="AL673" s="13"/>
      <c r="AM673" s="13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</row>
    <row r="674" spans="21:53" ht="22.9">
      <c r="U674" s="87"/>
      <c r="V674" s="202"/>
      <c r="X674" s="87"/>
      <c r="Y674" s="87"/>
      <c r="AA674" s="87"/>
      <c r="AB674" s="13"/>
      <c r="AC674" s="245"/>
      <c r="AD674" s="8"/>
      <c r="AE674" s="8"/>
      <c r="AF674" s="12"/>
      <c r="AG674" s="13"/>
      <c r="AH674" s="12"/>
      <c r="AI674" s="13"/>
      <c r="AJ674" s="12"/>
      <c r="AK674" s="13"/>
      <c r="AL674" s="13"/>
      <c r="AM674" s="13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</row>
    <row r="675" spans="21:53" ht="22.9">
      <c r="U675" s="87"/>
      <c r="V675" s="202"/>
      <c r="X675" s="87"/>
      <c r="Y675" s="87"/>
      <c r="AA675" s="87"/>
      <c r="AB675" s="13"/>
      <c r="AC675" s="245"/>
      <c r="AD675" s="8"/>
      <c r="AE675" s="8"/>
      <c r="AF675" s="12"/>
      <c r="AG675" s="13"/>
      <c r="AH675" s="12"/>
      <c r="AI675" s="13"/>
      <c r="AJ675" s="12"/>
      <c r="AK675" s="13"/>
      <c r="AL675" s="13"/>
      <c r="AM675" s="13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</row>
    <row r="676" spans="21:53" ht="22.9">
      <c r="U676" s="87"/>
      <c r="V676" s="202"/>
      <c r="X676" s="87"/>
      <c r="Y676" s="87"/>
      <c r="AA676" s="87"/>
      <c r="AB676" s="13"/>
      <c r="AC676" s="245"/>
      <c r="AD676" s="8"/>
      <c r="AE676" s="8"/>
      <c r="AF676" s="12"/>
      <c r="AG676" s="13"/>
      <c r="AH676" s="12"/>
      <c r="AI676" s="13"/>
      <c r="AJ676" s="12"/>
      <c r="AK676" s="13"/>
      <c r="AL676" s="13"/>
      <c r="AM676" s="13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</row>
    <row r="677" spans="21:53" ht="22.9">
      <c r="U677" s="87"/>
      <c r="V677" s="202"/>
      <c r="X677" s="87"/>
      <c r="Y677" s="87"/>
      <c r="AA677" s="87"/>
      <c r="AB677" s="13"/>
      <c r="AC677" s="245"/>
      <c r="AD677" s="8"/>
      <c r="AE677" s="8"/>
      <c r="AF677" s="12"/>
      <c r="AG677" s="13"/>
      <c r="AH677" s="12"/>
      <c r="AI677" s="13"/>
      <c r="AJ677" s="12"/>
      <c r="AK677" s="13"/>
      <c r="AL677" s="13"/>
      <c r="AM677" s="13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</row>
    <row r="678" spans="21:53" ht="22.9">
      <c r="U678" s="87"/>
      <c r="V678" s="202"/>
      <c r="X678" s="87"/>
      <c r="Y678" s="87"/>
      <c r="AA678" s="87"/>
      <c r="AB678" s="13"/>
      <c r="AC678" s="245"/>
      <c r="AD678" s="8"/>
      <c r="AE678" s="8"/>
      <c r="AF678" s="12"/>
      <c r="AG678" s="13"/>
      <c r="AH678" s="12"/>
      <c r="AI678" s="13"/>
      <c r="AJ678" s="12"/>
      <c r="AK678" s="13"/>
      <c r="AL678" s="13"/>
      <c r="AM678" s="13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</row>
    <row r="679" spans="21:53" ht="22.9">
      <c r="U679" s="87"/>
      <c r="V679" s="202"/>
      <c r="X679" s="87"/>
      <c r="Y679" s="87"/>
      <c r="AA679" s="87"/>
      <c r="AB679" s="13"/>
      <c r="AC679" s="245"/>
      <c r="AD679" s="8"/>
      <c r="AE679" s="8"/>
      <c r="AF679" s="12"/>
      <c r="AG679" s="13"/>
      <c r="AH679" s="12"/>
      <c r="AI679" s="13"/>
      <c r="AJ679" s="12"/>
      <c r="AK679" s="13"/>
      <c r="AL679" s="13"/>
      <c r="AM679" s="13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</row>
    <row r="680" spans="21:53" ht="22.9">
      <c r="U680" s="87"/>
      <c r="V680" s="202"/>
      <c r="X680" s="87"/>
      <c r="Y680" s="87"/>
      <c r="AA680" s="87"/>
      <c r="AB680" s="13"/>
      <c r="AC680" s="245"/>
      <c r="AD680" s="8"/>
      <c r="AE680" s="8"/>
      <c r="AF680" s="12"/>
      <c r="AG680" s="13"/>
      <c r="AH680" s="12"/>
      <c r="AI680" s="13"/>
      <c r="AJ680" s="12"/>
      <c r="AK680" s="13"/>
      <c r="AL680" s="13"/>
      <c r="AM680" s="13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</row>
    <row r="681" spans="21:53" ht="22.9">
      <c r="U681" s="87"/>
      <c r="V681" s="202"/>
      <c r="X681" s="87"/>
      <c r="Y681" s="87"/>
      <c r="AA681" s="87"/>
      <c r="AB681" s="13"/>
      <c r="AC681" s="245"/>
      <c r="AD681" s="8"/>
      <c r="AE681" s="8"/>
      <c r="AF681" s="12"/>
      <c r="AG681" s="13"/>
      <c r="AH681" s="12"/>
      <c r="AI681" s="13"/>
      <c r="AJ681" s="12"/>
      <c r="AK681" s="13"/>
      <c r="AL681" s="13"/>
      <c r="AM681" s="13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</row>
    <row r="682" spans="21:53" ht="22.9">
      <c r="U682" s="87"/>
      <c r="V682" s="202"/>
      <c r="X682" s="87"/>
      <c r="Y682" s="87"/>
      <c r="AA682" s="87"/>
      <c r="AB682" s="13"/>
      <c r="AC682" s="245"/>
      <c r="AD682" s="8"/>
      <c r="AE682" s="8"/>
      <c r="AF682" s="12"/>
      <c r="AG682" s="13"/>
      <c r="AH682" s="12"/>
      <c r="AI682" s="13"/>
      <c r="AJ682" s="12"/>
      <c r="AK682" s="13"/>
      <c r="AL682" s="13"/>
      <c r="AM682" s="13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</row>
    <row r="683" spans="21:53" ht="22.9">
      <c r="U683" s="87"/>
      <c r="V683" s="202"/>
      <c r="X683" s="87"/>
      <c r="Y683" s="87"/>
      <c r="AA683" s="87"/>
      <c r="AB683" s="13"/>
      <c r="AC683" s="245"/>
      <c r="AD683" s="8"/>
      <c r="AE683" s="8"/>
      <c r="AF683" s="12"/>
      <c r="AG683" s="13"/>
      <c r="AH683" s="12"/>
      <c r="AI683" s="13"/>
      <c r="AJ683" s="12"/>
      <c r="AK683" s="13"/>
      <c r="AL683" s="13"/>
      <c r="AM683" s="13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</row>
    <row r="684" spans="21:53" ht="22.9">
      <c r="U684" s="87"/>
      <c r="V684" s="202"/>
      <c r="X684" s="87"/>
      <c r="Y684" s="87"/>
      <c r="AA684" s="87"/>
      <c r="AB684" s="13"/>
      <c r="AC684" s="245"/>
      <c r="AD684" s="8"/>
      <c r="AE684" s="8"/>
      <c r="AF684" s="12"/>
      <c r="AG684" s="13"/>
      <c r="AH684" s="12"/>
      <c r="AI684" s="13"/>
      <c r="AJ684" s="12"/>
      <c r="AK684" s="13"/>
      <c r="AL684" s="13"/>
      <c r="AM684" s="13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</row>
    <row r="685" spans="21:53" ht="22.9">
      <c r="U685" s="87"/>
      <c r="V685" s="202"/>
      <c r="X685" s="87"/>
      <c r="Y685" s="87"/>
      <c r="AA685" s="87"/>
      <c r="AB685" s="13"/>
      <c r="AC685" s="245"/>
      <c r="AD685" s="8"/>
      <c r="AE685" s="8"/>
      <c r="AF685" s="12"/>
      <c r="AG685" s="13"/>
      <c r="AH685" s="12"/>
      <c r="AI685" s="13"/>
      <c r="AJ685" s="12"/>
      <c r="AK685" s="13"/>
      <c r="AL685" s="13"/>
      <c r="AM685" s="13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</row>
    <row r="686" spans="21:53" ht="22.9">
      <c r="U686" s="87"/>
      <c r="V686" s="202"/>
      <c r="X686" s="87"/>
      <c r="Y686" s="87"/>
      <c r="AA686" s="87"/>
      <c r="AB686" s="13"/>
      <c r="AC686" s="245"/>
      <c r="AD686" s="8"/>
      <c r="AE686" s="8"/>
      <c r="AF686" s="12"/>
      <c r="AG686" s="13"/>
      <c r="AH686" s="12"/>
      <c r="AI686" s="13"/>
      <c r="AJ686" s="12"/>
      <c r="AK686" s="13"/>
      <c r="AL686" s="13"/>
      <c r="AM686" s="13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</row>
    <row r="687" spans="21:53" ht="22.9">
      <c r="U687" s="87"/>
      <c r="V687" s="202"/>
      <c r="X687" s="87"/>
      <c r="Y687" s="87"/>
      <c r="AA687" s="87"/>
      <c r="AB687" s="13"/>
      <c r="AC687" s="245"/>
      <c r="AD687" s="8"/>
      <c r="AE687" s="8"/>
      <c r="AF687" s="12"/>
      <c r="AG687" s="13"/>
      <c r="AH687" s="12"/>
      <c r="AI687" s="13"/>
      <c r="AJ687" s="12"/>
      <c r="AK687" s="13"/>
      <c r="AL687" s="13"/>
      <c r="AM687" s="13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</row>
    <row r="688" spans="21:53" ht="22.9">
      <c r="U688" s="87"/>
      <c r="V688" s="202"/>
      <c r="X688" s="87"/>
      <c r="Y688" s="87"/>
      <c r="AA688" s="87"/>
      <c r="AB688" s="13"/>
      <c r="AC688" s="245"/>
      <c r="AD688" s="8"/>
      <c r="AE688" s="8"/>
      <c r="AF688" s="12"/>
      <c r="AG688" s="13"/>
      <c r="AH688" s="12"/>
      <c r="AI688" s="13"/>
      <c r="AJ688" s="12"/>
      <c r="AK688" s="13"/>
      <c r="AL688" s="13"/>
      <c r="AM688" s="13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</row>
    <row r="689" spans="21:53" ht="22.9">
      <c r="U689" s="87"/>
      <c r="V689" s="202"/>
      <c r="X689" s="87"/>
      <c r="Y689" s="87"/>
      <c r="AA689" s="87"/>
      <c r="AB689" s="13"/>
      <c r="AC689" s="245"/>
      <c r="AD689" s="8"/>
      <c r="AE689" s="8"/>
      <c r="AF689" s="12"/>
      <c r="AG689" s="13"/>
      <c r="AH689" s="12"/>
      <c r="AI689" s="13"/>
      <c r="AJ689" s="12"/>
      <c r="AK689" s="13"/>
      <c r="AL689" s="13"/>
      <c r="AM689" s="13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</row>
    <row r="690" spans="21:53" ht="22.9">
      <c r="U690" s="87"/>
      <c r="V690" s="202"/>
      <c r="X690" s="87"/>
      <c r="Y690" s="87"/>
      <c r="AA690" s="87"/>
      <c r="AB690" s="13"/>
      <c r="AC690" s="245"/>
      <c r="AD690" s="8"/>
      <c r="AE690" s="8"/>
      <c r="AF690" s="12"/>
      <c r="AG690" s="13"/>
      <c r="AH690" s="12"/>
      <c r="AI690" s="13"/>
      <c r="AJ690" s="12"/>
      <c r="AK690" s="13"/>
      <c r="AL690" s="13"/>
      <c r="AM690" s="13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</row>
    <row r="691" spans="21:53" ht="22.9">
      <c r="U691" s="87"/>
      <c r="V691" s="202"/>
      <c r="X691" s="87"/>
      <c r="Y691" s="87"/>
      <c r="AA691" s="87"/>
      <c r="AB691" s="13"/>
      <c r="AC691" s="245"/>
      <c r="AD691" s="8"/>
      <c r="AE691" s="8"/>
      <c r="AF691" s="12"/>
      <c r="AG691" s="13"/>
      <c r="AH691" s="12"/>
      <c r="AI691" s="13"/>
      <c r="AJ691" s="12"/>
      <c r="AK691" s="13"/>
      <c r="AL691" s="13"/>
      <c r="AM691" s="13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</row>
    <row r="692" spans="21:53" ht="22.9">
      <c r="U692" s="87"/>
      <c r="V692" s="202"/>
      <c r="X692" s="87"/>
      <c r="Y692" s="87"/>
      <c r="AA692" s="87"/>
      <c r="AB692" s="13"/>
      <c r="AC692" s="245"/>
      <c r="AD692" s="8"/>
      <c r="AE692" s="8"/>
      <c r="AF692" s="12"/>
      <c r="AG692" s="13"/>
      <c r="AH692" s="12"/>
      <c r="AI692" s="13"/>
      <c r="AJ692" s="12"/>
      <c r="AK692" s="13"/>
      <c r="AL692" s="13"/>
      <c r="AM692" s="13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</row>
    <row r="693" spans="21:53" ht="22.9">
      <c r="U693" s="87"/>
      <c r="V693" s="202"/>
      <c r="X693" s="87"/>
      <c r="Y693" s="87"/>
      <c r="AA693" s="87"/>
      <c r="AB693" s="13"/>
      <c r="AC693" s="245"/>
      <c r="AD693" s="8"/>
      <c r="AE693" s="8"/>
      <c r="AF693" s="12"/>
      <c r="AG693" s="13"/>
      <c r="AH693" s="12"/>
      <c r="AI693" s="13"/>
      <c r="AJ693" s="12"/>
      <c r="AK693" s="13"/>
      <c r="AL693" s="13"/>
      <c r="AM693" s="13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</row>
    <row r="694" spans="21:53" ht="22.9">
      <c r="U694" s="87"/>
      <c r="V694" s="202"/>
      <c r="X694" s="87"/>
      <c r="Y694" s="87"/>
      <c r="AA694" s="87"/>
      <c r="AB694" s="13"/>
      <c r="AC694" s="245"/>
      <c r="AD694" s="8"/>
      <c r="AE694" s="8"/>
      <c r="AF694" s="12"/>
      <c r="AG694" s="13"/>
      <c r="AH694" s="12"/>
      <c r="AI694" s="13"/>
      <c r="AJ694" s="12"/>
      <c r="AK694" s="13"/>
      <c r="AL694" s="13"/>
      <c r="AM694" s="13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</row>
    <row r="695" spans="21:53" ht="22.9">
      <c r="U695" s="87"/>
      <c r="V695" s="202"/>
      <c r="X695" s="87"/>
      <c r="Y695" s="87"/>
      <c r="AA695" s="87"/>
      <c r="AB695" s="13"/>
      <c r="AC695" s="245"/>
      <c r="AD695" s="8"/>
      <c r="AE695" s="8"/>
      <c r="AF695" s="12"/>
      <c r="AG695" s="13"/>
      <c r="AH695" s="12"/>
      <c r="AI695" s="13"/>
      <c r="AJ695" s="12"/>
      <c r="AK695" s="13"/>
      <c r="AL695" s="13"/>
      <c r="AM695" s="13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</row>
    <row r="696" spans="21:53" ht="22.9">
      <c r="U696" s="87"/>
      <c r="V696" s="202"/>
      <c r="X696" s="87"/>
      <c r="Y696" s="87"/>
      <c r="AA696" s="87"/>
      <c r="AB696" s="13"/>
      <c r="AC696" s="245"/>
      <c r="AD696" s="8"/>
      <c r="AE696" s="8"/>
      <c r="AF696" s="12"/>
      <c r="AG696" s="13"/>
      <c r="AH696" s="12"/>
      <c r="AI696" s="13"/>
      <c r="AJ696" s="12"/>
      <c r="AK696" s="13"/>
      <c r="AL696" s="13"/>
      <c r="AM696" s="13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</row>
    <row r="697" spans="21:53" ht="22.9">
      <c r="U697" s="87"/>
      <c r="V697" s="202"/>
      <c r="X697" s="87"/>
      <c r="Y697" s="87"/>
      <c r="AA697" s="87"/>
      <c r="AB697" s="13"/>
      <c r="AC697" s="245"/>
      <c r="AD697" s="8"/>
      <c r="AE697" s="8"/>
      <c r="AF697" s="12"/>
      <c r="AG697" s="13"/>
      <c r="AH697" s="12"/>
      <c r="AI697" s="13"/>
      <c r="AJ697" s="12"/>
      <c r="AK697" s="13"/>
      <c r="AL697" s="13"/>
      <c r="AM697" s="13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</row>
    <row r="698" spans="21:53" ht="22.9">
      <c r="U698" s="87"/>
      <c r="V698" s="202"/>
      <c r="X698" s="87"/>
      <c r="Y698" s="87"/>
      <c r="AA698" s="87"/>
      <c r="AB698" s="13"/>
      <c r="AC698" s="245"/>
      <c r="AD698" s="8"/>
      <c r="AE698" s="8"/>
      <c r="AF698" s="12"/>
      <c r="AG698" s="13"/>
      <c r="AH698" s="12"/>
      <c r="AI698" s="13"/>
      <c r="AJ698" s="12"/>
      <c r="AK698" s="13"/>
      <c r="AL698" s="13"/>
      <c r="AM698" s="13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</row>
    <row r="699" spans="21:53" ht="22.9">
      <c r="U699" s="87"/>
      <c r="V699" s="202"/>
      <c r="X699" s="87"/>
      <c r="Y699" s="87"/>
      <c r="AA699" s="87"/>
      <c r="AB699" s="13"/>
      <c r="AC699" s="245"/>
      <c r="AD699" s="8"/>
      <c r="AE699" s="8"/>
      <c r="AF699" s="12"/>
      <c r="AG699" s="13"/>
      <c r="AH699" s="12"/>
      <c r="AI699" s="13"/>
      <c r="AJ699" s="12"/>
      <c r="AK699" s="13"/>
      <c r="AL699" s="13"/>
      <c r="AM699" s="13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</row>
    <row r="700" spans="21:53" ht="22.9">
      <c r="U700" s="87"/>
      <c r="V700" s="202"/>
      <c r="X700" s="87"/>
      <c r="Y700" s="87"/>
      <c r="AA700" s="87"/>
      <c r="AB700" s="13"/>
      <c r="AC700" s="245"/>
      <c r="AD700" s="8"/>
      <c r="AE700" s="8"/>
      <c r="AF700" s="12"/>
      <c r="AG700" s="13"/>
      <c r="AH700" s="12"/>
      <c r="AI700" s="13"/>
      <c r="AJ700" s="12"/>
      <c r="AK700" s="13"/>
      <c r="AL700" s="13"/>
      <c r="AM700" s="13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</row>
    <row r="701" spans="21:53" ht="22.9">
      <c r="U701" s="87"/>
      <c r="V701" s="202"/>
      <c r="X701" s="87"/>
      <c r="Y701" s="87"/>
      <c r="AA701" s="87"/>
      <c r="AB701" s="13"/>
      <c r="AC701" s="245"/>
      <c r="AD701" s="8"/>
      <c r="AE701" s="8"/>
      <c r="AF701" s="12"/>
      <c r="AG701" s="13"/>
      <c r="AH701" s="12"/>
      <c r="AI701" s="13"/>
      <c r="AJ701" s="12"/>
      <c r="AK701" s="13"/>
      <c r="AL701" s="13"/>
      <c r="AM701" s="13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</row>
    <row r="702" spans="21:53" ht="22.9">
      <c r="U702" s="87"/>
      <c r="V702" s="202"/>
      <c r="X702" s="87"/>
      <c r="Y702" s="87"/>
      <c r="AA702" s="87"/>
      <c r="AB702" s="13"/>
      <c r="AC702" s="245"/>
      <c r="AD702" s="8"/>
      <c r="AE702" s="8"/>
      <c r="AF702" s="12"/>
      <c r="AG702" s="13"/>
      <c r="AH702" s="12"/>
      <c r="AI702" s="13"/>
      <c r="AJ702" s="12"/>
      <c r="AK702" s="13"/>
      <c r="AL702" s="13"/>
      <c r="AM702" s="13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</row>
    <row r="703" spans="21:53" ht="22.9">
      <c r="U703" s="87"/>
      <c r="V703" s="202"/>
      <c r="X703" s="87"/>
      <c r="Y703" s="87"/>
      <c r="AA703" s="87"/>
      <c r="AB703" s="13"/>
      <c r="AC703" s="245"/>
      <c r="AD703" s="8"/>
      <c r="AE703" s="8"/>
      <c r="AF703" s="12"/>
      <c r="AG703" s="13"/>
      <c r="AH703" s="12"/>
      <c r="AI703" s="13"/>
      <c r="AJ703" s="12"/>
      <c r="AK703" s="13"/>
      <c r="AL703" s="13"/>
      <c r="AM703" s="13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</row>
    <row r="704" spans="21:53" ht="22.9">
      <c r="U704" s="87"/>
      <c r="V704" s="202"/>
      <c r="X704" s="87"/>
      <c r="Y704" s="87"/>
      <c r="AA704" s="87"/>
      <c r="AB704" s="13"/>
      <c r="AC704" s="245"/>
      <c r="AD704" s="8"/>
      <c r="AE704" s="8"/>
      <c r="AF704" s="12"/>
      <c r="AG704" s="13"/>
      <c r="AH704" s="12"/>
      <c r="AI704" s="13"/>
      <c r="AJ704" s="12"/>
      <c r="AK704" s="13"/>
      <c r="AL704" s="13"/>
      <c r="AM704" s="13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</row>
    <row r="705" spans="21:53" ht="22.9">
      <c r="U705" s="87"/>
      <c r="V705" s="202"/>
      <c r="X705" s="87"/>
      <c r="Y705" s="87"/>
      <c r="AA705" s="87"/>
      <c r="AB705" s="13"/>
      <c r="AC705" s="245"/>
      <c r="AD705" s="8"/>
      <c r="AE705" s="8"/>
      <c r="AF705" s="12"/>
      <c r="AG705" s="13"/>
      <c r="AH705" s="12"/>
      <c r="AI705" s="13"/>
      <c r="AJ705" s="12"/>
      <c r="AK705" s="13"/>
      <c r="AL705" s="13"/>
      <c r="AM705" s="13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</row>
    <row r="706" spans="21:53" ht="22.9">
      <c r="U706" s="87"/>
      <c r="V706" s="202"/>
      <c r="X706" s="87"/>
      <c r="Y706" s="87"/>
      <c r="AA706" s="87"/>
      <c r="AB706" s="13"/>
      <c r="AC706" s="245"/>
      <c r="AD706" s="8"/>
      <c r="AE706" s="8"/>
      <c r="AF706" s="12"/>
      <c r="AG706" s="13"/>
      <c r="AH706" s="12"/>
      <c r="AI706" s="13"/>
      <c r="AJ706" s="12"/>
      <c r="AK706" s="13"/>
      <c r="AL706" s="13"/>
      <c r="AM706" s="13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</row>
    <row r="707" spans="21:53" ht="22.9">
      <c r="U707" s="87"/>
      <c r="V707" s="202"/>
      <c r="X707" s="87"/>
      <c r="Y707" s="87"/>
      <c r="AA707" s="87"/>
      <c r="AB707" s="13"/>
      <c r="AC707" s="245"/>
      <c r="AD707" s="8"/>
      <c r="AE707" s="8"/>
      <c r="AF707" s="12"/>
      <c r="AG707" s="13"/>
      <c r="AH707" s="12"/>
      <c r="AI707" s="13"/>
      <c r="AJ707" s="12"/>
      <c r="AK707" s="13"/>
      <c r="AL707" s="13"/>
      <c r="AM707" s="13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</row>
    <row r="708" spans="21:53" ht="22.9">
      <c r="U708" s="87"/>
      <c r="V708" s="202"/>
      <c r="X708" s="87"/>
      <c r="Y708" s="87"/>
      <c r="AA708" s="87"/>
      <c r="AB708" s="13"/>
      <c r="AC708" s="245"/>
      <c r="AD708" s="8"/>
      <c r="AE708" s="8"/>
      <c r="AF708" s="12"/>
      <c r="AG708" s="13"/>
      <c r="AH708" s="12"/>
      <c r="AI708" s="13"/>
      <c r="AJ708" s="12"/>
      <c r="AK708" s="13"/>
      <c r="AL708" s="13"/>
      <c r="AM708" s="13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</row>
    <row r="709" spans="21:53" ht="22.9">
      <c r="U709" s="87"/>
      <c r="V709" s="202"/>
      <c r="X709" s="87"/>
      <c r="Y709" s="87"/>
      <c r="AA709" s="87"/>
      <c r="AB709" s="13"/>
      <c r="AC709" s="245"/>
      <c r="AD709" s="8"/>
      <c r="AE709" s="8"/>
      <c r="AF709" s="12"/>
      <c r="AG709" s="13"/>
      <c r="AH709" s="12"/>
      <c r="AI709" s="13"/>
      <c r="AJ709" s="12"/>
      <c r="AK709" s="13"/>
      <c r="AL709" s="13"/>
      <c r="AM709" s="13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</row>
    <row r="710" spans="21:53" ht="22.9">
      <c r="U710" s="87"/>
      <c r="V710" s="202"/>
      <c r="X710" s="87"/>
      <c r="Y710" s="87"/>
      <c r="AA710" s="87"/>
      <c r="AB710" s="13"/>
      <c r="AC710" s="245"/>
      <c r="AD710" s="8"/>
      <c r="AE710" s="8"/>
      <c r="AF710" s="12"/>
      <c r="AG710" s="13"/>
      <c r="AH710" s="12"/>
      <c r="AI710" s="13"/>
      <c r="AJ710" s="12"/>
      <c r="AK710" s="13"/>
      <c r="AL710" s="13"/>
      <c r="AM710" s="13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</row>
    <row r="711" spans="21:53" ht="22.9">
      <c r="U711" s="87"/>
      <c r="V711" s="202"/>
      <c r="X711" s="87"/>
      <c r="Y711" s="87"/>
      <c r="AA711" s="87"/>
      <c r="AB711" s="13"/>
      <c r="AC711" s="245"/>
      <c r="AD711" s="8"/>
      <c r="AE711" s="8"/>
      <c r="AF711" s="12"/>
      <c r="AG711" s="13"/>
      <c r="AH711" s="12"/>
      <c r="AI711" s="13"/>
      <c r="AJ711" s="12"/>
      <c r="AK711" s="13"/>
      <c r="AL711" s="13"/>
      <c r="AM711" s="13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</row>
    <row r="712" spans="21:53" ht="22.9">
      <c r="U712" s="87"/>
      <c r="V712" s="202"/>
      <c r="X712" s="87"/>
      <c r="Y712" s="87"/>
      <c r="AA712" s="87"/>
      <c r="AB712" s="13"/>
      <c r="AC712" s="245"/>
      <c r="AD712" s="8"/>
      <c r="AE712" s="8"/>
      <c r="AF712" s="12"/>
      <c r="AG712" s="13"/>
      <c r="AH712" s="12"/>
      <c r="AI712" s="13"/>
      <c r="AJ712" s="12"/>
      <c r="AK712" s="13"/>
      <c r="AL712" s="13"/>
      <c r="AM712" s="13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</row>
    <row r="713" spans="21:53" ht="22.9">
      <c r="U713" s="87"/>
      <c r="V713" s="202"/>
      <c r="X713" s="87"/>
      <c r="Y713" s="87"/>
      <c r="AA713" s="87"/>
      <c r="AB713" s="13"/>
      <c r="AC713" s="245"/>
      <c r="AD713" s="8"/>
      <c r="AE713" s="8"/>
      <c r="AF713" s="12"/>
      <c r="AG713" s="13"/>
      <c r="AH713" s="12"/>
      <c r="AI713" s="13"/>
      <c r="AJ713" s="12"/>
      <c r="AK713" s="13"/>
      <c r="AL713" s="13"/>
      <c r="AM713" s="13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</row>
    <row r="714" spans="21:53" ht="22.9">
      <c r="U714" s="87"/>
      <c r="V714" s="202"/>
      <c r="X714" s="87"/>
      <c r="Y714" s="87"/>
      <c r="AA714" s="87"/>
      <c r="AB714" s="13"/>
      <c r="AC714" s="245"/>
      <c r="AD714" s="8"/>
      <c r="AE714" s="8"/>
      <c r="AF714" s="12"/>
      <c r="AG714" s="13"/>
      <c r="AH714" s="12"/>
      <c r="AI714" s="13"/>
      <c r="AJ714" s="12"/>
      <c r="AK714" s="13"/>
      <c r="AL714" s="13"/>
      <c r="AM714" s="13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</row>
    <row r="715" spans="21:53" ht="22.9">
      <c r="U715" s="87"/>
      <c r="V715" s="202"/>
      <c r="X715" s="87"/>
      <c r="Y715" s="87"/>
      <c r="AA715" s="87"/>
      <c r="AB715" s="13"/>
      <c r="AC715" s="245"/>
      <c r="AD715" s="8"/>
      <c r="AE715" s="8"/>
      <c r="AF715" s="12"/>
      <c r="AG715" s="13"/>
      <c r="AH715" s="12"/>
      <c r="AI715" s="13"/>
      <c r="AJ715" s="12"/>
      <c r="AK715" s="13"/>
      <c r="AL715" s="13"/>
      <c r="AM715" s="13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</row>
    <row r="716" spans="21:53" ht="22.9">
      <c r="U716" s="87"/>
      <c r="V716" s="202"/>
      <c r="X716" s="87"/>
      <c r="Y716" s="87"/>
      <c r="AA716" s="87"/>
      <c r="AB716" s="13"/>
      <c r="AC716" s="245"/>
      <c r="AD716" s="8"/>
      <c r="AE716" s="8"/>
      <c r="AF716" s="12"/>
      <c r="AG716" s="13"/>
      <c r="AH716" s="12"/>
      <c r="AI716" s="13"/>
      <c r="AJ716" s="12"/>
      <c r="AK716" s="13"/>
      <c r="AL716" s="13"/>
      <c r="AM716" s="13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</row>
    <row r="717" spans="21:53" ht="22.9">
      <c r="U717" s="87"/>
      <c r="V717" s="202"/>
      <c r="X717" s="87"/>
      <c r="Y717" s="87"/>
      <c r="AA717" s="87"/>
      <c r="AB717" s="13"/>
      <c r="AC717" s="245"/>
      <c r="AD717" s="8"/>
      <c r="AE717" s="8"/>
      <c r="AF717" s="12"/>
      <c r="AG717" s="13"/>
      <c r="AH717" s="12"/>
      <c r="AI717" s="13"/>
      <c r="AJ717" s="12"/>
      <c r="AK717" s="13"/>
      <c r="AL717" s="13"/>
      <c r="AM717" s="13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</row>
    <row r="718" spans="21:53" ht="22.9">
      <c r="U718" s="87"/>
      <c r="V718" s="202"/>
      <c r="X718" s="87"/>
      <c r="Y718" s="87"/>
      <c r="AA718" s="87"/>
      <c r="AB718" s="13"/>
      <c r="AC718" s="245"/>
      <c r="AD718" s="8"/>
      <c r="AE718" s="8"/>
      <c r="AF718" s="12"/>
      <c r="AG718" s="13"/>
      <c r="AH718" s="12"/>
      <c r="AI718" s="13"/>
      <c r="AJ718" s="12"/>
      <c r="AK718" s="13"/>
      <c r="AL718" s="13"/>
      <c r="AM718" s="13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</row>
    <row r="719" spans="21:53" ht="22.9">
      <c r="U719" s="87"/>
      <c r="V719" s="202"/>
      <c r="X719" s="87"/>
      <c r="Y719" s="87"/>
      <c r="AA719" s="87"/>
      <c r="AB719" s="13"/>
      <c r="AC719" s="245"/>
      <c r="AD719" s="8"/>
      <c r="AE719" s="8"/>
      <c r="AF719" s="12"/>
      <c r="AG719" s="13"/>
      <c r="AH719" s="12"/>
      <c r="AI719" s="13"/>
      <c r="AJ719" s="12"/>
      <c r="AK719" s="13"/>
      <c r="AL719" s="13"/>
      <c r="AM719" s="13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</row>
    <row r="720" spans="21:53" ht="22.9">
      <c r="U720" s="87"/>
      <c r="V720" s="202"/>
      <c r="X720" s="87"/>
      <c r="Y720" s="87"/>
      <c r="AA720" s="87"/>
      <c r="AB720" s="13"/>
      <c r="AC720" s="245"/>
      <c r="AD720" s="8"/>
      <c r="AE720" s="8"/>
      <c r="AF720" s="12"/>
      <c r="AG720" s="13"/>
      <c r="AH720" s="12"/>
      <c r="AI720" s="13"/>
      <c r="AJ720" s="12"/>
      <c r="AK720" s="13"/>
      <c r="AL720" s="13"/>
      <c r="AM720" s="13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</row>
    <row r="721" spans="21:53" ht="22.9">
      <c r="U721" s="87"/>
      <c r="V721" s="202"/>
      <c r="X721" s="87"/>
      <c r="Y721" s="87"/>
      <c r="AA721" s="87"/>
      <c r="AB721" s="13"/>
      <c r="AC721" s="245"/>
      <c r="AD721" s="8"/>
      <c r="AE721" s="8"/>
      <c r="AF721" s="12"/>
      <c r="AG721" s="13"/>
      <c r="AH721" s="12"/>
      <c r="AI721" s="13"/>
      <c r="AJ721" s="12"/>
      <c r="AK721" s="13"/>
      <c r="AL721" s="13"/>
      <c r="AM721" s="13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</row>
    <row r="722" spans="21:53" ht="22.9">
      <c r="U722" s="87"/>
      <c r="V722" s="202"/>
      <c r="X722" s="87"/>
      <c r="Y722" s="87"/>
      <c r="AA722" s="87"/>
      <c r="AB722" s="13"/>
      <c r="AC722" s="245"/>
      <c r="AD722" s="8"/>
      <c r="AE722" s="8"/>
      <c r="AF722" s="12"/>
      <c r="AG722" s="13"/>
      <c r="AH722" s="12"/>
      <c r="AI722" s="13"/>
      <c r="AJ722" s="12"/>
      <c r="AK722" s="13"/>
      <c r="AL722" s="13"/>
      <c r="AM722" s="13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</row>
    <row r="723" spans="21:53" ht="22.9">
      <c r="U723" s="87"/>
      <c r="V723" s="202"/>
      <c r="X723" s="87"/>
      <c r="Y723" s="87"/>
      <c r="AA723" s="87"/>
      <c r="AB723" s="13"/>
      <c r="AC723" s="245"/>
      <c r="AD723" s="8"/>
      <c r="AE723" s="8"/>
      <c r="AF723" s="12"/>
      <c r="AG723" s="13"/>
      <c r="AH723" s="12"/>
      <c r="AI723" s="13"/>
      <c r="AJ723" s="12"/>
      <c r="AK723" s="13"/>
      <c r="AL723" s="13"/>
      <c r="AM723" s="13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</row>
    <row r="724" spans="21:53" ht="22.9">
      <c r="U724" s="87"/>
      <c r="V724" s="202"/>
      <c r="X724" s="87"/>
      <c r="Y724" s="87"/>
      <c r="AA724" s="87"/>
      <c r="AB724" s="13"/>
      <c r="AC724" s="245"/>
      <c r="AD724" s="8"/>
      <c r="AE724" s="8"/>
      <c r="AF724" s="12"/>
      <c r="AG724" s="13"/>
      <c r="AH724" s="12"/>
      <c r="AI724" s="13"/>
      <c r="AJ724" s="12"/>
      <c r="AK724" s="13"/>
      <c r="AL724" s="13"/>
      <c r="AM724" s="13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</row>
    <row r="725" spans="21:53" ht="22.9">
      <c r="U725" s="87"/>
      <c r="V725" s="202"/>
      <c r="X725" s="87"/>
      <c r="Y725" s="87"/>
      <c r="AA725" s="87"/>
      <c r="AB725" s="13"/>
      <c r="AC725" s="245"/>
      <c r="AD725" s="8"/>
      <c r="AE725" s="8"/>
      <c r="AF725" s="12"/>
      <c r="AG725" s="13"/>
      <c r="AH725" s="12"/>
      <c r="AI725" s="13"/>
      <c r="AJ725" s="12"/>
      <c r="AK725" s="13"/>
      <c r="AL725" s="13"/>
      <c r="AM725" s="13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</row>
    <row r="726" spans="21:53" ht="22.9">
      <c r="U726" s="87"/>
      <c r="V726" s="202"/>
      <c r="X726" s="87"/>
      <c r="Y726" s="87"/>
      <c r="AA726" s="87"/>
      <c r="AB726" s="13"/>
      <c r="AC726" s="245"/>
      <c r="AD726" s="8"/>
      <c r="AE726" s="8"/>
      <c r="AF726" s="12"/>
      <c r="AG726" s="13"/>
      <c r="AH726" s="12"/>
      <c r="AI726" s="13"/>
      <c r="AJ726" s="12"/>
      <c r="AK726" s="13"/>
      <c r="AL726" s="13"/>
      <c r="AM726" s="13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</row>
    <row r="727" spans="21:53" ht="22.9">
      <c r="U727" s="87"/>
      <c r="V727" s="202"/>
      <c r="X727" s="87"/>
      <c r="Y727" s="87"/>
      <c r="AA727" s="87"/>
      <c r="AB727" s="13"/>
      <c r="AC727" s="245"/>
      <c r="AD727" s="8"/>
      <c r="AE727" s="8"/>
      <c r="AF727" s="12"/>
      <c r="AG727" s="13"/>
      <c r="AH727" s="12"/>
      <c r="AI727" s="13"/>
      <c r="AJ727" s="12"/>
      <c r="AK727" s="13"/>
      <c r="AL727" s="13"/>
      <c r="AM727" s="13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</row>
    <row r="728" spans="21:53" ht="22.9">
      <c r="U728" s="87"/>
      <c r="V728" s="202"/>
      <c r="X728" s="87"/>
      <c r="Y728" s="87"/>
      <c r="AA728" s="87"/>
      <c r="AB728" s="13"/>
      <c r="AC728" s="245"/>
      <c r="AD728" s="8"/>
      <c r="AE728" s="8"/>
      <c r="AF728" s="12"/>
      <c r="AG728" s="13"/>
      <c r="AH728" s="12"/>
      <c r="AI728" s="13"/>
      <c r="AJ728" s="12"/>
      <c r="AK728" s="13"/>
      <c r="AL728" s="13"/>
      <c r="AM728" s="13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</row>
    <row r="729" spans="21:53" ht="22.9">
      <c r="U729" s="87"/>
      <c r="V729" s="202"/>
      <c r="X729" s="87"/>
      <c r="Y729" s="87"/>
      <c r="AA729" s="87"/>
      <c r="AB729" s="13"/>
      <c r="AC729" s="245"/>
      <c r="AD729" s="8"/>
      <c r="AE729" s="8"/>
      <c r="AF729" s="12"/>
      <c r="AG729" s="13"/>
      <c r="AH729" s="12"/>
      <c r="AI729" s="13"/>
      <c r="AJ729" s="12"/>
      <c r="AK729" s="13"/>
      <c r="AL729" s="13"/>
      <c r="AM729" s="13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</row>
    <row r="730" spans="21:53" ht="22.9">
      <c r="U730" s="87"/>
      <c r="V730" s="202"/>
      <c r="X730" s="87"/>
      <c r="Y730" s="87"/>
      <c r="AA730" s="87"/>
      <c r="AB730" s="13"/>
      <c r="AC730" s="245"/>
      <c r="AD730" s="8"/>
      <c r="AE730" s="8"/>
      <c r="AF730" s="12"/>
      <c r="AG730" s="13"/>
      <c r="AH730" s="12"/>
      <c r="AI730" s="13"/>
      <c r="AJ730" s="12"/>
      <c r="AK730" s="13"/>
      <c r="AL730" s="13"/>
      <c r="AM730" s="13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</row>
    <row r="731" spans="21:53" ht="22.9">
      <c r="U731" s="87"/>
      <c r="V731" s="202"/>
      <c r="X731" s="87"/>
      <c r="Y731" s="87"/>
      <c r="AA731" s="87"/>
      <c r="AB731" s="13"/>
      <c r="AC731" s="245"/>
      <c r="AD731" s="8"/>
      <c r="AE731" s="8"/>
      <c r="AF731" s="12"/>
      <c r="AG731" s="13"/>
      <c r="AH731" s="12"/>
      <c r="AI731" s="13"/>
      <c r="AJ731" s="12"/>
      <c r="AK731" s="13"/>
      <c r="AL731" s="13"/>
      <c r="AM731" s="13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</row>
    <row r="732" spans="21:53" ht="22.9">
      <c r="U732" s="87"/>
      <c r="V732" s="202"/>
      <c r="X732" s="87"/>
      <c r="Y732" s="87"/>
      <c r="AA732" s="87"/>
      <c r="AB732" s="13"/>
      <c r="AC732" s="245"/>
      <c r="AD732" s="8"/>
      <c r="AE732" s="8"/>
      <c r="AF732" s="12"/>
      <c r="AG732" s="13"/>
      <c r="AH732" s="12"/>
      <c r="AI732" s="13"/>
      <c r="AJ732" s="12"/>
      <c r="AK732" s="13"/>
      <c r="AL732" s="13"/>
      <c r="AM732" s="13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</row>
    <row r="733" spans="21:53" ht="22.9">
      <c r="U733" s="87"/>
      <c r="V733" s="202"/>
      <c r="X733" s="87"/>
      <c r="Y733" s="87"/>
      <c r="AA733" s="87"/>
      <c r="AB733" s="13"/>
      <c r="AC733" s="245"/>
      <c r="AD733" s="8"/>
      <c r="AE733" s="8"/>
      <c r="AF733" s="12"/>
      <c r="AG733" s="13"/>
      <c r="AH733" s="12"/>
      <c r="AI733" s="13"/>
      <c r="AJ733" s="12"/>
      <c r="AK733" s="13"/>
      <c r="AL733" s="13"/>
      <c r="AM733" s="13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</row>
    <row r="734" spans="21:53" ht="22.9">
      <c r="U734" s="87"/>
      <c r="V734" s="202"/>
      <c r="X734" s="87"/>
      <c r="Y734" s="87"/>
      <c r="AA734" s="87"/>
      <c r="AB734" s="13"/>
      <c r="AC734" s="245"/>
      <c r="AD734" s="8"/>
      <c r="AE734" s="8"/>
      <c r="AF734" s="12"/>
      <c r="AG734" s="13"/>
      <c r="AH734" s="12"/>
      <c r="AI734" s="13"/>
      <c r="AJ734" s="12"/>
      <c r="AK734" s="13"/>
      <c r="AL734" s="13"/>
      <c r="AM734" s="13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</row>
    <row r="735" spans="21:53" ht="22.9">
      <c r="U735" s="87"/>
      <c r="V735" s="202"/>
      <c r="X735" s="87"/>
      <c r="Y735" s="87"/>
      <c r="AA735" s="87"/>
      <c r="AB735" s="13"/>
      <c r="AC735" s="245"/>
      <c r="AD735" s="8"/>
      <c r="AE735" s="8"/>
      <c r="AF735" s="12"/>
      <c r="AG735" s="13"/>
      <c r="AH735" s="12"/>
      <c r="AI735" s="13"/>
      <c r="AJ735" s="12"/>
      <c r="AK735" s="13"/>
      <c r="AL735" s="13"/>
      <c r="AM735" s="13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</row>
    <row r="736" spans="21:53" ht="22.9">
      <c r="U736" s="87"/>
      <c r="V736" s="202"/>
      <c r="X736" s="87"/>
      <c r="Y736" s="87"/>
      <c r="AA736" s="87"/>
      <c r="AB736" s="13"/>
      <c r="AC736" s="245"/>
      <c r="AD736" s="8"/>
      <c r="AE736" s="8"/>
      <c r="AF736" s="12"/>
      <c r="AG736" s="13"/>
      <c r="AH736" s="12"/>
      <c r="AI736" s="13"/>
      <c r="AJ736" s="12"/>
      <c r="AK736" s="13"/>
      <c r="AL736" s="13"/>
      <c r="AM736" s="13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</row>
    <row r="737" spans="21:53" ht="22.9">
      <c r="U737" s="87"/>
      <c r="V737" s="202"/>
      <c r="X737" s="87"/>
      <c r="Y737" s="87"/>
      <c r="AA737" s="87"/>
      <c r="AB737" s="13"/>
      <c r="AC737" s="245"/>
      <c r="AD737" s="8"/>
      <c r="AE737" s="8"/>
      <c r="AF737" s="12"/>
      <c r="AG737" s="13"/>
      <c r="AH737" s="12"/>
      <c r="AI737" s="13"/>
      <c r="AJ737" s="12"/>
      <c r="AK737" s="13"/>
      <c r="AL737" s="13"/>
      <c r="AM737" s="13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</row>
    <row r="738" spans="21:53" ht="22.9">
      <c r="U738" s="87"/>
      <c r="V738" s="202"/>
      <c r="X738" s="87"/>
      <c r="Y738" s="87"/>
      <c r="AA738" s="87"/>
      <c r="AB738" s="13"/>
      <c r="AC738" s="245"/>
      <c r="AD738" s="8"/>
      <c r="AE738" s="8"/>
      <c r="AF738" s="12"/>
      <c r="AG738" s="13"/>
      <c r="AH738" s="12"/>
      <c r="AI738" s="13"/>
      <c r="AJ738" s="12"/>
      <c r="AK738" s="13"/>
      <c r="AL738" s="13"/>
      <c r="AM738" s="13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</row>
    <row r="739" spans="21:53" ht="22.9">
      <c r="U739" s="87"/>
      <c r="V739" s="202"/>
      <c r="X739" s="87"/>
      <c r="Y739" s="87"/>
      <c r="AA739" s="87"/>
      <c r="AB739" s="13"/>
      <c r="AC739" s="245"/>
      <c r="AD739" s="8"/>
      <c r="AE739" s="8"/>
      <c r="AF739" s="12"/>
      <c r="AG739" s="13"/>
      <c r="AH739" s="12"/>
      <c r="AI739" s="13"/>
      <c r="AJ739" s="12"/>
      <c r="AK739" s="13"/>
      <c r="AL739" s="13"/>
      <c r="AM739" s="13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</row>
    <row r="740" spans="21:53" ht="22.9">
      <c r="U740" s="87"/>
      <c r="V740" s="202"/>
      <c r="X740" s="87"/>
      <c r="Y740" s="87"/>
      <c r="AA740" s="87"/>
      <c r="AB740" s="13"/>
      <c r="AC740" s="245"/>
      <c r="AD740" s="8"/>
      <c r="AE740" s="8"/>
      <c r="AF740" s="12"/>
      <c r="AG740" s="13"/>
      <c r="AH740" s="12"/>
      <c r="AI740" s="13"/>
      <c r="AJ740" s="12"/>
      <c r="AK740" s="13"/>
      <c r="AL740" s="13"/>
      <c r="AM740" s="13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</row>
    <row r="741" spans="21:53" ht="22.9">
      <c r="U741" s="87"/>
      <c r="V741" s="202"/>
      <c r="X741" s="87"/>
      <c r="Y741" s="87"/>
      <c r="AA741" s="87"/>
      <c r="AB741" s="13"/>
      <c r="AC741" s="245"/>
      <c r="AD741" s="8"/>
      <c r="AE741" s="8"/>
      <c r="AF741" s="12"/>
      <c r="AG741" s="13"/>
      <c r="AH741" s="12"/>
      <c r="AI741" s="13"/>
      <c r="AJ741" s="12"/>
      <c r="AK741" s="13"/>
      <c r="AL741" s="13"/>
      <c r="AM741" s="13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</row>
    <row r="742" spans="21:53" ht="22.9">
      <c r="U742" s="87"/>
      <c r="V742" s="202"/>
      <c r="X742" s="87"/>
      <c r="Y742" s="87"/>
      <c r="AA742" s="87"/>
      <c r="AB742" s="13"/>
      <c r="AC742" s="245"/>
      <c r="AD742" s="8"/>
      <c r="AE742" s="8"/>
      <c r="AF742" s="12"/>
      <c r="AG742" s="13"/>
      <c r="AH742" s="12"/>
      <c r="AI742" s="13"/>
      <c r="AJ742" s="12"/>
      <c r="AK742" s="13"/>
      <c r="AL742" s="13"/>
      <c r="AM742" s="13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</row>
    <row r="743" spans="21:53" ht="22.9">
      <c r="U743" s="87"/>
      <c r="V743" s="202"/>
      <c r="X743" s="87"/>
      <c r="Y743" s="87"/>
      <c r="AA743" s="87"/>
      <c r="AB743" s="13"/>
      <c r="AC743" s="245"/>
      <c r="AD743" s="8"/>
      <c r="AE743" s="8"/>
      <c r="AF743" s="12"/>
      <c r="AG743" s="13"/>
      <c r="AH743" s="12"/>
      <c r="AI743" s="13"/>
      <c r="AJ743" s="12"/>
      <c r="AK743" s="13"/>
      <c r="AL743" s="13"/>
      <c r="AM743" s="13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</row>
    <row r="744" spans="21:53" ht="22.9">
      <c r="U744" s="87"/>
      <c r="V744" s="202"/>
      <c r="X744" s="87"/>
      <c r="Y744" s="87"/>
      <c r="AA744" s="87"/>
      <c r="AB744" s="13"/>
      <c r="AC744" s="245"/>
      <c r="AD744" s="8"/>
      <c r="AE744" s="8"/>
      <c r="AF744" s="12"/>
      <c r="AG744" s="13"/>
      <c r="AH744" s="12"/>
      <c r="AI744" s="13"/>
      <c r="AJ744" s="12"/>
      <c r="AK744" s="13"/>
      <c r="AL744" s="13"/>
      <c r="AM744" s="13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</row>
    <row r="745" spans="21:53" ht="22.9">
      <c r="U745" s="87"/>
      <c r="V745" s="202"/>
      <c r="X745" s="87"/>
      <c r="Y745" s="87"/>
      <c r="AA745" s="87"/>
      <c r="AB745" s="13"/>
      <c r="AC745" s="245"/>
      <c r="AD745" s="8"/>
      <c r="AE745" s="8"/>
      <c r="AF745" s="12"/>
      <c r="AG745" s="13"/>
      <c r="AH745" s="12"/>
      <c r="AI745" s="13"/>
      <c r="AJ745" s="12"/>
      <c r="AK745" s="13"/>
      <c r="AL745" s="13"/>
      <c r="AM745" s="13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</row>
    <row r="746" spans="21:53" ht="22.9">
      <c r="U746" s="87"/>
      <c r="V746" s="202"/>
      <c r="X746" s="87"/>
      <c r="Y746" s="87"/>
      <c r="AA746" s="87"/>
      <c r="AB746" s="13"/>
      <c r="AC746" s="245"/>
      <c r="AD746" s="8"/>
      <c r="AE746" s="8"/>
      <c r="AF746" s="12"/>
      <c r="AG746" s="13"/>
      <c r="AH746" s="12"/>
      <c r="AI746" s="13"/>
      <c r="AJ746" s="12"/>
      <c r="AK746" s="13"/>
      <c r="AL746" s="13"/>
      <c r="AM746" s="13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</row>
    <row r="747" spans="21:53" ht="22.9">
      <c r="U747" s="87"/>
      <c r="V747" s="202"/>
      <c r="X747" s="87"/>
      <c r="Y747" s="87"/>
      <c r="AA747" s="87"/>
      <c r="AB747" s="13"/>
      <c r="AC747" s="245"/>
      <c r="AD747" s="8"/>
      <c r="AE747" s="8"/>
      <c r="AF747" s="12"/>
      <c r="AG747" s="13"/>
      <c r="AH747" s="12"/>
      <c r="AI747" s="13"/>
      <c r="AJ747" s="12"/>
      <c r="AK747" s="13"/>
      <c r="AL747" s="13"/>
      <c r="AM747" s="13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</row>
    <row r="748" spans="21:53" ht="22.9">
      <c r="U748" s="87"/>
      <c r="V748" s="202"/>
      <c r="X748" s="87"/>
      <c r="Y748" s="87"/>
      <c r="AA748" s="87"/>
      <c r="AB748" s="13"/>
      <c r="AC748" s="245"/>
      <c r="AD748" s="8"/>
      <c r="AE748" s="8"/>
      <c r="AF748" s="12"/>
      <c r="AG748" s="13"/>
      <c r="AH748" s="12"/>
      <c r="AI748" s="13"/>
      <c r="AJ748" s="12"/>
      <c r="AK748" s="13"/>
      <c r="AL748" s="13"/>
      <c r="AM748" s="13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</row>
    <row r="749" spans="21:53" ht="22.9">
      <c r="U749" s="87"/>
      <c r="V749" s="202"/>
      <c r="X749" s="87"/>
      <c r="Y749" s="87"/>
      <c r="AA749" s="87"/>
      <c r="AB749" s="13"/>
      <c r="AC749" s="245"/>
      <c r="AD749" s="8"/>
      <c r="AE749" s="8"/>
      <c r="AF749" s="12"/>
      <c r="AG749" s="13"/>
      <c r="AH749" s="12"/>
      <c r="AI749" s="13"/>
      <c r="AJ749" s="12"/>
      <c r="AK749" s="13"/>
      <c r="AL749" s="13"/>
      <c r="AM749" s="13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</row>
    <row r="750" spans="21:53" ht="22.9">
      <c r="U750" s="87"/>
      <c r="V750" s="202"/>
      <c r="X750" s="87"/>
      <c r="Y750" s="87"/>
      <c r="AA750" s="87"/>
      <c r="AB750" s="13"/>
      <c r="AC750" s="245"/>
      <c r="AD750" s="8"/>
      <c r="AE750" s="8"/>
      <c r="AF750" s="12"/>
      <c r="AG750" s="13"/>
      <c r="AH750" s="12"/>
      <c r="AI750" s="13"/>
      <c r="AJ750" s="12"/>
      <c r="AK750" s="13"/>
      <c r="AL750" s="13"/>
      <c r="AM750" s="13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</row>
    <row r="751" spans="21:53" ht="22.9">
      <c r="U751" s="87"/>
      <c r="V751" s="202"/>
      <c r="X751" s="87"/>
      <c r="Y751" s="87"/>
      <c r="AA751" s="87"/>
      <c r="AB751" s="13"/>
      <c r="AC751" s="245"/>
      <c r="AD751" s="8"/>
      <c r="AE751" s="8"/>
      <c r="AF751" s="12"/>
      <c r="AG751" s="13"/>
      <c r="AH751" s="12"/>
      <c r="AI751" s="13"/>
      <c r="AJ751" s="12"/>
      <c r="AK751" s="13"/>
      <c r="AL751" s="13"/>
      <c r="AM751" s="13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</row>
    <row r="752" spans="21:53" ht="22.9">
      <c r="U752" s="87"/>
      <c r="V752" s="202"/>
      <c r="X752" s="87"/>
      <c r="Y752" s="87"/>
      <c r="AA752" s="87"/>
      <c r="AB752" s="13"/>
      <c r="AC752" s="245"/>
      <c r="AD752" s="8"/>
      <c r="AE752" s="8"/>
      <c r="AF752" s="12"/>
      <c r="AG752" s="13"/>
      <c r="AH752" s="12"/>
      <c r="AI752" s="13"/>
      <c r="AJ752" s="12"/>
      <c r="AK752" s="13"/>
      <c r="AL752" s="13"/>
      <c r="AM752" s="13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</row>
    <row r="753" spans="21:53" ht="22.9">
      <c r="U753" s="87"/>
      <c r="V753" s="202"/>
      <c r="X753" s="87"/>
      <c r="Y753" s="87"/>
      <c r="AA753" s="87"/>
      <c r="AB753" s="13"/>
      <c r="AC753" s="245"/>
      <c r="AD753" s="8"/>
      <c r="AE753" s="8"/>
      <c r="AF753" s="12"/>
      <c r="AG753" s="13"/>
      <c r="AH753" s="12"/>
      <c r="AI753" s="13"/>
      <c r="AJ753" s="12"/>
      <c r="AK753" s="13"/>
      <c r="AL753" s="13"/>
      <c r="AM753" s="13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</row>
    <row r="754" spans="21:53" ht="22.9">
      <c r="U754" s="87"/>
      <c r="V754" s="202"/>
      <c r="X754" s="87"/>
      <c r="Y754" s="87"/>
      <c r="AA754" s="87"/>
      <c r="AB754" s="13"/>
      <c r="AC754" s="245"/>
      <c r="AD754" s="8"/>
      <c r="AE754" s="8"/>
      <c r="AF754" s="12"/>
      <c r="AG754" s="13"/>
      <c r="AH754" s="12"/>
      <c r="AI754" s="13"/>
      <c r="AJ754" s="12"/>
      <c r="AK754" s="13"/>
      <c r="AL754" s="13"/>
      <c r="AM754" s="13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</row>
    <row r="755" spans="21:53" ht="22.9">
      <c r="U755" s="87"/>
      <c r="V755" s="202"/>
      <c r="X755" s="87"/>
      <c r="Y755" s="87"/>
      <c r="AA755" s="87"/>
      <c r="AB755" s="13"/>
      <c r="AC755" s="245"/>
      <c r="AD755" s="8"/>
      <c r="AE755" s="8"/>
      <c r="AF755" s="12"/>
      <c r="AG755" s="13"/>
      <c r="AH755" s="12"/>
      <c r="AI755" s="13"/>
      <c r="AJ755" s="12"/>
      <c r="AK755" s="13"/>
      <c r="AL755" s="13"/>
      <c r="AM755" s="13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</row>
    <row r="756" spans="21:53" ht="22.9">
      <c r="U756" s="87"/>
      <c r="V756" s="202"/>
      <c r="X756" s="87"/>
      <c r="Y756" s="87"/>
      <c r="AA756" s="87"/>
      <c r="AB756" s="13"/>
      <c r="AC756" s="245"/>
      <c r="AD756" s="8"/>
      <c r="AE756" s="8"/>
      <c r="AF756" s="12"/>
      <c r="AG756" s="13"/>
      <c r="AH756" s="12"/>
      <c r="AI756" s="13"/>
      <c r="AJ756" s="12"/>
      <c r="AK756" s="13"/>
      <c r="AL756" s="13"/>
      <c r="AM756" s="13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</row>
    <row r="757" spans="21:53" ht="22.9">
      <c r="U757" s="87"/>
      <c r="V757" s="202"/>
      <c r="X757" s="87"/>
      <c r="Y757" s="87"/>
      <c r="AA757" s="87"/>
      <c r="AB757" s="13"/>
      <c r="AC757" s="245"/>
      <c r="AD757" s="8"/>
      <c r="AE757" s="8"/>
      <c r="AF757" s="12"/>
      <c r="AG757" s="13"/>
      <c r="AH757" s="12"/>
      <c r="AI757" s="13"/>
      <c r="AJ757" s="12"/>
      <c r="AK757" s="13"/>
      <c r="AL757" s="13"/>
      <c r="AM757" s="13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</row>
    <row r="758" spans="21:53" ht="22.9">
      <c r="U758" s="87"/>
      <c r="V758" s="202"/>
      <c r="X758" s="87"/>
      <c r="Y758" s="87"/>
      <c r="AA758" s="87"/>
      <c r="AB758" s="13"/>
      <c r="AC758" s="245"/>
      <c r="AD758" s="8"/>
      <c r="AE758" s="8"/>
      <c r="AF758" s="12"/>
      <c r="AG758" s="13"/>
      <c r="AH758" s="12"/>
      <c r="AI758" s="13"/>
      <c r="AJ758" s="12"/>
      <c r="AK758" s="13"/>
      <c r="AL758" s="13"/>
      <c r="AM758" s="13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</row>
    <row r="759" spans="21:53" ht="22.9">
      <c r="U759" s="87"/>
      <c r="V759" s="202"/>
      <c r="X759" s="87"/>
      <c r="Y759" s="87"/>
      <c r="AA759" s="87"/>
      <c r="AB759" s="13"/>
      <c r="AC759" s="245"/>
      <c r="AD759" s="8"/>
      <c r="AE759" s="8"/>
      <c r="AF759" s="12"/>
      <c r="AG759" s="13"/>
      <c r="AH759" s="12"/>
      <c r="AI759" s="13"/>
      <c r="AJ759" s="12"/>
      <c r="AK759" s="13"/>
      <c r="AL759" s="13"/>
      <c r="AM759" s="13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</row>
    <row r="760" spans="21:53" ht="22.9">
      <c r="U760" s="87"/>
      <c r="V760" s="202"/>
      <c r="X760" s="87"/>
      <c r="Y760" s="87"/>
      <c r="AA760" s="87"/>
      <c r="AB760" s="13"/>
      <c r="AC760" s="245"/>
      <c r="AD760" s="8"/>
      <c r="AE760" s="8"/>
      <c r="AF760" s="12"/>
      <c r="AG760" s="13"/>
      <c r="AH760" s="12"/>
      <c r="AI760" s="13"/>
      <c r="AJ760" s="12"/>
      <c r="AK760" s="13"/>
      <c r="AL760" s="13"/>
      <c r="AM760" s="13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</row>
    <row r="761" spans="21:53" ht="22.9">
      <c r="U761" s="87"/>
      <c r="V761" s="202"/>
      <c r="X761" s="87"/>
      <c r="Y761" s="87"/>
      <c r="AA761" s="87"/>
      <c r="AB761" s="13"/>
      <c r="AC761" s="245"/>
      <c r="AD761" s="8"/>
      <c r="AE761" s="8"/>
      <c r="AF761" s="12"/>
      <c r="AG761" s="13"/>
      <c r="AH761" s="12"/>
      <c r="AI761" s="13"/>
      <c r="AJ761" s="12"/>
      <c r="AK761" s="13"/>
      <c r="AL761" s="13"/>
      <c r="AM761" s="13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</row>
    <row r="762" spans="21:53" ht="22.9">
      <c r="U762" s="87"/>
      <c r="V762" s="202"/>
      <c r="X762" s="87"/>
      <c r="Y762" s="87"/>
      <c r="AA762" s="87"/>
      <c r="AB762" s="13"/>
      <c r="AC762" s="245"/>
      <c r="AD762" s="8"/>
      <c r="AE762" s="8"/>
      <c r="AF762" s="12"/>
      <c r="AG762" s="13"/>
      <c r="AH762" s="12"/>
      <c r="AI762" s="13"/>
      <c r="AJ762" s="12"/>
      <c r="AK762" s="13"/>
      <c r="AL762" s="13"/>
      <c r="AM762" s="13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</row>
    <row r="763" spans="21:53" ht="22.9">
      <c r="U763" s="87"/>
      <c r="V763" s="202"/>
      <c r="X763" s="87"/>
      <c r="Y763" s="87"/>
      <c r="AA763" s="87"/>
      <c r="AB763" s="13"/>
      <c r="AC763" s="245"/>
      <c r="AD763" s="8"/>
      <c r="AE763" s="8"/>
      <c r="AF763" s="12"/>
      <c r="AG763" s="13"/>
      <c r="AH763" s="12"/>
      <c r="AI763" s="13"/>
      <c r="AJ763" s="12"/>
      <c r="AK763" s="13"/>
      <c r="AL763" s="13"/>
      <c r="AM763" s="13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</row>
    <row r="764" spans="21:53" ht="22.9">
      <c r="U764" s="87"/>
      <c r="V764" s="202"/>
      <c r="X764" s="87"/>
      <c r="Y764" s="87"/>
      <c r="AA764" s="87"/>
      <c r="AB764" s="13"/>
      <c r="AC764" s="245"/>
      <c r="AD764" s="8"/>
      <c r="AE764" s="8"/>
      <c r="AF764" s="12"/>
      <c r="AG764" s="13"/>
      <c r="AH764" s="12"/>
      <c r="AI764" s="13"/>
      <c r="AJ764" s="12"/>
      <c r="AK764" s="13"/>
      <c r="AL764" s="13"/>
      <c r="AM764" s="13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</row>
    <row r="765" spans="21:53" ht="22.9">
      <c r="U765" s="87"/>
      <c r="V765" s="202"/>
      <c r="X765" s="87"/>
      <c r="Y765" s="87"/>
      <c r="AA765" s="87"/>
      <c r="AB765" s="13"/>
      <c r="AC765" s="245"/>
      <c r="AD765" s="8"/>
      <c r="AE765" s="8"/>
      <c r="AF765" s="12"/>
      <c r="AG765" s="13"/>
      <c r="AH765" s="12"/>
      <c r="AI765" s="13"/>
      <c r="AJ765" s="12"/>
      <c r="AK765" s="13"/>
      <c r="AL765" s="13"/>
      <c r="AM765" s="13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</row>
    <row r="766" spans="21:53" ht="22.9">
      <c r="U766" s="87"/>
      <c r="V766" s="202"/>
      <c r="X766" s="87"/>
      <c r="Y766" s="87"/>
      <c r="AA766" s="87"/>
      <c r="AB766" s="13"/>
      <c r="AC766" s="245"/>
      <c r="AD766" s="8"/>
      <c r="AE766" s="8"/>
      <c r="AF766" s="12"/>
      <c r="AG766" s="13"/>
      <c r="AH766" s="12"/>
      <c r="AI766" s="13"/>
      <c r="AJ766" s="12"/>
      <c r="AK766" s="13"/>
      <c r="AL766" s="13"/>
      <c r="AM766" s="13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</row>
    <row r="767" spans="21:53" ht="22.9">
      <c r="U767" s="87"/>
      <c r="V767" s="202"/>
      <c r="X767" s="87"/>
      <c r="Y767" s="87"/>
      <c r="AA767" s="87"/>
      <c r="AB767" s="13"/>
      <c r="AC767" s="245"/>
      <c r="AD767" s="8"/>
      <c r="AE767" s="8"/>
      <c r="AF767" s="12"/>
      <c r="AG767" s="13"/>
      <c r="AH767" s="12"/>
      <c r="AI767" s="13"/>
      <c r="AJ767" s="12"/>
      <c r="AK767" s="13"/>
      <c r="AL767" s="13"/>
      <c r="AM767" s="13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</row>
    <row r="768" spans="21:53" ht="22.9">
      <c r="U768" s="87"/>
      <c r="V768" s="202"/>
      <c r="X768" s="87"/>
      <c r="Y768" s="87"/>
      <c r="AA768" s="87"/>
      <c r="AB768" s="13"/>
      <c r="AC768" s="245"/>
      <c r="AD768" s="8"/>
      <c r="AE768" s="8"/>
      <c r="AF768" s="12"/>
      <c r="AG768" s="13"/>
      <c r="AH768" s="12"/>
      <c r="AI768" s="13"/>
      <c r="AJ768" s="12"/>
      <c r="AK768" s="13"/>
      <c r="AL768" s="13"/>
      <c r="AM768" s="13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</row>
    <row r="769" spans="21:53" ht="22.9">
      <c r="U769" s="87"/>
      <c r="V769" s="202"/>
      <c r="X769" s="87"/>
      <c r="Y769" s="87"/>
      <c r="AA769" s="87"/>
      <c r="AB769" s="13"/>
      <c r="AC769" s="245"/>
      <c r="AD769" s="8"/>
      <c r="AE769" s="8"/>
      <c r="AF769" s="12"/>
      <c r="AG769" s="13"/>
      <c r="AH769" s="12"/>
      <c r="AI769" s="13"/>
      <c r="AJ769" s="12"/>
      <c r="AK769" s="13"/>
      <c r="AL769" s="13"/>
      <c r="AM769" s="13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</row>
    <row r="770" spans="21:53" ht="22.9">
      <c r="U770" s="87"/>
      <c r="V770" s="202"/>
      <c r="X770" s="87"/>
      <c r="Y770" s="87"/>
      <c r="AA770" s="87"/>
      <c r="AB770" s="13"/>
      <c r="AC770" s="245"/>
      <c r="AD770" s="8"/>
      <c r="AE770" s="8"/>
      <c r="AF770" s="12"/>
      <c r="AG770" s="13"/>
      <c r="AH770" s="12"/>
      <c r="AI770" s="13"/>
      <c r="AJ770" s="12"/>
      <c r="AK770" s="13"/>
      <c r="AL770" s="13"/>
      <c r="AM770" s="13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</row>
    <row r="771" spans="21:53" ht="22.9">
      <c r="U771" s="87"/>
      <c r="V771" s="202"/>
      <c r="X771" s="87"/>
      <c r="Y771" s="87"/>
      <c r="AA771" s="87"/>
      <c r="AB771" s="13"/>
      <c r="AC771" s="245"/>
      <c r="AD771" s="8"/>
      <c r="AE771" s="8"/>
      <c r="AF771" s="12"/>
      <c r="AG771" s="13"/>
      <c r="AH771" s="12"/>
      <c r="AI771" s="13"/>
      <c r="AJ771" s="12"/>
      <c r="AK771" s="13"/>
      <c r="AL771" s="13"/>
      <c r="AM771" s="13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</row>
    <row r="772" spans="21:53" ht="22.9">
      <c r="U772" s="87"/>
      <c r="V772" s="202"/>
      <c r="X772" s="87"/>
      <c r="Y772" s="87"/>
      <c r="AA772" s="87"/>
      <c r="AB772" s="13"/>
      <c r="AC772" s="245"/>
      <c r="AD772" s="8"/>
      <c r="AE772" s="8"/>
      <c r="AF772" s="12"/>
      <c r="AG772" s="13"/>
      <c r="AH772" s="12"/>
      <c r="AI772" s="13"/>
      <c r="AJ772" s="12"/>
      <c r="AK772" s="13"/>
      <c r="AL772" s="13"/>
      <c r="AM772" s="13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</row>
    <row r="773" spans="21:53" ht="22.9">
      <c r="U773" s="87"/>
      <c r="V773" s="202"/>
      <c r="X773" s="87"/>
      <c r="Y773" s="87"/>
      <c r="AA773" s="87"/>
      <c r="AB773" s="13"/>
      <c r="AC773" s="245"/>
      <c r="AD773" s="8"/>
      <c r="AE773" s="8"/>
      <c r="AF773" s="12"/>
      <c r="AG773" s="13"/>
      <c r="AH773" s="12"/>
      <c r="AI773" s="13"/>
      <c r="AJ773" s="12"/>
      <c r="AK773" s="13"/>
      <c r="AL773" s="13"/>
      <c r="AM773" s="13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</row>
    <row r="774" spans="21:53" ht="22.9">
      <c r="U774" s="87"/>
      <c r="V774" s="202"/>
      <c r="X774" s="87"/>
      <c r="Y774" s="87"/>
      <c r="AA774" s="87"/>
      <c r="AB774" s="13"/>
      <c r="AC774" s="245"/>
      <c r="AD774" s="8"/>
      <c r="AE774" s="8"/>
      <c r="AF774" s="12"/>
      <c r="AG774" s="13"/>
      <c r="AH774" s="12"/>
      <c r="AI774" s="13"/>
      <c r="AJ774" s="12"/>
      <c r="AK774" s="13"/>
      <c r="AL774" s="13"/>
      <c r="AM774" s="13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</row>
    <row r="775" spans="21:53" ht="22.9">
      <c r="U775" s="87"/>
      <c r="V775" s="202"/>
      <c r="X775" s="87"/>
      <c r="Y775" s="87"/>
      <c r="AA775" s="87"/>
      <c r="AB775" s="13"/>
      <c r="AC775" s="245"/>
      <c r="AD775" s="8"/>
      <c r="AE775" s="8"/>
      <c r="AF775" s="12"/>
      <c r="AG775" s="13"/>
      <c r="AH775" s="12"/>
      <c r="AI775" s="13"/>
      <c r="AJ775" s="12"/>
      <c r="AK775" s="13"/>
      <c r="AL775" s="13"/>
      <c r="AM775" s="13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</row>
    <row r="776" spans="21:53" ht="22.9">
      <c r="U776" s="87"/>
      <c r="V776" s="202"/>
      <c r="X776" s="87"/>
      <c r="Y776" s="87"/>
      <c r="AA776" s="87"/>
      <c r="AB776" s="13"/>
      <c r="AC776" s="245"/>
      <c r="AD776" s="8"/>
      <c r="AE776" s="8"/>
      <c r="AF776" s="12"/>
      <c r="AG776" s="13"/>
      <c r="AH776" s="12"/>
      <c r="AI776" s="13"/>
      <c r="AJ776" s="12"/>
      <c r="AK776" s="13"/>
      <c r="AL776" s="13"/>
      <c r="AM776" s="13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</row>
    <row r="777" spans="21:53" ht="22.9">
      <c r="U777" s="87"/>
      <c r="V777" s="202"/>
      <c r="X777" s="87"/>
      <c r="Y777" s="87"/>
      <c r="AA777" s="87"/>
      <c r="AB777" s="13"/>
      <c r="AC777" s="245"/>
      <c r="AD777" s="8"/>
      <c r="AE777" s="8"/>
      <c r="AF777" s="12"/>
      <c r="AG777" s="13"/>
      <c r="AH777" s="12"/>
      <c r="AI777" s="13"/>
      <c r="AJ777" s="12"/>
      <c r="AK777" s="13"/>
      <c r="AL777" s="13"/>
      <c r="AM777" s="13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</row>
    <row r="778" spans="21:53" ht="22.9">
      <c r="U778" s="87"/>
      <c r="V778" s="202"/>
      <c r="X778" s="87"/>
      <c r="Y778" s="87"/>
      <c r="AA778" s="87"/>
      <c r="AB778" s="13"/>
      <c r="AC778" s="245"/>
      <c r="AD778" s="8"/>
      <c r="AE778" s="8"/>
      <c r="AF778" s="12"/>
      <c r="AG778" s="13"/>
      <c r="AH778" s="12"/>
      <c r="AI778" s="13"/>
      <c r="AJ778" s="12"/>
      <c r="AK778" s="13"/>
      <c r="AL778" s="13"/>
      <c r="AM778" s="13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</row>
    <row r="779" spans="21:53" ht="22.9">
      <c r="U779" s="87"/>
      <c r="V779" s="202"/>
      <c r="X779" s="87"/>
      <c r="Y779" s="87"/>
      <c r="AA779" s="87"/>
      <c r="AB779" s="13"/>
      <c r="AC779" s="245"/>
      <c r="AD779" s="8"/>
      <c r="AE779" s="8"/>
      <c r="AF779" s="12"/>
      <c r="AG779" s="13"/>
      <c r="AH779" s="12"/>
      <c r="AI779" s="13"/>
      <c r="AJ779" s="12"/>
      <c r="AK779" s="13"/>
      <c r="AL779" s="13"/>
      <c r="AM779" s="13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</row>
    <row r="780" spans="21:53" ht="22.9">
      <c r="U780" s="87"/>
      <c r="V780" s="202"/>
      <c r="X780" s="87"/>
      <c r="Y780" s="87"/>
      <c r="AA780" s="87"/>
      <c r="AB780" s="13"/>
      <c r="AC780" s="245"/>
      <c r="AD780" s="8"/>
      <c r="AE780" s="8"/>
      <c r="AF780" s="12"/>
      <c r="AG780" s="13"/>
      <c r="AH780" s="12"/>
      <c r="AI780" s="13"/>
      <c r="AJ780" s="12"/>
      <c r="AK780" s="13"/>
      <c r="AL780" s="13"/>
      <c r="AM780" s="13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</row>
    <row r="781" spans="21:53" ht="22.9">
      <c r="U781" s="87"/>
      <c r="V781" s="202"/>
      <c r="X781" s="87"/>
      <c r="Y781" s="87"/>
      <c r="AA781" s="87"/>
      <c r="AB781" s="13"/>
      <c r="AC781" s="245"/>
      <c r="AD781" s="8"/>
      <c r="AE781" s="8"/>
      <c r="AF781" s="12"/>
      <c r="AG781" s="13"/>
      <c r="AH781" s="12"/>
      <c r="AI781" s="13"/>
      <c r="AJ781" s="12"/>
      <c r="AK781" s="13"/>
      <c r="AL781" s="13"/>
      <c r="AM781" s="13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</row>
    <row r="782" spans="21:53" ht="22.9">
      <c r="U782" s="87"/>
      <c r="V782" s="202"/>
      <c r="X782" s="87"/>
      <c r="Y782" s="87"/>
      <c r="AA782" s="87"/>
      <c r="AB782" s="13"/>
      <c r="AC782" s="245"/>
      <c r="AD782" s="8"/>
      <c r="AE782" s="8"/>
      <c r="AF782" s="12"/>
      <c r="AG782" s="13"/>
      <c r="AH782" s="12"/>
      <c r="AI782" s="13"/>
      <c r="AJ782" s="12"/>
      <c r="AK782" s="13"/>
      <c r="AL782" s="13"/>
      <c r="AM782" s="13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</row>
    <row r="783" spans="21:53" ht="22.9">
      <c r="U783" s="87"/>
      <c r="V783" s="202"/>
      <c r="X783" s="87"/>
      <c r="Y783" s="87"/>
      <c r="AA783" s="87"/>
      <c r="AB783" s="13"/>
      <c r="AC783" s="245"/>
      <c r="AD783" s="8"/>
      <c r="AE783" s="8"/>
      <c r="AF783" s="12"/>
      <c r="AG783" s="13"/>
      <c r="AH783" s="12"/>
      <c r="AI783" s="13"/>
      <c r="AJ783" s="12"/>
      <c r="AK783" s="13"/>
      <c r="AL783" s="13"/>
      <c r="AM783" s="13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</row>
    <row r="784" spans="21:53" ht="22.9">
      <c r="U784" s="87"/>
      <c r="V784" s="202"/>
      <c r="X784" s="87"/>
      <c r="Y784" s="87"/>
      <c r="AA784" s="87"/>
      <c r="AB784" s="13"/>
      <c r="AC784" s="245"/>
      <c r="AD784" s="8"/>
      <c r="AE784" s="8"/>
      <c r="AF784" s="12"/>
      <c r="AG784" s="13"/>
      <c r="AH784" s="12"/>
      <c r="AI784" s="13"/>
      <c r="AJ784" s="12"/>
      <c r="AK784" s="13"/>
      <c r="AL784" s="13"/>
      <c r="AM784" s="13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</row>
    <row r="785" spans="21:53" ht="22.9">
      <c r="U785" s="87"/>
      <c r="V785" s="202"/>
      <c r="X785" s="87"/>
      <c r="Y785" s="87"/>
      <c r="AA785" s="87"/>
      <c r="AB785" s="13"/>
      <c r="AC785" s="245"/>
      <c r="AD785" s="8"/>
      <c r="AE785" s="8"/>
      <c r="AF785" s="12"/>
      <c r="AG785" s="13"/>
      <c r="AH785" s="12"/>
      <c r="AI785" s="13"/>
      <c r="AJ785" s="12"/>
      <c r="AK785" s="13"/>
      <c r="AL785" s="13"/>
      <c r="AM785" s="13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</row>
    <row r="786" spans="21:53" ht="22.9">
      <c r="U786" s="87"/>
      <c r="V786" s="202"/>
      <c r="X786" s="87"/>
      <c r="Y786" s="87"/>
      <c r="AA786" s="87"/>
      <c r="AB786" s="13"/>
      <c r="AC786" s="245"/>
      <c r="AD786" s="8"/>
      <c r="AE786" s="8"/>
      <c r="AF786" s="12"/>
      <c r="AG786" s="13"/>
      <c r="AH786" s="12"/>
      <c r="AI786" s="13"/>
      <c r="AJ786" s="12"/>
      <c r="AK786" s="13"/>
      <c r="AL786" s="13"/>
      <c r="AM786" s="13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</row>
    <row r="787" spans="21:53" ht="22.9">
      <c r="U787" s="87"/>
      <c r="V787" s="202"/>
      <c r="X787" s="87"/>
      <c r="Y787" s="87"/>
      <c r="AA787" s="87"/>
      <c r="AB787" s="13"/>
      <c r="AC787" s="245"/>
      <c r="AD787" s="8"/>
      <c r="AE787" s="8"/>
      <c r="AF787" s="12"/>
      <c r="AG787" s="13"/>
      <c r="AH787" s="12"/>
      <c r="AI787" s="13"/>
      <c r="AJ787" s="12"/>
      <c r="AK787" s="13"/>
      <c r="AL787" s="13"/>
      <c r="AM787" s="13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</row>
    <row r="788" spans="21:53" ht="22.9">
      <c r="U788" s="87"/>
      <c r="V788" s="202"/>
      <c r="X788" s="87"/>
      <c r="Y788" s="87"/>
      <c r="AA788" s="87"/>
      <c r="AB788" s="13"/>
      <c r="AC788" s="245"/>
      <c r="AD788" s="8"/>
      <c r="AE788" s="8"/>
      <c r="AF788" s="12"/>
      <c r="AG788" s="13"/>
      <c r="AH788" s="12"/>
      <c r="AI788" s="13"/>
      <c r="AJ788" s="12"/>
      <c r="AK788" s="13"/>
      <c r="AL788" s="13"/>
      <c r="AM788" s="13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</row>
    <row r="789" spans="21:53" ht="22.9">
      <c r="U789" s="87"/>
      <c r="V789" s="202"/>
      <c r="X789" s="87"/>
      <c r="Y789" s="87"/>
      <c r="AA789" s="87"/>
      <c r="AB789" s="13"/>
      <c r="AC789" s="245"/>
      <c r="AD789" s="8"/>
      <c r="AE789" s="8"/>
      <c r="AF789" s="12"/>
      <c r="AG789" s="13"/>
      <c r="AH789" s="12"/>
      <c r="AI789" s="13"/>
      <c r="AJ789" s="12"/>
      <c r="AK789" s="13"/>
      <c r="AL789" s="13"/>
      <c r="AM789" s="13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</row>
    <row r="790" spans="21:53" ht="22.9">
      <c r="U790" s="87"/>
      <c r="V790" s="202"/>
      <c r="X790" s="87"/>
      <c r="Y790" s="87"/>
      <c r="AA790" s="87"/>
      <c r="AB790" s="13"/>
      <c r="AC790" s="245"/>
      <c r="AD790" s="8"/>
      <c r="AE790" s="8"/>
      <c r="AF790" s="12"/>
      <c r="AG790" s="13"/>
      <c r="AH790" s="12"/>
      <c r="AI790" s="13"/>
      <c r="AJ790" s="12"/>
      <c r="AK790" s="13"/>
      <c r="AL790" s="13"/>
      <c r="AM790" s="13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</row>
    <row r="791" spans="21:53" ht="22.9">
      <c r="U791" s="87"/>
      <c r="V791" s="202"/>
      <c r="X791" s="87"/>
      <c r="Y791" s="87"/>
      <c r="AA791" s="87"/>
      <c r="AB791" s="13"/>
      <c r="AC791" s="245"/>
      <c r="AD791" s="8"/>
      <c r="AE791" s="8"/>
      <c r="AF791" s="12"/>
      <c r="AG791" s="13"/>
      <c r="AH791" s="12"/>
      <c r="AI791" s="13"/>
      <c r="AJ791" s="12"/>
      <c r="AK791" s="13"/>
      <c r="AL791" s="13"/>
      <c r="AM791" s="13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</row>
    <row r="792" spans="21:53" ht="22.9">
      <c r="U792" s="87"/>
      <c r="V792" s="202"/>
      <c r="X792" s="87"/>
      <c r="Y792" s="87"/>
      <c r="AA792" s="87"/>
      <c r="AB792" s="13"/>
      <c r="AC792" s="245"/>
      <c r="AD792" s="8"/>
      <c r="AE792" s="8"/>
      <c r="AF792" s="12"/>
      <c r="AG792" s="13"/>
      <c r="AH792" s="12"/>
      <c r="AI792" s="13"/>
      <c r="AJ792" s="12"/>
      <c r="AK792" s="13"/>
      <c r="AL792" s="13"/>
      <c r="AM792" s="13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</row>
    <row r="793" spans="21:53" ht="22.9">
      <c r="U793" s="87"/>
      <c r="V793" s="202"/>
      <c r="X793" s="87"/>
      <c r="Y793" s="87"/>
      <c r="AA793" s="87"/>
      <c r="AB793" s="13"/>
      <c r="AC793" s="245"/>
      <c r="AD793" s="8"/>
      <c r="AE793" s="8"/>
      <c r="AF793" s="12"/>
      <c r="AG793" s="13"/>
      <c r="AH793" s="12"/>
      <c r="AI793" s="13"/>
      <c r="AJ793" s="12"/>
      <c r="AK793" s="13"/>
      <c r="AL793" s="13"/>
      <c r="AM793" s="13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</row>
    <row r="794" spans="21:53" ht="22.9">
      <c r="U794" s="87"/>
      <c r="V794" s="202"/>
      <c r="X794" s="87"/>
      <c r="Y794" s="87"/>
      <c r="AA794" s="87"/>
      <c r="AB794" s="13"/>
      <c r="AC794" s="245"/>
      <c r="AD794" s="8"/>
      <c r="AE794" s="8"/>
      <c r="AF794" s="12"/>
      <c r="AG794" s="13"/>
      <c r="AH794" s="12"/>
      <c r="AI794" s="13"/>
      <c r="AJ794" s="12"/>
      <c r="AK794" s="13"/>
      <c r="AL794" s="13"/>
      <c r="AM794" s="13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</row>
    <row r="795" spans="21:53" ht="22.9">
      <c r="U795" s="87"/>
      <c r="V795" s="202"/>
      <c r="X795" s="87"/>
      <c r="Y795" s="87"/>
      <c r="AA795" s="87"/>
      <c r="AB795" s="13"/>
      <c r="AC795" s="245"/>
      <c r="AD795" s="8"/>
      <c r="AE795" s="8"/>
      <c r="AF795" s="12"/>
      <c r="AG795" s="13"/>
      <c r="AH795" s="12"/>
      <c r="AI795" s="13"/>
      <c r="AJ795" s="12"/>
      <c r="AK795" s="13"/>
      <c r="AL795" s="13"/>
      <c r="AM795" s="13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</row>
    <row r="796" spans="21:53" ht="22.9">
      <c r="U796" s="87"/>
      <c r="V796" s="202"/>
      <c r="X796" s="87"/>
      <c r="Y796" s="87"/>
      <c r="AA796" s="87"/>
      <c r="AB796" s="13"/>
      <c r="AC796" s="245"/>
      <c r="AD796" s="8"/>
      <c r="AE796" s="8"/>
      <c r="AF796" s="12"/>
      <c r="AG796" s="13"/>
      <c r="AH796" s="12"/>
      <c r="AI796" s="13"/>
      <c r="AJ796" s="12"/>
      <c r="AK796" s="13"/>
      <c r="AL796" s="13"/>
      <c r="AM796" s="13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</row>
    <row r="797" spans="21:53" ht="22.9">
      <c r="U797" s="87"/>
      <c r="V797" s="202"/>
      <c r="X797" s="87"/>
      <c r="Y797" s="87"/>
      <c r="AA797" s="87"/>
      <c r="AB797" s="13"/>
      <c r="AC797" s="245"/>
      <c r="AD797" s="8"/>
      <c r="AE797" s="8"/>
      <c r="AF797" s="12"/>
      <c r="AG797" s="13"/>
      <c r="AH797" s="12"/>
      <c r="AI797" s="13"/>
      <c r="AJ797" s="12"/>
      <c r="AK797" s="13"/>
      <c r="AL797" s="13"/>
      <c r="AM797" s="13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</row>
    <row r="798" spans="21:53" ht="22.9">
      <c r="U798" s="87"/>
      <c r="V798" s="202"/>
      <c r="X798" s="87"/>
      <c r="Y798" s="87"/>
      <c r="AA798" s="87"/>
      <c r="AB798" s="13"/>
      <c r="AC798" s="245"/>
      <c r="AD798" s="8"/>
      <c r="AE798" s="8"/>
      <c r="AF798" s="12"/>
      <c r="AG798" s="13"/>
      <c r="AH798" s="12"/>
      <c r="AI798" s="13"/>
      <c r="AJ798" s="12"/>
      <c r="AK798" s="13"/>
      <c r="AL798" s="13"/>
      <c r="AM798" s="13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</row>
    <row r="799" spans="21:53" ht="22.9">
      <c r="U799" s="87"/>
      <c r="V799" s="202"/>
      <c r="X799" s="87"/>
      <c r="Y799" s="87"/>
      <c r="AA799" s="87"/>
      <c r="AB799" s="13"/>
      <c r="AC799" s="245"/>
      <c r="AD799" s="8"/>
      <c r="AE799" s="8"/>
      <c r="AF799" s="12"/>
      <c r="AG799" s="13"/>
      <c r="AH799" s="12"/>
      <c r="AI799" s="13"/>
      <c r="AJ799" s="12"/>
      <c r="AK799" s="13"/>
      <c r="AL799" s="13"/>
      <c r="AM799" s="13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</row>
    <row r="800" spans="21:53" ht="22.9">
      <c r="U800" s="87"/>
      <c r="V800" s="202"/>
      <c r="X800" s="87"/>
      <c r="Y800" s="87"/>
      <c r="AA800" s="87"/>
      <c r="AB800" s="13"/>
      <c r="AC800" s="245"/>
      <c r="AD800" s="8"/>
      <c r="AE800" s="8"/>
      <c r="AF800" s="12"/>
      <c r="AG800" s="13"/>
      <c r="AH800" s="12"/>
      <c r="AI800" s="13"/>
      <c r="AJ800" s="12"/>
      <c r="AK800" s="13"/>
      <c r="AL800" s="13"/>
      <c r="AM800" s="13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</row>
    <row r="801" spans="21:53" ht="22.9">
      <c r="U801" s="87"/>
      <c r="V801" s="202"/>
      <c r="X801" s="87"/>
      <c r="Y801" s="87"/>
      <c r="AA801" s="87"/>
      <c r="AB801" s="13"/>
      <c r="AC801" s="245"/>
      <c r="AD801" s="8"/>
      <c r="AE801" s="8"/>
      <c r="AF801" s="12"/>
      <c r="AG801" s="13"/>
      <c r="AH801" s="12"/>
      <c r="AI801" s="13"/>
      <c r="AJ801" s="12"/>
      <c r="AK801" s="13"/>
      <c r="AL801" s="13"/>
      <c r="AM801" s="13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</row>
    <row r="802" spans="21:53" ht="22.9">
      <c r="U802" s="87"/>
      <c r="V802" s="202"/>
      <c r="X802" s="87"/>
      <c r="Y802" s="87"/>
      <c r="AA802" s="87"/>
      <c r="AB802" s="13"/>
      <c r="AC802" s="245"/>
      <c r="AD802" s="8"/>
      <c r="AE802" s="8"/>
      <c r="AF802" s="12"/>
      <c r="AG802" s="13"/>
      <c r="AH802" s="12"/>
      <c r="AI802" s="13"/>
      <c r="AJ802" s="12"/>
      <c r="AK802" s="13"/>
      <c r="AL802" s="13"/>
      <c r="AM802" s="13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</row>
    <row r="803" spans="21:53" ht="22.9">
      <c r="U803" s="87"/>
      <c r="V803" s="202"/>
      <c r="X803" s="87"/>
      <c r="Y803" s="87"/>
      <c r="AA803" s="87"/>
      <c r="AB803" s="13"/>
      <c r="AC803" s="245"/>
      <c r="AD803" s="8"/>
      <c r="AE803" s="8"/>
      <c r="AF803" s="12"/>
      <c r="AG803" s="13"/>
      <c r="AH803" s="12"/>
      <c r="AI803" s="13"/>
      <c r="AJ803" s="12"/>
      <c r="AK803" s="13"/>
      <c r="AL803" s="13"/>
      <c r="AM803" s="13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</row>
    <row r="804" spans="21:53" ht="22.9">
      <c r="U804" s="87"/>
      <c r="V804" s="202"/>
      <c r="X804" s="87"/>
      <c r="Y804" s="87"/>
      <c r="AA804" s="87"/>
      <c r="AB804" s="13"/>
      <c r="AC804" s="245"/>
      <c r="AD804" s="8"/>
      <c r="AE804" s="8"/>
      <c r="AF804" s="12"/>
      <c r="AG804" s="13"/>
      <c r="AH804" s="12"/>
      <c r="AI804" s="13"/>
      <c r="AJ804" s="12"/>
      <c r="AK804" s="13"/>
      <c r="AL804" s="13"/>
      <c r="AM804" s="13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</row>
    <row r="805" spans="21:53" ht="22.9">
      <c r="U805" s="87"/>
      <c r="V805" s="202"/>
      <c r="X805" s="87"/>
      <c r="Y805" s="87"/>
      <c r="AA805" s="87"/>
      <c r="AB805" s="13"/>
      <c r="AC805" s="245"/>
      <c r="AD805" s="8"/>
      <c r="AE805" s="8"/>
      <c r="AF805" s="12"/>
      <c r="AG805" s="13"/>
      <c r="AH805" s="12"/>
      <c r="AI805" s="13"/>
      <c r="AJ805" s="12"/>
      <c r="AK805" s="13"/>
      <c r="AL805" s="13"/>
      <c r="AM805" s="13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</row>
    <row r="806" spans="21:53" ht="22.9">
      <c r="U806" s="87"/>
      <c r="V806" s="202"/>
      <c r="X806" s="87"/>
      <c r="Y806" s="87"/>
      <c r="AA806" s="87"/>
      <c r="AB806" s="13"/>
      <c r="AC806" s="245"/>
      <c r="AD806" s="8"/>
      <c r="AE806" s="8"/>
      <c r="AF806" s="12"/>
      <c r="AG806" s="13"/>
      <c r="AH806" s="12"/>
      <c r="AI806" s="13"/>
      <c r="AJ806" s="12"/>
      <c r="AK806" s="13"/>
      <c r="AL806" s="13"/>
      <c r="AM806" s="13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</row>
    <row r="807" spans="21:53" ht="22.9">
      <c r="U807" s="87"/>
      <c r="V807" s="202"/>
      <c r="X807" s="87"/>
      <c r="Y807" s="87"/>
      <c r="AA807" s="87"/>
      <c r="AB807" s="13"/>
      <c r="AC807" s="245"/>
      <c r="AD807" s="8"/>
      <c r="AE807" s="8"/>
      <c r="AF807" s="12"/>
      <c r="AG807" s="13"/>
      <c r="AH807" s="12"/>
      <c r="AI807" s="13"/>
      <c r="AJ807" s="12"/>
      <c r="AK807" s="13"/>
      <c r="AL807" s="13"/>
      <c r="AM807" s="13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</row>
    <row r="808" spans="21:53" ht="22.9">
      <c r="U808" s="87"/>
      <c r="V808" s="202"/>
      <c r="X808" s="87"/>
      <c r="Y808" s="87"/>
      <c r="AA808" s="87"/>
      <c r="AB808" s="13"/>
      <c r="AC808" s="245"/>
      <c r="AD808" s="8"/>
      <c r="AE808" s="8"/>
      <c r="AF808" s="12"/>
      <c r="AG808" s="13"/>
      <c r="AH808" s="12"/>
      <c r="AI808" s="13"/>
      <c r="AJ808" s="12"/>
      <c r="AK808" s="13"/>
      <c r="AL808" s="13"/>
      <c r="AM808" s="13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</row>
    <row r="809" spans="21:53" ht="22.9">
      <c r="U809" s="87"/>
      <c r="V809" s="202"/>
      <c r="X809" s="87"/>
      <c r="Y809" s="87"/>
      <c r="AA809" s="87"/>
      <c r="AB809" s="13"/>
      <c r="AC809" s="245"/>
      <c r="AD809" s="8"/>
      <c r="AE809" s="8"/>
      <c r="AF809" s="12"/>
      <c r="AG809" s="13"/>
      <c r="AH809" s="12"/>
      <c r="AI809" s="13"/>
      <c r="AJ809" s="12"/>
      <c r="AK809" s="13"/>
      <c r="AL809" s="13"/>
      <c r="AM809" s="13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</row>
    <row r="810" spans="21:53" ht="22.9">
      <c r="U810" s="87"/>
      <c r="V810" s="202"/>
      <c r="X810" s="87"/>
      <c r="Y810" s="87"/>
      <c r="AA810" s="87"/>
      <c r="AB810" s="13"/>
      <c r="AC810" s="245"/>
      <c r="AD810" s="8"/>
      <c r="AE810" s="8"/>
      <c r="AF810" s="12"/>
      <c r="AG810" s="13"/>
      <c r="AH810" s="12"/>
      <c r="AI810" s="13"/>
      <c r="AJ810" s="12"/>
      <c r="AK810" s="13"/>
      <c r="AL810" s="13"/>
      <c r="AM810" s="13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</row>
    <row r="811" spans="21:53" ht="22.9">
      <c r="U811" s="87"/>
      <c r="V811" s="202"/>
      <c r="X811" s="87"/>
      <c r="Y811" s="87"/>
      <c r="AA811" s="87"/>
      <c r="AB811" s="13"/>
      <c r="AC811" s="245"/>
      <c r="AD811" s="8"/>
      <c r="AE811" s="8"/>
      <c r="AF811" s="12"/>
      <c r="AG811" s="13"/>
      <c r="AH811" s="12"/>
      <c r="AI811" s="13"/>
      <c r="AJ811" s="12"/>
      <c r="AK811" s="13"/>
      <c r="AL811" s="13"/>
      <c r="AM811" s="13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</row>
    <row r="812" spans="21:53" ht="22.9">
      <c r="U812" s="87"/>
      <c r="V812" s="202"/>
      <c r="X812" s="87"/>
      <c r="Y812" s="87"/>
      <c r="AA812" s="87"/>
      <c r="AB812" s="13"/>
      <c r="AC812" s="245"/>
      <c r="AD812" s="8"/>
      <c r="AE812" s="8"/>
      <c r="AF812" s="12"/>
      <c r="AG812" s="13"/>
      <c r="AH812" s="12"/>
      <c r="AI812" s="13"/>
      <c r="AJ812" s="12"/>
      <c r="AK812" s="13"/>
      <c r="AL812" s="13"/>
      <c r="AM812" s="13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</row>
    <row r="813" spans="21:53" ht="22.9">
      <c r="U813" s="87"/>
      <c r="V813" s="202"/>
      <c r="X813" s="87"/>
      <c r="Y813" s="87"/>
      <c r="AA813" s="87"/>
      <c r="AB813" s="13"/>
      <c r="AC813" s="245"/>
      <c r="AD813" s="8"/>
      <c r="AE813" s="8"/>
      <c r="AF813" s="12"/>
      <c r="AG813" s="13"/>
      <c r="AH813" s="12"/>
      <c r="AI813" s="13"/>
      <c r="AJ813" s="12"/>
      <c r="AK813" s="13"/>
      <c r="AL813" s="13"/>
      <c r="AM813" s="13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</row>
    <row r="814" spans="21:53" ht="22.9">
      <c r="U814" s="87"/>
      <c r="V814" s="202"/>
      <c r="X814" s="87"/>
      <c r="Y814" s="87"/>
      <c r="AA814" s="87"/>
      <c r="AB814" s="13"/>
      <c r="AC814" s="245"/>
      <c r="AD814" s="8"/>
      <c r="AE814" s="8"/>
      <c r="AF814" s="12"/>
      <c r="AG814" s="13"/>
      <c r="AH814" s="12"/>
      <c r="AI814" s="13"/>
      <c r="AJ814" s="12"/>
      <c r="AK814" s="13"/>
      <c r="AL814" s="13"/>
      <c r="AM814" s="13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</row>
    <row r="815" spans="21:53" ht="22.9">
      <c r="U815" s="87"/>
      <c r="V815" s="202"/>
      <c r="X815" s="87"/>
      <c r="Y815" s="87"/>
      <c r="AA815" s="87"/>
      <c r="AB815" s="13"/>
      <c r="AC815" s="245"/>
      <c r="AD815" s="8"/>
      <c r="AE815" s="8"/>
      <c r="AF815" s="12"/>
      <c r="AG815" s="13"/>
      <c r="AH815" s="12"/>
      <c r="AI815" s="13"/>
      <c r="AJ815" s="12"/>
      <c r="AK815" s="13"/>
      <c r="AL815" s="13"/>
      <c r="AM815" s="13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</row>
    <row r="816" spans="21:53" ht="22.9">
      <c r="U816" s="87"/>
      <c r="V816" s="202"/>
      <c r="X816" s="87"/>
      <c r="Y816" s="87"/>
      <c r="AA816" s="87"/>
      <c r="AB816" s="13"/>
      <c r="AC816" s="245"/>
      <c r="AD816" s="8"/>
      <c r="AE816" s="8"/>
      <c r="AF816" s="12"/>
      <c r="AG816" s="13"/>
      <c r="AH816" s="12"/>
      <c r="AI816" s="13"/>
      <c r="AJ816" s="12"/>
      <c r="AK816" s="13"/>
      <c r="AL816" s="13"/>
      <c r="AM816" s="13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</row>
    <row r="817" spans="21:53" ht="22.9">
      <c r="U817" s="87"/>
      <c r="V817" s="202"/>
      <c r="X817" s="87"/>
      <c r="Y817" s="87"/>
      <c r="AA817" s="87"/>
      <c r="AB817" s="13"/>
      <c r="AC817" s="245"/>
      <c r="AD817" s="8"/>
      <c r="AE817" s="8"/>
      <c r="AF817" s="12"/>
      <c r="AG817" s="13"/>
      <c r="AH817" s="12"/>
      <c r="AI817" s="13"/>
      <c r="AJ817" s="12"/>
      <c r="AK817" s="13"/>
      <c r="AL817" s="13"/>
      <c r="AM817" s="13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</row>
    <row r="818" spans="21:53" ht="22.9">
      <c r="U818" s="87"/>
      <c r="V818" s="202"/>
      <c r="X818" s="87"/>
      <c r="Y818" s="87"/>
      <c r="AA818" s="87"/>
      <c r="AB818" s="13"/>
      <c r="AC818" s="245"/>
      <c r="AD818" s="8"/>
      <c r="AE818" s="8"/>
      <c r="AF818" s="12"/>
      <c r="AG818" s="13"/>
      <c r="AH818" s="12"/>
      <c r="AI818" s="13"/>
      <c r="AJ818" s="12"/>
      <c r="AK818" s="13"/>
      <c r="AL818" s="13"/>
      <c r="AM818" s="13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</row>
    <row r="819" spans="21:53" ht="22.9">
      <c r="U819" s="87"/>
      <c r="V819" s="202"/>
      <c r="X819" s="87"/>
      <c r="Y819" s="87"/>
      <c r="AA819" s="87"/>
      <c r="AB819" s="13"/>
      <c r="AC819" s="245"/>
      <c r="AD819" s="8"/>
      <c r="AE819" s="8"/>
      <c r="AF819" s="12"/>
      <c r="AG819" s="13"/>
      <c r="AH819" s="12"/>
      <c r="AI819" s="13"/>
      <c r="AJ819" s="12"/>
      <c r="AK819" s="13"/>
      <c r="AL819" s="13"/>
      <c r="AM819" s="13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</row>
    <row r="820" spans="21:53" ht="22.9">
      <c r="U820" s="87"/>
      <c r="V820" s="202"/>
      <c r="X820" s="87"/>
      <c r="Y820" s="87"/>
      <c r="AA820" s="87"/>
      <c r="AB820" s="13"/>
      <c r="AC820" s="245"/>
      <c r="AD820" s="8"/>
      <c r="AE820" s="8"/>
      <c r="AF820" s="12"/>
      <c r="AG820" s="13"/>
      <c r="AH820" s="12"/>
      <c r="AI820" s="13"/>
      <c r="AJ820" s="12"/>
      <c r="AK820" s="13"/>
      <c r="AL820" s="13"/>
      <c r="AM820" s="13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</row>
    <row r="821" spans="21:53" ht="22.9">
      <c r="U821" s="87"/>
      <c r="V821" s="202"/>
      <c r="X821" s="87"/>
      <c r="Y821" s="87"/>
      <c r="AA821" s="87"/>
      <c r="AB821" s="13"/>
      <c r="AC821" s="245"/>
      <c r="AD821" s="8"/>
      <c r="AE821" s="8"/>
      <c r="AF821" s="12"/>
      <c r="AG821" s="13"/>
      <c r="AH821" s="12"/>
      <c r="AI821" s="13"/>
      <c r="AJ821" s="12"/>
      <c r="AK821" s="13"/>
      <c r="AL821" s="13"/>
      <c r="AM821" s="13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</row>
    <row r="822" spans="21:53" ht="22.9">
      <c r="U822" s="87"/>
      <c r="V822" s="202"/>
      <c r="X822" s="87"/>
      <c r="Y822" s="87"/>
      <c r="AA822" s="87"/>
      <c r="AB822" s="13"/>
      <c r="AC822" s="245"/>
      <c r="AD822" s="8"/>
      <c r="AE822" s="8"/>
      <c r="AF822" s="12"/>
      <c r="AG822" s="13"/>
      <c r="AH822" s="12"/>
      <c r="AI822" s="13"/>
      <c r="AJ822" s="12"/>
      <c r="AK822" s="13"/>
      <c r="AL822" s="13"/>
      <c r="AM822" s="13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</row>
    <row r="823" spans="21:53" ht="22.9">
      <c r="U823" s="87"/>
      <c r="V823" s="202"/>
      <c r="X823" s="87"/>
      <c r="Y823" s="87"/>
      <c r="AA823" s="87"/>
      <c r="AB823" s="13"/>
      <c r="AC823" s="245"/>
      <c r="AD823" s="8"/>
      <c r="AE823" s="8"/>
      <c r="AF823" s="12"/>
      <c r="AG823" s="13"/>
      <c r="AH823" s="12"/>
      <c r="AI823" s="13"/>
      <c r="AJ823" s="12"/>
      <c r="AK823" s="13"/>
      <c r="AL823" s="13"/>
      <c r="AM823" s="13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</row>
    <row r="824" spans="21:53" ht="22.9">
      <c r="U824" s="87"/>
      <c r="V824" s="202"/>
      <c r="X824" s="87"/>
      <c r="Y824" s="87"/>
      <c r="AA824" s="87"/>
      <c r="AB824" s="13"/>
      <c r="AC824" s="245"/>
      <c r="AD824" s="8"/>
      <c r="AE824" s="8"/>
      <c r="AF824" s="12"/>
      <c r="AG824" s="13"/>
      <c r="AH824" s="12"/>
      <c r="AI824" s="13"/>
      <c r="AJ824" s="12"/>
      <c r="AK824" s="13"/>
      <c r="AL824" s="13"/>
      <c r="AM824" s="13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</row>
    <row r="825" spans="21:53" ht="22.9">
      <c r="U825" s="87"/>
      <c r="V825" s="202"/>
      <c r="X825" s="87"/>
      <c r="Y825" s="87"/>
      <c r="AA825" s="87"/>
      <c r="AB825" s="13"/>
      <c r="AC825" s="245"/>
      <c r="AD825" s="8"/>
      <c r="AE825" s="8"/>
      <c r="AF825" s="12"/>
      <c r="AG825" s="13"/>
      <c r="AH825" s="12"/>
      <c r="AI825" s="13"/>
      <c r="AJ825" s="12"/>
      <c r="AK825" s="13"/>
      <c r="AL825" s="13"/>
      <c r="AM825" s="13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</row>
    <row r="826" spans="21:53" ht="22.9">
      <c r="U826" s="87"/>
      <c r="V826" s="202"/>
      <c r="X826" s="87"/>
      <c r="Y826" s="87"/>
      <c r="AA826" s="87"/>
      <c r="AB826" s="13"/>
      <c r="AC826" s="245"/>
      <c r="AD826" s="8"/>
      <c r="AE826" s="8"/>
      <c r="AF826" s="12"/>
      <c r="AG826" s="13"/>
      <c r="AH826" s="12"/>
      <c r="AI826" s="13"/>
      <c r="AJ826" s="12"/>
      <c r="AK826" s="13"/>
      <c r="AL826" s="13"/>
      <c r="AM826" s="13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</row>
    <row r="827" spans="21:53" ht="22.9">
      <c r="U827" s="87"/>
      <c r="V827" s="202"/>
      <c r="X827" s="87"/>
      <c r="Y827" s="87"/>
      <c r="AA827" s="87"/>
      <c r="AB827" s="13"/>
      <c r="AC827" s="245"/>
      <c r="AD827" s="8"/>
      <c r="AE827" s="8"/>
      <c r="AF827" s="12"/>
      <c r="AG827" s="13"/>
      <c r="AH827" s="12"/>
      <c r="AI827" s="13"/>
      <c r="AJ827" s="12"/>
      <c r="AK827" s="13"/>
      <c r="AL827" s="13"/>
      <c r="AM827" s="13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</row>
    <row r="828" spans="21:53" ht="22.9">
      <c r="U828" s="87"/>
      <c r="V828" s="202"/>
      <c r="X828" s="87"/>
      <c r="Y828" s="87"/>
      <c r="AA828" s="87"/>
      <c r="AB828" s="13"/>
      <c r="AC828" s="245"/>
      <c r="AD828" s="8"/>
      <c r="AE828" s="8"/>
      <c r="AF828" s="12"/>
      <c r="AG828" s="13"/>
      <c r="AH828" s="12"/>
      <c r="AI828" s="13"/>
      <c r="AJ828" s="12"/>
      <c r="AK828" s="13"/>
      <c r="AL828" s="13"/>
      <c r="AM828" s="13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</row>
    <row r="829" spans="21:53" ht="22.9">
      <c r="U829" s="87"/>
      <c r="V829" s="202"/>
      <c r="X829" s="87"/>
      <c r="Y829" s="87"/>
      <c r="AA829" s="87"/>
      <c r="AB829" s="13"/>
      <c r="AC829" s="245"/>
      <c r="AD829" s="8"/>
      <c r="AE829" s="8"/>
      <c r="AF829" s="12"/>
      <c r="AG829" s="13"/>
      <c r="AH829" s="12"/>
      <c r="AI829" s="13"/>
      <c r="AJ829" s="12"/>
      <c r="AK829" s="13"/>
      <c r="AL829" s="13"/>
      <c r="AM829" s="13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</row>
    <row r="830" spans="21:53" ht="22.9">
      <c r="U830" s="87"/>
      <c r="V830" s="202"/>
      <c r="X830" s="87"/>
      <c r="Y830" s="87"/>
      <c r="AA830" s="87"/>
      <c r="AB830" s="13"/>
      <c r="AC830" s="245"/>
      <c r="AD830" s="8"/>
      <c r="AE830" s="8"/>
      <c r="AF830" s="12"/>
      <c r="AG830" s="13"/>
      <c r="AH830" s="12"/>
      <c r="AI830" s="13"/>
      <c r="AJ830" s="12"/>
      <c r="AK830" s="13"/>
      <c r="AL830" s="13"/>
      <c r="AM830" s="13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</row>
    <row r="831" spans="21:53" ht="22.9">
      <c r="U831" s="87"/>
      <c r="V831" s="202"/>
      <c r="X831" s="87"/>
      <c r="Y831" s="87"/>
      <c r="AA831" s="87"/>
      <c r="AB831" s="13"/>
      <c r="AC831" s="245"/>
      <c r="AD831" s="8"/>
      <c r="AE831" s="8"/>
      <c r="AF831" s="12"/>
      <c r="AG831" s="13"/>
      <c r="AH831" s="12"/>
      <c r="AI831" s="13"/>
      <c r="AJ831" s="12"/>
      <c r="AK831" s="13"/>
      <c r="AL831" s="13"/>
      <c r="AM831" s="13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</row>
    <row r="832" spans="21:53" ht="22.9">
      <c r="U832" s="87"/>
      <c r="V832" s="202"/>
      <c r="X832" s="87"/>
      <c r="Y832" s="87"/>
      <c r="AA832" s="87"/>
      <c r="AB832" s="13"/>
      <c r="AC832" s="245"/>
      <c r="AD832" s="8"/>
      <c r="AE832" s="8"/>
      <c r="AF832" s="12"/>
      <c r="AG832" s="13"/>
      <c r="AH832" s="12"/>
      <c r="AI832" s="13"/>
      <c r="AJ832" s="12"/>
      <c r="AK832" s="13"/>
      <c r="AL832" s="13"/>
      <c r="AM832" s="13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</row>
    <row r="833" spans="21:53" ht="22.9">
      <c r="U833" s="87"/>
      <c r="V833" s="202"/>
      <c r="X833" s="87"/>
      <c r="Y833" s="87"/>
      <c r="AA833" s="87"/>
      <c r="AB833" s="13"/>
      <c r="AC833" s="245"/>
      <c r="AD833" s="8"/>
      <c r="AE833" s="8"/>
      <c r="AF833" s="12"/>
      <c r="AG833" s="13"/>
      <c r="AH833" s="12"/>
      <c r="AI833" s="13"/>
      <c r="AJ833" s="12"/>
      <c r="AK833" s="13"/>
      <c r="AL833" s="13"/>
      <c r="AM833" s="13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</row>
    <row r="834" spans="21:53" ht="22.9">
      <c r="U834" s="87"/>
      <c r="V834" s="202"/>
      <c r="X834" s="87"/>
      <c r="Y834" s="87"/>
      <c r="AA834" s="87"/>
      <c r="AB834" s="13"/>
      <c r="AC834" s="245"/>
      <c r="AD834" s="8"/>
      <c r="AE834" s="8"/>
      <c r="AF834" s="12"/>
      <c r="AG834" s="13"/>
      <c r="AH834" s="12"/>
      <c r="AI834" s="13"/>
      <c r="AJ834" s="12"/>
      <c r="AK834" s="13"/>
      <c r="AL834" s="13"/>
      <c r="AM834" s="13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</row>
    <row r="835" spans="21:53" ht="22.9">
      <c r="U835" s="87"/>
      <c r="V835" s="202"/>
      <c r="X835" s="87"/>
      <c r="Y835" s="87"/>
      <c r="AA835" s="87"/>
      <c r="AB835" s="13"/>
      <c r="AC835" s="245"/>
      <c r="AD835" s="8"/>
      <c r="AE835" s="8"/>
      <c r="AF835" s="12"/>
      <c r="AG835" s="13"/>
      <c r="AH835" s="12"/>
      <c r="AI835" s="13"/>
      <c r="AJ835" s="12"/>
      <c r="AK835" s="13"/>
      <c r="AL835" s="13"/>
      <c r="AM835" s="13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</row>
    <row r="836" spans="21:53" ht="22.9">
      <c r="U836" s="87"/>
      <c r="V836" s="202"/>
      <c r="X836" s="87"/>
      <c r="Y836" s="87"/>
      <c r="AA836" s="87"/>
      <c r="AB836" s="13"/>
      <c r="AC836" s="245"/>
      <c r="AD836" s="8"/>
      <c r="AE836" s="8"/>
      <c r="AF836" s="12"/>
      <c r="AG836" s="13"/>
      <c r="AH836" s="12"/>
      <c r="AI836" s="13"/>
      <c r="AJ836" s="12"/>
      <c r="AK836" s="13"/>
      <c r="AL836" s="13"/>
      <c r="AM836" s="13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</row>
    <row r="837" spans="21:53" ht="22.9">
      <c r="U837" s="87"/>
      <c r="V837" s="202"/>
      <c r="X837" s="87"/>
      <c r="Y837" s="87"/>
      <c r="AA837" s="87"/>
      <c r="AB837" s="13"/>
      <c r="AC837" s="245"/>
      <c r="AD837" s="8"/>
      <c r="AE837" s="8"/>
      <c r="AF837" s="12"/>
      <c r="AG837" s="13"/>
      <c r="AH837" s="12"/>
      <c r="AI837" s="13"/>
      <c r="AJ837" s="12"/>
      <c r="AK837" s="13"/>
      <c r="AL837" s="13"/>
      <c r="AM837" s="13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</row>
    <row r="838" spans="21:53" ht="22.9">
      <c r="U838" s="87"/>
      <c r="V838" s="202"/>
      <c r="X838" s="87"/>
      <c r="Y838" s="87"/>
      <c r="AA838" s="87"/>
      <c r="AB838" s="13"/>
      <c r="AC838" s="245"/>
      <c r="AD838" s="8"/>
      <c r="AE838" s="8"/>
      <c r="AF838" s="12"/>
      <c r="AG838" s="13"/>
      <c r="AH838" s="12"/>
      <c r="AI838" s="13"/>
      <c r="AJ838" s="12"/>
      <c r="AK838" s="13"/>
      <c r="AL838" s="13"/>
      <c r="AM838" s="13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</row>
    <row r="839" spans="21:53" ht="22.9">
      <c r="U839" s="87"/>
      <c r="V839" s="202"/>
      <c r="X839" s="87"/>
      <c r="Y839" s="87"/>
      <c r="AA839" s="87"/>
      <c r="AB839" s="13"/>
      <c r="AC839" s="245"/>
      <c r="AD839" s="8"/>
      <c r="AE839" s="8"/>
      <c r="AF839" s="12"/>
      <c r="AG839" s="13"/>
      <c r="AH839" s="12"/>
      <c r="AI839" s="13"/>
      <c r="AJ839" s="12"/>
      <c r="AK839" s="13"/>
      <c r="AL839" s="13"/>
      <c r="AM839" s="13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</row>
    <row r="840" spans="21:53" ht="22.9">
      <c r="U840" s="87"/>
      <c r="V840" s="202"/>
      <c r="X840" s="87"/>
      <c r="Y840" s="87"/>
      <c r="AA840" s="87"/>
      <c r="AB840" s="13"/>
      <c r="AC840" s="245"/>
      <c r="AD840" s="8"/>
      <c r="AE840" s="8"/>
      <c r="AF840" s="12"/>
      <c r="AG840" s="13"/>
      <c r="AH840" s="12"/>
      <c r="AI840" s="13"/>
      <c r="AJ840" s="12"/>
      <c r="AK840" s="13"/>
      <c r="AL840" s="13"/>
      <c r="AM840" s="13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</row>
    <row r="841" spans="21:53" ht="22.9">
      <c r="U841" s="87"/>
      <c r="V841" s="202"/>
      <c r="X841" s="87"/>
      <c r="Y841" s="87"/>
      <c r="AA841" s="87"/>
      <c r="AB841" s="13"/>
      <c r="AC841" s="245"/>
      <c r="AD841" s="8"/>
      <c r="AE841" s="8"/>
      <c r="AF841" s="12"/>
      <c r="AG841" s="13"/>
      <c r="AH841" s="12"/>
      <c r="AI841" s="13"/>
      <c r="AJ841" s="12"/>
      <c r="AK841" s="13"/>
      <c r="AL841" s="13"/>
      <c r="AM841" s="13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</row>
    <row r="842" spans="21:53" ht="22.9">
      <c r="U842" s="87"/>
      <c r="V842" s="202"/>
      <c r="X842" s="87"/>
      <c r="Y842" s="87"/>
      <c r="AA842" s="87"/>
      <c r="AB842" s="13"/>
      <c r="AC842" s="245"/>
      <c r="AD842" s="8"/>
      <c r="AE842" s="8"/>
      <c r="AF842" s="12"/>
      <c r="AG842" s="13"/>
      <c r="AH842" s="12"/>
      <c r="AI842" s="13"/>
      <c r="AJ842" s="12"/>
      <c r="AK842" s="13"/>
      <c r="AL842" s="13"/>
      <c r="AM842" s="13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</row>
    <row r="843" spans="21:53" ht="22.9">
      <c r="U843" s="87"/>
      <c r="V843" s="202"/>
      <c r="X843" s="87"/>
      <c r="Y843" s="87"/>
      <c r="AA843" s="87"/>
      <c r="AB843" s="13"/>
      <c r="AC843" s="245"/>
      <c r="AD843" s="8"/>
      <c r="AE843" s="8"/>
      <c r="AF843" s="12"/>
      <c r="AG843" s="13"/>
      <c r="AH843" s="12"/>
      <c r="AI843" s="13"/>
      <c r="AJ843" s="12"/>
      <c r="AK843" s="13"/>
      <c r="AL843" s="13"/>
      <c r="AM843" s="13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</row>
    <row r="844" spans="21:53" ht="22.9">
      <c r="U844" s="87"/>
      <c r="V844" s="202"/>
      <c r="X844" s="87"/>
      <c r="Y844" s="87"/>
      <c r="AA844" s="87"/>
      <c r="AB844" s="13"/>
      <c r="AC844" s="245"/>
      <c r="AD844" s="8"/>
      <c r="AE844" s="8"/>
      <c r="AF844" s="12"/>
      <c r="AG844" s="13"/>
      <c r="AH844" s="12"/>
      <c r="AI844" s="13"/>
      <c r="AJ844" s="12"/>
      <c r="AK844" s="13"/>
      <c r="AL844" s="13"/>
      <c r="AM844" s="13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</row>
    <row r="845" spans="21:53" ht="22.9">
      <c r="U845" s="87"/>
      <c r="V845" s="202"/>
      <c r="X845" s="87"/>
      <c r="Y845" s="87"/>
      <c r="AA845" s="87"/>
      <c r="AB845" s="13"/>
      <c r="AC845" s="245"/>
      <c r="AD845" s="8"/>
      <c r="AE845" s="8"/>
      <c r="AF845" s="12"/>
      <c r="AG845" s="13"/>
      <c r="AH845" s="12"/>
      <c r="AI845" s="13"/>
      <c r="AJ845" s="12"/>
      <c r="AK845" s="13"/>
      <c r="AL845" s="13"/>
      <c r="AM845" s="13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</row>
    <row r="846" spans="21:53" ht="22.9">
      <c r="U846" s="87"/>
      <c r="V846" s="202"/>
      <c r="X846" s="87"/>
      <c r="Y846" s="87"/>
      <c r="AA846" s="87"/>
      <c r="AB846" s="13"/>
      <c r="AC846" s="245"/>
      <c r="AD846" s="8"/>
      <c r="AE846" s="8"/>
      <c r="AF846" s="12"/>
      <c r="AG846" s="13"/>
      <c r="AH846" s="12"/>
      <c r="AI846" s="13"/>
      <c r="AJ846" s="12"/>
      <c r="AK846" s="13"/>
      <c r="AL846" s="13"/>
      <c r="AM846" s="13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</row>
    <row r="847" spans="21:53" ht="22.9">
      <c r="U847" s="87"/>
      <c r="V847" s="202"/>
      <c r="X847" s="87"/>
      <c r="Y847" s="87"/>
      <c r="AA847" s="87"/>
      <c r="AB847" s="13"/>
      <c r="AC847" s="245"/>
      <c r="AD847" s="8"/>
      <c r="AE847" s="8"/>
      <c r="AF847" s="12"/>
      <c r="AG847" s="13"/>
      <c r="AH847" s="12"/>
      <c r="AI847" s="13"/>
      <c r="AJ847" s="12"/>
      <c r="AK847" s="13"/>
      <c r="AL847" s="13"/>
      <c r="AM847" s="13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</row>
    <row r="848" spans="21:53" ht="22.9">
      <c r="U848" s="87"/>
      <c r="V848" s="202"/>
      <c r="X848" s="87"/>
      <c r="Y848" s="87"/>
      <c r="AA848" s="87"/>
      <c r="AB848" s="13"/>
      <c r="AC848" s="245"/>
      <c r="AD848" s="8"/>
      <c r="AE848" s="8"/>
      <c r="AF848" s="12"/>
      <c r="AG848" s="13"/>
      <c r="AH848" s="12"/>
      <c r="AI848" s="13"/>
      <c r="AJ848" s="12"/>
      <c r="AK848" s="13"/>
      <c r="AL848" s="13"/>
      <c r="AM848" s="13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</row>
    <row r="849" spans="21:53" ht="22.9">
      <c r="U849" s="87"/>
      <c r="V849" s="202"/>
      <c r="X849" s="87"/>
      <c r="Y849" s="87"/>
      <c r="AA849" s="87"/>
      <c r="AB849" s="13"/>
      <c r="AC849" s="245"/>
      <c r="AD849" s="8"/>
      <c r="AE849" s="8"/>
      <c r="AF849" s="12"/>
      <c r="AG849" s="13"/>
      <c r="AH849" s="12"/>
      <c r="AI849" s="13"/>
      <c r="AJ849" s="12"/>
      <c r="AK849" s="13"/>
      <c r="AL849" s="13"/>
      <c r="AM849" s="13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</row>
    <row r="850" spans="21:53" ht="22.9">
      <c r="U850" s="87"/>
      <c r="V850" s="202"/>
      <c r="X850" s="87"/>
      <c r="Y850" s="87"/>
      <c r="AA850" s="87"/>
      <c r="AB850" s="13"/>
      <c r="AC850" s="245"/>
      <c r="AD850" s="8"/>
      <c r="AE850" s="8"/>
      <c r="AF850" s="12"/>
      <c r="AG850" s="13"/>
      <c r="AH850" s="12"/>
      <c r="AI850" s="13"/>
      <c r="AJ850" s="12"/>
      <c r="AK850" s="13"/>
      <c r="AL850" s="13"/>
      <c r="AM850" s="13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</row>
    <row r="851" spans="21:53" ht="22.9">
      <c r="U851" s="87"/>
      <c r="V851" s="202"/>
      <c r="X851" s="87"/>
      <c r="Y851" s="87"/>
      <c r="AA851" s="87"/>
      <c r="AB851" s="13"/>
      <c r="AC851" s="245"/>
      <c r="AD851" s="8"/>
      <c r="AE851" s="8"/>
      <c r="AF851" s="12"/>
      <c r="AG851" s="13"/>
      <c r="AH851" s="12"/>
      <c r="AI851" s="13"/>
      <c r="AJ851" s="12"/>
      <c r="AK851" s="13"/>
      <c r="AL851" s="13"/>
      <c r="AM851" s="13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</row>
    <row r="852" spans="21:53" ht="22.9">
      <c r="U852" s="87"/>
      <c r="V852" s="202"/>
      <c r="X852" s="87"/>
      <c r="Y852" s="87"/>
      <c r="AA852" s="87"/>
      <c r="AB852" s="13"/>
      <c r="AC852" s="245"/>
      <c r="AD852" s="8"/>
      <c r="AE852" s="8"/>
      <c r="AF852" s="12"/>
      <c r="AG852" s="13"/>
      <c r="AH852" s="12"/>
      <c r="AI852" s="13"/>
      <c r="AJ852" s="12"/>
      <c r="AK852" s="13"/>
      <c r="AL852" s="13"/>
      <c r="AM852" s="13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</row>
    <row r="853" spans="21:53" ht="22.9">
      <c r="U853" s="87"/>
      <c r="V853" s="202"/>
      <c r="X853" s="87"/>
      <c r="Y853" s="87"/>
      <c r="AA853" s="87"/>
      <c r="AB853" s="13"/>
      <c r="AC853" s="245"/>
      <c r="AD853" s="8"/>
      <c r="AE853" s="8"/>
      <c r="AF853" s="12"/>
      <c r="AG853" s="13"/>
      <c r="AH853" s="12"/>
      <c r="AI853" s="13"/>
      <c r="AJ853" s="12"/>
      <c r="AK853" s="13"/>
      <c r="AL853" s="13"/>
      <c r="AM853" s="13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</row>
    <row r="854" spans="21:53" ht="22.9">
      <c r="U854" s="87"/>
      <c r="V854" s="202"/>
      <c r="X854" s="87"/>
      <c r="Y854" s="87"/>
      <c r="AA854" s="87"/>
      <c r="AB854" s="13"/>
      <c r="AC854" s="245"/>
      <c r="AD854" s="8"/>
      <c r="AE854" s="8"/>
      <c r="AF854" s="12"/>
      <c r="AG854" s="13"/>
      <c r="AH854" s="12"/>
      <c r="AI854" s="13"/>
      <c r="AJ854" s="12"/>
      <c r="AK854" s="13"/>
      <c r="AL854" s="13"/>
      <c r="AM854" s="13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</row>
    <row r="855" spans="21:53" ht="22.9">
      <c r="U855" s="87"/>
      <c r="V855" s="202"/>
      <c r="X855" s="87"/>
      <c r="Y855" s="87"/>
      <c r="AA855" s="87"/>
      <c r="AB855" s="13"/>
      <c r="AC855" s="245"/>
      <c r="AD855" s="8"/>
      <c r="AE855" s="8"/>
      <c r="AF855" s="12"/>
      <c r="AG855" s="13"/>
      <c r="AH855" s="12"/>
      <c r="AI855" s="13"/>
      <c r="AJ855" s="12"/>
      <c r="AK855" s="13"/>
      <c r="AL855" s="13"/>
      <c r="AM855" s="13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</row>
    <row r="856" spans="21:53" ht="22.9">
      <c r="U856" s="87"/>
      <c r="V856" s="202"/>
      <c r="X856" s="87"/>
      <c r="Y856" s="87"/>
      <c r="AA856" s="87"/>
      <c r="AB856" s="13"/>
      <c r="AC856" s="245"/>
      <c r="AD856" s="8"/>
      <c r="AE856" s="8"/>
      <c r="AF856" s="12"/>
      <c r="AG856" s="13"/>
      <c r="AH856" s="12"/>
      <c r="AI856" s="13"/>
      <c r="AJ856" s="12"/>
      <c r="AK856" s="13"/>
      <c r="AL856" s="13"/>
      <c r="AM856" s="13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</row>
    <row r="857" spans="21:53" ht="22.9">
      <c r="U857" s="87"/>
      <c r="V857" s="202"/>
      <c r="X857" s="87"/>
      <c r="Y857" s="87"/>
      <c r="AA857" s="87"/>
      <c r="AB857" s="13"/>
      <c r="AC857" s="245"/>
      <c r="AD857" s="8"/>
      <c r="AE857" s="8"/>
      <c r="AF857" s="12"/>
      <c r="AG857" s="13"/>
      <c r="AH857" s="12"/>
      <c r="AI857" s="13"/>
      <c r="AJ857" s="12"/>
      <c r="AK857" s="13"/>
      <c r="AL857" s="13"/>
      <c r="AM857" s="13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</row>
    <row r="858" spans="21:53" ht="22.9">
      <c r="U858" s="87"/>
      <c r="V858" s="202"/>
      <c r="X858" s="87"/>
      <c r="Y858" s="87"/>
      <c r="AA858" s="87"/>
      <c r="AB858" s="13"/>
      <c r="AC858" s="245"/>
      <c r="AD858" s="8"/>
      <c r="AE858" s="8"/>
      <c r="AF858" s="12"/>
      <c r="AG858" s="13"/>
      <c r="AH858" s="12"/>
      <c r="AI858" s="13"/>
      <c r="AJ858" s="12"/>
      <c r="AK858" s="13"/>
      <c r="AL858" s="13"/>
      <c r="AM858" s="13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</row>
    <row r="859" spans="21:53" ht="22.9">
      <c r="U859" s="87"/>
      <c r="V859" s="202"/>
      <c r="X859" s="87"/>
      <c r="Y859" s="87"/>
      <c r="AA859" s="87"/>
      <c r="AB859" s="13"/>
      <c r="AC859" s="245"/>
      <c r="AD859" s="8"/>
      <c r="AE859" s="8"/>
      <c r="AF859" s="12"/>
      <c r="AG859" s="13"/>
      <c r="AH859" s="12"/>
      <c r="AI859" s="13"/>
      <c r="AJ859" s="12"/>
      <c r="AK859" s="13"/>
      <c r="AL859" s="13"/>
      <c r="AM859" s="13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</row>
    <row r="860" spans="21:53" ht="22.9">
      <c r="U860" s="87"/>
      <c r="V860" s="202"/>
      <c r="X860" s="87"/>
      <c r="Y860" s="87"/>
      <c r="AA860" s="87"/>
      <c r="AB860" s="13"/>
      <c r="AC860" s="245"/>
      <c r="AD860" s="8"/>
      <c r="AE860" s="8"/>
      <c r="AF860" s="12"/>
      <c r="AG860" s="13"/>
      <c r="AH860" s="12"/>
      <c r="AI860" s="13"/>
      <c r="AJ860" s="12"/>
      <c r="AK860" s="13"/>
      <c r="AL860" s="13"/>
      <c r="AM860" s="13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</row>
    <row r="861" spans="21:53" ht="22.9">
      <c r="U861" s="87"/>
      <c r="V861" s="202"/>
      <c r="X861" s="87"/>
      <c r="Y861" s="87"/>
      <c r="AA861" s="87"/>
      <c r="AB861" s="13"/>
      <c r="AC861" s="245"/>
      <c r="AD861" s="8"/>
      <c r="AE861" s="8"/>
      <c r="AF861" s="12"/>
      <c r="AG861" s="13"/>
      <c r="AH861" s="12"/>
      <c r="AI861" s="13"/>
      <c r="AJ861" s="12"/>
      <c r="AK861" s="13"/>
      <c r="AL861" s="13"/>
      <c r="AM861" s="13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</row>
    <row r="862" spans="21:53" ht="22.9">
      <c r="U862" s="87"/>
      <c r="V862" s="202"/>
      <c r="X862" s="87"/>
      <c r="Y862" s="87"/>
      <c r="AA862" s="87"/>
      <c r="AB862" s="13"/>
      <c r="AC862" s="245"/>
      <c r="AD862" s="8"/>
      <c r="AE862" s="8"/>
      <c r="AF862" s="12"/>
      <c r="AG862" s="13"/>
      <c r="AH862" s="12"/>
      <c r="AI862" s="13"/>
      <c r="AJ862" s="12"/>
      <c r="AK862" s="13"/>
      <c r="AL862" s="13"/>
      <c r="AM862" s="13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</row>
    <row r="863" spans="21:53" ht="22.9">
      <c r="U863" s="87"/>
      <c r="V863" s="202"/>
      <c r="X863" s="87"/>
      <c r="Y863" s="87"/>
      <c r="AA863" s="87"/>
      <c r="AB863" s="13"/>
      <c r="AC863" s="245"/>
      <c r="AD863" s="8"/>
      <c r="AE863" s="8"/>
      <c r="AF863" s="12"/>
      <c r="AG863" s="13"/>
      <c r="AH863" s="12"/>
      <c r="AI863" s="13"/>
      <c r="AJ863" s="12"/>
      <c r="AK863" s="13"/>
      <c r="AL863" s="13"/>
      <c r="AM863" s="13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</row>
    <row r="864" spans="21:53" ht="22.9">
      <c r="U864" s="87"/>
      <c r="V864" s="202"/>
      <c r="X864" s="87"/>
      <c r="Y864" s="87"/>
      <c r="AA864" s="87"/>
      <c r="AB864" s="13"/>
      <c r="AC864" s="245"/>
      <c r="AD864" s="8"/>
      <c r="AE864" s="8"/>
      <c r="AF864" s="12"/>
      <c r="AG864" s="13"/>
      <c r="AH864" s="12"/>
      <c r="AI864" s="13"/>
      <c r="AJ864" s="12"/>
      <c r="AK864" s="13"/>
      <c r="AL864" s="13"/>
      <c r="AM864" s="13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</row>
    <row r="865" spans="21:53" ht="22.9">
      <c r="U865" s="87"/>
      <c r="V865" s="202"/>
      <c r="X865" s="87"/>
      <c r="Y865" s="87"/>
      <c r="AA865" s="87"/>
      <c r="AB865" s="13"/>
      <c r="AC865" s="245"/>
      <c r="AD865" s="8"/>
      <c r="AE865" s="8"/>
      <c r="AF865" s="12"/>
      <c r="AG865" s="13"/>
      <c r="AH865" s="12"/>
      <c r="AI865" s="13"/>
      <c r="AJ865" s="12"/>
      <c r="AK865" s="13"/>
      <c r="AL865" s="13"/>
      <c r="AM865" s="13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</row>
    <row r="866" spans="21:53" ht="22.9">
      <c r="U866" s="87"/>
      <c r="V866" s="202"/>
      <c r="X866" s="87"/>
      <c r="Y866" s="87"/>
      <c r="AA866" s="87"/>
      <c r="AB866" s="13"/>
      <c r="AC866" s="245"/>
      <c r="AD866" s="8"/>
      <c r="AE866" s="8"/>
      <c r="AF866" s="12"/>
      <c r="AG866" s="13"/>
      <c r="AH866" s="12"/>
      <c r="AI866" s="13"/>
      <c r="AJ866" s="12"/>
      <c r="AK866" s="13"/>
      <c r="AL866" s="13"/>
      <c r="AM866" s="13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</row>
    <row r="867" spans="21:53" ht="22.9">
      <c r="U867" s="87"/>
      <c r="V867" s="202"/>
      <c r="X867" s="87"/>
      <c r="Y867" s="87"/>
      <c r="AA867" s="87"/>
      <c r="AB867" s="13"/>
      <c r="AC867" s="245"/>
      <c r="AD867" s="8"/>
      <c r="AE867" s="8"/>
      <c r="AF867" s="12"/>
      <c r="AG867" s="13"/>
      <c r="AH867" s="12"/>
      <c r="AI867" s="13"/>
      <c r="AJ867" s="12"/>
      <c r="AK867" s="13"/>
      <c r="AL867" s="13"/>
      <c r="AM867" s="13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</row>
    <row r="868" spans="21:53" ht="22.9">
      <c r="U868" s="87"/>
      <c r="V868" s="202"/>
      <c r="X868" s="87"/>
      <c r="Y868" s="87"/>
      <c r="AA868" s="87"/>
      <c r="AB868" s="13"/>
      <c r="AC868" s="245"/>
      <c r="AD868" s="8"/>
      <c r="AE868" s="8"/>
      <c r="AF868" s="12"/>
      <c r="AG868" s="13"/>
      <c r="AH868" s="12"/>
      <c r="AI868" s="13"/>
      <c r="AJ868" s="12"/>
      <c r="AK868" s="13"/>
      <c r="AL868" s="13"/>
      <c r="AM868" s="13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</row>
    <row r="869" spans="21:53" ht="22.9">
      <c r="U869" s="87"/>
      <c r="V869" s="202"/>
      <c r="X869" s="87"/>
      <c r="Y869" s="87"/>
      <c r="AA869" s="87"/>
      <c r="AB869" s="13"/>
      <c r="AC869" s="245"/>
      <c r="AD869" s="8"/>
      <c r="AE869" s="8"/>
      <c r="AF869" s="12"/>
      <c r="AG869" s="13"/>
      <c r="AH869" s="12"/>
      <c r="AI869" s="13"/>
      <c r="AJ869" s="12"/>
      <c r="AK869" s="13"/>
      <c r="AL869" s="13"/>
      <c r="AM869" s="13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</row>
    <row r="870" spans="21:53" ht="22.9">
      <c r="U870" s="87"/>
      <c r="V870" s="202"/>
      <c r="X870" s="87"/>
      <c r="Y870" s="87"/>
      <c r="AA870" s="87"/>
      <c r="AB870" s="13"/>
      <c r="AC870" s="245"/>
      <c r="AD870" s="8"/>
      <c r="AE870" s="8"/>
      <c r="AF870" s="12"/>
      <c r="AG870" s="13"/>
      <c r="AH870" s="12"/>
      <c r="AI870" s="13"/>
      <c r="AJ870" s="12"/>
      <c r="AK870" s="13"/>
      <c r="AL870" s="13"/>
      <c r="AM870" s="13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</row>
    <row r="871" spans="21:53" ht="22.9">
      <c r="U871" s="87"/>
      <c r="V871" s="202"/>
      <c r="X871" s="87"/>
      <c r="Y871" s="87"/>
      <c r="AA871" s="87"/>
      <c r="AB871" s="13"/>
      <c r="AC871" s="245"/>
      <c r="AD871" s="8"/>
      <c r="AE871" s="8"/>
      <c r="AF871" s="12"/>
      <c r="AG871" s="13"/>
      <c r="AH871" s="12"/>
      <c r="AI871" s="13"/>
      <c r="AJ871" s="12"/>
      <c r="AK871" s="13"/>
      <c r="AL871" s="13"/>
      <c r="AM871" s="13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</row>
    <row r="872" spans="21:53" ht="22.9">
      <c r="U872" s="87"/>
      <c r="V872" s="202"/>
      <c r="X872" s="87"/>
      <c r="Y872" s="87"/>
      <c r="AA872" s="87"/>
      <c r="AB872" s="13"/>
      <c r="AC872" s="245"/>
      <c r="AD872" s="8"/>
      <c r="AE872" s="8"/>
      <c r="AF872" s="12"/>
      <c r="AG872" s="13"/>
      <c r="AH872" s="12"/>
      <c r="AI872" s="13"/>
      <c r="AJ872" s="12"/>
      <c r="AK872" s="13"/>
      <c r="AL872" s="13"/>
      <c r="AM872" s="13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</row>
    <row r="873" spans="21:53" ht="22.9">
      <c r="U873" s="87"/>
      <c r="V873" s="202"/>
      <c r="X873" s="87"/>
      <c r="Y873" s="87"/>
      <c r="AA873" s="87"/>
      <c r="AB873" s="13"/>
      <c r="AC873" s="245"/>
      <c r="AD873" s="8"/>
      <c r="AE873" s="8"/>
      <c r="AF873" s="12"/>
      <c r="AG873" s="13"/>
      <c r="AH873" s="12"/>
      <c r="AI873" s="13"/>
      <c r="AJ873" s="12"/>
      <c r="AK873" s="13"/>
      <c r="AL873" s="13"/>
      <c r="AM873" s="13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</row>
    <row r="874" spans="21:53" ht="22.9">
      <c r="U874" s="87"/>
      <c r="V874" s="202"/>
      <c r="X874" s="87"/>
      <c r="Y874" s="87"/>
      <c r="AA874" s="87"/>
      <c r="AB874" s="13"/>
      <c r="AC874" s="245"/>
      <c r="AD874" s="8"/>
      <c r="AE874" s="8"/>
      <c r="AF874" s="12"/>
      <c r="AG874" s="13"/>
      <c r="AH874" s="12"/>
      <c r="AI874" s="13"/>
      <c r="AJ874" s="12"/>
      <c r="AK874" s="13"/>
      <c r="AL874" s="13"/>
      <c r="AM874" s="13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</row>
    <row r="875" spans="21:53" ht="22.9">
      <c r="U875" s="87"/>
      <c r="V875" s="202"/>
      <c r="X875" s="87"/>
      <c r="Y875" s="87"/>
      <c r="AA875" s="87"/>
      <c r="AB875" s="13"/>
      <c r="AC875" s="245"/>
      <c r="AD875" s="8"/>
      <c r="AE875" s="8"/>
      <c r="AF875" s="12"/>
      <c r="AG875" s="13"/>
      <c r="AH875" s="12"/>
      <c r="AI875" s="13"/>
      <c r="AJ875" s="12"/>
      <c r="AK875" s="13"/>
      <c r="AL875" s="13"/>
      <c r="AM875" s="13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</row>
    <row r="876" spans="21:53" ht="22.9">
      <c r="U876" s="87"/>
      <c r="V876" s="202"/>
      <c r="X876" s="87"/>
      <c r="Y876" s="87"/>
      <c r="AA876" s="87"/>
      <c r="AB876" s="13"/>
      <c r="AC876" s="245"/>
      <c r="AD876" s="8"/>
      <c r="AE876" s="8"/>
      <c r="AF876" s="12"/>
      <c r="AG876" s="13"/>
      <c r="AH876" s="12"/>
      <c r="AI876" s="13"/>
      <c r="AJ876" s="12"/>
      <c r="AK876" s="13"/>
      <c r="AL876" s="13"/>
      <c r="AM876" s="13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</row>
    <row r="877" spans="21:53" ht="22.9">
      <c r="U877" s="87"/>
      <c r="V877" s="202"/>
      <c r="X877" s="87"/>
      <c r="Y877" s="87"/>
      <c r="AA877" s="87"/>
      <c r="AB877" s="13"/>
      <c r="AC877" s="245"/>
      <c r="AD877" s="8"/>
      <c r="AE877" s="8"/>
      <c r="AF877" s="12"/>
      <c r="AG877" s="13"/>
      <c r="AH877" s="12"/>
      <c r="AI877" s="13"/>
      <c r="AJ877" s="12"/>
      <c r="AK877" s="13"/>
      <c r="AL877" s="13"/>
      <c r="AM877" s="13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</row>
    <row r="878" spans="21:53" ht="22.9">
      <c r="U878" s="87"/>
      <c r="V878" s="202"/>
      <c r="X878" s="87"/>
      <c r="Y878" s="87"/>
      <c r="AA878" s="87"/>
      <c r="AB878" s="13"/>
      <c r="AC878" s="245"/>
      <c r="AD878" s="8"/>
      <c r="AE878" s="8"/>
      <c r="AF878" s="12"/>
      <c r="AG878" s="13"/>
      <c r="AH878" s="12"/>
      <c r="AI878" s="13"/>
      <c r="AJ878" s="12"/>
      <c r="AK878" s="13"/>
      <c r="AL878" s="13"/>
      <c r="AM878" s="13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</row>
    <row r="879" spans="21:53" ht="22.9">
      <c r="U879" s="87"/>
      <c r="V879" s="202"/>
      <c r="X879" s="87"/>
      <c r="Y879" s="87"/>
      <c r="AA879" s="87"/>
      <c r="AB879" s="13"/>
      <c r="AC879" s="245"/>
      <c r="AD879" s="8"/>
      <c r="AE879" s="8"/>
      <c r="AF879" s="12"/>
      <c r="AG879" s="13"/>
      <c r="AH879" s="12"/>
      <c r="AI879" s="13"/>
      <c r="AJ879" s="12"/>
      <c r="AK879" s="13"/>
      <c r="AL879" s="13"/>
      <c r="AM879" s="13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</row>
    <row r="880" spans="21:53" ht="22.9">
      <c r="U880" s="87"/>
      <c r="V880" s="202"/>
      <c r="X880" s="87"/>
      <c r="Y880" s="87"/>
      <c r="AA880" s="87"/>
      <c r="AB880" s="13"/>
      <c r="AC880" s="245"/>
      <c r="AD880" s="8"/>
      <c r="AE880" s="8"/>
      <c r="AF880" s="12"/>
      <c r="AG880" s="13"/>
      <c r="AH880" s="12"/>
      <c r="AI880" s="13"/>
      <c r="AJ880" s="12"/>
      <c r="AK880" s="13"/>
      <c r="AL880" s="13"/>
      <c r="AM880" s="13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</row>
    <row r="881" spans="21:53" ht="22.9">
      <c r="U881" s="87"/>
      <c r="V881" s="202"/>
      <c r="X881" s="87"/>
      <c r="Y881" s="87"/>
      <c r="AA881" s="87"/>
      <c r="AB881" s="13"/>
      <c r="AC881" s="245"/>
      <c r="AD881" s="8"/>
      <c r="AE881" s="8"/>
      <c r="AF881" s="12"/>
      <c r="AG881" s="13"/>
      <c r="AH881" s="12"/>
      <c r="AI881" s="13"/>
      <c r="AJ881" s="12"/>
      <c r="AK881" s="13"/>
      <c r="AL881" s="13"/>
      <c r="AM881" s="13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</row>
    <row r="882" spans="21:53" ht="22.9">
      <c r="U882" s="87"/>
      <c r="V882" s="202"/>
      <c r="X882" s="87"/>
      <c r="Y882" s="87"/>
      <c r="AA882" s="87"/>
      <c r="AB882" s="13"/>
      <c r="AC882" s="245"/>
      <c r="AD882" s="8"/>
      <c r="AE882" s="8"/>
      <c r="AF882" s="12"/>
      <c r="AG882" s="13"/>
      <c r="AH882" s="12"/>
      <c r="AI882" s="13"/>
      <c r="AJ882" s="12"/>
      <c r="AK882" s="13"/>
      <c r="AL882" s="13"/>
      <c r="AM882" s="13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</row>
    <row r="883" spans="21:53" ht="22.9">
      <c r="U883" s="87"/>
      <c r="V883" s="202"/>
      <c r="X883" s="87"/>
      <c r="Y883" s="87"/>
      <c r="AA883" s="87"/>
      <c r="AB883" s="13"/>
      <c r="AC883" s="245"/>
      <c r="AD883" s="8"/>
      <c r="AE883" s="8"/>
      <c r="AF883" s="12"/>
      <c r="AG883" s="13"/>
      <c r="AH883" s="12"/>
      <c r="AI883" s="13"/>
      <c r="AJ883" s="12"/>
      <c r="AK883" s="13"/>
      <c r="AL883" s="13"/>
      <c r="AM883" s="13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</row>
    <row r="884" spans="21:53" ht="22.9">
      <c r="U884" s="87"/>
      <c r="V884" s="202"/>
      <c r="X884" s="87"/>
      <c r="Y884" s="87"/>
      <c r="AA884" s="87"/>
      <c r="AB884" s="13"/>
      <c r="AC884" s="245"/>
      <c r="AD884" s="8"/>
      <c r="AE884" s="8"/>
      <c r="AF884" s="12"/>
      <c r="AG884" s="13"/>
      <c r="AH884" s="12"/>
      <c r="AI884" s="13"/>
      <c r="AJ884" s="12"/>
      <c r="AK884" s="13"/>
      <c r="AL884" s="13"/>
      <c r="AM884" s="13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</row>
    <row r="885" spans="21:53" ht="22.9">
      <c r="U885" s="87"/>
      <c r="V885" s="202"/>
      <c r="X885" s="87"/>
      <c r="Y885" s="87"/>
      <c r="AA885" s="87"/>
      <c r="AB885" s="13"/>
      <c r="AC885" s="245"/>
      <c r="AD885" s="8"/>
      <c r="AE885" s="8"/>
      <c r="AF885" s="12"/>
      <c r="AG885" s="13"/>
      <c r="AH885" s="12"/>
      <c r="AI885" s="13"/>
      <c r="AJ885" s="12"/>
      <c r="AK885" s="13"/>
      <c r="AL885" s="13"/>
      <c r="AM885" s="13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</row>
    <row r="886" spans="21:53" ht="22.9">
      <c r="U886" s="87"/>
      <c r="V886" s="202"/>
      <c r="X886" s="87"/>
      <c r="Y886" s="87"/>
      <c r="AA886" s="87"/>
      <c r="AB886" s="13"/>
      <c r="AC886" s="245"/>
      <c r="AD886" s="8"/>
      <c r="AE886" s="8"/>
      <c r="AF886" s="12"/>
      <c r="AG886" s="13"/>
      <c r="AH886" s="12"/>
      <c r="AI886" s="13"/>
      <c r="AJ886" s="12"/>
      <c r="AK886" s="13"/>
      <c r="AL886" s="13"/>
      <c r="AM886" s="13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</row>
    <row r="887" spans="21:53" ht="22.9">
      <c r="U887" s="87"/>
      <c r="V887" s="202"/>
      <c r="X887" s="87"/>
      <c r="Y887" s="87"/>
      <c r="AA887" s="87"/>
      <c r="AB887" s="13"/>
      <c r="AC887" s="245"/>
      <c r="AD887" s="8"/>
      <c r="AE887" s="8"/>
      <c r="AF887" s="12"/>
      <c r="AG887" s="13"/>
      <c r="AH887" s="12"/>
      <c r="AI887" s="13"/>
      <c r="AJ887" s="12"/>
      <c r="AK887" s="13"/>
      <c r="AL887" s="13"/>
      <c r="AM887" s="13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</row>
    <row r="888" spans="21:53" ht="22.9">
      <c r="U888" s="87"/>
      <c r="V888" s="202"/>
      <c r="X888" s="87"/>
      <c r="Y888" s="87"/>
      <c r="AA888" s="87"/>
      <c r="AB888" s="13"/>
      <c r="AC888" s="245"/>
      <c r="AD888" s="8"/>
      <c r="AE888" s="8"/>
      <c r="AF888" s="12"/>
      <c r="AG888" s="13"/>
      <c r="AH888" s="12"/>
      <c r="AI888" s="13"/>
      <c r="AJ888" s="12"/>
      <c r="AK888" s="13"/>
      <c r="AL888" s="13"/>
      <c r="AM888" s="13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</row>
    <row r="889" spans="21:53" ht="22.9">
      <c r="U889" s="87"/>
      <c r="V889" s="202"/>
      <c r="X889" s="87"/>
      <c r="Y889" s="87"/>
      <c r="AA889" s="87"/>
      <c r="AB889" s="13"/>
      <c r="AC889" s="245"/>
      <c r="AD889" s="8"/>
      <c r="AE889" s="8"/>
      <c r="AF889" s="12"/>
      <c r="AG889" s="13"/>
      <c r="AH889" s="12"/>
      <c r="AI889" s="13"/>
      <c r="AJ889" s="12"/>
      <c r="AK889" s="13"/>
      <c r="AL889" s="13"/>
      <c r="AM889" s="13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</row>
    <row r="890" spans="21:53" ht="22.9">
      <c r="U890" s="87"/>
      <c r="V890" s="202"/>
      <c r="X890" s="87"/>
      <c r="Y890" s="87"/>
      <c r="AA890" s="87"/>
      <c r="AB890" s="13"/>
      <c r="AC890" s="245"/>
      <c r="AD890" s="8"/>
      <c r="AE890" s="8"/>
      <c r="AF890" s="12"/>
      <c r="AG890" s="13"/>
      <c r="AH890" s="12"/>
      <c r="AI890" s="13"/>
      <c r="AJ890" s="12"/>
      <c r="AK890" s="13"/>
      <c r="AL890" s="13"/>
      <c r="AM890" s="13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</row>
    <row r="891" spans="21:53" ht="22.9">
      <c r="U891" s="87"/>
      <c r="V891" s="202"/>
      <c r="X891" s="87"/>
      <c r="Y891" s="87"/>
      <c r="AA891" s="87"/>
      <c r="AB891" s="13"/>
      <c r="AC891" s="245"/>
      <c r="AD891" s="8"/>
      <c r="AE891" s="8"/>
      <c r="AF891" s="12"/>
      <c r="AG891" s="13"/>
      <c r="AH891" s="12"/>
      <c r="AI891" s="13"/>
      <c r="AJ891" s="12"/>
      <c r="AK891" s="13"/>
      <c r="AL891" s="13"/>
      <c r="AM891" s="13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</row>
    <row r="892" spans="21:53" ht="22.9">
      <c r="U892" s="87"/>
      <c r="V892" s="202"/>
      <c r="X892" s="87"/>
      <c r="Y892" s="87"/>
      <c r="AA892" s="87"/>
      <c r="AB892" s="13"/>
      <c r="AC892" s="245"/>
      <c r="AD892" s="8"/>
      <c r="AE892" s="8"/>
      <c r="AF892" s="12"/>
      <c r="AG892" s="13"/>
      <c r="AH892" s="12"/>
      <c r="AI892" s="13"/>
      <c r="AJ892" s="12"/>
      <c r="AK892" s="13"/>
      <c r="AL892" s="13"/>
      <c r="AM892" s="13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</row>
    <row r="893" spans="21:53" ht="22.9">
      <c r="U893" s="87"/>
      <c r="V893" s="202"/>
      <c r="X893" s="87"/>
      <c r="Y893" s="87"/>
      <c r="AA893" s="87"/>
      <c r="AB893" s="13"/>
      <c r="AC893" s="245"/>
      <c r="AD893" s="8"/>
      <c r="AE893" s="8"/>
      <c r="AF893" s="12"/>
      <c r="AG893" s="13"/>
      <c r="AH893" s="12"/>
      <c r="AI893" s="13"/>
      <c r="AJ893" s="12"/>
      <c r="AK893" s="13"/>
      <c r="AL893" s="13"/>
      <c r="AM893" s="13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</row>
    <row r="894" spans="21:53" ht="22.9">
      <c r="U894" s="87"/>
      <c r="V894" s="202"/>
      <c r="X894" s="87"/>
      <c r="Y894" s="87"/>
      <c r="AA894" s="87"/>
      <c r="AB894" s="13"/>
      <c r="AC894" s="245"/>
      <c r="AD894" s="8"/>
      <c r="AE894" s="8"/>
      <c r="AF894" s="12"/>
      <c r="AG894" s="13"/>
      <c r="AH894" s="12"/>
      <c r="AI894" s="13"/>
      <c r="AJ894" s="12"/>
      <c r="AK894" s="13"/>
      <c r="AL894" s="13"/>
      <c r="AM894" s="13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</row>
    <row r="895" spans="21:53" ht="22.9">
      <c r="U895" s="87"/>
      <c r="V895" s="202"/>
      <c r="X895" s="87"/>
      <c r="Y895" s="87"/>
      <c r="AA895" s="87"/>
      <c r="AB895" s="13"/>
      <c r="AC895" s="245"/>
      <c r="AD895" s="8"/>
      <c r="AE895" s="8"/>
      <c r="AF895" s="12"/>
      <c r="AG895" s="13"/>
      <c r="AH895" s="12"/>
      <c r="AI895" s="13"/>
      <c r="AJ895" s="12"/>
      <c r="AK895" s="13"/>
      <c r="AL895" s="13"/>
      <c r="AM895" s="13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</row>
    <row r="896" spans="21:53" ht="22.9">
      <c r="U896" s="87"/>
      <c r="V896" s="202"/>
      <c r="X896" s="87"/>
      <c r="Y896" s="87"/>
      <c r="AA896" s="87"/>
      <c r="AB896" s="13"/>
      <c r="AC896" s="245"/>
      <c r="AD896" s="8"/>
      <c r="AE896" s="8"/>
      <c r="AF896" s="12"/>
      <c r="AG896" s="13"/>
      <c r="AH896" s="12"/>
      <c r="AI896" s="13"/>
      <c r="AJ896" s="12"/>
      <c r="AK896" s="13"/>
      <c r="AL896" s="13"/>
      <c r="AM896" s="13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</row>
    <row r="897" spans="21:53" ht="22.9">
      <c r="U897" s="87"/>
      <c r="V897" s="202"/>
      <c r="X897" s="87"/>
      <c r="Y897" s="87"/>
      <c r="AA897" s="87"/>
      <c r="AB897" s="13"/>
      <c r="AC897" s="245"/>
      <c r="AD897" s="8"/>
      <c r="AE897" s="8"/>
      <c r="AF897" s="12"/>
      <c r="AG897" s="13"/>
      <c r="AH897" s="12"/>
      <c r="AI897" s="13"/>
      <c r="AJ897" s="12"/>
      <c r="AK897" s="13"/>
      <c r="AL897" s="13"/>
      <c r="AM897" s="13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</row>
    <row r="898" spans="21:53" ht="22.9">
      <c r="U898" s="87"/>
      <c r="V898" s="202"/>
      <c r="X898" s="87"/>
      <c r="Y898" s="87"/>
      <c r="AA898" s="87"/>
      <c r="AB898" s="13"/>
      <c r="AC898" s="245"/>
      <c r="AD898" s="8"/>
      <c r="AE898" s="8"/>
      <c r="AF898" s="12"/>
      <c r="AG898" s="13"/>
      <c r="AH898" s="12"/>
      <c r="AI898" s="13"/>
      <c r="AJ898" s="12"/>
      <c r="AK898" s="13"/>
      <c r="AL898" s="13"/>
      <c r="AM898" s="13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</row>
    <row r="899" spans="21:53" ht="22.9">
      <c r="U899" s="87"/>
      <c r="V899" s="202"/>
      <c r="X899" s="87"/>
      <c r="Y899" s="87"/>
      <c r="AA899" s="87"/>
      <c r="AB899" s="13"/>
      <c r="AC899" s="245"/>
      <c r="AD899" s="8"/>
      <c r="AE899" s="8"/>
      <c r="AF899" s="12"/>
      <c r="AG899" s="13"/>
      <c r="AH899" s="12"/>
      <c r="AI899" s="13"/>
      <c r="AJ899" s="12"/>
      <c r="AK899" s="13"/>
      <c r="AL899" s="13"/>
      <c r="AM899" s="13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</row>
    <row r="900" spans="21:53" ht="22.9">
      <c r="U900" s="87"/>
      <c r="V900" s="202"/>
      <c r="X900" s="87"/>
      <c r="Y900" s="87"/>
      <c r="AA900" s="87"/>
      <c r="AB900" s="13"/>
      <c r="AC900" s="245"/>
      <c r="AD900" s="8"/>
      <c r="AE900" s="8"/>
      <c r="AF900" s="12"/>
      <c r="AG900" s="13"/>
      <c r="AH900" s="12"/>
      <c r="AI900" s="13"/>
      <c r="AJ900" s="12"/>
      <c r="AK900" s="13"/>
      <c r="AL900" s="13"/>
      <c r="AM900" s="13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</row>
    <row r="901" spans="21:53" ht="22.9">
      <c r="U901" s="87"/>
      <c r="V901" s="202"/>
      <c r="X901" s="87"/>
      <c r="Y901" s="87"/>
      <c r="AA901" s="87"/>
      <c r="AB901" s="13"/>
      <c r="AC901" s="245"/>
      <c r="AD901" s="8"/>
      <c r="AE901" s="8"/>
      <c r="AF901" s="12"/>
      <c r="AG901" s="13"/>
      <c r="AH901" s="12"/>
      <c r="AI901" s="13"/>
      <c r="AJ901" s="12"/>
      <c r="AK901" s="13"/>
      <c r="AL901" s="13"/>
      <c r="AM901" s="13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</row>
    <row r="902" spans="21:53" ht="22.9">
      <c r="U902" s="87"/>
      <c r="V902" s="202"/>
      <c r="X902" s="87"/>
      <c r="Y902" s="87"/>
      <c r="AA902" s="87"/>
      <c r="AB902" s="13"/>
      <c r="AC902" s="245"/>
      <c r="AD902" s="8"/>
      <c r="AE902" s="8"/>
      <c r="AF902" s="12"/>
      <c r="AG902" s="13"/>
      <c r="AH902" s="12"/>
      <c r="AI902" s="13"/>
      <c r="AJ902" s="12"/>
      <c r="AK902" s="13"/>
      <c r="AL902" s="13"/>
      <c r="AM902" s="13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</row>
    <row r="903" spans="21:53" ht="22.9">
      <c r="U903" s="87"/>
      <c r="V903" s="202"/>
      <c r="X903" s="87"/>
      <c r="Y903" s="87"/>
      <c r="AA903" s="87"/>
      <c r="AB903" s="13"/>
      <c r="AC903" s="245"/>
      <c r="AD903" s="8"/>
      <c r="AE903" s="8"/>
      <c r="AF903" s="12"/>
      <c r="AG903" s="13"/>
      <c r="AH903" s="12"/>
      <c r="AI903" s="13"/>
      <c r="AJ903" s="12"/>
      <c r="AK903" s="13"/>
      <c r="AL903" s="13"/>
      <c r="AM903" s="13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</row>
    <row r="904" spans="21:53" ht="22.9">
      <c r="U904" s="87"/>
      <c r="V904" s="202"/>
      <c r="X904" s="87"/>
      <c r="Y904" s="87"/>
      <c r="AA904" s="87"/>
      <c r="AB904" s="13"/>
      <c r="AC904" s="245"/>
      <c r="AD904" s="8"/>
      <c r="AE904" s="8"/>
      <c r="AF904" s="12"/>
      <c r="AG904" s="13"/>
      <c r="AH904" s="12"/>
      <c r="AI904" s="13"/>
      <c r="AJ904" s="12"/>
      <c r="AK904" s="13"/>
      <c r="AL904" s="13"/>
      <c r="AM904" s="13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</row>
    <row r="905" spans="21:53" ht="22.9">
      <c r="U905" s="87"/>
      <c r="V905" s="202"/>
      <c r="X905" s="87"/>
      <c r="Y905" s="87"/>
      <c r="AA905" s="87"/>
      <c r="AB905" s="13"/>
      <c r="AC905" s="245"/>
      <c r="AD905" s="8"/>
      <c r="AE905" s="8"/>
      <c r="AF905" s="12"/>
      <c r="AG905" s="13"/>
      <c r="AH905" s="12"/>
      <c r="AI905" s="13"/>
      <c r="AJ905" s="12"/>
      <c r="AK905" s="13"/>
      <c r="AL905" s="13"/>
      <c r="AM905" s="13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</row>
    <row r="906" spans="21:53" ht="22.9">
      <c r="U906" s="87"/>
      <c r="V906" s="202"/>
      <c r="X906" s="87"/>
      <c r="Y906" s="87"/>
      <c r="AA906" s="87"/>
      <c r="AB906" s="13"/>
      <c r="AC906" s="245"/>
      <c r="AD906" s="8"/>
      <c r="AE906" s="8"/>
      <c r="AF906" s="12"/>
      <c r="AG906" s="13"/>
      <c r="AH906" s="12"/>
      <c r="AI906" s="13"/>
      <c r="AJ906" s="12"/>
      <c r="AK906" s="13"/>
      <c r="AL906" s="13"/>
      <c r="AM906" s="13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</row>
    <row r="907" spans="21:53" ht="22.9">
      <c r="U907" s="87"/>
      <c r="V907" s="202"/>
      <c r="X907" s="87"/>
      <c r="Y907" s="87"/>
      <c r="AA907" s="87"/>
      <c r="AB907" s="13"/>
      <c r="AC907" s="245"/>
      <c r="AD907" s="8"/>
      <c r="AE907" s="8"/>
      <c r="AF907" s="12"/>
      <c r="AG907" s="13"/>
      <c r="AH907" s="12"/>
      <c r="AI907" s="13"/>
      <c r="AJ907" s="12"/>
      <c r="AK907" s="13"/>
      <c r="AL907" s="13"/>
      <c r="AM907" s="13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</row>
    <row r="908" spans="21:53" ht="22.9">
      <c r="U908" s="87"/>
      <c r="V908" s="202"/>
      <c r="X908" s="87"/>
      <c r="Y908" s="87"/>
      <c r="AA908" s="87"/>
      <c r="AB908" s="13"/>
      <c r="AC908" s="245"/>
      <c r="AD908" s="8"/>
      <c r="AE908" s="8"/>
      <c r="AF908" s="12"/>
      <c r="AG908" s="13"/>
      <c r="AH908" s="12"/>
      <c r="AI908" s="13"/>
      <c r="AJ908" s="12"/>
      <c r="AK908" s="13"/>
      <c r="AL908" s="13"/>
      <c r="AM908" s="13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</row>
    <row r="909" spans="21:53" ht="22.9">
      <c r="U909" s="87"/>
      <c r="V909" s="202"/>
      <c r="X909" s="87"/>
      <c r="Y909" s="87"/>
      <c r="AA909" s="87"/>
      <c r="AB909" s="13"/>
      <c r="AC909" s="245"/>
      <c r="AD909" s="8"/>
      <c r="AE909" s="8"/>
      <c r="AF909" s="12"/>
      <c r="AG909" s="13"/>
      <c r="AH909" s="12"/>
      <c r="AI909" s="13"/>
      <c r="AJ909" s="12"/>
      <c r="AK909" s="13"/>
      <c r="AL909" s="13"/>
      <c r="AM909" s="13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</row>
    <row r="910" spans="21:53" ht="22.9">
      <c r="U910" s="87"/>
      <c r="V910" s="202"/>
      <c r="X910" s="87"/>
      <c r="Y910" s="87"/>
      <c r="AA910" s="87"/>
      <c r="AB910" s="13"/>
      <c r="AC910" s="245"/>
      <c r="AD910" s="8"/>
      <c r="AE910" s="8"/>
      <c r="AF910" s="12"/>
      <c r="AG910" s="13"/>
      <c r="AH910" s="12"/>
      <c r="AI910" s="13"/>
      <c r="AJ910" s="12"/>
      <c r="AK910" s="13"/>
      <c r="AL910" s="13"/>
      <c r="AM910" s="13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</row>
    <row r="911" spans="21:53" ht="22.9">
      <c r="U911" s="87"/>
      <c r="V911" s="202"/>
      <c r="X911" s="87"/>
      <c r="Y911" s="87"/>
      <c r="AA911" s="87"/>
      <c r="AB911" s="13"/>
      <c r="AC911" s="245"/>
      <c r="AD911" s="8"/>
      <c r="AE911" s="8"/>
      <c r="AF911" s="12"/>
      <c r="AG911" s="13"/>
      <c r="AH911" s="12"/>
      <c r="AI911" s="13"/>
      <c r="AJ911" s="12"/>
      <c r="AK911" s="13"/>
      <c r="AL911" s="13"/>
      <c r="AM911" s="13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</row>
    <row r="912" spans="21:53" ht="22.9">
      <c r="U912" s="87"/>
      <c r="V912" s="202"/>
      <c r="X912" s="87"/>
      <c r="Y912" s="87"/>
      <c r="AA912" s="87"/>
      <c r="AB912" s="13"/>
      <c r="AC912" s="245"/>
      <c r="AD912" s="8"/>
      <c r="AE912" s="8"/>
      <c r="AF912" s="12"/>
      <c r="AG912" s="13"/>
      <c r="AH912" s="12"/>
      <c r="AI912" s="13"/>
      <c r="AJ912" s="12"/>
      <c r="AK912" s="13"/>
      <c r="AL912" s="13"/>
      <c r="AM912" s="13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</row>
    <row r="913" spans="21:53" ht="22.9">
      <c r="U913" s="87"/>
      <c r="V913" s="202"/>
      <c r="X913" s="87"/>
      <c r="Y913" s="87"/>
      <c r="AA913" s="87"/>
      <c r="AB913" s="13"/>
      <c r="AC913" s="245"/>
      <c r="AD913" s="8"/>
      <c r="AE913" s="8"/>
      <c r="AF913" s="12"/>
      <c r="AG913" s="13"/>
      <c r="AH913" s="12"/>
      <c r="AI913" s="13"/>
      <c r="AJ913" s="12"/>
      <c r="AK913" s="13"/>
      <c r="AL913" s="13"/>
      <c r="AM913" s="13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</row>
    <row r="914" spans="21:53" ht="22.9">
      <c r="U914" s="87"/>
      <c r="V914" s="202"/>
      <c r="X914" s="87"/>
      <c r="Y914" s="87"/>
      <c r="AA914" s="87"/>
      <c r="AB914" s="13"/>
      <c r="AC914" s="245"/>
      <c r="AD914" s="8"/>
      <c r="AE914" s="8"/>
      <c r="AF914" s="12"/>
      <c r="AG914" s="13"/>
      <c r="AH914" s="12"/>
      <c r="AI914" s="13"/>
      <c r="AJ914" s="12"/>
      <c r="AK914" s="13"/>
      <c r="AL914" s="13"/>
      <c r="AM914" s="13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</row>
    <row r="915" spans="21:53" ht="22.9">
      <c r="U915" s="87"/>
      <c r="V915" s="202"/>
      <c r="X915" s="87"/>
      <c r="Y915" s="87"/>
      <c r="AA915" s="87"/>
      <c r="AB915" s="13"/>
      <c r="AC915" s="245"/>
      <c r="AD915" s="8"/>
      <c r="AE915" s="8"/>
      <c r="AF915" s="12"/>
      <c r="AG915" s="13"/>
      <c r="AH915" s="12"/>
      <c r="AI915" s="13"/>
      <c r="AJ915" s="12"/>
      <c r="AK915" s="13"/>
      <c r="AL915" s="13"/>
      <c r="AM915" s="13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</row>
    <row r="916" spans="21:53" ht="22.9">
      <c r="U916" s="87"/>
      <c r="V916" s="202"/>
      <c r="X916" s="87"/>
      <c r="Y916" s="87"/>
      <c r="AA916" s="87"/>
      <c r="AB916" s="13"/>
      <c r="AC916" s="245"/>
      <c r="AD916" s="8"/>
      <c r="AE916" s="8"/>
      <c r="AF916" s="12"/>
      <c r="AG916" s="13"/>
      <c r="AH916" s="12"/>
      <c r="AI916" s="13"/>
      <c r="AJ916" s="12"/>
      <c r="AK916" s="13"/>
      <c r="AL916" s="13"/>
      <c r="AM916" s="13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</row>
    <row r="917" spans="21:53" ht="22.9">
      <c r="U917" s="87"/>
      <c r="V917" s="202"/>
      <c r="X917" s="87"/>
      <c r="Y917" s="87"/>
      <c r="AA917" s="87"/>
      <c r="AB917" s="13"/>
      <c r="AC917" s="245"/>
      <c r="AD917" s="8"/>
      <c r="AE917" s="8"/>
      <c r="AF917" s="12"/>
      <c r="AG917" s="13"/>
      <c r="AH917" s="12"/>
      <c r="AI917" s="13"/>
      <c r="AJ917" s="12"/>
      <c r="AK917" s="13"/>
      <c r="AL917" s="13"/>
      <c r="AM917" s="13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</row>
    <row r="918" spans="21:53" ht="22.9">
      <c r="U918" s="87"/>
      <c r="V918" s="202"/>
      <c r="X918" s="87"/>
      <c r="Y918" s="87"/>
      <c r="AA918" s="87"/>
      <c r="AB918" s="13"/>
      <c r="AC918" s="245"/>
      <c r="AD918" s="8"/>
      <c r="AE918" s="8"/>
      <c r="AF918" s="12"/>
      <c r="AG918" s="13"/>
      <c r="AH918" s="12"/>
      <c r="AI918" s="13"/>
      <c r="AJ918" s="12"/>
      <c r="AK918" s="13"/>
      <c r="AL918" s="13"/>
      <c r="AM918" s="13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</row>
    <row r="919" spans="21:53" ht="22.9">
      <c r="U919" s="87"/>
      <c r="V919" s="202"/>
      <c r="X919" s="87"/>
      <c r="Y919" s="87"/>
      <c r="AA919" s="87"/>
      <c r="AB919" s="13"/>
      <c r="AC919" s="245"/>
      <c r="AD919" s="8"/>
      <c r="AE919" s="8"/>
      <c r="AF919" s="12"/>
      <c r="AG919" s="13"/>
      <c r="AH919" s="12"/>
      <c r="AI919" s="13"/>
      <c r="AJ919" s="12"/>
      <c r="AK919" s="13"/>
      <c r="AL919" s="13"/>
      <c r="AM919" s="13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</row>
    <row r="920" spans="21:53" ht="22.9">
      <c r="U920" s="87"/>
      <c r="V920" s="202"/>
      <c r="X920" s="87"/>
      <c r="Y920" s="87"/>
      <c r="AA920" s="87"/>
      <c r="AB920" s="13"/>
      <c r="AC920" s="245"/>
      <c r="AD920" s="8"/>
      <c r="AE920" s="8"/>
      <c r="AF920" s="12"/>
      <c r="AG920" s="13"/>
      <c r="AH920" s="12"/>
      <c r="AI920" s="13"/>
      <c r="AJ920" s="12"/>
      <c r="AK920" s="13"/>
      <c r="AL920" s="13"/>
      <c r="AM920" s="13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</row>
    <row r="921" spans="21:53" ht="22.9">
      <c r="U921" s="87"/>
      <c r="V921" s="202"/>
      <c r="X921" s="87"/>
      <c r="Y921" s="87"/>
      <c r="AA921" s="87"/>
      <c r="AB921" s="13"/>
      <c r="AC921" s="245"/>
      <c r="AD921" s="8"/>
      <c r="AE921" s="8"/>
      <c r="AF921" s="12"/>
      <c r="AG921" s="13"/>
      <c r="AH921" s="12"/>
      <c r="AI921" s="13"/>
      <c r="AJ921" s="12"/>
      <c r="AK921" s="13"/>
      <c r="AL921" s="13"/>
      <c r="AM921" s="13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</row>
    <row r="922" spans="21:53" ht="22.9">
      <c r="U922" s="87"/>
      <c r="V922" s="202"/>
      <c r="X922" s="87"/>
      <c r="Y922" s="87"/>
      <c r="AA922" s="87"/>
      <c r="AB922" s="13"/>
      <c r="AC922" s="245"/>
      <c r="AD922" s="8"/>
      <c r="AE922" s="8"/>
      <c r="AF922" s="12"/>
      <c r="AG922" s="13"/>
      <c r="AH922" s="12"/>
      <c r="AI922" s="13"/>
      <c r="AJ922" s="12"/>
      <c r="AK922" s="13"/>
      <c r="AL922" s="13"/>
      <c r="AM922" s="13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</row>
    <row r="923" spans="21:53" ht="22.9">
      <c r="U923" s="87"/>
      <c r="V923" s="202"/>
      <c r="X923" s="87"/>
      <c r="Y923" s="87"/>
      <c r="AA923" s="87"/>
      <c r="AB923" s="13"/>
      <c r="AC923" s="245"/>
      <c r="AD923" s="8"/>
      <c r="AE923" s="8"/>
      <c r="AF923" s="12"/>
      <c r="AG923" s="13"/>
      <c r="AH923" s="12"/>
      <c r="AI923" s="13"/>
      <c r="AJ923" s="12"/>
      <c r="AK923" s="13"/>
      <c r="AL923" s="13"/>
      <c r="AM923" s="13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</row>
    <row r="924" spans="21:53" ht="22.9">
      <c r="U924" s="87"/>
      <c r="V924" s="202"/>
      <c r="X924" s="87"/>
      <c r="Y924" s="87"/>
      <c r="AA924" s="87"/>
      <c r="AB924" s="13"/>
      <c r="AC924" s="245"/>
      <c r="AD924" s="8"/>
      <c r="AE924" s="8"/>
      <c r="AF924" s="12"/>
      <c r="AG924" s="13"/>
      <c r="AH924" s="12"/>
      <c r="AI924" s="13"/>
      <c r="AJ924" s="12"/>
      <c r="AK924" s="13"/>
      <c r="AL924" s="13"/>
      <c r="AM924" s="13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</row>
    <row r="925" spans="21:53" ht="22.9">
      <c r="U925" s="87"/>
      <c r="V925" s="202"/>
      <c r="X925" s="87"/>
      <c r="Y925" s="87"/>
      <c r="AA925" s="87"/>
      <c r="AB925" s="13"/>
      <c r="AC925" s="245"/>
      <c r="AD925" s="8"/>
      <c r="AE925" s="8"/>
      <c r="AF925" s="12"/>
      <c r="AG925" s="13"/>
      <c r="AH925" s="12"/>
      <c r="AI925" s="13"/>
      <c r="AJ925" s="12"/>
      <c r="AK925" s="13"/>
      <c r="AL925" s="13"/>
      <c r="AM925" s="13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</row>
    <row r="926" spans="21:53" ht="22.9">
      <c r="U926" s="87"/>
      <c r="V926" s="202"/>
      <c r="X926" s="87"/>
      <c r="Y926" s="87"/>
      <c r="AA926" s="87"/>
      <c r="AB926" s="13"/>
      <c r="AC926" s="245"/>
      <c r="AD926" s="8"/>
      <c r="AE926" s="8"/>
      <c r="AF926" s="12"/>
      <c r="AG926" s="13"/>
      <c r="AH926" s="12"/>
      <c r="AI926" s="13"/>
      <c r="AJ926" s="12"/>
      <c r="AK926" s="13"/>
      <c r="AL926" s="13"/>
      <c r="AM926" s="13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</row>
    <row r="927" spans="21:53" ht="22.9">
      <c r="U927" s="87"/>
      <c r="V927" s="202"/>
      <c r="X927" s="87"/>
      <c r="Y927" s="87"/>
      <c r="AA927" s="87"/>
      <c r="AB927" s="13"/>
      <c r="AC927" s="245"/>
      <c r="AD927" s="8"/>
      <c r="AE927" s="8"/>
      <c r="AF927" s="12"/>
      <c r="AG927" s="13"/>
      <c r="AH927" s="12"/>
      <c r="AI927" s="13"/>
      <c r="AJ927" s="12"/>
      <c r="AK927" s="13"/>
      <c r="AL927" s="13"/>
      <c r="AM927" s="13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</row>
    <row r="928" spans="21:53" ht="22.9">
      <c r="U928" s="87"/>
      <c r="V928" s="202"/>
      <c r="X928" s="87"/>
      <c r="Y928" s="87"/>
      <c r="AA928" s="87"/>
      <c r="AB928" s="13"/>
      <c r="AC928" s="245"/>
      <c r="AD928" s="8"/>
      <c r="AE928" s="8"/>
      <c r="AF928" s="12"/>
      <c r="AG928" s="13"/>
      <c r="AH928" s="12"/>
      <c r="AI928" s="13"/>
      <c r="AJ928" s="12"/>
      <c r="AK928" s="13"/>
      <c r="AL928" s="13"/>
      <c r="AM928" s="13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</row>
    <row r="929" spans="21:53" ht="22.9">
      <c r="U929" s="87"/>
      <c r="V929" s="202"/>
      <c r="X929" s="87"/>
      <c r="Y929" s="87"/>
      <c r="AA929" s="87"/>
      <c r="AB929" s="13"/>
      <c r="AC929" s="245"/>
      <c r="AD929" s="8"/>
      <c r="AE929" s="8"/>
      <c r="AF929" s="12"/>
      <c r="AG929" s="13"/>
      <c r="AH929" s="12"/>
      <c r="AI929" s="13"/>
      <c r="AJ929" s="12"/>
      <c r="AK929" s="13"/>
      <c r="AL929" s="13"/>
      <c r="AM929" s="13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</row>
    <row r="930" spans="21:53" ht="22.9">
      <c r="U930" s="87"/>
      <c r="V930" s="202"/>
      <c r="X930" s="87"/>
      <c r="Y930" s="87"/>
      <c r="AA930" s="87"/>
      <c r="AB930" s="13"/>
      <c r="AC930" s="245"/>
      <c r="AD930" s="8"/>
      <c r="AE930" s="8"/>
      <c r="AF930" s="12"/>
      <c r="AG930" s="13"/>
      <c r="AH930" s="12"/>
      <c r="AI930" s="13"/>
      <c r="AJ930" s="12"/>
      <c r="AK930" s="13"/>
      <c r="AL930" s="13"/>
      <c r="AM930" s="13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</row>
    <row r="931" spans="21:53" ht="22.9">
      <c r="U931" s="87"/>
      <c r="V931" s="202"/>
      <c r="X931" s="87"/>
      <c r="Y931" s="87"/>
      <c r="AA931" s="87"/>
      <c r="AB931" s="13"/>
      <c r="AC931" s="245"/>
      <c r="AD931" s="8"/>
      <c r="AE931" s="8"/>
      <c r="AF931" s="12"/>
      <c r="AG931" s="13"/>
      <c r="AH931" s="12"/>
      <c r="AI931" s="13"/>
      <c r="AJ931" s="12"/>
      <c r="AK931" s="13"/>
      <c r="AL931" s="13"/>
      <c r="AM931" s="13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</row>
    <row r="932" spans="21:53" ht="22.9">
      <c r="U932" s="87"/>
      <c r="V932" s="202"/>
      <c r="X932" s="87"/>
      <c r="Y932" s="87"/>
      <c r="AA932" s="87"/>
      <c r="AB932" s="13"/>
      <c r="AC932" s="245"/>
      <c r="AD932" s="8"/>
      <c r="AE932" s="8"/>
      <c r="AF932" s="12"/>
      <c r="AG932" s="13"/>
      <c r="AH932" s="12"/>
      <c r="AI932" s="13"/>
      <c r="AJ932" s="12"/>
      <c r="AK932" s="13"/>
      <c r="AL932" s="13"/>
      <c r="AM932" s="13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</row>
    <row r="933" spans="21:53" ht="22.9">
      <c r="U933" s="87"/>
      <c r="V933" s="202"/>
      <c r="X933" s="87"/>
      <c r="Y933" s="87"/>
      <c r="AA933" s="87"/>
      <c r="AB933" s="13"/>
      <c r="AC933" s="245"/>
      <c r="AD933" s="8"/>
      <c r="AE933" s="8"/>
      <c r="AF933" s="12"/>
      <c r="AG933" s="13"/>
      <c r="AH933" s="12"/>
      <c r="AI933" s="13"/>
      <c r="AJ933" s="12"/>
      <c r="AK933" s="13"/>
      <c r="AL933" s="13"/>
      <c r="AM933" s="13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</row>
    <row r="934" spans="21:53" ht="22.9">
      <c r="U934" s="87"/>
      <c r="V934" s="202"/>
      <c r="X934" s="87"/>
      <c r="Y934" s="87"/>
      <c r="AA934" s="87"/>
      <c r="AB934" s="13"/>
      <c r="AC934" s="245"/>
      <c r="AD934" s="8"/>
      <c r="AE934" s="8"/>
      <c r="AF934" s="12"/>
      <c r="AG934" s="13"/>
      <c r="AH934" s="12"/>
      <c r="AI934" s="13"/>
      <c r="AJ934" s="12"/>
      <c r="AK934" s="13"/>
      <c r="AL934" s="13"/>
      <c r="AM934" s="13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</row>
    <row r="935" spans="21:53" ht="22.9">
      <c r="U935" s="87"/>
      <c r="V935" s="202"/>
      <c r="X935" s="87"/>
      <c r="Y935" s="87"/>
      <c r="AA935" s="87"/>
      <c r="AB935" s="13"/>
      <c r="AC935" s="245"/>
      <c r="AD935" s="8"/>
      <c r="AE935" s="8"/>
      <c r="AF935" s="12"/>
      <c r="AG935" s="13"/>
      <c r="AH935" s="12"/>
      <c r="AI935" s="13"/>
      <c r="AJ935" s="12"/>
      <c r="AK935" s="13"/>
      <c r="AL935" s="13"/>
      <c r="AM935" s="13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</row>
    <row r="936" spans="21:53" ht="22.9">
      <c r="U936" s="87"/>
      <c r="V936" s="202"/>
      <c r="X936" s="87"/>
      <c r="Y936" s="87"/>
      <c r="AA936" s="87"/>
      <c r="AB936" s="13"/>
      <c r="AC936" s="245"/>
      <c r="AD936" s="8"/>
      <c r="AE936" s="8"/>
      <c r="AF936" s="12"/>
      <c r="AG936" s="13"/>
      <c r="AH936" s="12"/>
      <c r="AI936" s="13"/>
      <c r="AJ936" s="12"/>
      <c r="AK936" s="13"/>
      <c r="AL936" s="13"/>
      <c r="AM936" s="13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</row>
    <row r="937" spans="21:53" ht="22.9">
      <c r="U937" s="87"/>
      <c r="V937" s="202"/>
      <c r="X937" s="87"/>
      <c r="Y937" s="87"/>
      <c r="AA937" s="87"/>
      <c r="AB937" s="13"/>
      <c r="AC937" s="245"/>
      <c r="AD937" s="8"/>
      <c r="AE937" s="8"/>
      <c r="AF937" s="12"/>
      <c r="AG937" s="13"/>
      <c r="AH937" s="12"/>
      <c r="AI937" s="13"/>
      <c r="AJ937" s="12"/>
      <c r="AK937" s="13"/>
      <c r="AL937" s="13"/>
      <c r="AM937" s="13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</row>
    <row r="938" spans="21:53" ht="22.9">
      <c r="U938" s="87"/>
      <c r="V938" s="202"/>
      <c r="X938" s="87"/>
      <c r="Y938" s="87"/>
      <c r="AA938" s="87"/>
      <c r="AB938" s="13"/>
      <c r="AC938" s="245"/>
      <c r="AD938" s="8"/>
      <c r="AE938" s="8"/>
      <c r="AF938" s="12"/>
      <c r="AG938" s="13"/>
      <c r="AH938" s="12"/>
      <c r="AI938" s="13"/>
      <c r="AJ938" s="12"/>
      <c r="AK938" s="13"/>
      <c r="AL938" s="13"/>
      <c r="AM938" s="13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</row>
    <row r="939" spans="21:53" ht="22.9">
      <c r="U939" s="87"/>
      <c r="V939" s="202"/>
      <c r="X939" s="87"/>
      <c r="Y939" s="87"/>
      <c r="AA939" s="87"/>
      <c r="AB939" s="13"/>
      <c r="AC939" s="245"/>
      <c r="AD939" s="8"/>
      <c r="AE939" s="8"/>
      <c r="AF939" s="12"/>
      <c r="AG939" s="13"/>
      <c r="AH939" s="12"/>
      <c r="AI939" s="13"/>
      <c r="AJ939" s="12"/>
      <c r="AK939" s="13"/>
      <c r="AL939" s="13"/>
      <c r="AM939" s="13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</row>
    <row r="940" spans="21:53" ht="22.9">
      <c r="U940" s="87"/>
      <c r="V940" s="202"/>
      <c r="X940" s="87"/>
      <c r="Y940" s="87"/>
      <c r="AA940" s="87"/>
      <c r="AB940" s="13"/>
      <c r="AC940" s="245"/>
      <c r="AD940" s="8"/>
      <c r="AE940" s="8"/>
      <c r="AF940" s="12"/>
      <c r="AG940" s="13"/>
      <c r="AH940" s="12"/>
      <c r="AI940" s="13"/>
      <c r="AJ940" s="12"/>
      <c r="AK940" s="13"/>
      <c r="AL940" s="13"/>
      <c r="AM940" s="13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</row>
    <row r="941" spans="21:53" ht="22.9">
      <c r="U941" s="87"/>
      <c r="V941" s="202"/>
      <c r="X941" s="87"/>
      <c r="Y941" s="87"/>
      <c r="AA941" s="87"/>
      <c r="AB941" s="13"/>
      <c r="AC941" s="245"/>
      <c r="AD941" s="8"/>
      <c r="AE941" s="8"/>
      <c r="AF941" s="12"/>
      <c r="AG941" s="13"/>
      <c r="AH941" s="12"/>
      <c r="AI941" s="13"/>
      <c r="AJ941" s="12"/>
      <c r="AK941" s="13"/>
      <c r="AL941" s="13"/>
      <c r="AM941" s="13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</row>
    <row r="942" spans="21:53" ht="22.9">
      <c r="U942" s="87"/>
      <c r="V942" s="202"/>
      <c r="X942" s="87"/>
      <c r="Y942" s="87"/>
      <c r="AA942" s="87"/>
      <c r="AB942" s="13"/>
      <c r="AC942" s="245"/>
      <c r="AD942" s="8"/>
      <c r="AE942" s="8"/>
      <c r="AF942" s="12"/>
      <c r="AG942" s="13"/>
      <c r="AH942" s="12"/>
      <c r="AI942" s="13"/>
      <c r="AJ942" s="12"/>
      <c r="AK942" s="13"/>
      <c r="AL942" s="13"/>
      <c r="AM942" s="13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</row>
    <row r="943" spans="21:53" ht="22.9">
      <c r="U943" s="87"/>
      <c r="V943" s="202"/>
      <c r="X943" s="87"/>
      <c r="Y943" s="87"/>
      <c r="AA943" s="87"/>
      <c r="AB943" s="13"/>
      <c r="AC943" s="245"/>
      <c r="AD943" s="8"/>
      <c r="AE943" s="8"/>
      <c r="AF943" s="12"/>
      <c r="AG943" s="13"/>
      <c r="AH943" s="12"/>
      <c r="AI943" s="13"/>
      <c r="AJ943" s="12"/>
      <c r="AK943" s="13"/>
      <c r="AL943" s="13"/>
      <c r="AM943" s="13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</row>
    <row r="944" spans="21:53" ht="22.9">
      <c r="U944" s="87"/>
      <c r="V944" s="202"/>
      <c r="X944" s="87"/>
      <c r="Y944" s="87"/>
      <c r="AA944" s="87"/>
      <c r="AB944" s="13"/>
      <c r="AC944" s="245"/>
      <c r="AD944" s="8"/>
      <c r="AE944" s="8"/>
      <c r="AF944" s="12"/>
      <c r="AG944" s="13"/>
      <c r="AH944" s="12"/>
      <c r="AI944" s="13"/>
      <c r="AJ944" s="12"/>
      <c r="AK944" s="13"/>
      <c r="AL944" s="13"/>
      <c r="AM944" s="13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</row>
    <row r="945" spans="21:53" ht="22.9">
      <c r="U945" s="87"/>
      <c r="V945" s="202"/>
      <c r="X945" s="87"/>
      <c r="Y945" s="87"/>
      <c r="AA945" s="87"/>
      <c r="AB945" s="13"/>
      <c r="AC945" s="245"/>
      <c r="AD945" s="8"/>
      <c r="AE945" s="8"/>
      <c r="AF945" s="12"/>
      <c r="AG945" s="13"/>
      <c r="AH945" s="12"/>
      <c r="AI945" s="13"/>
      <c r="AJ945" s="12"/>
      <c r="AK945" s="13"/>
      <c r="AL945" s="13"/>
      <c r="AM945" s="13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</row>
    <row r="946" spans="21:53" ht="22.9">
      <c r="U946" s="87"/>
      <c r="V946" s="202"/>
      <c r="X946" s="87"/>
      <c r="Y946" s="87"/>
      <c r="AA946" s="87"/>
      <c r="AB946" s="13"/>
      <c r="AC946" s="245"/>
      <c r="AD946" s="8"/>
      <c r="AE946" s="8"/>
      <c r="AF946" s="12"/>
      <c r="AG946" s="13"/>
      <c r="AH946" s="12"/>
      <c r="AI946" s="13"/>
      <c r="AJ946" s="12"/>
      <c r="AK946" s="13"/>
      <c r="AL946" s="13"/>
      <c r="AM946" s="13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</row>
    <row r="947" spans="21:53" ht="22.9">
      <c r="U947" s="87"/>
      <c r="V947" s="202"/>
      <c r="X947" s="87"/>
      <c r="Y947" s="87"/>
      <c r="AA947" s="87"/>
      <c r="AB947" s="13"/>
      <c r="AC947" s="245"/>
      <c r="AD947" s="8"/>
      <c r="AE947" s="8"/>
      <c r="AF947" s="12"/>
      <c r="AG947" s="13"/>
      <c r="AH947" s="12"/>
      <c r="AI947" s="13"/>
      <c r="AJ947" s="12"/>
      <c r="AK947" s="13"/>
      <c r="AL947" s="13"/>
      <c r="AM947" s="13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</row>
    <row r="948" spans="21:53" ht="22.9">
      <c r="U948" s="87"/>
      <c r="V948" s="202"/>
      <c r="X948" s="87"/>
      <c r="Y948" s="87"/>
      <c r="AA948" s="87"/>
      <c r="AB948" s="13"/>
      <c r="AC948" s="245"/>
      <c r="AD948" s="8"/>
      <c r="AE948" s="8"/>
      <c r="AF948" s="12"/>
      <c r="AG948" s="13"/>
      <c r="AH948" s="12"/>
      <c r="AI948" s="13"/>
      <c r="AJ948" s="12"/>
      <c r="AK948" s="13"/>
      <c r="AL948" s="13"/>
      <c r="AM948" s="13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</row>
    <row r="949" spans="21:53" ht="22.9">
      <c r="U949" s="87"/>
      <c r="V949" s="202"/>
      <c r="X949" s="87"/>
      <c r="Y949" s="87"/>
      <c r="AA949" s="87"/>
      <c r="AB949" s="13"/>
      <c r="AC949" s="245"/>
      <c r="AD949" s="8"/>
      <c r="AE949" s="8"/>
      <c r="AF949" s="12"/>
      <c r="AG949" s="13"/>
      <c r="AH949" s="12"/>
      <c r="AI949" s="13"/>
      <c r="AJ949" s="12"/>
      <c r="AK949" s="13"/>
      <c r="AL949" s="13"/>
      <c r="AM949" s="13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</row>
    <row r="950" spans="21:53" ht="22.9">
      <c r="U950" s="87"/>
      <c r="V950" s="202"/>
      <c r="X950" s="87"/>
      <c r="Y950" s="87"/>
      <c r="AA950" s="87"/>
      <c r="AB950" s="13"/>
      <c r="AC950" s="245"/>
      <c r="AD950" s="8"/>
      <c r="AE950" s="8"/>
      <c r="AF950" s="12"/>
      <c r="AG950" s="13"/>
      <c r="AH950" s="12"/>
      <c r="AI950" s="13"/>
      <c r="AJ950" s="12"/>
      <c r="AK950" s="13"/>
      <c r="AL950" s="13"/>
      <c r="AM950" s="13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</row>
    <row r="951" spans="21:53" ht="22.9">
      <c r="U951" s="87"/>
      <c r="V951" s="202"/>
      <c r="X951" s="87"/>
      <c r="Y951" s="87"/>
      <c r="AA951" s="87"/>
      <c r="AB951" s="13"/>
      <c r="AC951" s="245"/>
      <c r="AD951" s="8"/>
      <c r="AE951" s="8"/>
      <c r="AF951" s="12"/>
      <c r="AG951" s="13"/>
      <c r="AH951" s="12"/>
      <c r="AI951" s="13"/>
      <c r="AJ951" s="12"/>
      <c r="AK951" s="13"/>
      <c r="AL951" s="13"/>
      <c r="AM951" s="13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</row>
    <row r="952" spans="21:53" ht="22.9">
      <c r="U952" s="87"/>
      <c r="V952" s="202"/>
      <c r="X952" s="87"/>
      <c r="Y952" s="87"/>
      <c r="AA952" s="87"/>
      <c r="AB952" s="13"/>
      <c r="AC952" s="245"/>
      <c r="AD952" s="8"/>
      <c r="AE952" s="8"/>
      <c r="AF952" s="12"/>
      <c r="AG952" s="13"/>
      <c r="AH952" s="12"/>
      <c r="AI952" s="13"/>
      <c r="AJ952" s="12"/>
      <c r="AK952" s="13"/>
      <c r="AL952" s="13"/>
      <c r="AM952" s="13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</row>
    <row r="953" spans="21:53" ht="22.9">
      <c r="U953" s="87"/>
      <c r="V953" s="202"/>
      <c r="X953" s="87"/>
      <c r="Y953" s="87"/>
      <c r="AA953" s="87"/>
      <c r="AB953" s="13"/>
      <c r="AC953" s="245"/>
      <c r="AD953" s="8"/>
      <c r="AE953" s="8"/>
      <c r="AF953" s="12"/>
      <c r="AG953" s="13"/>
      <c r="AH953" s="12"/>
      <c r="AI953" s="13"/>
      <c r="AJ953" s="12"/>
      <c r="AK953" s="13"/>
      <c r="AL953" s="13"/>
      <c r="AM953" s="13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</row>
    <row r="954" spans="21:53" ht="22.9">
      <c r="U954" s="87"/>
      <c r="V954" s="202"/>
      <c r="X954" s="87"/>
      <c r="Y954" s="87"/>
      <c r="AA954" s="87"/>
      <c r="AB954" s="13"/>
      <c r="AC954" s="245"/>
      <c r="AD954" s="8"/>
      <c r="AE954" s="8"/>
      <c r="AF954" s="12"/>
      <c r="AG954" s="13"/>
      <c r="AH954" s="12"/>
      <c r="AI954" s="13"/>
      <c r="AJ954" s="12"/>
      <c r="AK954" s="13"/>
      <c r="AL954" s="13"/>
      <c r="AM954" s="13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</row>
    <row r="955" spans="21:53" ht="22.9">
      <c r="U955" s="87"/>
      <c r="V955" s="202"/>
      <c r="X955" s="87"/>
      <c r="Y955" s="87"/>
      <c r="AA955" s="87"/>
      <c r="AB955" s="13"/>
      <c r="AC955" s="245"/>
      <c r="AD955" s="8"/>
      <c r="AE955" s="8"/>
      <c r="AF955" s="12"/>
      <c r="AG955" s="13"/>
      <c r="AH955" s="12"/>
      <c r="AI955" s="13"/>
      <c r="AJ955" s="12"/>
      <c r="AK955" s="13"/>
      <c r="AL955" s="13"/>
      <c r="AM955" s="13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</row>
    <row r="956" spans="21:53" ht="22.9">
      <c r="U956" s="87"/>
      <c r="V956" s="202"/>
      <c r="X956" s="87"/>
      <c r="Y956" s="87"/>
      <c r="AA956" s="87"/>
      <c r="AB956" s="13"/>
      <c r="AC956" s="245"/>
      <c r="AD956" s="8"/>
      <c r="AE956" s="8"/>
      <c r="AF956" s="12"/>
      <c r="AG956" s="13"/>
      <c r="AH956" s="12"/>
      <c r="AI956" s="13"/>
      <c r="AJ956" s="12"/>
      <c r="AK956" s="13"/>
      <c r="AL956" s="13"/>
      <c r="AM956" s="13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</row>
    <row r="957" spans="21:53" ht="22.9">
      <c r="U957" s="87"/>
      <c r="V957" s="202"/>
      <c r="X957" s="87"/>
      <c r="Y957" s="87"/>
      <c r="AA957" s="87"/>
      <c r="AB957" s="13"/>
      <c r="AC957" s="245"/>
      <c r="AD957" s="8"/>
      <c r="AE957" s="8"/>
      <c r="AF957" s="12"/>
      <c r="AG957" s="13"/>
      <c r="AH957" s="12"/>
      <c r="AI957" s="13"/>
      <c r="AJ957" s="12"/>
      <c r="AK957" s="13"/>
      <c r="AL957" s="13"/>
      <c r="AM957" s="13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</row>
    <row r="958" spans="21:53" ht="22.9">
      <c r="U958" s="87"/>
      <c r="V958" s="202"/>
      <c r="X958" s="87"/>
      <c r="Y958" s="87"/>
      <c r="AA958" s="87"/>
      <c r="AB958" s="13"/>
      <c r="AC958" s="245"/>
      <c r="AD958" s="8"/>
      <c r="AE958" s="8"/>
      <c r="AF958" s="12"/>
      <c r="AG958" s="13"/>
      <c r="AH958" s="12"/>
      <c r="AI958" s="13"/>
      <c r="AJ958" s="12"/>
      <c r="AK958" s="13"/>
      <c r="AL958" s="13"/>
      <c r="AM958" s="13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</row>
    <row r="959" spans="21:53" ht="22.9">
      <c r="U959" s="87"/>
      <c r="V959" s="202"/>
      <c r="X959" s="87"/>
      <c r="Y959" s="87"/>
      <c r="AA959" s="87"/>
      <c r="AB959" s="13"/>
      <c r="AC959" s="245"/>
      <c r="AD959" s="8"/>
      <c r="AE959" s="8"/>
      <c r="AF959" s="12"/>
      <c r="AG959" s="13"/>
      <c r="AH959" s="12"/>
      <c r="AI959" s="13"/>
      <c r="AJ959" s="12"/>
      <c r="AK959" s="13"/>
      <c r="AL959" s="13"/>
      <c r="AM959" s="13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</row>
    <row r="960" spans="21:53" ht="22.9">
      <c r="U960" s="87"/>
      <c r="V960" s="202"/>
      <c r="X960" s="87"/>
      <c r="Y960" s="87"/>
      <c r="AA960" s="87"/>
      <c r="AB960" s="13"/>
      <c r="AC960" s="245"/>
      <c r="AD960" s="8"/>
      <c r="AE960" s="8"/>
      <c r="AF960" s="12"/>
      <c r="AG960" s="13"/>
      <c r="AH960" s="12"/>
      <c r="AI960" s="13"/>
      <c r="AJ960" s="12"/>
      <c r="AK960" s="13"/>
      <c r="AL960" s="13"/>
      <c r="AM960" s="13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</row>
    <row r="961" spans="21:53" ht="22.9">
      <c r="U961" s="87"/>
      <c r="V961" s="202"/>
      <c r="X961" s="87"/>
      <c r="Y961" s="87"/>
      <c r="AA961" s="87"/>
      <c r="AB961" s="13"/>
      <c r="AC961" s="245"/>
      <c r="AD961" s="8"/>
      <c r="AE961" s="8"/>
      <c r="AF961" s="12"/>
      <c r="AG961" s="13"/>
      <c r="AH961" s="12"/>
      <c r="AI961" s="13"/>
      <c r="AJ961" s="12"/>
      <c r="AK961" s="13"/>
      <c r="AL961" s="13"/>
      <c r="AM961" s="13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</row>
    <row r="962" spans="21:53" ht="22.9">
      <c r="U962" s="87"/>
      <c r="V962" s="202"/>
      <c r="X962" s="87"/>
      <c r="Y962" s="87"/>
      <c r="AA962" s="87"/>
      <c r="AB962" s="13"/>
      <c r="AC962" s="245"/>
      <c r="AD962" s="8"/>
      <c r="AE962" s="8"/>
      <c r="AF962" s="12"/>
      <c r="AG962" s="13"/>
      <c r="AH962" s="12"/>
      <c r="AI962" s="13"/>
      <c r="AJ962" s="12"/>
      <c r="AK962" s="13"/>
      <c r="AL962" s="13"/>
      <c r="AM962" s="13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</row>
    <row r="963" spans="21:53" ht="22.9">
      <c r="U963" s="87"/>
      <c r="V963" s="202"/>
      <c r="X963" s="87"/>
      <c r="Y963" s="87"/>
      <c r="AA963" s="87"/>
      <c r="AB963" s="13"/>
      <c r="AC963" s="245"/>
      <c r="AD963" s="8"/>
      <c r="AE963" s="8"/>
      <c r="AF963" s="12"/>
      <c r="AG963" s="13"/>
      <c r="AH963" s="12"/>
      <c r="AI963" s="13"/>
      <c r="AJ963" s="12"/>
      <c r="AK963" s="13"/>
      <c r="AL963" s="13"/>
      <c r="AM963" s="13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</row>
    <row r="964" spans="21:53" ht="22.9">
      <c r="U964" s="87"/>
      <c r="V964" s="202"/>
      <c r="X964" s="87"/>
      <c r="Y964" s="87"/>
      <c r="AA964" s="87"/>
      <c r="AB964" s="13"/>
      <c r="AC964" s="245"/>
      <c r="AD964" s="8"/>
      <c r="AE964" s="8"/>
      <c r="AF964" s="12"/>
      <c r="AG964" s="13"/>
      <c r="AH964" s="12"/>
      <c r="AI964" s="13"/>
      <c r="AJ964" s="12"/>
      <c r="AK964" s="13"/>
      <c r="AL964" s="13"/>
      <c r="AM964" s="13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</row>
    <row r="965" spans="21:53" ht="22.9">
      <c r="U965" s="87"/>
      <c r="V965" s="202"/>
      <c r="X965" s="87"/>
      <c r="Y965" s="87"/>
      <c r="AA965" s="87"/>
      <c r="AB965" s="13"/>
      <c r="AC965" s="245"/>
      <c r="AD965" s="8"/>
      <c r="AE965" s="8"/>
      <c r="AF965" s="12"/>
      <c r="AG965" s="13"/>
      <c r="AH965" s="12"/>
      <c r="AI965" s="13"/>
      <c r="AJ965" s="12"/>
      <c r="AK965" s="13"/>
      <c r="AL965" s="13"/>
      <c r="AM965" s="13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</row>
    <row r="966" spans="21:53" ht="22.9">
      <c r="U966" s="87"/>
      <c r="V966" s="202"/>
      <c r="X966" s="87"/>
      <c r="Y966" s="87"/>
      <c r="AA966" s="87"/>
      <c r="AB966" s="13"/>
      <c r="AC966" s="245"/>
      <c r="AD966" s="8"/>
      <c r="AE966" s="8"/>
      <c r="AF966" s="12"/>
      <c r="AG966" s="13"/>
      <c r="AH966" s="12"/>
      <c r="AI966" s="13"/>
      <c r="AJ966" s="12"/>
      <c r="AK966" s="13"/>
      <c r="AL966" s="13"/>
      <c r="AM966" s="13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</row>
    <row r="967" spans="21:53" ht="22.9">
      <c r="U967" s="87"/>
      <c r="V967" s="202"/>
      <c r="X967" s="87"/>
      <c r="Y967" s="87"/>
      <c r="AA967" s="87"/>
      <c r="AB967" s="13"/>
      <c r="AC967" s="245"/>
      <c r="AD967" s="8"/>
      <c r="AE967" s="8"/>
      <c r="AF967" s="12"/>
      <c r="AG967" s="13"/>
      <c r="AH967" s="12"/>
      <c r="AI967" s="13"/>
      <c r="AJ967" s="12"/>
      <c r="AK967" s="13"/>
      <c r="AL967" s="13"/>
      <c r="AM967" s="13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</row>
    <row r="968" spans="21:53" ht="22.9">
      <c r="U968" s="87"/>
      <c r="V968" s="202"/>
      <c r="X968" s="87"/>
      <c r="Y968" s="87"/>
      <c r="AA968" s="87"/>
      <c r="AB968" s="13"/>
      <c r="AC968" s="245"/>
      <c r="AD968" s="8"/>
      <c r="AE968" s="8"/>
      <c r="AF968" s="12"/>
      <c r="AG968" s="13"/>
      <c r="AH968" s="12"/>
      <c r="AI968" s="13"/>
      <c r="AJ968" s="12"/>
      <c r="AK968" s="13"/>
      <c r="AL968" s="13"/>
      <c r="AM968" s="13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</row>
    <row r="969" spans="21:53" ht="22.9">
      <c r="U969" s="87"/>
      <c r="V969" s="202"/>
      <c r="X969" s="87"/>
      <c r="Y969" s="87"/>
      <c r="AA969" s="87"/>
      <c r="AB969" s="13"/>
      <c r="AC969" s="245"/>
      <c r="AD969" s="8"/>
      <c r="AE969" s="8"/>
      <c r="AF969" s="12"/>
      <c r="AG969" s="13"/>
      <c r="AH969" s="12"/>
      <c r="AI969" s="13"/>
      <c r="AJ969" s="12"/>
      <c r="AK969" s="13"/>
      <c r="AL969" s="13"/>
      <c r="AM969" s="13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</row>
    <row r="970" spans="21:53" ht="22.9">
      <c r="U970" s="87"/>
      <c r="V970" s="202"/>
      <c r="X970" s="87"/>
      <c r="Y970" s="87"/>
      <c r="AA970" s="87"/>
      <c r="AB970" s="13"/>
      <c r="AC970" s="245"/>
      <c r="AD970" s="8"/>
      <c r="AE970" s="8"/>
      <c r="AF970" s="12"/>
      <c r="AG970" s="13"/>
      <c r="AH970" s="12"/>
      <c r="AI970" s="13"/>
      <c r="AJ970" s="12"/>
      <c r="AK970" s="13"/>
      <c r="AL970" s="13"/>
      <c r="AM970" s="13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</row>
    <row r="971" spans="21:53" ht="22.9">
      <c r="U971" s="87"/>
      <c r="V971" s="202"/>
      <c r="X971" s="87"/>
      <c r="Y971" s="87"/>
      <c r="AA971" s="87"/>
      <c r="AB971" s="13"/>
      <c r="AC971" s="245"/>
      <c r="AD971" s="8"/>
      <c r="AE971" s="8"/>
      <c r="AF971" s="12"/>
      <c r="AG971" s="13"/>
      <c r="AH971" s="12"/>
      <c r="AI971" s="13"/>
      <c r="AJ971" s="12"/>
      <c r="AK971" s="13"/>
      <c r="AL971" s="13"/>
      <c r="AM971" s="13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</row>
    <row r="972" spans="21:53" ht="22.9">
      <c r="U972" s="87"/>
      <c r="V972" s="202"/>
      <c r="X972" s="87"/>
      <c r="Y972" s="87"/>
      <c r="AA972" s="87"/>
      <c r="AB972" s="13"/>
      <c r="AC972" s="245"/>
      <c r="AD972" s="8"/>
      <c r="AE972" s="8"/>
      <c r="AF972" s="12"/>
      <c r="AG972" s="13"/>
      <c r="AH972" s="12"/>
      <c r="AI972" s="13"/>
      <c r="AJ972" s="12"/>
      <c r="AK972" s="13"/>
      <c r="AL972" s="13"/>
      <c r="AM972" s="13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</row>
    <row r="973" spans="21:53" ht="22.9">
      <c r="U973" s="87"/>
      <c r="V973" s="202"/>
      <c r="X973" s="87"/>
      <c r="Y973" s="87"/>
      <c r="AA973" s="87"/>
      <c r="AB973" s="13"/>
      <c r="AC973" s="245"/>
      <c r="AD973" s="8"/>
      <c r="AE973" s="8"/>
      <c r="AF973" s="12"/>
      <c r="AG973" s="13"/>
      <c r="AH973" s="12"/>
      <c r="AI973" s="13"/>
      <c r="AJ973" s="12"/>
      <c r="AK973" s="13"/>
      <c r="AL973" s="13"/>
      <c r="AM973" s="13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</row>
    <row r="974" spans="21:53" ht="22.9">
      <c r="U974" s="87"/>
      <c r="V974" s="202"/>
      <c r="X974" s="87"/>
      <c r="Y974" s="87"/>
      <c r="AA974" s="87"/>
      <c r="AB974" s="13"/>
      <c r="AC974" s="245"/>
      <c r="AD974" s="8"/>
      <c r="AE974" s="8"/>
      <c r="AF974" s="12"/>
      <c r="AG974" s="13"/>
      <c r="AH974" s="12"/>
      <c r="AI974" s="13"/>
      <c r="AJ974" s="12"/>
      <c r="AK974" s="13"/>
      <c r="AL974" s="13"/>
      <c r="AM974" s="13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</row>
    <row r="975" spans="21:53" ht="22.9">
      <c r="U975" s="87"/>
      <c r="V975" s="202"/>
      <c r="X975" s="87"/>
      <c r="Y975" s="87"/>
      <c r="AA975" s="87"/>
      <c r="AB975" s="13"/>
      <c r="AC975" s="245"/>
      <c r="AD975" s="8"/>
      <c r="AE975" s="8"/>
      <c r="AF975" s="12"/>
      <c r="AG975" s="13"/>
      <c r="AH975" s="12"/>
      <c r="AI975" s="13"/>
      <c r="AJ975" s="12"/>
      <c r="AK975" s="13"/>
      <c r="AL975" s="13"/>
      <c r="AM975" s="13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</row>
    <row r="976" spans="21:53" ht="22.9">
      <c r="U976" s="87"/>
      <c r="V976" s="202"/>
      <c r="X976" s="87"/>
      <c r="Y976" s="87"/>
      <c r="AA976" s="87"/>
      <c r="AB976" s="13"/>
      <c r="AC976" s="245"/>
      <c r="AD976" s="8"/>
      <c r="AE976" s="8"/>
      <c r="AF976" s="12"/>
      <c r="AG976" s="13"/>
      <c r="AH976" s="12"/>
      <c r="AI976" s="13"/>
      <c r="AJ976" s="12"/>
      <c r="AK976" s="13"/>
      <c r="AL976" s="13"/>
      <c r="AM976" s="13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</row>
    <row r="977" spans="21:53" ht="22.9">
      <c r="U977" s="87"/>
      <c r="V977" s="202"/>
      <c r="X977" s="87"/>
      <c r="Y977" s="87"/>
      <c r="AA977" s="87"/>
      <c r="AB977" s="13"/>
      <c r="AC977" s="245"/>
      <c r="AD977" s="8"/>
      <c r="AE977" s="8"/>
      <c r="AF977" s="12"/>
      <c r="AG977" s="13"/>
      <c r="AH977" s="12"/>
      <c r="AI977" s="13"/>
      <c r="AJ977" s="12"/>
      <c r="AK977" s="13"/>
      <c r="AL977" s="13"/>
      <c r="AM977" s="13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</row>
    <row r="978" spans="21:53" ht="22.9">
      <c r="U978" s="87"/>
      <c r="V978" s="202"/>
      <c r="X978" s="87"/>
      <c r="Y978" s="87"/>
      <c r="AA978" s="87"/>
      <c r="AB978" s="13"/>
      <c r="AC978" s="245"/>
      <c r="AD978" s="8"/>
      <c r="AE978" s="8"/>
      <c r="AF978" s="12"/>
      <c r="AG978" s="13"/>
      <c r="AH978" s="12"/>
      <c r="AI978" s="13"/>
      <c r="AJ978" s="12"/>
      <c r="AK978" s="13"/>
      <c r="AL978" s="13"/>
      <c r="AM978" s="13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</row>
    <row r="979" spans="21:53" ht="22.9">
      <c r="U979" s="87"/>
      <c r="V979" s="202"/>
      <c r="X979" s="87"/>
      <c r="Y979" s="87"/>
      <c r="AA979" s="87"/>
      <c r="AB979" s="13"/>
      <c r="AC979" s="245"/>
      <c r="AD979" s="8"/>
      <c r="AE979" s="8"/>
      <c r="AF979" s="12"/>
      <c r="AG979" s="13"/>
      <c r="AH979" s="12"/>
      <c r="AI979" s="13"/>
      <c r="AJ979" s="12"/>
      <c r="AK979" s="13"/>
      <c r="AL979" s="13"/>
      <c r="AM979" s="13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</row>
    <row r="980" spans="21:53" ht="22.9">
      <c r="U980" s="87"/>
      <c r="V980" s="202"/>
      <c r="X980" s="87"/>
      <c r="Y980" s="87"/>
      <c r="AA980" s="87"/>
      <c r="AB980" s="13"/>
      <c r="AC980" s="245"/>
      <c r="AD980" s="8"/>
      <c r="AE980" s="8"/>
      <c r="AF980" s="12"/>
      <c r="AG980" s="13"/>
      <c r="AH980" s="12"/>
      <c r="AI980" s="13"/>
      <c r="AJ980" s="12"/>
      <c r="AK980" s="13"/>
      <c r="AL980" s="13"/>
      <c r="AM980" s="13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</row>
    <row r="981" spans="21:53" ht="22.9">
      <c r="U981" s="87"/>
      <c r="V981" s="202"/>
      <c r="X981" s="87"/>
      <c r="Y981" s="87"/>
      <c r="AA981" s="87"/>
      <c r="AB981" s="13"/>
      <c r="AC981" s="245"/>
      <c r="AD981" s="8"/>
      <c r="AE981" s="8"/>
      <c r="AF981" s="12"/>
      <c r="AG981" s="13"/>
      <c r="AH981" s="12"/>
      <c r="AI981" s="13"/>
      <c r="AJ981" s="12"/>
      <c r="AK981" s="13"/>
      <c r="AL981" s="13"/>
      <c r="AM981" s="13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</row>
    <row r="982" spans="21:53" ht="22.9">
      <c r="U982" s="87"/>
      <c r="V982" s="202"/>
      <c r="X982" s="87"/>
      <c r="Y982" s="87"/>
      <c r="AA982" s="87"/>
      <c r="AB982" s="13"/>
      <c r="AC982" s="245"/>
      <c r="AD982" s="8"/>
      <c r="AE982" s="8"/>
      <c r="AF982" s="12"/>
      <c r="AG982" s="13"/>
      <c r="AH982" s="12"/>
      <c r="AI982" s="13"/>
      <c r="AJ982" s="12"/>
      <c r="AK982" s="13"/>
      <c r="AL982" s="13"/>
      <c r="AM982" s="13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</row>
    <row r="983" spans="21:53" ht="22.9">
      <c r="U983" s="87"/>
      <c r="V983" s="202"/>
      <c r="X983" s="87"/>
      <c r="Y983" s="87"/>
      <c r="AA983" s="87"/>
      <c r="AB983" s="13"/>
      <c r="AC983" s="245"/>
      <c r="AD983" s="8"/>
      <c r="AE983" s="8"/>
      <c r="AF983" s="12"/>
      <c r="AG983" s="13"/>
      <c r="AH983" s="12"/>
      <c r="AI983" s="13"/>
      <c r="AJ983" s="12"/>
      <c r="AK983" s="13"/>
      <c r="AL983" s="13"/>
      <c r="AM983" s="13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</row>
    <row r="984" spans="21:53" ht="22.9">
      <c r="U984" s="87"/>
      <c r="V984" s="202"/>
      <c r="X984" s="87"/>
      <c r="Y984" s="87"/>
      <c r="AA984" s="87"/>
      <c r="AB984" s="13"/>
      <c r="AC984" s="245"/>
      <c r="AD984" s="8"/>
      <c r="AE984" s="8"/>
      <c r="AF984" s="12"/>
      <c r="AG984" s="13"/>
      <c r="AH984" s="12"/>
      <c r="AI984" s="13"/>
      <c r="AJ984" s="12"/>
      <c r="AK984" s="13"/>
      <c r="AL984" s="13"/>
      <c r="AM984" s="13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</row>
    <row r="985" spans="21:53" ht="22.9">
      <c r="U985" s="87"/>
      <c r="V985" s="202"/>
      <c r="X985" s="87"/>
      <c r="Y985" s="87"/>
      <c r="AA985" s="87"/>
      <c r="AB985" s="13"/>
      <c r="AC985" s="245"/>
      <c r="AD985" s="8"/>
      <c r="AE985" s="8"/>
      <c r="AF985" s="12"/>
      <c r="AG985" s="13"/>
      <c r="AH985" s="12"/>
      <c r="AI985" s="13"/>
      <c r="AJ985" s="12"/>
      <c r="AK985" s="13"/>
      <c r="AL985" s="13"/>
      <c r="AM985" s="13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</row>
    <row r="986" spans="21:53" ht="22.9">
      <c r="U986" s="87"/>
      <c r="V986" s="202"/>
      <c r="X986" s="87"/>
      <c r="Y986" s="87"/>
      <c r="AA986" s="87"/>
      <c r="AB986" s="13"/>
      <c r="AC986" s="245"/>
      <c r="AD986" s="8"/>
      <c r="AE986" s="8"/>
      <c r="AF986" s="12"/>
      <c r="AG986" s="13"/>
      <c r="AH986" s="12"/>
      <c r="AI986" s="13"/>
      <c r="AJ986" s="12"/>
      <c r="AK986" s="13"/>
      <c r="AL986" s="13"/>
      <c r="AM986" s="13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</row>
    <row r="987" spans="21:53" ht="22.9">
      <c r="U987" s="87"/>
      <c r="V987" s="202"/>
      <c r="X987" s="87"/>
      <c r="Y987" s="87"/>
      <c r="AA987" s="87"/>
      <c r="AB987" s="13"/>
      <c r="AC987" s="245"/>
      <c r="AD987" s="8"/>
      <c r="AE987" s="8"/>
      <c r="AF987" s="12"/>
      <c r="AG987" s="13"/>
      <c r="AH987" s="12"/>
      <c r="AI987" s="13"/>
      <c r="AJ987" s="12"/>
      <c r="AK987" s="13"/>
      <c r="AL987" s="13"/>
      <c r="AM987" s="13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</row>
    <row r="988" spans="21:53" ht="22.9">
      <c r="U988" s="87"/>
      <c r="V988" s="202"/>
      <c r="X988" s="87"/>
      <c r="Y988" s="87"/>
      <c r="AA988" s="87"/>
      <c r="AB988" s="13"/>
      <c r="AC988" s="245"/>
      <c r="AD988" s="8"/>
      <c r="AE988" s="8"/>
      <c r="AF988" s="12"/>
      <c r="AG988" s="13"/>
      <c r="AH988" s="12"/>
      <c r="AI988" s="13"/>
      <c r="AJ988" s="12"/>
      <c r="AK988" s="13"/>
      <c r="AL988" s="13"/>
      <c r="AM988" s="13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</row>
    <row r="989" spans="21:53" ht="22.9">
      <c r="U989" s="87"/>
      <c r="V989" s="202"/>
      <c r="X989" s="87"/>
      <c r="Y989" s="87"/>
      <c r="AA989" s="87"/>
      <c r="AB989" s="13"/>
      <c r="AC989" s="245"/>
      <c r="AD989" s="8"/>
      <c r="AE989" s="8"/>
      <c r="AF989" s="12"/>
      <c r="AG989" s="13"/>
      <c r="AH989" s="12"/>
      <c r="AI989" s="13"/>
      <c r="AJ989" s="12"/>
      <c r="AK989" s="13"/>
      <c r="AL989" s="13"/>
      <c r="AM989" s="13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</row>
    <row r="990" spans="21:53" ht="22.9">
      <c r="U990" s="87"/>
      <c r="V990" s="202"/>
      <c r="X990" s="87"/>
      <c r="Y990" s="87"/>
      <c r="AA990" s="87"/>
      <c r="AB990" s="13"/>
      <c r="AC990" s="245"/>
      <c r="AD990" s="8"/>
      <c r="AE990" s="8"/>
      <c r="AF990" s="12"/>
      <c r="AG990" s="13"/>
      <c r="AH990" s="12"/>
      <c r="AI990" s="13"/>
      <c r="AJ990" s="12"/>
      <c r="AK990" s="13"/>
      <c r="AL990" s="13"/>
      <c r="AM990" s="13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</row>
    <row r="991" spans="21:53" ht="22.9">
      <c r="U991" s="87"/>
      <c r="V991" s="202"/>
      <c r="X991" s="87"/>
      <c r="Y991" s="87"/>
      <c r="AA991" s="87"/>
      <c r="AB991" s="13"/>
      <c r="AC991" s="245"/>
      <c r="AD991" s="8"/>
      <c r="AE991" s="8"/>
      <c r="AF991" s="12"/>
      <c r="AG991" s="13"/>
      <c r="AH991" s="12"/>
      <c r="AI991" s="13"/>
      <c r="AJ991" s="12"/>
      <c r="AK991" s="13"/>
      <c r="AL991" s="13"/>
      <c r="AM991" s="13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</row>
    <row r="992" spans="21:53" ht="22.9">
      <c r="U992" s="87"/>
      <c r="V992" s="202"/>
      <c r="X992" s="87"/>
      <c r="Y992" s="87"/>
      <c r="AA992" s="87"/>
      <c r="AB992" s="13"/>
      <c r="AC992" s="245"/>
      <c r="AD992" s="8"/>
      <c r="AE992" s="8"/>
      <c r="AF992" s="12"/>
      <c r="AG992" s="13"/>
      <c r="AH992" s="12"/>
      <c r="AI992" s="13"/>
      <c r="AJ992" s="12"/>
      <c r="AK992" s="13"/>
      <c r="AL992" s="13"/>
      <c r="AM992" s="13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</row>
    <row r="993" spans="21:53" ht="22.9">
      <c r="U993" s="87"/>
      <c r="V993" s="202"/>
      <c r="X993" s="87"/>
      <c r="Y993" s="87"/>
      <c r="AA993" s="87"/>
      <c r="AB993" s="13"/>
      <c r="AC993" s="245"/>
      <c r="AD993" s="8"/>
      <c r="AE993" s="8"/>
      <c r="AF993" s="12"/>
      <c r="AG993" s="13"/>
      <c r="AH993" s="12"/>
      <c r="AI993" s="13"/>
      <c r="AJ993" s="12"/>
      <c r="AK993" s="13"/>
      <c r="AL993" s="13"/>
      <c r="AM993" s="13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</row>
    <row r="994" spans="21:53" ht="22.9">
      <c r="U994" s="87"/>
      <c r="V994" s="202"/>
      <c r="X994" s="87"/>
      <c r="Y994" s="87"/>
      <c r="AA994" s="87"/>
      <c r="AB994" s="13"/>
      <c r="AC994" s="245"/>
      <c r="AD994" s="8"/>
      <c r="AE994" s="8"/>
      <c r="AF994" s="12"/>
      <c r="AG994" s="13"/>
      <c r="AH994" s="12"/>
      <c r="AI994" s="13"/>
      <c r="AJ994" s="12"/>
      <c r="AK994" s="13"/>
      <c r="AL994" s="13"/>
      <c r="AM994" s="13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</row>
    <row r="995" spans="21:53" ht="22.9">
      <c r="U995" s="87"/>
      <c r="V995" s="202"/>
      <c r="X995" s="87"/>
      <c r="Y995" s="87"/>
      <c r="AA995" s="87"/>
      <c r="AB995" s="13"/>
      <c r="AC995" s="245"/>
      <c r="AD995" s="8"/>
      <c r="AE995" s="8"/>
      <c r="AF995" s="12"/>
      <c r="AG995" s="13"/>
      <c r="AH995" s="12"/>
      <c r="AI995" s="13"/>
      <c r="AJ995" s="12"/>
      <c r="AK995" s="13"/>
      <c r="AL995" s="13"/>
      <c r="AM995" s="13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</row>
    <row r="996" spans="21:53" ht="22.9">
      <c r="U996" s="87"/>
      <c r="V996" s="202"/>
      <c r="X996" s="87"/>
      <c r="Y996" s="87"/>
      <c r="AA996" s="87"/>
      <c r="AB996" s="13"/>
      <c r="AC996" s="245"/>
      <c r="AD996" s="8"/>
      <c r="AE996" s="8"/>
      <c r="AF996" s="12"/>
      <c r="AG996" s="13"/>
      <c r="AH996" s="12"/>
      <c r="AI996" s="13"/>
      <c r="AJ996" s="12"/>
      <c r="AK996" s="13"/>
      <c r="AL996" s="13"/>
      <c r="AM996" s="13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</row>
    <row r="997" spans="21:53" ht="22.9">
      <c r="U997" s="87"/>
      <c r="V997" s="202"/>
      <c r="X997" s="87"/>
      <c r="Y997" s="87"/>
      <c r="AA997" s="87"/>
      <c r="AB997" s="13"/>
      <c r="AC997" s="245"/>
      <c r="AD997" s="8"/>
      <c r="AE997" s="8"/>
      <c r="AF997" s="12"/>
      <c r="AG997" s="13"/>
      <c r="AH997" s="12"/>
      <c r="AI997" s="13"/>
      <c r="AJ997" s="12"/>
      <c r="AK997" s="13"/>
      <c r="AL997" s="13"/>
      <c r="AM997" s="13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</row>
    <row r="998" spans="21:53" ht="22.9">
      <c r="U998" s="87"/>
      <c r="V998" s="202"/>
      <c r="X998" s="87"/>
      <c r="Y998" s="87"/>
      <c r="AA998" s="87"/>
      <c r="AB998" s="13"/>
      <c r="AC998" s="245"/>
      <c r="AD998" s="8"/>
      <c r="AE998" s="8"/>
      <c r="AF998" s="12"/>
      <c r="AG998" s="13"/>
      <c r="AH998" s="12"/>
      <c r="AI998" s="13"/>
      <c r="AJ998" s="12"/>
      <c r="AK998" s="13"/>
      <c r="AL998" s="13"/>
      <c r="AM998" s="13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</row>
    <row r="999" spans="21:53" ht="22.9">
      <c r="U999" s="87"/>
      <c r="V999" s="202"/>
      <c r="X999" s="87"/>
      <c r="Y999" s="87"/>
      <c r="AA999" s="87"/>
      <c r="AB999" s="13"/>
      <c r="AC999" s="245"/>
      <c r="AD999" s="8"/>
      <c r="AE999" s="8"/>
      <c r="AF999" s="12"/>
      <c r="AG999" s="13"/>
      <c r="AH999" s="12"/>
      <c r="AI999" s="13"/>
      <c r="AJ999" s="12"/>
      <c r="AK999" s="13"/>
      <c r="AL999" s="13"/>
      <c r="AM999" s="13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</row>
    <row r="1000" spans="21:53" ht="22.9">
      <c r="U1000" s="87"/>
      <c r="V1000" s="202"/>
      <c r="X1000" s="87"/>
      <c r="Y1000" s="87"/>
      <c r="AA1000" s="87"/>
      <c r="AB1000" s="13"/>
      <c r="AC1000" s="245"/>
      <c r="AD1000" s="8"/>
      <c r="AE1000" s="8"/>
      <c r="AF1000" s="12"/>
      <c r="AG1000" s="13"/>
      <c r="AH1000" s="12"/>
      <c r="AI1000" s="13"/>
      <c r="AJ1000" s="12"/>
      <c r="AK1000" s="13"/>
      <c r="AL1000" s="13"/>
      <c r="AM1000" s="13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</row>
    <row r="1001" spans="21:53" ht="22.9">
      <c r="U1001" s="87"/>
      <c r="V1001" s="202"/>
      <c r="X1001" s="87"/>
      <c r="Y1001" s="87"/>
      <c r="AA1001" s="87"/>
      <c r="AB1001" s="13"/>
      <c r="AC1001" s="245"/>
      <c r="AD1001" s="8"/>
      <c r="AE1001" s="8"/>
      <c r="AF1001" s="12"/>
      <c r="AG1001" s="13"/>
      <c r="AH1001" s="12"/>
      <c r="AI1001" s="13"/>
      <c r="AJ1001" s="12"/>
      <c r="AK1001" s="13"/>
      <c r="AL1001" s="13"/>
      <c r="AM1001" s="13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</row>
    <row r="1002" spans="21:53" ht="22.9">
      <c r="U1002" s="87"/>
      <c r="V1002" s="202"/>
      <c r="X1002" s="87"/>
      <c r="Y1002" s="87"/>
      <c r="AA1002" s="87"/>
      <c r="AB1002" s="13"/>
      <c r="AC1002" s="245"/>
      <c r="AD1002" s="8"/>
      <c r="AE1002" s="8"/>
      <c r="AF1002" s="12"/>
      <c r="AG1002" s="13"/>
      <c r="AH1002" s="12"/>
      <c r="AI1002" s="13"/>
      <c r="AJ1002" s="12"/>
      <c r="AK1002" s="13"/>
      <c r="AL1002" s="13"/>
      <c r="AM1002" s="13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</row>
    <row r="1003" spans="21:53" ht="22.9">
      <c r="U1003" s="87"/>
      <c r="V1003" s="202"/>
      <c r="X1003" s="87"/>
      <c r="Y1003" s="87"/>
      <c r="AA1003" s="87"/>
      <c r="AB1003" s="13"/>
      <c r="AC1003" s="245"/>
      <c r="AD1003" s="8"/>
      <c r="AE1003" s="8"/>
      <c r="AF1003" s="12"/>
      <c r="AG1003" s="13"/>
      <c r="AH1003" s="12"/>
      <c r="AI1003" s="13"/>
      <c r="AJ1003" s="12"/>
      <c r="AK1003" s="13"/>
      <c r="AL1003" s="13"/>
      <c r="AM1003" s="13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</row>
    <row r="1004" spans="21:53" ht="22.9">
      <c r="U1004" s="87"/>
      <c r="V1004" s="202"/>
      <c r="X1004" s="87"/>
      <c r="Y1004" s="87"/>
      <c r="AA1004" s="87"/>
      <c r="AB1004" s="13"/>
      <c r="AC1004" s="245"/>
      <c r="AD1004" s="8"/>
      <c r="AE1004" s="8"/>
      <c r="AF1004" s="12"/>
      <c r="AG1004" s="13"/>
      <c r="AH1004" s="12"/>
      <c r="AI1004" s="13"/>
      <c r="AJ1004" s="12"/>
      <c r="AK1004" s="13"/>
      <c r="AL1004" s="13"/>
      <c r="AM1004" s="13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</row>
    <row r="1005" spans="21:53" ht="22.9">
      <c r="U1005" s="87"/>
      <c r="V1005" s="202"/>
      <c r="X1005" s="87"/>
      <c r="Y1005" s="87"/>
      <c r="AA1005" s="87"/>
      <c r="AB1005" s="13"/>
      <c r="AC1005" s="245"/>
      <c r="AD1005" s="8"/>
      <c r="AE1005" s="8"/>
      <c r="AF1005" s="12"/>
      <c r="AG1005" s="13"/>
      <c r="AH1005" s="12"/>
      <c r="AI1005" s="13"/>
      <c r="AJ1005" s="12"/>
      <c r="AK1005" s="13"/>
      <c r="AL1005" s="13"/>
      <c r="AM1005" s="13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</row>
    <row r="1006" spans="21:53" ht="22.9">
      <c r="U1006" s="87"/>
      <c r="V1006" s="202"/>
      <c r="X1006" s="87"/>
      <c r="Y1006" s="87"/>
      <c r="AA1006" s="87"/>
      <c r="AB1006" s="13"/>
      <c r="AC1006" s="245"/>
      <c r="AD1006" s="8"/>
      <c r="AE1006" s="8"/>
      <c r="AF1006" s="12"/>
      <c r="AG1006" s="13"/>
      <c r="AH1006" s="12"/>
      <c r="AI1006" s="13"/>
      <c r="AJ1006" s="12"/>
      <c r="AK1006" s="13"/>
      <c r="AL1006" s="13"/>
      <c r="AM1006" s="13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</row>
    <row r="1007" spans="21:53" ht="22.9">
      <c r="U1007" s="87"/>
      <c r="V1007" s="202"/>
      <c r="X1007" s="87"/>
      <c r="Y1007" s="87"/>
      <c r="AA1007" s="87"/>
      <c r="AB1007" s="13"/>
      <c r="AC1007" s="245"/>
      <c r="AD1007" s="8"/>
      <c r="AE1007" s="8"/>
      <c r="AF1007" s="12"/>
      <c r="AG1007" s="13"/>
      <c r="AH1007" s="12"/>
      <c r="AI1007" s="13"/>
      <c r="AJ1007" s="12"/>
      <c r="AK1007" s="13"/>
      <c r="AL1007" s="13"/>
      <c r="AM1007" s="13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</row>
    <row r="1008" spans="21:53" ht="22.9">
      <c r="U1008" s="87"/>
      <c r="V1008" s="202"/>
      <c r="X1008" s="87"/>
      <c r="Y1008" s="87"/>
      <c r="AA1008" s="87"/>
      <c r="AB1008" s="13"/>
      <c r="AC1008" s="245"/>
      <c r="AD1008" s="8"/>
      <c r="AE1008" s="8"/>
      <c r="AF1008" s="12"/>
      <c r="AG1008" s="13"/>
      <c r="AH1008" s="12"/>
      <c r="AI1008" s="13"/>
      <c r="AJ1008" s="12"/>
      <c r="AK1008" s="13"/>
      <c r="AL1008" s="13"/>
      <c r="AM1008" s="13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</row>
    <row r="1009" spans="21:53" ht="22.9">
      <c r="U1009" s="87"/>
      <c r="V1009" s="202"/>
      <c r="X1009" s="87"/>
      <c r="Y1009" s="87"/>
      <c r="AA1009" s="87"/>
      <c r="AB1009" s="13"/>
      <c r="AC1009" s="245"/>
      <c r="AD1009" s="8"/>
      <c r="AE1009" s="8"/>
      <c r="AF1009" s="12"/>
      <c r="AG1009" s="13"/>
      <c r="AH1009" s="12"/>
      <c r="AI1009" s="13"/>
      <c r="AJ1009" s="12"/>
      <c r="AK1009" s="13"/>
      <c r="AL1009" s="13"/>
      <c r="AM1009" s="13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</row>
    <row r="1010" spans="21:53" ht="22.9">
      <c r="U1010" s="87"/>
      <c r="V1010" s="202"/>
      <c r="X1010" s="87"/>
      <c r="Y1010" s="87"/>
      <c r="AA1010" s="87"/>
      <c r="AB1010" s="13"/>
      <c r="AC1010" s="245"/>
      <c r="AD1010" s="8"/>
      <c r="AE1010" s="8"/>
      <c r="AF1010" s="12"/>
      <c r="AG1010" s="13"/>
      <c r="AH1010" s="12"/>
      <c r="AI1010" s="13"/>
      <c r="AJ1010" s="12"/>
      <c r="AK1010" s="13"/>
      <c r="AL1010" s="13"/>
      <c r="AM1010" s="13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</row>
    <row r="1011" spans="21:53" ht="22.9">
      <c r="U1011" s="87"/>
      <c r="V1011" s="202"/>
      <c r="X1011" s="87"/>
      <c r="Y1011" s="87"/>
      <c r="AA1011" s="87"/>
      <c r="AB1011" s="13"/>
      <c r="AC1011" s="245"/>
      <c r="AD1011" s="8"/>
      <c r="AE1011" s="8"/>
      <c r="AF1011" s="12"/>
      <c r="AG1011" s="13"/>
      <c r="AH1011" s="12"/>
      <c r="AI1011" s="13"/>
      <c r="AJ1011" s="12"/>
      <c r="AK1011" s="13"/>
      <c r="AL1011" s="13"/>
      <c r="AM1011" s="13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</row>
    <row r="1012" spans="21:53" ht="22.9">
      <c r="U1012" s="87"/>
      <c r="V1012" s="202"/>
      <c r="X1012" s="87"/>
      <c r="Y1012" s="87"/>
      <c r="AA1012" s="87"/>
      <c r="AB1012" s="13"/>
      <c r="AC1012" s="245"/>
      <c r="AD1012" s="8"/>
      <c r="AE1012" s="8"/>
      <c r="AF1012" s="12"/>
      <c r="AG1012" s="13"/>
      <c r="AH1012" s="12"/>
      <c r="AI1012" s="13"/>
      <c r="AJ1012" s="12"/>
      <c r="AK1012" s="13"/>
      <c r="AL1012" s="13"/>
      <c r="AM1012" s="13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</row>
    <row r="1013" spans="21:53" ht="22.9">
      <c r="U1013" s="87"/>
      <c r="V1013" s="202"/>
      <c r="X1013" s="87"/>
      <c r="Y1013" s="87"/>
      <c r="AA1013" s="87"/>
      <c r="AB1013" s="13"/>
      <c r="AC1013" s="245"/>
      <c r="AD1013" s="8"/>
      <c r="AE1013" s="8"/>
      <c r="AF1013" s="12"/>
      <c r="AG1013" s="13"/>
      <c r="AH1013" s="12"/>
      <c r="AI1013" s="13"/>
      <c r="AJ1013" s="12"/>
      <c r="AK1013" s="13"/>
      <c r="AL1013" s="13"/>
      <c r="AM1013" s="13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</row>
    <row r="1014" spans="21:53" ht="22.9">
      <c r="U1014" s="87"/>
      <c r="V1014" s="202"/>
      <c r="X1014" s="87"/>
      <c r="Y1014" s="87"/>
      <c r="AA1014" s="87"/>
      <c r="AB1014" s="13"/>
      <c r="AC1014" s="245"/>
      <c r="AD1014" s="8"/>
      <c r="AE1014" s="8"/>
      <c r="AF1014" s="12"/>
      <c r="AG1014" s="13"/>
      <c r="AH1014" s="12"/>
      <c r="AI1014" s="13"/>
      <c r="AJ1014" s="12"/>
      <c r="AK1014" s="13"/>
      <c r="AL1014" s="13"/>
      <c r="AM1014" s="13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</row>
    <row r="1015" spans="21:53" ht="22.9">
      <c r="U1015" s="87"/>
      <c r="V1015" s="202"/>
      <c r="X1015" s="87"/>
      <c r="Y1015" s="87"/>
      <c r="AA1015" s="87"/>
      <c r="AB1015" s="13"/>
      <c r="AC1015" s="245"/>
      <c r="AD1015" s="8"/>
      <c r="AE1015" s="8"/>
      <c r="AF1015" s="12"/>
      <c r="AG1015" s="13"/>
      <c r="AH1015" s="12"/>
      <c r="AI1015" s="13"/>
      <c r="AJ1015" s="12"/>
      <c r="AK1015" s="13"/>
      <c r="AL1015" s="13"/>
      <c r="AM1015" s="13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</row>
    <row r="1016" spans="21:53" ht="22.9">
      <c r="U1016" s="87"/>
      <c r="V1016" s="202"/>
      <c r="X1016" s="87"/>
      <c r="Y1016" s="87"/>
      <c r="AA1016" s="87"/>
      <c r="AB1016" s="13"/>
      <c r="AC1016" s="245"/>
      <c r="AD1016" s="8"/>
      <c r="AE1016" s="8"/>
      <c r="AF1016" s="12"/>
      <c r="AG1016" s="13"/>
      <c r="AH1016" s="12"/>
      <c r="AI1016" s="13"/>
      <c r="AJ1016" s="12"/>
      <c r="AK1016" s="13"/>
      <c r="AL1016" s="13"/>
      <c r="AM1016" s="13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</row>
    <row r="1017" spans="21:53" ht="22.9">
      <c r="U1017" s="87"/>
      <c r="V1017" s="202"/>
      <c r="X1017" s="87"/>
      <c r="Y1017" s="87"/>
      <c r="AA1017" s="87"/>
      <c r="AB1017" s="13"/>
      <c r="AC1017" s="245"/>
      <c r="AD1017" s="8"/>
      <c r="AE1017" s="8"/>
      <c r="AF1017" s="12"/>
      <c r="AG1017" s="13"/>
      <c r="AH1017" s="12"/>
      <c r="AI1017" s="13"/>
      <c r="AJ1017" s="12"/>
      <c r="AK1017" s="13"/>
      <c r="AL1017" s="13"/>
      <c r="AM1017" s="13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</row>
    <row r="1018" spans="21:53" ht="22.9">
      <c r="U1018" s="87"/>
      <c r="V1018" s="202"/>
      <c r="X1018" s="87"/>
      <c r="Y1018" s="87"/>
      <c r="AA1018" s="87"/>
      <c r="AB1018" s="13"/>
      <c r="AC1018" s="245"/>
      <c r="AD1018" s="8"/>
      <c r="AE1018" s="8"/>
      <c r="AF1018" s="12"/>
      <c r="AG1018" s="13"/>
      <c r="AH1018" s="12"/>
      <c r="AI1018" s="13"/>
      <c r="AJ1018" s="12"/>
      <c r="AK1018" s="13"/>
      <c r="AL1018" s="13"/>
      <c r="AM1018" s="13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</row>
    <row r="1019" spans="21:53" ht="22.9">
      <c r="U1019" s="87"/>
      <c r="V1019" s="202"/>
      <c r="X1019" s="87"/>
      <c r="Y1019" s="87"/>
      <c r="AA1019" s="87"/>
      <c r="AB1019" s="13"/>
      <c r="AC1019" s="245"/>
      <c r="AD1019" s="8"/>
      <c r="AE1019" s="8"/>
      <c r="AF1019" s="12"/>
      <c r="AG1019" s="13"/>
      <c r="AH1019" s="12"/>
      <c r="AI1019" s="13"/>
      <c r="AJ1019" s="12"/>
      <c r="AK1019" s="13"/>
      <c r="AL1019" s="13"/>
      <c r="AM1019" s="13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</row>
    <row r="1020" spans="21:53" ht="22.9">
      <c r="U1020" s="87"/>
      <c r="V1020" s="202"/>
      <c r="X1020" s="87"/>
      <c r="Y1020" s="87"/>
      <c r="AA1020" s="87"/>
      <c r="AB1020" s="13"/>
      <c r="AC1020" s="245"/>
      <c r="AD1020" s="8"/>
      <c r="AE1020" s="8"/>
      <c r="AF1020" s="12"/>
      <c r="AG1020" s="13"/>
      <c r="AH1020" s="12"/>
      <c r="AI1020" s="13"/>
      <c r="AJ1020" s="12"/>
      <c r="AK1020" s="13"/>
      <c r="AL1020" s="13"/>
      <c r="AM1020" s="13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</row>
    <row r="1021" spans="21:53" ht="22.9">
      <c r="U1021" s="87"/>
      <c r="V1021" s="202"/>
      <c r="X1021" s="87"/>
      <c r="Y1021" s="87"/>
      <c r="AA1021" s="87"/>
      <c r="AB1021" s="13"/>
      <c r="AC1021" s="245"/>
      <c r="AD1021" s="8"/>
      <c r="AE1021" s="8"/>
      <c r="AF1021" s="12"/>
      <c r="AG1021" s="13"/>
      <c r="AH1021" s="12"/>
      <c r="AI1021" s="13"/>
      <c r="AJ1021" s="12"/>
      <c r="AK1021" s="13"/>
      <c r="AL1021" s="13"/>
      <c r="AM1021" s="13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</row>
    <row r="1022" spans="21:53" ht="22.9">
      <c r="U1022" s="87"/>
      <c r="V1022" s="202"/>
      <c r="X1022" s="87"/>
      <c r="Y1022" s="87"/>
      <c r="AA1022" s="87"/>
      <c r="AB1022" s="13"/>
      <c r="AC1022" s="245"/>
      <c r="AD1022" s="8"/>
      <c r="AE1022" s="8"/>
      <c r="AF1022" s="12"/>
      <c r="AG1022" s="13"/>
      <c r="AH1022" s="12"/>
      <c r="AI1022" s="13"/>
      <c r="AJ1022" s="12"/>
      <c r="AK1022" s="13"/>
      <c r="AL1022" s="13"/>
      <c r="AM1022" s="13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</row>
    <row r="1023" spans="21:53" ht="22.9">
      <c r="U1023" s="87"/>
      <c r="V1023" s="202"/>
      <c r="X1023" s="87"/>
      <c r="Y1023" s="87"/>
      <c r="AA1023" s="87"/>
      <c r="AB1023" s="13"/>
      <c r="AC1023" s="245"/>
      <c r="AD1023" s="8"/>
      <c r="AE1023" s="8"/>
      <c r="AF1023" s="12"/>
      <c r="AG1023" s="13"/>
      <c r="AH1023" s="12"/>
      <c r="AI1023" s="13"/>
      <c r="AJ1023" s="12"/>
      <c r="AK1023" s="13"/>
      <c r="AL1023" s="13"/>
      <c r="AM1023" s="13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</row>
    <row r="1024" spans="21:53" ht="22.9">
      <c r="U1024" s="87"/>
      <c r="V1024" s="202"/>
      <c r="X1024" s="87"/>
      <c r="Y1024" s="87"/>
      <c r="AA1024" s="87"/>
      <c r="AB1024" s="13"/>
      <c r="AC1024" s="245"/>
      <c r="AD1024" s="8"/>
      <c r="AE1024" s="8"/>
      <c r="AF1024" s="12"/>
      <c r="AG1024" s="13"/>
      <c r="AH1024" s="12"/>
      <c r="AI1024" s="13"/>
      <c r="AJ1024" s="12"/>
      <c r="AK1024" s="13"/>
      <c r="AL1024" s="13"/>
      <c r="AM1024" s="13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</row>
    <row r="1025" spans="21:53" ht="22.9">
      <c r="U1025" s="87"/>
      <c r="V1025" s="202"/>
      <c r="X1025" s="87"/>
      <c r="Y1025" s="87"/>
      <c r="AA1025" s="87"/>
      <c r="AB1025" s="13"/>
      <c r="AC1025" s="245"/>
      <c r="AD1025" s="8"/>
      <c r="AE1025" s="8"/>
      <c r="AF1025" s="12"/>
      <c r="AG1025" s="13"/>
      <c r="AH1025" s="12"/>
      <c r="AI1025" s="13"/>
      <c r="AJ1025" s="12"/>
      <c r="AK1025" s="13"/>
      <c r="AL1025" s="13"/>
      <c r="AM1025" s="13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</row>
    <row r="1026" spans="21:53" ht="22.9">
      <c r="U1026" s="87"/>
      <c r="V1026" s="202"/>
      <c r="X1026" s="87"/>
      <c r="Y1026" s="87"/>
      <c r="AA1026" s="87"/>
      <c r="AB1026" s="13"/>
      <c r="AC1026" s="245"/>
      <c r="AD1026" s="8"/>
      <c r="AE1026" s="8"/>
      <c r="AF1026" s="12"/>
      <c r="AG1026" s="13"/>
      <c r="AH1026" s="12"/>
      <c r="AI1026" s="13"/>
      <c r="AJ1026" s="12"/>
      <c r="AK1026" s="13"/>
      <c r="AL1026" s="13"/>
      <c r="AM1026" s="13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</row>
    <row r="1027" spans="21:53" ht="22.9">
      <c r="U1027" s="87"/>
      <c r="V1027" s="202"/>
      <c r="X1027" s="87"/>
      <c r="Y1027" s="87"/>
      <c r="AA1027" s="87"/>
      <c r="AB1027" s="13"/>
      <c r="AC1027" s="245"/>
      <c r="AD1027" s="8"/>
      <c r="AE1027" s="8"/>
      <c r="AF1027" s="12"/>
      <c r="AG1027" s="13"/>
      <c r="AH1027" s="12"/>
      <c r="AI1027" s="13"/>
      <c r="AJ1027" s="12"/>
      <c r="AK1027" s="13"/>
      <c r="AL1027" s="13"/>
      <c r="AM1027" s="13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</row>
    <row r="1028" spans="21:53" ht="22.9">
      <c r="U1028" s="87"/>
      <c r="V1028" s="202"/>
      <c r="X1028" s="87"/>
      <c r="Y1028" s="87"/>
      <c r="AA1028" s="87"/>
      <c r="AB1028" s="13"/>
      <c r="AC1028" s="245"/>
      <c r="AD1028" s="8"/>
      <c r="AE1028" s="8"/>
      <c r="AF1028" s="12"/>
      <c r="AG1028" s="13"/>
      <c r="AH1028" s="12"/>
      <c r="AI1028" s="13"/>
      <c r="AJ1028" s="12"/>
      <c r="AK1028" s="13"/>
      <c r="AL1028" s="13"/>
      <c r="AM1028" s="13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</row>
    <row r="1029" spans="21:53" ht="22.9">
      <c r="U1029" s="87"/>
      <c r="V1029" s="202"/>
      <c r="X1029" s="87"/>
      <c r="Y1029" s="87"/>
      <c r="AA1029" s="87"/>
      <c r="AB1029" s="13"/>
      <c r="AC1029" s="245"/>
      <c r="AD1029" s="8"/>
      <c r="AE1029" s="8"/>
      <c r="AF1029" s="12"/>
      <c r="AG1029" s="13"/>
      <c r="AH1029" s="12"/>
      <c r="AI1029" s="13"/>
      <c r="AJ1029" s="12"/>
      <c r="AK1029" s="13"/>
      <c r="AL1029" s="13"/>
      <c r="AM1029" s="13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</row>
    <row r="1030" spans="21:53" ht="22.9">
      <c r="U1030" s="87"/>
      <c r="V1030" s="202"/>
      <c r="X1030" s="87"/>
      <c r="Y1030" s="87"/>
      <c r="AA1030" s="87"/>
      <c r="AB1030" s="13"/>
      <c r="AC1030" s="245"/>
      <c r="AD1030" s="8"/>
      <c r="AE1030" s="8"/>
      <c r="AF1030" s="12"/>
      <c r="AG1030" s="13"/>
      <c r="AH1030" s="12"/>
      <c r="AI1030" s="13"/>
      <c r="AJ1030" s="12"/>
      <c r="AK1030" s="13"/>
      <c r="AL1030" s="13"/>
      <c r="AM1030" s="13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</row>
    <row r="1031" spans="21:53" ht="22.9">
      <c r="U1031" s="87"/>
      <c r="V1031" s="202"/>
      <c r="X1031" s="87"/>
      <c r="Y1031" s="87"/>
      <c r="AA1031" s="87"/>
      <c r="AB1031" s="13"/>
      <c r="AC1031" s="245"/>
      <c r="AD1031" s="8"/>
      <c r="AE1031" s="8"/>
      <c r="AF1031" s="12"/>
      <c r="AG1031" s="13"/>
      <c r="AH1031" s="12"/>
      <c r="AI1031" s="13"/>
      <c r="AJ1031" s="12"/>
      <c r="AK1031" s="13"/>
      <c r="AL1031" s="13"/>
      <c r="AM1031" s="13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</row>
    <row r="1032" spans="21:53" ht="22.9">
      <c r="U1032" s="87"/>
      <c r="V1032" s="202"/>
      <c r="X1032" s="87"/>
      <c r="Y1032" s="87"/>
      <c r="AA1032" s="87"/>
      <c r="AB1032" s="13"/>
      <c r="AC1032" s="245"/>
      <c r="AD1032" s="8"/>
      <c r="AE1032" s="8"/>
      <c r="AF1032" s="12"/>
      <c r="AG1032" s="13"/>
      <c r="AH1032" s="12"/>
      <c r="AI1032" s="13"/>
      <c r="AJ1032" s="12"/>
      <c r="AK1032" s="13"/>
      <c r="AL1032" s="13"/>
      <c r="AM1032" s="13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</row>
    <row r="1033" spans="21:53" ht="22.9">
      <c r="U1033" s="87"/>
      <c r="V1033" s="202"/>
      <c r="X1033" s="87"/>
      <c r="Y1033" s="87"/>
      <c r="AA1033" s="87"/>
      <c r="AB1033" s="13"/>
      <c r="AC1033" s="245"/>
      <c r="AD1033" s="8"/>
      <c r="AE1033" s="8"/>
      <c r="AF1033" s="12"/>
      <c r="AG1033" s="13"/>
      <c r="AH1033" s="12"/>
      <c r="AI1033" s="13"/>
      <c r="AJ1033" s="12"/>
      <c r="AK1033" s="13"/>
      <c r="AL1033" s="13"/>
      <c r="AM1033" s="13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</row>
    <row r="1034" spans="21:53" ht="22.9">
      <c r="U1034" s="87"/>
      <c r="V1034" s="202"/>
      <c r="X1034" s="87"/>
      <c r="Y1034" s="87"/>
      <c r="AA1034" s="87"/>
      <c r="AB1034" s="13"/>
      <c r="AC1034" s="245"/>
      <c r="AD1034" s="8"/>
      <c r="AE1034" s="8"/>
      <c r="AF1034" s="12"/>
      <c r="AG1034" s="13"/>
      <c r="AH1034" s="12"/>
      <c r="AI1034" s="13"/>
      <c r="AJ1034" s="12"/>
      <c r="AK1034" s="13"/>
      <c r="AL1034" s="13"/>
      <c r="AM1034" s="13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</row>
    <row r="1035" spans="21:53" ht="22.9">
      <c r="U1035" s="87"/>
      <c r="V1035" s="202"/>
      <c r="X1035" s="87"/>
      <c r="Y1035" s="87"/>
      <c r="AA1035" s="87"/>
      <c r="AB1035" s="13"/>
      <c r="AC1035" s="245"/>
      <c r="AD1035" s="8"/>
      <c r="AE1035" s="8"/>
      <c r="AF1035" s="12"/>
      <c r="AG1035" s="13"/>
      <c r="AH1035" s="12"/>
      <c r="AI1035" s="13"/>
      <c r="AJ1035" s="12"/>
      <c r="AK1035" s="13"/>
      <c r="AL1035" s="13"/>
      <c r="AM1035" s="13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</row>
    <row r="1036" spans="21:53" ht="22.9">
      <c r="U1036" s="87"/>
      <c r="V1036" s="202"/>
      <c r="X1036" s="87"/>
      <c r="Y1036" s="87"/>
      <c r="AA1036" s="87"/>
      <c r="AB1036" s="13"/>
      <c r="AC1036" s="245"/>
      <c r="AD1036" s="8"/>
      <c r="AE1036" s="8"/>
      <c r="AF1036" s="12"/>
      <c r="AG1036" s="13"/>
      <c r="AH1036" s="12"/>
      <c r="AI1036" s="13"/>
      <c r="AJ1036" s="12"/>
      <c r="AK1036" s="13"/>
      <c r="AL1036" s="13"/>
      <c r="AM1036" s="13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</row>
    <row r="1037" spans="21:53" ht="22.9">
      <c r="U1037" s="87"/>
      <c r="V1037" s="202"/>
      <c r="X1037" s="87"/>
      <c r="Y1037" s="87"/>
      <c r="AA1037" s="87"/>
      <c r="AB1037" s="13"/>
      <c r="AC1037" s="245"/>
      <c r="AD1037" s="8"/>
      <c r="AE1037" s="8"/>
      <c r="AF1037" s="12"/>
      <c r="AG1037" s="13"/>
      <c r="AH1037" s="12"/>
      <c r="AI1037" s="13"/>
      <c r="AJ1037" s="12"/>
      <c r="AK1037" s="13"/>
      <c r="AL1037" s="13"/>
      <c r="AM1037" s="13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</row>
    <row r="1038" spans="21:53" ht="22.9">
      <c r="U1038" s="87"/>
      <c r="V1038" s="202"/>
      <c r="X1038" s="87"/>
      <c r="Y1038" s="87"/>
      <c r="AA1038" s="87"/>
      <c r="AB1038" s="13"/>
      <c r="AC1038" s="245"/>
      <c r="AD1038" s="8"/>
      <c r="AE1038" s="8"/>
      <c r="AF1038" s="12"/>
      <c r="AG1038" s="13"/>
      <c r="AH1038" s="12"/>
      <c r="AI1038" s="13"/>
      <c r="AJ1038" s="12"/>
      <c r="AK1038" s="13"/>
      <c r="AL1038" s="13"/>
      <c r="AM1038" s="13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</row>
    <row r="1039" spans="21:53" ht="22.9">
      <c r="U1039" s="87"/>
      <c r="V1039" s="202"/>
      <c r="X1039" s="87"/>
      <c r="Y1039" s="87"/>
      <c r="AA1039" s="87"/>
      <c r="AB1039" s="13"/>
      <c r="AC1039" s="245"/>
      <c r="AD1039" s="8"/>
      <c r="AE1039" s="8"/>
      <c r="AF1039" s="12"/>
      <c r="AG1039" s="13"/>
      <c r="AH1039" s="12"/>
      <c r="AI1039" s="13"/>
      <c r="AJ1039" s="12"/>
      <c r="AK1039" s="13"/>
      <c r="AL1039" s="13"/>
      <c r="AM1039" s="13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</row>
    <row r="1040" spans="21:53" ht="22.9">
      <c r="U1040" s="87"/>
      <c r="V1040" s="202"/>
      <c r="X1040" s="87"/>
      <c r="Y1040" s="87"/>
      <c r="AA1040" s="87"/>
      <c r="AB1040" s="13"/>
      <c r="AC1040" s="245"/>
      <c r="AD1040" s="8"/>
      <c r="AE1040" s="8"/>
      <c r="AF1040" s="12"/>
      <c r="AG1040" s="13"/>
      <c r="AH1040" s="12"/>
      <c r="AI1040" s="13"/>
      <c r="AJ1040" s="12"/>
      <c r="AK1040" s="13"/>
      <c r="AL1040" s="13"/>
      <c r="AM1040" s="13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  <c r="BA1040" s="8"/>
    </row>
    <row r="1041" spans="21:53" ht="22.9">
      <c r="U1041" s="87"/>
      <c r="V1041" s="202"/>
      <c r="X1041" s="87"/>
      <c r="Y1041" s="87"/>
      <c r="AA1041" s="87"/>
      <c r="AB1041" s="13"/>
      <c r="AC1041" s="245"/>
      <c r="AD1041" s="8"/>
      <c r="AE1041" s="8"/>
      <c r="AF1041" s="12"/>
      <c r="AG1041" s="13"/>
      <c r="AH1041" s="12"/>
      <c r="AI1041" s="13"/>
      <c r="AJ1041" s="12"/>
      <c r="AK1041" s="13"/>
      <c r="AL1041" s="13"/>
      <c r="AM1041" s="13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  <c r="BA1041" s="8"/>
    </row>
    <row r="1042" spans="21:53" ht="22.9">
      <c r="U1042" s="87"/>
      <c r="V1042" s="202"/>
      <c r="X1042" s="87"/>
      <c r="Y1042" s="87"/>
      <c r="AA1042" s="87"/>
      <c r="AB1042" s="13"/>
      <c r="AC1042" s="245"/>
      <c r="AD1042" s="8"/>
      <c r="AE1042" s="8"/>
      <c r="AF1042" s="12"/>
      <c r="AG1042" s="13"/>
      <c r="AH1042" s="12"/>
      <c r="AI1042" s="13"/>
      <c r="AJ1042" s="12"/>
      <c r="AK1042" s="13"/>
      <c r="AL1042" s="13"/>
      <c r="AM1042" s="13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  <c r="BA1042" s="8"/>
    </row>
    <row r="1043" spans="21:53" ht="22.9">
      <c r="U1043" s="87"/>
      <c r="V1043" s="202"/>
      <c r="X1043" s="87"/>
      <c r="Y1043" s="87"/>
      <c r="AA1043" s="87"/>
      <c r="AB1043" s="13"/>
      <c r="AC1043" s="245"/>
      <c r="AD1043" s="8"/>
      <c r="AE1043" s="8"/>
      <c r="AF1043" s="12"/>
      <c r="AG1043" s="13"/>
      <c r="AH1043" s="12"/>
      <c r="AI1043" s="13"/>
      <c r="AJ1043" s="12"/>
      <c r="AK1043" s="13"/>
      <c r="AL1043" s="13"/>
      <c r="AM1043" s="13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  <c r="BA1043" s="8"/>
    </row>
    <row r="1044" spans="21:53" ht="22.9">
      <c r="U1044" s="87"/>
      <c r="V1044" s="202"/>
      <c r="X1044" s="87"/>
      <c r="Y1044" s="87"/>
      <c r="AA1044" s="87"/>
      <c r="AB1044" s="13"/>
      <c r="AC1044" s="245"/>
      <c r="AD1044" s="8"/>
      <c r="AE1044" s="8"/>
      <c r="AF1044" s="12"/>
      <c r="AG1044" s="13"/>
      <c r="AH1044" s="12"/>
      <c r="AI1044" s="13"/>
      <c r="AJ1044" s="12"/>
      <c r="AK1044" s="13"/>
      <c r="AL1044" s="13"/>
      <c r="AM1044" s="13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  <c r="BA1044" s="8"/>
    </row>
    <row r="1045" spans="21:53" ht="22.9">
      <c r="U1045" s="87"/>
      <c r="V1045" s="202"/>
      <c r="X1045" s="87"/>
      <c r="Y1045" s="87"/>
      <c r="AA1045" s="87"/>
      <c r="AB1045" s="13"/>
      <c r="AC1045" s="245"/>
      <c r="AD1045" s="8"/>
      <c r="AE1045" s="8"/>
      <c r="AF1045" s="12"/>
      <c r="AG1045" s="13"/>
      <c r="AH1045" s="12"/>
      <c r="AI1045" s="13"/>
      <c r="AJ1045" s="12"/>
      <c r="AK1045" s="13"/>
      <c r="AL1045" s="13"/>
      <c r="AM1045" s="13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  <c r="BA1045" s="8"/>
    </row>
    <row r="1046" spans="21:53" ht="22.9">
      <c r="U1046" s="87"/>
      <c r="V1046" s="202"/>
      <c r="X1046" s="87"/>
      <c r="Y1046" s="87"/>
      <c r="AA1046" s="87"/>
      <c r="AB1046" s="13"/>
      <c r="AC1046" s="245"/>
      <c r="AD1046" s="8"/>
      <c r="AE1046" s="8"/>
      <c r="AF1046" s="12"/>
      <c r="AG1046" s="13"/>
      <c r="AH1046" s="12"/>
      <c r="AI1046" s="13"/>
      <c r="AJ1046" s="12"/>
      <c r="AK1046" s="13"/>
      <c r="AL1046" s="13"/>
      <c r="AM1046" s="13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  <c r="BA1046" s="8"/>
    </row>
    <row r="1047" spans="21:53" ht="22.9">
      <c r="U1047" s="87"/>
      <c r="V1047" s="202"/>
      <c r="X1047" s="87"/>
      <c r="Y1047" s="87"/>
      <c r="AA1047" s="87"/>
      <c r="AB1047" s="13"/>
      <c r="AC1047" s="245"/>
      <c r="AD1047" s="8"/>
      <c r="AE1047" s="8"/>
      <c r="AF1047" s="12"/>
      <c r="AG1047" s="13"/>
      <c r="AH1047" s="12"/>
      <c r="AI1047" s="13"/>
      <c r="AJ1047" s="12"/>
      <c r="AK1047" s="13"/>
      <c r="AL1047" s="13"/>
      <c r="AM1047" s="13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  <c r="BA1047" s="8"/>
    </row>
    <row r="1048" spans="21:53" ht="22.9">
      <c r="U1048" s="87"/>
      <c r="V1048" s="202"/>
      <c r="X1048" s="87"/>
      <c r="Y1048" s="87"/>
      <c r="AA1048" s="87"/>
      <c r="AB1048" s="13"/>
      <c r="AC1048" s="245"/>
      <c r="AD1048" s="8"/>
      <c r="AE1048" s="8"/>
      <c r="AF1048" s="12"/>
      <c r="AG1048" s="13"/>
      <c r="AH1048" s="12"/>
      <c r="AI1048" s="13"/>
      <c r="AJ1048" s="12"/>
      <c r="AK1048" s="13"/>
      <c r="AL1048" s="13"/>
      <c r="AM1048" s="13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  <c r="BA1048" s="8"/>
    </row>
    <row r="1049" spans="21:53" ht="22.9">
      <c r="U1049" s="87"/>
      <c r="V1049" s="202"/>
      <c r="X1049" s="87"/>
      <c r="Y1049" s="87"/>
      <c r="AA1049" s="87"/>
      <c r="AB1049" s="13"/>
      <c r="AC1049" s="245"/>
      <c r="AD1049" s="8"/>
      <c r="AE1049" s="8"/>
      <c r="AF1049" s="12"/>
      <c r="AG1049" s="13"/>
      <c r="AH1049" s="12"/>
      <c r="AI1049" s="13"/>
      <c r="AJ1049" s="12"/>
      <c r="AK1049" s="13"/>
      <c r="AL1049" s="13"/>
      <c r="AM1049" s="13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  <c r="BA1049" s="8"/>
    </row>
    <row r="1050" spans="21:53" ht="22.9">
      <c r="U1050" s="87"/>
      <c r="V1050" s="202"/>
      <c r="X1050" s="87"/>
      <c r="Y1050" s="87"/>
      <c r="AA1050" s="87"/>
      <c r="AB1050" s="13"/>
      <c r="AC1050" s="245"/>
      <c r="AD1050" s="8"/>
      <c r="AE1050" s="8"/>
      <c r="AF1050" s="12"/>
      <c r="AG1050" s="13"/>
      <c r="AH1050" s="12"/>
      <c r="AI1050" s="13"/>
      <c r="AJ1050" s="12"/>
      <c r="AK1050" s="13"/>
      <c r="AL1050" s="13"/>
      <c r="AM1050" s="13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  <c r="BA1050" s="8"/>
    </row>
    <row r="1051" spans="21:53" ht="22.9">
      <c r="U1051" s="87"/>
      <c r="V1051" s="202"/>
      <c r="X1051" s="87"/>
      <c r="Y1051" s="87"/>
      <c r="AA1051" s="87"/>
      <c r="AB1051" s="13"/>
      <c r="AC1051" s="245"/>
      <c r="AD1051" s="8"/>
      <c r="AE1051" s="8"/>
      <c r="AF1051" s="12"/>
      <c r="AG1051" s="13"/>
      <c r="AH1051" s="12"/>
      <c r="AI1051" s="13"/>
      <c r="AJ1051" s="12"/>
      <c r="AK1051" s="13"/>
      <c r="AL1051" s="13"/>
      <c r="AM1051" s="13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  <c r="BA1051" s="8"/>
    </row>
    <row r="1052" spans="21:53" ht="22.9">
      <c r="U1052" s="87"/>
      <c r="V1052" s="202"/>
      <c r="X1052" s="87"/>
      <c r="Y1052" s="87"/>
      <c r="AA1052" s="87"/>
      <c r="AB1052" s="13"/>
      <c r="AC1052" s="245"/>
      <c r="AD1052" s="8"/>
      <c r="AE1052" s="8"/>
      <c r="AF1052" s="12"/>
      <c r="AG1052" s="13"/>
      <c r="AH1052" s="12"/>
      <c r="AI1052" s="13"/>
      <c r="AJ1052" s="12"/>
      <c r="AK1052" s="13"/>
      <c r="AL1052" s="13"/>
      <c r="AM1052" s="13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  <c r="BA1052" s="8"/>
    </row>
    <row r="1053" spans="21:53" ht="22.9">
      <c r="U1053" s="87"/>
      <c r="V1053" s="202"/>
      <c r="X1053" s="87"/>
      <c r="Y1053" s="87"/>
      <c r="AA1053" s="87"/>
      <c r="AB1053" s="13"/>
      <c r="AC1053" s="245"/>
      <c r="AD1053" s="8"/>
      <c r="AE1053" s="8"/>
      <c r="AF1053" s="12"/>
      <c r="AG1053" s="13"/>
      <c r="AH1053" s="12"/>
      <c r="AI1053" s="13"/>
      <c r="AJ1053" s="12"/>
      <c r="AK1053" s="13"/>
      <c r="AL1053" s="13"/>
      <c r="AM1053" s="13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  <c r="BA1053" s="8"/>
    </row>
    <row r="1054" spans="21:53" ht="22.9">
      <c r="U1054" s="87"/>
      <c r="V1054" s="202"/>
      <c r="X1054" s="87"/>
      <c r="Y1054" s="87"/>
      <c r="AA1054" s="87"/>
      <c r="AB1054" s="13"/>
      <c r="AC1054" s="245"/>
      <c r="AD1054" s="8"/>
      <c r="AE1054" s="8"/>
      <c r="AF1054" s="12"/>
      <c r="AG1054" s="13"/>
      <c r="AH1054" s="12"/>
      <c r="AI1054" s="13"/>
      <c r="AJ1054" s="12"/>
      <c r="AK1054" s="13"/>
      <c r="AL1054" s="13"/>
      <c r="AM1054" s="13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  <c r="BA1054" s="8"/>
    </row>
    <row r="1055" spans="21:53" ht="22.9">
      <c r="U1055" s="87"/>
      <c r="V1055" s="202"/>
      <c r="X1055" s="87"/>
      <c r="Y1055" s="87"/>
      <c r="AA1055" s="87"/>
      <c r="AB1055" s="13"/>
      <c r="AC1055" s="245"/>
      <c r="AD1055" s="8"/>
      <c r="AE1055" s="8"/>
      <c r="AF1055" s="12"/>
      <c r="AG1055" s="13"/>
      <c r="AH1055" s="12"/>
      <c r="AI1055" s="13"/>
      <c r="AJ1055" s="12"/>
      <c r="AK1055" s="13"/>
      <c r="AL1055" s="13"/>
      <c r="AM1055" s="13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  <c r="BA1055" s="8"/>
    </row>
    <row r="1056" spans="21:53" ht="22.9">
      <c r="U1056" s="87"/>
      <c r="V1056" s="202"/>
      <c r="X1056" s="87"/>
      <c r="Y1056" s="87"/>
      <c r="AA1056" s="87"/>
      <c r="AB1056" s="13"/>
      <c r="AC1056" s="245"/>
      <c r="AD1056" s="8"/>
      <c r="AE1056" s="8"/>
      <c r="AF1056" s="12"/>
      <c r="AG1056" s="13"/>
      <c r="AH1056" s="12"/>
      <c r="AI1056" s="13"/>
      <c r="AJ1056" s="12"/>
      <c r="AK1056" s="13"/>
      <c r="AL1056" s="13"/>
      <c r="AM1056" s="13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  <c r="AZ1056" s="8"/>
      <c r="BA1056" s="8"/>
    </row>
    <row r="1057" spans="21:53" ht="22.9">
      <c r="U1057" s="87"/>
      <c r="V1057" s="202"/>
      <c r="X1057" s="87"/>
      <c r="Y1057" s="87"/>
      <c r="AA1057" s="87"/>
      <c r="AB1057" s="13"/>
      <c r="AC1057" s="245"/>
      <c r="AD1057" s="8"/>
      <c r="AE1057" s="8"/>
      <c r="AF1057" s="12"/>
      <c r="AG1057" s="13"/>
      <c r="AH1057" s="12"/>
      <c r="AI1057" s="13"/>
      <c r="AJ1057" s="12"/>
      <c r="AK1057" s="13"/>
      <c r="AL1057" s="13"/>
      <c r="AM1057" s="13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  <c r="AZ1057" s="8"/>
      <c r="BA1057" s="8"/>
    </row>
    <row r="1058" spans="21:53" ht="22.9">
      <c r="U1058" s="87"/>
      <c r="V1058" s="202"/>
      <c r="X1058" s="87"/>
      <c r="Y1058" s="87"/>
      <c r="AA1058" s="87"/>
      <c r="AB1058" s="13"/>
      <c r="AC1058" s="245"/>
      <c r="AD1058" s="8"/>
      <c r="AE1058" s="8"/>
      <c r="AF1058" s="12"/>
      <c r="AG1058" s="13"/>
      <c r="AH1058" s="12"/>
      <c r="AI1058" s="13"/>
      <c r="AJ1058" s="12"/>
      <c r="AK1058" s="13"/>
      <c r="AL1058" s="13"/>
      <c r="AM1058" s="13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  <c r="AZ1058" s="8"/>
      <c r="BA1058" s="8"/>
    </row>
    <row r="1059" spans="21:53" ht="22.9">
      <c r="U1059" s="87"/>
      <c r="V1059" s="202"/>
      <c r="X1059" s="87"/>
      <c r="Y1059" s="87"/>
      <c r="AA1059" s="87"/>
      <c r="AB1059" s="13"/>
      <c r="AC1059" s="245"/>
      <c r="AD1059" s="8"/>
      <c r="AE1059" s="8"/>
      <c r="AF1059" s="12"/>
      <c r="AG1059" s="13"/>
      <c r="AH1059" s="12"/>
      <c r="AI1059" s="13"/>
      <c r="AJ1059" s="12"/>
      <c r="AK1059" s="13"/>
      <c r="AL1059" s="13"/>
      <c r="AM1059" s="13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  <c r="AZ1059" s="8"/>
      <c r="BA1059" s="8"/>
    </row>
    <row r="1060" spans="21:53" ht="22.9">
      <c r="U1060" s="87"/>
      <c r="V1060" s="202"/>
      <c r="X1060" s="87"/>
      <c r="Y1060" s="87"/>
      <c r="AA1060" s="87"/>
      <c r="AB1060" s="13"/>
      <c r="AC1060" s="245"/>
      <c r="AD1060" s="8"/>
      <c r="AE1060" s="8"/>
      <c r="AF1060" s="12"/>
      <c r="AG1060" s="13"/>
      <c r="AH1060" s="12"/>
      <c r="AI1060" s="13"/>
      <c r="AJ1060" s="12"/>
      <c r="AK1060" s="13"/>
      <c r="AL1060" s="13"/>
      <c r="AM1060" s="13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  <c r="AZ1060" s="8"/>
      <c r="BA1060" s="8"/>
    </row>
    <row r="1061" spans="21:53" ht="22.9">
      <c r="U1061" s="87"/>
      <c r="V1061" s="202"/>
      <c r="X1061" s="87"/>
      <c r="Y1061" s="87"/>
      <c r="AA1061" s="87"/>
      <c r="AB1061" s="13"/>
      <c r="AC1061" s="245"/>
      <c r="AD1061" s="8"/>
      <c r="AE1061" s="8"/>
      <c r="AF1061" s="12"/>
      <c r="AG1061" s="13"/>
      <c r="AH1061" s="12"/>
      <c r="AI1061" s="13"/>
      <c r="AJ1061" s="12"/>
      <c r="AK1061" s="13"/>
      <c r="AL1061" s="13"/>
      <c r="AM1061" s="13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  <c r="AZ1061" s="8"/>
      <c r="BA1061" s="8"/>
    </row>
    <row r="1062" spans="21:53" ht="22.9">
      <c r="U1062" s="87"/>
      <c r="V1062" s="202"/>
      <c r="X1062" s="87"/>
      <c r="Y1062" s="87"/>
      <c r="AA1062" s="87"/>
      <c r="AB1062" s="13"/>
      <c r="AC1062" s="245"/>
      <c r="AD1062" s="8"/>
      <c r="AE1062" s="8"/>
      <c r="AF1062" s="12"/>
      <c r="AG1062" s="13"/>
      <c r="AH1062" s="12"/>
      <c r="AI1062" s="13"/>
      <c r="AJ1062" s="12"/>
      <c r="AK1062" s="13"/>
      <c r="AL1062" s="13"/>
      <c r="AM1062" s="13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  <c r="AZ1062" s="8"/>
      <c r="BA1062" s="8"/>
    </row>
    <row r="1063" spans="21:53" ht="22.9">
      <c r="U1063" s="87"/>
      <c r="V1063" s="202"/>
      <c r="X1063" s="87"/>
      <c r="Y1063" s="87"/>
      <c r="AA1063" s="87"/>
      <c r="AB1063" s="13"/>
      <c r="AC1063" s="245"/>
      <c r="AD1063" s="8"/>
      <c r="AE1063" s="8"/>
      <c r="AF1063" s="12"/>
      <c r="AG1063" s="13"/>
      <c r="AH1063" s="12"/>
      <c r="AI1063" s="13"/>
      <c r="AJ1063" s="12"/>
      <c r="AK1063" s="13"/>
      <c r="AL1063" s="13"/>
      <c r="AM1063" s="13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8"/>
      <c r="BA1063" s="8"/>
    </row>
    <row r="1064" spans="21:53" ht="22.9">
      <c r="U1064" s="87"/>
      <c r="V1064" s="202"/>
      <c r="X1064" s="87"/>
      <c r="Y1064" s="87"/>
      <c r="AA1064" s="87"/>
      <c r="AB1064" s="13"/>
      <c r="AC1064" s="245"/>
      <c r="AD1064" s="8"/>
      <c r="AE1064" s="8"/>
      <c r="AF1064" s="12"/>
      <c r="AG1064" s="13"/>
      <c r="AH1064" s="12"/>
      <c r="AI1064" s="13"/>
      <c r="AJ1064" s="12"/>
      <c r="AK1064" s="13"/>
      <c r="AL1064" s="13"/>
      <c r="AM1064" s="13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  <c r="AZ1064" s="8"/>
      <c r="BA1064" s="8"/>
    </row>
    <row r="1065" spans="21:53" ht="22.9">
      <c r="U1065" s="87"/>
      <c r="V1065" s="202"/>
      <c r="X1065" s="87"/>
      <c r="Y1065" s="87"/>
      <c r="AA1065" s="87"/>
      <c r="AB1065" s="13"/>
      <c r="AC1065" s="245"/>
      <c r="AD1065" s="8"/>
      <c r="AE1065" s="8"/>
      <c r="AF1065" s="12"/>
      <c r="AG1065" s="13"/>
      <c r="AH1065" s="12"/>
      <c r="AI1065" s="13"/>
      <c r="AJ1065" s="12"/>
      <c r="AK1065" s="13"/>
      <c r="AL1065" s="13"/>
      <c r="AM1065" s="13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  <c r="AZ1065" s="8"/>
      <c r="BA1065" s="8"/>
    </row>
    <row r="1066" spans="21:53" ht="22.9">
      <c r="U1066" s="87"/>
      <c r="V1066" s="202"/>
      <c r="X1066" s="87"/>
      <c r="Y1066" s="87"/>
      <c r="AA1066" s="87"/>
      <c r="AB1066" s="13"/>
      <c r="AC1066" s="245"/>
      <c r="AD1066" s="8"/>
      <c r="AE1066" s="8"/>
      <c r="AF1066" s="12"/>
      <c r="AG1066" s="13"/>
      <c r="AH1066" s="12"/>
      <c r="AI1066" s="13"/>
      <c r="AJ1066" s="12"/>
      <c r="AK1066" s="13"/>
      <c r="AL1066" s="13"/>
      <c r="AM1066" s="13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8"/>
      <c r="BA1066" s="8"/>
    </row>
    <row r="1067" spans="21:53" ht="22.9">
      <c r="U1067" s="87"/>
      <c r="V1067" s="202"/>
      <c r="X1067" s="87"/>
      <c r="Y1067" s="87"/>
      <c r="AA1067" s="87"/>
      <c r="AB1067" s="13"/>
      <c r="AC1067" s="245"/>
      <c r="AD1067" s="8"/>
      <c r="AE1067" s="8"/>
      <c r="AF1067" s="12"/>
      <c r="AG1067" s="13"/>
      <c r="AH1067" s="12"/>
      <c r="AI1067" s="13"/>
      <c r="AJ1067" s="12"/>
      <c r="AK1067" s="13"/>
      <c r="AL1067" s="13"/>
      <c r="AM1067" s="13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  <c r="AZ1067" s="8"/>
      <c r="BA1067" s="8"/>
    </row>
    <row r="1068" spans="21:53" ht="22.9">
      <c r="U1068" s="87"/>
      <c r="V1068" s="202"/>
      <c r="X1068" s="87"/>
      <c r="Y1068" s="87"/>
      <c r="AA1068" s="87"/>
      <c r="AB1068" s="13"/>
      <c r="AC1068" s="245"/>
      <c r="AD1068" s="8"/>
      <c r="AE1068" s="8"/>
      <c r="AF1068" s="12"/>
      <c r="AG1068" s="13"/>
      <c r="AH1068" s="12"/>
      <c r="AI1068" s="13"/>
      <c r="AJ1068" s="12"/>
      <c r="AK1068" s="13"/>
      <c r="AL1068" s="13"/>
      <c r="AM1068" s="13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  <c r="AZ1068" s="8"/>
      <c r="BA1068" s="8"/>
    </row>
    <row r="1069" spans="21:53" ht="22.9">
      <c r="U1069" s="87"/>
      <c r="V1069" s="202"/>
      <c r="X1069" s="87"/>
      <c r="Y1069" s="87"/>
      <c r="AA1069" s="87"/>
      <c r="AB1069" s="13"/>
      <c r="AC1069" s="245"/>
      <c r="AD1069" s="8"/>
      <c r="AE1069" s="8"/>
      <c r="AF1069" s="12"/>
      <c r="AG1069" s="13"/>
      <c r="AH1069" s="12"/>
      <c r="AI1069" s="13"/>
      <c r="AJ1069" s="12"/>
      <c r="AK1069" s="13"/>
      <c r="AL1069" s="13"/>
      <c r="AM1069" s="13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  <c r="AZ1069" s="8"/>
      <c r="BA1069" s="8"/>
    </row>
    <row r="1070" spans="21:53" ht="22.9">
      <c r="U1070" s="87"/>
      <c r="V1070" s="202"/>
      <c r="X1070" s="87"/>
      <c r="Y1070" s="87"/>
      <c r="AA1070" s="87"/>
      <c r="AB1070" s="13"/>
      <c r="AC1070" s="245"/>
      <c r="AD1070" s="8"/>
      <c r="AE1070" s="8"/>
      <c r="AF1070" s="12"/>
      <c r="AG1070" s="13"/>
      <c r="AH1070" s="12"/>
      <c r="AI1070" s="13"/>
      <c r="AJ1070" s="12"/>
      <c r="AK1070" s="13"/>
      <c r="AL1070" s="13"/>
      <c r="AM1070" s="13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  <c r="AZ1070" s="8"/>
      <c r="BA1070" s="8"/>
    </row>
    <row r="1071" spans="21:53" ht="22.9">
      <c r="U1071" s="87"/>
      <c r="V1071" s="202"/>
      <c r="X1071" s="87"/>
      <c r="Y1071" s="87"/>
      <c r="AA1071" s="87"/>
      <c r="AB1071" s="13"/>
      <c r="AC1071" s="245"/>
      <c r="AD1071" s="8"/>
      <c r="AE1071" s="8"/>
      <c r="AF1071" s="12"/>
      <c r="AG1071" s="13"/>
      <c r="AH1071" s="12"/>
      <c r="AI1071" s="13"/>
      <c r="AJ1071" s="12"/>
      <c r="AK1071" s="13"/>
      <c r="AL1071" s="13"/>
      <c r="AM1071" s="13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  <c r="AZ1071" s="8"/>
      <c r="BA1071" s="8"/>
    </row>
    <row r="1072" spans="21:53" ht="22.9">
      <c r="U1072" s="87"/>
      <c r="V1072" s="202"/>
      <c r="X1072" s="87"/>
      <c r="Y1072" s="87"/>
      <c r="AA1072" s="87"/>
      <c r="AB1072" s="13"/>
      <c r="AC1072" s="245"/>
      <c r="AD1072" s="8"/>
      <c r="AE1072" s="8"/>
      <c r="AF1072" s="12"/>
      <c r="AG1072" s="13"/>
      <c r="AH1072" s="12"/>
      <c r="AI1072" s="13"/>
      <c r="AJ1072" s="12"/>
      <c r="AK1072" s="13"/>
      <c r="AL1072" s="13"/>
      <c r="AM1072" s="13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  <c r="AZ1072" s="8"/>
      <c r="BA1072" s="8"/>
    </row>
    <row r="1073" spans="21:53" ht="22.9">
      <c r="U1073" s="87"/>
      <c r="V1073" s="202"/>
      <c r="X1073" s="87"/>
      <c r="Y1073" s="87"/>
      <c r="AA1073" s="87"/>
      <c r="AB1073" s="13"/>
      <c r="AC1073" s="245"/>
      <c r="AD1073" s="8"/>
      <c r="AE1073" s="8"/>
      <c r="AF1073" s="12"/>
      <c r="AG1073" s="13"/>
      <c r="AH1073" s="12"/>
      <c r="AI1073" s="13"/>
      <c r="AJ1073" s="12"/>
      <c r="AK1073" s="13"/>
      <c r="AL1073" s="13"/>
      <c r="AM1073" s="13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  <c r="AZ1073" s="8"/>
      <c r="BA1073" s="8"/>
    </row>
    <row r="1074" spans="21:53" ht="22.9">
      <c r="U1074" s="87"/>
      <c r="V1074" s="202"/>
      <c r="X1074" s="87"/>
      <c r="Y1074" s="87"/>
      <c r="AA1074" s="87"/>
      <c r="AB1074" s="13"/>
      <c r="AC1074" s="245"/>
      <c r="AD1074" s="8"/>
      <c r="AE1074" s="8"/>
      <c r="AF1074" s="12"/>
      <c r="AG1074" s="13"/>
      <c r="AH1074" s="12"/>
      <c r="AI1074" s="13"/>
      <c r="AJ1074" s="12"/>
      <c r="AK1074" s="13"/>
      <c r="AL1074" s="13"/>
      <c r="AM1074" s="13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  <c r="AZ1074" s="8"/>
      <c r="BA1074" s="8"/>
    </row>
    <row r="1075" spans="21:53" ht="22.9">
      <c r="U1075" s="87"/>
      <c r="V1075" s="202"/>
      <c r="X1075" s="87"/>
      <c r="Y1075" s="87"/>
      <c r="AA1075" s="87"/>
      <c r="AB1075" s="13"/>
      <c r="AC1075" s="245"/>
      <c r="AD1075" s="8"/>
      <c r="AE1075" s="8"/>
      <c r="AF1075" s="12"/>
      <c r="AG1075" s="13"/>
      <c r="AH1075" s="12"/>
      <c r="AI1075" s="13"/>
      <c r="AJ1075" s="12"/>
      <c r="AK1075" s="13"/>
      <c r="AL1075" s="13"/>
      <c r="AM1075" s="13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  <c r="AZ1075" s="8"/>
      <c r="BA1075" s="8"/>
    </row>
    <row r="1076" spans="21:53" ht="22.9">
      <c r="U1076" s="87"/>
      <c r="V1076" s="202"/>
      <c r="X1076" s="87"/>
      <c r="Y1076" s="87"/>
      <c r="AA1076" s="87"/>
      <c r="AB1076" s="13"/>
      <c r="AC1076" s="245"/>
      <c r="AD1076" s="8"/>
      <c r="AE1076" s="8"/>
      <c r="AF1076" s="12"/>
      <c r="AG1076" s="13"/>
      <c r="AH1076" s="12"/>
      <c r="AI1076" s="13"/>
      <c r="AJ1076" s="12"/>
      <c r="AK1076" s="13"/>
      <c r="AL1076" s="13"/>
      <c r="AM1076" s="13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  <c r="AZ1076" s="8"/>
      <c r="BA1076" s="8"/>
    </row>
    <row r="1077" spans="21:53" ht="22.9">
      <c r="U1077" s="87"/>
      <c r="V1077" s="202"/>
      <c r="X1077" s="87"/>
      <c r="Y1077" s="87"/>
      <c r="AA1077" s="87"/>
      <c r="AB1077" s="13"/>
      <c r="AC1077" s="245"/>
      <c r="AD1077" s="8"/>
      <c r="AE1077" s="8"/>
      <c r="AF1077" s="12"/>
      <c r="AG1077" s="13"/>
      <c r="AH1077" s="12"/>
      <c r="AI1077" s="13"/>
      <c r="AJ1077" s="12"/>
      <c r="AK1077" s="13"/>
      <c r="AL1077" s="13"/>
      <c r="AM1077" s="13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  <c r="AZ1077" s="8"/>
      <c r="BA1077" s="8"/>
    </row>
    <row r="1078" spans="21:53" ht="22.9">
      <c r="U1078" s="87"/>
      <c r="V1078" s="202"/>
      <c r="X1078" s="87"/>
      <c r="Y1078" s="87"/>
      <c r="AA1078" s="87"/>
      <c r="AB1078" s="13"/>
      <c r="AC1078" s="245"/>
      <c r="AD1078" s="8"/>
      <c r="AE1078" s="8"/>
      <c r="AF1078" s="12"/>
      <c r="AG1078" s="13"/>
      <c r="AH1078" s="12"/>
      <c r="AI1078" s="13"/>
      <c r="AJ1078" s="12"/>
      <c r="AK1078" s="13"/>
      <c r="AL1078" s="13"/>
      <c r="AM1078" s="13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  <c r="AZ1078" s="8"/>
      <c r="BA1078" s="8"/>
    </row>
    <row r="1079" spans="21:53" ht="22.9">
      <c r="U1079" s="87"/>
      <c r="V1079" s="202"/>
      <c r="X1079" s="87"/>
      <c r="Y1079" s="87"/>
      <c r="AA1079" s="87"/>
      <c r="AB1079" s="13"/>
      <c r="AC1079" s="245"/>
      <c r="AD1079" s="8"/>
      <c r="AE1079" s="8"/>
      <c r="AF1079" s="12"/>
      <c r="AG1079" s="13"/>
      <c r="AH1079" s="12"/>
      <c r="AI1079" s="13"/>
      <c r="AJ1079" s="12"/>
      <c r="AK1079" s="13"/>
      <c r="AL1079" s="13"/>
      <c r="AM1079" s="13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  <c r="AZ1079" s="8"/>
      <c r="BA1079" s="8"/>
    </row>
    <row r="1080" spans="21:53" ht="22.9">
      <c r="U1080" s="87"/>
      <c r="V1080" s="202"/>
      <c r="X1080" s="87"/>
      <c r="Y1080" s="87"/>
      <c r="AA1080" s="87"/>
      <c r="AB1080" s="13"/>
      <c r="AC1080" s="245"/>
      <c r="AD1080" s="8"/>
      <c r="AE1080" s="8"/>
      <c r="AF1080" s="12"/>
      <c r="AG1080" s="13"/>
      <c r="AH1080" s="12"/>
      <c r="AI1080" s="13"/>
      <c r="AJ1080" s="12"/>
      <c r="AK1080" s="13"/>
      <c r="AL1080" s="13"/>
      <c r="AM1080" s="13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  <c r="AZ1080" s="8"/>
      <c r="BA1080" s="8"/>
    </row>
    <row r="1081" spans="21:53" ht="22.9">
      <c r="U1081" s="87"/>
      <c r="V1081" s="202"/>
      <c r="X1081" s="87"/>
      <c r="Y1081" s="87"/>
      <c r="AA1081" s="87"/>
      <c r="AB1081" s="13"/>
      <c r="AC1081" s="245"/>
      <c r="AD1081" s="8"/>
      <c r="AE1081" s="8"/>
      <c r="AF1081" s="12"/>
      <c r="AG1081" s="13"/>
      <c r="AH1081" s="12"/>
      <c r="AI1081" s="13"/>
      <c r="AJ1081" s="12"/>
      <c r="AK1081" s="13"/>
      <c r="AL1081" s="13"/>
      <c r="AM1081" s="13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  <c r="AZ1081" s="8"/>
      <c r="BA1081" s="8"/>
    </row>
    <row r="1082" spans="21:53" ht="22.9">
      <c r="U1082" s="87"/>
      <c r="V1082" s="202"/>
      <c r="X1082" s="87"/>
      <c r="Y1082" s="87"/>
      <c r="AA1082" s="87"/>
      <c r="AB1082" s="13"/>
      <c r="AC1082" s="245"/>
      <c r="AD1082" s="8"/>
      <c r="AE1082" s="8"/>
      <c r="AF1082" s="12"/>
      <c r="AG1082" s="13"/>
      <c r="AH1082" s="12"/>
      <c r="AI1082" s="13"/>
      <c r="AJ1082" s="12"/>
      <c r="AK1082" s="13"/>
      <c r="AL1082" s="13"/>
      <c r="AM1082" s="13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  <c r="AZ1082" s="8"/>
      <c r="BA1082" s="8"/>
    </row>
    <row r="1083" spans="21:53" ht="22.9">
      <c r="U1083" s="87"/>
      <c r="V1083" s="202"/>
      <c r="X1083" s="87"/>
      <c r="Y1083" s="87"/>
      <c r="AA1083" s="87"/>
      <c r="AB1083" s="13"/>
      <c r="AC1083" s="245"/>
      <c r="AD1083" s="8"/>
      <c r="AE1083" s="8"/>
      <c r="AF1083" s="12"/>
      <c r="AG1083" s="13"/>
      <c r="AH1083" s="12"/>
      <c r="AI1083" s="13"/>
      <c r="AJ1083" s="12"/>
      <c r="AK1083" s="13"/>
      <c r="AL1083" s="13"/>
      <c r="AM1083" s="13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  <c r="AZ1083" s="8"/>
      <c r="BA1083" s="8"/>
    </row>
    <row r="1084" spans="21:53" ht="22.9">
      <c r="U1084" s="87"/>
      <c r="V1084" s="202"/>
      <c r="X1084" s="87"/>
      <c r="Y1084" s="87"/>
      <c r="AA1084" s="87"/>
      <c r="AB1084" s="13"/>
      <c r="AC1084" s="245"/>
      <c r="AD1084" s="8"/>
      <c r="AE1084" s="8"/>
      <c r="AF1084" s="12"/>
      <c r="AG1084" s="13"/>
      <c r="AH1084" s="12"/>
      <c r="AI1084" s="13"/>
      <c r="AJ1084" s="12"/>
      <c r="AK1084" s="13"/>
      <c r="AL1084" s="13"/>
      <c r="AM1084" s="13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  <c r="AZ1084" s="8"/>
      <c r="BA1084" s="8"/>
    </row>
    <row r="1085" spans="21:53" ht="22.9">
      <c r="U1085" s="87"/>
      <c r="V1085" s="202"/>
      <c r="X1085" s="87"/>
      <c r="Y1085" s="87"/>
      <c r="AA1085" s="87"/>
      <c r="AB1085" s="13"/>
      <c r="AC1085" s="245"/>
      <c r="AD1085" s="8"/>
      <c r="AE1085" s="8"/>
      <c r="AF1085" s="12"/>
      <c r="AG1085" s="13"/>
      <c r="AH1085" s="12"/>
      <c r="AI1085" s="13"/>
      <c r="AJ1085" s="12"/>
      <c r="AK1085" s="13"/>
      <c r="AL1085" s="13"/>
      <c r="AM1085" s="13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  <c r="AZ1085" s="8"/>
      <c r="BA1085" s="8"/>
    </row>
    <row r="1086" spans="21:53" ht="22.9">
      <c r="U1086" s="87"/>
      <c r="V1086" s="202"/>
      <c r="X1086" s="87"/>
      <c r="Y1086" s="87"/>
      <c r="AA1086" s="87"/>
      <c r="AB1086" s="13"/>
      <c r="AC1086" s="245"/>
      <c r="AD1086" s="8"/>
      <c r="AE1086" s="8"/>
      <c r="AF1086" s="12"/>
      <c r="AG1086" s="13"/>
      <c r="AH1086" s="12"/>
      <c r="AI1086" s="13"/>
      <c r="AJ1086" s="12"/>
      <c r="AK1086" s="13"/>
      <c r="AL1086" s="13"/>
      <c r="AM1086" s="13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  <c r="AZ1086" s="8"/>
      <c r="BA1086" s="8"/>
    </row>
    <row r="1087" spans="21:53" ht="22.9">
      <c r="U1087" s="87"/>
      <c r="V1087" s="202"/>
      <c r="X1087" s="87"/>
      <c r="Y1087" s="87"/>
      <c r="AA1087" s="87"/>
      <c r="AB1087" s="13"/>
      <c r="AC1087" s="245"/>
      <c r="AD1087" s="8"/>
      <c r="AE1087" s="8"/>
      <c r="AF1087" s="12"/>
      <c r="AG1087" s="13"/>
      <c r="AH1087" s="12"/>
      <c r="AI1087" s="13"/>
      <c r="AJ1087" s="12"/>
      <c r="AK1087" s="13"/>
      <c r="AL1087" s="13"/>
      <c r="AM1087" s="13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  <c r="AZ1087" s="8"/>
      <c r="BA1087" s="8"/>
    </row>
    <row r="1088" spans="21:53" ht="22.9">
      <c r="U1088" s="87"/>
      <c r="V1088" s="202"/>
      <c r="X1088" s="87"/>
      <c r="Y1088" s="87"/>
      <c r="AA1088" s="87"/>
      <c r="AB1088" s="13"/>
      <c r="AC1088" s="245"/>
      <c r="AD1088" s="8"/>
      <c r="AE1088" s="8"/>
      <c r="AF1088" s="12"/>
      <c r="AG1088" s="13"/>
      <c r="AH1088" s="12"/>
      <c r="AI1088" s="13"/>
      <c r="AJ1088" s="12"/>
      <c r="AK1088" s="13"/>
      <c r="AL1088" s="13"/>
      <c r="AM1088" s="13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  <c r="AZ1088" s="8"/>
      <c r="BA1088" s="8"/>
    </row>
    <row r="1089" spans="21:53" ht="22.9">
      <c r="U1089" s="87"/>
      <c r="V1089" s="202"/>
      <c r="X1089" s="87"/>
      <c r="Y1089" s="87"/>
      <c r="AA1089" s="87"/>
      <c r="AB1089" s="13"/>
      <c r="AC1089" s="245"/>
      <c r="AD1089" s="8"/>
      <c r="AE1089" s="8"/>
      <c r="AF1089" s="12"/>
      <c r="AG1089" s="13"/>
      <c r="AH1089" s="12"/>
      <c r="AI1089" s="13"/>
      <c r="AJ1089" s="12"/>
      <c r="AK1089" s="13"/>
      <c r="AL1089" s="13"/>
      <c r="AM1089" s="13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  <c r="AZ1089" s="8"/>
      <c r="BA1089" s="8"/>
    </row>
    <row r="1090" spans="21:53" ht="22.9">
      <c r="U1090" s="87"/>
      <c r="V1090" s="202"/>
      <c r="X1090" s="87"/>
      <c r="Y1090" s="87"/>
      <c r="AA1090" s="87"/>
      <c r="AB1090" s="13"/>
      <c r="AC1090" s="245"/>
      <c r="AD1090" s="8"/>
      <c r="AE1090" s="8"/>
      <c r="AF1090" s="12"/>
      <c r="AG1090" s="13"/>
      <c r="AH1090" s="12"/>
      <c r="AI1090" s="13"/>
      <c r="AJ1090" s="12"/>
      <c r="AK1090" s="13"/>
      <c r="AL1090" s="13"/>
      <c r="AM1090" s="13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  <c r="AZ1090" s="8"/>
      <c r="BA1090" s="8"/>
    </row>
    <row r="1091" spans="21:53" ht="22.9">
      <c r="U1091" s="87"/>
      <c r="V1091" s="202"/>
      <c r="X1091" s="87"/>
      <c r="Y1091" s="87"/>
      <c r="AA1091" s="87"/>
      <c r="AB1091" s="13"/>
      <c r="AC1091" s="245"/>
      <c r="AD1091" s="8"/>
      <c r="AE1091" s="8"/>
      <c r="AF1091" s="12"/>
      <c r="AG1091" s="13"/>
      <c r="AH1091" s="12"/>
      <c r="AI1091" s="13"/>
      <c r="AJ1091" s="12"/>
      <c r="AK1091" s="13"/>
      <c r="AL1091" s="13"/>
      <c r="AM1091" s="13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  <c r="AZ1091" s="8"/>
      <c r="BA1091" s="8"/>
    </row>
    <row r="1092" spans="21:53" ht="22.9">
      <c r="U1092" s="87"/>
      <c r="V1092" s="202"/>
      <c r="X1092" s="87"/>
      <c r="Y1092" s="87"/>
      <c r="AA1092" s="87"/>
      <c r="AB1092" s="13"/>
      <c r="AC1092" s="245"/>
      <c r="AD1092" s="8"/>
      <c r="AE1092" s="8"/>
      <c r="AF1092" s="12"/>
      <c r="AG1092" s="13"/>
      <c r="AH1092" s="12"/>
      <c r="AI1092" s="13"/>
      <c r="AJ1092" s="12"/>
      <c r="AK1092" s="13"/>
      <c r="AL1092" s="13"/>
      <c r="AM1092" s="13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  <c r="AZ1092" s="8"/>
      <c r="BA1092" s="8"/>
    </row>
    <row r="1093" spans="21:53" ht="22.9">
      <c r="U1093" s="87"/>
      <c r="V1093" s="202"/>
      <c r="X1093" s="87"/>
      <c r="Y1093" s="87"/>
      <c r="AA1093" s="87"/>
      <c r="AB1093" s="13"/>
      <c r="AC1093" s="245"/>
      <c r="AD1093" s="8"/>
      <c r="AE1093" s="8"/>
      <c r="AF1093" s="12"/>
      <c r="AG1093" s="13"/>
      <c r="AH1093" s="12"/>
      <c r="AI1093" s="13"/>
      <c r="AJ1093" s="12"/>
      <c r="AK1093" s="13"/>
      <c r="AL1093" s="13"/>
      <c r="AM1093" s="13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  <c r="AZ1093" s="8"/>
      <c r="BA1093" s="8"/>
    </row>
    <row r="1094" spans="21:53" ht="22.9">
      <c r="U1094" s="87"/>
      <c r="V1094" s="202"/>
      <c r="X1094" s="87"/>
      <c r="Y1094" s="87"/>
      <c r="AA1094" s="87"/>
      <c r="AB1094" s="13"/>
      <c r="AC1094" s="245"/>
      <c r="AD1094" s="8"/>
      <c r="AE1094" s="8"/>
      <c r="AF1094" s="12"/>
      <c r="AG1094" s="13"/>
      <c r="AH1094" s="12"/>
      <c r="AI1094" s="13"/>
      <c r="AJ1094" s="12"/>
      <c r="AK1094" s="13"/>
      <c r="AL1094" s="13"/>
      <c r="AM1094" s="13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  <c r="AZ1094" s="8"/>
      <c r="BA1094" s="8"/>
    </row>
    <row r="1095" spans="21:53" ht="22.9">
      <c r="U1095" s="87"/>
      <c r="V1095" s="202"/>
      <c r="X1095" s="87"/>
      <c r="Y1095" s="87"/>
      <c r="AA1095" s="87"/>
      <c r="AB1095" s="13"/>
      <c r="AC1095" s="245"/>
      <c r="AD1095" s="8"/>
      <c r="AE1095" s="8"/>
      <c r="AF1095" s="12"/>
      <c r="AG1095" s="13"/>
      <c r="AH1095" s="12"/>
      <c r="AI1095" s="13"/>
      <c r="AJ1095" s="12"/>
      <c r="AK1095" s="13"/>
      <c r="AL1095" s="13"/>
      <c r="AM1095" s="13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  <c r="AZ1095" s="8"/>
      <c r="BA1095" s="8"/>
    </row>
    <row r="1096" spans="21:53" ht="22.9">
      <c r="U1096" s="87"/>
      <c r="V1096" s="202"/>
      <c r="X1096" s="87"/>
      <c r="Y1096" s="87"/>
      <c r="AA1096" s="87"/>
      <c r="AB1096" s="13"/>
      <c r="AC1096" s="245"/>
      <c r="AD1096" s="8"/>
      <c r="AE1096" s="8"/>
      <c r="AF1096" s="12"/>
      <c r="AG1096" s="13"/>
      <c r="AH1096" s="12"/>
      <c r="AI1096" s="13"/>
      <c r="AJ1096" s="12"/>
      <c r="AK1096" s="13"/>
      <c r="AL1096" s="13"/>
      <c r="AM1096" s="13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  <c r="AZ1096" s="8"/>
      <c r="BA1096" s="8"/>
    </row>
    <row r="1097" spans="21:53" ht="22.9">
      <c r="U1097" s="87"/>
      <c r="V1097" s="202"/>
      <c r="X1097" s="87"/>
      <c r="Y1097" s="87"/>
      <c r="AA1097" s="87"/>
      <c r="AB1097" s="13"/>
      <c r="AC1097" s="245"/>
      <c r="AD1097" s="8"/>
      <c r="AE1097" s="8"/>
      <c r="AF1097" s="12"/>
      <c r="AG1097" s="13"/>
      <c r="AH1097" s="12"/>
      <c r="AI1097" s="13"/>
      <c r="AJ1097" s="12"/>
      <c r="AK1097" s="13"/>
      <c r="AL1097" s="13"/>
      <c r="AM1097" s="13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  <c r="AZ1097" s="8"/>
      <c r="BA1097" s="8"/>
    </row>
    <row r="1098" spans="21:53" ht="22.9">
      <c r="U1098" s="87"/>
      <c r="V1098" s="202"/>
      <c r="X1098" s="87"/>
      <c r="Y1098" s="87"/>
      <c r="AA1098" s="87"/>
      <c r="AB1098" s="13"/>
      <c r="AC1098" s="245"/>
      <c r="AD1098" s="8"/>
      <c r="AE1098" s="8"/>
      <c r="AF1098" s="12"/>
      <c r="AG1098" s="13"/>
      <c r="AH1098" s="12"/>
      <c r="AI1098" s="13"/>
      <c r="AJ1098" s="12"/>
      <c r="AK1098" s="13"/>
      <c r="AL1098" s="13"/>
      <c r="AM1098" s="13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  <c r="AZ1098" s="8"/>
      <c r="BA1098" s="8"/>
    </row>
    <row r="1099" spans="21:53" ht="22.9">
      <c r="U1099" s="87"/>
      <c r="V1099" s="202"/>
      <c r="X1099" s="87"/>
      <c r="Y1099" s="87"/>
      <c r="AA1099" s="87"/>
      <c r="AB1099" s="13"/>
      <c r="AC1099" s="245"/>
      <c r="AD1099" s="8"/>
      <c r="AE1099" s="8"/>
      <c r="AF1099" s="12"/>
      <c r="AG1099" s="13"/>
      <c r="AH1099" s="12"/>
      <c r="AI1099" s="13"/>
      <c r="AJ1099" s="12"/>
      <c r="AK1099" s="13"/>
      <c r="AL1099" s="13"/>
      <c r="AM1099" s="13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  <c r="AZ1099" s="8"/>
      <c r="BA1099" s="8"/>
    </row>
    <row r="1100" spans="21:53" ht="22.9">
      <c r="U1100" s="87"/>
      <c r="V1100" s="202"/>
      <c r="X1100" s="87"/>
      <c r="Y1100" s="87"/>
      <c r="AA1100" s="87"/>
      <c r="AB1100" s="13"/>
      <c r="AC1100" s="245"/>
      <c r="AD1100" s="8"/>
      <c r="AE1100" s="8"/>
      <c r="AF1100" s="12"/>
      <c r="AG1100" s="13"/>
      <c r="AH1100" s="12"/>
      <c r="AI1100" s="13"/>
      <c r="AJ1100" s="12"/>
      <c r="AK1100" s="13"/>
      <c r="AL1100" s="13"/>
      <c r="AM1100" s="13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  <c r="AZ1100" s="8"/>
      <c r="BA1100" s="8"/>
    </row>
    <row r="1101" spans="21:53" ht="22.9">
      <c r="U1101" s="87"/>
      <c r="V1101" s="202"/>
      <c r="X1101" s="87"/>
      <c r="Y1101" s="87"/>
      <c r="AA1101" s="87"/>
      <c r="AB1101" s="13"/>
      <c r="AC1101" s="245"/>
      <c r="AD1101" s="8"/>
      <c r="AE1101" s="8"/>
      <c r="AF1101" s="12"/>
      <c r="AG1101" s="13"/>
      <c r="AH1101" s="12"/>
      <c r="AI1101" s="13"/>
      <c r="AJ1101" s="12"/>
      <c r="AK1101" s="13"/>
      <c r="AL1101" s="13"/>
      <c r="AM1101" s="13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  <c r="AZ1101" s="8"/>
      <c r="BA1101" s="8"/>
    </row>
    <row r="1102" spans="21:53" ht="22.9">
      <c r="U1102" s="87"/>
      <c r="V1102" s="202"/>
      <c r="X1102" s="87"/>
      <c r="Y1102" s="87"/>
      <c r="AA1102" s="87"/>
      <c r="AB1102" s="13"/>
      <c r="AC1102" s="245"/>
      <c r="AD1102" s="8"/>
      <c r="AE1102" s="8"/>
      <c r="AF1102" s="12"/>
      <c r="AG1102" s="13"/>
      <c r="AH1102" s="12"/>
      <c r="AI1102" s="13"/>
      <c r="AJ1102" s="12"/>
      <c r="AK1102" s="13"/>
      <c r="AL1102" s="13"/>
      <c r="AM1102" s="13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8"/>
      <c r="BA1102" s="8"/>
    </row>
    <row r="1103" spans="21:53" ht="22.9">
      <c r="U1103" s="87"/>
      <c r="V1103" s="202"/>
      <c r="X1103" s="87"/>
      <c r="Y1103" s="87"/>
      <c r="AA1103" s="87"/>
      <c r="AB1103" s="13"/>
      <c r="AC1103" s="245"/>
      <c r="AD1103" s="8"/>
      <c r="AE1103" s="8"/>
      <c r="AF1103" s="12"/>
      <c r="AG1103" s="13"/>
      <c r="AH1103" s="12"/>
      <c r="AI1103" s="13"/>
      <c r="AJ1103" s="12"/>
      <c r="AK1103" s="13"/>
      <c r="AL1103" s="13"/>
      <c r="AM1103" s="13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  <c r="AZ1103" s="8"/>
      <c r="BA1103" s="8"/>
    </row>
    <row r="1104" spans="21:53" ht="22.9">
      <c r="U1104" s="87"/>
      <c r="V1104" s="202"/>
      <c r="X1104" s="87"/>
      <c r="Y1104" s="87"/>
      <c r="AA1104" s="87"/>
      <c r="AB1104" s="13"/>
      <c r="AC1104" s="245"/>
      <c r="AD1104" s="8"/>
      <c r="AE1104" s="8"/>
      <c r="AF1104" s="12"/>
      <c r="AG1104" s="13"/>
      <c r="AH1104" s="12"/>
      <c r="AI1104" s="13"/>
      <c r="AJ1104" s="12"/>
      <c r="AK1104" s="13"/>
      <c r="AL1104" s="13"/>
      <c r="AM1104" s="13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  <c r="AZ1104" s="8"/>
      <c r="BA1104" s="8"/>
    </row>
    <row r="1105" spans="21:53" ht="22.9">
      <c r="U1105" s="87"/>
      <c r="V1105" s="202"/>
      <c r="X1105" s="87"/>
      <c r="Y1105" s="87"/>
      <c r="AA1105" s="87"/>
      <c r="AB1105" s="13"/>
      <c r="AC1105" s="245"/>
      <c r="AD1105" s="8"/>
      <c r="AE1105" s="8"/>
      <c r="AF1105" s="12"/>
      <c r="AG1105" s="13"/>
      <c r="AH1105" s="12"/>
      <c r="AI1105" s="13"/>
      <c r="AJ1105" s="12"/>
      <c r="AK1105" s="13"/>
      <c r="AL1105" s="13"/>
      <c r="AM1105" s="13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  <c r="AZ1105" s="8"/>
      <c r="BA1105" s="8"/>
    </row>
    <row r="1106" spans="21:53" ht="22.9">
      <c r="U1106" s="87"/>
      <c r="V1106" s="202"/>
      <c r="X1106" s="87"/>
      <c r="Y1106" s="87"/>
      <c r="AA1106" s="87"/>
      <c r="AB1106" s="13"/>
      <c r="AC1106" s="245"/>
      <c r="AD1106" s="8"/>
      <c r="AE1106" s="8"/>
      <c r="AF1106" s="12"/>
      <c r="AG1106" s="13"/>
      <c r="AH1106" s="12"/>
      <c r="AI1106" s="13"/>
      <c r="AJ1106" s="12"/>
      <c r="AK1106" s="13"/>
      <c r="AL1106" s="13"/>
      <c r="AM1106" s="13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  <c r="AZ1106" s="8"/>
      <c r="BA1106" s="8"/>
    </row>
    <row r="1107" spans="21:53" ht="22.9">
      <c r="U1107" s="87"/>
      <c r="V1107" s="202"/>
      <c r="X1107" s="87"/>
      <c r="Y1107" s="87"/>
      <c r="AA1107" s="87"/>
      <c r="AB1107" s="13"/>
      <c r="AC1107" s="245"/>
      <c r="AD1107" s="8"/>
      <c r="AE1107" s="8"/>
      <c r="AF1107" s="12"/>
      <c r="AG1107" s="13"/>
      <c r="AH1107" s="12"/>
      <c r="AI1107" s="13"/>
      <c r="AJ1107" s="12"/>
      <c r="AK1107" s="13"/>
      <c r="AL1107" s="13"/>
      <c r="AM1107" s="13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  <c r="AZ1107" s="8"/>
      <c r="BA1107" s="8"/>
    </row>
    <row r="1108" spans="21:53" ht="22.9">
      <c r="U1108" s="87"/>
      <c r="V1108" s="202"/>
      <c r="X1108" s="87"/>
      <c r="Y1108" s="87"/>
      <c r="AA1108" s="87"/>
      <c r="AB1108" s="13"/>
      <c r="AC1108" s="245"/>
      <c r="AD1108" s="8"/>
      <c r="AE1108" s="8"/>
      <c r="AF1108" s="12"/>
      <c r="AG1108" s="13"/>
      <c r="AH1108" s="12"/>
      <c r="AI1108" s="13"/>
      <c r="AJ1108" s="12"/>
      <c r="AK1108" s="13"/>
      <c r="AL1108" s="13"/>
      <c r="AM1108" s="13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  <c r="AZ1108" s="8"/>
      <c r="BA1108" s="8"/>
    </row>
    <row r="1109" spans="21:53" ht="22.9">
      <c r="U1109" s="87"/>
      <c r="V1109" s="202"/>
      <c r="X1109" s="87"/>
      <c r="Y1109" s="87"/>
      <c r="AA1109" s="87"/>
      <c r="AB1109" s="13"/>
      <c r="AC1109" s="245"/>
      <c r="AD1109" s="8"/>
      <c r="AE1109" s="8"/>
      <c r="AF1109" s="12"/>
      <c r="AG1109" s="13"/>
      <c r="AH1109" s="12"/>
      <c r="AI1109" s="13"/>
      <c r="AJ1109" s="12"/>
      <c r="AK1109" s="13"/>
      <c r="AL1109" s="13"/>
      <c r="AM1109" s="13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  <c r="AZ1109" s="8"/>
      <c r="BA1109" s="8"/>
    </row>
    <row r="1110" spans="21:53" ht="22.9">
      <c r="U1110" s="87"/>
      <c r="V1110" s="202"/>
      <c r="X1110" s="87"/>
      <c r="Y1110" s="87"/>
      <c r="AA1110" s="87"/>
      <c r="AB1110" s="13"/>
      <c r="AC1110" s="245"/>
      <c r="AD1110" s="8"/>
      <c r="AE1110" s="8"/>
      <c r="AF1110" s="12"/>
      <c r="AG1110" s="13"/>
      <c r="AH1110" s="12"/>
      <c r="AI1110" s="13"/>
      <c r="AJ1110" s="12"/>
      <c r="AK1110" s="13"/>
      <c r="AL1110" s="13"/>
      <c r="AM1110" s="13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  <c r="AZ1110" s="8"/>
      <c r="BA1110" s="8"/>
    </row>
    <row r="1111" spans="21:53" ht="22.9">
      <c r="U1111" s="87"/>
      <c r="V1111" s="202"/>
      <c r="X1111" s="87"/>
      <c r="Y1111" s="87"/>
      <c r="AA1111" s="87"/>
      <c r="AB1111" s="13"/>
      <c r="AC1111" s="245"/>
      <c r="AD1111" s="8"/>
      <c r="AE1111" s="8"/>
      <c r="AF1111" s="12"/>
      <c r="AG1111" s="13"/>
      <c r="AH1111" s="12"/>
      <c r="AI1111" s="13"/>
      <c r="AJ1111" s="12"/>
      <c r="AK1111" s="13"/>
      <c r="AL1111" s="13"/>
      <c r="AM1111" s="13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  <c r="AZ1111" s="8"/>
      <c r="BA1111" s="8"/>
    </row>
    <row r="1112" spans="21:53" ht="22.9">
      <c r="U1112" s="87"/>
      <c r="V1112" s="202"/>
      <c r="X1112" s="87"/>
      <c r="Y1112" s="87"/>
      <c r="AA1112" s="87"/>
      <c r="AB1112" s="13"/>
      <c r="AC1112" s="245"/>
      <c r="AD1112" s="8"/>
      <c r="AE1112" s="8"/>
      <c r="AF1112" s="12"/>
      <c r="AG1112" s="13"/>
      <c r="AH1112" s="12"/>
      <c r="AI1112" s="13"/>
      <c r="AJ1112" s="12"/>
      <c r="AK1112" s="13"/>
      <c r="AL1112" s="13"/>
      <c r="AM1112" s="13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  <c r="AZ1112" s="8"/>
      <c r="BA1112" s="8"/>
    </row>
    <row r="1113" spans="21:53" ht="22.9">
      <c r="U1113" s="87"/>
      <c r="V1113" s="202"/>
      <c r="X1113" s="87"/>
      <c r="Y1113" s="87"/>
      <c r="AA1113" s="87"/>
      <c r="AB1113" s="13"/>
      <c r="AC1113" s="245"/>
      <c r="AD1113" s="8"/>
      <c r="AE1113" s="8"/>
      <c r="AF1113" s="12"/>
      <c r="AG1113" s="13"/>
      <c r="AH1113" s="12"/>
      <c r="AI1113" s="13"/>
      <c r="AJ1113" s="12"/>
      <c r="AK1113" s="13"/>
      <c r="AL1113" s="13"/>
      <c r="AM1113" s="13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  <c r="AZ1113" s="8"/>
      <c r="BA1113" s="8"/>
    </row>
    <row r="1114" spans="21:53" ht="22.9">
      <c r="U1114" s="87"/>
      <c r="V1114" s="202"/>
      <c r="X1114" s="87"/>
      <c r="Y1114" s="87"/>
      <c r="AA1114" s="87"/>
      <c r="AB1114" s="13"/>
      <c r="AC1114" s="245"/>
      <c r="AD1114" s="8"/>
      <c r="AE1114" s="8"/>
      <c r="AF1114" s="12"/>
      <c r="AG1114" s="13"/>
      <c r="AH1114" s="12"/>
      <c r="AI1114" s="13"/>
      <c r="AJ1114" s="12"/>
      <c r="AK1114" s="13"/>
      <c r="AL1114" s="13"/>
      <c r="AM1114" s="13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  <c r="AZ1114" s="8"/>
      <c r="BA1114" s="8"/>
    </row>
    <row r="1115" spans="21:53" ht="22.9">
      <c r="U1115" s="87"/>
      <c r="V1115" s="202"/>
      <c r="X1115" s="87"/>
      <c r="Y1115" s="87"/>
      <c r="AA1115" s="87"/>
      <c r="AB1115" s="13"/>
      <c r="AC1115" s="245"/>
      <c r="AD1115" s="8"/>
      <c r="AE1115" s="8"/>
      <c r="AF1115" s="12"/>
      <c r="AG1115" s="13"/>
      <c r="AH1115" s="12"/>
      <c r="AI1115" s="13"/>
      <c r="AJ1115" s="12"/>
      <c r="AK1115" s="13"/>
      <c r="AL1115" s="13"/>
      <c r="AM1115" s="13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  <c r="AZ1115" s="8"/>
      <c r="BA1115" s="8"/>
    </row>
    <row r="1116" spans="21:53" ht="22.9">
      <c r="U1116" s="87"/>
      <c r="V1116" s="202"/>
      <c r="X1116" s="87"/>
      <c r="Y1116" s="87"/>
      <c r="AA1116" s="87"/>
      <c r="AB1116" s="13"/>
      <c r="AC1116" s="245"/>
      <c r="AD1116" s="8"/>
      <c r="AE1116" s="8"/>
      <c r="AF1116" s="12"/>
      <c r="AG1116" s="13"/>
      <c r="AH1116" s="12"/>
      <c r="AI1116" s="13"/>
      <c r="AJ1116" s="12"/>
      <c r="AK1116" s="13"/>
      <c r="AL1116" s="13"/>
      <c r="AM1116" s="13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  <c r="AZ1116" s="8"/>
      <c r="BA1116" s="8"/>
    </row>
    <row r="1117" spans="21:53" ht="22.9">
      <c r="U1117" s="87"/>
      <c r="V1117" s="202"/>
      <c r="X1117" s="87"/>
      <c r="Y1117" s="87"/>
      <c r="AA1117" s="87"/>
      <c r="AB1117" s="13"/>
      <c r="AC1117" s="245"/>
      <c r="AD1117" s="8"/>
      <c r="AE1117" s="8"/>
      <c r="AF1117" s="12"/>
      <c r="AG1117" s="13"/>
      <c r="AH1117" s="12"/>
      <c r="AI1117" s="13"/>
      <c r="AJ1117" s="12"/>
      <c r="AK1117" s="13"/>
      <c r="AL1117" s="13"/>
      <c r="AM1117" s="13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8"/>
      <c r="BA1117" s="8"/>
    </row>
    <row r="1118" spans="21:53" ht="22.9">
      <c r="U1118" s="87"/>
      <c r="V1118" s="202"/>
      <c r="X1118" s="87"/>
      <c r="Y1118" s="87"/>
      <c r="AA1118" s="87"/>
      <c r="AB1118" s="13"/>
      <c r="AC1118" s="245"/>
      <c r="AD1118" s="8"/>
      <c r="AE1118" s="8"/>
      <c r="AF1118" s="12"/>
      <c r="AG1118" s="13"/>
      <c r="AH1118" s="12"/>
      <c r="AI1118" s="13"/>
      <c r="AJ1118" s="12"/>
      <c r="AK1118" s="13"/>
      <c r="AL1118" s="13"/>
      <c r="AM1118" s="13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  <c r="AZ1118" s="8"/>
      <c r="BA1118" s="8"/>
    </row>
    <row r="1119" spans="21:53" ht="22.9">
      <c r="U1119" s="87"/>
      <c r="V1119" s="202"/>
      <c r="X1119" s="87"/>
      <c r="Y1119" s="87"/>
      <c r="AA1119" s="87"/>
      <c r="AB1119" s="13"/>
      <c r="AC1119" s="245"/>
      <c r="AD1119" s="8"/>
      <c r="AE1119" s="8"/>
      <c r="AF1119" s="12"/>
      <c r="AG1119" s="13"/>
      <c r="AH1119" s="12"/>
      <c r="AI1119" s="13"/>
      <c r="AJ1119" s="12"/>
      <c r="AK1119" s="13"/>
      <c r="AL1119" s="13"/>
      <c r="AM1119" s="13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  <c r="AZ1119" s="8"/>
      <c r="BA1119" s="8"/>
    </row>
    <row r="1120" spans="21:53" ht="22.9">
      <c r="U1120" s="87"/>
      <c r="V1120" s="202"/>
      <c r="X1120" s="87"/>
      <c r="Y1120" s="87"/>
      <c r="AA1120" s="87"/>
      <c r="AB1120" s="13"/>
      <c r="AC1120" s="245"/>
      <c r="AD1120" s="8"/>
      <c r="AE1120" s="8"/>
      <c r="AF1120" s="12"/>
      <c r="AG1120" s="13"/>
      <c r="AH1120" s="12"/>
      <c r="AI1120" s="13"/>
      <c r="AJ1120" s="12"/>
      <c r="AK1120" s="13"/>
      <c r="AL1120" s="13"/>
      <c r="AM1120" s="13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  <c r="AZ1120" s="8"/>
      <c r="BA1120" s="8"/>
    </row>
    <row r="1121" spans="21:53" ht="22.9">
      <c r="U1121" s="87"/>
      <c r="V1121" s="202"/>
      <c r="X1121" s="87"/>
      <c r="Y1121" s="87"/>
      <c r="AA1121" s="87"/>
      <c r="AB1121" s="13"/>
      <c r="AC1121" s="245"/>
      <c r="AD1121" s="8"/>
      <c r="AE1121" s="8"/>
      <c r="AF1121" s="12"/>
      <c r="AG1121" s="13"/>
      <c r="AH1121" s="12"/>
      <c r="AI1121" s="13"/>
      <c r="AJ1121" s="12"/>
      <c r="AK1121" s="13"/>
      <c r="AL1121" s="13"/>
      <c r="AM1121" s="13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  <c r="AZ1121" s="8"/>
      <c r="BA1121" s="8"/>
    </row>
    <row r="1122" spans="21:53" ht="22.9">
      <c r="U1122" s="87"/>
      <c r="V1122" s="202"/>
      <c r="X1122" s="87"/>
      <c r="Y1122" s="87"/>
      <c r="AA1122" s="87"/>
      <c r="AB1122" s="13"/>
      <c r="AC1122" s="245"/>
      <c r="AD1122" s="8"/>
      <c r="AE1122" s="8"/>
      <c r="AF1122" s="12"/>
      <c r="AG1122" s="13"/>
      <c r="AH1122" s="12"/>
      <c r="AI1122" s="13"/>
      <c r="AJ1122" s="12"/>
      <c r="AK1122" s="13"/>
      <c r="AL1122" s="13"/>
      <c r="AM1122" s="13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  <c r="AZ1122" s="8"/>
      <c r="BA1122" s="8"/>
    </row>
    <row r="1123" spans="21:53" ht="22.9">
      <c r="U1123" s="87"/>
      <c r="V1123" s="202"/>
      <c r="X1123" s="87"/>
      <c r="Y1123" s="87"/>
      <c r="AA1123" s="87"/>
      <c r="AB1123" s="13"/>
      <c r="AC1123" s="245"/>
      <c r="AD1123" s="8"/>
      <c r="AE1123" s="8"/>
      <c r="AF1123" s="12"/>
      <c r="AG1123" s="13"/>
      <c r="AH1123" s="12"/>
      <c r="AI1123" s="13"/>
      <c r="AJ1123" s="12"/>
      <c r="AK1123" s="13"/>
      <c r="AL1123" s="13"/>
      <c r="AM1123" s="13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  <c r="AZ1123" s="8"/>
      <c r="BA1123" s="8"/>
    </row>
    <row r="1124" spans="21:53" ht="22.9">
      <c r="U1124" s="87"/>
      <c r="V1124" s="202"/>
      <c r="X1124" s="87"/>
      <c r="Y1124" s="87"/>
      <c r="AA1124" s="87"/>
      <c r="AB1124" s="13"/>
      <c r="AC1124" s="245"/>
      <c r="AD1124" s="8"/>
      <c r="AE1124" s="8"/>
      <c r="AF1124" s="12"/>
      <c r="AG1124" s="13"/>
      <c r="AH1124" s="12"/>
      <c r="AI1124" s="13"/>
      <c r="AJ1124" s="12"/>
      <c r="AK1124" s="13"/>
      <c r="AL1124" s="13"/>
      <c r="AM1124" s="13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  <c r="AZ1124" s="8"/>
      <c r="BA1124" s="8"/>
    </row>
    <row r="1125" spans="21:53" ht="22.9">
      <c r="U1125" s="87"/>
      <c r="V1125" s="202"/>
      <c r="X1125" s="87"/>
      <c r="Y1125" s="87"/>
      <c r="AA1125" s="87"/>
      <c r="AB1125" s="13"/>
      <c r="AC1125" s="245"/>
      <c r="AD1125" s="8"/>
      <c r="AE1125" s="8"/>
      <c r="AF1125" s="12"/>
      <c r="AG1125" s="13"/>
      <c r="AH1125" s="12"/>
      <c r="AI1125" s="13"/>
      <c r="AJ1125" s="12"/>
      <c r="AK1125" s="13"/>
      <c r="AL1125" s="13"/>
      <c r="AM1125" s="13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  <c r="AZ1125" s="8"/>
      <c r="BA1125" s="8"/>
    </row>
    <row r="1126" spans="21:53" ht="22.9">
      <c r="U1126" s="87"/>
      <c r="V1126" s="202"/>
      <c r="X1126" s="87"/>
      <c r="Y1126" s="87"/>
      <c r="AA1126" s="87"/>
      <c r="AB1126" s="13"/>
      <c r="AC1126" s="245"/>
      <c r="AD1126" s="8"/>
      <c r="AE1126" s="8"/>
      <c r="AF1126" s="12"/>
      <c r="AG1126" s="13"/>
      <c r="AH1126" s="12"/>
      <c r="AI1126" s="13"/>
      <c r="AJ1126" s="12"/>
      <c r="AK1126" s="13"/>
      <c r="AL1126" s="13"/>
      <c r="AM1126" s="13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  <c r="AZ1126" s="8"/>
      <c r="BA1126" s="8"/>
    </row>
    <row r="1127" spans="21:53" ht="22.9">
      <c r="U1127" s="87"/>
      <c r="V1127" s="202"/>
      <c r="X1127" s="87"/>
      <c r="Y1127" s="87"/>
      <c r="AA1127" s="87"/>
      <c r="AB1127" s="13"/>
      <c r="AC1127" s="245"/>
      <c r="AD1127" s="8"/>
      <c r="AE1127" s="8"/>
      <c r="AF1127" s="12"/>
      <c r="AG1127" s="13"/>
      <c r="AH1127" s="12"/>
      <c r="AI1127" s="13"/>
      <c r="AJ1127" s="12"/>
      <c r="AK1127" s="13"/>
      <c r="AL1127" s="13"/>
      <c r="AM1127" s="13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  <c r="AZ1127" s="8"/>
      <c r="BA1127" s="8"/>
    </row>
    <row r="1128" spans="21:53" ht="22.9">
      <c r="U1128" s="87"/>
      <c r="V1128" s="202"/>
      <c r="X1128" s="87"/>
      <c r="Y1128" s="87"/>
      <c r="AA1128" s="87"/>
      <c r="AB1128" s="13"/>
      <c r="AC1128" s="245"/>
      <c r="AD1128" s="8"/>
      <c r="AE1128" s="8"/>
      <c r="AF1128" s="12"/>
      <c r="AG1128" s="13"/>
      <c r="AH1128" s="12"/>
      <c r="AI1128" s="13"/>
      <c r="AJ1128" s="12"/>
      <c r="AK1128" s="13"/>
      <c r="AL1128" s="13"/>
      <c r="AM1128" s="13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  <c r="AZ1128" s="8"/>
      <c r="BA1128" s="8"/>
    </row>
    <row r="1129" spans="21:53" ht="22.9">
      <c r="U1129" s="87"/>
      <c r="V1129" s="202"/>
      <c r="X1129" s="87"/>
      <c r="Y1129" s="87"/>
      <c r="AA1129" s="87"/>
      <c r="AB1129" s="13"/>
      <c r="AC1129" s="245"/>
      <c r="AD1129" s="8"/>
      <c r="AE1129" s="8"/>
      <c r="AF1129" s="12"/>
      <c r="AG1129" s="13"/>
      <c r="AH1129" s="12"/>
      <c r="AI1129" s="13"/>
      <c r="AJ1129" s="12"/>
      <c r="AK1129" s="13"/>
      <c r="AL1129" s="13"/>
      <c r="AM1129" s="13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  <c r="AZ1129" s="8"/>
      <c r="BA1129" s="8"/>
    </row>
    <row r="1130" spans="21:53" ht="22.9">
      <c r="U1130" s="87"/>
      <c r="V1130" s="202"/>
      <c r="X1130" s="87"/>
      <c r="Y1130" s="87"/>
      <c r="AA1130" s="87"/>
      <c r="AB1130" s="13"/>
      <c r="AC1130" s="245"/>
      <c r="AD1130" s="8"/>
      <c r="AE1130" s="8"/>
      <c r="AF1130" s="12"/>
      <c r="AG1130" s="13"/>
      <c r="AH1130" s="12"/>
      <c r="AI1130" s="13"/>
      <c r="AJ1130" s="12"/>
      <c r="AK1130" s="13"/>
      <c r="AL1130" s="13"/>
      <c r="AM1130" s="13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  <c r="AZ1130" s="8"/>
      <c r="BA1130" s="8"/>
    </row>
    <row r="1131" spans="21:53" ht="22.9">
      <c r="U1131" s="87"/>
      <c r="V1131" s="202"/>
      <c r="X1131" s="87"/>
      <c r="Y1131" s="87"/>
      <c r="AA1131" s="87"/>
      <c r="AB1131" s="13"/>
      <c r="AC1131" s="245"/>
      <c r="AD1131" s="8"/>
      <c r="AE1131" s="8"/>
      <c r="AF1131" s="12"/>
      <c r="AG1131" s="13"/>
      <c r="AH1131" s="12"/>
      <c r="AI1131" s="13"/>
      <c r="AJ1131" s="12"/>
      <c r="AK1131" s="13"/>
      <c r="AL1131" s="13"/>
      <c r="AM1131" s="13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  <c r="AZ1131" s="8"/>
      <c r="BA1131" s="8"/>
    </row>
    <row r="1132" spans="21:53" ht="22.9">
      <c r="U1132" s="87"/>
      <c r="V1132" s="202"/>
      <c r="X1132" s="87"/>
      <c r="Y1132" s="87"/>
      <c r="AA1132" s="87"/>
      <c r="AB1132" s="13"/>
      <c r="AC1132" s="245"/>
      <c r="AD1132" s="8"/>
      <c r="AE1132" s="8"/>
      <c r="AF1132" s="12"/>
      <c r="AG1132" s="13"/>
      <c r="AH1132" s="12"/>
      <c r="AI1132" s="13"/>
      <c r="AJ1132" s="12"/>
      <c r="AK1132" s="13"/>
      <c r="AL1132" s="13"/>
      <c r="AM1132" s="13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  <c r="AZ1132" s="8"/>
      <c r="BA1132" s="8"/>
    </row>
    <row r="1133" spans="21:53" ht="22.9">
      <c r="U1133" s="87"/>
      <c r="V1133" s="202"/>
      <c r="X1133" s="87"/>
      <c r="Y1133" s="87"/>
      <c r="AA1133" s="87"/>
      <c r="AB1133" s="13"/>
      <c r="AC1133" s="245"/>
      <c r="AD1133" s="8"/>
      <c r="AE1133" s="8"/>
      <c r="AF1133" s="12"/>
      <c r="AG1133" s="13"/>
      <c r="AH1133" s="12"/>
      <c r="AI1133" s="13"/>
      <c r="AJ1133" s="12"/>
      <c r="AK1133" s="13"/>
      <c r="AL1133" s="13"/>
      <c r="AM1133" s="13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  <c r="AZ1133" s="8"/>
      <c r="BA1133" s="8"/>
    </row>
    <row r="1134" spans="21:53" ht="22.9">
      <c r="U1134" s="87"/>
      <c r="V1134" s="202"/>
      <c r="X1134" s="87"/>
      <c r="Y1134" s="87"/>
      <c r="AA1134" s="87"/>
      <c r="AB1134" s="13"/>
      <c r="AC1134" s="245"/>
      <c r="AD1134" s="8"/>
      <c r="AE1134" s="8"/>
      <c r="AF1134" s="12"/>
      <c r="AG1134" s="13"/>
      <c r="AH1134" s="12"/>
      <c r="AI1134" s="13"/>
      <c r="AJ1134" s="12"/>
      <c r="AK1134" s="13"/>
      <c r="AL1134" s="13"/>
      <c r="AM1134" s="13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  <c r="AZ1134" s="8"/>
      <c r="BA1134" s="8"/>
    </row>
    <row r="1135" spans="21:53" ht="22.9">
      <c r="U1135" s="87"/>
      <c r="V1135" s="202"/>
      <c r="X1135" s="87"/>
      <c r="Y1135" s="87"/>
      <c r="AA1135" s="87"/>
      <c r="AB1135" s="13"/>
      <c r="AC1135" s="245"/>
      <c r="AD1135" s="8"/>
      <c r="AE1135" s="8"/>
      <c r="AF1135" s="12"/>
      <c r="AG1135" s="13"/>
      <c r="AH1135" s="12"/>
      <c r="AI1135" s="13"/>
      <c r="AJ1135" s="12"/>
      <c r="AK1135" s="13"/>
      <c r="AL1135" s="13"/>
      <c r="AM1135" s="13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  <c r="AZ1135" s="8"/>
      <c r="BA1135" s="8"/>
    </row>
    <row r="1136" spans="21:53" ht="22.9">
      <c r="U1136" s="87"/>
      <c r="V1136" s="202"/>
      <c r="X1136" s="87"/>
      <c r="Y1136" s="87"/>
      <c r="AA1136" s="87"/>
      <c r="AB1136" s="13"/>
      <c r="AC1136" s="245"/>
      <c r="AD1136" s="8"/>
      <c r="AE1136" s="8"/>
      <c r="AF1136" s="12"/>
      <c r="AG1136" s="13"/>
      <c r="AH1136" s="12"/>
      <c r="AI1136" s="13"/>
      <c r="AJ1136" s="12"/>
      <c r="AK1136" s="13"/>
      <c r="AL1136" s="13"/>
      <c r="AM1136" s="13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  <c r="AZ1136" s="8"/>
      <c r="BA1136" s="8"/>
    </row>
    <row r="1137" spans="21:53" ht="22.9">
      <c r="U1137" s="87"/>
      <c r="V1137" s="202"/>
      <c r="X1137" s="87"/>
      <c r="Y1137" s="87"/>
      <c r="AA1137" s="87"/>
      <c r="AB1137" s="13"/>
      <c r="AC1137" s="245"/>
      <c r="AD1137" s="8"/>
      <c r="AE1137" s="8"/>
      <c r="AF1137" s="12"/>
      <c r="AG1137" s="13"/>
      <c r="AH1137" s="12"/>
      <c r="AI1137" s="13"/>
      <c r="AJ1137" s="12"/>
      <c r="AK1137" s="13"/>
      <c r="AL1137" s="13"/>
      <c r="AM1137" s="13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  <c r="AZ1137" s="8"/>
      <c r="BA1137" s="8"/>
    </row>
    <row r="1138" spans="21:53" ht="22.9">
      <c r="U1138" s="87"/>
      <c r="V1138" s="202"/>
      <c r="X1138" s="87"/>
      <c r="Y1138" s="87"/>
      <c r="AA1138" s="87"/>
      <c r="AB1138" s="13"/>
      <c r="AC1138" s="245"/>
      <c r="AD1138" s="8"/>
      <c r="AE1138" s="8"/>
      <c r="AF1138" s="12"/>
      <c r="AG1138" s="13"/>
      <c r="AH1138" s="12"/>
      <c r="AI1138" s="13"/>
      <c r="AJ1138" s="12"/>
      <c r="AK1138" s="13"/>
      <c r="AL1138" s="13"/>
      <c r="AM1138" s="13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  <c r="AZ1138" s="8"/>
      <c r="BA1138" s="8"/>
    </row>
    <row r="1139" spans="21:53" ht="22.9">
      <c r="U1139" s="87"/>
      <c r="V1139" s="202"/>
      <c r="X1139" s="87"/>
      <c r="Y1139" s="87"/>
      <c r="AA1139" s="87"/>
      <c r="AB1139" s="13"/>
      <c r="AC1139" s="245"/>
      <c r="AD1139" s="8"/>
      <c r="AE1139" s="8"/>
      <c r="AF1139" s="12"/>
      <c r="AG1139" s="13"/>
      <c r="AH1139" s="12"/>
      <c r="AI1139" s="13"/>
      <c r="AJ1139" s="12"/>
      <c r="AK1139" s="13"/>
      <c r="AL1139" s="13"/>
      <c r="AM1139" s="13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  <c r="AZ1139" s="8"/>
      <c r="BA1139" s="8"/>
    </row>
    <row r="1140" spans="21:53" ht="22.9">
      <c r="U1140" s="87"/>
      <c r="V1140" s="202"/>
      <c r="X1140" s="87"/>
      <c r="Y1140" s="87"/>
      <c r="AA1140" s="87"/>
      <c r="AB1140" s="13"/>
      <c r="AC1140" s="245"/>
      <c r="AD1140" s="8"/>
      <c r="AE1140" s="8"/>
      <c r="AF1140" s="12"/>
      <c r="AG1140" s="13"/>
      <c r="AH1140" s="12"/>
      <c r="AI1140" s="13"/>
      <c r="AJ1140" s="12"/>
      <c r="AK1140" s="13"/>
      <c r="AL1140" s="13"/>
      <c r="AM1140" s="13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  <c r="AZ1140" s="8"/>
      <c r="BA1140" s="8"/>
    </row>
    <row r="1141" spans="21:53" ht="22.9">
      <c r="U1141" s="87"/>
      <c r="V1141" s="202"/>
      <c r="X1141" s="87"/>
      <c r="Y1141" s="87"/>
      <c r="AA1141" s="87"/>
      <c r="AB1141" s="13"/>
      <c r="AC1141" s="245"/>
      <c r="AD1141" s="8"/>
      <c r="AE1141" s="8"/>
      <c r="AF1141" s="12"/>
      <c r="AG1141" s="13"/>
      <c r="AH1141" s="12"/>
      <c r="AI1141" s="13"/>
      <c r="AJ1141" s="12"/>
      <c r="AK1141" s="13"/>
      <c r="AL1141" s="13"/>
      <c r="AM1141" s="13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8"/>
      <c r="BA1141" s="8"/>
    </row>
    <row r="1142" spans="21:53" ht="22.9">
      <c r="U1142" s="87"/>
      <c r="V1142" s="202"/>
      <c r="X1142" s="87"/>
      <c r="Y1142" s="87"/>
      <c r="AA1142" s="87"/>
      <c r="AB1142" s="13"/>
      <c r="AC1142" s="245"/>
      <c r="AD1142" s="8"/>
      <c r="AE1142" s="8"/>
      <c r="AF1142" s="12"/>
      <c r="AG1142" s="13"/>
      <c r="AH1142" s="12"/>
      <c r="AI1142" s="13"/>
      <c r="AJ1142" s="12"/>
      <c r="AK1142" s="13"/>
      <c r="AL1142" s="13"/>
      <c r="AM1142" s="13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  <c r="AZ1142" s="8"/>
      <c r="BA1142" s="8"/>
    </row>
    <row r="1143" spans="21:53" ht="22.9">
      <c r="U1143" s="87"/>
      <c r="V1143" s="202"/>
      <c r="X1143" s="87"/>
      <c r="Y1143" s="87"/>
      <c r="AA1143" s="87"/>
      <c r="AB1143" s="13"/>
      <c r="AC1143" s="245"/>
      <c r="AD1143" s="8"/>
      <c r="AE1143" s="8"/>
      <c r="AF1143" s="12"/>
      <c r="AG1143" s="13"/>
      <c r="AH1143" s="12"/>
      <c r="AI1143" s="13"/>
      <c r="AJ1143" s="12"/>
      <c r="AK1143" s="13"/>
      <c r="AL1143" s="13"/>
      <c r="AM1143" s="13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  <c r="AZ1143" s="8"/>
      <c r="BA1143" s="8"/>
    </row>
    <row r="1144" spans="21:53" ht="22.9">
      <c r="U1144" s="87"/>
      <c r="V1144" s="202"/>
      <c r="X1144" s="87"/>
      <c r="Y1144" s="87"/>
      <c r="AA1144" s="87"/>
      <c r="AB1144" s="13"/>
      <c r="AC1144" s="245"/>
      <c r="AD1144" s="8"/>
      <c r="AE1144" s="8"/>
      <c r="AF1144" s="12"/>
      <c r="AG1144" s="13"/>
      <c r="AH1144" s="12"/>
      <c r="AI1144" s="13"/>
      <c r="AJ1144" s="12"/>
      <c r="AK1144" s="13"/>
      <c r="AL1144" s="13"/>
      <c r="AM1144" s="13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  <c r="AZ1144" s="8"/>
      <c r="BA1144" s="8"/>
    </row>
    <row r="1145" spans="21:53" ht="22.9">
      <c r="U1145" s="87"/>
      <c r="V1145" s="202"/>
      <c r="X1145" s="87"/>
      <c r="Y1145" s="87"/>
      <c r="AA1145" s="87"/>
      <c r="AB1145" s="13"/>
      <c r="AC1145" s="245"/>
      <c r="AD1145" s="8"/>
      <c r="AE1145" s="8"/>
      <c r="AF1145" s="12"/>
      <c r="AG1145" s="13"/>
      <c r="AH1145" s="12"/>
      <c r="AI1145" s="13"/>
      <c r="AJ1145" s="12"/>
      <c r="AK1145" s="13"/>
      <c r="AL1145" s="13"/>
      <c r="AM1145" s="13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  <c r="AZ1145" s="8"/>
      <c r="BA1145" s="8"/>
    </row>
    <row r="1146" spans="21:53" ht="22.9">
      <c r="U1146" s="87"/>
      <c r="V1146" s="202"/>
      <c r="X1146" s="87"/>
      <c r="Y1146" s="87"/>
      <c r="AA1146" s="87"/>
      <c r="AB1146" s="13"/>
      <c r="AC1146" s="245"/>
      <c r="AD1146" s="8"/>
      <c r="AE1146" s="8"/>
      <c r="AF1146" s="12"/>
      <c r="AG1146" s="13"/>
      <c r="AH1146" s="12"/>
      <c r="AI1146" s="13"/>
      <c r="AJ1146" s="12"/>
      <c r="AK1146" s="13"/>
      <c r="AL1146" s="13"/>
      <c r="AM1146" s="13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  <c r="AZ1146" s="8"/>
      <c r="BA1146" s="8"/>
    </row>
    <row r="1147" spans="21:53" ht="22.9">
      <c r="U1147" s="87"/>
      <c r="V1147" s="202"/>
      <c r="X1147" s="87"/>
      <c r="Y1147" s="87"/>
      <c r="AA1147" s="87"/>
      <c r="AB1147" s="13"/>
      <c r="AC1147" s="245"/>
      <c r="AD1147" s="8"/>
      <c r="AE1147" s="8"/>
      <c r="AF1147" s="12"/>
      <c r="AG1147" s="13"/>
      <c r="AH1147" s="12"/>
      <c r="AI1147" s="13"/>
      <c r="AJ1147" s="12"/>
      <c r="AK1147" s="13"/>
      <c r="AL1147" s="13"/>
      <c r="AM1147" s="13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8"/>
      <c r="BA1147" s="8"/>
    </row>
    <row r="1148" spans="21:53" ht="22.9">
      <c r="U1148" s="87"/>
      <c r="V1148" s="202"/>
      <c r="X1148" s="87"/>
      <c r="Y1148" s="87"/>
      <c r="AA1148" s="87"/>
      <c r="AB1148" s="13"/>
      <c r="AC1148" s="245"/>
      <c r="AD1148" s="8"/>
      <c r="AE1148" s="8"/>
      <c r="AF1148" s="12"/>
      <c r="AG1148" s="13"/>
      <c r="AH1148" s="12"/>
      <c r="AI1148" s="13"/>
      <c r="AJ1148" s="12"/>
      <c r="AK1148" s="13"/>
      <c r="AL1148" s="13"/>
      <c r="AM1148" s="13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  <c r="AZ1148" s="8"/>
      <c r="BA1148" s="8"/>
    </row>
    <row r="1149" spans="21:53" ht="22.9">
      <c r="U1149" s="87"/>
      <c r="V1149" s="202"/>
      <c r="X1149" s="87"/>
      <c r="Y1149" s="87"/>
      <c r="AA1149" s="87"/>
      <c r="AB1149" s="13"/>
      <c r="AC1149" s="245"/>
      <c r="AD1149" s="8"/>
      <c r="AE1149" s="8"/>
      <c r="AF1149" s="12"/>
      <c r="AG1149" s="13"/>
      <c r="AH1149" s="12"/>
      <c r="AI1149" s="13"/>
      <c r="AJ1149" s="12"/>
      <c r="AK1149" s="13"/>
      <c r="AL1149" s="13"/>
      <c r="AM1149" s="13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  <c r="AZ1149" s="8"/>
      <c r="BA1149" s="8"/>
    </row>
    <row r="1150" spans="21:53" ht="22.9">
      <c r="U1150" s="87"/>
      <c r="V1150" s="202"/>
      <c r="X1150" s="87"/>
      <c r="Y1150" s="87"/>
      <c r="AA1150" s="87"/>
      <c r="AB1150" s="13"/>
      <c r="AC1150" s="245"/>
      <c r="AD1150" s="8"/>
      <c r="AE1150" s="8"/>
      <c r="AF1150" s="12"/>
      <c r="AG1150" s="13"/>
      <c r="AH1150" s="12"/>
      <c r="AI1150" s="13"/>
      <c r="AJ1150" s="12"/>
      <c r="AK1150" s="13"/>
      <c r="AL1150" s="13"/>
      <c r="AM1150" s="13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  <c r="AZ1150" s="8"/>
      <c r="BA1150" s="8"/>
    </row>
    <row r="1151" spans="21:53" ht="22.9">
      <c r="U1151" s="87"/>
      <c r="V1151" s="202"/>
      <c r="X1151" s="87"/>
      <c r="Y1151" s="87"/>
      <c r="AA1151" s="87"/>
      <c r="AB1151" s="13"/>
      <c r="AC1151" s="245"/>
      <c r="AD1151" s="8"/>
      <c r="AE1151" s="8"/>
      <c r="AF1151" s="12"/>
      <c r="AG1151" s="13"/>
      <c r="AH1151" s="12"/>
      <c r="AI1151" s="13"/>
      <c r="AJ1151" s="12"/>
      <c r="AK1151" s="13"/>
      <c r="AL1151" s="13"/>
      <c r="AM1151" s="13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  <c r="AZ1151" s="8"/>
      <c r="BA1151" s="8"/>
    </row>
    <row r="1152" spans="21:53" ht="22.9">
      <c r="U1152" s="87"/>
      <c r="V1152" s="202"/>
      <c r="X1152" s="87"/>
      <c r="Y1152" s="87"/>
      <c r="AA1152" s="87"/>
      <c r="AB1152" s="13"/>
      <c r="AC1152" s="245"/>
      <c r="AD1152" s="8"/>
      <c r="AE1152" s="8"/>
      <c r="AF1152" s="12"/>
      <c r="AG1152" s="13"/>
      <c r="AH1152" s="12"/>
      <c r="AI1152" s="13"/>
      <c r="AJ1152" s="12"/>
      <c r="AK1152" s="13"/>
      <c r="AL1152" s="13"/>
      <c r="AM1152" s="13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  <c r="AZ1152" s="8"/>
      <c r="BA1152" s="8"/>
    </row>
    <row r="1153" spans="21:53" ht="22.9">
      <c r="U1153" s="87"/>
      <c r="V1153" s="202"/>
      <c r="X1153" s="87"/>
      <c r="Y1153" s="87"/>
      <c r="AA1153" s="87"/>
      <c r="AB1153" s="13"/>
      <c r="AC1153" s="245"/>
      <c r="AD1153" s="8"/>
      <c r="AE1153" s="8"/>
      <c r="AF1153" s="12"/>
      <c r="AG1153" s="13"/>
      <c r="AH1153" s="12"/>
      <c r="AI1153" s="13"/>
      <c r="AJ1153" s="12"/>
      <c r="AK1153" s="13"/>
      <c r="AL1153" s="13"/>
      <c r="AM1153" s="13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  <c r="AZ1153" s="8"/>
      <c r="BA1153" s="8"/>
    </row>
    <row r="1154" spans="21:53" ht="22.9">
      <c r="U1154" s="87"/>
      <c r="V1154" s="202"/>
      <c r="X1154" s="87"/>
      <c r="Y1154" s="87"/>
      <c r="AA1154" s="87"/>
      <c r="AB1154" s="13"/>
      <c r="AC1154" s="245"/>
      <c r="AD1154" s="8"/>
      <c r="AE1154" s="8"/>
      <c r="AF1154" s="12"/>
      <c r="AG1154" s="13"/>
      <c r="AH1154" s="12"/>
      <c r="AI1154" s="13"/>
      <c r="AJ1154" s="12"/>
      <c r="AK1154" s="13"/>
      <c r="AL1154" s="13"/>
      <c r="AM1154" s="13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  <c r="AZ1154" s="8"/>
      <c r="BA1154" s="8"/>
    </row>
    <row r="1155" spans="21:53" ht="22.9">
      <c r="U1155" s="87"/>
      <c r="V1155" s="202"/>
      <c r="X1155" s="87"/>
      <c r="Y1155" s="87"/>
      <c r="AA1155" s="87"/>
      <c r="AB1155" s="13"/>
      <c r="AC1155" s="245"/>
      <c r="AD1155" s="8"/>
      <c r="AE1155" s="8"/>
      <c r="AF1155" s="12"/>
      <c r="AG1155" s="13"/>
      <c r="AH1155" s="12"/>
      <c r="AI1155" s="13"/>
      <c r="AJ1155" s="12"/>
      <c r="AK1155" s="13"/>
      <c r="AL1155" s="13"/>
      <c r="AM1155" s="13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  <c r="AZ1155" s="8"/>
      <c r="BA1155" s="8"/>
    </row>
    <row r="1156" spans="21:53" ht="22.9">
      <c r="U1156" s="87"/>
      <c r="V1156" s="202"/>
      <c r="X1156" s="87"/>
      <c r="Y1156" s="87"/>
      <c r="AA1156" s="87"/>
      <c r="AB1156" s="13"/>
      <c r="AC1156" s="245"/>
      <c r="AD1156" s="8"/>
      <c r="AE1156" s="8"/>
      <c r="AF1156" s="12"/>
      <c r="AG1156" s="13"/>
      <c r="AH1156" s="12"/>
      <c r="AI1156" s="13"/>
      <c r="AJ1156" s="12"/>
      <c r="AK1156" s="13"/>
      <c r="AL1156" s="13"/>
      <c r="AM1156" s="13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  <c r="AZ1156" s="8"/>
      <c r="BA1156" s="8"/>
    </row>
    <row r="1157" spans="21:53" ht="22.9">
      <c r="U1157" s="87"/>
      <c r="V1157" s="202"/>
      <c r="X1157" s="87"/>
      <c r="Y1157" s="87"/>
      <c r="AA1157" s="87"/>
      <c r="AB1157" s="13"/>
      <c r="AC1157" s="245"/>
      <c r="AD1157" s="8"/>
      <c r="AE1157" s="8"/>
      <c r="AF1157" s="12"/>
      <c r="AG1157" s="13"/>
      <c r="AH1157" s="12"/>
      <c r="AI1157" s="13"/>
      <c r="AJ1157" s="12"/>
      <c r="AK1157" s="13"/>
      <c r="AL1157" s="13"/>
      <c r="AM1157" s="13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  <c r="AZ1157" s="8"/>
      <c r="BA1157" s="8"/>
    </row>
    <row r="1158" spans="21:53" ht="22.9">
      <c r="U1158" s="87"/>
      <c r="V1158" s="202"/>
      <c r="X1158" s="87"/>
      <c r="Y1158" s="87"/>
      <c r="AA1158" s="87"/>
      <c r="AB1158" s="13"/>
      <c r="AC1158" s="245"/>
      <c r="AD1158" s="8"/>
      <c r="AE1158" s="8"/>
      <c r="AF1158" s="12"/>
      <c r="AG1158" s="13"/>
      <c r="AH1158" s="12"/>
      <c r="AI1158" s="13"/>
      <c r="AJ1158" s="12"/>
      <c r="AK1158" s="13"/>
      <c r="AL1158" s="13"/>
      <c r="AM1158" s="13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  <c r="AZ1158" s="8"/>
      <c r="BA1158" s="8"/>
    </row>
    <row r="1159" spans="21:53" ht="22.9">
      <c r="U1159" s="87"/>
      <c r="V1159" s="202"/>
      <c r="X1159" s="87"/>
      <c r="Y1159" s="87"/>
      <c r="AA1159" s="87"/>
      <c r="AB1159" s="13"/>
      <c r="AC1159" s="245"/>
      <c r="AD1159" s="8"/>
      <c r="AE1159" s="8"/>
      <c r="AF1159" s="12"/>
      <c r="AG1159" s="13"/>
      <c r="AH1159" s="12"/>
      <c r="AI1159" s="13"/>
      <c r="AJ1159" s="12"/>
      <c r="AK1159" s="13"/>
      <c r="AL1159" s="13"/>
      <c r="AM1159" s="13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  <c r="AZ1159" s="8"/>
      <c r="BA1159" s="8"/>
    </row>
    <row r="1160" spans="21:53" ht="22.9">
      <c r="U1160" s="87"/>
      <c r="V1160" s="202"/>
      <c r="X1160" s="87"/>
      <c r="Y1160" s="87"/>
      <c r="AA1160" s="87"/>
      <c r="AB1160" s="13"/>
      <c r="AC1160" s="245"/>
      <c r="AD1160" s="8"/>
      <c r="AE1160" s="8"/>
      <c r="AF1160" s="12"/>
      <c r="AG1160" s="13"/>
      <c r="AH1160" s="12"/>
      <c r="AI1160" s="13"/>
      <c r="AJ1160" s="12"/>
      <c r="AK1160" s="13"/>
      <c r="AL1160" s="13"/>
      <c r="AM1160" s="13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  <c r="AZ1160" s="8"/>
      <c r="BA1160" s="8"/>
    </row>
    <row r="1161" spans="21:53" ht="22.9">
      <c r="U1161" s="87"/>
      <c r="V1161" s="202"/>
      <c r="X1161" s="87"/>
      <c r="Y1161" s="87"/>
      <c r="AA1161" s="87"/>
      <c r="AB1161" s="13"/>
      <c r="AC1161" s="245"/>
      <c r="AD1161" s="8"/>
      <c r="AE1161" s="8"/>
      <c r="AF1161" s="12"/>
      <c r="AG1161" s="13"/>
      <c r="AH1161" s="12"/>
      <c r="AI1161" s="13"/>
      <c r="AJ1161" s="12"/>
      <c r="AK1161" s="13"/>
      <c r="AL1161" s="13"/>
      <c r="AM1161" s="13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  <c r="AZ1161" s="8"/>
      <c r="BA1161" s="8"/>
    </row>
    <row r="1162" spans="21:53" ht="22.9">
      <c r="U1162" s="87"/>
      <c r="V1162" s="202"/>
      <c r="X1162" s="87"/>
      <c r="Y1162" s="87"/>
      <c r="AA1162" s="87"/>
      <c r="AB1162" s="13"/>
      <c r="AC1162" s="245"/>
      <c r="AD1162" s="8"/>
      <c r="AE1162" s="8"/>
      <c r="AF1162" s="12"/>
      <c r="AG1162" s="13"/>
      <c r="AH1162" s="12"/>
      <c r="AI1162" s="13"/>
      <c r="AJ1162" s="12"/>
      <c r="AK1162" s="13"/>
      <c r="AL1162" s="13"/>
      <c r="AM1162" s="13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  <c r="AZ1162" s="8"/>
      <c r="BA1162" s="8"/>
    </row>
    <row r="1163" spans="21:53" ht="22.9">
      <c r="U1163" s="87"/>
      <c r="V1163" s="202"/>
      <c r="X1163" s="87"/>
      <c r="Y1163" s="87"/>
      <c r="AA1163" s="87"/>
      <c r="AB1163" s="13"/>
      <c r="AC1163" s="245"/>
      <c r="AD1163" s="8"/>
      <c r="AE1163" s="8"/>
      <c r="AF1163" s="12"/>
      <c r="AG1163" s="13"/>
      <c r="AH1163" s="12"/>
      <c r="AI1163" s="13"/>
      <c r="AJ1163" s="12"/>
      <c r="AK1163" s="13"/>
      <c r="AL1163" s="13"/>
      <c r="AM1163" s="13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  <c r="AZ1163" s="8"/>
      <c r="BA1163" s="8"/>
    </row>
    <row r="1164" spans="21:53" ht="22.9">
      <c r="U1164" s="87"/>
      <c r="V1164" s="202"/>
      <c r="X1164" s="87"/>
      <c r="Y1164" s="87"/>
      <c r="AA1164" s="87"/>
      <c r="AB1164" s="13"/>
      <c r="AC1164" s="245"/>
      <c r="AD1164" s="8"/>
      <c r="AE1164" s="8"/>
      <c r="AF1164" s="12"/>
      <c r="AG1164" s="13"/>
      <c r="AH1164" s="12"/>
      <c r="AI1164" s="13"/>
      <c r="AJ1164" s="12"/>
      <c r="AK1164" s="13"/>
      <c r="AL1164" s="13"/>
      <c r="AM1164" s="13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  <c r="AZ1164" s="8"/>
      <c r="BA1164" s="8"/>
    </row>
    <row r="1165" spans="21:53" ht="22.9">
      <c r="U1165" s="87"/>
      <c r="V1165" s="202"/>
      <c r="X1165" s="87"/>
      <c r="Y1165" s="87"/>
      <c r="AA1165" s="87"/>
      <c r="AB1165" s="13"/>
      <c r="AC1165" s="245"/>
      <c r="AD1165" s="8"/>
      <c r="AE1165" s="8"/>
      <c r="AF1165" s="12"/>
      <c r="AG1165" s="13"/>
      <c r="AH1165" s="12"/>
      <c r="AI1165" s="13"/>
      <c r="AJ1165" s="12"/>
      <c r="AK1165" s="13"/>
      <c r="AL1165" s="13"/>
      <c r="AM1165" s="13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  <c r="AZ1165" s="8"/>
      <c r="BA1165" s="8"/>
    </row>
    <row r="1166" spans="21:53" ht="22.9">
      <c r="U1166" s="87"/>
      <c r="V1166" s="202"/>
      <c r="X1166" s="87"/>
      <c r="Y1166" s="87"/>
      <c r="AA1166" s="87"/>
      <c r="AB1166" s="13"/>
      <c r="AC1166" s="245"/>
      <c r="AD1166" s="8"/>
      <c r="AE1166" s="8"/>
      <c r="AF1166" s="12"/>
      <c r="AG1166" s="13"/>
      <c r="AH1166" s="12"/>
      <c r="AI1166" s="13"/>
      <c r="AJ1166" s="12"/>
      <c r="AK1166" s="13"/>
      <c r="AL1166" s="13"/>
      <c r="AM1166" s="13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  <c r="AZ1166" s="8"/>
      <c r="BA1166" s="8"/>
    </row>
    <row r="1167" spans="21:53" ht="22.9">
      <c r="U1167" s="87"/>
      <c r="V1167" s="202"/>
      <c r="X1167" s="87"/>
      <c r="Y1167" s="87"/>
      <c r="AA1167" s="87"/>
      <c r="AB1167" s="13"/>
      <c r="AC1167" s="245"/>
      <c r="AD1167" s="8"/>
      <c r="AE1167" s="8"/>
      <c r="AF1167" s="12"/>
      <c r="AG1167" s="13"/>
      <c r="AH1167" s="12"/>
      <c r="AI1167" s="13"/>
      <c r="AJ1167" s="12"/>
      <c r="AK1167" s="13"/>
      <c r="AL1167" s="13"/>
      <c r="AM1167" s="13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</row>
    <row r="1168" spans="21:53" ht="22.9">
      <c r="U1168" s="87"/>
      <c r="V1168" s="202"/>
      <c r="X1168" s="87"/>
      <c r="Y1168" s="87"/>
      <c r="AA1168" s="87"/>
      <c r="AB1168" s="13"/>
      <c r="AC1168" s="245"/>
      <c r="AD1168" s="8"/>
      <c r="AE1168" s="8"/>
      <c r="AF1168" s="12"/>
      <c r="AG1168" s="13"/>
      <c r="AH1168" s="12"/>
      <c r="AI1168" s="13"/>
      <c r="AJ1168" s="12"/>
      <c r="AK1168" s="13"/>
      <c r="AL1168" s="13"/>
      <c r="AM1168" s="13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</row>
    <row r="1169" spans="21:53" ht="22.9">
      <c r="U1169" s="87"/>
      <c r="V1169" s="202"/>
      <c r="X1169" s="87"/>
      <c r="Y1169" s="87"/>
      <c r="AA1169" s="87"/>
      <c r="AB1169" s="13"/>
      <c r="AC1169" s="245"/>
      <c r="AD1169" s="8"/>
      <c r="AE1169" s="8"/>
      <c r="AF1169" s="12"/>
      <c r="AG1169" s="13"/>
      <c r="AH1169" s="12"/>
      <c r="AI1169" s="13"/>
      <c r="AJ1169" s="12"/>
      <c r="AK1169" s="13"/>
      <c r="AL1169" s="13"/>
      <c r="AM1169" s="13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</row>
    <row r="1170" spans="21:53" ht="22.9">
      <c r="U1170" s="87"/>
      <c r="V1170" s="202"/>
      <c r="X1170" s="87"/>
      <c r="Y1170" s="87"/>
      <c r="AA1170" s="87"/>
      <c r="AB1170" s="13"/>
      <c r="AC1170" s="245"/>
      <c r="AD1170" s="8"/>
      <c r="AE1170" s="8"/>
      <c r="AF1170" s="12"/>
      <c r="AG1170" s="13"/>
      <c r="AH1170" s="12"/>
      <c r="AI1170" s="13"/>
      <c r="AJ1170" s="12"/>
      <c r="AK1170" s="13"/>
      <c r="AL1170" s="13"/>
      <c r="AM1170" s="13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</row>
    <row r="1171" spans="21:53" ht="22.9">
      <c r="U1171" s="87"/>
      <c r="V1171" s="202"/>
      <c r="X1171" s="87"/>
      <c r="Y1171" s="87"/>
      <c r="AA1171" s="87"/>
      <c r="AB1171" s="13"/>
      <c r="AC1171" s="245"/>
      <c r="AD1171" s="8"/>
      <c r="AE1171" s="8"/>
      <c r="AF1171" s="12"/>
      <c r="AG1171" s="13"/>
      <c r="AH1171" s="12"/>
      <c r="AI1171" s="13"/>
      <c r="AJ1171" s="12"/>
      <c r="AK1171" s="13"/>
      <c r="AL1171" s="13"/>
      <c r="AM1171" s="13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</row>
    <row r="1172" spans="21:53" ht="22.9">
      <c r="U1172" s="87"/>
      <c r="V1172" s="202"/>
      <c r="X1172" s="87"/>
      <c r="Y1172" s="87"/>
      <c r="AA1172" s="87"/>
      <c r="AB1172" s="13"/>
      <c r="AC1172" s="245"/>
      <c r="AD1172" s="8"/>
      <c r="AE1172" s="8"/>
      <c r="AF1172" s="12"/>
      <c r="AG1172" s="13"/>
      <c r="AH1172" s="12"/>
      <c r="AI1172" s="13"/>
      <c r="AJ1172" s="12"/>
      <c r="AK1172" s="13"/>
      <c r="AL1172" s="13"/>
      <c r="AM1172" s="13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</row>
    <row r="1173" spans="21:53" ht="22.9">
      <c r="U1173" s="87"/>
      <c r="V1173" s="202"/>
      <c r="X1173" s="87"/>
      <c r="Y1173" s="87"/>
      <c r="AA1173" s="87"/>
      <c r="AB1173" s="13"/>
      <c r="AC1173" s="245"/>
      <c r="AD1173" s="8"/>
      <c r="AE1173" s="8"/>
      <c r="AF1173" s="12"/>
      <c r="AG1173" s="13"/>
      <c r="AH1173" s="12"/>
      <c r="AI1173" s="13"/>
      <c r="AJ1173" s="12"/>
      <c r="AK1173" s="13"/>
      <c r="AL1173" s="13"/>
      <c r="AM1173" s="13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</row>
    <row r="1174" spans="21:53" ht="22.9">
      <c r="U1174" s="87"/>
      <c r="V1174" s="202"/>
      <c r="X1174" s="87"/>
      <c r="Y1174" s="87"/>
      <c r="AA1174" s="87"/>
      <c r="AB1174" s="13"/>
      <c r="AC1174" s="245"/>
      <c r="AD1174" s="8"/>
      <c r="AE1174" s="8"/>
      <c r="AF1174" s="12"/>
      <c r="AG1174" s="13"/>
      <c r="AH1174" s="12"/>
      <c r="AI1174" s="13"/>
      <c r="AJ1174" s="12"/>
      <c r="AK1174" s="13"/>
      <c r="AL1174" s="13"/>
      <c r="AM1174" s="13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</row>
    <row r="1175" spans="21:53" ht="22.9">
      <c r="U1175" s="87"/>
      <c r="V1175" s="202"/>
      <c r="X1175" s="87"/>
      <c r="Y1175" s="87"/>
      <c r="AA1175" s="87"/>
      <c r="AB1175" s="13"/>
      <c r="AC1175" s="245"/>
      <c r="AD1175" s="8"/>
      <c r="AE1175" s="8"/>
      <c r="AF1175" s="12"/>
      <c r="AG1175" s="13"/>
      <c r="AH1175" s="12"/>
      <c r="AI1175" s="13"/>
      <c r="AJ1175" s="12"/>
      <c r="AK1175" s="13"/>
      <c r="AL1175" s="13"/>
      <c r="AM1175" s="13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  <c r="AZ1175" s="8"/>
      <c r="BA1175" s="8"/>
    </row>
    <row r="1176" spans="21:53" ht="22.9">
      <c r="U1176" s="87"/>
      <c r="V1176" s="202"/>
      <c r="X1176" s="87"/>
      <c r="Y1176" s="87"/>
      <c r="AA1176" s="87"/>
      <c r="AB1176" s="13"/>
      <c r="AC1176" s="245"/>
      <c r="AD1176" s="8"/>
      <c r="AE1176" s="8"/>
      <c r="AF1176" s="12"/>
      <c r="AG1176" s="13"/>
      <c r="AH1176" s="12"/>
      <c r="AI1176" s="13"/>
      <c r="AJ1176" s="12"/>
      <c r="AK1176" s="13"/>
      <c r="AL1176" s="13"/>
      <c r="AM1176" s="13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  <c r="AZ1176" s="8"/>
      <c r="BA1176" s="8"/>
    </row>
    <row r="1177" spans="21:53" ht="22.9">
      <c r="U1177" s="87"/>
      <c r="V1177" s="202"/>
      <c r="X1177" s="87"/>
      <c r="Y1177" s="87"/>
      <c r="AA1177" s="87"/>
      <c r="AB1177" s="13"/>
      <c r="AC1177" s="245"/>
      <c r="AD1177" s="8"/>
      <c r="AE1177" s="8"/>
      <c r="AF1177" s="12"/>
      <c r="AG1177" s="13"/>
      <c r="AH1177" s="12"/>
      <c r="AI1177" s="13"/>
      <c r="AJ1177" s="12"/>
      <c r="AK1177" s="13"/>
      <c r="AL1177" s="13"/>
      <c r="AM1177" s="13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  <c r="AZ1177" s="8"/>
      <c r="BA1177" s="8"/>
    </row>
    <row r="1178" spans="21:53" ht="22.9">
      <c r="U1178" s="87"/>
      <c r="V1178" s="202"/>
      <c r="X1178" s="87"/>
      <c r="Y1178" s="87"/>
      <c r="AA1178" s="87"/>
      <c r="AB1178" s="13"/>
      <c r="AC1178" s="245"/>
      <c r="AD1178" s="8"/>
      <c r="AE1178" s="8"/>
      <c r="AF1178" s="12"/>
      <c r="AG1178" s="13"/>
      <c r="AH1178" s="12"/>
      <c r="AI1178" s="13"/>
      <c r="AJ1178" s="12"/>
      <c r="AK1178" s="13"/>
      <c r="AL1178" s="13"/>
      <c r="AM1178" s="13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  <c r="AZ1178" s="8"/>
      <c r="BA1178" s="8"/>
    </row>
    <row r="1179" spans="21:53" ht="22.9">
      <c r="U1179" s="87"/>
      <c r="V1179" s="202"/>
      <c r="X1179" s="87"/>
      <c r="Y1179" s="87"/>
      <c r="AA1179" s="87"/>
      <c r="AB1179" s="13"/>
      <c r="AC1179" s="245"/>
      <c r="AD1179" s="8"/>
      <c r="AE1179" s="8"/>
      <c r="AF1179" s="12"/>
      <c r="AG1179" s="13"/>
      <c r="AH1179" s="12"/>
      <c r="AI1179" s="13"/>
      <c r="AJ1179" s="12"/>
      <c r="AK1179" s="13"/>
      <c r="AL1179" s="13"/>
      <c r="AM1179" s="13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  <c r="AZ1179" s="8"/>
      <c r="BA1179" s="8"/>
    </row>
    <row r="1180" spans="21:53" ht="22.9">
      <c r="U1180" s="87"/>
      <c r="V1180" s="202"/>
      <c r="X1180" s="87"/>
      <c r="Y1180" s="87"/>
      <c r="AA1180" s="87"/>
      <c r="AB1180" s="13"/>
      <c r="AC1180" s="245"/>
      <c r="AD1180" s="8"/>
      <c r="AE1180" s="8"/>
      <c r="AF1180" s="12"/>
      <c r="AG1180" s="13"/>
      <c r="AH1180" s="12"/>
      <c r="AI1180" s="13"/>
      <c r="AJ1180" s="12"/>
      <c r="AK1180" s="13"/>
      <c r="AL1180" s="13"/>
      <c r="AM1180" s="13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8"/>
      <c r="BA1180" s="8"/>
    </row>
    <row r="1181" spans="21:53" ht="22.9">
      <c r="U1181" s="87"/>
      <c r="V1181" s="202"/>
      <c r="X1181" s="87"/>
      <c r="Y1181" s="87"/>
      <c r="AA1181" s="87"/>
      <c r="AB1181" s="13"/>
      <c r="AC1181" s="245"/>
      <c r="AD1181" s="8"/>
      <c r="AE1181" s="8"/>
      <c r="AF1181" s="12"/>
      <c r="AG1181" s="13"/>
      <c r="AH1181" s="12"/>
      <c r="AI1181" s="13"/>
      <c r="AJ1181" s="12"/>
      <c r="AK1181" s="13"/>
      <c r="AL1181" s="13"/>
      <c r="AM1181" s="13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  <c r="AZ1181" s="8"/>
      <c r="BA1181" s="8"/>
    </row>
    <row r="1182" spans="21:53" ht="22.9">
      <c r="U1182" s="87"/>
      <c r="V1182" s="202"/>
      <c r="X1182" s="87"/>
      <c r="Y1182" s="87"/>
      <c r="AA1182" s="87"/>
      <c r="AB1182" s="13"/>
      <c r="AC1182" s="245"/>
      <c r="AD1182" s="8"/>
      <c r="AE1182" s="8"/>
      <c r="AF1182" s="12"/>
      <c r="AG1182" s="13"/>
      <c r="AH1182" s="12"/>
      <c r="AI1182" s="13"/>
      <c r="AJ1182" s="12"/>
      <c r="AK1182" s="13"/>
      <c r="AL1182" s="13"/>
      <c r="AM1182" s="13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  <c r="AZ1182" s="8"/>
      <c r="BA1182" s="8"/>
    </row>
    <row r="1183" spans="21:53" ht="22.9">
      <c r="U1183" s="87"/>
      <c r="V1183" s="202"/>
      <c r="X1183" s="87"/>
      <c r="Y1183" s="87"/>
      <c r="AA1183" s="87"/>
      <c r="AB1183" s="13"/>
      <c r="AC1183" s="245"/>
      <c r="AD1183" s="8"/>
      <c r="AE1183" s="8"/>
      <c r="AF1183" s="12"/>
      <c r="AG1183" s="13"/>
      <c r="AH1183" s="12"/>
      <c r="AI1183" s="13"/>
      <c r="AJ1183" s="12"/>
      <c r="AK1183" s="13"/>
      <c r="AL1183" s="13"/>
      <c r="AM1183" s="13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  <c r="AZ1183" s="8"/>
      <c r="BA1183" s="8"/>
    </row>
    <row r="1184" spans="21:53" ht="22.9">
      <c r="U1184" s="87"/>
      <c r="V1184" s="202"/>
      <c r="X1184" s="87"/>
      <c r="Y1184" s="87"/>
      <c r="AA1184" s="87"/>
      <c r="AB1184" s="13"/>
      <c r="AC1184" s="245"/>
      <c r="AD1184" s="8"/>
      <c r="AE1184" s="8"/>
      <c r="AF1184" s="12"/>
      <c r="AG1184" s="13"/>
      <c r="AH1184" s="12"/>
      <c r="AI1184" s="13"/>
      <c r="AJ1184" s="12"/>
      <c r="AK1184" s="13"/>
      <c r="AL1184" s="13"/>
      <c r="AM1184" s="13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  <c r="AZ1184" s="8"/>
      <c r="BA1184" s="8"/>
    </row>
    <row r="1185" spans="21:53" ht="22.9">
      <c r="U1185" s="87"/>
      <c r="V1185" s="202"/>
      <c r="X1185" s="87"/>
      <c r="Y1185" s="87"/>
      <c r="AA1185" s="87"/>
      <c r="AB1185" s="13"/>
      <c r="AC1185" s="245"/>
      <c r="AD1185" s="8"/>
      <c r="AE1185" s="8"/>
      <c r="AF1185" s="12"/>
      <c r="AG1185" s="13"/>
      <c r="AH1185" s="12"/>
      <c r="AI1185" s="13"/>
      <c r="AJ1185" s="12"/>
      <c r="AK1185" s="13"/>
      <c r="AL1185" s="13"/>
      <c r="AM1185" s="13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  <c r="AZ1185" s="8"/>
      <c r="BA1185" s="8"/>
    </row>
    <row r="1186" spans="21:53" ht="22.9">
      <c r="U1186" s="87"/>
      <c r="V1186" s="202"/>
      <c r="X1186" s="87"/>
      <c r="Y1186" s="87"/>
      <c r="AA1186" s="87"/>
      <c r="AB1186" s="13"/>
      <c r="AC1186" s="245"/>
      <c r="AD1186" s="8"/>
      <c r="AE1186" s="8"/>
      <c r="AF1186" s="12"/>
      <c r="AG1186" s="13"/>
      <c r="AH1186" s="12"/>
      <c r="AI1186" s="13"/>
      <c r="AJ1186" s="12"/>
      <c r="AK1186" s="13"/>
      <c r="AL1186" s="13"/>
      <c r="AM1186" s="13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  <c r="AZ1186" s="8"/>
      <c r="BA1186" s="8"/>
    </row>
    <row r="1187" spans="21:53" ht="22.9">
      <c r="U1187" s="87"/>
      <c r="V1187" s="202"/>
      <c r="X1187" s="87"/>
      <c r="Y1187" s="87"/>
      <c r="AA1187" s="87"/>
      <c r="AB1187" s="13"/>
      <c r="AC1187" s="245"/>
      <c r="AD1187" s="8"/>
      <c r="AE1187" s="8"/>
      <c r="AF1187" s="12"/>
      <c r="AG1187" s="13"/>
      <c r="AH1187" s="12"/>
      <c r="AI1187" s="13"/>
      <c r="AJ1187" s="12"/>
      <c r="AK1187" s="13"/>
      <c r="AL1187" s="13"/>
      <c r="AM1187" s="13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  <c r="AZ1187" s="8"/>
      <c r="BA1187" s="8"/>
    </row>
    <row r="1188" spans="21:53" ht="22.9">
      <c r="U1188" s="87"/>
      <c r="V1188" s="202"/>
      <c r="X1188" s="87"/>
      <c r="Y1188" s="87"/>
      <c r="AA1188" s="87"/>
      <c r="AB1188" s="13"/>
      <c r="AC1188" s="245"/>
      <c r="AD1188" s="8"/>
      <c r="AE1188" s="8"/>
      <c r="AF1188" s="12"/>
      <c r="AG1188" s="13"/>
      <c r="AH1188" s="12"/>
      <c r="AI1188" s="13"/>
      <c r="AJ1188" s="12"/>
      <c r="AK1188" s="13"/>
      <c r="AL1188" s="13"/>
      <c r="AM1188" s="13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  <c r="AZ1188" s="8"/>
      <c r="BA1188" s="8"/>
    </row>
    <row r="1189" spans="21:53" ht="22.9">
      <c r="U1189" s="87"/>
      <c r="V1189" s="202"/>
      <c r="X1189" s="87"/>
      <c r="Y1189" s="87"/>
      <c r="AA1189" s="87"/>
      <c r="AB1189" s="13"/>
      <c r="AC1189" s="245"/>
      <c r="AD1189" s="8"/>
      <c r="AE1189" s="8"/>
      <c r="AF1189" s="12"/>
      <c r="AG1189" s="13"/>
      <c r="AH1189" s="12"/>
      <c r="AI1189" s="13"/>
      <c r="AJ1189" s="12"/>
      <c r="AK1189" s="13"/>
      <c r="AL1189" s="13"/>
      <c r="AM1189" s="13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  <c r="AZ1189" s="8"/>
      <c r="BA1189" s="8"/>
    </row>
    <row r="1190" spans="21:53" ht="22.9">
      <c r="U1190" s="87"/>
      <c r="V1190" s="202"/>
      <c r="X1190" s="87"/>
      <c r="Y1190" s="87"/>
      <c r="AA1190" s="87"/>
      <c r="AB1190" s="13"/>
      <c r="AC1190" s="245"/>
      <c r="AD1190" s="8"/>
      <c r="AE1190" s="8"/>
      <c r="AF1190" s="12"/>
      <c r="AG1190" s="13"/>
      <c r="AH1190" s="12"/>
      <c r="AI1190" s="13"/>
      <c r="AJ1190" s="12"/>
      <c r="AK1190" s="13"/>
      <c r="AL1190" s="13"/>
      <c r="AM1190" s="13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  <c r="AZ1190" s="8"/>
      <c r="BA1190" s="8"/>
    </row>
    <row r="1191" spans="21:53" ht="22.9">
      <c r="U1191" s="87"/>
      <c r="V1191" s="202"/>
      <c r="X1191" s="87"/>
      <c r="Y1191" s="87"/>
      <c r="AA1191" s="87"/>
      <c r="AB1191" s="13"/>
      <c r="AC1191" s="245"/>
      <c r="AD1191" s="8"/>
      <c r="AE1191" s="8"/>
      <c r="AF1191" s="12"/>
      <c r="AG1191" s="13"/>
      <c r="AH1191" s="12"/>
      <c r="AI1191" s="13"/>
      <c r="AJ1191" s="12"/>
      <c r="AK1191" s="13"/>
      <c r="AL1191" s="13"/>
      <c r="AM1191" s="13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  <c r="AZ1191" s="8"/>
      <c r="BA1191" s="8"/>
    </row>
    <row r="1192" spans="21:53" ht="22.9">
      <c r="U1192" s="87"/>
      <c r="V1192" s="202"/>
      <c r="X1192" s="87"/>
      <c r="Y1192" s="87"/>
      <c r="AA1192" s="87"/>
      <c r="AB1192" s="13"/>
      <c r="AC1192" s="245"/>
      <c r="AD1192" s="8"/>
      <c r="AE1192" s="8"/>
      <c r="AF1192" s="12"/>
      <c r="AG1192" s="13"/>
      <c r="AH1192" s="12"/>
      <c r="AI1192" s="13"/>
      <c r="AJ1192" s="12"/>
      <c r="AK1192" s="13"/>
      <c r="AL1192" s="13"/>
      <c r="AM1192" s="13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  <c r="AZ1192" s="8"/>
      <c r="BA1192" s="8"/>
    </row>
    <row r="1193" spans="21:53" ht="22.9">
      <c r="U1193" s="87"/>
      <c r="V1193" s="202"/>
      <c r="X1193" s="87"/>
      <c r="Y1193" s="87"/>
      <c r="AA1193" s="87"/>
      <c r="AB1193" s="13"/>
      <c r="AC1193" s="245"/>
      <c r="AD1193" s="8"/>
      <c r="AE1193" s="8"/>
      <c r="AF1193" s="12"/>
      <c r="AG1193" s="13"/>
      <c r="AH1193" s="12"/>
      <c r="AI1193" s="13"/>
      <c r="AJ1193" s="12"/>
      <c r="AK1193" s="13"/>
      <c r="AL1193" s="13"/>
      <c r="AM1193" s="13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  <c r="AZ1193" s="8"/>
      <c r="BA1193" s="8"/>
    </row>
    <row r="1194" spans="21:53" ht="22.9">
      <c r="U1194" s="87"/>
      <c r="V1194" s="202"/>
      <c r="X1194" s="87"/>
      <c r="Y1194" s="87"/>
      <c r="AA1194" s="87"/>
      <c r="AB1194" s="13"/>
      <c r="AC1194" s="245"/>
      <c r="AD1194" s="8"/>
      <c r="AE1194" s="8"/>
      <c r="AF1194" s="12"/>
      <c r="AG1194" s="13"/>
      <c r="AH1194" s="12"/>
      <c r="AI1194" s="13"/>
      <c r="AJ1194" s="12"/>
      <c r="AK1194" s="13"/>
      <c r="AL1194" s="13"/>
      <c r="AM1194" s="13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  <c r="AZ1194" s="8"/>
      <c r="BA1194" s="8"/>
    </row>
    <row r="1195" spans="21:53" ht="22.9">
      <c r="U1195" s="87"/>
      <c r="V1195" s="202"/>
      <c r="X1195" s="87"/>
      <c r="Y1195" s="87"/>
      <c r="AA1195" s="87"/>
      <c r="AB1195" s="13"/>
      <c r="AC1195" s="245"/>
      <c r="AD1195" s="8"/>
      <c r="AE1195" s="8"/>
      <c r="AF1195" s="12"/>
      <c r="AG1195" s="13"/>
      <c r="AH1195" s="12"/>
      <c r="AI1195" s="13"/>
      <c r="AJ1195" s="12"/>
      <c r="AK1195" s="13"/>
      <c r="AL1195" s="13"/>
      <c r="AM1195" s="13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8"/>
      <c r="BA1195" s="8"/>
    </row>
    <row r="1196" spans="21:53" ht="22.9">
      <c r="U1196" s="87"/>
      <c r="V1196" s="202"/>
      <c r="X1196" s="87"/>
      <c r="Y1196" s="87"/>
      <c r="AA1196" s="87"/>
      <c r="AB1196" s="13"/>
      <c r="AC1196" s="245"/>
      <c r="AD1196" s="8"/>
      <c r="AE1196" s="8"/>
      <c r="AF1196" s="12"/>
      <c r="AG1196" s="13"/>
      <c r="AH1196" s="12"/>
      <c r="AI1196" s="13"/>
      <c r="AJ1196" s="12"/>
      <c r="AK1196" s="13"/>
      <c r="AL1196" s="13"/>
      <c r="AM1196" s="13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  <c r="AZ1196" s="8"/>
      <c r="BA1196" s="8"/>
    </row>
    <row r="1197" spans="21:53" ht="22.9">
      <c r="U1197" s="87"/>
      <c r="V1197" s="202"/>
      <c r="X1197" s="87"/>
      <c r="Y1197" s="87"/>
      <c r="AA1197" s="87"/>
      <c r="AB1197" s="13"/>
      <c r="AC1197" s="245"/>
      <c r="AD1197" s="8"/>
      <c r="AE1197" s="8"/>
      <c r="AF1197" s="12"/>
      <c r="AG1197" s="13"/>
      <c r="AH1197" s="12"/>
      <c r="AI1197" s="13"/>
      <c r="AJ1197" s="12"/>
      <c r="AK1197" s="13"/>
      <c r="AL1197" s="13"/>
      <c r="AM1197" s="13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  <c r="AZ1197" s="8"/>
      <c r="BA1197" s="8"/>
    </row>
    <row r="1198" spans="21:53" ht="22.9">
      <c r="U1198" s="87"/>
      <c r="V1198" s="202"/>
      <c r="X1198" s="87"/>
      <c r="Y1198" s="87"/>
      <c r="AA1198" s="87"/>
      <c r="AB1198" s="13"/>
      <c r="AC1198" s="245"/>
      <c r="AD1198" s="8"/>
      <c r="AE1198" s="8"/>
      <c r="AF1198" s="12"/>
      <c r="AG1198" s="13"/>
      <c r="AH1198" s="12"/>
      <c r="AI1198" s="13"/>
      <c r="AJ1198" s="12"/>
      <c r="AK1198" s="13"/>
      <c r="AL1198" s="13"/>
      <c r="AM1198" s="13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  <c r="AZ1198" s="8"/>
      <c r="BA1198" s="8"/>
    </row>
    <row r="1199" spans="21:53" ht="22.9">
      <c r="U1199" s="87"/>
      <c r="V1199" s="202"/>
      <c r="X1199" s="87"/>
      <c r="Y1199" s="87"/>
      <c r="AA1199" s="87"/>
      <c r="AB1199" s="13"/>
      <c r="AC1199" s="245"/>
      <c r="AD1199" s="8"/>
      <c r="AE1199" s="8"/>
      <c r="AF1199" s="12"/>
      <c r="AG1199" s="13"/>
      <c r="AH1199" s="12"/>
      <c r="AI1199" s="13"/>
      <c r="AJ1199" s="12"/>
      <c r="AK1199" s="13"/>
      <c r="AL1199" s="13"/>
      <c r="AM1199" s="13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  <c r="AZ1199" s="8"/>
      <c r="BA1199" s="8"/>
    </row>
    <row r="1200" spans="21:53" ht="22.9">
      <c r="U1200" s="87"/>
      <c r="V1200" s="202"/>
      <c r="X1200" s="87"/>
      <c r="Y1200" s="87"/>
      <c r="AA1200" s="87"/>
      <c r="AB1200" s="13"/>
      <c r="AC1200" s="245"/>
      <c r="AD1200" s="8"/>
      <c r="AE1200" s="8"/>
      <c r="AF1200" s="12"/>
      <c r="AG1200" s="13"/>
      <c r="AH1200" s="12"/>
      <c r="AI1200" s="13"/>
      <c r="AJ1200" s="12"/>
      <c r="AK1200" s="13"/>
      <c r="AL1200" s="13"/>
      <c r="AM1200" s="13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  <c r="AZ1200" s="8"/>
      <c r="BA1200" s="8"/>
    </row>
    <row r="1201" spans="21:53" ht="22.9">
      <c r="U1201" s="87"/>
      <c r="V1201" s="202"/>
      <c r="X1201" s="87"/>
      <c r="Y1201" s="87"/>
      <c r="AA1201" s="87"/>
      <c r="AB1201" s="13"/>
      <c r="AC1201" s="245"/>
      <c r="AD1201" s="8"/>
      <c r="AE1201" s="8"/>
      <c r="AF1201" s="12"/>
      <c r="AG1201" s="13"/>
      <c r="AH1201" s="12"/>
      <c r="AI1201" s="13"/>
      <c r="AJ1201" s="12"/>
      <c r="AK1201" s="13"/>
      <c r="AL1201" s="13"/>
      <c r="AM1201" s="13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  <c r="AZ1201" s="8"/>
      <c r="BA1201" s="8"/>
    </row>
    <row r="1202" spans="21:53" ht="22.9">
      <c r="U1202" s="87"/>
      <c r="V1202" s="202"/>
      <c r="X1202" s="87"/>
      <c r="Y1202" s="87"/>
      <c r="AA1202" s="87"/>
      <c r="AB1202" s="13"/>
      <c r="AC1202" s="245"/>
      <c r="AD1202" s="8"/>
      <c r="AE1202" s="8"/>
      <c r="AF1202" s="12"/>
      <c r="AG1202" s="13"/>
      <c r="AH1202" s="12"/>
      <c r="AI1202" s="13"/>
      <c r="AJ1202" s="12"/>
      <c r="AK1202" s="13"/>
      <c r="AL1202" s="13"/>
      <c r="AM1202" s="13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  <c r="AZ1202" s="8"/>
      <c r="BA1202" s="8"/>
    </row>
    <row r="1203" spans="21:53" ht="22.9">
      <c r="U1203" s="87"/>
      <c r="V1203" s="202"/>
      <c r="X1203" s="87"/>
      <c r="Y1203" s="87"/>
      <c r="AA1203" s="87"/>
      <c r="AB1203" s="13"/>
      <c r="AC1203" s="245"/>
      <c r="AD1203" s="8"/>
      <c r="AE1203" s="8"/>
      <c r="AF1203" s="12"/>
      <c r="AG1203" s="13"/>
      <c r="AH1203" s="12"/>
      <c r="AI1203" s="13"/>
      <c r="AJ1203" s="12"/>
      <c r="AK1203" s="13"/>
      <c r="AL1203" s="13"/>
      <c r="AM1203" s="13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  <c r="AZ1203" s="8"/>
      <c r="BA1203" s="8"/>
    </row>
    <row r="1204" spans="21:53" ht="22.9">
      <c r="U1204" s="87"/>
      <c r="V1204" s="202"/>
      <c r="X1204" s="87"/>
      <c r="Y1204" s="87"/>
      <c r="AA1204" s="87"/>
      <c r="AB1204" s="13"/>
      <c r="AC1204" s="245"/>
      <c r="AD1204" s="8"/>
      <c r="AE1204" s="8"/>
      <c r="AF1204" s="12"/>
      <c r="AG1204" s="13"/>
      <c r="AH1204" s="12"/>
      <c r="AI1204" s="13"/>
      <c r="AJ1204" s="12"/>
      <c r="AK1204" s="13"/>
      <c r="AL1204" s="13"/>
      <c r="AM1204" s="13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  <c r="AZ1204" s="8"/>
      <c r="BA1204" s="8"/>
    </row>
    <row r="1205" spans="21:53" ht="22.9">
      <c r="U1205" s="87"/>
      <c r="V1205" s="202"/>
      <c r="X1205" s="87"/>
      <c r="Y1205" s="87"/>
      <c r="AA1205" s="87"/>
      <c r="AB1205" s="13"/>
      <c r="AC1205" s="245"/>
      <c r="AD1205" s="8"/>
      <c r="AE1205" s="8"/>
      <c r="AF1205" s="12"/>
      <c r="AG1205" s="13"/>
      <c r="AH1205" s="12"/>
      <c r="AI1205" s="13"/>
      <c r="AJ1205" s="12"/>
      <c r="AK1205" s="13"/>
      <c r="AL1205" s="13"/>
      <c r="AM1205" s="13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  <c r="AZ1205" s="8"/>
      <c r="BA1205" s="8"/>
    </row>
    <row r="1206" spans="21:53" ht="22.9">
      <c r="U1206" s="87"/>
      <c r="V1206" s="202"/>
      <c r="X1206" s="87"/>
      <c r="Y1206" s="87"/>
      <c r="AA1206" s="87"/>
      <c r="AB1206" s="13"/>
      <c r="AC1206" s="245"/>
      <c r="AD1206" s="8"/>
      <c r="AE1206" s="8"/>
      <c r="AF1206" s="12"/>
      <c r="AG1206" s="13"/>
      <c r="AH1206" s="12"/>
      <c r="AI1206" s="13"/>
      <c r="AJ1206" s="12"/>
      <c r="AK1206" s="13"/>
      <c r="AL1206" s="13"/>
      <c r="AM1206" s="13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  <c r="AZ1206" s="8"/>
      <c r="BA1206" s="8"/>
    </row>
    <row r="1207" spans="21:53" ht="22.9">
      <c r="U1207" s="87"/>
      <c r="V1207" s="202"/>
      <c r="X1207" s="87"/>
      <c r="Y1207" s="87"/>
      <c r="AA1207" s="87"/>
      <c r="AB1207" s="13"/>
      <c r="AC1207" s="245"/>
      <c r="AD1207" s="8"/>
      <c r="AE1207" s="8"/>
      <c r="AF1207" s="12"/>
      <c r="AG1207" s="13"/>
      <c r="AH1207" s="12"/>
      <c r="AI1207" s="13"/>
      <c r="AJ1207" s="12"/>
      <c r="AK1207" s="13"/>
      <c r="AL1207" s="13"/>
      <c r="AM1207" s="13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  <c r="AZ1207" s="8"/>
      <c r="BA1207" s="8"/>
    </row>
    <row r="1208" spans="21:53" ht="22.9">
      <c r="U1208" s="87"/>
      <c r="V1208" s="202"/>
      <c r="X1208" s="87"/>
      <c r="Y1208" s="87"/>
      <c r="AA1208" s="87"/>
      <c r="AB1208" s="13"/>
      <c r="AC1208" s="245"/>
      <c r="AD1208" s="8"/>
      <c r="AE1208" s="8"/>
      <c r="AF1208" s="12"/>
      <c r="AG1208" s="13"/>
      <c r="AH1208" s="12"/>
      <c r="AI1208" s="13"/>
      <c r="AJ1208" s="12"/>
      <c r="AK1208" s="13"/>
      <c r="AL1208" s="13"/>
      <c r="AM1208" s="13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  <c r="AZ1208" s="8"/>
      <c r="BA1208" s="8"/>
    </row>
    <row r="1209" spans="21:53" ht="22.9">
      <c r="U1209" s="87"/>
      <c r="V1209" s="202"/>
      <c r="X1209" s="87"/>
      <c r="Y1209" s="87"/>
      <c r="AA1209" s="87"/>
      <c r="AB1209" s="13"/>
      <c r="AC1209" s="245"/>
      <c r="AD1209" s="8"/>
      <c r="AE1209" s="8"/>
      <c r="AF1209" s="12"/>
      <c r="AG1209" s="13"/>
      <c r="AH1209" s="12"/>
      <c r="AI1209" s="13"/>
      <c r="AJ1209" s="12"/>
      <c r="AK1209" s="13"/>
      <c r="AL1209" s="13"/>
      <c r="AM1209" s="13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  <c r="AZ1209" s="8"/>
      <c r="BA1209" s="8"/>
    </row>
    <row r="1210" spans="21:53" ht="22.9">
      <c r="U1210" s="87"/>
      <c r="V1210" s="202"/>
      <c r="X1210" s="87"/>
      <c r="Y1210" s="87"/>
      <c r="AA1210" s="87"/>
      <c r="AB1210" s="13"/>
      <c r="AC1210" s="245"/>
      <c r="AD1210" s="8"/>
      <c r="AE1210" s="8"/>
      <c r="AF1210" s="12"/>
      <c r="AG1210" s="13"/>
      <c r="AH1210" s="12"/>
      <c r="AI1210" s="13"/>
      <c r="AJ1210" s="12"/>
      <c r="AK1210" s="13"/>
      <c r="AL1210" s="13"/>
      <c r="AM1210" s="13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  <c r="AZ1210" s="8"/>
      <c r="BA1210" s="8"/>
    </row>
    <row r="1211" spans="21:53" ht="22.9">
      <c r="U1211" s="87"/>
      <c r="V1211" s="202"/>
      <c r="X1211" s="87"/>
      <c r="Y1211" s="87"/>
      <c r="AA1211" s="87"/>
      <c r="AB1211" s="13"/>
      <c r="AC1211" s="245"/>
      <c r="AD1211" s="8"/>
      <c r="AE1211" s="8"/>
      <c r="AF1211" s="12"/>
      <c r="AG1211" s="13"/>
      <c r="AH1211" s="12"/>
      <c r="AI1211" s="13"/>
      <c r="AJ1211" s="12"/>
      <c r="AK1211" s="13"/>
      <c r="AL1211" s="13"/>
      <c r="AM1211" s="13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  <c r="AZ1211" s="8"/>
      <c r="BA1211" s="8"/>
    </row>
    <row r="1212" spans="21:53" ht="22.9">
      <c r="U1212" s="87"/>
      <c r="V1212" s="202"/>
      <c r="X1212" s="87"/>
      <c r="Y1212" s="87"/>
      <c r="AA1212" s="87"/>
      <c r="AB1212" s="13"/>
      <c r="AC1212" s="245"/>
      <c r="AD1212" s="8"/>
      <c r="AE1212" s="8"/>
      <c r="AF1212" s="12"/>
      <c r="AG1212" s="13"/>
      <c r="AH1212" s="12"/>
      <c r="AI1212" s="13"/>
      <c r="AJ1212" s="12"/>
      <c r="AK1212" s="13"/>
      <c r="AL1212" s="13"/>
      <c r="AM1212" s="13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  <c r="AZ1212" s="8"/>
      <c r="BA1212" s="8"/>
    </row>
    <row r="1213" spans="21:53" ht="22.9">
      <c r="U1213" s="87"/>
      <c r="V1213" s="202"/>
      <c r="X1213" s="87"/>
      <c r="Y1213" s="87"/>
      <c r="AA1213" s="87"/>
      <c r="AB1213" s="13"/>
      <c r="AC1213" s="245"/>
      <c r="AD1213" s="8"/>
      <c r="AE1213" s="8"/>
      <c r="AF1213" s="12"/>
      <c r="AG1213" s="13"/>
      <c r="AH1213" s="12"/>
      <c r="AI1213" s="13"/>
      <c r="AJ1213" s="12"/>
      <c r="AK1213" s="13"/>
      <c r="AL1213" s="13"/>
      <c r="AM1213" s="13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  <c r="AZ1213" s="8"/>
      <c r="BA1213" s="8"/>
    </row>
    <row r="1214" spans="21:53" ht="22.9">
      <c r="U1214" s="87"/>
      <c r="V1214" s="202"/>
      <c r="X1214" s="87"/>
      <c r="Y1214" s="87"/>
      <c r="AA1214" s="87"/>
      <c r="AB1214" s="13"/>
      <c r="AC1214" s="245"/>
      <c r="AD1214" s="8"/>
      <c r="AE1214" s="8"/>
      <c r="AF1214" s="12"/>
      <c r="AG1214" s="13"/>
      <c r="AH1214" s="12"/>
      <c r="AI1214" s="13"/>
      <c r="AJ1214" s="12"/>
      <c r="AK1214" s="13"/>
      <c r="AL1214" s="13"/>
      <c r="AM1214" s="13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  <c r="AZ1214" s="8"/>
      <c r="BA1214" s="8"/>
    </row>
    <row r="1215" spans="21:53" ht="22.9">
      <c r="U1215" s="87"/>
      <c r="V1215" s="202"/>
      <c r="X1215" s="87"/>
      <c r="Y1215" s="87"/>
      <c r="AA1215" s="87"/>
      <c r="AB1215" s="13"/>
      <c r="AC1215" s="245"/>
      <c r="AD1215" s="8"/>
      <c r="AE1215" s="8"/>
      <c r="AF1215" s="12"/>
      <c r="AG1215" s="13"/>
      <c r="AH1215" s="12"/>
      <c r="AI1215" s="13"/>
      <c r="AJ1215" s="12"/>
      <c r="AK1215" s="13"/>
      <c r="AL1215" s="13"/>
      <c r="AM1215" s="13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  <c r="AZ1215" s="8"/>
      <c r="BA1215" s="8"/>
    </row>
    <row r="1216" spans="21:53" ht="22.9">
      <c r="U1216" s="87"/>
      <c r="V1216" s="202"/>
      <c r="X1216" s="87"/>
      <c r="Y1216" s="87"/>
      <c r="AA1216" s="87"/>
      <c r="AB1216" s="13"/>
      <c r="AC1216" s="245"/>
      <c r="AD1216" s="8"/>
      <c r="AE1216" s="8"/>
      <c r="AF1216" s="12"/>
      <c r="AG1216" s="13"/>
      <c r="AH1216" s="12"/>
      <c r="AI1216" s="13"/>
      <c r="AJ1216" s="12"/>
      <c r="AK1216" s="13"/>
      <c r="AL1216" s="13"/>
      <c r="AM1216" s="13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  <c r="AZ1216" s="8"/>
      <c r="BA1216" s="8"/>
    </row>
    <row r="1217" spans="21:53" ht="22.9">
      <c r="U1217" s="87"/>
      <c r="V1217" s="202"/>
      <c r="X1217" s="87"/>
      <c r="Y1217" s="87"/>
      <c r="AA1217" s="87"/>
      <c r="AB1217" s="13"/>
      <c r="AC1217" s="245"/>
      <c r="AD1217" s="8"/>
      <c r="AE1217" s="8"/>
      <c r="AF1217" s="12"/>
      <c r="AG1217" s="13"/>
      <c r="AH1217" s="12"/>
      <c r="AI1217" s="13"/>
      <c r="AJ1217" s="12"/>
      <c r="AK1217" s="13"/>
      <c r="AL1217" s="13"/>
      <c r="AM1217" s="13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  <c r="AZ1217" s="8"/>
      <c r="BA1217" s="8"/>
    </row>
    <row r="1218" spans="21:53" ht="22.9">
      <c r="U1218" s="87"/>
      <c r="V1218" s="202"/>
      <c r="X1218" s="87"/>
      <c r="Y1218" s="87"/>
      <c r="AA1218" s="87"/>
      <c r="AB1218" s="13"/>
      <c r="AC1218" s="245"/>
      <c r="AD1218" s="8"/>
      <c r="AE1218" s="8"/>
      <c r="AF1218" s="12"/>
      <c r="AG1218" s="13"/>
      <c r="AH1218" s="12"/>
      <c r="AI1218" s="13"/>
      <c r="AJ1218" s="12"/>
      <c r="AK1218" s="13"/>
      <c r="AL1218" s="13"/>
      <c r="AM1218" s="13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  <c r="AZ1218" s="8"/>
      <c r="BA1218" s="8"/>
    </row>
    <row r="1219" spans="21:53" ht="22.9">
      <c r="U1219" s="87"/>
      <c r="V1219" s="202"/>
      <c r="X1219" s="87"/>
      <c r="Y1219" s="87"/>
      <c r="AA1219" s="87"/>
      <c r="AB1219" s="13"/>
      <c r="AC1219" s="245"/>
      <c r="AD1219" s="8"/>
      <c r="AE1219" s="8"/>
      <c r="AF1219" s="12"/>
      <c r="AG1219" s="13"/>
      <c r="AH1219" s="12"/>
      <c r="AI1219" s="13"/>
      <c r="AJ1219" s="12"/>
      <c r="AK1219" s="13"/>
      <c r="AL1219" s="13"/>
      <c r="AM1219" s="13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  <c r="AZ1219" s="8"/>
      <c r="BA1219" s="8"/>
    </row>
    <row r="1220" spans="21:53" ht="22.9">
      <c r="U1220" s="87"/>
      <c r="V1220" s="202"/>
      <c r="X1220" s="87"/>
      <c r="Y1220" s="87"/>
      <c r="AA1220" s="87"/>
      <c r="AB1220" s="13"/>
      <c r="AC1220" s="245"/>
      <c r="AD1220" s="8"/>
      <c r="AE1220" s="8"/>
      <c r="AF1220" s="12"/>
      <c r="AG1220" s="13"/>
      <c r="AH1220" s="12"/>
      <c r="AI1220" s="13"/>
      <c r="AJ1220" s="12"/>
      <c r="AK1220" s="13"/>
      <c r="AL1220" s="13"/>
      <c r="AM1220" s="13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  <c r="AZ1220" s="8"/>
      <c r="BA1220" s="8"/>
    </row>
    <row r="1221" spans="21:53" ht="22.9">
      <c r="U1221" s="87"/>
      <c r="V1221" s="202"/>
      <c r="X1221" s="87"/>
      <c r="Y1221" s="87"/>
      <c r="AA1221" s="87"/>
      <c r="AB1221" s="13"/>
      <c r="AC1221" s="245"/>
      <c r="AD1221" s="8"/>
      <c r="AE1221" s="8"/>
      <c r="AF1221" s="12"/>
      <c r="AG1221" s="13"/>
      <c r="AH1221" s="12"/>
      <c r="AI1221" s="13"/>
      <c r="AJ1221" s="12"/>
      <c r="AK1221" s="13"/>
      <c r="AL1221" s="13"/>
      <c r="AM1221" s="13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  <c r="AZ1221" s="8"/>
      <c r="BA1221" s="8"/>
    </row>
    <row r="1222" spans="21:53" ht="22.9">
      <c r="U1222" s="87"/>
      <c r="V1222" s="202"/>
      <c r="X1222" s="87"/>
      <c r="Y1222" s="87"/>
      <c r="AA1222" s="87"/>
      <c r="AB1222" s="13"/>
      <c r="AC1222" s="245"/>
      <c r="AD1222" s="8"/>
      <c r="AE1222" s="8"/>
      <c r="AF1222" s="12"/>
      <c r="AG1222" s="13"/>
      <c r="AH1222" s="12"/>
      <c r="AI1222" s="13"/>
      <c r="AJ1222" s="12"/>
      <c r="AK1222" s="13"/>
      <c r="AL1222" s="13"/>
      <c r="AM1222" s="13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  <c r="AZ1222" s="8"/>
      <c r="BA1222" s="8"/>
    </row>
    <row r="1223" spans="21:53" ht="22.9">
      <c r="U1223" s="87"/>
      <c r="V1223" s="202"/>
      <c r="X1223" s="87"/>
      <c r="Y1223" s="87"/>
      <c r="AA1223" s="87"/>
      <c r="AB1223" s="13"/>
      <c r="AC1223" s="245"/>
      <c r="AD1223" s="8"/>
      <c r="AE1223" s="8"/>
      <c r="AF1223" s="12"/>
      <c r="AG1223" s="13"/>
      <c r="AH1223" s="12"/>
      <c r="AI1223" s="13"/>
      <c r="AJ1223" s="12"/>
      <c r="AK1223" s="13"/>
      <c r="AL1223" s="13"/>
      <c r="AM1223" s="13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  <c r="AZ1223" s="8"/>
      <c r="BA1223" s="8"/>
    </row>
    <row r="1224" spans="21:53" ht="22.9">
      <c r="U1224" s="87"/>
      <c r="V1224" s="202"/>
      <c r="X1224" s="87"/>
      <c r="Y1224" s="87"/>
      <c r="AA1224" s="87"/>
      <c r="AB1224" s="13"/>
      <c r="AC1224" s="245"/>
      <c r="AD1224" s="8"/>
      <c r="AE1224" s="8"/>
      <c r="AF1224" s="12"/>
      <c r="AG1224" s="13"/>
      <c r="AH1224" s="12"/>
      <c r="AI1224" s="13"/>
      <c r="AJ1224" s="12"/>
      <c r="AK1224" s="13"/>
      <c r="AL1224" s="13"/>
      <c r="AM1224" s="13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  <c r="AZ1224" s="8"/>
      <c r="BA1224" s="8"/>
    </row>
    <row r="1225" spans="21:53" ht="22.9">
      <c r="U1225" s="87"/>
      <c r="V1225" s="202"/>
      <c r="X1225" s="87"/>
      <c r="Y1225" s="87"/>
      <c r="AA1225" s="87"/>
      <c r="AB1225" s="13"/>
      <c r="AC1225" s="245"/>
      <c r="AD1225" s="8"/>
      <c r="AE1225" s="8"/>
      <c r="AF1225" s="12"/>
      <c r="AG1225" s="13"/>
      <c r="AH1225" s="12"/>
      <c r="AI1225" s="13"/>
      <c r="AJ1225" s="12"/>
      <c r="AK1225" s="13"/>
      <c r="AL1225" s="13"/>
      <c r="AM1225" s="13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  <c r="AZ1225" s="8"/>
      <c r="BA1225" s="8"/>
    </row>
    <row r="1226" spans="21:53" ht="22.9">
      <c r="U1226" s="87"/>
      <c r="V1226" s="202"/>
      <c r="X1226" s="87"/>
      <c r="Y1226" s="87"/>
      <c r="AA1226" s="87"/>
      <c r="AB1226" s="13"/>
      <c r="AC1226" s="245"/>
      <c r="AD1226" s="8"/>
      <c r="AE1226" s="8"/>
      <c r="AF1226" s="12"/>
      <c r="AG1226" s="13"/>
      <c r="AH1226" s="12"/>
      <c r="AI1226" s="13"/>
      <c r="AJ1226" s="12"/>
      <c r="AK1226" s="13"/>
      <c r="AL1226" s="13"/>
      <c r="AM1226" s="13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  <c r="AZ1226" s="8"/>
      <c r="BA1226" s="8"/>
    </row>
    <row r="1227" spans="21:53" ht="22.9">
      <c r="U1227" s="87"/>
      <c r="V1227" s="202"/>
      <c r="X1227" s="87"/>
      <c r="Y1227" s="87"/>
      <c r="AA1227" s="87"/>
      <c r="AB1227" s="13"/>
      <c r="AC1227" s="245"/>
      <c r="AD1227" s="8"/>
      <c r="AE1227" s="8"/>
      <c r="AF1227" s="12"/>
      <c r="AG1227" s="13"/>
      <c r="AH1227" s="12"/>
      <c r="AI1227" s="13"/>
      <c r="AJ1227" s="12"/>
      <c r="AK1227" s="13"/>
      <c r="AL1227" s="13"/>
      <c r="AM1227" s="13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  <c r="AZ1227" s="8"/>
      <c r="BA1227" s="8"/>
    </row>
    <row r="1228" spans="21:53" ht="22.9">
      <c r="U1228" s="87"/>
      <c r="V1228" s="202"/>
      <c r="X1228" s="87"/>
      <c r="Y1228" s="87"/>
      <c r="AA1228" s="87"/>
      <c r="AB1228" s="13"/>
      <c r="AC1228" s="245"/>
      <c r="AD1228" s="8"/>
      <c r="AE1228" s="8"/>
      <c r="AF1228" s="12"/>
      <c r="AG1228" s="13"/>
      <c r="AH1228" s="12"/>
      <c r="AI1228" s="13"/>
      <c r="AJ1228" s="12"/>
      <c r="AK1228" s="13"/>
      <c r="AL1228" s="13"/>
      <c r="AM1228" s="13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  <c r="AZ1228" s="8"/>
      <c r="BA1228" s="8"/>
    </row>
    <row r="1229" spans="21:53" ht="22.9">
      <c r="U1229" s="87"/>
      <c r="V1229" s="202"/>
      <c r="X1229" s="87"/>
      <c r="Y1229" s="87"/>
      <c r="AA1229" s="87"/>
      <c r="AB1229" s="13"/>
      <c r="AC1229" s="245"/>
      <c r="AD1229" s="8"/>
      <c r="AE1229" s="8"/>
      <c r="AF1229" s="12"/>
      <c r="AG1229" s="13"/>
      <c r="AH1229" s="12"/>
      <c r="AI1229" s="13"/>
      <c r="AJ1229" s="12"/>
      <c r="AK1229" s="13"/>
      <c r="AL1229" s="13"/>
      <c r="AM1229" s="13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  <c r="AZ1229" s="8"/>
      <c r="BA1229" s="8"/>
    </row>
    <row r="1230" spans="21:53" ht="22.9">
      <c r="U1230" s="87"/>
      <c r="V1230" s="202"/>
      <c r="X1230" s="87"/>
      <c r="Y1230" s="87"/>
      <c r="AA1230" s="87"/>
      <c r="AB1230" s="13"/>
      <c r="AC1230" s="245"/>
      <c r="AD1230" s="8"/>
      <c r="AE1230" s="8"/>
      <c r="AF1230" s="12"/>
      <c r="AG1230" s="13"/>
      <c r="AH1230" s="12"/>
      <c r="AI1230" s="13"/>
      <c r="AJ1230" s="12"/>
      <c r="AK1230" s="13"/>
      <c r="AL1230" s="13"/>
      <c r="AM1230" s="13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  <c r="AZ1230" s="8"/>
      <c r="BA1230" s="8"/>
    </row>
    <row r="1231" spans="21:53" ht="22.9">
      <c r="U1231" s="87"/>
      <c r="V1231" s="202"/>
      <c r="X1231" s="87"/>
      <c r="Y1231" s="87"/>
      <c r="AA1231" s="87"/>
      <c r="AB1231" s="13"/>
      <c r="AC1231" s="245"/>
      <c r="AD1231" s="8"/>
      <c r="AE1231" s="8"/>
      <c r="AF1231" s="12"/>
      <c r="AG1231" s="13"/>
      <c r="AH1231" s="12"/>
      <c r="AI1231" s="13"/>
      <c r="AJ1231" s="12"/>
      <c r="AK1231" s="13"/>
      <c r="AL1231" s="13"/>
      <c r="AM1231" s="13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  <c r="AZ1231" s="8"/>
      <c r="BA1231" s="8"/>
    </row>
    <row r="1232" spans="21:53" ht="22.9">
      <c r="U1232" s="87"/>
      <c r="V1232" s="202"/>
      <c r="X1232" s="87"/>
      <c r="Y1232" s="87"/>
      <c r="AA1232" s="87"/>
      <c r="AB1232" s="13"/>
      <c r="AC1232" s="245"/>
      <c r="AD1232" s="8"/>
      <c r="AE1232" s="8"/>
      <c r="AF1232" s="12"/>
      <c r="AG1232" s="13"/>
      <c r="AH1232" s="12"/>
      <c r="AI1232" s="13"/>
      <c r="AJ1232" s="12"/>
      <c r="AK1232" s="13"/>
      <c r="AL1232" s="13"/>
      <c r="AM1232" s="13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  <c r="AZ1232" s="8"/>
      <c r="BA1232" s="8"/>
    </row>
    <row r="1233" spans="21:53" ht="22.9">
      <c r="U1233" s="87"/>
      <c r="V1233" s="202"/>
      <c r="X1233" s="87"/>
      <c r="Y1233" s="87"/>
      <c r="AA1233" s="87"/>
      <c r="AB1233" s="13"/>
      <c r="AC1233" s="245"/>
      <c r="AD1233" s="8"/>
      <c r="AE1233" s="8"/>
      <c r="AF1233" s="12"/>
      <c r="AG1233" s="13"/>
      <c r="AH1233" s="12"/>
      <c r="AI1233" s="13"/>
      <c r="AJ1233" s="12"/>
      <c r="AK1233" s="13"/>
      <c r="AL1233" s="13"/>
      <c r="AM1233" s="13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  <c r="AZ1233" s="8"/>
      <c r="BA1233" s="8"/>
    </row>
    <row r="1234" spans="21:53" ht="22.9">
      <c r="U1234" s="87"/>
      <c r="V1234" s="202"/>
      <c r="X1234" s="87"/>
      <c r="Y1234" s="87"/>
      <c r="AA1234" s="87"/>
      <c r="AB1234" s="13"/>
      <c r="AC1234" s="245"/>
      <c r="AD1234" s="8"/>
      <c r="AE1234" s="8"/>
      <c r="AF1234" s="12"/>
      <c r="AG1234" s="13"/>
      <c r="AH1234" s="12"/>
      <c r="AI1234" s="13"/>
      <c r="AJ1234" s="12"/>
      <c r="AK1234" s="13"/>
      <c r="AL1234" s="13"/>
      <c r="AM1234" s="13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  <c r="AZ1234" s="8"/>
      <c r="BA1234" s="8"/>
    </row>
    <row r="1235" spans="21:53" ht="22.9">
      <c r="U1235" s="87"/>
      <c r="V1235" s="202"/>
      <c r="X1235" s="87"/>
      <c r="Y1235" s="87"/>
      <c r="AA1235" s="87"/>
      <c r="AB1235" s="13"/>
      <c r="AC1235" s="245"/>
      <c r="AD1235" s="8"/>
      <c r="AE1235" s="8"/>
      <c r="AF1235" s="12"/>
      <c r="AG1235" s="13"/>
      <c r="AH1235" s="12"/>
      <c r="AI1235" s="13"/>
      <c r="AJ1235" s="12"/>
      <c r="AK1235" s="13"/>
      <c r="AL1235" s="13"/>
      <c r="AM1235" s="13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  <c r="AZ1235" s="8"/>
      <c r="BA1235" s="8"/>
    </row>
    <row r="1236" spans="21:53" ht="22.9">
      <c r="U1236" s="87"/>
      <c r="V1236" s="202"/>
      <c r="X1236" s="87"/>
      <c r="Y1236" s="87"/>
      <c r="AA1236" s="87"/>
      <c r="AB1236" s="13"/>
      <c r="AC1236" s="245"/>
      <c r="AD1236" s="8"/>
      <c r="AE1236" s="8"/>
      <c r="AF1236" s="12"/>
      <c r="AG1236" s="13"/>
      <c r="AH1236" s="12"/>
      <c r="AI1236" s="13"/>
      <c r="AJ1236" s="12"/>
      <c r="AK1236" s="13"/>
      <c r="AL1236" s="13"/>
      <c r="AM1236" s="13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  <c r="AZ1236" s="8"/>
      <c r="BA1236" s="8"/>
    </row>
    <row r="1237" spans="21:53" ht="22.9">
      <c r="U1237" s="87"/>
      <c r="V1237" s="202"/>
      <c r="X1237" s="87"/>
      <c r="Y1237" s="87"/>
      <c r="AA1237" s="87"/>
      <c r="AB1237" s="13"/>
      <c r="AC1237" s="245"/>
      <c r="AD1237" s="8"/>
      <c r="AE1237" s="8"/>
      <c r="AF1237" s="12"/>
      <c r="AG1237" s="13"/>
      <c r="AH1237" s="12"/>
      <c r="AI1237" s="13"/>
      <c r="AJ1237" s="12"/>
      <c r="AK1237" s="13"/>
      <c r="AL1237" s="13"/>
      <c r="AM1237" s="13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8"/>
      <c r="BA1237" s="8"/>
    </row>
    <row r="1238" spans="21:53" ht="22.9">
      <c r="U1238" s="87"/>
      <c r="V1238" s="202"/>
      <c r="X1238" s="87"/>
      <c r="Y1238" s="87"/>
      <c r="AA1238" s="87"/>
      <c r="AB1238" s="13"/>
      <c r="AC1238" s="245"/>
      <c r="AD1238" s="8"/>
      <c r="AE1238" s="8"/>
      <c r="AF1238" s="12"/>
      <c r="AG1238" s="13"/>
      <c r="AH1238" s="12"/>
      <c r="AI1238" s="13"/>
      <c r="AJ1238" s="12"/>
      <c r="AK1238" s="13"/>
      <c r="AL1238" s="13"/>
      <c r="AM1238" s="13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  <c r="AZ1238" s="8"/>
      <c r="BA1238" s="8"/>
    </row>
    <row r="1239" spans="21:53" ht="22.9">
      <c r="U1239" s="87"/>
      <c r="V1239" s="202"/>
      <c r="X1239" s="87"/>
      <c r="Y1239" s="87"/>
      <c r="AA1239" s="87"/>
      <c r="AB1239" s="13"/>
      <c r="AC1239" s="245"/>
      <c r="AD1239" s="8"/>
      <c r="AE1239" s="8"/>
      <c r="AF1239" s="12"/>
      <c r="AG1239" s="13"/>
      <c r="AH1239" s="12"/>
      <c r="AI1239" s="13"/>
      <c r="AJ1239" s="12"/>
      <c r="AK1239" s="13"/>
      <c r="AL1239" s="13"/>
      <c r="AM1239" s="13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  <c r="AZ1239" s="8"/>
      <c r="BA1239" s="8"/>
    </row>
    <row r="1240" spans="21:53" ht="22.9">
      <c r="U1240" s="87"/>
      <c r="V1240" s="202"/>
      <c r="X1240" s="87"/>
      <c r="Y1240" s="87"/>
      <c r="AA1240" s="87"/>
      <c r="AB1240" s="13"/>
      <c r="AC1240" s="245"/>
      <c r="AD1240" s="8"/>
      <c r="AE1240" s="8"/>
      <c r="AF1240" s="12"/>
      <c r="AG1240" s="13"/>
      <c r="AH1240" s="12"/>
      <c r="AI1240" s="13"/>
      <c r="AJ1240" s="12"/>
      <c r="AK1240" s="13"/>
      <c r="AL1240" s="13"/>
      <c r="AM1240" s="13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  <c r="AZ1240" s="8"/>
      <c r="BA1240" s="8"/>
    </row>
    <row r="1241" spans="21:53" ht="22.9">
      <c r="U1241" s="87"/>
      <c r="V1241" s="202"/>
      <c r="X1241" s="87"/>
      <c r="Y1241" s="87"/>
      <c r="AA1241" s="87"/>
      <c r="AB1241" s="13"/>
      <c r="AC1241" s="245"/>
      <c r="AD1241" s="8"/>
      <c r="AE1241" s="8"/>
      <c r="AF1241" s="12"/>
      <c r="AG1241" s="13"/>
      <c r="AH1241" s="12"/>
      <c r="AI1241" s="13"/>
      <c r="AJ1241" s="12"/>
      <c r="AK1241" s="13"/>
      <c r="AL1241" s="13"/>
      <c r="AM1241" s="13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  <c r="AZ1241" s="8"/>
      <c r="BA1241" s="8"/>
    </row>
    <row r="1242" spans="21:53" ht="22.9">
      <c r="U1242" s="87"/>
      <c r="V1242" s="202"/>
      <c r="X1242" s="87"/>
      <c r="Y1242" s="87"/>
      <c r="AA1242" s="87"/>
      <c r="AB1242" s="13"/>
      <c r="AC1242" s="245"/>
      <c r="AD1242" s="8"/>
      <c r="AE1242" s="8"/>
      <c r="AF1242" s="12"/>
      <c r="AG1242" s="13"/>
      <c r="AH1242" s="12"/>
      <c r="AI1242" s="13"/>
      <c r="AJ1242" s="12"/>
      <c r="AK1242" s="13"/>
      <c r="AL1242" s="13"/>
      <c r="AM1242" s="13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  <c r="AZ1242" s="8"/>
      <c r="BA1242" s="8"/>
    </row>
    <row r="1243" spans="21:53" ht="22.9">
      <c r="U1243" s="87"/>
      <c r="V1243" s="202"/>
      <c r="X1243" s="87"/>
      <c r="Y1243" s="87"/>
      <c r="AA1243" s="87"/>
      <c r="AB1243" s="13"/>
      <c r="AC1243" s="245"/>
      <c r="AD1243" s="8"/>
      <c r="AE1243" s="8"/>
      <c r="AF1243" s="12"/>
      <c r="AG1243" s="13"/>
      <c r="AH1243" s="12"/>
      <c r="AI1243" s="13"/>
      <c r="AJ1243" s="12"/>
      <c r="AK1243" s="13"/>
      <c r="AL1243" s="13"/>
      <c r="AM1243" s="13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  <c r="AZ1243" s="8"/>
      <c r="BA1243" s="8"/>
    </row>
    <row r="1244" spans="21:53" ht="22.9">
      <c r="U1244" s="87"/>
      <c r="V1244" s="202"/>
      <c r="X1244" s="87"/>
      <c r="Y1244" s="87"/>
      <c r="AA1244" s="87"/>
      <c r="AB1244" s="13"/>
      <c r="AC1244" s="245"/>
      <c r="AD1244" s="8"/>
      <c r="AE1244" s="8"/>
      <c r="AF1244" s="12"/>
      <c r="AG1244" s="13"/>
      <c r="AH1244" s="12"/>
      <c r="AI1244" s="13"/>
      <c r="AJ1244" s="12"/>
      <c r="AK1244" s="13"/>
      <c r="AL1244" s="13"/>
      <c r="AM1244" s="13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  <c r="AZ1244" s="8"/>
      <c r="BA1244" s="8"/>
    </row>
    <row r="1245" spans="21:53" ht="22.9">
      <c r="U1245" s="87"/>
      <c r="V1245" s="202"/>
      <c r="X1245" s="87"/>
      <c r="Y1245" s="87"/>
      <c r="AA1245" s="87"/>
      <c r="AB1245" s="13"/>
      <c r="AC1245" s="245"/>
      <c r="AD1245" s="8"/>
      <c r="AE1245" s="8"/>
      <c r="AF1245" s="12"/>
      <c r="AG1245" s="13"/>
      <c r="AH1245" s="12"/>
      <c r="AI1245" s="13"/>
      <c r="AJ1245" s="12"/>
      <c r="AK1245" s="13"/>
      <c r="AL1245" s="13"/>
      <c r="AM1245" s="13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  <c r="AZ1245" s="8"/>
      <c r="BA1245" s="8"/>
    </row>
    <row r="1246" spans="21:53" ht="22.9">
      <c r="U1246" s="87"/>
      <c r="V1246" s="202"/>
      <c r="X1246" s="87"/>
      <c r="Y1246" s="87"/>
      <c r="AA1246" s="87"/>
      <c r="AB1246" s="13"/>
      <c r="AC1246" s="245"/>
      <c r="AD1246" s="8"/>
      <c r="AE1246" s="8"/>
      <c r="AF1246" s="12"/>
      <c r="AG1246" s="13"/>
      <c r="AH1246" s="12"/>
      <c r="AI1246" s="13"/>
      <c r="AJ1246" s="12"/>
      <c r="AK1246" s="13"/>
      <c r="AL1246" s="13"/>
      <c r="AM1246" s="13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  <c r="AZ1246" s="8"/>
      <c r="BA1246" s="8"/>
    </row>
    <row r="1247" spans="21:53" ht="22.9">
      <c r="U1247" s="87"/>
      <c r="V1247" s="202"/>
      <c r="X1247" s="87"/>
      <c r="Y1247" s="87"/>
      <c r="AA1247" s="87"/>
      <c r="AB1247" s="13"/>
      <c r="AC1247" s="245"/>
      <c r="AD1247" s="8"/>
      <c r="AE1247" s="8"/>
      <c r="AF1247" s="12"/>
      <c r="AG1247" s="13"/>
      <c r="AH1247" s="12"/>
      <c r="AI1247" s="13"/>
      <c r="AJ1247" s="12"/>
      <c r="AK1247" s="13"/>
      <c r="AL1247" s="13"/>
      <c r="AM1247" s="13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  <c r="AZ1247" s="8"/>
      <c r="BA1247" s="8"/>
    </row>
    <row r="1248" spans="21:53" ht="22.9">
      <c r="U1248" s="87"/>
      <c r="V1248" s="202"/>
      <c r="X1248" s="87"/>
      <c r="Y1248" s="87"/>
      <c r="AA1248" s="87"/>
      <c r="AB1248" s="13"/>
      <c r="AC1248" s="245"/>
      <c r="AD1248" s="8"/>
      <c r="AE1248" s="8"/>
      <c r="AF1248" s="12"/>
      <c r="AG1248" s="13"/>
      <c r="AH1248" s="12"/>
      <c r="AI1248" s="13"/>
      <c r="AJ1248" s="12"/>
      <c r="AK1248" s="13"/>
      <c r="AL1248" s="13"/>
      <c r="AM1248" s="13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  <c r="AZ1248" s="8"/>
      <c r="BA1248" s="8"/>
    </row>
    <row r="1249" spans="21:53" ht="22.9">
      <c r="U1249" s="87"/>
      <c r="V1249" s="202"/>
      <c r="X1249" s="87"/>
      <c r="Y1249" s="87"/>
      <c r="AA1249" s="87"/>
      <c r="AB1249" s="13"/>
      <c r="AC1249" s="245"/>
      <c r="AD1249" s="8"/>
      <c r="AE1249" s="8"/>
      <c r="AF1249" s="12"/>
      <c r="AG1249" s="13"/>
      <c r="AH1249" s="12"/>
      <c r="AI1249" s="13"/>
      <c r="AJ1249" s="12"/>
      <c r="AK1249" s="13"/>
      <c r="AL1249" s="13"/>
      <c r="AM1249" s="13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8"/>
      <c r="BA1249" s="8"/>
    </row>
    <row r="1250" spans="21:53" ht="22.9">
      <c r="U1250" s="87"/>
      <c r="V1250" s="202"/>
      <c r="X1250" s="87"/>
      <c r="Y1250" s="87"/>
      <c r="AA1250" s="87"/>
      <c r="AB1250" s="13"/>
      <c r="AC1250" s="245"/>
      <c r="AD1250" s="8"/>
      <c r="AE1250" s="8"/>
      <c r="AF1250" s="12"/>
      <c r="AG1250" s="13"/>
      <c r="AH1250" s="12"/>
      <c r="AI1250" s="13"/>
      <c r="AJ1250" s="12"/>
      <c r="AK1250" s="13"/>
      <c r="AL1250" s="13"/>
      <c r="AM1250" s="13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  <c r="AZ1250" s="8"/>
      <c r="BA1250" s="8"/>
    </row>
    <row r="1251" spans="21:53" ht="22.9">
      <c r="U1251" s="87"/>
      <c r="V1251" s="202"/>
      <c r="X1251" s="87"/>
      <c r="Y1251" s="87"/>
      <c r="AA1251" s="87"/>
      <c r="AB1251" s="13"/>
      <c r="AC1251" s="245"/>
      <c r="AD1251" s="8"/>
      <c r="AE1251" s="8"/>
      <c r="AF1251" s="12"/>
      <c r="AG1251" s="13"/>
      <c r="AH1251" s="12"/>
      <c r="AI1251" s="13"/>
      <c r="AJ1251" s="12"/>
      <c r="AK1251" s="13"/>
      <c r="AL1251" s="13"/>
      <c r="AM1251" s="13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  <c r="AZ1251" s="8"/>
      <c r="BA1251" s="8"/>
    </row>
    <row r="1252" spans="21:53" ht="22.9">
      <c r="U1252" s="87"/>
      <c r="V1252" s="202"/>
      <c r="X1252" s="87"/>
      <c r="Y1252" s="87"/>
      <c r="AA1252" s="87"/>
      <c r="AB1252" s="13"/>
      <c r="AC1252" s="245"/>
      <c r="AD1252" s="8"/>
      <c r="AE1252" s="8"/>
      <c r="AF1252" s="12"/>
      <c r="AG1252" s="13"/>
      <c r="AH1252" s="12"/>
      <c r="AI1252" s="13"/>
      <c r="AJ1252" s="12"/>
      <c r="AK1252" s="13"/>
      <c r="AL1252" s="13"/>
      <c r="AM1252" s="13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  <c r="AZ1252" s="8"/>
      <c r="BA1252" s="8"/>
    </row>
    <row r="1253" spans="21:53" ht="22.9">
      <c r="U1253" s="87"/>
      <c r="V1253" s="202"/>
      <c r="X1253" s="87"/>
      <c r="Y1253" s="87"/>
      <c r="AA1253" s="87"/>
      <c r="AB1253" s="13"/>
      <c r="AC1253" s="245"/>
      <c r="AD1253" s="8"/>
      <c r="AE1253" s="8"/>
      <c r="AF1253" s="12"/>
      <c r="AG1253" s="13"/>
      <c r="AH1253" s="12"/>
      <c r="AI1253" s="13"/>
      <c r="AJ1253" s="12"/>
      <c r="AK1253" s="13"/>
      <c r="AL1253" s="13"/>
      <c r="AM1253" s="13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  <c r="AZ1253" s="8"/>
      <c r="BA1253" s="8"/>
    </row>
    <row r="1254" spans="21:53" ht="22.9">
      <c r="U1254" s="87"/>
      <c r="V1254" s="202"/>
      <c r="X1254" s="87"/>
      <c r="Y1254" s="87"/>
      <c r="AA1254" s="87"/>
      <c r="AB1254" s="13"/>
      <c r="AC1254" s="245"/>
      <c r="AD1254" s="8"/>
      <c r="AE1254" s="8"/>
      <c r="AF1254" s="12"/>
      <c r="AG1254" s="13"/>
      <c r="AH1254" s="12"/>
      <c r="AI1254" s="13"/>
      <c r="AJ1254" s="12"/>
      <c r="AK1254" s="13"/>
      <c r="AL1254" s="13"/>
      <c r="AM1254" s="13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  <c r="AZ1254" s="8"/>
      <c r="BA1254" s="8"/>
    </row>
    <row r="1255" spans="21:53" ht="22.9">
      <c r="U1255" s="87"/>
      <c r="V1255" s="202"/>
      <c r="X1255" s="87"/>
      <c r="Y1255" s="87"/>
      <c r="AA1255" s="87"/>
      <c r="AB1255" s="13"/>
      <c r="AC1255" s="245"/>
      <c r="AD1255" s="8"/>
      <c r="AE1255" s="8"/>
      <c r="AF1255" s="12"/>
      <c r="AG1255" s="13"/>
      <c r="AH1255" s="12"/>
      <c r="AI1255" s="13"/>
      <c r="AJ1255" s="12"/>
      <c r="AK1255" s="13"/>
      <c r="AL1255" s="13"/>
      <c r="AM1255" s="13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  <c r="AZ1255" s="8"/>
      <c r="BA1255" s="8"/>
    </row>
    <row r="1256" spans="21:53" ht="22.9">
      <c r="U1256" s="87"/>
      <c r="V1256" s="202"/>
      <c r="X1256" s="87"/>
      <c r="Y1256" s="87"/>
      <c r="AA1256" s="87"/>
      <c r="AB1256" s="13"/>
      <c r="AC1256" s="245"/>
      <c r="AD1256" s="8"/>
      <c r="AE1256" s="8"/>
      <c r="AF1256" s="12"/>
      <c r="AG1256" s="13"/>
      <c r="AH1256" s="12"/>
      <c r="AI1256" s="13"/>
      <c r="AJ1256" s="12"/>
      <c r="AK1256" s="13"/>
      <c r="AL1256" s="13"/>
      <c r="AM1256" s="13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  <c r="AZ1256" s="8"/>
      <c r="BA1256" s="8"/>
    </row>
    <row r="1257" spans="21:53" ht="22.9">
      <c r="U1257" s="87"/>
      <c r="V1257" s="202"/>
      <c r="X1257" s="87"/>
      <c r="Y1257" s="87"/>
      <c r="AA1257" s="87"/>
      <c r="AB1257" s="13"/>
      <c r="AC1257" s="245"/>
      <c r="AD1257" s="8"/>
      <c r="AE1257" s="8"/>
      <c r="AF1257" s="12"/>
      <c r="AG1257" s="13"/>
      <c r="AH1257" s="12"/>
      <c r="AI1257" s="13"/>
      <c r="AJ1257" s="12"/>
      <c r="AK1257" s="13"/>
      <c r="AL1257" s="13"/>
      <c r="AM1257" s="13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  <c r="AZ1257" s="8"/>
      <c r="BA1257" s="8"/>
    </row>
    <row r="1258" spans="21:53" ht="22.9">
      <c r="U1258" s="87"/>
      <c r="V1258" s="202"/>
      <c r="X1258" s="87"/>
      <c r="Y1258" s="87"/>
      <c r="AA1258" s="87"/>
      <c r="AB1258" s="13"/>
      <c r="AC1258" s="245"/>
      <c r="AD1258" s="8"/>
      <c r="AE1258" s="8"/>
      <c r="AF1258" s="12"/>
      <c r="AG1258" s="13"/>
      <c r="AH1258" s="12"/>
      <c r="AI1258" s="13"/>
      <c r="AJ1258" s="12"/>
      <c r="AK1258" s="13"/>
      <c r="AL1258" s="13"/>
      <c r="AM1258" s="13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  <c r="AZ1258" s="8"/>
      <c r="BA1258" s="8"/>
    </row>
    <row r="1259" spans="21:53" ht="22.9">
      <c r="U1259" s="87"/>
      <c r="V1259" s="202"/>
      <c r="X1259" s="87"/>
      <c r="Y1259" s="87"/>
      <c r="AA1259" s="87"/>
      <c r="AB1259" s="13"/>
      <c r="AC1259" s="245"/>
      <c r="AD1259" s="8"/>
      <c r="AE1259" s="8"/>
      <c r="AF1259" s="12"/>
      <c r="AG1259" s="13"/>
      <c r="AH1259" s="12"/>
      <c r="AI1259" s="13"/>
      <c r="AJ1259" s="12"/>
      <c r="AK1259" s="13"/>
      <c r="AL1259" s="13"/>
      <c r="AM1259" s="13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  <c r="AZ1259" s="8"/>
      <c r="BA1259" s="8"/>
    </row>
    <row r="1260" spans="21:53" ht="22.9">
      <c r="U1260" s="87"/>
      <c r="V1260" s="202"/>
      <c r="X1260" s="87"/>
      <c r="Y1260" s="87"/>
      <c r="AA1260" s="87"/>
      <c r="AB1260" s="13"/>
      <c r="AC1260" s="245"/>
      <c r="AD1260" s="8"/>
      <c r="AE1260" s="8"/>
      <c r="AF1260" s="12"/>
      <c r="AG1260" s="13"/>
      <c r="AH1260" s="12"/>
      <c r="AI1260" s="13"/>
      <c r="AJ1260" s="12"/>
      <c r="AK1260" s="13"/>
      <c r="AL1260" s="13"/>
      <c r="AM1260" s="13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  <c r="AZ1260" s="8"/>
      <c r="BA1260" s="8"/>
    </row>
    <row r="1261" spans="21:53" ht="22.9">
      <c r="U1261" s="87"/>
      <c r="V1261" s="202"/>
      <c r="X1261" s="87"/>
      <c r="Y1261" s="87"/>
      <c r="AA1261" s="87"/>
      <c r="AB1261" s="13"/>
      <c r="AC1261" s="245"/>
      <c r="AD1261" s="8"/>
      <c r="AE1261" s="8"/>
      <c r="AF1261" s="12"/>
      <c r="AG1261" s="13"/>
      <c r="AH1261" s="12"/>
      <c r="AI1261" s="13"/>
      <c r="AJ1261" s="12"/>
      <c r="AK1261" s="13"/>
      <c r="AL1261" s="13"/>
      <c r="AM1261" s="13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  <c r="AZ1261" s="8"/>
      <c r="BA1261" s="8"/>
    </row>
    <row r="1262" spans="21:53" ht="22.9">
      <c r="U1262" s="87"/>
      <c r="V1262" s="202"/>
      <c r="X1262" s="87"/>
      <c r="Y1262" s="87"/>
      <c r="AA1262" s="87"/>
      <c r="AB1262" s="13"/>
      <c r="AC1262" s="245"/>
      <c r="AD1262" s="8"/>
      <c r="AE1262" s="8"/>
      <c r="AF1262" s="12"/>
      <c r="AG1262" s="13"/>
      <c r="AH1262" s="12"/>
      <c r="AI1262" s="13"/>
      <c r="AJ1262" s="12"/>
      <c r="AK1262" s="13"/>
      <c r="AL1262" s="13"/>
      <c r="AM1262" s="13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  <c r="AZ1262" s="8"/>
      <c r="BA1262" s="8"/>
    </row>
    <row r="1263" spans="21:53" ht="22.9">
      <c r="U1263" s="87"/>
      <c r="V1263" s="202"/>
      <c r="X1263" s="87"/>
      <c r="Y1263" s="87"/>
      <c r="AA1263" s="87"/>
      <c r="AB1263" s="13"/>
      <c r="AC1263" s="245"/>
      <c r="AD1263" s="8"/>
      <c r="AE1263" s="8"/>
      <c r="AF1263" s="12"/>
      <c r="AG1263" s="13"/>
      <c r="AH1263" s="12"/>
      <c r="AI1263" s="13"/>
      <c r="AJ1263" s="12"/>
      <c r="AK1263" s="13"/>
      <c r="AL1263" s="13"/>
      <c r="AM1263" s="13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  <c r="AZ1263" s="8"/>
      <c r="BA1263" s="8"/>
    </row>
    <row r="1264" spans="21:53" ht="22.9">
      <c r="U1264" s="87"/>
      <c r="V1264" s="202"/>
      <c r="X1264" s="87"/>
      <c r="Y1264" s="87"/>
      <c r="AA1264" s="87"/>
      <c r="AB1264" s="13"/>
      <c r="AC1264" s="245"/>
      <c r="AD1264" s="8"/>
      <c r="AE1264" s="8"/>
      <c r="AF1264" s="12"/>
      <c r="AG1264" s="13"/>
      <c r="AH1264" s="12"/>
      <c r="AI1264" s="13"/>
      <c r="AJ1264" s="12"/>
      <c r="AK1264" s="13"/>
      <c r="AL1264" s="13"/>
      <c r="AM1264" s="13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  <c r="AZ1264" s="8"/>
      <c r="BA1264" s="8"/>
    </row>
    <row r="1265" spans="21:53" ht="22.9">
      <c r="U1265" s="87"/>
      <c r="V1265" s="202"/>
      <c r="X1265" s="87"/>
      <c r="Y1265" s="87"/>
      <c r="AA1265" s="87"/>
      <c r="AB1265" s="13"/>
      <c r="AC1265" s="245"/>
      <c r="AD1265" s="8"/>
      <c r="AE1265" s="8"/>
      <c r="AF1265" s="12"/>
      <c r="AG1265" s="13"/>
      <c r="AH1265" s="12"/>
      <c r="AI1265" s="13"/>
      <c r="AJ1265" s="12"/>
      <c r="AK1265" s="13"/>
      <c r="AL1265" s="13"/>
      <c r="AM1265" s="13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  <c r="AZ1265" s="8"/>
      <c r="BA1265" s="8"/>
    </row>
    <row r="1266" spans="21:53" ht="22.9">
      <c r="U1266" s="87"/>
      <c r="V1266" s="202"/>
      <c r="X1266" s="87"/>
      <c r="Y1266" s="87"/>
      <c r="AA1266" s="87"/>
      <c r="AB1266" s="13"/>
      <c r="AC1266" s="245"/>
      <c r="AD1266" s="8"/>
      <c r="AE1266" s="8"/>
      <c r="AF1266" s="12"/>
      <c r="AG1266" s="13"/>
      <c r="AH1266" s="12"/>
      <c r="AI1266" s="13"/>
      <c r="AJ1266" s="12"/>
      <c r="AK1266" s="13"/>
      <c r="AL1266" s="13"/>
      <c r="AM1266" s="13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  <c r="AZ1266" s="8"/>
      <c r="BA1266" s="8"/>
    </row>
    <row r="1267" spans="21:53" ht="22.9">
      <c r="U1267" s="87"/>
      <c r="V1267" s="202"/>
      <c r="X1267" s="87"/>
      <c r="Y1267" s="87"/>
      <c r="AA1267" s="87"/>
      <c r="AB1267" s="13"/>
      <c r="AC1267" s="245"/>
      <c r="AD1267" s="8"/>
      <c r="AE1267" s="8"/>
      <c r="AF1267" s="12"/>
      <c r="AG1267" s="13"/>
      <c r="AH1267" s="12"/>
      <c r="AI1267" s="13"/>
      <c r="AJ1267" s="12"/>
      <c r="AK1267" s="13"/>
      <c r="AL1267" s="13"/>
      <c r="AM1267" s="13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  <c r="AZ1267" s="8"/>
      <c r="BA1267" s="8"/>
    </row>
    <row r="1268" spans="21:53" ht="22.9">
      <c r="U1268" s="87"/>
      <c r="V1268" s="202"/>
      <c r="X1268" s="87"/>
      <c r="Y1268" s="87"/>
      <c r="AA1268" s="87"/>
      <c r="AB1268" s="13"/>
      <c r="AC1268" s="245"/>
      <c r="AD1268" s="8"/>
      <c r="AE1268" s="8"/>
      <c r="AF1268" s="12"/>
      <c r="AG1268" s="13"/>
      <c r="AH1268" s="12"/>
      <c r="AI1268" s="13"/>
      <c r="AJ1268" s="12"/>
      <c r="AK1268" s="13"/>
      <c r="AL1268" s="13"/>
      <c r="AM1268" s="13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  <c r="AZ1268" s="8"/>
      <c r="BA1268" s="8"/>
    </row>
    <row r="1269" spans="21:53" ht="22.9">
      <c r="U1269" s="87"/>
      <c r="V1269" s="202"/>
      <c r="X1269" s="87"/>
      <c r="Y1269" s="87"/>
      <c r="AA1269" s="87"/>
      <c r="AB1269" s="13"/>
      <c r="AC1269" s="245"/>
      <c r="AD1269" s="8"/>
      <c r="AE1269" s="8"/>
      <c r="AF1269" s="12"/>
      <c r="AG1269" s="13"/>
      <c r="AH1269" s="12"/>
      <c r="AI1269" s="13"/>
      <c r="AJ1269" s="12"/>
      <c r="AK1269" s="13"/>
      <c r="AL1269" s="13"/>
      <c r="AM1269" s="13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  <c r="AZ1269" s="8"/>
      <c r="BA1269" s="8"/>
    </row>
    <row r="1270" spans="21:53" ht="22.9">
      <c r="U1270" s="87"/>
      <c r="V1270" s="202"/>
      <c r="X1270" s="87"/>
      <c r="Y1270" s="87"/>
      <c r="AA1270" s="87"/>
      <c r="AB1270" s="13"/>
      <c r="AC1270" s="245"/>
      <c r="AD1270" s="8"/>
      <c r="AE1270" s="8"/>
      <c r="AF1270" s="12"/>
      <c r="AG1270" s="13"/>
      <c r="AH1270" s="12"/>
      <c r="AI1270" s="13"/>
      <c r="AJ1270" s="12"/>
      <c r="AK1270" s="13"/>
      <c r="AL1270" s="13"/>
      <c r="AM1270" s="13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8"/>
      <c r="BA1270" s="8"/>
    </row>
    <row r="1271" spans="21:53" ht="22.9">
      <c r="U1271" s="87"/>
      <c r="V1271" s="202"/>
      <c r="X1271" s="87"/>
      <c r="Y1271" s="87"/>
      <c r="AA1271" s="87"/>
      <c r="AB1271" s="13"/>
      <c r="AC1271" s="245"/>
      <c r="AD1271" s="8"/>
      <c r="AE1271" s="8"/>
      <c r="AF1271" s="12"/>
      <c r="AG1271" s="13"/>
      <c r="AH1271" s="12"/>
      <c r="AI1271" s="13"/>
      <c r="AJ1271" s="12"/>
      <c r="AK1271" s="13"/>
      <c r="AL1271" s="13"/>
      <c r="AM1271" s="13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  <c r="AZ1271" s="8"/>
      <c r="BA1271" s="8"/>
    </row>
    <row r="1272" spans="21:53" ht="22.9">
      <c r="U1272" s="87"/>
      <c r="V1272" s="202"/>
      <c r="X1272" s="87"/>
      <c r="Y1272" s="87"/>
      <c r="AA1272" s="87"/>
      <c r="AB1272" s="13"/>
      <c r="AC1272" s="245"/>
      <c r="AD1272" s="8"/>
      <c r="AE1272" s="8"/>
      <c r="AF1272" s="12"/>
      <c r="AG1272" s="13"/>
      <c r="AH1272" s="12"/>
      <c r="AI1272" s="13"/>
      <c r="AJ1272" s="12"/>
      <c r="AK1272" s="13"/>
      <c r="AL1272" s="13"/>
      <c r="AM1272" s="13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  <c r="AZ1272" s="8"/>
      <c r="BA1272" s="8"/>
    </row>
    <row r="1273" spans="21:53" ht="22.9">
      <c r="U1273" s="87"/>
      <c r="V1273" s="202"/>
      <c r="X1273" s="87"/>
      <c r="Y1273" s="87"/>
      <c r="AA1273" s="87"/>
      <c r="AB1273" s="13"/>
      <c r="AC1273" s="245"/>
      <c r="AD1273" s="8"/>
      <c r="AE1273" s="8"/>
      <c r="AF1273" s="12"/>
      <c r="AG1273" s="13"/>
      <c r="AH1273" s="12"/>
      <c r="AI1273" s="13"/>
      <c r="AJ1273" s="12"/>
      <c r="AK1273" s="13"/>
      <c r="AL1273" s="13"/>
      <c r="AM1273" s="13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  <c r="AZ1273" s="8"/>
      <c r="BA1273" s="8"/>
    </row>
    <row r="1274" spans="21:53" ht="22.9">
      <c r="U1274" s="87"/>
      <c r="V1274" s="202"/>
      <c r="X1274" s="87"/>
      <c r="Y1274" s="87"/>
      <c r="AA1274" s="87"/>
      <c r="AB1274" s="13"/>
      <c r="AC1274" s="245"/>
      <c r="AD1274" s="8"/>
      <c r="AE1274" s="8"/>
      <c r="AF1274" s="12"/>
      <c r="AG1274" s="13"/>
      <c r="AH1274" s="12"/>
      <c r="AI1274" s="13"/>
      <c r="AJ1274" s="12"/>
      <c r="AK1274" s="13"/>
      <c r="AL1274" s="13"/>
      <c r="AM1274" s="13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  <c r="AZ1274" s="8"/>
      <c r="BA1274" s="8"/>
    </row>
    <row r="1275" spans="21:53" ht="22.9">
      <c r="U1275" s="87"/>
      <c r="V1275" s="202"/>
      <c r="X1275" s="87"/>
      <c r="Y1275" s="87"/>
      <c r="AA1275" s="87"/>
      <c r="AB1275" s="13"/>
      <c r="AC1275" s="245"/>
      <c r="AD1275" s="8"/>
      <c r="AE1275" s="8"/>
      <c r="AF1275" s="12"/>
      <c r="AG1275" s="13"/>
      <c r="AH1275" s="12"/>
      <c r="AI1275" s="13"/>
      <c r="AJ1275" s="12"/>
      <c r="AK1275" s="13"/>
      <c r="AL1275" s="13"/>
      <c r="AM1275" s="13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  <c r="AZ1275" s="8"/>
      <c r="BA1275" s="8"/>
    </row>
    <row r="1276" spans="21:53" ht="22.9">
      <c r="U1276" s="87"/>
      <c r="V1276" s="202"/>
      <c r="X1276" s="87"/>
      <c r="Y1276" s="87"/>
      <c r="AA1276" s="87"/>
      <c r="AB1276" s="13"/>
      <c r="AC1276" s="245"/>
      <c r="AD1276" s="8"/>
      <c r="AE1276" s="8"/>
      <c r="AF1276" s="12"/>
      <c r="AG1276" s="13"/>
      <c r="AH1276" s="12"/>
      <c r="AI1276" s="13"/>
      <c r="AJ1276" s="12"/>
      <c r="AK1276" s="13"/>
      <c r="AL1276" s="13"/>
      <c r="AM1276" s="13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  <c r="AZ1276" s="8"/>
      <c r="BA1276" s="8"/>
    </row>
    <row r="1277" spans="21:53" ht="22.9">
      <c r="U1277" s="87"/>
      <c r="V1277" s="202"/>
      <c r="X1277" s="87"/>
      <c r="Y1277" s="87"/>
      <c r="AA1277" s="87"/>
      <c r="AB1277" s="13"/>
      <c r="AC1277" s="245"/>
      <c r="AD1277" s="8"/>
      <c r="AE1277" s="8"/>
      <c r="AF1277" s="12"/>
      <c r="AG1277" s="13"/>
      <c r="AH1277" s="12"/>
      <c r="AI1277" s="13"/>
      <c r="AJ1277" s="12"/>
      <c r="AK1277" s="13"/>
      <c r="AL1277" s="13"/>
      <c r="AM1277" s="13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  <c r="AZ1277" s="8"/>
      <c r="BA1277" s="8"/>
    </row>
    <row r="1278" spans="21:53" ht="22.9">
      <c r="U1278" s="87"/>
      <c r="V1278" s="202"/>
      <c r="X1278" s="87"/>
      <c r="Y1278" s="87"/>
      <c r="AA1278" s="87"/>
      <c r="AB1278" s="13"/>
      <c r="AC1278" s="245"/>
      <c r="AD1278" s="8"/>
      <c r="AE1278" s="8"/>
      <c r="AF1278" s="12"/>
      <c r="AG1278" s="13"/>
      <c r="AH1278" s="12"/>
      <c r="AI1278" s="13"/>
      <c r="AJ1278" s="12"/>
      <c r="AK1278" s="13"/>
      <c r="AL1278" s="13"/>
      <c r="AM1278" s="13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  <c r="AZ1278" s="8"/>
      <c r="BA1278" s="8"/>
    </row>
    <row r="1279" spans="21:53" ht="22.9">
      <c r="U1279" s="87"/>
      <c r="V1279" s="202"/>
      <c r="X1279" s="87"/>
      <c r="Y1279" s="87"/>
      <c r="AA1279" s="87"/>
      <c r="AB1279" s="13"/>
      <c r="AC1279" s="245"/>
      <c r="AD1279" s="8"/>
      <c r="AE1279" s="8"/>
      <c r="AF1279" s="12"/>
      <c r="AG1279" s="13"/>
      <c r="AH1279" s="12"/>
      <c r="AI1279" s="13"/>
      <c r="AJ1279" s="12"/>
      <c r="AK1279" s="13"/>
      <c r="AL1279" s="13"/>
      <c r="AM1279" s="13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  <c r="AZ1279" s="8"/>
      <c r="BA1279" s="8"/>
    </row>
    <row r="1280" spans="21:53" ht="22.9">
      <c r="U1280" s="87"/>
      <c r="V1280" s="202"/>
      <c r="X1280" s="87"/>
      <c r="Y1280" s="87"/>
      <c r="AA1280" s="87"/>
      <c r="AB1280" s="13"/>
      <c r="AC1280" s="245"/>
      <c r="AD1280" s="8"/>
      <c r="AE1280" s="8"/>
      <c r="AF1280" s="12"/>
      <c r="AG1280" s="13"/>
      <c r="AH1280" s="12"/>
      <c r="AI1280" s="13"/>
      <c r="AJ1280" s="12"/>
      <c r="AK1280" s="13"/>
      <c r="AL1280" s="13"/>
      <c r="AM1280" s="13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  <c r="AZ1280" s="8"/>
      <c r="BA1280" s="8"/>
    </row>
    <row r="1281" spans="21:53" ht="22.9">
      <c r="U1281" s="87"/>
      <c r="V1281" s="202"/>
      <c r="X1281" s="87"/>
      <c r="Y1281" s="87"/>
      <c r="AA1281" s="87"/>
      <c r="AB1281" s="13"/>
      <c r="AC1281" s="245"/>
      <c r="AD1281" s="8"/>
      <c r="AE1281" s="8"/>
      <c r="AF1281" s="12"/>
      <c r="AG1281" s="13"/>
      <c r="AH1281" s="12"/>
      <c r="AI1281" s="13"/>
      <c r="AJ1281" s="12"/>
      <c r="AK1281" s="13"/>
      <c r="AL1281" s="13"/>
      <c r="AM1281" s="13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  <c r="AZ1281" s="8"/>
      <c r="BA1281" s="8"/>
    </row>
    <row r="1282" spans="21:53" ht="22.9">
      <c r="U1282" s="87"/>
      <c r="V1282" s="202"/>
      <c r="X1282" s="87"/>
      <c r="Y1282" s="87"/>
      <c r="AA1282" s="87"/>
      <c r="AB1282" s="13"/>
      <c r="AC1282" s="245"/>
      <c r="AD1282" s="8"/>
      <c r="AE1282" s="8"/>
      <c r="AF1282" s="12"/>
      <c r="AG1282" s="13"/>
      <c r="AH1282" s="12"/>
      <c r="AI1282" s="13"/>
      <c r="AJ1282" s="12"/>
      <c r="AK1282" s="13"/>
      <c r="AL1282" s="13"/>
      <c r="AM1282" s="13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  <c r="AZ1282" s="8"/>
      <c r="BA1282" s="8"/>
    </row>
    <row r="1283" spans="21:53" ht="22.9">
      <c r="U1283" s="87"/>
      <c r="V1283" s="202"/>
      <c r="X1283" s="87"/>
      <c r="Y1283" s="87"/>
      <c r="AA1283" s="87"/>
      <c r="AB1283" s="13"/>
      <c r="AC1283" s="245"/>
      <c r="AD1283" s="8"/>
      <c r="AE1283" s="8"/>
      <c r="AF1283" s="12"/>
      <c r="AG1283" s="13"/>
      <c r="AH1283" s="12"/>
      <c r="AI1283" s="13"/>
      <c r="AJ1283" s="12"/>
      <c r="AK1283" s="13"/>
      <c r="AL1283" s="13"/>
      <c r="AM1283" s="13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  <c r="AZ1283" s="8"/>
      <c r="BA1283" s="8"/>
    </row>
    <row r="1284" spans="21:53" ht="22.9">
      <c r="U1284" s="87"/>
      <c r="V1284" s="202"/>
      <c r="X1284" s="87"/>
      <c r="Y1284" s="87"/>
      <c r="AA1284" s="87"/>
      <c r="AB1284" s="13"/>
      <c r="AC1284" s="245"/>
      <c r="AD1284" s="8"/>
      <c r="AE1284" s="8"/>
      <c r="AF1284" s="12"/>
      <c r="AG1284" s="13"/>
      <c r="AH1284" s="12"/>
      <c r="AI1284" s="13"/>
      <c r="AJ1284" s="12"/>
      <c r="AK1284" s="13"/>
      <c r="AL1284" s="13"/>
      <c r="AM1284" s="13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  <c r="AZ1284" s="8"/>
      <c r="BA1284" s="8"/>
    </row>
    <row r="1285" spans="21:53" ht="22.9">
      <c r="U1285" s="87"/>
      <c r="V1285" s="202"/>
      <c r="X1285" s="87"/>
      <c r="Y1285" s="87"/>
      <c r="AA1285" s="87"/>
      <c r="AB1285" s="13"/>
      <c r="AC1285" s="245"/>
      <c r="AD1285" s="8"/>
      <c r="AE1285" s="8"/>
      <c r="AF1285" s="12"/>
      <c r="AG1285" s="13"/>
      <c r="AH1285" s="12"/>
      <c r="AI1285" s="13"/>
      <c r="AJ1285" s="12"/>
      <c r="AK1285" s="13"/>
      <c r="AL1285" s="13"/>
      <c r="AM1285" s="13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  <c r="AZ1285" s="8"/>
      <c r="BA1285" s="8"/>
    </row>
    <row r="1286" spans="21:53" ht="22.9">
      <c r="U1286" s="87"/>
      <c r="V1286" s="202"/>
      <c r="X1286" s="87"/>
      <c r="Y1286" s="87"/>
      <c r="AA1286" s="87"/>
      <c r="AB1286" s="13"/>
      <c r="AC1286" s="245"/>
      <c r="AD1286" s="8"/>
      <c r="AE1286" s="8"/>
      <c r="AF1286" s="12"/>
      <c r="AG1286" s="13"/>
      <c r="AH1286" s="12"/>
      <c r="AI1286" s="13"/>
      <c r="AJ1286" s="12"/>
      <c r="AK1286" s="13"/>
      <c r="AL1286" s="13"/>
      <c r="AM1286" s="13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  <c r="AZ1286" s="8"/>
      <c r="BA1286" s="8"/>
    </row>
    <row r="1287" spans="21:53" ht="22.9">
      <c r="U1287" s="87"/>
      <c r="V1287" s="202"/>
      <c r="X1287" s="87"/>
      <c r="Y1287" s="87"/>
      <c r="AA1287" s="87"/>
      <c r="AB1287" s="13"/>
      <c r="AC1287" s="245"/>
      <c r="AD1287" s="8"/>
      <c r="AE1287" s="8"/>
      <c r="AF1287" s="12"/>
      <c r="AG1287" s="13"/>
      <c r="AH1287" s="12"/>
      <c r="AI1287" s="13"/>
      <c r="AJ1287" s="12"/>
      <c r="AK1287" s="13"/>
      <c r="AL1287" s="13"/>
      <c r="AM1287" s="13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  <c r="AZ1287" s="8"/>
      <c r="BA1287" s="8"/>
    </row>
    <row r="1288" spans="21:53" ht="22.9">
      <c r="U1288" s="87"/>
      <c r="V1288" s="202"/>
      <c r="X1288" s="87"/>
      <c r="Y1288" s="87"/>
      <c r="AA1288" s="87"/>
      <c r="AB1288" s="13"/>
      <c r="AC1288" s="245"/>
      <c r="AD1288" s="8"/>
      <c r="AE1288" s="8"/>
      <c r="AF1288" s="12"/>
      <c r="AG1288" s="13"/>
      <c r="AH1288" s="12"/>
      <c r="AI1288" s="13"/>
      <c r="AJ1288" s="12"/>
      <c r="AK1288" s="13"/>
      <c r="AL1288" s="13"/>
      <c r="AM1288" s="13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8"/>
      <c r="BA1288" s="8"/>
    </row>
    <row r="1289" spans="21:53" ht="22.9">
      <c r="U1289" s="87"/>
      <c r="V1289" s="202"/>
      <c r="X1289" s="87"/>
      <c r="Y1289" s="87"/>
      <c r="AA1289" s="87"/>
      <c r="AB1289" s="13"/>
      <c r="AC1289" s="245"/>
      <c r="AD1289" s="8"/>
      <c r="AE1289" s="8"/>
      <c r="AF1289" s="12"/>
      <c r="AG1289" s="13"/>
      <c r="AH1289" s="12"/>
      <c r="AI1289" s="13"/>
      <c r="AJ1289" s="12"/>
      <c r="AK1289" s="13"/>
      <c r="AL1289" s="13"/>
      <c r="AM1289" s="13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  <c r="AZ1289" s="8"/>
      <c r="BA1289" s="8"/>
    </row>
    <row r="1290" spans="21:53" ht="22.9">
      <c r="U1290" s="87"/>
      <c r="V1290" s="202"/>
      <c r="X1290" s="87"/>
      <c r="Y1290" s="87"/>
      <c r="AA1290" s="87"/>
      <c r="AB1290" s="13"/>
      <c r="AC1290" s="245"/>
      <c r="AD1290" s="8"/>
      <c r="AE1290" s="8"/>
      <c r="AF1290" s="12"/>
      <c r="AG1290" s="13"/>
      <c r="AH1290" s="12"/>
      <c r="AI1290" s="13"/>
      <c r="AJ1290" s="12"/>
      <c r="AK1290" s="13"/>
      <c r="AL1290" s="13"/>
      <c r="AM1290" s="13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  <c r="AZ1290" s="8"/>
      <c r="BA1290" s="8"/>
    </row>
    <row r="1291" spans="21:53" ht="22.9">
      <c r="U1291" s="87"/>
      <c r="V1291" s="202"/>
      <c r="X1291" s="87"/>
      <c r="Y1291" s="87"/>
      <c r="AA1291" s="87"/>
      <c r="AB1291" s="13"/>
      <c r="AC1291" s="245"/>
      <c r="AD1291" s="8"/>
      <c r="AE1291" s="8"/>
      <c r="AF1291" s="12"/>
      <c r="AG1291" s="13"/>
      <c r="AH1291" s="12"/>
      <c r="AI1291" s="13"/>
      <c r="AJ1291" s="12"/>
      <c r="AK1291" s="13"/>
      <c r="AL1291" s="13"/>
      <c r="AM1291" s="13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  <c r="AZ1291" s="8"/>
      <c r="BA1291" s="8"/>
    </row>
    <row r="1292" spans="21:53" ht="22.9">
      <c r="U1292" s="87"/>
      <c r="V1292" s="202"/>
      <c r="X1292" s="87"/>
      <c r="Y1292" s="87"/>
      <c r="AA1292" s="87"/>
      <c r="AB1292" s="13"/>
      <c r="AC1292" s="245"/>
      <c r="AD1292" s="8"/>
      <c r="AE1292" s="8"/>
      <c r="AF1292" s="12"/>
      <c r="AG1292" s="13"/>
      <c r="AH1292" s="12"/>
      <c r="AI1292" s="13"/>
      <c r="AJ1292" s="12"/>
      <c r="AK1292" s="13"/>
      <c r="AL1292" s="13"/>
      <c r="AM1292" s="13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  <c r="AZ1292" s="8"/>
      <c r="BA1292" s="8"/>
    </row>
    <row r="1293" spans="21:53" ht="22.9">
      <c r="U1293" s="87"/>
      <c r="V1293" s="202"/>
      <c r="X1293" s="87"/>
      <c r="Y1293" s="87"/>
      <c r="AA1293" s="87"/>
      <c r="AB1293" s="13"/>
      <c r="AC1293" s="245"/>
      <c r="AD1293" s="8"/>
      <c r="AE1293" s="8"/>
      <c r="AF1293" s="12"/>
      <c r="AG1293" s="13"/>
      <c r="AH1293" s="12"/>
      <c r="AI1293" s="13"/>
      <c r="AJ1293" s="12"/>
      <c r="AK1293" s="13"/>
      <c r="AL1293" s="13"/>
      <c r="AM1293" s="13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  <c r="AZ1293" s="8"/>
      <c r="BA1293" s="8"/>
    </row>
    <row r="1294" spans="21:53" ht="22.9">
      <c r="U1294" s="87"/>
      <c r="V1294" s="202"/>
      <c r="X1294" s="87"/>
      <c r="Y1294" s="87"/>
      <c r="AA1294" s="87"/>
      <c r="AB1294" s="13"/>
      <c r="AC1294" s="245"/>
      <c r="AD1294" s="8"/>
      <c r="AE1294" s="8"/>
      <c r="AF1294" s="12"/>
      <c r="AG1294" s="13"/>
      <c r="AH1294" s="12"/>
      <c r="AI1294" s="13"/>
      <c r="AJ1294" s="12"/>
      <c r="AK1294" s="13"/>
      <c r="AL1294" s="13"/>
      <c r="AM1294" s="13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8"/>
      <c r="BA1294" s="8"/>
    </row>
    <row r="1295" spans="21:53" ht="22.9">
      <c r="U1295" s="87"/>
      <c r="V1295" s="202"/>
      <c r="X1295" s="87"/>
      <c r="Y1295" s="87"/>
      <c r="AA1295" s="87"/>
      <c r="AB1295" s="13"/>
      <c r="AC1295" s="245"/>
      <c r="AD1295" s="8"/>
      <c r="AE1295" s="8"/>
      <c r="AF1295" s="12"/>
      <c r="AG1295" s="13"/>
      <c r="AH1295" s="12"/>
      <c r="AI1295" s="13"/>
      <c r="AJ1295" s="12"/>
      <c r="AK1295" s="13"/>
      <c r="AL1295" s="13"/>
      <c r="AM1295" s="13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  <c r="AZ1295" s="8"/>
      <c r="BA1295" s="8"/>
    </row>
    <row r="1296" spans="21:53" ht="22.9">
      <c r="U1296" s="87"/>
      <c r="V1296" s="202"/>
      <c r="X1296" s="87"/>
      <c r="Y1296" s="87"/>
      <c r="AA1296" s="87"/>
      <c r="AB1296" s="13"/>
      <c r="AC1296" s="245"/>
      <c r="AD1296" s="8"/>
      <c r="AE1296" s="8"/>
      <c r="AF1296" s="12"/>
      <c r="AG1296" s="13"/>
      <c r="AH1296" s="12"/>
      <c r="AI1296" s="13"/>
      <c r="AJ1296" s="12"/>
      <c r="AK1296" s="13"/>
      <c r="AL1296" s="13"/>
      <c r="AM1296" s="13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  <c r="AZ1296" s="8"/>
      <c r="BA1296" s="8"/>
    </row>
    <row r="1297" spans="21:53" ht="22.9">
      <c r="U1297" s="87"/>
      <c r="V1297" s="202"/>
      <c r="X1297" s="87"/>
      <c r="Y1297" s="87"/>
      <c r="AA1297" s="87"/>
      <c r="AB1297" s="13"/>
      <c r="AC1297" s="245"/>
      <c r="AD1297" s="8"/>
      <c r="AE1297" s="8"/>
      <c r="AF1297" s="12"/>
      <c r="AG1297" s="13"/>
      <c r="AH1297" s="12"/>
      <c r="AI1297" s="13"/>
      <c r="AJ1297" s="12"/>
      <c r="AK1297" s="13"/>
      <c r="AL1297" s="13"/>
      <c r="AM1297" s="13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  <c r="AZ1297" s="8"/>
      <c r="BA1297" s="8"/>
    </row>
    <row r="1298" spans="21:53" ht="22.9">
      <c r="U1298" s="87"/>
      <c r="V1298" s="202"/>
      <c r="X1298" s="87"/>
      <c r="Y1298" s="87"/>
      <c r="AA1298" s="87"/>
      <c r="AB1298" s="13"/>
      <c r="AC1298" s="245"/>
      <c r="AD1298" s="8"/>
      <c r="AE1298" s="8"/>
      <c r="AF1298" s="12"/>
      <c r="AG1298" s="13"/>
      <c r="AH1298" s="12"/>
      <c r="AI1298" s="13"/>
      <c r="AJ1298" s="12"/>
      <c r="AK1298" s="13"/>
      <c r="AL1298" s="13"/>
      <c r="AM1298" s="13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  <c r="AZ1298" s="8"/>
      <c r="BA1298" s="8"/>
    </row>
    <row r="1299" spans="21:53" ht="22.9">
      <c r="U1299" s="87"/>
      <c r="V1299" s="202"/>
      <c r="X1299" s="87"/>
      <c r="Y1299" s="87"/>
      <c r="AA1299" s="87"/>
      <c r="AB1299" s="13"/>
      <c r="AC1299" s="245"/>
      <c r="AD1299" s="8"/>
      <c r="AE1299" s="8"/>
      <c r="AF1299" s="12"/>
      <c r="AG1299" s="13"/>
      <c r="AH1299" s="12"/>
      <c r="AI1299" s="13"/>
      <c r="AJ1299" s="12"/>
      <c r="AK1299" s="13"/>
      <c r="AL1299" s="13"/>
      <c r="AM1299" s="13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  <c r="AZ1299" s="8"/>
      <c r="BA1299" s="8"/>
    </row>
    <row r="1300" spans="21:53" ht="22.9">
      <c r="U1300" s="87"/>
      <c r="V1300" s="202"/>
      <c r="X1300" s="87"/>
      <c r="Y1300" s="87"/>
      <c r="AA1300" s="87"/>
      <c r="AB1300" s="13"/>
      <c r="AC1300" s="245"/>
      <c r="AD1300" s="8"/>
      <c r="AE1300" s="8"/>
      <c r="AF1300" s="12"/>
      <c r="AG1300" s="13"/>
      <c r="AH1300" s="12"/>
      <c r="AI1300" s="13"/>
      <c r="AJ1300" s="12"/>
      <c r="AK1300" s="13"/>
      <c r="AL1300" s="13"/>
      <c r="AM1300" s="13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  <c r="AZ1300" s="8"/>
      <c r="BA1300" s="8"/>
    </row>
    <row r="1301" spans="21:53" ht="22.9">
      <c r="U1301" s="87"/>
      <c r="V1301" s="202"/>
      <c r="X1301" s="87"/>
      <c r="Y1301" s="87"/>
      <c r="AA1301" s="87"/>
      <c r="AB1301" s="13"/>
      <c r="AC1301" s="245"/>
      <c r="AD1301" s="8"/>
      <c r="AE1301" s="8"/>
      <c r="AF1301" s="12"/>
      <c r="AG1301" s="13"/>
      <c r="AH1301" s="12"/>
      <c r="AI1301" s="13"/>
      <c r="AJ1301" s="12"/>
      <c r="AK1301" s="13"/>
      <c r="AL1301" s="13"/>
      <c r="AM1301" s="13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  <c r="AZ1301" s="8"/>
      <c r="BA1301" s="8"/>
    </row>
    <row r="1302" spans="21:53" ht="22.9">
      <c r="U1302" s="87"/>
      <c r="V1302" s="202"/>
      <c r="X1302" s="87"/>
      <c r="Y1302" s="87"/>
      <c r="AA1302" s="87"/>
      <c r="AB1302" s="13"/>
      <c r="AC1302" s="245"/>
      <c r="AD1302" s="8"/>
      <c r="AE1302" s="8"/>
      <c r="AF1302" s="12"/>
      <c r="AG1302" s="13"/>
      <c r="AH1302" s="12"/>
      <c r="AI1302" s="13"/>
      <c r="AJ1302" s="12"/>
      <c r="AK1302" s="13"/>
      <c r="AL1302" s="13"/>
      <c r="AM1302" s="13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  <c r="AZ1302" s="8"/>
      <c r="BA1302" s="8"/>
    </row>
    <row r="1303" spans="21:53" ht="22.9">
      <c r="U1303" s="87"/>
      <c r="V1303" s="202"/>
      <c r="X1303" s="87"/>
      <c r="Y1303" s="87"/>
      <c r="AA1303" s="87"/>
      <c r="AB1303" s="13"/>
      <c r="AC1303" s="245"/>
      <c r="AD1303" s="8"/>
      <c r="AE1303" s="8"/>
      <c r="AF1303" s="12"/>
      <c r="AG1303" s="13"/>
      <c r="AH1303" s="12"/>
      <c r="AI1303" s="13"/>
      <c r="AJ1303" s="12"/>
      <c r="AK1303" s="13"/>
      <c r="AL1303" s="13"/>
      <c r="AM1303" s="13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  <c r="AZ1303" s="8"/>
      <c r="BA1303" s="8"/>
    </row>
    <row r="1304" spans="21:53" ht="22.9">
      <c r="U1304" s="87"/>
      <c r="V1304" s="202"/>
      <c r="X1304" s="87"/>
      <c r="Y1304" s="87"/>
      <c r="AA1304" s="87"/>
      <c r="AB1304" s="13"/>
      <c r="AC1304" s="245"/>
      <c r="AD1304" s="8"/>
      <c r="AE1304" s="8"/>
      <c r="AF1304" s="12"/>
      <c r="AG1304" s="13"/>
      <c r="AH1304" s="12"/>
      <c r="AI1304" s="13"/>
      <c r="AJ1304" s="12"/>
      <c r="AK1304" s="13"/>
      <c r="AL1304" s="13"/>
      <c r="AM1304" s="13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  <c r="AZ1304" s="8"/>
      <c r="BA1304" s="8"/>
    </row>
    <row r="1305" spans="21:53" ht="22.9">
      <c r="U1305" s="87"/>
      <c r="V1305" s="202"/>
      <c r="X1305" s="87"/>
      <c r="Y1305" s="87"/>
      <c r="AA1305" s="87"/>
      <c r="AB1305" s="13"/>
      <c r="AC1305" s="245"/>
      <c r="AD1305" s="8"/>
      <c r="AE1305" s="8"/>
      <c r="AF1305" s="12"/>
      <c r="AG1305" s="13"/>
      <c r="AH1305" s="12"/>
      <c r="AI1305" s="13"/>
      <c r="AJ1305" s="12"/>
      <c r="AK1305" s="13"/>
      <c r="AL1305" s="13"/>
      <c r="AM1305" s="13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  <c r="AZ1305" s="8"/>
      <c r="BA1305" s="8"/>
    </row>
    <row r="1306" spans="21:53" ht="22.9">
      <c r="U1306" s="87"/>
      <c r="V1306" s="202"/>
      <c r="X1306" s="87"/>
      <c r="Y1306" s="87"/>
      <c r="AA1306" s="87"/>
      <c r="AB1306" s="13"/>
      <c r="AC1306" s="245"/>
      <c r="AD1306" s="8"/>
      <c r="AE1306" s="8"/>
      <c r="AF1306" s="12"/>
      <c r="AG1306" s="13"/>
      <c r="AH1306" s="12"/>
      <c r="AI1306" s="13"/>
      <c r="AJ1306" s="12"/>
      <c r="AK1306" s="13"/>
      <c r="AL1306" s="13"/>
      <c r="AM1306" s="13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  <c r="AZ1306" s="8"/>
      <c r="BA1306" s="8"/>
    </row>
    <row r="1307" spans="21:53" ht="22.9">
      <c r="U1307" s="87"/>
      <c r="V1307" s="202"/>
      <c r="X1307" s="87"/>
      <c r="Y1307" s="87"/>
      <c r="AA1307" s="87"/>
      <c r="AB1307" s="13"/>
      <c r="AC1307" s="245"/>
      <c r="AD1307" s="8"/>
      <c r="AE1307" s="8"/>
      <c r="AF1307" s="12"/>
      <c r="AG1307" s="13"/>
      <c r="AH1307" s="12"/>
      <c r="AI1307" s="13"/>
      <c r="AJ1307" s="12"/>
      <c r="AK1307" s="13"/>
      <c r="AL1307" s="13"/>
      <c r="AM1307" s="13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  <c r="AZ1307" s="8"/>
      <c r="BA1307" s="8"/>
    </row>
    <row r="1308" spans="21:53" ht="22.9">
      <c r="U1308" s="87"/>
      <c r="V1308" s="202"/>
      <c r="X1308" s="87"/>
      <c r="Y1308" s="87"/>
      <c r="AA1308" s="87"/>
      <c r="AB1308" s="13"/>
      <c r="AC1308" s="245"/>
      <c r="AD1308" s="8"/>
      <c r="AE1308" s="8"/>
      <c r="AF1308" s="12"/>
      <c r="AG1308" s="13"/>
      <c r="AH1308" s="12"/>
      <c r="AI1308" s="13"/>
      <c r="AJ1308" s="12"/>
      <c r="AK1308" s="13"/>
      <c r="AL1308" s="13"/>
      <c r="AM1308" s="13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  <c r="AZ1308" s="8"/>
      <c r="BA1308" s="8"/>
    </row>
    <row r="1309" spans="21:53" ht="22.9">
      <c r="U1309" s="87"/>
      <c r="V1309" s="202"/>
      <c r="X1309" s="87"/>
      <c r="Y1309" s="87"/>
      <c r="AA1309" s="87"/>
      <c r="AB1309" s="13"/>
      <c r="AC1309" s="245"/>
      <c r="AD1309" s="8"/>
      <c r="AE1309" s="8"/>
      <c r="AF1309" s="12"/>
      <c r="AG1309" s="13"/>
      <c r="AH1309" s="12"/>
      <c r="AI1309" s="13"/>
      <c r="AJ1309" s="12"/>
      <c r="AK1309" s="13"/>
      <c r="AL1309" s="13"/>
      <c r="AM1309" s="13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  <c r="AZ1309" s="8"/>
      <c r="BA1309" s="8"/>
    </row>
    <row r="1310" spans="21:53" ht="22.9">
      <c r="U1310" s="87"/>
      <c r="V1310" s="202"/>
      <c r="X1310" s="87"/>
      <c r="Y1310" s="87"/>
      <c r="AA1310" s="87"/>
      <c r="AB1310" s="13"/>
      <c r="AC1310" s="245"/>
      <c r="AD1310" s="8"/>
      <c r="AE1310" s="8"/>
      <c r="AF1310" s="12"/>
      <c r="AG1310" s="13"/>
      <c r="AH1310" s="12"/>
      <c r="AI1310" s="13"/>
      <c r="AJ1310" s="12"/>
      <c r="AK1310" s="13"/>
      <c r="AL1310" s="13"/>
      <c r="AM1310" s="13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  <c r="AZ1310" s="8"/>
      <c r="BA1310" s="8"/>
    </row>
    <row r="1311" spans="21:53" ht="22.9">
      <c r="U1311" s="87"/>
      <c r="V1311" s="202"/>
      <c r="X1311" s="87"/>
      <c r="Y1311" s="87"/>
      <c r="AA1311" s="87"/>
      <c r="AB1311" s="13"/>
      <c r="AC1311" s="245"/>
      <c r="AD1311" s="8"/>
      <c r="AE1311" s="8"/>
      <c r="AF1311" s="12"/>
      <c r="AG1311" s="13"/>
      <c r="AH1311" s="12"/>
      <c r="AI1311" s="13"/>
      <c r="AJ1311" s="12"/>
      <c r="AK1311" s="13"/>
      <c r="AL1311" s="13"/>
      <c r="AM1311" s="13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  <c r="AZ1311" s="8"/>
      <c r="BA1311" s="8"/>
    </row>
    <row r="1312" spans="21:53" ht="22.9">
      <c r="U1312" s="87"/>
      <c r="V1312" s="202"/>
      <c r="X1312" s="87"/>
      <c r="Y1312" s="87"/>
      <c r="AA1312" s="87"/>
      <c r="AB1312" s="13"/>
      <c r="AC1312" s="245"/>
      <c r="AD1312" s="8"/>
      <c r="AE1312" s="8"/>
      <c r="AF1312" s="12"/>
      <c r="AG1312" s="13"/>
      <c r="AH1312" s="12"/>
      <c r="AI1312" s="13"/>
      <c r="AJ1312" s="12"/>
      <c r="AK1312" s="13"/>
      <c r="AL1312" s="13"/>
      <c r="AM1312" s="13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  <c r="AZ1312" s="8"/>
      <c r="BA1312" s="8"/>
    </row>
    <row r="1313" spans="21:53" ht="22.9">
      <c r="U1313" s="87"/>
      <c r="V1313" s="202"/>
      <c r="X1313" s="87"/>
      <c r="Y1313" s="87"/>
      <c r="AA1313" s="87"/>
      <c r="AB1313" s="13"/>
      <c r="AC1313" s="245"/>
      <c r="AD1313" s="8"/>
      <c r="AE1313" s="8"/>
      <c r="AF1313" s="12"/>
      <c r="AG1313" s="13"/>
      <c r="AH1313" s="12"/>
      <c r="AI1313" s="13"/>
      <c r="AJ1313" s="12"/>
      <c r="AK1313" s="13"/>
      <c r="AL1313" s="13"/>
      <c r="AM1313" s="13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  <c r="AZ1313" s="8"/>
      <c r="BA1313" s="8"/>
    </row>
    <row r="1314" spans="21:53" ht="22.9">
      <c r="U1314" s="87"/>
      <c r="V1314" s="202"/>
      <c r="X1314" s="87"/>
      <c r="Y1314" s="87"/>
      <c r="AA1314" s="87"/>
      <c r="AB1314" s="13"/>
      <c r="AC1314" s="245"/>
      <c r="AD1314" s="8"/>
      <c r="AE1314" s="8"/>
      <c r="AF1314" s="12"/>
      <c r="AG1314" s="13"/>
      <c r="AH1314" s="12"/>
      <c r="AI1314" s="13"/>
      <c r="AJ1314" s="12"/>
      <c r="AK1314" s="13"/>
      <c r="AL1314" s="13"/>
      <c r="AM1314" s="13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  <c r="AZ1314" s="8"/>
      <c r="BA1314" s="8"/>
    </row>
    <row r="1315" spans="21:53" ht="22.9">
      <c r="U1315" s="87"/>
      <c r="V1315" s="202"/>
      <c r="X1315" s="87"/>
      <c r="Y1315" s="87"/>
      <c r="AA1315" s="87"/>
      <c r="AB1315" s="13"/>
      <c r="AC1315" s="245"/>
      <c r="AD1315" s="8"/>
      <c r="AE1315" s="8"/>
      <c r="AF1315" s="12"/>
      <c r="AG1315" s="13"/>
      <c r="AH1315" s="12"/>
      <c r="AI1315" s="13"/>
      <c r="AJ1315" s="12"/>
      <c r="AK1315" s="13"/>
      <c r="AL1315" s="13"/>
      <c r="AM1315" s="13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  <c r="AZ1315" s="8"/>
      <c r="BA1315" s="8"/>
    </row>
    <row r="1316" spans="21:53" ht="22.9">
      <c r="U1316" s="87"/>
      <c r="V1316" s="202"/>
      <c r="X1316" s="87"/>
      <c r="Y1316" s="87"/>
      <c r="AA1316" s="87"/>
      <c r="AB1316" s="13"/>
      <c r="AC1316" s="245"/>
      <c r="AD1316" s="8"/>
      <c r="AE1316" s="8"/>
      <c r="AF1316" s="12"/>
      <c r="AG1316" s="13"/>
      <c r="AH1316" s="12"/>
      <c r="AI1316" s="13"/>
      <c r="AJ1316" s="12"/>
      <c r="AK1316" s="13"/>
      <c r="AL1316" s="13"/>
      <c r="AM1316" s="13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  <c r="AZ1316" s="8"/>
      <c r="BA1316" s="8"/>
    </row>
    <row r="1317" spans="21:53" ht="22.9">
      <c r="U1317" s="87"/>
      <c r="V1317" s="202"/>
      <c r="X1317" s="87"/>
      <c r="Y1317" s="87"/>
      <c r="AA1317" s="87"/>
      <c r="AB1317" s="13"/>
      <c r="AC1317" s="245"/>
      <c r="AD1317" s="8"/>
      <c r="AE1317" s="8"/>
      <c r="AF1317" s="12"/>
      <c r="AG1317" s="13"/>
      <c r="AH1317" s="12"/>
      <c r="AI1317" s="13"/>
      <c r="AJ1317" s="12"/>
      <c r="AK1317" s="13"/>
      <c r="AL1317" s="13"/>
      <c r="AM1317" s="13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  <c r="AZ1317" s="8"/>
      <c r="BA1317" s="8"/>
    </row>
    <row r="1318" spans="21:53" ht="22.9">
      <c r="U1318" s="87"/>
      <c r="V1318" s="202"/>
      <c r="X1318" s="87"/>
      <c r="Y1318" s="87"/>
      <c r="AA1318" s="87"/>
      <c r="AB1318" s="13"/>
      <c r="AC1318" s="245"/>
      <c r="AD1318" s="8"/>
      <c r="AE1318" s="8"/>
      <c r="AF1318" s="12"/>
      <c r="AG1318" s="13"/>
      <c r="AH1318" s="12"/>
      <c r="AI1318" s="13"/>
      <c r="AJ1318" s="12"/>
      <c r="AK1318" s="13"/>
      <c r="AL1318" s="13"/>
      <c r="AM1318" s="13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  <c r="AZ1318" s="8"/>
      <c r="BA1318" s="8"/>
    </row>
    <row r="1319" spans="21:53" ht="22.9">
      <c r="U1319" s="87"/>
      <c r="V1319" s="202"/>
      <c r="X1319" s="87"/>
      <c r="Y1319" s="87"/>
      <c r="AA1319" s="87"/>
      <c r="AB1319" s="13"/>
      <c r="AC1319" s="245"/>
      <c r="AD1319" s="8"/>
      <c r="AE1319" s="8"/>
      <c r="AF1319" s="12"/>
      <c r="AG1319" s="13"/>
      <c r="AH1319" s="12"/>
      <c r="AI1319" s="13"/>
      <c r="AJ1319" s="12"/>
      <c r="AK1319" s="13"/>
      <c r="AL1319" s="13"/>
      <c r="AM1319" s="13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  <c r="AZ1319" s="8"/>
      <c r="BA1319" s="8"/>
    </row>
    <row r="1320" spans="21:53" ht="22.9">
      <c r="U1320" s="87"/>
      <c r="V1320" s="202"/>
      <c r="X1320" s="87"/>
      <c r="Y1320" s="87"/>
      <c r="AA1320" s="87"/>
      <c r="AB1320" s="13"/>
      <c r="AC1320" s="245"/>
      <c r="AD1320" s="8"/>
      <c r="AE1320" s="8"/>
      <c r="AF1320" s="12"/>
      <c r="AG1320" s="13"/>
      <c r="AH1320" s="12"/>
      <c r="AI1320" s="13"/>
      <c r="AJ1320" s="12"/>
      <c r="AK1320" s="13"/>
      <c r="AL1320" s="13"/>
      <c r="AM1320" s="13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  <c r="AZ1320" s="8"/>
      <c r="BA1320" s="8"/>
    </row>
    <row r="1321" spans="21:53" ht="22.9">
      <c r="U1321" s="87"/>
      <c r="V1321" s="202"/>
      <c r="X1321" s="87"/>
      <c r="Y1321" s="87"/>
      <c r="AA1321" s="87"/>
      <c r="AB1321" s="13"/>
      <c r="AC1321" s="245"/>
      <c r="AD1321" s="8"/>
      <c r="AE1321" s="8"/>
      <c r="AF1321" s="12"/>
      <c r="AG1321" s="13"/>
      <c r="AH1321" s="12"/>
      <c r="AI1321" s="13"/>
      <c r="AJ1321" s="12"/>
      <c r="AK1321" s="13"/>
      <c r="AL1321" s="13"/>
      <c r="AM1321" s="13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  <c r="AZ1321" s="8"/>
      <c r="BA1321" s="8"/>
    </row>
    <row r="1322" spans="21:53" ht="22.9">
      <c r="U1322" s="87"/>
      <c r="V1322" s="202"/>
      <c r="X1322" s="87"/>
      <c r="Y1322" s="87"/>
      <c r="AA1322" s="87"/>
      <c r="AB1322" s="13"/>
      <c r="AC1322" s="245"/>
      <c r="AD1322" s="8"/>
      <c r="AE1322" s="8"/>
      <c r="AF1322" s="12"/>
      <c r="AG1322" s="13"/>
      <c r="AH1322" s="12"/>
      <c r="AI1322" s="13"/>
      <c r="AJ1322" s="12"/>
      <c r="AK1322" s="13"/>
      <c r="AL1322" s="13"/>
      <c r="AM1322" s="13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  <c r="AZ1322" s="8"/>
      <c r="BA1322" s="8"/>
    </row>
    <row r="1323" spans="21:53" ht="22.9">
      <c r="U1323" s="87"/>
      <c r="V1323" s="202"/>
      <c r="X1323" s="87"/>
      <c r="Y1323" s="87"/>
      <c r="AA1323" s="87"/>
      <c r="AB1323" s="13"/>
      <c r="AC1323" s="245"/>
      <c r="AD1323" s="8"/>
      <c r="AE1323" s="8"/>
      <c r="AF1323" s="12"/>
      <c r="AG1323" s="13"/>
      <c r="AH1323" s="12"/>
      <c r="AI1323" s="13"/>
      <c r="AJ1323" s="12"/>
      <c r="AK1323" s="13"/>
      <c r="AL1323" s="13"/>
      <c r="AM1323" s="13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  <c r="AZ1323" s="8"/>
      <c r="BA1323" s="8"/>
    </row>
    <row r="1324" spans="21:53" ht="22.9">
      <c r="U1324" s="87"/>
      <c r="V1324" s="202"/>
      <c r="X1324" s="87"/>
      <c r="Y1324" s="87"/>
      <c r="AA1324" s="87"/>
      <c r="AB1324" s="13"/>
      <c r="AC1324" s="245"/>
      <c r="AD1324" s="8"/>
      <c r="AE1324" s="8"/>
      <c r="AF1324" s="12"/>
      <c r="AG1324" s="13"/>
      <c r="AH1324" s="12"/>
      <c r="AI1324" s="13"/>
      <c r="AJ1324" s="12"/>
      <c r="AK1324" s="13"/>
      <c r="AL1324" s="13"/>
      <c r="AM1324" s="13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8"/>
      <c r="BA1324" s="8"/>
    </row>
    <row r="1325" spans="21:53" ht="22.9">
      <c r="U1325" s="87"/>
      <c r="V1325" s="202"/>
      <c r="X1325" s="87"/>
      <c r="Y1325" s="87"/>
      <c r="AA1325" s="87"/>
      <c r="AB1325" s="13"/>
      <c r="AC1325" s="245"/>
      <c r="AD1325" s="8"/>
      <c r="AE1325" s="8"/>
      <c r="AF1325" s="12"/>
      <c r="AG1325" s="13"/>
      <c r="AH1325" s="12"/>
      <c r="AI1325" s="13"/>
      <c r="AJ1325" s="12"/>
      <c r="AK1325" s="13"/>
      <c r="AL1325" s="13"/>
      <c r="AM1325" s="13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  <c r="AZ1325" s="8"/>
      <c r="BA1325" s="8"/>
    </row>
    <row r="1326" spans="21:53" ht="22.9">
      <c r="U1326" s="87"/>
      <c r="V1326" s="202"/>
      <c r="X1326" s="87"/>
      <c r="Y1326" s="87"/>
      <c r="AA1326" s="87"/>
      <c r="AB1326" s="13"/>
      <c r="AC1326" s="245"/>
      <c r="AD1326" s="8"/>
      <c r="AE1326" s="8"/>
      <c r="AF1326" s="12"/>
      <c r="AG1326" s="13"/>
      <c r="AH1326" s="12"/>
      <c r="AI1326" s="13"/>
      <c r="AJ1326" s="12"/>
      <c r="AK1326" s="13"/>
      <c r="AL1326" s="13"/>
      <c r="AM1326" s="13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  <c r="AZ1326" s="8"/>
      <c r="BA1326" s="8"/>
    </row>
    <row r="1327" spans="21:53" ht="22.9">
      <c r="U1327" s="87"/>
      <c r="V1327" s="202"/>
      <c r="X1327" s="87"/>
      <c r="Y1327" s="87"/>
      <c r="AA1327" s="87"/>
      <c r="AB1327" s="13"/>
      <c r="AC1327" s="245"/>
      <c r="AD1327" s="8"/>
      <c r="AE1327" s="8"/>
      <c r="AF1327" s="12"/>
      <c r="AG1327" s="13"/>
      <c r="AH1327" s="12"/>
      <c r="AI1327" s="13"/>
      <c r="AJ1327" s="12"/>
      <c r="AK1327" s="13"/>
      <c r="AL1327" s="13"/>
      <c r="AM1327" s="13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  <c r="AZ1327" s="8"/>
      <c r="BA1327" s="8"/>
    </row>
    <row r="1328" spans="21:53" ht="22.9">
      <c r="U1328" s="87"/>
      <c r="V1328" s="202"/>
      <c r="X1328" s="87"/>
      <c r="Y1328" s="87"/>
      <c r="AA1328" s="87"/>
      <c r="AB1328" s="13"/>
      <c r="AC1328" s="245"/>
      <c r="AD1328" s="8"/>
      <c r="AE1328" s="8"/>
      <c r="AF1328" s="12"/>
      <c r="AG1328" s="13"/>
      <c r="AH1328" s="12"/>
      <c r="AI1328" s="13"/>
      <c r="AJ1328" s="12"/>
      <c r="AK1328" s="13"/>
      <c r="AL1328" s="13"/>
      <c r="AM1328" s="13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  <c r="AZ1328" s="8"/>
      <c r="BA1328" s="8"/>
    </row>
    <row r="1329" spans="21:53" ht="22.9">
      <c r="U1329" s="87"/>
      <c r="V1329" s="202"/>
      <c r="X1329" s="87"/>
      <c r="Y1329" s="87"/>
      <c r="AA1329" s="87"/>
      <c r="AB1329" s="13"/>
      <c r="AC1329" s="245"/>
      <c r="AD1329" s="8"/>
      <c r="AE1329" s="8"/>
      <c r="AF1329" s="12"/>
      <c r="AG1329" s="13"/>
      <c r="AH1329" s="12"/>
      <c r="AI1329" s="13"/>
      <c r="AJ1329" s="12"/>
      <c r="AK1329" s="13"/>
      <c r="AL1329" s="13"/>
      <c r="AM1329" s="13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  <c r="AZ1329" s="8"/>
      <c r="BA1329" s="8"/>
    </row>
    <row r="1330" spans="21:53" ht="22.9">
      <c r="U1330" s="87"/>
      <c r="V1330" s="202"/>
      <c r="X1330" s="87"/>
      <c r="Y1330" s="87"/>
      <c r="AA1330" s="87"/>
      <c r="AB1330" s="13"/>
      <c r="AC1330" s="245"/>
      <c r="AD1330" s="8"/>
      <c r="AE1330" s="8"/>
      <c r="AF1330" s="12"/>
      <c r="AG1330" s="13"/>
      <c r="AH1330" s="12"/>
      <c r="AI1330" s="13"/>
      <c r="AJ1330" s="12"/>
      <c r="AK1330" s="13"/>
      <c r="AL1330" s="13"/>
      <c r="AM1330" s="13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  <c r="AZ1330" s="8"/>
      <c r="BA1330" s="8"/>
    </row>
    <row r="1331" spans="21:53" ht="22.9">
      <c r="U1331" s="87"/>
      <c r="V1331" s="202"/>
      <c r="X1331" s="87"/>
      <c r="Y1331" s="87"/>
      <c r="AA1331" s="87"/>
      <c r="AB1331" s="13"/>
      <c r="AC1331" s="245"/>
      <c r="AD1331" s="8"/>
      <c r="AE1331" s="8"/>
      <c r="AF1331" s="12"/>
      <c r="AG1331" s="13"/>
      <c r="AH1331" s="12"/>
      <c r="AI1331" s="13"/>
      <c r="AJ1331" s="12"/>
      <c r="AK1331" s="13"/>
      <c r="AL1331" s="13"/>
      <c r="AM1331" s="13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  <c r="AZ1331" s="8"/>
      <c r="BA1331" s="8"/>
    </row>
    <row r="1332" spans="21:53" ht="22.9">
      <c r="U1332" s="87"/>
      <c r="V1332" s="202"/>
      <c r="X1332" s="87"/>
      <c r="Y1332" s="87"/>
      <c r="AA1332" s="87"/>
      <c r="AB1332" s="13"/>
      <c r="AC1332" s="245"/>
      <c r="AD1332" s="8"/>
      <c r="AE1332" s="8"/>
      <c r="AF1332" s="12"/>
      <c r="AG1332" s="13"/>
      <c r="AH1332" s="12"/>
      <c r="AI1332" s="13"/>
      <c r="AJ1332" s="12"/>
      <c r="AK1332" s="13"/>
      <c r="AL1332" s="13"/>
      <c r="AM1332" s="13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  <c r="AZ1332" s="8"/>
      <c r="BA1332" s="8"/>
    </row>
    <row r="1333" spans="21:53" ht="22.9">
      <c r="U1333" s="87"/>
      <c r="V1333" s="202"/>
      <c r="X1333" s="87"/>
      <c r="Y1333" s="87"/>
      <c r="AA1333" s="87"/>
      <c r="AB1333" s="13"/>
      <c r="AC1333" s="245"/>
      <c r="AD1333" s="8"/>
      <c r="AE1333" s="8"/>
      <c r="AF1333" s="12"/>
      <c r="AG1333" s="13"/>
      <c r="AH1333" s="12"/>
      <c r="AI1333" s="13"/>
      <c r="AJ1333" s="12"/>
      <c r="AK1333" s="13"/>
      <c r="AL1333" s="13"/>
      <c r="AM1333" s="13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  <c r="AZ1333" s="8"/>
      <c r="BA1333" s="8"/>
    </row>
    <row r="1334" spans="21:53" ht="22.9">
      <c r="U1334" s="87"/>
      <c r="V1334" s="202"/>
      <c r="X1334" s="87"/>
      <c r="Y1334" s="87"/>
      <c r="AA1334" s="87"/>
      <c r="AB1334" s="13"/>
      <c r="AC1334" s="245"/>
      <c r="AD1334" s="8"/>
      <c r="AE1334" s="8"/>
      <c r="AF1334" s="12"/>
      <c r="AG1334" s="13"/>
      <c r="AH1334" s="12"/>
      <c r="AI1334" s="13"/>
      <c r="AJ1334" s="12"/>
      <c r="AK1334" s="13"/>
      <c r="AL1334" s="13"/>
      <c r="AM1334" s="13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  <c r="AZ1334" s="8"/>
      <c r="BA1334" s="8"/>
    </row>
    <row r="1335" spans="21:53" ht="22.9">
      <c r="U1335" s="87"/>
      <c r="V1335" s="202"/>
      <c r="X1335" s="87"/>
      <c r="Y1335" s="87"/>
      <c r="AA1335" s="87"/>
      <c r="AB1335" s="13"/>
      <c r="AC1335" s="245"/>
      <c r="AD1335" s="8"/>
      <c r="AE1335" s="8"/>
      <c r="AF1335" s="12"/>
      <c r="AG1335" s="13"/>
      <c r="AH1335" s="12"/>
      <c r="AI1335" s="13"/>
      <c r="AJ1335" s="12"/>
      <c r="AK1335" s="13"/>
      <c r="AL1335" s="13"/>
      <c r="AM1335" s="13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  <c r="AZ1335" s="8"/>
      <c r="BA1335" s="8"/>
    </row>
    <row r="1336" spans="21:53" ht="22.9">
      <c r="U1336" s="87"/>
      <c r="V1336" s="202"/>
      <c r="X1336" s="87"/>
      <c r="Y1336" s="87"/>
      <c r="AA1336" s="87"/>
      <c r="AB1336" s="13"/>
      <c r="AC1336" s="245"/>
      <c r="AD1336" s="8"/>
      <c r="AE1336" s="8"/>
      <c r="AF1336" s="12"/>
      <c r="AG1336" s="13"/>
      <c r="AH1336" s="12"/>
      <c r="AI1336" s="13"/>
      <c r="AJ1336" s="12"/>
      <c r="AK1336" s="13"/>
      <c r="AL1336" s="13"/>
      <c r="AM1336" s="13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  <c r="AZ1336" s="8"/>
      <c r="BA1336" s="8"/>
    </row>
    <row r="1337" spans="21:53" ht="22.9">
      <c r="U1337" s="87"/>
      <c r="V1337" s="202"/>
      <c r="X1337" s="87"/>
      <c r="Y1337" s="87"/>
      <c r="AA1337" s="87"/>
      <c r="AB1337" s="13"/>
      <c r="AC1337" s="245"/>
      <c r="AD1337" s="8"/>
      <c r="AE1337" s="8"/>
      <c r="AF1337" s="12"/>
      <c r="AG1337" s="13"/>
      <c r="AH1337" s="12"/>
      <c r="AI1337" s="13"/>
      <c r="AJ1337" s="12"/>
      <c r="AK1337" s="13"/>
      <c r="AL1337" s="13"/>
      <c r="AM1337" s="13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  <c r="AZ1337" s="8"/>
      <c r="BA1337" s="8"/>
    </row>
    <row r="1338" spans="21:53" ht="22.9">
      <c r="U1338" s="87"/>
      <c r="V1338" s="202"/>
      <c r="X1338" s="87"/>
      <c r="Y1338" s="87"/>
      <c r="AA1338" s="87"/>
      <c r="AB1338" s="13"/>
      <c r="AC1338" s="245"/>
      <c r="AD1338" s="8"/>
      <c r="AE1338" s="8"/>
      <c r="AF1338" s="12"/>
      <c r="AG1338" s="13"/>
      <c r="AH1338" s="12"/>
      <c r="AI1338" s="13"/>
      <c r="AJ1338" s="12"/>
      <c r="AK1338" s="13"/>
      <c r="AL1338" s="13"/>
      <c r="AM1338" s="13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  <c r="AZ1338" s="8"/>
      <c r="BA1338" s="8"/>
    </row>
    <row r="1339" spans="21:53" ht="22.9">
      <c r="U1339" s="87"/>
      <c r="V1339" s="202"/>
      <c r="X1339" s="87"/>
      <c r="Y1339" s="87"/>
      <c r="AA1339" s="87"/>
      <c r="AB1339" s="13"/>
      <c r="AC1339" s="245"/>
      <c r="AD1339" s="8"/>
      <c r="AE1339" s="8"/>
      <c r="AF1339" s="12"/>
      <c r="AG1339" s="13"/>
      <c r="AH1339" s="12"/>
      <c r="AI1339" s="13"/>
      <c r="AJ1339" s="12"/>
      <c r="AK1339" s="13"/>
      <c r="AL1339" s="13"/>
      <c r="AM1339" s="13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  <c r="AZ1339" s="8"/>
      <c r="BA1339" s="8"/>
    </row>
    <row r="1340" spans="21:53" ht="22.9">
      <c r="U1340" s="87"/>
      <c r="V1340" s="202"/>
      <c r="X1340" s="87"/>
      <c r="Y1340" s="87"/>
      <c r="AA1340" s="87"/>
      <c r="AB1340" s="13"/>
      <c r="AC1340" s="245"/>
      <c r="AD1340" s="8"/>
      <c r="AE1340" s="8"/>
      <c r="AF1340" s="12"/>
      <c r="AG1340" s="13"/>
      <c r="AH1340" s="12"/>
      <c r="AI1340" s="13"/>
      <c r="AJ1340" s="12"/>
      <c r="AK1340" s="13"/>
      <c r="AL1340" s="13"/>
      <c r="AM1340" s="13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  <c r="AZ1340" s="8"/>
      <c r="BA1340" s="8"/>
    </row>
    <row r="1341" spans="21:53" ht="22.9">
      <c r="U1341" s="87"/>
      <c r="V1341" s="202"/>
      <c r="X1341" s="87"/>
      <c r="Y1341" s="87"/>
      <c r="AA1341" s="87"/>
      <c r="AB1341" s="13"/>
      <c r="AC1341" s="245"/>
      <c r="AD1341" s="8"/>
      <c r="AE1341" s="8"/>
      <c r="AF1341" s="12"/>
      <c r="AG1341" s="13"/>
      <c r="AH1341" s="12"/>
      <c r="AI1341" s="13"/>
      <c r="AJ1341" s="12"/>
      <c r="AK1341" s="13"/>
      <c r="AL1341" s="13"/>
      <c r="AM1341" s="13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  <c r="AZ1341" s="8"/>
      <c r="BA1341" s="8"/>
    </row>
    <row r="1342" spans="21:53" ht="22.9">
      <c r="U1342" s="87"/>
      <c r="V1342" s="202"/>
      <c r="X1342" s="87"/>
      <c r="Y1342" s="87"/>
      <c r="AA1342" s="87"/>
      <c r="AB1342" s="13"/>
      <c r="AC1342" s="245"/>
      <c r="AD1342" s="8"/>
      <c r="AE1342" s="8"/>
      <c r="AF1342" s="12"/>
      <c r="AG1342" s="13"/>
      <c r="AH1342" s="12"/>
      <c r="AI1342" s="13"/>
      <c r="AJ1342" s="12"/>
      <c r="AK1342" s="13"/>
      <c r="AL1342" s="13"/>
      <c r="AM1342" s="13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8"/>
      <c r="BA1342" s="8"/>
    </row>
    <row r="1343" spans="21:53" ht="22.9">
      <c r="U1343" s="87"/>
      <c r="V1343" s="202"/>
      <c r="X1343" s="87"/>
      <c r="Y1343" s="87"/>
      <c r="AA1343" s="87"/>
      <c r="AB1343" s="13"/>
      <c r="AC1343" s="245"/>
      <c r="AD1343" s="8"/>
      <c r="AE1343" s="8"/>
      <c r="AF1343" s="12"/>
      <c r="AG1343" s="13"/>
      <c r="AH1343" s="12"/>
      <c r="AI1343" s="13"/>
      <c r="AJ1343" s="12"/>
      <c r="AK1343" s="13"/>
      <c r="AL1343" s="13"/>
      <c r="AM1343" s="13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  <c r="AZ1343" s="8"/>
      <c r="BA1343" s="8"/>
    </row>
    <row r="1344" spans="21:53" ht="22.9">
      <c r="U1344" s="87"/>
      <c r="V1344" s="202"/>
      <c r="X1344" s="87"/>
      <c r="Y1344" s="87"/>
      <c r="AA1344" s="87"/>
      <c r="AB1344" s="13"/>
      <c r="AC1344" s="245"/>
      <c r="AD1344" s="8"/>
      <c r="AE1344" s="8"/>
      <c r="AF1344" s="12"/>
      <c r="AG1344" s="13"/>
      <c r="AH1344" s="12"/>
      <c r="AI1344" s="13"/>
      <c r="AJ1344" s="12"/>
      <c r="AK1344" s="13"/>
      <c r="AL1344" s="13"/>
      <c r="AM1344" s="13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  <c r="AZ1344" s="8"/>
      <c r="BA1344" s="8"/>
    </row>
    <row r="1345" spans="21:53" ht="22.9">
      <c r="U1345" s="87"/>
      <c r="V1345" s="202"/>
      <c r="X1345" s="87"/>
      <c r="Y1345" s="87"/>
      <c r="AA1345" s="87"/>
      <c r="AB1345" s="13"/>
      <c r="AC1345" s="245"/>
      <c r="AD1345" s="8"/>
      <c r="AE1345" s="8"/>
      <c r="AF1345" s="12"/>
      <c r="AG1345" s="13"/>
      <c r="AH1345" s="12"/>
      <c r="AI1345" s="13"/>
      <c r="AJ1345" s="12"/>
      <c r="AK1345" s="13"/>
      <c r="AL1345" s="13"/>
      <c r="AM1345" s="13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  <c r="AZ1345" s="8"/>
      <c r="BA1345" s="8"/>
    </row>
    <row r="1346" spans="21:53" ht="22.9">
      <c r="U1346" s="87"/>
      <c r="V1346" s="202"/>
      <c r="X1346" s="87"/>
      <c r="Y1346" s="87"/>
      <c r="AA1346" s="87"/>
      <c r="AB1346" s="13"/>
      <c r="AC1346" s="245"/>
      <c r="AD1346" s="8"/>
      <c r="AE1346" s="8"/>
      <c r="AF1346" s="12"/>
      <c r="AG1346" s="13"/>
      <c r="AH1346" s="12"/>
      <c r="AI1346" s="13"/>
      <c r="AJ1346" s="12"/>
      <c r="AK1346" s="13"/>
      <c r="AL1346" s="13"/>
      <c r="AM1346" s="13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  <c r="AZ1346" s="8"/>
      <c r="BA1346" s="8"/>
    </row>
    <row r="1347" spans="21:53" ht="22.9">
      <c r="U1347" s="87"/>
      <c r="V1347" s="202"/>
      <c r="X1347" s="87"/>
      <c r="Y1347" s="87"/>
      <c r="AA1347" s="87"/>
      <c r="AB1347" s="13"/>
      <c r="AC1347" s="245"/>
      <c r="AD1347" s="8"/>
      <c r="AE1347" s="8"/>
      <c r="AF1347" s="12"/>
      <c r="AG1347" s="13"/>
      <c r="AH1347" s="12"/>
      <c r="AI1347" s="13"/>
      <c r="AJ1347" s="12"/>
      <c r="AK1347" s="13"/>
      <c r="AL1347" s="13"/>
      <c r="AM1347" s="13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  <c r="AZ1347" s="8"/>
      <c r="BA1347" s="8"/>
    </row>
    <row r="1348" spans="21:53" ht="22.9">
      <c r="U1348" s="87"/>
      <c r="V1348" s="202"/>
      <c r="X1348" s="87"/>
      <c r="Y1348" s="87"/>
      <c r="AA1348" s="87"/>
      <c r="AB1348" s="13"/>
      <c r="AC1348" s="245"/>
      <c r="AD1348" s="8"/>
      <c r="AE1348" s="8"/>
      <c r="AF1348" s="12"/>
      <c r="AG1348" s="13"/>
      <c r="AH1348" s="12"/>
      <c r="AI1348" s="13"/>
      <c r="AJ1348" s="12"/>
      <c r="AK1348" s="13"/>
      <c r="AL1348" s="13"/>
      <c r="AM1348" s="13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  <c r="AZ1348" s="8"/>
      <c r="BA1348" s="8"/>
    </row>
    <row r="1349" spans="21:53" ht="22.9">
      <c r="U1349" s="87"/>
      <c r="V1349" s="202"/>
      <c r="X1349" s="87"/>
      <c r="Y1349" s="87"/>
      <c r="AA1349" s="87"/>
      <c r="AB1349" s="13"/>
      <c r="AC1349" s="245"/>
      <c r="AD1349" s="8"/>
      <c r="AE1349" s="8"/>
      <c r="AF1349" s="12"/>
      <c r="AG1349" s="13"/>
      <c r="AH1349" s="12"/>
      <c r="AI1349" s="13"/>
      <c r="AJ1349" s="12"/>
      <c r="AK1349" s="13"/>
      <c r="AL1349" s="13"/>
      <c r="AM1349" s="13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  <c r="AZ1349" s="8"/>
      <c r="BA1349" s="8"/>
    </row>
    <row r="1350" spans="21:53" ht="22.9">
      <c r="U1350" s="87"/>
      <c r="V1350" s="202"/>
      <c r="X1350" s="87"/>
      <c r="Y1350" s="87"/>
      <c r="AA1350" s="87"/>
      <c r="AB1350" s="13"/>
      <c r="AC1350" s="245"/>
      <c r="AD1350" s="8"/>
      <c r="AE1350" s="8"/>
      <c r="AF1350" s="12"/>
      <c r="AG1350" s="13"/>
      <c r="AH1350" s="12"/>
      <c r="AI1350" s="13"/>
      <c r="AJ1350" s="12"/>
      <c r="AK1350" s="13"/>
      <c r="AL1350" s="13"/>
      <c r="AM1350" s="13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  <c r="AZ1350" s="8"/>
      <c r="BA1350" s="8"/>
    </row>
    <row r="1351" spans="21:53" ht="22.9">
      <c r="U1351" s="87"/>
      <c r="V1351" s="202"/>
      <c r="X1351" s="87"/>
      <c r="Y1351" s="87"/>
      <c r="AA1351" s="87"/>
      <c r="AB1351" s="13"/>
      <c r="AC1351" s="245"/>
      <c r="AD1351" s="8"/>
      <c r="AE1351" s="8"/>
      <c r="AF1351" s="12"/>
      <c r="AG1351" s="13"/>
      <c r="AH1351" s="12"/>
      <c r="AI1351" s="13"/>
      <c r="AJ1351" s="12"/>
      <c r="AK1351" s="13"/>
      <c r="AL1351" s="13"/>
      <c r="AM1351" s="13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  <c r="AZ1351" s="8"/>
      <c r="BA1351" s="8"/>
    </row>
    <row r="1352" spans="21:53" ht="22.9">
      <c r="U1352" s="87"/>
      <c r="V1352" s="202"/>
      <c r="X1352" s="87"/>
      <c r="Y1352" s="87"/>
      <c r="AA1352" s="87"/>
      <c r="AB1352" s="13"/>
      <c r="AC1352" s="245"/>
      <c r="AD1352" s="8"/>
      <c r="AE1352" s="8"/>
      <c r="AF1352" s="12"/>
      <c r="AG1352" s="13"/>
      <c r="AH1352" s="12"/>
      <c r="AI1352" s="13"/>
      <c r="AJ1352" s="12"/>
      <c r="AK1352" s="13"/>
      <c r="AL1352" s="13"/>
      <c r="AM1352" s="13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  <c r="AZ1352" s="8"/>
      <c r="BA1352" s="8"/>
    </row>
    <row r="1353" spans="21:53" ht="22.9">
      <c r="U1353" s="87"/>
      <c r="V1353" s="202"/>
      <c r="X1353" s="87"/>
      <c r="Y1353" s="87"/>
      <c r="AA1353" s="87"/>
      <c r="AB1353" s="13"/>
      <c r="AC1353" s="245"/>
      <c r="AD1353" s="8"/>
      <c r="AE1353" s="8"/>
      <c r="AF1353" s="12"/>
      <c r="AG1353" s="13"/>
      <c r="AH1353" s="12"/>
      <c r="AI1353" s="13"/>
      <c r="AJ1353" s="12"/>
      <c r="AK1353" s="13"/>
      <c r="AL1353" s="13"/>
      <c r="AM1353" s="13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  <c r="AZ1353" s="8"/>
      <c r="BA1353" s="8"/>
    </row>
    <row r="1354" spans="21:53" ht="22.9">
      <c r="U1354" s="87"/>
      <c r="V1354" s="202"/>
      <c r="X1354" s="87"/>
      <c r="Y1354" s="87"/>
      <c r="AA1354" s="87"/>
      <c r="AB1354" s="13"/>
      <c r="AC1354" s="245"/>
      <c r="AD1354" s="8"/>
      <c r="AE1354" s="8"/>
      <c r="AF1354" s="12"/>
      <c r="AG1354" s="13"/>
      <c r="AH1354" s="12"/>
      <c r="AI1354" s="13"/>
      <c r="AJ1354" s="12"/>
      <c r="AK1354" s="13"/>
      <c r="AL1354" s="13"/>
      <c r="AM1354" s="13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  <c r="AZ1354" s="8"/>
      <c r="BA1354" s="8"/>
    </row>
    <row r="1355" spans="21:53" ht="22.9">
      <c r="U1355" s="87"/>
      <c r="V1355" s="202"/>
      <c r="X1355" s="87"/>
      <c r="Y1355" s="87"/>
      <c r="AA1355" s="87"/>
      <c r="AB1355" s="13"/>
      <c r="AC1355" s="245"/>
      <c r="AD1355" s="8"/>
      <c r="AE1355" s="8"/>
      <c r="AF1355" s="12"/>
      <c r="AG1355" s="13"/>
      <c r="AH1355" s="12"/>
      <c r="AI1355" s="13"/>
      <c r="AJ1355" s="12"/>
      <c r="AK1355" s="13"/>
      <c r="AL1355" s="13"/>
      <c r="AM1355" s="13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  <c r="AZ1355" s="8"/>
      <c r="BA1355" s="8"/>
    </row>
    <row r="1356" spans="21:53" ht="22.9">
      <c r="U1356" s="87"/>
      <c r="V1356" s="202"/>
      <c r="X1356" s="87"/>
      <c r="Y1356" s="87"/>
      <c r="AA1356" s="87"/>
      <c r="AB1356" s="13"/>
      <c r="AC1356" s="245"/>
      <c r="AD1356" s="8"/>
      <c r="AE1356" s="8"/>
      <c r="AF1356" s="12"/>
      <c r="AG1356" s="13"/>
      <c r="AH1356" s="12"/>
      <c r="AI1356" s="13"/>
      <c r="AJ1356" s="12"/>
      <c r="AK1356" s="13"/>
      <c r="AL1356" s="13"/>
      <c r="AM1356" s="13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  <c r="AZ1356" s="8"/>
      <c r="BA1356" s="8"/>
    </row>
    <row r="1357" spans="21:53" ht="22.9">
      <c r="U1357" s="87"/>
      <c r="V1357" s="202"/>
      <c r="X1357" s="87"/>
      <c r="Y1357" s="87"/>
      <c r="AA1357" s="87"/>
      <c r="AB1357" s="13"/>
      <c r="AC1357" s="245"/>
      <c r="AD1357" s="8"/>
      <c r="AE1357" s="8"/>
      <c r="AF1357" s="12"/>
      <c r="AG1357" s="13"/>
      <c r="AH1357" s="12"/>
      <c r="AI1357" s="13"/>
      <c r="AJ1357" s="12"/>
      <c r="AK1357" s="13"/>
      <c r="AL1357" s="13"/>
      <c r="AM1357" s="13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  <c r="AZ1357" s="8"/>
      <c r="BA1357" s="8"/>
    </row>
    <row r="1358" spans="21:53" ht="22.9">
      <c r="U1358" s="87"/>
      <c r="V1358" s="202"/>
      <c r="X1358" s="87"/>
      <c r="Y1358" s="87"/>
      <c r="AA1358" s="87"/>
      <c r="AB1358" s="13"/>
      <c r="AC1358" s="245"/>
      <c r="AD1358" s="8"/>
      <c r="AE1358" s="8"/>
      <c r="AF1358" s="12"/>
      <c r="AG1358" s="13"/>
      <c r="AH1358" s="12"/>
      <c r="AI1358" s="13"/>
      <c r="AJ1358" s="12"/>
      <c r="AK1358" s="13"/>
      <c r="AL1358" s="13"/>
      <c r="AM1358" s="13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  <c r="AZ1358" s="8"/>
      <c r="BA1358" s="8"/>
    </row>
    <row r="1359" spans="21:53" ht="22.9">
      <c r="U1359" s="87"/>
      <c r="V1359" s="202"/>
      <c r="X1359" s="87"/>
      <c r="Y1359" s="87"/>
      <c r="AA1359" s="87"/>
      <c r="AB1359" s="13"/>
      <c r="AC1359" s="245"/>
      <c r="AD1359" s="8"/>
      <c r="AE1359" s="8"/>
      <c r="AF1359" s="12"/>
      <c r="AG1359" s="13"/>
      <c r="AH1359" s="12"/>
      <c r="AI1359" s="13"/>
      <c r="AJ1359" s="12"/>
      <c r="AK1359" s="13"/>
      <c r="AL1359" s="13"/>
      <c r="AM1359" s="13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  <c r="AZ1359" s="8"/>
      <c r="BA1359" s="8"/>
    </row>
    <row r="1360" spans="21:53" ht="22.9">
      <c r="U1360" s="87"/>
      <c r="V1360" s="202"/>
      <c r="X1360" s="87"/>
      <c r="Y1360" s="87"/>
      <c r="AA1360" s="87"/>
      <c r="AB1360" s="13"/>
      <c r="AC1360" s="245"/>
      <c r="AD1360" s="8"/>
      <c r="AE1360" s="8"/>
      <c r="AF1360" s="12"/>
      <c r="AG1360" s="13"/>
      <c r="AH1360" s="12"/>
      <c r="AI1360" s="13"/>
      <c r="AJ1360" s="12"/>
      <c r="AK1360" s="13"/>
      <c r="AL1360" s="13"/>
      <c r="AM1360" s="13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8"/>
      <c r="BA1360" s="8"/>
    </row>
    <row r="1361" spans="21:53" ht="22.9">
      <c r="U1361" s="87"/>
      <c r="V1361" s="202"/>
      <c r="X1361" s="87"/>
      <c r="Y1361" s="87"/>
      <c r="AA1361" s="87"/>
      <c r="AB1361" s="13"/>
      <c r="AC1361" s="245"/>
      <c r="AD1361" s="8"/>
      <c r="AE1361" s="8"/>
      <c r="AF1361" s="12"/>
      <c r="AG1361" s="13"/>
      <c r="AH1361" s="12"/>
      <c r="AI1361" s="13"/>
      <c r="AJ1361" s="12"/>
      <c r="AK1361" s="13"/>
      <c r="AL1361" s="13"/>
      <c r="AM1361" s="13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  <c r="AZ1361" s="8"/>
      <c r="BA1361" s="8"/>
    </row>
    <row r="1362" spans="21:53" ht="22.9">
      <c r="U1362" s="87"/>
      <c r="V1362" s="202"/>
      <c r="X1362" s="87"/>
      <c r="Y1362" s="87"/>
      <c r="AA1362" s="87"/>
      <c r="AB1362" s="13"/>
      <c r="AC1362" s="245"/>
      <c r="AD1362" s="8"/>
      <c r="AE1362" s="8"/>
      <c r="AF1362" s="12"/>
      <c r="AG1362" s="13"/>
      <c r="AH1362" s="12"/>
      <c r="AI1362" s="13"/>
      <c r="AJ1362" s="12"/>
      <c r="AK1362" s="13"/>
      <c r="AL1362" s="13"/>
      <c r="AM1362" s="13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  <c r="AZ1362" s="8"/>
      <c r="BA1362" s="8"/>
    </row>
    <row r="1363" spans="21:53" ht="22.9">
      <c r="U1363" s="87"/>
      <c r="V1363" s="202"/>
      <c r="X1363" s="87"/>
      <c r="Y1363" s="87"/>
      <c r="AA1363" s="87"/>
      <c r="AB1363" s="13"/>
      <c r="AC1363" s="245"/>
      <c r="AD1363" s="8"/>
      <c r="AE1363" s="8"/>
      <c r="AF1363" s="12"/>
      <c r="AG1363" s="13"/>
      <c r="AH1363" s="12"/>
      <c r="AI1363" s="13"/>
      <c r="AJ1363" s="12"/>
      <c r="AK1363" s="13"/>
      <c r="AL1363" s="13"/>
      <c r="AM1363" s="13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  <c r="AZ1363" s="8"/>
      <c r="BA1363" s="8"/>
    </row>
    <row r="1364" spans="21:53" ht="22.9">
      <c r="U1364" s="87"/>
      <c r="V1364" s="202"/>
      <c r="X1364" s="87"/>
      <c r="Y1364" s="87"/>
      <c r="AA1364" s="87"/>
      <c r="AB1364" s="13"/>
      <c r="AC1364" s="245"/>
      <c r="AD1364" s="8"/>
      <c r="AE1364" s="8"/>
      <c r="AF1364" s="12"/>
      <c r="AG1364" s="13"/>
      <c r="AH1364" s="12"/>
      <c r="AI1364" s="13"/>
      <c r="AJ1364" s="12"/>
      <c r="AK1364" s="13"/>
      <c r="AL1364" s="13"/>
      <c r="AM1364" s="13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  <c r="AZ1364" s="8"/>
      <c r="BA1364" s="8"/>
    </row>
    <row r="1365" spans="21:53" ht="22.9">
      <c r="U1365" s="87"/>
      <c r="V1365" s="202"/>
      <c r="X1365" s="87"/>
      <c r="Y1365" s="87"/>
      <c r="AA1365" s="87"/>
      <c r="AB1365" s="13"/>
      <c r="AC1365" s="245"/>
      <c r="AD1365" s="8"/>
      <c r="AE1365" s="8"/>
      <c r="AF1365" s="12"/>
      <c r="AG1365" s="13"/>
      <c r="AH1365" s="12"/>
      <c r="AI1365" s="13"/>
      <c r="AJ1365" s="12"/>
      <c r="AK1365" s="13"/>
      <c r="AL1365" s="13"/>
      <c r="AM1365" s="13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  <c r="AZ1365" s="8"/>
      <c r="BA1365" s="8"/>
    </row>
    <row r="1366" spans="21:53" ht="22.9">
      <c r="U1366" s="87"/>
      <c r="V1366" s="202"/>
      <c r="X1366" s="87"/>
      <c r="Y1366" s="87"/>
      <c r="AA1366" s="87"/>
      <c r="AB1366" s="13"/>
      <c r="AC1366" s="245"/>
      <c r="AD1366" s="8"/>
      <c r="AE1366" s="8"/>
      <c r="AF1366" s="12"/>
      <c r="AG1366" s="13"/>
      <c r="AH1366" s="12"/>
      <c r="AI1366" s="13"/>
      <c r="AJ1366" s="12"/>
      <c r="AK1366" s="13"/>
      <c r="AL1366" s="13"/>
      <c r="AM1366" s="13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  <c r="AZ1366" s="8"/>
      <c r="BA1366" s="8"/>
    </row>
    <row r="1367" spans="21:53" ht="22.9">
      <c r="U1367" s="87"/>
      <c r="V1367" s="202"/>
      <c r="X1367" s="87"/>
      <c r="Y1367" s="87"/>
      <c r="AA1367" s="87"/>
      <c r="AB1367" s="13"/>
      <c r="AC1367" s="245"/>
      <c r="AD1367" s="8"/>
      <c r="AE1367" s="8"/>
      <c r="AF1367" s="12"/>
      <c r="AG1367" s="13"/>
      <c r="AH1367" s="12"/>
      <c r="AI1367" s="13"/>
      <c r="AJ1367" s="12"/>
      <c r="AK1367" s="13"/>
      <c r="AL1367" s="13"/>
      <c r="AM1367" s="13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  <c r="AZ1367" s="8"/>
      <c r="BA1367" s="8"/>
    </row>
    <row r="1368" spans="21:53" ht="22.9">
      <c r="U1368" s="87"/>
      <c r="V1368" s="202"/>
      <c r="X1368" s="87"/>
      <c r="Y1368" s="87"/>
      <c r="AA1368" s="87"/>
      <c r="AB1368" s="13"/>
      <c r="AC1368" s="245"/>
      <c r="AD1368" s="8"/>
      <c r="AE1368" s="8"/>
      <c r="AF1368" s="12"/>
      <c r="AG1368" s="13"/>
      <c r="AH1368" s="12"/>
      <c r="AI1368" s="13"/>
      <c r="AJ1368" s="12"/>
      <c r="AK1368" s="13"/>
      <c r="AL1368" s="13"/>
      <c r="AM1368" s="13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  <c r="AZ1368" s="8"/>
      <c r="BA1368" s="8"/>
    </row>
    <row r="1369" spans="21:53" ht="22.9">
      <c r="U1369" s="87"/>
      <c r="V1369" s="202"/>
      <c r="X1369" s="87"/>
      <c r="Y1369" s="87"/>
      <c r="AA1369" s="87"/>
      <c r="AB1369" s="13"/>
      <c r="AC1369" s="245"/>
      <c r="AD1369" s="8"/>
      <c r="AE1369" s="8"/>
      <c r="AF1369" s="12"/>
      <c r="AG1369" s="13"/>
      <c r="AH1369" s="12"/>
      <c r="AI1369" s="13"/>
      <c r="AJ1369" s="12"/>
      <c r="AK1369" s="13"/>
      <c r="AL1369" s="13"/>
      <c r="AM1369" s="13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  <c r="AZ1369" s="8"/>
      <c r="BA1369" s="8"/>
    </row>
    <row r="1370" spans="21:53" ht="22.9">
      <c r="U1370" s="87"/>
      <c r="V1370" s="202"/>
      <c r="X1370" s="87"/>
      <c r="Y1370" s="87"/>
      <c r="AA1370" s="87"/>
      <c r="AB1370" s="13"/>
      <c r="AC1370" s="245"/>
      <c r="AD1370" s="8"/>
      <c r="AE1370" s="8"/>
      <c r="AF1370" s="12"/>
      <c r="AG1370" s="13"/>
      <c r="AH1370" s="12"/>
      <c r="AI1370" s="13"/>
      <c r="AJ1370" s="12"/>
      <c r="AK1370" s="13"/>
      <c r="AL1370" s="13"/>
      <c r="AM1370" s="13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  <c r="AZ1370" s="8"/>
      <c r="BA1370" s="8"/>
    </row>
    <row r="1371" spans="21:53" ht="22.9">
      <c r="U1371" s="87"/>
      <c r="V1371" s="202"/>
      <c r="X1371" s="87"/>
      <c r="Y1371" s="87"/>
      <c r="AA1371" s="87"/>
      <c r="AB1371" s="13"/>
      <c r="AC1371" s="245"/>
      <c r="AD1371" s="8"/>
      <c r="AE1371" s="8"/>
      <c r="AF1371" s="12"/>
      <c r="AG1371" s="13"/>
      <c r="AH1371" s="12"/>
      <c r="AI1371" s="13"/>
      <c r="AJ1371" s="12"/>
      <c r="AK1371" s="13"/>
      <c r="AL1371" s="13"/>
      <c r="AM1371" s="13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  <c r="AZ1371" s="8"/>
      <c r="BA1371" s="8"/>
    </row>
    <row r="1372" spans="21:53" ht="22.9">
      <c r="U1372" s="87"/>
      <c r="V1372" s="202"/>
      <c r="X1372" s="87"/>
      <c r="Y1372" s="87"/>
      <c r="AA1372" s="87"/>
      <c r="AB1372" s="13"/>
      <c r="AC1372" s="245"/>
      <c r="AD1372" s="8"/>
      <c r="AE1372" s="8"/>
      <c r="AF1372" s="12"/>
      <c r="AG1372" s="13"/>
      <c r="AH1372" s="12"/>
      <c r="AI1372" s="13"/>
      <c r="AJ1372" s="12"/>
      <c r="AK1372" s="13"/>
      <c r="AL1372" s="13"/>
      <c r="AM1372" s="13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  <c r="AZ1372" s="8"/>
      <c r="BA1372" s="8"/>
    </row>
    <row r="1373" spans="21:53" ht="22.9">
      <c r="U1373" s="87"/>
      <c r="V1373" s="202"/>
      <c r="X1373" s="87"/>
      <c r="Y1373" s="87"/>
      <c r="AA1373" s="87"/>
      <c r="AB1373" s="13"/>
      <c r="AC1373" s="245"/>
      <c r="AD1373" s="8"/>
      <c r="AE1373" s="8"/>
      <c r="AF1373" s="12"/>
      <c r="AG1373" s="13"/>
      <c r="AH1373" s="12"/>
      <c r="AI1373" s="13"/>
      <c r="AJ1373" s="12"/>
      <c r="AK1373" s="13"/>
      <c r="AL1373" s="13"/>
      <c r="AM1373" s="13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  <c r="AZ1373" s="8"/>
      <c r="BA1373" s="8"/>
    </row>
    <row r="1374" spans="21:53" ht="22.9">
      <c r="U1374" s="87"/>
      <c r="V1374" s="202"/>
      <c r="X1374" s="87"/>
      <c r="Y1374" s="87"/>
      <c r="AA1374" s="87"/>
      <c r="AB1374" s="13"/>
      <c r="AC1374" s="245"/>
      <c r="AD1374" s="8"/>
      <c r="AE1374" s="8"/>
      <c r="AF1374" s="12"/>
      <c r="AG1374" s="13"/>
      <c r="AH1374" s="12"/>
      <c r="AI1374" s="13"/>
      <c r="AJ1374" s="12"/>
      <c r="AK1374" s="13"/>
      <c r="AL1374" s="13"/>
      <c r="AM1374" s="13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  <c r="AZ1374" s="8"/>
      <c r="BA1374" s="8"/>
    </row>
    <row r="1375" spans="21:53" ht="22.9">
      <c r="U1375" s="87"/>
      <c r="V1375" s="202"/>
      <c r="X1375" s="87"/>
      <c r="Y1375" s="87"/>
      <c r="AA1375" s="87"/>
      <c r="AB1375" s="13"/>
      <c r="AC1375" s="245"/>
      <c r="AD1375" s="8"/>
      <c r="AE1375" s="8"/>
      <c r="AF1375" s="12"/>
      <c r="AG1375" s="13"/>
      <c r="AH1375" s="12"/>
      <c r="AI1375" s="13"/>
      <c r="AJ1375" s="12"/>
      <c r="AK1375" s="13"/>
      <c r="AL1375" s="13"/>
      <c r="AM1375" s="13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  <c r="AZ1375" s="8"/>
      <c r="BA1375" s="8"/>
    </row>
    <row r="1376" spans="21:53" ht="22.9">
      <c r="U1376" s="87"/>
      <c r="V1376" s="202"/>
      <c r="X1376" s="87"/>
      <c r="Y1376" s="87"/>
      <c r="AA1376" s="87"/>
      <c r="AB1376" s="13"/>
      <c r="AC1376" s="245"/>
      <c r="AD1376" s="8"/>
      <c r="AE1376" s="8"/>
      <c r="AF1376" s="12"/>
      <c r="AG1376" s="13"/>
      <c r="AH1376" s="12"/>
      <c r="AI1376" s="13"/>
      <c r="AJ1376" s="12"/>
      <c r="AK1376" s="13"/>
      <c r="AL1376" s="13"/>
      <c r="AM1376" s="13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  <c r="AZ1376" s="8"/>
      <c r="BA1376" s="8"/>
    </row>
    <row r="1377" spans="21:53" ht="22.9">
      <c r="U1377" s="87"/>
      <c r="V1377" s="202"/>
      <c r="X1377" s="87"/>
      <c r="Y1377" s="87"/>
      <c r="AA1377" s="87"/>
      <c r="AB1377" s="13"/>
      <c r="AC1377" s="245"/>
      <c r="AD1377" s="8"/>
      <c r="AE1377" s="8"/>
      <c r="AF1377" s="12"/>
      <c r="AG1377" s="13"/>
      <c r="AH1377" s="12"/>
      <c r="AI1377" s="13"/>
      <c r="AJ1377" s="12"/>
      <c r="AK1377" s="13"/>
      <c r="AL1377" s="13"/>
      <c r="AM1377" s="13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  <c r="AZ1377" s="8"/>
      <c r="BA1377" s="8"/>
    </row>
    <row r="1378" spans="21:53" ht="22.9">
      <c r="U1378" s="87"/>
      <c r="V1378" s="202"/>
      <c r="X1378" s="87"/>
      <c r="Y1378" s="87"/>
      <c r="AA1378" s="87"/>
      <c r="AB1378" s="13"/>
      <c r="AC1378" s="245"/>
      <c r="AD1378" s="8"/>
      <c r="AE1378" s="8"/>
      <c r="AF1378" s="12"/>
      <c r="AG1378" s="13"/>
      <c r="AH1378" s="12"/>
      <c r="AI1378" s="13"/>
      <c r="AJ1378" s="12"/>
      <c r="AK1378" s="13"/>
      <c r="AL1378" s="13"/>
      <c r="AM1378" s="13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  <c r="AZ1378" s="8"/>
      <c r="BA1378" s="8"/>
    </row>
    <row r="1379" spans="21:53" ht="22.9">
      <c r="U1379" s="87"/>
      <c r="V1379" s="202"/>
      <c r="X1379" s="87"/>
      <c r="Y1379" s="87"/>
      <c r="AA1379" s="87"/>
      <c r="AB1379" s="13"/>
      <c r="AC1379" s="245"/>
      <c r="AD1379" s="8"/>
      <c r="AE1379" s="8"/>
      <c r="AF1379" s="12"/>
      <c r="AG1379" s="13"/>
      <c r="AH1379" s="12"/>
      <c r="AI1379" s="13"/>
      <c r="AJ1379" s="12"/>
      <c r="AK1379" s="13"/>
      <c r="AL1379" s="13"/>
      <c r="AM1379" s="13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  <c r="AZ1379" s="8"/>
      <c r="BA1379" s="8"/>
    </row>
    <row r="1380" spans="21:53" ht="22.9">
      <c r="U1380" s="87"/>
      <c r="V1380" s="202"/>
      <c r="X1380" s="87"/>
      <c r="Y1380" s="87"/>
      <c r="AA1380" s="87"/>
      <c r="AB1380" s="13"/>
      <c r="AC1380" s="245"/>
      <c r="AD1380" s="8"/>
      <c r="AE1380" s="8"/>
      <c r="AF1380" s="12"/>
      <c r="AG1380" s="13"/>
      <c r="AH1380" s="12"/>
      <c r="AI1380" s="13"/>
      <c r="AJ1380" s="12"/>
      <c r="AK1380" s="13"/>
      <c r="AL1380" s="13"/>
      <c r="AM1380" s="13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  <c r="AZ1380" s="8"/>
      <c r="BA1380" s="8"/>
    </row>
    <row r="1381" spans="21:53" ht="22.9">
      <c r="U1381" s="87"/>
      <c r="V1381" s="202"/>
      <c r="X1381" s="87"/>
      <c r="Y1381" s="87"/>
      <c r="AA1381" s="87"/>
      <c r="AB1381" s="13"/>
      <c r="AC1381" s="245"/>
      <c r="AD1381" s="8"/>
      <c r="AE1381" s="8"/>
      <c r="AF1381" s="12"/>
      <c r="AG1381" s="13"/>
      <c r="AH1381" s="12"/>
      <c r="AI1381" s="13"/>
      <c r="AJ1381" s="12"/>
      <c r="AK1381" s="13"/>
      <c r="AL1381" s="13"/>
      <c r="AM1381" s="13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  <c r="AZ1381" s="8"/>
      <c r="BA1381" s="8"/>
    </row>
    <row r="1382" spans="21:53" ht="22.9">
      <c r="U1382" s="87"/>
      <c r="V1382" s="202"/>
      <c r="X1382" s="87"/>
      <c r="Y1382" s="87"/>
      <c r="AA1382" s="87"/>
      <c r="AB1382" s="13"/>
      <c r="AC1382" s="245"/>
      <c r="AD1382" s="8"/>
      <c r="AE1382" s="8"/>
      <c r="AF1382" s="12"/>
      <c r="AG1382" s="13"/>
      <c r="AH1382" s="12"/>
      <c r="AI1382" s="13"/>
      <c r="AJ1382" s="12"/>
      <c r="AK1382" s="13"/>
      <c r="AL1382" s="13"/>
      <c r="AM1382" s="13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  <c r="AZ1382" s="8"/>
      <c r="BA1382" s="8"/>
    </row>
    <row r="1383" spans="21:53" ht="22.9">
      <c r="U1383" s="87"/>
      <c r="V1383" s="202"/>
      <c r="X1383" s="87"/>
      <c r="Y1383" s="87"/>
      <c r="AA1383" s="87"/>
      <c r="AB1383" s="13"/>
      <c r="AC1383" s="245"/>
      <c r="AD1383" s="8"/>
      <c r="AE1383" s="8"/>
      <c r="AF1383" s="12"/>
      <c r="AG1383" s="13"/>
      <c r="AH1383" s="12"/>
      <c r="AI1383" s="13"/>
      <c r="AJ1383" s="12"/>
      <c r="AK1383" s="13"/>
      <c r="AL1383" s="13"/>
      <c r="AM1383" s="13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  <c r="AY1383" s="8"/>
      <c r="AZ1383" s="8"/>
      <c r="BA1383" s="8"/>
    </row>
    <row r="1384" spans="21:53" ht="22.9">
      <c r="U1384" s="87"/>
      <c r="V1384" s="202"/>
      <c r="X1384" s="87"/>
      <c r="Y1384" s="87"/>
      <c r="AA1384" s="87"/>
      <c r="AB1384" s="13"/>
      <c r="AC1384" s="245"/>
      <c r="AD1384" s="8"/>
      <c r="AE1384" s="8"/>
      <c r="AF1384" s="12"/>
      <c r="AG1384" s="13"/>
      <c r="AH1384" s="12"/>
      <c r="AI1384" s="13"/>
      <c r="AJ1384" s="12"/>
      <c r="AK1384" s="13"/>
      <c r="AL1384" s="13"/>
      <c r="AM1384" s="13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  <c r="AZ1384" s="8"/>
      <c r="BA1384" s="8"/>
    </row>
    <row r="1385" spans="21:53" ht="22.9">
      <c r="U1385" s="87"/>
      <c r="V1385" s="202"/>
      <c r="X1385" s="87"/>
      <c r="Y1385" s="87"/>
      <c r="AA1385" s="87"/>
      <c r="AB1385" s="13"/>
      <c r="AC1385" s="245"/>
      <c r="AD1385" s="8"/>
      <c r="AE1385" s="8"/>
      <c r="AF1385" s="12"/>
      <c r="AG1385" s="13"/>
      <c r="AH1385" s="12"/>
      <c r="AI1385" s="13"/>
      <c r="AJ1385" s="12"/>
      <c r="AK1385" s="13"/>
      <c r="AL1385" s="13"/>
      <c r="AM1385" s="13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  <c r="AZ1385" s="8"/>
      <c r="BA1385" s="8"/>
    </row>
    <row r="1386" spans="21:53" ht="22.9">
      <c r="U1386" s="87"/>
      <c r="V1386" s="202"/>
      <c r="X1386" s="87"/>
      <c r="Y1386" s="87"/>
      <c r="AA1386" s="87"/>
      <c r="AB1386" s="13"/>
      <c r="AC1386" s="245"/>
      <c r="AD1386" s="8"/>
      <c r="AE1386" s="8"/>
      <c r="AF1386" s="12"/>
      <c r="AG1386" s="13"/>
      <c r="AH1386" s="12"/>
      <c r="AI1386" s="13"/>
      <c r="AJ1386" s="12"/>
      <c r="AK1386" s="13"/>
      <c r="AL1386" s="13"/>
      <c r="AM1386" s="13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  <c r="AX1386" s="8"/>
      <c r="AY1386" s="8"/>
      <c r="AZ1386" s="8"/>
      <c r="BA1386" s="8"/>
    </row>
    <row r="1387" spans="21:53" ht="22.9">
      <c r="U1387" s="87"/>
      <c r="V1387" s="202"/>
      <c r="X1387" s="87"/>
      <c r="Y1387" s="87"/>
      <c r="AA1387" s="87"/>
      <c r="AB1387" s="13"/>
      <c r="AC1387" s="245"/>
      <c r="AD1387" s="8"/>
      <c r="AE1387" s="8"/>
      <c r="AF1387" s="12"/>
      <c r="AG1387" s="13"/>
      <c r="AH1387" s="12"/>
      <c r="AI1387" s="13"/>
      <c r="AJ1387" s="12"/>
      <c r="AK1387" s="13"/>
      <c r="AL1387" s="13"/>
      <c r="AM1387" s="13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  <c r="AY1387" s="8"/>
      <c r="AZ1387" s="8"/>
      <c r="BA1387" s="8"/>
    </row>
    <row r="1388" spans="21:53" ht="22.9">
      <c r="U1388" s="87"/>
      <c r="V1388" s="202"/>
      <c r="X1388" s="87"/>
      <c r="Y1388" s="87"/>
      <c r="AA1388" s="87"/>
      <c r="AB1388" s="13"/>
      <c r="AC1388" s="245"/>
      <c r="AD1388" s="8"/>
      <c r="AE1388" s="8"/>
      <c r="AF1388" s="12"/>
      <c r="AG1388" s="13"/>
      <c r="AH1388" s="12"/>
      <c r="AI1388" s="13"/>
      <c r="AJ1388" s="12"/>
      <c r="AK1388" s="13"/>
      <c r="AL1388" s="13"/>
      <c r="AM1388" s="13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  <c r="AY1388" s="8"/>
      <c r="AZ1388" s="8"/>
      <c r="BA1388" s="8"/>
    </row>
    <row r="1389" spans="21:53" ht="22.9">
      <c r="U1389" s="87"/>
      <c r="V1389" s="202"/>
      <c r="X1389" s="87"/>
      <c r="Y1389" s="87"/>
      <c r="AA1389" s="87"/>
      <c r="AB1389" s="13"/>
      <c r="AC1389" s="245"/>
      <c r="AD1389" s="8"/>
      <c r="AE1389" s="8"/>
      <c r="AF1389" s="12"/>
      <c r="AG1389" s="13"/>
      <c r="AH1389" s="12"/>
      <c r="AI1389" s="13"/>
      <c r="AJ1389" s="12"/>
      <c r="AK1389" s="13"/>
      <c r="AL1389" s="13"/>
      <c r="AM1389" s="13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  <c r="AY1389" s="8"/>
      <c r="AZ1389" s="8"/>
      <c r="BA1389" s="8"/>
    </row>
    <row r="1390" spans="21:53" ht="22.9">
      <c r="U1390" s="87"/>
      <c r="V1390" s="202"/>
      <c r="X1390" s="87"/>
      <c r="Y1390" s="87"/>
      <c r="AA1390" s="87"/>
      <c r="AB1390" s="13"/>
      <c r="AC1390" s="245"/>
      <c r="AD1390" s="8"/>
      <c r="AE1390" s="8"/>
      <c r="AF1390" s="12"/>
      <c r="AG1390" s="13"/>
      <c r="AH1390" s="12"/>
      <c r="AI1390" s="13"/>
      <c r="AJ1390" s="12"/>
      <c r="AK1390" s="13"/>
      <c r="AL1390" s="13"/>
      <c r="AM1390" s="13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  <c r="AZ1390" s="8"/>
      <c r="BA1390" s="8"/>
    </row>
    <row r="1391" spans="21:53" ht="22.9">
      <c r="U1391" s="87"/>
      <c r="V1391" s="202"/>
      <c r="X1391" s="87"/>
      <c r="Y1391" s="87"/>
      <c r="AA1391" s="87"/>
      <c r="AB1391" s="13"/>
      <c r="AC1391" s="245"/>
      <c r="AD1391" s="8"/>
      <c r="AE1391" s="8"/>
      <c r="AF1391" s="12"/>
      <c r="AG1391" s="13"/>
      <c r="AH1391" s="12"/>
      <c r="AI1391" s="13"/>
      <c r="AJ1391" s="12"/>
      <c r="AK1391" s="13"/>
      <c r="AL1391" s="13"/>
      <c r="AM1391" s="13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  <c r="AZ1391" s="8"/>
      <c r="BA1391" s="8"/>
    </row>
    <row r="1392" spans="21:53" ht="22.9">
      <c r="U1392" s="87"/>
      <c r="V1392" s="202"/>
      <c r="X1392" s="87"/>
      <c r="Y1392" s="87"/>
      <c r="AA1392" s="87"/>
      <c r="AB1392" s="13"/>
      <c r="AC1392" s="245"/>
      <c r="AD1392" s="8"/>
      <c r="AE1392" s="8"/>
      <c r="AF1392" s="12"/>
      <c r="AG1392" s="13"/>
      <c r="AH1392" s="12"/>
      <c r="AI1392" s="13"/>
      <c r="AJ1392" s="12"/>
      <c r="AK1392" s="13"/>
      <c r="AL1392" s="13"/>
      <c r="AM1392" s="13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  <c r="AZ1392" s="8"/>
      <c r="BA1392" s="8"/>
    </row>
    <row r="1393" spans="21:53" ht="22.9">
      <c r="U1393" s="87"/>
      <c r="V1393" s="202"/>
      <c r="X1393" s="87"/>
      <c r="Y1393" s="87"/>
      <c r="AA1393" s="87"/>
      <c r="AB1393" s="13"/>
      <c r="AC1393" s="245"/>
      <c r="AD1393" s="8"/>
      <c r="AE1393" s="8"/>
      <c r="AF1393" s="12"/>
      <c r="AG1393" s="13"/>
      <c r="AH1393" s="12"/>
      <c r="AI1393" s="13"/>
      <c r="AJ1393" s="12"/>
      <c r="AK1393" s="13"/>
      <c r="AL1393" s="13"/>
      <c r="AM1393" s="13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  <c r="AZ1393" s="8"/>
      <c r="BA1393" s="8"/>
    </row>
    <row r="1394" spans="21:53" ht="22.9">
      <c r="U1394" s="87"/>
      <c r="V1394" s="202"/>
      <c r="X1394" s="87"/>
      <c r="Y1394" s="87"/>
      <c r="AA1394" s="87"/>
      <c r="AB1394" s="13"/>
      <c r="AC1394" s="245"/>
      <c r="AD1394" s="8"/>
      <c r="AE1394" s="8"/>
      <c r="AF1394" s="12"/>
      <c r="AG1394" s="13"/>
      <c r="AH1394" s="12"/>
      <c r="AI1394" s="13"/>
      <c r="AJ1394" s="12"/>
      <c r="AK1394" s="13"/>
      <c r="AL1394" s="13"/>
      <c r="AM1394" s="13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  <c r="AZ1394" s="8"/>
      <c r="BA1394" s="8"/>
    </row>
    <row r="1395" spans="21:53" ht="22.9">
      <c r="U1395" s="87"/>
      <c r="V1395" s="202"/>
      <c r="X1395" s="87"/>
      <c r="Y1395" s="87"/>
      <c r="AA1395" s="87"/>
      <c r="AB1395" s="13"/>
      <c r="AC1395" s="245"/>
      <c r="AD1395" s="8"/>
      <c r="AE1395" s="8"/>
      <c r="AF1395" s="12"/>
      <c r="AG1395" s="13"/>
      <c r="AH1395" s="12"/>
      <c r="AI1395" s="13"/>
      <c r="AJ1395" s="12"/>
      <c r="AK1395" s="13"/>
      <c r="AL1395" s="13"/>
      <c r="AM1395" s="13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  <c r="AZ1395" s="8"/>
      <c r="BA1395" s="8"/>
    </row>
    <row r="1396" spans="21:53" ht="22.9">
      <c r="U1396" s="87"/>
      <c r="V1396" s="202"/>
      <c r="X1396" s="87"/>
      <c r="Y1396" s="87"/>
      <c r="AA1396" s="87"/>
      <c r="AB1396" s="13"/>
      <c r="AC1396" s="245"/>
      <c r="AD1396" s="8"/>
      <c r="AE1396" s="8"/>
      <c r="AF1396" s="12"/>
      <c r="AG1396" s="13"/>
      <c r="AH1396" s="12"/>
      <c r="AI1396" s="13"/>
      <c r="AJ1396" s="12"/>
      <c r="AK1396" s="13"/>
      <c r="AL1396" s="13"/>
      <c r="AM1396" s="13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8"/>
      <c r="BA1396" s="8"/>
    </row>
    <row r="1397" spans="21:53" ht="22.9">
      <c r="U1397" s="87"/>
      <c r="V1397" s="202"/>
      <c r="X1397" s="87"/>
      <c r="Y1397" s="87"/>
      <c r="AA1397" s="87"/>
      <c r="AB1397" s="13"/>
      <c r="AC1397" s="245"/>
      <c r="AD1397" s="8"/>
      <c r="AE1397" s="8"/>
      <c r="AF1397" s="12"/>
      <c r="AG1397" s="13"/>
      <c r="AH1397" s="12"/>
      <c r="AI1397" s="13"/>
      <c r="AJ1397" s="12"/>
      <c r="AK1397" s="13"/>
      <c r="AL1397" s="13"/>
      <c r="AM1397" s="13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  <c r="AZ1397" s="8"/>
      <c r="BA1397" s="8"/>
    </row>
    <row r="1398" spans="21:53" ht="22.9">
      <c r="U1398" s="87"/>
      <c r="V1398" s="202"/>
      <c r="X1398" s="87"/>
      <c r="Y1398" s="87"/>
      <c r="AA1398" s="87"/>
      <c r="AB1398" s="13"/>
      <c r="AC1398" s="245"/>
      <c r="AD1398" s="8"/>
      <c r="AE1398" s="8"/>
      <c r="AF1398" s="12"/>
      <c r="AG1398" s="13"/>
      <c r="AH1398" s="12"/>
      <c r="AI1398" s="13"/>
      <c r="AJ1398" s="12"/>
      <c r="AK1398" s="13"/>
      <c r="AL1398" s="13"/>
      <c r="AM1398" s="13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  <c r="AZ1398" s="8"/>
      <c r="BA1398" s="8"/>
    </row>
    <row r="1399" spans="21:53" ht="22.9">
      <c r="U1399" s="87"/>
      <c r="V1399" s="202"/>
      <c r="X1399" s="87"/>
      <c r="Y1399" s="87"/>
      <c r="AA1399" s="87"/>
      <c r="AB1399" s="13"/>
      <c r="AC1399" s="245"/>
      <c r="AD1399" s="8"/>
      <c r="AE1399" s="8"/>
      <c r="AF1399" s="12"/>
      <c r="AG1399" s="13"/>
      <c r="AH1399" s="12"/>
      <c r="AI1399" s="13"/>
      <c r="AJ1399" s="12"/>
      <c r="AK1399" s="13"/>
      <c r="AL1399" s="13"/>
      <c r="AM1399" s="13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  <c r="AZ1399" s="8"/>
      <c r="BA1399" s="8"/>
    </row>
    <row r="1400" spans="21:53" ht="22.9">
      <c r="U1400" s="87"/>
      <c r="V1400" s="202"/>
      <c r="X1400" s="87"/>
      <c r="Y1400" s="87"/>
      <c r="AA1400" s="87"/>
      <c r="AB1400" s="13"/>
      <c r="AC1400" s="245"/>
      <c r="AD1400" s="8"/>
      <c r="AE1400" s="8"/>
      <c r="AF1400" s="12"/>
      <c r="AG1400" s="13"/>
      <c r="AH1400" s="12"/>
      <c r="AI1400" s="13"/>
      <c r="AJ1400" s="12"/>
      <c r="AK1400" s="13"/>
      <c r="AL1400" s="13"/>
      <c r="AM1400" s="13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  <c r="AY1400" s="8"/>
      <c r="AZ1400" s="8"/>
      <c r="BA1400" s="8"/>
    </row>
    <row r="1401" spans="21:53" ht="22.9">
      <c r="U1401" s="87"/>
      <c r="V1401" s="202"/>
      <c r="X1401" s="87"/>
      <c r="Y1401" s="87"/>
      <c r="AA1401" s="87"/>
      <c r="AB1401" s="13"/>
      <c r="AC1401" s="245"/>
      <c r="AD1401" s="8"/>
      <c r="AE1401" s="8"/>
      <c r="AF1401" s="12"/>
      <c r="AG1401" s="13"/>
      <c r="AH1401" s="12"/>
      <c r="AI1401" s="13"/>
      <c r="AJ1401" s="12"/>
      <c r="AK1401" s="13"/>
      <c r="AL1401" s="13"/>
      <c r="AM1401" s="13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  <c r="AZ1401" s="8"/>
      <c r="BA1401" s="8"/>
    </row>
    <row r="1402" spans="21:53" ht="22.9">
      <c r="U1402" s="87"/>
      <c r="V1402" s="202"/>
      <c r="X1402" s="87"/>
      <c r="Y1402" s="87"/>
      <c r="AA1402" s="87"/>
      <c r="AB1402" s="13"/>
      <c r="AC1402" s="245"/>
      <c r="AD1402" s="8"/>
      <c r="AE1402" s="8"/>
      <c r="AF1402" s="12"/>
      <c r="AG1402" s="13"/>
      <c r="AH1402" s="12"/>
      <c r="AI1402" s="13"/>
      <c r="AJ1402" s="12"/>
      <c r="AK1402" s="13"/>
      <c r="AL1402" s="13"/>
      <c r="AM1402" s="13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  <c r="AZ1402" s="8"/>
      <c r="BA1402" s="8"/>
    </row>
    <row r="1403" spans="21:53" ht="22.9">
      <c r="U1403" s="87"/>
      <c r="V1403" s="202"/>
      <c r="X1403" s="87"/>
      <c r="Y1403" s="87"/>
      <c r="AA1403" s="87"/>
      <c r="AB1403" s="13"/>
      <c r="AC1403" s="245"/>
      <c r="AD1403" s="8"/>
      <c r="AE1403" s="8"/>
      <c r="AF1403" s="12"/>
      <c r="AG1403" s="13"/>
      <c r="AH1403" s="12"/>
      <c r="AI1403" s="13"/>
      <c r="AJ1403" s="12"/>
      <c r="AK1403" s="13"/>
      <c r="AL1403" s="13"/>
      <c r="AM1403" s="13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  <c r="AZ1403" s="8"/>
      <c r="BA1403" s="8"/>
    </row>
    <row r="1404" spans="21:53" ht="22.9">
      <c r="U1404" s="87"/>
      <c r="V1404" s="202"/>
      <c r="X1404" s="87"/>
      <c r="Y1404" s="87"/>
      <c r="AA1404" s="87"/>
      <c r="AB1404" s="13"/>
      <c r="AC1404" s="245"/>
      <c r="AD1404" s="8"/>
      <c r="AE1404" s="8"/>
      <c r="AF1404" s="12"/>
      <c r="AG1404" s="13"/>
      <c r="AH1404" s="12"/>
      <c r="AI1404" s="13"/>
      <c r="AJ1404" s="12"/>
      <c r="AK1404" s="13"/>
      <c r="AL1404" s="13"/>
      <c r="AM1404" s="13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  <c r="AZ1404" s="8"/>
      <c r="BA1404" s="8"/>
    </row>
    <row r="1405" spans="21:53" ht="22.9">
      <c r="U1405" s="87"/>
      <c r="V1405" s="202"/>
      <c r="X1405" s="87"/>
      <c r="Y1405" s="87"/>
      <c r="AA1405" s="87"/>
      <c r="AB1405" s="13"/>
      <c r="AC1405" s="245"/>
      <c r="AD1405" s="8"/>
      <c r="AE1405" s="8"/>
      <c r="AF1405" s="12"/>
      <c r="AG1405" s="13"/>
      <c r="AH1405" s="12"/>
      <c r="AI1405" s="13"/>
      <c r="AJ1405" s="12"/>
      <c r="AK1405" s="13"/>
      <c r="AL1405" s="13"/>
      <c r="AM1405" s="13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  <c r="AZ1405" s="8"/>
      <c r="BA1405" s="8"/>
    </row>
    <row r="1406" spans="21:53" ht="22.9">
      <c r="U1406" s="87"/>
      <c r="V1406" s="202"/>
      <c r="X1406" s="87"/>
      <c r="Y1406" s="87"/>
      <c r="AA1406" s="87"/>
      <c r="AB1406" s="13"/>
      <c r="AC1406" s="245"/>
      <c r="AD1406" s="8"/>
      <c r="AE1406" s="8"/>
      <c r="AF1406" s="12"/>
      <c r="AG1406" s="13"/>
      <c r="AH1406" s="12"/>
      <c r="AI1406" s="13"/>
      <c r="AJ1406" s="12"/>
      <c r="AK1406" s="13"/>
      <c r="AL1406" s="13"/>
      <c r="AM1406" s="13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  <c r="AZ1406" s="8"/>
      <c r="BA1406" s="8"/>
    </row>
    <row r="1407" spans="21:53" ht="22.9">
      <c r="U1407" s="87"/>
      <c r="V1407" s="202"/>
      <c r="X1407" s="87"/>
      <c r="Y1407" s="87"/>
      <c r="AA1407" s="87"/>
      <c r="AB1407" s="13"/>
      <c r="AC1407" s="245"/>
      <c r="AD1407" s="8"/>
      <c r="AE1407" s="8"/>
      <c r="AF1407" s="12"/>
      <c r="AG1407" s="13"/>
      <c r="AH1407" s="12"/>
      <c r="AI1407" s="13"/>
      <c r="AJ1407" s="12"/>
      <c r="AK1407" s="13"/>
      <c r="AL1407" s="13"/>
      <c r="AM1407" s="13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  <c r="AZ1407" s="8"/>
      <c r="BA1407" s="8"/>
    </row>
    <row r="1408" spans="21:53" ht="22.9">
      <c r="U1408" s="87"/>
      <c r="V1408" s="202"/>
      <c r="X1408" s="87"/>
      <c r="Y1408" s="87"/>
      <c r="AA1408" s="87"/>
      <c r="AB1408" s="13"/>
      <c r="AC1408" s="245"/>
      <c r="AD1408" s="8"/>
      <c r="AE1408" s="8"/>
      <c r="AF1408" s="12"/>
      <c r="AG1408" s="13"/>
      <c r="AH1408" s="12"/>
      <c r="AI1408" s="13"/>
      <c r="AJ1408" s="12"/>
      <c r="AK1408" s="13"/>
      <c r="AL1408" s="13"/>
      <c r="AM1408" s="13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  <c r="AZ1408" s="8"/>
      <c r="BA1408" s="8"/>
    </row>
    <row r="1409" spans="21:53" ht="22.9">
      <c r="U1409" s="87"/>
      <c r="V1409" s="202"/>
      <c r="X1409" s="87"/>
      <c r="Y1409" s="87"/>
      <c r="AA1409" s="87"/>
      <c r="AB1409" s="13"/>
      <c r="AC1409" s="245"/>
      <c r="AD1409" s="8"/>
      <c r="AE1409" s="8"/>
      <c r="AF1409" s="12"/>
      <c r="AG1409" s="13"/>
      <c r="AH1409" s="12"/>
      <c r="AI1409" s="13"/>
      <c r="AJ1409" s="12"/>
      <c r="AK1409" s="13"/>
      <c r="AL1409" s="13"/>
      <c r="AM1409" s="13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  <c r="AZ1409" s="8"/>
      <c r="BA1409" s="8"/>
    </row>
    <row r="1410" spans="21:53" ht="22.9">
      <c r="U1410" s="87"/>
      <c r="V1410" s="202"/>
      <c r="X1410" s="87"/>
      <c r="Y1410" s="87"/>
      <c r="AA1410" s="87"/>
      <c r="AB1410" s="13"/>
      <c r="AC1410" s="245"/>
      <c r="AD1410" s="8"/>
      <c r="AE1410" s="8"/>
      <c r="AF1410" s="12"/>
      <c r="AG1410" s="13"/>
      <c r="AH1410" s="12"/>
      <c r="AI1410" s="13"/>
      <c r="AJ1410" s="12"/>
      <c r="AK1410" s="13"/>
      <c r="AL1410" s="13"/>
      <c r="AM1410" s="13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  <c r="AZ1410" s="8"/>
      <c r="BA1410" s="8"/>
    </row>
    <row r="1411" spans="21:53" ht="22.9">
      <c r="U1411" s="87"/>
      <c r="V1411" s="202"/>
      <c r="X1411" s="87"/>
      <c r="Y1411" s="87"/>
      <c r="AA1411" s="87"/>
      <c r="AB1411" s="13"/>
      <c r="AC1411" s="245"/>
      <c r="AD1411" s="8"/>
      <c r="AE1411" s="8"/>
      <c r="AF1411" s="12"/>
      <c r="AG1411" s="13"/>
      <c r="AH1411" s="12"/>
      <c r="AI1411" s="13"/>
      <c r="AJ1411" s="12"/>
      <c r="AK1411" s="13"/>
      <c r="AL1411" s="13"/>
      <c r="AM1411" s="13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  <c r="AZ1411" s="8"/>
      <c r="BA1411" s="8"/>
    </row>
    <row r="1412" spans="21:53" ht="22.9">
      <c r="U1412" s="87"/>
      <c r="V1412" s="202"/>
      <c r="X1412" s="87"/>
      <c r="Y1412" s="87"/>
      <c r="AA1412" s="87"/>
      <c r="AB1412" s="13"/>
      <c r="AC1412" s="245"/>
      <c r="AD1412" s="8"/>
      <c r="AE1412" s="8"/>
      <c r="AF1412" s="12"/>
      <c r="AG1412" s="13"/>
      <c r="AH1412" s="12"/>
      <c r="AI1412" s="13"/>
      <c r="AJ1412" s="12"/>
      <c r="AK1412" s="13"/>
      <c r="AL1412" s="13"/>
      <c r="AM1412" s="13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  <c r="AZ1412" s="8"/>
      <c r="BA1412" s="8"/>
    </row>
    <row r="1413" spans="21:53" ht="22.9">
      <c r="U1413" s="87"/>
      <c r="V1413" s="202"/>
      <c r="X1413" s="87"/>
      <c r="Y1413" s="87"/>
      <c r="AA1413" s="87"/>
      <c r="AB1413" s="13"/>
      <c r="AC1413" s="245"/>
      <c r="AD1413" s="8"/>
      <c r="AE1413" s="8"/>
      <c r="AF1413" s="12"/>
      <c r="AG1413" s="13"/>
      <c r="AH1413" s="12"/>
      <c r="AI1413" s="13"/>
      <c r="AJ1413" s="12"/>
      <c r="AK1413" s="13"/>
      <c r="AL1413" s="13"/>
      <c r="AM1413" s="13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  <c r="AZ1413" s="8"/>
      <c r="BA1413" s="8"/>
    </row>
    <row r="1414" spans="21:53" ht="22.9">
      <c r="U1414" s="87"/>
      <c r="V1414" s="202"/>
      <c r="X1414" s="87"/>
      <c r="Y1414" s="87"/>
      <c r="AA1414" s="87"/>
      <c r="AB1414" s="13"/>
      <c r="AC1414" s="245"/>
      <c r="AD1414" s="8"/>
      <c r="AE1414" s="8"/>
      <c r="AF1414" s="12"/>
      <c r="AG1414" s="13"/>
      <c r="AH1414" s="12"/>
      <c r="AI1414" s="13"/>
      <c r="AJ1414" s="12"/>
      <c r="AK1414" s="13"/>
      <c r="AL1414" s="13"/>
      <c r="AM1414" s="13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8"/>
      <c r="BA1414" s="8"/>
    </row>
    <row r="1415" spans="21:53" ht="22.9">
      <c r="U1415" s="87"/>
      <c r="V1415" s="202"/>
      <c r="X1415" s="87"/>
      <c r="Y1415" s="87"/>
      <c r="AA1415" s="87"/>
      <c r="AB1415" s="13"/>
      <c r="AC1415" s="245"/>
      <c r="AD1415" s="8"/>
      <c r="AE1415" s="8"/>
      <c r="AF1415" s="12"/>
      <c r="AG1415" s="13"/>
      <c r="AH1415" s="12"/>
      <c r="AI1415" s="13"/>
      <c r="AJ1415" s="12"/>
      <c r="AK1415" s="13"/>
      <c r="AL1415" s="13"/>
      <c r="AM1415" s="13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  <c r="AZ1415" s="8"/>
      <c r="BA1415" s="8"/>
    </row>
    <row r="1416" spans="21:53" ht="22.9">
      <c r="U1416" s="87"/>
      <c r="V1416" s="202"/>
      <c r="X1416" s="87"/>
      <c r="Y1416" s="87"/>
      <c r="AA1416" s="87"/>
      <c r="AB1416" s="13"/>
      <c r="AC1416" s="245"/>
      <c r="AD1416" s="8"/>
      <c r="AE1416" s="8"/>
      <c r="AF1416" s="12"/>
      <c r="AG1416" s="13"/>
      <c r="AH1416" s="12"/>
      <c r="AI1416" s="13"/>
      <c r="AJ1416" s="12"/>
      <c r="AK1416" s="13"/>
      <c r="AL1416" s="13"/>
      <c r="AM1416" s="13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  <c r="AZ1416" s="8"/>
      <c r="BA1416" s="8"/>
    </row>
    <row r="1417" spans="21:53" ht="22.9">
      <c r="U1417" s="87"/>
      <c r="V1417" s="202"/>
      <c r="X1417" s="87"/>
      <c r="Y1417" s="87"/>
      <c r="AA1417" s="87"/>
      <c r="AB1417" s="13"/>
      <c r="AC1417" s="245"/>
      <c r="AD1417" s="8"/>
      <c r="AE1417" s="8"/>
      <c r="AF1417" s="12"/>
      <c r="AG1417" s="13"/>
      <c r="AH1417" s="12"/>
      <c r="AI1417" s="13"/>
      <c r="AJ1417" s="12"/>
      <c r="AK1417" s="13"/>
      <c r="AL1417" s="13"/>
      <c r="AM1417" s="13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  <c r="AZ1417" s="8"/>
      <c r="BA1417" s="8"/>
    </row>
    <row r="1418" spans="21:53" ht="22.9">
      <c r="U1418" s="87"/>
      <c r="V1418" s="202"/>
      <c r="X1418" s="87"/>
      <c r="Y1418" s="87"/>
      <c r="AA1418" s="87"/>
      <c r="AB1418" s="13"/>
      <c r="AC1418" s="245"/>
      <c r="AD1418" s="8"/>
      <c r="AE1418" s="8"/>
      <c r="AF1418" s="12"/>
      <c r="AG1418" s="13"/>
      <c r="AH1418" s="12"/>
      <c r="AI1418" s="13"/>
      <c r="AJ1418" s="12"/>
      <c r="AK1418" s="13"/>
      <c r="AL1418" s="13"/>
      <c r="AM1418" s="13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  <c r="AZ1418" s="8"/>
      <c r="BA1418" s="8"/>
    </row>
    <row r="1419" spans="21:53" ht="22.9">
      <c r="U1419" s="87"/>
      <c r="V1419" s="202"/>
      <c r="X1419" s="87"/>
      <c r="Y1419" s="87"/>
      <c r="AA1419" s="87"/>
      <c r="AB1419" s="13"/>
      <c r="AC1419" s="245"/>
      <c r="AD1419" s="8"/>
      <c r="AE1419" s="8"/>
      <c r="AF1419" s="12"/>
      <c r="AG1419" s="13"/>
      <c r="AH1419" s="12"/>
      <c r="AI1419" s="13"/>
      <c r="AJ1419" s="12"/>
      <c r="AK1419" s="13"/>
      <c r="AL1419" s="13"/>
      <c r="AM1419" s="13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  <c r="AZ1419" s="8"/>
      <c r="BA1419" s="8"/>
    </row>
    <row r="1420" spans="21:53" ht="22.9">
      <c r="U1420" s="87"/>
      <c r="V1420" s="202"/>
      <c r="X1420" s="87"/>
      <c r="Y1420" s="87"/>
      <c r="AA1420" s="87"/>
      <c r="AB1420" s="13"/>
      <c r="AC1420" s="245"/>
      <c r="AD1420" s="8"/>
      <c r="AE1420" s="8"/>
      <c r="AF1420" s="12"/>
      <c r="AG1420" s="13"/>
      <c r="AH1420" s="12"/>
      <c r="AI1420" s="13"/>
      <c r="AJ1420" s="12"/>
      <c r="AK1420" s="13"/>
      <c r="AL1420" s="13"/>
      <c r="AM1420" s="13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  <c r="AZ1420" s="8"/>
      <c r="BA1420" s="8"/>
    </row>
    <row r="1421" spans="21:53" ht="22.9">
      <c r="U1421" s="87"/>
      <c r="V1421" s="202"/>
      <c r="X1421" s="87"/>
      <c r="Y1421" s="87"/>
      <c r="AA1421" s="87"/>
      <c r="AB1421" s="13"/>
      <c r="AC1421" s="245"/>
      <c r="AD1421" s="8"/>
      <c r="AE1421" s="8"/>
      <c r="AF1421" s="12"/>
      <c r="AG1421" s="13"/>
      <c r="AH1421" s="12"/>
      <c r="AI1421" s="13"/>
      <c r="AJ1421" s="12"/>
      <c r="AK1421" s="13"/>
      <c r="AL1421" s="13"/>
      <c r="AM1421" s="13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  <c r="AZ1421" s="8"/>
      <c r="BA1421" s="8"/>
    </row>
    <row r="1422" spans="21:53" ht="22.9">
      <c r="U1422" s="87"/>
      <c r="V1422" s="202"/>
      <c r="X1422" s="87"/>
      <c r="Y1422" s="87"/>
      <c r="AA1422" s="87"/>
      <c r="AB1422" s="13"/>
      <c r="AC1422" s="245"/>
      <c r="AD1422" s="8"/>
      <c r="AE1422" s="8"/>
      <c r="AF1422" s="12"/>
      <c r="AG1422" s="13"/>
      <c r="AH1422" s="12"/>
      <c r="AI1422" s="13"/>
      <c r="AJ1422" s="12"/>
      <c r="AK1422" s="13"/>
      <c r="AL1422" s="13"/>
      <c r="AM1422" s="13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  <c r="AZ1422" s="8"/>
      <c r="BA1422" s="8"/>
    </row>
    <row r="1423" spans="21:53" ht="22.9">
      <c r="U1423" s="87"/>
      <c r="V1423" s="202"/>
      <c r="X1423" s="87"/>
      <c r="Y1423" s="87"/>
      <c r="AA1423" s="87"/>
      <c r="AB1423" s="13"/>
      <c r="AC1423" s="245"/>
      <c r="AD1423" s="8"/>
      <c r="AE1423" s="8"/>
      <c r="AF1423" s="12"/>
      <c r="AG1423" s="13"/>
      <c r="AH1423" s="12"/>
      <c r="AI1423" s="13"/>
      <c r="AJ1423" s="12"/>
      <c r="AK1423" s="13"/>
      <c r="AL1423" s="13"/>
      <c r="AM1423" s="13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  <c r="AZ1423" s="8"/>
      <c r="BA1423" s="8"/>
    </row>
    <row r="1424" spans="21:53" ht="22.9">
      <c r="U1424" s="87"/>
      <c r="V1424" s="202"/>
      <c r="X1424" s="87"/>
      <c r="Y1424" s="87"/>
      <c r="AA1424" s="87"/>
      <c r="AB1424" s="13"/>
      <c r="AC1424" s="245"/>
      <c r="AD1424" s="8"/>
      <c r="AE1424" s="8"/>
      <c r="AF1424" s="12"/>
      <c r="AG1424" s="13"/>
      <c r="AH1424" s="12"/>
      <c r="AI1424" s="13"/>
      <c r="AJ1424" s="12"/>
      <c r="AK1424" s="13"/>
      <c r="AL1424" s="13"/>
      <c r="AM1424" s="13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  <c r="AZ1424" s="8"/>
      <c r="BA1424" s="8"/>
    </row>
    <row r="1425" spans="21:53" ht="22.9">
      <c r="U1425" s="87"/>
      <c r="V1425" s="202"/>
      <c r="X1425" s="87"/>
      <c r="Y1425" s="87"/>
      <c r="AA1425" s="87"/>
      <c r="AB1425" s="13"/>
      <c r="AC1425" s="245"/>
      <c r="AD1425" s="8"/>
      <c r="AE1425" s="8"/>
      <c r="AF1425" s="12"/>
      <c r="AG1425" s="13"/>
      <c r="AH1425" s="12"/>
      <c r="AI1425" s="13"/>
      <c r="AJ1425" s="12"/>
      <c r="AK1425" s="13"/>
      <c r="AL1425" s="13"/>
      <c r="AM1425" s="13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  <c r="AZ1425" s="8"/>
      <c r="BA1425" s="8"/>
    </row>
    <row r="1426" spans="21:53" ht="22.9">
      <c r="U1426" s="87"/>
      <c r="V1426" s="202"/>
      <c r="X1426" s="87"/>
      <c r="Y1426" s="87"/>
      <c r="AA1426" s="87"/>
      <c r="AB1426" s="13"/>
      <c r="AC1426" s="245"/>
      <c r="AD1426" s="8"/>
      <c r="AE1426" s="8"/>
      <c r="AF1426" s="12"/>
      <c r="AG1426" s="13"/>
      <c r="AH1426" s="12"/>
      <c r="AI1426" s="13"/>
      <c r="AJ1426" s="12"/>
      <c r="AK1426" s="13"/>
      <c r="AL1426" s="13"/>
      <c r="AM1426" s="13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  <c r="AZ1426" s="8"/>
      <c r="BA1426" s="8"/>
    </row>
    <row r="1427" spans="21:53" ht="22.9">
      <c r="U1427" s="87"/>
      <c r="V1427" s="202"/>
      <c r="X1427" s="87"/>
      <c r="Y1427" s="87"/>
      <c r="AA1427" s="87"/>
      <c r="AB1427" s="13"/>
      <c r="AC1427" s="245"/>
      <c r="AD1427" s="8"/>
      <c r="AE1427" s="8"/>
      <c r="AF1427" s="12"/>
      <c r="AG1427" s="13"/>
      <c r="AH1427" s="12"/>
      <c r="AI1427" s="13"/>
      <c r="AJ1427" s="12"/>
      <c r="AK1427" s="13"/>
      <c r="AL1427" s="13"/>
      <c r="AM1427" s="13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  <c r="AZ1427" s="8"/>
      <c r="BA1427" s="8"/>
    </row>
    <row r="1428" spans="21:53" ht="22.9">
      <c r="U1428" s="87"/>
      <c r="V1428" s="202"/>
      <c r="X1428" s="87"/>
      <c r="Y1428" s="87"/>
      <c r="AA1428" s="87"/>
      <c r="AB1428" s="13"/>
      <c r="AC1428" s="245"/>
      <c r="AD1428" s="8"/>
      <c r="AE1428" s="8"/>
      <c r="AF1428" s="12"/>
      <c r="AG1428" s="13"/>
      <c r="AH1428" s="12"/>
      <c r="AI1428" s="13"/>
      <c r="AJ1428" s="12"/>
      <c r="AK1428" s="13"/>
      <c r="AL1428" s="13"/>
      <c r="AM1428" s="13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  <c r="AY1428" s="8"/>
      <c r="AZ1428" s="8"/>
      <c r="BA1428" s="8"/>
    </row>
    <row r="1429" spans="21:53" ht="22.9">
      <c r="U1429" s="87"/>
      <c r="V1429" s="202"/>
      <c r="X1429" s="87"/>
      <c r="Y1429" s="87"/>
      <c r="AA1429" s="87"/>
      <c r="AB1429" s="13"/>
      <c r="AC1429" s="245"/>
      <c r="AD1429" s="8"/>
      <c r="AE1429" s="8"/>
      <c r="AF1429" s="12"/>
      <c r="AG1429" s="13"/>
      <c r="AH1429" s="12"/>
      <c r="AI1429" s="13"/>
      <c r="AJ1429" s="12"/>
      <c r="AK1429" s="13"/>
      <c r="AL1429" s="13"/>
      <c r="AM1429" s="13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  <c r="AZ1429" s="8"/>
      <c r="BA1429" s="8"/>
    </row>
    <row r="1430" spans="21:53" ht="22.9">
      <c r="U1430" s="87"/>
      <c r="V1430" s="202"/>
      <c r="X1430" s="87"/>
      <c r="Y1430" s="87"/>
      <c r="AA1430" s="87"/>
      <c r="AB1430" s="13"/>
      <c r="AC1430" s="245"/>
      <c r="AD1430" s="8"/>
      <c r="AE1430" s="8"/>
      <c r="AF1430" s="12"/>
      <c r="AG1430" s="13"/>
      <c r="AH1430" s="12"/>
      <c r="AI1430" s="13"/>
      <c r="AJ1430" s="12"/>
      <c r="AK1430" s="13"/>
      <c r="AL1430" s="13"/>
      <c r="AM1430" s="13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  <c r="AY1430" s="8"/>
      <c r="AZ1430" s="8"/>
      <c r="BA1430" s="8"/>
    </row>
    <row r="1431" spans="21:53" ht="22.9">
      <c r="U1431" s="87"/>
      <c r="V1431" s="202"/>
      <c r="X1431" s="87"/>
      <c r="Y1431" s="87"/>
      <c r="AA1431" s="87"/>
      <c r="AB1431" s="13"/>
      <c r="AC1431" s="245"/>
      <c r="AD1431" s="8"/>
      <c r="AE1431" s="8"/>
      <c r="AF1431" s="12"/>
      <c r="AG1431" s="13"/>
      <c r="AH1431" s="12"/>
      <c r="AI1431" s="13"/>
      <c r="AJ1431" s="12"/>
      <c r="AK1431" s="13"/>
      <c r="AL1431" s="13"/>
      <c r="AM1431" s="13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  <c r="AZ1431" s="8"/>
      <c r="BA1431" s="8"/>
    </row>
    <row r="1432" spans="21:53" ht="22.9">
      <c r="U1432" s="87"/>
      <c r="V1432" s="202"/>
      <c r="X1432" s="87"/>
      <c r="Y1432" s="87"/>
      <c r="AA1432" s="87"/>
      <c r="AB1432" s="13"/>
      <c r="AC1432" s="245"/>
      <c r="AD1432" s="8"/>
      <c r="AE1432" s="8"/>
      <c r="AF1432" s="12"/>
      <c r="AG1432" s="13"/>
      <c r="AH1432" s="12"/>
      <c r="AI1432" s="13"/>
      <c r="AJ1432" s="12"/>
      <c r="AK1432" s="13"/>
      <c r="AL1432" s="13"/>
      <c r="AM1432" s="13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  <c r="AZ1432" s="8"/>
      <c r="BA1432" s="8"/>
    </row>
    <row r="1433" spans="21:53" ht="22.9">
      <c r="U1433" s="87"/>
      <c r="V1433" s="202"/>
      <c r="X1433" s="87"/>
      <c r="Y1433" s="87"/>
      <c r="AA1433" s="87"/>
      <c r="AB1433" s="13"/>
      <c r="AC1433" s="245"/>
      <c r="AD1433" s="8"/>
      <c r="AE1433" s="8"/>
      <c r="AF1433" s="12"/>
      <c r="AG1433" s="13"/>
      <c r="AH1433" s="12"/>
      <c r="AI1433" s="13"/>
      <c r="AJ1433" s="12"/>
      <c r="AK1433" s="13"/>
      <c r="AL1433" s="13"/>
      <c r="AM1433" s="13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  <c r="AZ1433" s="8"/>
      <c r="BA1433" s="8"/>
    </row>
    <row r="1434" spans="21:53" ht="22.9">
      <c r="U1434" s="87"/>
      <c r="V1434" s="202"/>
      <c r="X1434" s="87"/>
      <c r="Y1434" s="87"/>
      <c r="AA1434" s="87"/>
      <c r="AB1434" s="13"/>
      <c r="AC1434" s="245"/>
      <c r="AD1434" s="8"/>
      <c r="AE1434" s="8"/>
      <c r="AF1434" s="12"/>
      <c r="AG1434" s="13"/>
      <c r="AH1434" s="12"/>
      <c r="AI1434" s="13"/>
      <c r="AJ1434" s="12"/>
      <c r="AK1434" s="13"/>
      <c r="AL1434" s="13"/>
      <c r="AM1434" s="13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  <c r="AZ1434" s="8"/>
      <c r="BA1434" s="8"/>
    </row>
    <row r="1435" spans="21:53" ht="22.9">
      <c r="U1435" s="87"/>
      <c r="V1435" s="202"/>
      <c r="X1435" s="87"/>
      <c r="Y1435" s="87"/>
      <c r="AA1435" s="87"/>
      <c r="AB1435" s="13"/>
      <c r="AC1435" s="245"/>
      <c r="AD1435" s="8"/>
      <c r="AE1435" s="8"/>
      <c r="AF1435" s="12"/>
      <c r="AG1435" s="13"/>
      <c r="AH1435" s="12"/>
      <c r="AI1435" s="13"/>
      <c r="AJ1435" s="12"/>
      <c r="AK1435" s="13"/>
      <c r="AL1435" s="13"/>
      <c r="AM1435" s="13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  <c r="AZ1435" s="8"/>
      <c r="BA1435" s="8"/>
    </row>
    <row r="1436" spans="21:53" ht="22.9">
      <c r="U1436" s="87"/>
      <c r="V1436" s="202"/>
      <c r="X1436" s="87"/>
      <c r="Y1436" s="87"/>
      <c r="AA1436" s="87"/>
      <c r="AB1436" s="13"/>
      <c r="AC1436" s="245"/>
      <c r="AD1436" s="8"/>
      <c r="AE1436" s="8"/>
      <c r="AF1436" s="12"/>
      <c r="AG1436" s="13"/>
      <c r="AH1436" s="12"/>
      <c r="AI1436" s="13"/>
      <c r="AJ1436" s="12"/>
      <c r="AK1436" s="13"/>
      <c r="AL1436" s="13"/>
      <c r="AM1436" s="13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  <c r="AZ1436" s="8"/>
      <c r="BA1436" s="8"/>
    </row>
    <row r="1437" spans="21:53" ht="22.9">
      <c r="U1437" s="87"/>
      <c r="V1437" s="202"/>
      <c r="X1437" s="87"/>
      <c r="Y1437" s="87"/>
      <c r="AA1437" s="87"/>
      <c r="AB1437" s="13"/>
      <c r="AC1437" s="245"/>
      <c r="AD1437" s="8"/>
      <c r="AE1437" s="8"/>
      <c r="AF1437" s="12"/>
      <c r="AG1437" s="13"/>
      <c r="AH1437" s="12"/>
      <c r="AI1437" s="13"/>
      <c r="AJ1437" s="12"/>
      <c r="AK1437" s="13"/>
      <c r="AL1437" s="13"/>
      <c r="AM1437" s="13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  <c r="AZ1437" s="8"/>
      <c r="BA1437" s="8"/>
    </row>
    <row r="1438" spans="21:53" ht="22.9">
      <c r="U1438" s="87"/>
      <c r="V1438" s="202"/>
      <c r="X1438" s="87"/>
      <c r="Y1438" s="87"/>
      <c r="AA1438" s="87"/>
      <c r="AB1438" s="13"/>
      <c r="AC1438" s="245"/>
      <c r="AD1438" s="8"/>
      <c r="AE1438" s="8"/>
      <c r="AF1438" s="12"/>
      <c r="AG1438" s="13"/>
      <c r="AH1438" s="12"/>
      <c r="AI1438" s="13"/>
      <c r="AJ1438" s="12"/>
      <c r="AK1438" s="13"/>
      <c r="AL1438" s="13"/>
      <c r="AM1438" s="13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  <c r="AY1438" s="8"/>
      <c r="AZ1438" s="8"/>
      <c r="BA1438" s="8"/>
    </row>
    <row r="1439" spans="21:53" ht="22.9">
      <c r="U1439" s="87"/>
      <c r="V1439" s="202"/>
      <c r="X1439" s="87"/>
      <c r="Y1439" s="87"/>
      <c r="AA1439" s="87"/>
      <c r="AB1439" s="13"/>
      <c r="AC1439" s="245"/>
      <c r="AD1439" s="8"/>
      <c r="AE1439" s="8"/>
      <c r="AF1439" s="12"/>
      <c r="AG1439" s="13"/>
      <c r="AH1439" s="12"/>
      <c r="AI1439" s="13"/>
      <c r="AJ1439" s="12"/>
      <c r="AK1439" s="13"/>
      <c r="AL1439" s="13"/>
      <c r="AM1439" s="13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  <c r="AZ1439" s="8"/>
      <c r="BA1439" s="8"/>
    </row>
    <row r="1440" spans="21:53" ht="22.9">
      <c r="U1440" s="87"/>
      <c r="V1440" s="202"/>
      <c r="X1440" s="87"/>
      <c r="Y1440" s="87"/>
      <c r="AA1440" s="87"/>
      <c r="AB1440" s="13"/>
      <c r="AC1440" s="245"/>
      <c r="AD1440" s="8"/>
      <c r="AE1440" s="8"/>
      <c r="AF1440" s="12"/>
      <c r="AG1440" s="13"/>
      <c r="AH1440" s="12"/>
      <c r="AI1440" s="13"/>
      <c r="AJ1440" s="12"/>
      <c r="AK1440" s="13"/>
      <c r="AL1440" s="13"/>
      <c r="AM1440" s="13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  <c r="AY1440" s="8"/>
      <c r="AZ1440" s="8"/>
      <c r="BA1440" s="8"/>
    </row>
    <row r="1441" spans="21:53" ht="22.9">
      <c r="U1441" s="87"/>
      <c r="V1441" s="202"/>
      <c r="X1441" s="87"/>
      <c r="Y1441" s="87"/>
      <c r="AA1441" s="87"/>
      <c r="AB1441" s="13"/>
      <c r="AC1441" s="245"/>
      <c r="AD1441" s="8"/>
      <c r="AE1441" s="8"/>
      <c r="AF1441" s="12"/>
      <c r="AG1441" s="13"/>
      <c r="AH1441" s="12"/>
      <c r="AI1441" s="13"/>
      <c r="AJ1441" s="12"/>
      <c r="AK1441" s="13"/>
      <c r="AL1441" s="13"/>
      <c r="AM1441" s="13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  <c r="AZ1441" s="8"/>
      <c r="BA1441" s="8"/>
    </row>
    <row r="1442" spans="21:53" ht="22.9">
      <c r="U1442" s="87"/>
      <c r="V1442" s="202"/>
      <c r="X1442" s="87"/>
      <c r="Y1442" s="87"/>
      <c r="AA1442" s="87"/>
      <c r="AB1442" s="13"/>
      <c r="AC1442" s="245"/>
      <c r="AD1442" s="8"/>
      <c r="AE1442" s="8"/>
      <c r="AF1442" s="12"/>
      <c r="AG1442" s="13"/>
      <c r="AH1442" s="12"/>
      <c r="AI1442" s="13"/>
      <c r="AJ1442" s="12"/>
      <c r="AK1442" s="13"/>
      <c r="AL1442" s="13"/>
      <c r="AM1442" s="13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  <c r="AZ1442" s="8"/>
      <c r="BA1442" s="8"/>
    </row>
    <row r="1443" spans="21:53" ht="22.9">
      <c r="U1443" s="87"/>
      <c r="V1443" s="202"/>
      <c r="X1443" s="87"/>
      <c r="Y1443" s="87"/>
      <c r="AA1443" s="87"/>
      <c r="AB1443" s="13"/>
      <c r="AC1443" s="245"/>
      <c r="AD1443" s="8"/>
      <c r="AE1443" s="8"/>
      <c r="AF1443" s="12"/>
      <c r="AG1443" s="13"/>
      <c r="AH1443" s="12"/>
      <c r="AI1443" s="13"/>
      <c r="AJ1443" s="12"/>
      <c r="AK1443" s="13"/>
      <c r="AL1443" s="13"/>
      <c r="AM1443" s="13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  <c r="AZ1443" s="8"/>
      <c r="BA1443" s="8"/>
    </row>
    <row r="1444" spans="21:53" ht="22.9">
      <c r="U1444" s="87"/>
      <c r="V1444" s="202"/>
      <c r="X1444" s="87"/>
      <c r="Y1444" s="87"/>
      <c r="AA1444" s="87"/>
      <c r="AB1444" s="13"/>
      <c r="AC1444" s="245"/>
      <c r="AD1444" s="8"/>
      <c r="AE1444" s="8"/>
      <c r="AF1444" s="12"/>
      <c r="AG1444" s="13"/>
      <c r="AH1444" s="12"/>
      <c r="AI1444" s="13"/>
      <c r="AJ1444" s="12"/>
      <c r="AK1444" s="13"/>
      <c r="AL1444" s="13"/>
      <c r="AM1444" s="13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8"/>
      <c r="BA1444" s="8"/>
    </row>
    <row r="1445" spans="21:53" ht="22.9">
      <c r="U1445" s="87"/>
      <c r="V1445" s="202"/>
      <c r="X1445" s="87"/>
      <c r="Y1445" s="87"/>
      <c r="AA1445" s="87"/>
      <c r="AB1445" s="13"/>
      <c r="AC1445" s="245"/>
      <c r="AD1445" s="8"/>
      <c r="AE1445" s="8"/>
      <c r="AF1445" s="12"/>
      <c r="AG1445" s="13"/>
      <c r="AH1445" s="12"/>
      <c r="AI1445" s="13"/>
      <c r="AJ1445" s="12"/>
      <c r="AK1445" s="13"/>
      <c r="AL1445" s="13"/>
      <c r="AM1445" s="13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  <c r="AZ1445" s="8"/>
      <c r="BA1445" s="8"/>
    </row>
    <row r="1446" spans="21:53" ht="22.9">
      <c r="U1446" s="87"/>
      <c r="V1446" s="202"/>
      <c r="X1446" s="87"/>
      <c r="Y1446" s="87"/>
      <c r="AA1446" s="87"/>
      <c r="AB1446" s="13"/>
      <c r="AC1446" s="245"/>
      <c r="AD1446" s="8"/>
      <c r="AE1446" s="8"/>
      <c r="AF1446" s="12"/>
      <c r="AG1446" s="13"/>
      <c r="AH1446" s="12"/>
      <c r="AI1446" s="13"/>
      <c r="AJ1446" s="12"/>
      <c r="AK1446" s="13"/>
      <c r="AL1446" s="13"/>
      <c r="AM1446" s="13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  <c r="AZ1446" s="8"/>
      <c r="BA1446" s="8"/>
    </row>
    <row r="1447" spans="21:53" ht="22.9">
      <c r="U1447" s="87"/>
      <c r="V1447" s="202"/>
      <c r="X1447" s="87"/>
      <c r="Y1447" s="87"/>
      <c r="AA1447" s="87"/>
      <c r="AB1447" s="13"/>
      <c r="AC1447" s="245"/>
      <c r="AD1447" s="8"/>
      <c r="AE1447" s="8"/>
      <c r="AF1447" s="12"/>
      <c r="AG1447" s="13"/>
      <c r="AH1447" s="12"/>
      <c r="AI1447" s="13"/>
      <c r="AJ1447" s="12"/>
      <c r="AK1447" s="13"/>
      <c r="AL1447" s="13"/>
      <c r="AM1447" s="13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  <c r="AZ1447" s="8"/>
      <c r="BA1447" s="8"/>
    </row>
    <row r="1448" spans="21:53" ht="22.9">
      <c r="U1448" s="87"/>
      <c r="V1448" s="202"/>
      <c r="X1448" s="87"/>
      <c r="Y1448" s="87"/>
      <c r="AA1448" s="87"/>
      <c r="AB1448" s="13"/>
      <c r="AC1448" s="245"/>
      <c r="AD1448" s="8"/>
      <c r="AE1448" s="8"/>
      <c r="AF1448" s="12"/>
      <c r="AG1448" s="13"/>
      <c r="AH1448" s="12"/>
      <c r="AI1448" s="13"/>
      <c r="AJ1448" s="12"/>
      <c r="AK1448" s="13"/>
      <c r="AL1448" s="13"/>
      <c r="AM1448" s="13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  <c r="AZ1448" s="8"/>
      <c r="BA1448" s="8"/>
    </row>
    <row r="1449" spans="21:53" ht="22.9">
      <c r="U1449" s="87"/>
      <c r="V1449" s="202"/>
      <c r="X1449" s="87"/>
      <c r="Y1449" s="87"/>
      <c r="AA1449" s="87"/>
      <c r="AB1449" s="13"/>
      <c r="AC1449" s="245"/>
      <c r="AD1449" s="8"/>
      <c r="AE1449" s="8"/>
      <c r="AF1449" s="12"/>
      <c r="AG1449" s="13"/>
      <c r="AH1449" s="12"/>
      <c r="AI1449" s="13"/>
      <c r="AJ1449" s="12"/>
      <c r="AK1449" s="13"/>
      <c r="AL1449" s="13"/>
      <c r="AM1449" s="13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  <c r="AZ1449" s="8"/>
      <c r="BA1449" s="8"/>
    </row>
    <row r="1450" spans="21:53" ht="22.9">
      <c r="U1450" s="87"/>
      <c r="V1450" s="202"/>
      <c r="X1450" s="87"/>
      <c r="Y1450" s="87"/>
      <c r="AA1450" s="87"/>
      <c r="AB1450" s="13"/>
      <c r="AC1450" s="245"/>
      <c r="AD1450" s="8"/>
      <c r="AE1450" s="8"/>
      <c r="AF1450" s="12"/>
      <c r="AG1450" s="13"/>
      <c r="AH1450" s="12"/>
      <c r="AI1450" s="13"/>
      <c r="AJ1450" s="12"/>
      <c r="AK1450" s="13"/>
      <c r="AL1450" s="13"/>
      <c r="AM1450" s="13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  <c r="AZ1450" s="8"/>
      <c r="BA1450" s="8"/>
    </row>
    <row r="1451" spans="21:53" ht="22.9">
      <c r="U1451" s="87"/>
      <c r="V1451" s="202"/>
      <c r="X1451" s="87"/>
      <c r="Y1451" s="87"/>
      <c r="AA1451" s="87"/>
      <c r="AB1451" s="13"/>
      <c r="AC1451" s="245"/>
      <c r="AD1451" s="8"/>
      <c r="AE1451" s="8"/>
      <c r="AF1451" s="12"/>
      <c r="AG1451" s="13"/>
      <c r="AH1451" s="12"/>
      <c r="AI1451" s="13"/>
      <c r="AJ1451" s="12"/>
      <c r="AK1451" s="13"/>
      <c r="AL1451" s="13"/>
      <c r="AM1451" s="13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  <c r="AZ1451" s="8"/>
      <c r="BA1451" s="8"/>
    </row>
    <row r="1452" spans="21:53" ht="22.9">
      <c r="U1452" s="87"/>
      <c r="V1452" s="202"/>
      <c r="X1452" s="87"/>
      <c r="Y1452" s="87"/>
      <c r="AA1452" s="87"/>
      <c r="AB1452" s="13"/>
      <c r="AC1452" s="245"/>
      <c r="AD1452" s="8"/>
      <c r="AE1452" s="8"/>
      <c r="AF1452" s="12"/>
      <c r="AG1452" s="13"/>
      <c r="AH1452" s="12"/>
      <c r="AI1452" s="13"/>
      <c r="AJ1452" s="12"/>
      <c r="AK1452" s="13"/>
      <c r="AL1452" s="13"/>
      <c r="AM1452" s="13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  <c r="AZ1452" s="8"/>
      <c r="BA1452" s="8"/>
    </row>
  </sheetData>
  <autoFilter ref="A1:BD527" xr:uid="{343A8922-D792-47B5-976C-D11789DD3777}">
    <filterColumn colId="12">
      <filters>
        <filter val="Megadolon shpk"/>
      </filters>
    </filterColumn>
  </autoFilter>
  <phoneticPr fontId="25" type="noConversion"/>
  <conditionalFormatting sqref="B114:B162">
    <cfRule type="expression" dxfId="54" priority="20">
      <formula>$K114="입고예정"</formula>
    </cfRule>
    <cfRule type="expression" priority="21">
      <formula>$K114="입고예정"</formula>
    </cfRule>
  </conditionalFormatting>
  <conditionalFormatting sqref="B115:B162 B123:J126 B127:G128 I127:J128 B129:J472">
    <cfRule type="expression" dxfId="53" priority="16">
      <formula>$K115="출고"</formula>
    </cfRule>
    <cfRule type="expression" dxfId="52" priority="17">
      <formula>$K115="야드"</formula>
    </cfRule>
    <cfRule type="expression" dxfId="51" priority="18">
      <formula>$K115="계약금"</formula>
    </cfRule>
    <cfRule type="expression" dxfId="50" priority="19">
      <formula>$K115="출고"</formula>
    </cfRule>
  </conditionalFormatting>
  <conditionalFormatting sqref="B2:J114 C115:J122">
    <cfRule type="expression" dxfId="49" priority="53">
      <formula>$K2="출고"</formula>
    </cfRule>
    <cfRule type="expression" dxfId="48" priority="52">
      <formula>$K2="계약금"</formula>
    </cfRule>
    <cfRule type="expression" dxfId="47" priority="51">
      <formula>$K2="야드"</formula>
    </cfRule>
    <cfRule type="expression" dxfId="46" priority="49">
      <formula>$K2="출고"</formula>
    </cfRule>
  </conditionalFormatting>
  <conditionalFormatting sqref="B2:K126 B127:G128 I127:K128 B129:K1000">
    <cfRule type="expression" dxfId="45" priority="13">
      <formula>$K2="입고예정"</formula>
    </cfRule>
    <cfRule type="expression" dxfId="44" priority="14">
      <formula>$K2="야드입고"</formula>
    </cfRule>
    <cfRule type="expression" dxfId="43" priority="15">
      <formula>$K2="인천항"</formula>
    </cfRule>
  </conditionalFormatting>
  <conditionalFormatting sqref="B473:K523">
    <cfRule type="expression" dxfId="42" priority="79">
      <formula>$K473="계약금"</formula>
    </cfRule>
    <cfRule type="expression" dxfId="41" priority="78">
      <formula>$K473="야드"</formula>
    </cfRule>
    <cfRule type="expression" dxfId="40" priority="80">
      <formula>$K473="출고"</formula>
    </cfRule>
  </conditionalFormatting>
  <conditionalFormatting sqref="C113:J126 C127:G128 I127:J128 C129:J164">
    <cfRule type="expression" dxfId="39" priority="22">
      <formula>$K113="입고예정"</formula>
    </cfRule>
    <cfRule type="expression" dxfId="38" priority="23">
      <formula>$K1048566="입고예정"</formula>
    </cfRule>
  </conditionalFormatting>
  <conditionalFormatting sqref="H127:H128">
    <cfRule type="expression" dxfId="37" priority="92">
      <formula>$K128="출고"</formula>
    </cfRule>
    <cfRule type="expression" dxfId="36" priority="96">
      <formula>$K128="입고예정"</formula>
    </cfRule>
    <cfRule type="expression" dxfId="35" priority="97">
      <formula>$K128="야드입고"</formula>
    </cfRule>
    <cfRule type="expression" dxfId="34" priority="98">
      <formula>$K128="인천항"</formula>
    </cfRule>
    <cfRule type="expression" dxfId="33" priority="101">
      <formula>$K128="입고예정"</formula>
    </cfRule>
    <cfRule type="expression" dxfId="32" priority="102">
      <formula>$K5="입고예정"</formula>
    </cfRule>
    <cfRule type="expression" dxfId="31" priority="91">
      <formula>$K128="계약금"</formula>
    </cfRule>
    <cfRule type="expression" dxfId="30" priority="89">
      <formula>$K128="출고"</formula>
    </cfRule>
    <cfRule type="expression" dxfId="29" priority="90">
      <formula>$K128="야드"</formula>
    </cfRule>
  </conditionalFormatting>
  <conditionalFormatting sqref="K2:K472">
    <cfRule type="expression" dxfId="28" priority="67">
      <formula>$K2="계약금"</formula>
    </cfRule>
    <cfRule type="expression" dxfId="27" priority="68">
      <formula>$K2="출고"</formula>
    </cfRule>
    <cfRule type="expression" dxfId="26" priority="66">
      <formula>$K2="야드"</formula>
    </cfRule>
  </conditionalFormatting>
  <conditionalFormatting sqref="K106:K109">
    <cfRule type="expression" dxfId="25" priority="6">
      <formula>$K106="출고"</formula>
    </cfRule>
  </conditionalFormatting>
  <conditionalFormatting sqref="K112:K414">
    <cfRule type="expression" dxfId="24" priority="64">
      <formula>$K112="출고"</formula>
    </cfRule>
  </conditionalFormatting>
  <conditionalFormatting sqref="M113:R114">
    <cfRule type="expression" dxfId="23" priority="47">
      <formula>$K113="출고"</formula>
    </cfRule>
  </conditionalFormatting>
  <conditionalFormatting sqref="M116:R117">
    <cfRule type="expression" dxfId="22" priority="41">
      <formula>$K116="출고"</formula>
    </cfRule>
  </conditionalFormatting>
  <conditionalFormatting sqref="M122:R122">
    <cfRule type="expression" dxfId="21" priority="37">
      <formula>$K122="출고"</formula>
    </cfRule>
  </conditionalFormatting>
  <conditionalFormatting sqref="M125:R125">
    <cfRule type="expression" dxfId="20" priority="30">
      <formula>$K125="출고"</formula>
    </cfRule>
  </conditionalFormatting>
  <conditionalFormatting sqref="N115:R115">
    <cfRule type="expression" dxfId="19" priority="46">
      <formula>$K115="출고"</formula>
    </cfRule>
  </conditionalFormatting>
  <conditionalFormatting sqref="S113:BA117 N2:BA112">
    <cfRule type="expression" dxfId="18" priority="55">
      <formula>$K2="출고"</formula>
    </cfRule>
  </conditionalFormatting>
  <conditionalFormatting sqref="N120:BA123 N124:R125 T124:BA125 AS125:BA128 N2:BA117 N126:BA526">
    <cfRule type="expression" dxfId="17" priority="54" stopIfTrue="1">
      <formula>$L2="완"</formula>
    </cfRule>
  </conditionalFormatting>
  <conditionalFormatting sqref="N120:BA123 N124:R124 T124:BA124 N125:BA526">
    <cfRule type="expression" dxfId="16" priority="7">
      <formula>$K120="출고"</formula>
    </cfRule>
  </conditionalFormatting>
  <conditionalFormatting sqref="P120:P121">
    <cfRule type="expression" dxfId="15" priority="40">
      <formula>$K120="출고"</formula>
    </cfRule>
  </conditionalFormatting>
  <conditionalFormatting sqref="P123">
    <cfRule type="expression" dxfId="14" priority="34">
      <formula>$K123="출고"</formula>
    </cfRule>
  </conditionalFormatting>
  <conditionalFormatting sqref="R120:S121 R123:S123">
    <cfRule type="expression" dxfId="13" priority="8">
      <formula>$K120="출고"</formula>
    </cfRule>
  </conditionalFormatting>
  <conditionalFormatting sqref="S123">
    <cfRule type="expression" dxfId="12" priority="82">
      <formula>$L125="완"</formula>
    </cfRule>
    <cfRule type="expression" dxfId="11" priority="84">
      <formula>$K125="출고"</formula>
    </cfRule>
  </conditionalFormatting>
  <conditionalFormatting sqref="S125">
    <cfRule type="expression" dxfId="10" priority="36">
      <formula>$L125="완"</formula>
    </cfRule>
  </conditionalFormatting>
  <conditionalFormatting sqref="X113">
    <cfRule type="expression" dxfId="9" priority="28">
      <formula>$K113="출고"</formula>
    </cfRule>
  </conditionalFormatting>
  <conditionalFormatting sqref="X120:X121">
    <cfRule type="expression" dxfId="8" priority="11">
      <formula>$K120="출고"</formula>
    </cfRule>
  </conditionalFormatting>
  <conditionalFormatting sqref="X123">
    <cfRule type="expression" dxfId="7" priority="10">
      <formula>$K123="출고"</formula>
    </cfRule>
  </conditionalFormatting>
  <conditionalFormatting sqref="S124">
    <cfRule type="expression" dxfId="6" priority="5">
      <formula>$K124="출고"</formula>
    </cfRule>
  </conditionalFormatting>
  <conditionalFormatting sqref="S124">
    <cfRule type="expression" dxfId="5" priority="4" stopIfTrue="1">
      <formula>$L124="완"</formula>
    </cfRule>
  </conditionalFormatting>
  <conditionalFormatting sqref="S127">
    <cfRule type="expression" dxfId="4" priority="3">
      <formula>$K127="출고"</formula>
    </cfRule>
  </conditionalFormatting>
  <conditionalFormatting sqref="M129:R129">
    <cfRule type="expression" dxfId="1" priority="2">
      <formula>$K129="출고"</formula>
    </cfRule>
  </conditionalFormatting>
  <conditionalFormatting sqref="M130:R130">
    <cfRule type="expression" dxfId="0" priority="1">
      <formula>$K130="출고"</formula>
    </cfRule>
  </conditionalFormatting>
  <pageMargins left="0.7" right="0.7" top="0.75" bottom="0.75" header="0.3" footer="0.3"/>
  <pageSetup paperSize="9" scale="44" orientation="portrait" r:id="rId1"/>
  <rowBreaks count="1" manualBreakCount="1">
    <brk id="472" max="1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6426-1841-4A73-89EE-1568A775A065}">
  <sheetPr>
    <tabColor rgb="FFFF0000"/>
    <pageSetUpPr fitToPage="1"/>
  </sheetPr>
  <dimension ref="A1:P42"/>
  <sheetViews>
    <sheetView showGridLines="0" zoomScale="85" zoomScaleNormal="85" zoomScaleSheetLayoutView="100" workbookViewId="0">
      <selection activeCell="J2" sqref="J2:K16"/>
    </sheetView>
  </sheetViews>
  <sheetFormatPr defaultColWidth="9" defaultRowHeight="12.75"/>
  <cols>
    <col min="1" max="1" width="10.625" style="1" customWidth="1"/>
    <col min="2" max="2" width="22.875" style="1" customWidth="1"/>
    <col min="3" max="3" width="26.375" style="1" customWidth="1"/>
    <col min="4" max="4" width="12.625" style="1" customWidth="1"/>
    <col min="5" max="5" width="15.75" style="1" customWidth="1"/>
    <col min="6" max="7" width="17.625" style="1" customWidth="1"/>
    <col min="8" max="8" width="17.375" style="1" customWidth="1"/>
    <col min="9" max="9" width="4.125" style="1" customWidth="1"/>
    <col min="10" max="10" width="16.375" style="71" customWidth="1"/>
    <col min="11" max="11" width="24.875" style="1" customWidth="1"/>
    <col min="12" max="12" width="17.875" style="1" customWidth="1"/>
    <col min="13" max="13" width="9" style="1"/>
    <col min="14" max="14" width="16.375" style="1" customWidth="1"/>
    <col min="15" max="15" width="24.875" style="1" customWidth="1"/>
    <col min="16" max="16" width="17.875" style="1" bestFit="1" customWidth="1"/>
    <col min="17" max="16384" width="9" style="1"/>
  </cols>
  <sheetData>
    <row r="1" spans="1:15" ht="67.900000000000006">
      <c r="A1" s="96"/>
      <c r="B1" s="97"/>
      <c r="C1" s="48"/>
      <c r="D1" s="48"/>
      <c r="E1" s="350" t="s">
        <v>20</v>
      </c>
      <c r="F1" s="350"/>
      <c r="G1" s="351"/>
      <c r="H1" s="73">
        <v>128</v>
      </c>
      <c r="J1" s="416" t="s">
        <v>347</v>
      </c>
      <c r="K1" s="417"/>
    </row>
    <row r="2" spans="1:15" ht="16.5" customHeight="1">
      <c r="A2" s="357" t="s">
        <v>19</v>
      </c>
      <c r="B2" s="358"/>
      <c r="C2" s="358"/>
      <c r="D2" s="49"/>
      <c r="G2" s="50"/>
      <c r="J2" s="418" t="s">
        <v>167</v>
      </c>
      <c r="K2" s="419"/>
    </row>
    <row r="3" spans="1:15" ht="27.95" customHeight="1" thickBot="1">
      <c r="A3" s="357"/>
      <c r="B3" s="358"/>
      <c r="C3" s="358"/>
      <c r="D3" s="49"/>
      <c r="E3" s="51" t="s">
        <v>18</v>
      </c>
      <c r="F3" s="363">
        <f>VLOOKUP($H$1,'유로 판매현황'!A2:BB238,2,FALSE)</f>
        <v>46189</v>
      </c>
      <c r="G3" s="364"/>
      <c r="J3" s="420" t="str">
        <f>"차량명 : " &amp; VLOOKUP($H$1,'유로 판매현황'!A2:BB239,3,FALSE)</f>
        <v>차량명 : SPORTAGE</v>
      </c>
      <c r="K3" s="421"/>
    </row>
    <row r="4" spans="1:15" ht="27.95" customHeight="1" thickTop="1" thickBot="1">
      <c r="A4" s="52"/>
      <c r="B4" s="53"/>
      <c r="C4" s="53"/>
      <c r="D4" s="53"/>
      <c r="E4" s="51" t="s">
        <v>17</v>
      </c>
      <c r="F4" s="361" t="str">
        <f>"YB"&amp;RIGHT(C18,6)</f>
        <v>YB061080</v>
      </c>
      <c r="G4" s="362"/>
      <c r="J4" s="408" t="str">
        <f>"차량번호 : " &amp; TEXT(VLOOKUP($H$1,'유로 판매현황'!A1:BB237,4,FALSE),"#,##0")</f>
        <v>차량번호 : 396수1494</v>
      </c>
      <c r="K4" s="409"/>
    </row>
    <row r="5" spans="1:15" ht="27.75" customHeight="1" thickTop="1" thickBot="1">
      <c r="A5" s="54"/>
      <c r="B5" s="55"/>
      <c r="E5" s="51" t="s">
        <v>16</v>
      </c>
      <c r="F5" s="361" t="str">
        <f>VLOOKUP($H$1,'유로 판매현황'!A2:BB238,14,FALSE)</f>
        <v>Sasa Spasic</v>
      </c>
      <c r="G5" s="362"/>
      <c r="J5" s="408" t="str">
        <f>"차대번호 : " &amp; TEXT(VLOOKUP($H$1,'유로 판매현황'!A2:BB238,5,FALSE),"#,##0")</f>
        <v>차대번호 : KNAPU81CBKNK061080</v>
      </c>
      <c r="K5" s="409"/>
    </row>
    <row r="6" spans="1:15" ht="27.95" customHeight="1" thickTop="1" thickBot="1">
      <c r="A6" s="54"/>
      <c r="B6" s="55"/>
      <c r="E6" s="51" t="s">
        <v>149</v>
      </c>
      <c r="F6" s="361">
        <f>VLOOKUP($H$1,'유로 판매현황'!A2:BB239,15,FALSE)</f>
        <v>1502153826</v>
      </c>
      <c r="G6" s="362"/>
      <c r="J6" s="422" t="str">
        <f>"차량대금 : " &amp; TEXT(VLOOKUP($H$1,'유로 판매현황'!A2:BB238,8,FALSE),"#,##0") &amp; "원"</f>
        <v>차량대금 : 14,900,000원</v>
      </c>
      <c r="K6" s="423"/>
    </row>
    <row r="7" spans="1:15" ht="57.75" customHeight="1" thickTop="1" thickBot="1">
      <c r="A7" s="355"/>
      <c r="B7" s="356"/>
      <c r="E7" s="51" t="s">
        <v>15</v>
      </c>
      <c r="F7" s="361" t="str">
        <f>VLOOKUP($H$1,'유로 판매현황'!A2:BB240,17,FALSE)</f>
        <v>Štrpce, Kosovo</v>
      </c>
      <c r="G7" s="362"/>
      <c r="J7" s="402" t="str">
        <f>"매도비 : "&amp;VLOOKUP($H$1,'유로 판매현황'!A3:BB239,9,FALSE)&amp;"원"</f>
        <v>매도비 : 0원</v>
      </c>
      <c r="K7" s="403"/>
      <c r="O7" s="72"/>
    </row>
    <row r="8" spans="1:15" ht="27.95" customHeight="1" thickTop="1" thickBot="1">
      <c r="A8" s="355"/>
      <c r="B8" s="356"/>
      <c r="E8" s="51" t="s">
        <v>14</v>
      </c>
      <c r="F8" s="361" t="str">
        <f>VLOOKUP($H$1,'유로 판매현황'!A2:BB241,18,FALSE)</f>
        <v>Kosovo</v>
      </c>
      <c r="G8" s="362"/>
      <c r="J8" s="404" t="s">
        <v>166</v>
      </c>
      <c r="K8" s="405"/>
    </row>
    <row r="9" spans="1:15" ht="27.95" customHeight="1" thickTop="1" thickBot="1">
      <c r="A9" s="54"/>
      <c r="B9" s="55"/>
      <c r="E9" s="51" t="s">
        <v>13</v>
      </c>
      <c r="F9" s="361" t="str">
        <f>VLOOKUP($H$1,'유로 판매현황'!A2:BB242,16,FALSE)</f>
        <v>383 44 116 519</v>
      </c>
      <c r="G9" s="362"/>
      <c r="J9" s="408" t="str">
        <f>"판매자정보 : " &amp; TEXT(VLOOKUP($H$1,'유로 판매현황'!A2:BB238,6,FALSE),"#,##0")</f>
        <v>판매자정보 : 오토핸즈/이재성</v>
      </c>
      <c r="K9" s="409"/>
    </row>
    <row r="10" spans="1:15" ht="27.95" customHeight="1" thickTop="1">
      <c r="A10" s="359"/>
      <c r="B10" s="360"/>
      <c r="E10" s="51" t="s">
        <v>241</v>
      </c>
      <c r="F10" s="205">
        <f>VLOOKUP($H$1,'유로 판매현황'!A2:BB238,21,FALSE)</f>
        <v>1734</v>
      </c>
      <c r="G10" s="204">
        <f>VLOOKUP($H$1,'유로 판매현황'!A2:BB238,22,FALSE)</f>
        <v>1497</v>
      </c>
      <c r="J10" s="410" t="str">
        <f>"바이어 : " &amp; VLOOKUP($H$1,'유로 판매현황'!A5:BB241,13,FALSE)</f>
        <v>바이어 : 888 AUTO KOSOVA</v>
      </c>
      <c r="K10" s="411"/>
    </row>
    <row r="11" spans="1:15" ht="27.95" customHeight="1">
      <c r="A11" s="359"/>
      <c r="B11" s="360"/>
      <c r="C11" s="56"/>
      <c r="D11" s="56"/>
      <c r="E11" s="57"/>
      <c r="G11" s="50"/>
      <c r="J11" s="412" t="str">
        <f>"판매금액 : €" &amp; TEXT(VLOOKUP($H$1,'유로 판매현황'!A2:BB242,20,FALSE),"#,##0")</f>
        <v>판매금액 : €8,400</v>
      </c>
      <c r="K11" s="413"/>
    </row>
    <row r="12" spans="1:15" ht="23.25" customHeight="1">
      <c r="A12" s="352" t="s">
        <v>12</v>
      </c>
      <c r="B12" s="353"/>
      <c r="C12" s="353"/>
      <c r="D12" s="353"/>
      <c r="E12" s="353"/>
      <c r="F12" s="353"/>
      <c r="G12" s="354"/>
      <c r="J12" s="414" t="s">
        <v>165</v>
      </c>
      <c r="K12" s="415"/>
    </row>
    <row r="13" spans="1:15" ht="21.75" customHeight="1">
      <c r="A13" s="369" t="s">
        <v>11</v>
      </c>
      <c r="B13" s="370"/>
      <c r="C13" s="367" t="s">
        <v>21</v>
      </c>
      <c r="D13" s="368"/>
      <c r="E13" s="4" t="s">
        <v>10</v>
      </c>
      <c r="F13" s="375" t="s">
        <v>24</v>
      </c>
      <c r="G13" s="376"/>
      <c r="J13" s="212" t="str">
        <f>"환율 : €" &amp; VLOOKUP($H$1,'유로 판매현황'!A2:BB242,21,FALSE)</f>
        <v>환율 : €1734</v>
      </c>
      <c r="K13" s="213" t="str">
        <f>"/   $" &amp; VLOOKUP($H$1,'유로 판매현황'!A2:BB242,22,FALSE)</f>
        <v>/   $1497</v>
      </c>
    </row>
    <row r="14" spans="1:15" ht="21.75" customHeight="1">
      <c r="A14" s="369" t="s">
        <v>9</v>
      </c>
      <c r="B14" s="370"/>
      <c r="C14" s="367" t="s">
        <v>22</v>
      </c>
      <c r="D14" s="368"/>
      <c r="E14" s="4" t="s">
        <v>8</v>
      </c>
      <c r="F14" s="377" t="s">
        <v>25</v>
      </c>
      <c r="G14" s="376"/>
      <c r="J14" s="406" t="str">
        <f>"운임비 : €" &amp; TEXT(VLOOKUP($H$1,'유로 판매현황'!A2:BB242,23,FALSE),"#,##0")</f>
        <v>운임비 : €1,500</v>
      </c>
      <c r="K14" s="407"/>
    </row>
    <row r="15" spans="1:15" ht="21.75" customHeight="1">
      <c r="A15" s="369" t="s">
        <v>7</v>
      </c>
      <c r="B15" s="370"/>
      <c r="C15" s="367" t="s">
        <v>23</v>
      </c>
      <c r="D15" s="368"/>
      <c r="E15" s="4" t="s">
        <v>6</v>
      </c>
      <c r="F15" s="371" t="s">
        <v>26</v>
      </c>
      <c r="G15" s="372"/>
      <c r="J15" s="398" t="str">
        <f>"토탈 입금 받을금액 : €" &amp; TEXT(VLOOKUP($H$1,'유로 판매현황'!A2:BB242,27,FALSE),"#,##0")</f>
        <v>토탈 입금 받을금액 : €9,900</v>
      </c>
      <c r="K15" s="399"/>
    </row>
    <row r="16" spans="1:15" ht="23.25" customHeight="1">
      <c r="A16" s="58"/>
      <c r="C16" s="56"/>
      <c r="D16" s="56"/>
      <c r="E16" s="57"/>
      <c r="G16" s="50"/>
      <c r="J16" s="398" t="str">
        <f>"계약금 : " &amp; TEXT(VLOOKUP($H$1,'유로 판매현황'!A3:BB243,7,FALSE),"#,##0")</f>
        <v>계약금 : 용빈50</v>
      </c>
      <c r="K16" s="399"/>
    </row>
    <row r="17" spans="1:16" ht="25.5" customHeight="1">
      <c r="A17" s="68" t="s">
        <v>5</v>
      </c>
      <c r="B17" s="69" t="s">
        <v>4</v>
      </c>
      <c r="C17" s="69" t="s">
        <v>3</v>
      </c>
      <c r="D17" s="69" t="s">
        <v>153</v>
      </c>
      <c r="E17" s="69" t="s">
        <v>147</v>
      </c>
      <c r="F17" s="382" t="s">
        <v>2</v>
      </c>
      <c r="G17" s="383"/>
      <c r="I17" s="2"/>
      <c r="J17" s="74"/>
      <c r="K17" s="2"/>
    </row>
    <row r="18" spans="1:16" s="2" customFormat="1" ht="20.100000000000001" customHeight="1">
      <c r="A18" s="59" t="str">
        <f>VLOOKUP($H$1,'유로 판매현황'!A2:BB238,4,FALSE)</f>
        <v>396수1494</v>
      </c>
      <c r="B18" s="98" t="str">
        <f>VLOOKUP($H$1,'유로 판매현황'!A2:BB238,3,FALSE)</f>
        <v>SPORTAGE</v>
      </c>
      <c r="C18" s="3" t="str">
        <f>VLOOKUP($H$1,'유로 판매현황'!A2:BB238,5,FALSE)</f>
        <v>KNAPU81CBKNK061080</v>
      </c>
      <c r="D18" s="88">
        <f>VLOOKUP($H$1,'유로 판매현황'!A2:BB240,20,FALSE)</f>
        <v>8400</v>
      </c>
      <c r="E18" s="88">
        <f>VLOOKUP($H$1,'유로 판매현황'!A2:BB240,23,FALSE)</f>
        <v>1500</v>
      </c>
      <c r="F18" s="400">
        <f>SUM(D18:E18)</f>
        <v>9900</v>
      </c>
      <c r="G18" s="401"/>
      <c r="J18"/>
    </row>
    <row r="19" spans="1:16" s="2" customFormat="1" ht="20.100000000000001" customHeight="1">
      <c r="A19" s="59"/>
      <c r="B19" s="3"/>
      <c r="C19" s="3"/>
      <c r="D19" s="46"/>
      <c r="E19" s="46"/>
      <c r="F19" s="346"/>
      <c r="G19" s="347"/>
    </row>
    <row r="20" spans="1:16" s="2" customFormat="1" ht="20.100000000000001" customHeight="1" thickBot="1">
      <c r="A20" s="59"/>
      <c r="B20" s="3"/>
      <c r="C20" s="3"/>
      <c r="D20" s="45"/>
      <c r="E20" s="45"/>
      <c r="F20" s="346"/>
      <c r="G20" s="347"/>
      <c r="J20"/>
    </row>
    <row r="21" spans="1:16" s="2" customFormat="1" ht="20.100000000000001" customHeight="1" thickTop="1" thickBot="1">
      <c r="A21" s="59"/>
      <c r="B21" s="3"/>
      <c r="C21" s="3"/>
      <c r="D21" s="45"/>
      <c r="E21" s="45"/>
      <c r="F21" s="346"/>
      <c r="G21" s="347"/>
      <c r="J21" s="390" t="s">
        <v>686</v>
      </c>
      <c r="K21" s="391"/>
      <c r="L21" s="392"/>
      <c r="N21" s="390" t="s">
        <v>911</v>
      </c>
      <c r="O21" s="391"/>
      <c r="P21" s="392"/>
    </row>
    <row r="22" spans="1:16" s="2" customFormat="1" ht="20.100000000000001" customHeight="1" thickTop="1">
      <c r="A22" s="59"/>
      <c r="B22" s="3"/>
      <c r="C22" s="250"/>
      <c r="D22" s="46"/>
      <c r="E22" s="46"/>
      <c r="F22" s="346"/>
      <c r="G22" s="347"/>
      <c r="J22" s="209" t="s">
        <v>356</v>
      </c>
      <c r="K22" s="210" t="s">
        <v>357</v>
      </c>
      <c r="L22" s="211" t="s">
        <v>358</v>
      </c>
      <c r="N22" s="209" t="s">
        <v>356</v>
      </c>
      <c r="O22" s="210" t="s">
        <v>357</v>
      </c>
      <c r="P22" s="211" t="s">
        <v>358</v>
      </c>
    </row>
    <row r="23" spans="1:16" s="2" customFormat="1" ht="20.100000000000001" customHeight="1">
      <c r="A23" s="59"/>
      <c r="B23" s="3"/>
      <c r="C23" s="3"/>
      <c r="D23" s="45"/>
      <c r="E23" s="45"/>
      <c r="F23" s="346"/>
      <c r="G23" s="347"/>
      <c r="J23" s="207">
        <f>SUMIFS('달러 판매현황'!AZ:AZ,'달러 판매현황'!B:B,"&gt;="&amp;DATE(2026,5,1),'달러 판매현황'!B:B,"&lt;"&amp;DATE(2026,6,1))</f>
        <v>787443.5</v>
      </c>
      <c r="K23" s="206">
        <f>SUMIFS('유로 판매현황'!BA:BA,'유로 판매현황'!B:B,"&gt;="&amp;DATE(2026,5,1),'유로 판매현황'!B:B,"&lt;"&amp;DATE(2026,6,1))</f>
        <v>11674445.450000001</v>
      </c>
      <c r="L23" s="208">
        <f>SUMIFS('독일 노르웨이 판매현황'!BF:BF, '독일 노르웨이 판매현황'!B:B, "&gt;="&amp;DATE(2026,5,1), '독일 노르웨이 판매현황'!B:B, "&lt;"&amp;DATE(2026,6,1))</f>
        <v>0</v>
      </c>
      <c r="N23" s="207">
        <f>SUMIFS('달러 판매현황'!AZ:AZ,'달러 판매현황'!B:B,"&gt;="&amp;DATE(2026,6,1),'달러 판매현황'!B:B,"&lt;"&amp;DATE(2026,7,1))</f>
        <v>4956942.75</v>
      </c>
      <c r="O23" s="206">
        <f>SUMIFS('유로 판매현황'!BA:BA,'유로 판매현황'!B:B,"&gt;="&amp;DATE(2026,6,1),'유로 판매현황'!B:B,"&lt;"&amp;DATE(2026,7,1))</f>
        <v>19169391.399999999</v>
      </c>
      <c r="P23" s="208">
        <f>SUMIFS('독일 노르웨이 판매현황'!BF:BF, '독일 노르웨이 판매현황'!B:B, "&gt;="&amp;DATE(2026,5,1), '독일 노르웨이 판매현황'!B:B, "&lt;"&amp;DATE(2026,6,1))</f>
        <v>0</v>
      </c>
    </row>
    <row r="24" spans="1:16" s="2" customFormat="1" ht="20.100000000000001" customHeight="1" thickBot="1">
      <c r="A24" s="59"/>
      <c r="B24" s="3"/>
      <c r="C24" s="3"/>
      <c r="D24" s="45"/>
      <c r="E24" s="45"/>
      <c r="F24" s="346"/>
      <c r="G24" s="347"/>
      <c r="J24" s="395" t="str">
        <f>"합계 : "&amp;TEXT(SUM(J23, K23, L23),"#,##0")&amp;"원"</f>
        <v>합계 : 12,461,889원</v>
      </c>
      <c r="K24" s="396"/>
      <c r="L24" s="397"/>
      <c r="N24" s="395" t="str">
        <f>"합계 : "&amp;TEXT(SUM(N23, O23, P23),"#,##0")&amp;"원"</f>
        <v>합계 : 24,126,334원</v>
      </c>
      <c r="O24" s="396"/>
      <c r="P24" s="397"/>
    </row>
    <row r="25" spans="1:16" s="2" customFormat="1" ht="20.100000000000001" customHeight="1" thickTop="1">
      <c r="A25" s="59"/>
      <c r="B25" s="3"/>
      <c r="C25" s="3"/>
      <c r="D25" s="46"/>
      <c r="E25" s="46"/>
      <c r="F25" s="346"/>
      <c r="G25" s="347"/>
      <c r="J25"/>
    </row>
    <row r="26" spans="1:16" s="2" customFormat="1" ht="20.100000000000001" customHeight="1">
      <c r="A26" s="59"/>
      <c r="B26" s="3"/>
      <c r="C26" s="3"/>
      <c r="D26" s="45"/>
      <c r="E26" s="45"/>
      <c r="F26" s="346"/>
      <c r="G26" s="347"/>
      <c r="J26"/>
      <c r="K26" s="1"/>
      <c r="L26" s="1"/>
    </row>
    <row r="27" spans="1:16" s="2" customFormat="1" ht="20.100000000000001" customHeight="1">
      <c r="A27" s="59"/>
      <c r="B27" s="3"/>
      <c r="C27" s="3"/>
      <c r="D27" s="45"/>
      <c r="E27" s="45"/>
      <c r="F27" s="346"/>
      <c r="G27" s="347"/>
      <c r="J27"/>
      <c r="K27" s="1"/>
      <c r="L27" s="1"/>
    </row>
    <row r="28" spans="1:16" s="2" customFormat="1" ht="20.100000000000001" customHeight="1">
      <c r="A28" s="59"/>
      <c r="B28" s="3"/>
      <c r="C28" s="3"/>
      <c r="D28" s="46"/>
      <c r="E28" s="46"/>
      <c r="F28" s="346"/>
      <c r="G28" s="347"/>
      <c r="J28"/>
      <c r="K28" s="1"/>
      <c r="L28" s="1"/>
    </row>
    <row r="29" spans="1:16" s="2" customFormat="1" ht="20.100000000000001" customHeight="1">
      <c r="A29" s="59"/>
      <c r="B29" s="3"/>
      <c r="C29" s="3"/>
      <c r="D29" s="45"/>
      <c r="E29" s="45"/>
      <c r="F29" s="346"/>
      <c r="G29" s="347"/>
      <c r="J29" s="71"/>
      <c r="K29" s="1"/>
      <c r="L29" s="1"/>
    </row>
    <row r="30" spans="1:16" s="2" customFormat="1" ht="20.100000000000001" customHeight="1">
      <c r="A30" s="59"/>
      <c r="B30" s="3"/>
      <c r="C30" s="3"/>
      <c r="D30" s="45"/>
      <c r="E30" s="45"/>
      <c r="F30" s="346"/>
      <c r="G30" s="347"/>
      <c r="J30"/>
    </row>
    <row r="31" spans="1:16" ht="30" customHeight="1">
      <c r="A31" s="58"/>
      <c r="E31" s="69" t="s">
        <v>1</v>
      </c>
      <c r="F31" s="393">
        <f>SUM(F18:G30)</f>
        <v>9900</v>
      </c>
      <c r="G31" s="394"/>
      <c r="J31"/>
    </row>
    <row r="32" spans="1:16" ht="30" customHeight="1">
      <c r="A32" s="58"/>
      <c r="C32" s="61"/>
      <c r="D32" s="61"/>
      <c r="E32" s="70" t="s">
        <v>154</v>
      </c>
      <c r="F32" s="384" t="s">
        <v>155</v>
      </c>
      <c r="G32" s="385"/>
      <c r="J32"/>
    </row>
    <row r="33" spans="1:10" ht="30" customHeight="1">
      <c r="A33" s="58"/>
      <c r="C33" s="62"/>
      <c r="D33" s="62"/>
      <c r="E33" s="70" t="s">
        <v>158</v>
      </c>
      <c r="F33" s="386" t="s">
        <v>155</v>
      </c>
      <c r="G33" s="387"/>
      <c r="J33"/>
    </row>
    <row r="34" spans="1:10" ht="30" customHeight="1">
      <c r="A34" s="63"/>
      <c r="E34" s="70"/>
      <c r="F34" s="384"/>
      <c r="G34" s="385"/>
    </row>
    <row r="35" spans="1:10" ht="30" customHeight="1">
      <c r="A35" s="58"/>
      <c r="E35" s="69" t="s">
        <v>0</v>
      </c>
      <c r="F35" s="388">
        <f>SUM(F31:G34)</f>
        <v>9900</v>
      </c>
      <c r="G35" s="389"/>
    </row>
    <row r="36" spans="1:10">
      <c r="A36" s="58"/>
      <c r="F36" s="61"/>
      <c r="G36" s="64"/>
    </row>
    <row r="37" spans="1:10">
      <c r="A37" s="58"/>
      <c r="F37" s="61"/>
      <c r="G37" s="64"/>
    </row>
    <row r="38" spans="1:10">
      <c r="A38" s="58"/>
      <c r="F38" s="61"/>
      <c r="G38" s="64"/>
    </row>
    <row r="39" spans="1:10">
      <c r="A39" s="58"/>
      <c r="G39" s="50"/>
    </row>
    <row r="40" spans="1:10">
      <c r="A40" s="58"/>
      <c r="G40" s="50"/>
    </row>
    <row r="41" spans="1:10">
      <c r="A41" s="58"/>
      <c r="G41" s="50"/>
    </row>
    <row r="42" spans="1:10" ht="13.15" thickBot="1">
      <c r="A42" s="65"/>
      <c r="B42" s="66"/>
      <c r="C42" s="66"/>
      <c r="D42" s="66"/>
      <c r="E42" s="66"/>
      <c r="F42" s="66"/>
      <c r="G42" s="67"/>
    </row>
  </sheetData>
  <mergeCells count="61">
    <mergeCell ref="N21:P21"/>
    <mergeCell ref="N24:P24"/>
    <mergeCell ref="E1:G1"/>
    <mergeCell ref="J1:K1"/>
    <mergeCell ref="A2:C3"/>
    <mergeCell ref="J2:K2"/>
    <mergeCell ref="F3:G3"/>
    <mergeCell ref="J3:K3"/>
    <mergeCell ref="F4:G4"/>
    <mergeCell ref="J4:K4"/>
    <mergeCell ref="F5:G5"/>
    <mergeCell ref="J5:K5"/>
    <mergeCell ref="F6:G6"/>
    <mergeCell ref="J6:K6"/>
    <mergeCell ref="A7:B7"/>
    <mergeCell ref="F7:G7"/>
    <mergeCell ref="J7:K7"/>
    <mergeCell ref="A8:B8"/>
    <mergeCell ref="F8:G8"/>
    <mergeCell ref="J8:K8"/>
    <mergeCell ref="A14:B14"/>
    <mergeCell ref="C14:D14"/>
    <mergeCell ref="F14:G14"/>
    <mergeCell ref="J14:K14"/>
    <mergeCell ref="F9:G9"/>
    <mergeCell ref="J9:K9"/>
    <mergeCell ref="A10:B10"/>
    <mergeCell ref="J10:K10"/>
    <mergeCell ref="A11:B11"/>
    <mergeCell ref="J11:K11"/>
    <mergeCell ref="A12:G12"/>
    <mergeCell ref="J12:K12"/>
    <mergeCell ref="A13:B13"/>
    <mergeCell ref="C13:D13"/>
    <mergeCell ref="F13:G13"/>
    <mergeCell ref="F22:G22"/>
    <mergeCell ref="A15:B15"/>
    <mergeCell ref="C15:D15"/>
    <mergeCell ref="F15:G15"/>
    <mergeCell ref="F20:G20"/>
    <mergeCell ref="F21:G21"/>
    <mergeCell ref="J15:K15"/>
    <mergeCell ref="J16:K16"/>
    <mergeCell ref="F17:G17"/>
    <mergeCell ref="F18:G18"/>
    <mergeCell ref="F19:G19"/>
    <mergeCell ref="J21:L21"/>
    <mergeCell ref="F30:G30"/>
    <mergeCell ref="F31:G31"/>
    <mergeCell ref="F23:G23"/>
    <mergeCell ref="F24:G24"/>
    <mergeCell ref="J24:L24"/>
    <mergeCell ref="F25:G25"/>
    <mergeCell ref="F26:G26"/>
    <mergeCell ref="F32:G32"/>
    <mergeCell ref="F33:G33"/>
    <mergeCell ref="F34:G34"/>
    <mergeCell ref="F35:G35"/>
    <mergeCell ref="F27:G27"/>
    <mergeCell ref="F28:G28"/>
    <mergeCell ref="F29:G29"/>
  </mergeCells>
  <phoneticPr fontId="3" type="noConversion"/>
  <printOptions horizontalCentered="1"/>
  <pageMargins left="0.31" right="0.18" top="0.66" bottom="0.45" header="0.61" footer="0.51181102362204722"/>
  <pageSetup paperSize="9" scale="7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F7ED-2E50-46B1-9873-705535286709}">
  <sheetPr>
    <tabColor rgb="FF002060"/>
    <outlinePr summaryBelow="0"/>
  </sheetPr>
  <dimension ref="A1:BI1396"/>
  <sheetViews>
    <sheetView zoomScaleNormal="100" workbookViewId="0">
      <pane ySplit="1" topLeftCell="A2" activePane="bottomLeft" state="frozen"/>
      <selection activeCell="H2" sqref="H2"/>
      <selection pane="bottomLeft" activeCell="D22" sqref="D22"/>
    </sheetView>
  </sheetViews>
  <sheetFormatPr defaultColWidth="12.625" defaultRowHeight="15" customHeight="1" outlineLevelCol="1"/>
  <cols>
    <col min="1" max="1" width="4.375" style="5" customWidth="1"/>
    <col min="2" max="2" width="10.875" style="5" customWidth="1"/>
    <col min="3" max="3" width="16.625" style="5" customWidth="1"/>
    <col min="4" max="4" width="10.625" style="5" customWidth="1"/>
    <col min="5" max="5" width="26.125" style="5" customWidth="1"/>
    <col min="6" max="11" width="13.625" style="6" customWidth="1" outlineLevel="1"/>
    <col min="12" max="12" width="19.625" style="5" customWidth="1" outlineLevel="1"/>
    <col min="13" max="14" width="10.625" style="6" customWidth="1" outlineLevel="1"/>
    <col min="15" max="15" width="15.125" style="6" customWidth="1" outlineLevel="1"/>
    <col min="16" max="16" width="10.625" style="6" customWidth="1" outlineLevel="1"/>
    <col min="17" max="17" width="13.625" style="6" customWidth="1" outlineLevel="1"/>
    <col min="18" max="20" width="10.625" style="5" customWidth="1"/>
    <col min="21" max="24" width="16.25" style="7" customWidth="1"/>
    <col min="25" max="25" width="10.25" style="235" customWidth="1"/>
    <col min="26" max="26" width="8.75" style="235" customWidth="1"/>
    <col min="27" max="27" width="9.75" style="6" customWidth="1" outlineLevel="1"/>
    <col min="28" max="28" width="9.875" style="5" customWidth="1"/>
    <col min="29" max="30" width="8.375" style="6" customWidth="1"/>
    <col min="31" max="31" width="9.375" style="6" customWidth="1"/>
    <col min="32" max="32" width="11.375" style="6" customWidth="1"/>
    <col min="33" max="33" width="10.625" style="6" customWidth="1"/>
    <col min="34" max="34" width="12.625" style="6" customWidth="1"/>
    <col min="35" max="36" width="30.125" style="6" hidden="1" customWidth="1"/>
    <col min="37" max="37" width="10.75" style="6" hidden="1" customWidth="1"/>
    <col min="38" max="38" width="10.625" style="6" hidden="1" customWidth="1"/>
    <col min="39" max="39" width="10.75" style="6" hidden="1" customWidth="1"/>
    <col min="40" max="40" width="10.625" style="6" hidden="1" customWidth="1"/>
    <col min="41" max="41" width="11" style="6" hidden="1" customWidth="1"/>
    <col min="42" max="42" width="10.625" style="6" hidden="1" customWidth="1"/>
    <col min="43" max="44" width="8.375" style="6" hidden="1" customWidth="1"/>
    <col min="45" max="46" width="10.125" style="6" customWidth="1" outlineLevel="1"/>
    <col min="47" max="49" width="10.125" style="6" hidden="1" customWidth="1" outlineLevel="1"/>
    <col min="50" max="50" width="10.125" style="6" customWidth="1" outlineLevel="1"/>
    <col min="51" max="53" width="12.625" style="5" customWidth="1" outlineLevel="1"/>
    <col min="54" max="54" width="13.375" style="5" customWidth="1" outlineLevel="1"/>
    <col min="55" max="55" width="12.625" style="5" customWidth="1" outlineLevel="1"/>
    <col min="56" max="57" width="10.125" style="5" customWidth="1" outlineLevel="1"/>
    <col min="58" max="58" width="12.625" style="5" customWidth="1" outlineLevel="1"/>
    <col min="59" max="59" width="16.25" style="5" customWidth="1"/>
    <col min="60" max="61" width="15.375" style="5" customWidth="1"/>
    <col min="62" max="16384" width="12.625" style="5"/>
  </cols>
  <sheetData>
    <row r="1" spans="1:61" ht="46.5" customHeight="1">
      <c r="A1" s="134" t="s">
        <v>144</v>
      </c>
      <c r="B1" s="135" t="s">
        <v>207</v>
      </c>
      <c r="C1" s="137" t="s">
        <v>219</v>
      </c>
      <c r="D1" s="134" t="s">
        <v>218</v>
      </c>
      <c r="E1" s="134" t="s">
        <v>139</v>
      </c>
      <c r="F1" s="136" t="s">
        <v>208</v>
      </c>
      <c r="G1" s="136" t="s">
        <v>209</v>
      </c>
      <c r="H1" s="136" t="s">
        <v>210</v>
      </c>
      <c r="I1" s="136" t="s">
        <v>211</v>
      </c>
      <c r="J1" s="136" t="s">
        <v>212</v>
      </c>
      <c r="K1" s="136" t="s">
        <v>510</v>
      </c>
      <c r="L1" s="137" t="s">
        <v>217</v>
      </c>
      <c r="M1" s="140" t="s">
        <v>216</v>
      </c>
      <c r="N1" s="139" t="s">
        <v>215</v>
      </c>
      <c r="O1" s="138" t="s">
        <v>214</v>
      </c>
      <c r="P1" s="137" t="s">
        <v>213</v>
      </c>
      <c r="Q1" s="136" t="s">
        <v>327</v>
      </c>
      <c r="R1" s="141" t="s">
        <v>138</v>
      </c>
      <c r="S1" s="142" t="s">
        <v>137</v>
      </c>
      <c r="T1" s="143" t="s">
        <v>136</v>
      </c>
      <c r="U1" s="43" t="s">
        <v>135</v>
      </c>
      <c r="V1" s="43" t="s">
        <v>134</v>
      </c>
      <c r="W1" s="43" t="s">
        <v>133</v>
      </c>
      <c r="X1" s="43" t="s">
        <v>132</v>
      </c>
      <c r="Y1" s="236" t="s">
        <v>131</v>
      </c>
      <c r="Z1" s="240" t="s">
        <v>329</v>
      </c>
      <c r="AA1" s="136" t="s">
        <v>330</v>
      </c>
      <c r="AB1" s="145" t="s">
        <v>129</v>
      </c>
      <c r="AC1" s="146" t="s">
        <v>128</v>
      </c>
      <c r="AD1" s="146" t="s">
        <v>127</v>
      </c>
      <c r="AE1" s="147" t="s">
        <v>126</v>
      </c>
      <c r="AF1" s="148" t="s">
        <v>125</v>
      </c>
      <c r="AG1" s="146" t="s">
        <v>124</v>
      </c>
      <c r="AH1" s="145" t="s">
        <v>123</v>
      </c>
      <c r="AI1" s="149" t="s">
        <v>122</v>
      </c>
      <c r="AJ1" s="149" t="s">
        <v>122</v>
      </c>
      <c r="AK1" s="150" t="s">
        <v>121</v>
      </c>
      <c r="AL1" s="145" t="s">
        <v>120</v>
      </c>
      <c r="AM1" s="151" t="s">
        <v>119</v>
      </c>
      <c r="AN1" s="145" t="s">
        <v>118</v>
      </c>
      <c r="AO1" s="151" t="s">
        <v>117</v>
      </c>
      <c r="AP1" s="145" t="s">
        <v>116</v>
      </c>
      <c r="AQ1" s="146" t="s">
        <v>115</v>
      </c>
      <c r="AR1" s="146" t="s">
        <v>114</v>
      </c>
      <c r="AS1" s="152" t="s">
        <v>113</v>
      </c>
      <c r="AT1" s="153" t="s">
        <v>112</v>
      </c>
      <c r="AU1" s="153" t="s">
        <v>111</v>
      </c>
      <c r="AV1" s="153" t="s">
        <v>110</v>
      </c>
      <c r="AW1" s="153" t="s">
        <v>109</v>
      </c>
      <c r="AX1" s="153" t="s">
        <v>108</v>
      </c>
      <c r="AY1" s="154" t="s">
        <v>107</v>
      </c>
      <c r="AZ1" s="144" t="s">
        <v>106</v>
      </c>
      <c r="BA1" s="144" t="s">
        <v>105</v>
      </c>
      <c r="BB1" s="155" t="s">
        <v>104</v>
      </c>
      <c r="BC1" s="155" t="s">
        <v>103</v>
      </c>
      <c r="BD1" s="153" t="s">
        <v>102</v>
      </c>
      <c r="BE1" s="153" t="s">
        <v>101</v>
      </c>
      <c r="BF1" s="156" t="s">
        <v>100</v>
      </c>
      <c r="BG1" s="36" t="s">
        <v>99</v>
      </c>
      <c r="BH1" s="42"/>
      <c r="BI1" s="42"/>
    </row>
    <row r="2" spans="1:61" ht="16.5" customHeight="1">
      <c r="A2" s="36">
        <v>1</v>
      </c>
      <c r="B2" s="178">
        <v>45978</v>
      </c>
      <c r="C2" s="180" t="s">
        <v>55</v>
      </c>
      <c r="D2" s="180" t="s">
        <v>98</v>
      </c>
      <c r="E2" s="180" t="s">
        <v>97</v>
      </c>
      <c r="F2" s="180" t="s">
        <v>194</v>
      </c>
      <c r="G2" s="180"/>
      <c r="H2" s="180"/>
      <c r="I2" s="180"/>
      <c r="J2" s="180"/>
      <c r="K2" s="180"/>
      <c r="L2" s="188" t="s">
        <v>35</v>
      </c>
      <c r="M2" s="180" t="s">
        <v>190</v>
      </c>
      <c r="N2" s="180" t="s">
        <v>191</v>
      </c>
      <c r="O2" s="179" t="s">
        <v>193</v>
      </c>
      <c r="P2" s="186" t="s">
        <v>192</v>
      </c>
      <c r="Q2" s="187" t="s">
        <v>328</v>
      </c>
      <c r="R2" s="189">
        <v>31000000</v>
      </c>
      <c r="S2" s="189">
        <v>0</v>
      </c>
      <c r="T2" s="190">
        <f t="shared" ref="T2:T27" si="0">R2+S2</f>
        <v>31000000</v>
      </c>
      <c r="U2" s="183"/>
      <c r="V2" s="182" t="s">
        <v>50</v>
      </c>
      <c r="W2" s="183" t="s">
        <v>66</v>
      </c>
      <c r="X2" s="183" t="s">
        <v>80</v>
      </c>
      <c r="Y2" s="237">
        <v>20837</v>
      </c>
      <c r="Z2" s="241">
        <v>1448</v>
      </c>
      <c r="AA2" s="191">
        <v>1448</v>
      </c>
      <c r="AB2" s="192"/>
      <c r="AC2" s="193"/>
      <c r="AD2" s="194"/>
      <c r="AE2" s="195"/>
      <c r="AF2" s="184">
        <f t="shared" ref="AF2:AF64" si="1">SUM(Y2,AB2:AE2)</f>
        <v>20837</v>
      </c>
      <c r="AG2" s="193">
        <f t="shared" ref="AG2:AG65" si="2">SUM(AL2+AN2+AP2+AQ2-AR2)</f>
        <v>0</v>
      </c>
      <c r="AH2" s="196">
        <f t="shared" ref="AH2:AH27" si="3">SUM(AG2-AF2)</f>
        <v>-20837</v>
      </c>
      <c r="AI2" s="184"/>
      <c r="AJ2" s="184"/>
      <c r="AK2" s="197"/>
      <c r="AL2" s="193"/>
      <c r="AM2" s="198"/>
      <c r="AN2" s="193"/>
      <c r="AO2" s="198"/>
      <c r="AP2" s="193"/>
      <c r="AQ2" s="193"/>
      <c r="AR2" s="193"/>
      <c r="AS2" s="199">
        <v>35000</v>
      </c>
      <c r="AT2" s="199">
        <v>30000</v>
      </c>
      <c r="AU2" s="199"/>
      <c r="AV2" s="199"/>
      <c r="AW2" s="199"/>
      <c r="AX2" s="199">
        <f t="shared" ref="AX2:AX65" si="4">SUM(AS2:AW2)</f>
        <v>65000</v>
      </c>
      <c r="AY2" s="200">
        <f t="shared" ref="AY2:AY64" si="5">SUM(AF2-AB2)*Z2-AX2</f>
        <v>30106976</v>
      </c>
      <c r="AZ2" s="200">
        <f t="shared" ref="AZ2:AZ64" si="6">SUM(AY2-T2)</f>
        <v>-893024</v>
      </c>
      <c r="BA2" s="200">
        <f t="shared" ref="BA2:BA64" si="7">SUM(R2*0.09)</f>
        <v>2790000</v>
      </c>
      <c r="BB2" s="200">
        <f t="shared" ref="BB2:BB27" si="8">SUM(AZ2:BA2)/2</f>
        <v>948488</v>
      </c>
      <c r="BC2" s="200">
        <f t="shared" ref="BC2:BC27" si="9">BB2-(BB2*10%)</f>
        <v>853639.2</v>
      </c>
      <c r="BD2" s="201">
        <v>50000</v>
      </c>
      <c r="BE2" s="201"/>
      <c r="BF2" s="200">
        <f>SUM(BC2-BD2-BE2)</f>
        <v>803639.2</v>
      </c>
      <c r="BG2" s="33"/>
      <c r="BH2" s="16"/>
      <c r="BI2" s="16"/>
    </row>
    <row r="3" spans="1:61" ht="16.5" customHeight="1">
      <c r="A3" s="36">
        <v>2</v>
      </c>
      <c r="B3" s="178">
        <v>45989</v>
      </c>
      <c r="C3" s="180" t="s">
        <v>93</v>
      </c>
      <c r="D3" s="180" t="s">
        <v>94</v>
      </c>
      <c r="E3" s="180" t="s">
        <v>92</v>
      </c>
      <c r="F3" s="180" t="s">
        <v>195</v>
      </c>
      <c r="G3" s="180"/>
      <c r="H3" s="180"/>
      <c r="I3" s="180"/>
      <c r="J3" s="180"/>
      <c r="K3" s="180"/>
      <c r="L3" s="188" t="s">
        <v>35</v>
      </c>
      <c r="M3" s="180" t="s">
        <v>190</v>
      </c>
      <c r="N3" s="180" t="s">
        <v>191</v>
      </c>
      <c r="O3" s="179" t="s">
        <v>193</v>
      </c>
      <c r="P3" s="186" t="s">
        <v>192</v>
      </c>
      <c r="Q3" s="187" t="s">
        <v>328</v>
      </c>
      <c r="R3" s="189">
        <v>13700000</v>
      </c>
      <c r="S3" s="189">
        <v>0</v>
      </c>
      <c r="T3" s="190">
        <f t="shared" si="0"/>
        <v>13700000</v>
      </c>
      <c r="U3" s="183"/>
      <c r="V3" s="182" t="s">
        <v>50</v>
      </c>
      <c r="W3" s="183" t="s">
        <v>66</v>
      </c>
      <c r="X3" s="183" t="s">
        <v>80</v>
      </c>
      <c r="Y3" s="237">
        <v>9192</v>
      </c>
      <c r="Z3" s="241">
        <v>1698</v>
      </c>
      <c r="AA3" s="191">
        <v>1452</v>
      </c>
      <c r="AB3" s="192"/>
      <c r="AC3" s="193"/>
      <c r="AD3" s="194"/>
      <c r="AE3" s="195"/>
      <c r="AF3" s="184">
        <f t="shared" si="1"/>
        <v>9192</v>
      </c>
      <c r="AG3" s="193">
        <f t="shared" si="2"/>
        <v>0</v>
      </c>
      <c r="AH3" s="196">
        <f t="shared" si="3"/>
        <v>-9192</v>
      </c>
      <c r="AI3" s="184"/>
      <c r="AJ3" s="184"/>
      <c r="AK3" s="197"/>
      <c r="AL3" s="193"/>
      <c r="AM3" s="198"/>
      <c r="AN3" s="193"/>
      <c r="AO3" s="198"/>
      <c r="AP3" s="193"/>
      <c r="AQ3" s="193"/>
      <c r="AR3" s="193"/>
      <c r="AS3" s="199">
        <v>35000</v>
      </c>
      <c r="AT3" s="199">
        <v>30000</v>
      </c>
      <c r="AU3" s="199"/>
      <c r="AV3" s="199"/>
      <c r="AW3" s="199"/>
      <c r="AX3" s="199">
        <f t="shared" si="4"/>
        <v>65000</v>
      </c>
      <c r="AY3" s="200">
        <f t="shared" si="5"/>
        <v>15543016</v>
      </c>
      <c r="AZ3" s="200">
        <f t="shared" si="6"/>
        <v>1843016</v>
      </c>
      <c r="BA3" s="200">
        <f t="shared" si="7"/>
        <v>1233000</v>
      </c>
      <c r="BB3" s="200">
        <f t="shared" si="8"/>
        <v>1538008</v>
      </c>
      <c r="BC3" s="200">
        <f t="shared" si="9"/>
        <v>1384207.2</v>
      </c>
      <c r="BD3" s="201">
        <v>50000</v>
      </c>
      <c r="BE3" s="201"/>
      <c r="BF3" s="200">
        <f>SUM(BC3-BD3-BE3)</f>
        <v>1334207.2</v>
      </c>
      <c r="BG3" s="33"/>
      <c r="BH3" s="16"/>
      <c r="BI3" s="16"/>
    </row>
    <row r="4" spans="1:61" ht="16.5" customHeight="1">
      <c r="A4" s="36">
        <v>3</v>
      </c>
      <c r="B4" s="178">
        <v>45999</v>
      </c>
      <c r="C4" s="180" t="s">
        <v>90</v>
      </c>
      <c r="D4" s="180" t="s">
        <v>91</v>
      </c>
      <c r="E4" s="180" t="s">
        <v>89</v>
      </c>
      <c r="F4" s="180" t="s">
        <v>196</v>
      </c>
      <c r="G4" s="180"/>
      <c r="H4" s="180"/>
      <c r="I4" s="180"/>
      <c r="J4" s="180"/>
      <c r="K4" s="180"/>
      <c r="L4" s="188" t="s">
        <v>35</v>
      </c>
      <c r="M4" s="180" t="s">
        <v>190</v>
      </c>
      <c r="N4" s="180" t="s">
        <v>191</v>
      </c>
      <c r="O4" s="179" t="s">
        <v>193</v>
      </c>
      <c r="P4" s="186" t="s">
        <v>192</v>
      </c>
      <c r="Q4" s="187" t="s">
        <v>328</v>
      </c>
      <c r="R4" s="189">
        <v>20500000</v>
      </c>
      <c r="S4" s="189">
        <v>0</v>
      </c>
      <c r="T4" s="190">
        <f t="shared" si="0"/>
        <v>20500000</v>
      </c>
      <c r="U4" s="183"/>
      <c r="V4" s="182" t="s">
        <v>50</v>
      </c>
      <c r="W4" s="183" t="s">
        <v>66</v>
      </c>
      <c r="X4" s="183" t="s">
        <v>80</v>
      </c>
      <c r="Y4" s="237">
        <v>13865</v>
      </c>
      <c r="Z4" s="241">
        <v>1698</v>
      </c>
      <c r="AA4" s="191">
        <v>1460</v>
      </c>
      <c r="AB4" s="192"/>
      <c r="AC4" s="193"/>
      <c r="AD4" s="194"/>
      <c r="AE4" s="195"/>
      <c r="AF4" s="184">
        <f t="shared" si="1"/>
        <v>13865</v>
      </c>
      <c r="AG4" s="193">
        <f t="shared" si="2"/>
        <v>0</v>
      </c>
      <c r="AH4" s="196">
        <f t="shared" si="3"/>
        <v>-13865</v>
      </c>
      <c r="AI4" s="184"/>
      <c r="AJ4" s="184"/>
      <c r="AK4" s="197"/>
      <c r="AL4" s="193"/>
      <c r="AM4" s="198"/>
      <c r="AN4" s="193"/>
      <c r="AO4" s="198"/>
      <c r="AP4" s="193"/>
      <c r="AQ4" s="193"/>
      <c r="AR4" s="193"/>
      <c r="AS4" s="199">
        <v>35000</v>
      </c>
      <c r="AT4" s="199">
        <v>30000</v>
      </c>
      <c r="AU4" s="199"/>
      <c r="AV4" s="199"/>
      <c r="AW4" s="199"/>
      <c r="AX4" s="199">
        <f t="shared" si="4"/>
        <v>65000</v>
      </c>
      <c r="AY4" s="200">
        <f t="shared" si="5"/>
        <v>23477770</v>
      </c>
      <c r="AZ4" s="200">
        <f t="shared" si="6"/>
        <v>2977770</v>
      </c>
      <c r="BA4" s="200">
        <f t="shared" si="7"/>
        <v>1845000</v>
      </c>
      <c r="BB4" s="200">
        <f t="shared" si="8"/>
        <v>2411385</v>
      </c>
      <c r="BC4" s="200">
        <f t="shared" si="9"/>
        <v>2170246.5</v>
      </c>
      <c r="BD4" s="201">
        <v>50000</v>
      </c>
      <c r="BE4" s="201"/>
      <c r="BF4" s="200">
        <f>SUM(BC4-BD4-BE4)</f>
        <v>2120246.5</v>
      </c>
      <c r="BG4" s="33"/>
      <c r="BH4" s="16"/>
      <c r="BI4" s="16"/>
    </row>
    <row r="5" spans="1:61" s="6" customFormat="1" ht="16.899999999999999">
      <c r="A5" s="36">
        <v>4</v>
      </c>
      <c r="B5" s="178">
        <v>45999</v>
      </c>
      <c r="C5" s="180" t="s">
        <v>86</v>
      </c>
      <c r="D5" s="180" t="s">
        <v>87</v>
      </c>
      <c r="E5" s="180" t="s">
        <v>85</v>
      </c>
      <c r="F5" s="180" t="s">
        <v>197</v>
      </c>
      <c r="G5" s="180"/>
      <c r="H5" s="180"/>
      <c r="I5" s="180"/>
      <c r="J5" s="180"/>
      <c r="K5" s="180"/>
      <c r="L5" s="180" t="s">
        <v>88</v>
      </c>
      <c r="M5" s="180"/>
      <c r="N5" s="180"/>
      <c r="O5" s="179"/>
      <c r="P5" s="180"/>
      <c r="Q5" s="180"/>
      <c r="R5" s="189">
        <v>43140000</v>
      </c>
      <c r="S5" s="189">
        <v>440000</v>
      </c>
      <c r="T5" s="190">
        <f t="shared" si="0"/>
        <v>43580000</v>
      </c>
      <c r="U5" s="183"/>
      <c r="V5" s="182" t="s">
        <v>50</v>
      </c>
      <c r="W5" s="183" t="s">
        <v>66</v>
      </c>
      <c r="X5" s="183" t="s">
        <v>80</v>
      </c>
      <c r="Y5" s="237">
        <v>30850</v>
      </c>
      <c r="Z5" s="241">
        <v>1698</v>
      </c>
      <c r="AA5" s="191">
        <v>1453</v>
      </c>
      <c r="AB5" s="192"/>
      <c r="AC5" s="193"/>
      <c r="AD5" s="194"/>
      <c r="AE5" s="195"/>
      <c r="AF5" s="184">
        <f t="shared" si="1"/>
        <v>30850</v>
      </c>
      <c r="AG5" s="193">
        <f t="shared" si="2"/>
        <v>0</v>
      </c>
      <c r="AH5" s="196">
        <f t="shared" si="3"/>
        <v>-30850</v>
      </c>
      <c r="AI5" s="184"/>
      <c r="AJ5" s="184"/>
      <c r="AK5" s="197"/>
      <c r="AL5" s="193"/>
      <c r="AM5" s="198"/>
      <c r="AN5" s="193"/>
      <c r="AO5" s="198"/>
      <c r="AP5" s="193"/>
      <c r="AQ5" s="193"/>
      <c r="AR5" s="193"/>
      <c r="AS5" s="199">
        <v>35000</v>
      </c>
      <c r="AT5" s="199">
        <v>30000</v>
      </c>
      <c r="AU5" s="199"/>
      <c r="AV5" s="199"/>
      <c r="AW5" s="199"/>
      <c r="AX5" s="199">
        <f t="shared" si="4"/>
        <v>65000</v>
      </c>
      <c r="AY5" s="200">
        <f t="shared" si="5"/>
        <v>52318300</v>
      </c>
      <c r="AZ5" s="200">
        <f t="shared" si="6"/>
        <v>8738300</v>
      </c>
      <c r="BA5" s="200">
        <f t="shared" si="7"/>
        <v>3882600</v>
      </c>
      <c r="BB5" s="200">
        <f t="shared" si="8"/>
        <v>6310450</v>
      </c>
      <c r="BC5" s="200">
        <f t="shared" si="9"/>
        <v>5679405</v>
      </c>
      <c r="BD5" s="201">
        <v>50000</v>
      </c>
      <c r="BE5" s="201"/>
      <c r="BF5" s="200">
        <f>SUM(BC5-BD5-BE5)</f>
        <v>5629405</v>
      </c>
      <c r="BG5" s="33"/>
      <c r="BH5" s="15"/>
      <c r="BI5" s="15"/>
    </row>
    <row r="6" spans="1:61" ht="16.5" customHeight="1">
      <c r="A6" s="36">
        <v>5</v>
      </c>
      <c r="B6" s="178">
        <v>46002</v>
      </c>
      <c r="C6" s="180" t="s">
        <v>83</v>
      </c>
      <c r="D6" s="180" t="s">
        <v>84</v>
      </c>
      <c r="E6" s="180" t="s">
        <v>82</v>
      </c>
      <c r="F6" s="180" t="s">
        <v>198</v>
      </c>
      <c r="G6" s="180"/>
      <c r="H6" s="180"/>
      <c r="I6" s="180"/>
      <c r="J6" s="180"/>
      <c r="K6" s="180"/>
      <c r="L6" s="188" t="s">
        <v>35</v>
      </c>
      <c r="M6" s="180" t="s">
        <v>190</v>
      </c>
      <c r="N6" s="180" t="s">
        <v>191</v>
      </c>
      <c r="O6" s="179" t="s">
        <v>193</v>
      </c>
      <c r="P6" s="186" t="s">
        <v>192</v>
      </c>
      <c r="Q6" s="187" t="s">
        <v>328</v>
      </c>
      <c r="R6" s="189">
        <v>18200000</v>
      </c>
      <c r="S6" s="189">
        <v>440000</v>
      </c>
      <c r="T6" s="190">
        <f t="shared" si="0"/>
        <v>18640000</v>
      </c>
      <c r="U6" s="183"/>
      <c r="V6" s="182" t="s">
        <v>50</v>
      </c>
      <c r="W6" s="183" t="s">
        <v>66</v>
      </c>
      <c r="X6" s="183" t="s">
        <v>80</v>
      </c>
      <c r="Y6" s="237">
        <v>12396.07</v>
      </c>
      <c r="Z6" s="241">
        <v>1698</v>
      </c>
      <c r="AA6" s="191">
        <v>1455</v>
      </c>
      <c r="AB6" s="192"/>
      <c r="AC6" s="193"/>
      <c r="AD6" s="194"/>
      <c r="AE6" s="195"/>
      <c r="AF6" s="184">
        <f t="shared" si="1"/>
        <v>12396.07</v>
      </c>
      <c r="AG6" s="193">
        <f t="shared" si="2"/>
        <v>0</v>
      </c>
      <c r="AH6" s="196">
        <f t="shared" si="3"/>
        <v>-12396.07</v>
      </c>
      <c r="AI6" s="184"/>
      <c r="AJ6" s="184"/>
      <c r="AK6" s="197"/>
      <c r="AL6" s="193"/>
      <c r="AM6" s="198"/>
      <c r="AN6" s="193"/>
      <c r="AO6" s="198"/>
      <c r="AP6" s="193"/>
      <c r="AQ6" s="193"/>
      <c r="AR6" s="193"/>
      <c r="AS6" s="199">
        <v>35000</v>
      </c>
      <c r="AT6" s="199">
        <v>30000</v>
      </c>
      <c r="AU6" s="199"/>
      <c r="AV6" s="199"/>
      <c r="AW6" s="199"/>
      <c r="AX6" s="199">
        <f t="shared" si="4"/>
        <v>65000</v>
      </c>
      <c r="AY6" s="200">
        <f t="shared" si="5"/>
        <v>20983526.859999999</v>
      </c>
      <c r="AZ6" s="200">
        <f t="shared" si="6"/>
        <v>2343526.8599999994</v>
      </c>
      <c r="BA6" s="200">
        <f t="shared" si="7"/>
        <v>1638000</v>
      </c>
      <c r="BB6" s="200">
        <f t="shared" si="8"/>
        <v>1990763.4299999997</v>
      </c>
      <c r="BC6" s="200">
        <f t="shared" si="9"/>
        <v>1791687.0869999998</v>
      </c>
      <c r="BD6" s="201">
        <v>50000</v>
      </c>
      <c r="BE6" s="201"/>
      <c r="BF6" s="200">
        <f>SUM(BC6-BD6-BE6)</f>
        <v>1741687.0869999998</v>
      </c>
      <c r="BG6" s="33"/>
      <c r="BH6" s="16"/>
      <c r="BI6" s="16"/>
    </row>
    <row r="7" spans="1:61" ht="16.5" customHeight="1">
      <c r="A7" s="36">
        <v>6</v>
      </c>
      <c r="B7" s="178">
        <v>46024</v>
      </c>
      <c r="C7" s="180" t="s">
        <v>48</v>
      </c>
      <c r="D7" s="180" t="s">
        <v>79</v>
      </c>
      <c r="E7" s="180" t="s">
        <v>78</v>
      </c>
      <c r="F7" s="180" t="s">
        <v>199</v>
      </c>
      <c r="G7" s="180"/>
      <c r="H7" s="180"/>
      <c r="I7" s="180"/>
      <c r="J7" s="180"/>
      <c r="K7" s="180"/>
      <c r="L7" s="188" t="s">
        <v>35</v>
      </c>
      <c r="M7" s="180" t="s">
        <v>190</v>
      </c>
      <c r="N7" s="180" t="s">
        <v>191</v>
      </c>
      <c r="O7" s="179" t="s">
        <v>193</v>
      </c>
      <c r="P7" s="186" t="s">
        <v>192</v>
      </c>
      <c r="Q7" s="187" t="s">
        <v>328</v>
      </c>
      <c r="R7" s="189">
        <v>12800000</v>
      </c>
      <c r="S7" s="189">
        <v>440000</v>
      </c>
      <c r="T7" s="190">
        <f t="shared" si="0"/>
        <v>13240000</v>
      </c>
      <c r="U7" s="182" t="s">
        <v>77</v>
      </c>
      <c r="V7" s="182" t="s">
        <v>50</v>
      </c>
      <c r="W7" s="183" t="s">
        <v>66</v>
      </c>
      <c r="X7" s="183" t="s">
        <v>80</v>
      </c>
      <c r="Y7" s="237">
        <v>9100</v>
      </c>
      <c r="Z7" s="241">
        <v>1698</v>
      </c>
      <c r="AA7" s="191">
        <v>1430</v>
      </c>
      <c r="AB7" s="192"/>
      <c r="AC7" s="193"/>
      <c r="AD7" s="194"/>
      <c r="AE7" s="195"/>
      <c r="AF7" s="184">
        <f t="shared" si="1"/>
        <v>9100</v>
      </c>
      <c r="AG7" s="193">
        <f t="shared" si="2"/>
        <v>0</v>
      </c>
      <c r="AH7" s="196">
        <f t="shared" si="3"/>
        <v>-9100</v>
      </c>
      <c r="AI7" s="184"/>
      <c r="AJ7" s="184"/>
      <c r="AK7" s="197"/>
      <c r="AL7" s="193"/>
      <c r="AM7" s="198"/>
      <c r="AN7" s="193"/>
      <c r="AO7" s="198"/>
      <c r="AP7" s="193"/>
      <c r="AQ7" s="193"/>
      <c r="AR7" s="193"/>
      <c r="AS7" s="199">
        <v>35000</v>
      </c>
      <c r="AT7" s="199">
        <v>30000</v>
      </c>
      <c r="AU7" s="199"/>
      <c r="AV7" s="199"/>
      <c r="AW7" s="199"/>
      <c r="AX7" s="199">
        <f t="shared" si="4"/>
        <v>65000</v>
      </c>
      <c r="AY7" s="200">
        <f t="shared" si="5"/>
        <v>15386800</v>
      </c>
      <c r="AZ7" s="200">
        <f t="shared" si="6"/>
        <v>2146800</v>
      </c>
      <c r="BA7" s="200">
        <f t="shared" si="7"/>
        <v>1152000</v>
      </c>
      <c r="BB7" s="200">
        <f t="shared" si="8"/>
        <v>1649400</v>
      </c>
      <c r="BC7" s="200">
        <f t="shared" si="9"/>
        <v>1484460</v>
      </c>
      <c r="BD7" s="201">
        <v>50000</v>
      </c>
      <c r="BE7" s="201"/>
      <c r="BF7" s="200">
        <f t="shared" ref="BF7:BF52" si="10">SUM(BC7-BD7-BE7)</f>
        <v>1434460</v>
      </c>
      <c r="BG7" s="33"/>
      <c r="BH7" s="16"/>
      <c r="BI7" s="16"/>
    </row>
    <row r="8" spans="1:61" ht="16.5" customHeight="1">
      <c r="A8" s="36">
        <v>7</v>
      </c>
      <c r="B8" s="178">
        <v>46027</v>
      </c>
      <c r="C8" s="180" t="s">
        <v>74</v>
      </c>
      <c r="D8" s="180" t="s">
        <v>75</v>
      </c>
      <c r="E8" s="180" t="s">
        <v>73</v>
      </c>
      <c r="F8" s="180" t="s">
        <v>200</v>
      </c>
      <c r="G8" s="180"/>
      <c r="H8" s="180"/>
      <c r="I8" s="180"/>
      <c r="J8" s="180"/>
      <c r="K8" s="180"/>
      <c r="L8" s="188" t="s">
        <v>35</v>
      </c>
      <c r="M8" s="180" t="s">
        <v>190</v>
      </c>
      <c r="N8" s="180" t="s">
        <v>191</v>
      </c>
      <c r="O8" s="179" t="s">
        <v>193</v>
      </c>
      <c r="P8" s="186" t="s">
        <v>192</v>
      </c>
      <c r="Q8" s="187" t="s">
        <v>328</v>
      </c>
      <c r="R8" s="189">
        <v>16000000</v>
      </c>
      <c r="S8" s="189">
        <v>440000</v>
      </c>
      <c r="T8" s="190">
        <f t="shared" si="0"/>
        <v>16440000</v>
      </c>
      <c r="U8" s="182" t="s">
        <v>72</v>
      </c>
      <c r="V8" s="182" t="s">
        <v>50</v>
      </c>
      <c r="W8" s="183" t="s">
        <v>66</v>
      </c>
      <c r="X8" s="183" t="s">
        <v>80</v>
      </c>
      <c r="Y8" s="237">
        <v>11242</v>
      </c>
      <c r="Z8" s="241">
        <v>1698</v>
      </c>
      <c r="AA8" s="191">
        <v>1432</v>
      </c>
      <c r="AB8" s="192"/>
      <c r="AC8" s="193"/>
      <c r="AD8" s="194"/>
      <c r="AE8" s="195"/>
      <c r="AF8" s="184">
        <f t="shared" si="1"/>
        <v>11242</v>
      </c>
      <c r="AG8" s="193">
        <f t="shared" si="2"/>
        <v>0</v>
      </c>
      <c r="AH8" s="196">
        <f t="shared" si="3"/>
        <v>-11242</v>
      </c>
      <c r="AI8" s="185"/>
      <c r="AJ8" s="185"/>
      <c r="AK8" s="197"/>
      <c r="AL8" s="193"/>
      <c r="AM8" s="198"/>
      <c r="AN8" s="193"/>
      <c r="AO8" s="198"/>
      <c r="AP8" s="193"/>
      <c r="AQ8" s="193"/>
      <c r="AR8" s="193"/>
      <c r="AS8" s="199">
        <v>35000</v>
      </c>
      <c r="AT8" s="199">
        <v>30000</v>
      </c>
      <c r="AU8" s="199"/>
      <c r="AV8" s="199"/>
      <c r="AW8" s="199"/>
      <c r="AX8" s="199">
        <f t="shared" si="4"/>
        <v>65000</v>
      </c>
      <c r="AY8" s="200">
        <f t="shared" si="5"/>
        <v>19023916</v>
      </c>
      <c r="AZ8" s="200">
        <f t="shared" si="6"/>
        <v>2583916</v>
      </c>
      <c r="BA8" s="200">
        <f t="shared" si="7"/>
        <v>1440000</v>
      </c>
      <c r="BB8" s="200">
        <f t="shared" si="8"/>
        <v>2011958</v>
      </c>
      <c r="BC8" s="200">
        <f t="shared" si="9"/>
        <v>1810762.2</v>
      </c>
      <c r="BD8" s="201">
        <v>50000</v>
      </c>
      <c r="BE8" s="201"/>
      <c r="BF8" s="200">
        <f t="shared" si="10"/>
        <v>1760762.2</v>
      </c>
      <c r="BG8" s="33"/>
      <c r="BH8" s="16"/>
      <c r="BI8" s="16"/>
    </row>
    <row r="9" spans="1:61" ht="16.5" customHeight="1">
      <c r="A9" s="36">
        <v>8</v>
      </c>
      <c r="B9" s="178">
        <v>46028</v>
      </c>
      <c r="C9" s="180" t="s">
        <v>70</v>
      </c>
      <c r="D9" s="180" t="s">
        <v>71</v>
      </c>
      <c r="E9" s="180" t="s">
        <v>69</v>
      </c>
      <c r="F9" s="180" t="s">
        <v>201</v>
      </c>
      <c r="G9" s="180"/>
      <c r="H9" s="180"/>
      <c r="I9" s="180"/>
      <c r="J9" s="180"/>
      <c r="K9" s="180"/>
      <c r="L9" s="188" t="s">
        <v>35</v>
      </c>
      <c r="M9" s="180" t="s">
        <v>190</v>
      </c>
      <c r="N9" s="180" t="s">
        <v>191</v>
      </c>
      <c r="O9" s="179" t="s">
        <v>193</v>
      </c>
      <c r="P9" s="186" t="s">
        <v>192</v>
      </c>
      <c r="Q9" s="187" t="s">
        <v>328</v>
      </c>
      <c r="R9" s="189">
        <v>16200000</v>
      </c>
      <c r="S9" s="189">
        <v>0</v>
      </c>
      <c r="T9" s="190">
        <f t="shared" si="0"/>
        <v>16200000</v>
      </c>
      <c r="U9" s="183" t="s">
        <v>68</v>
      </c>
      <c r="V9" s="182" t="s">
        <v>50</v>
      </c>
      <c r="W9" s="183" t="s">
        <v>66</v>
      </c>
      <c r="X9" s="183" t="s">
        <v>80</v>
      </c>
      <c r="Y9" s="237">
        <v>10877</v>
      </c>
      <c r="Z9" s="241">
        <v>1698</v>
      </c>
      <c r="AA9" s="191">
        <v>1460</v>
      </c>
      <c r="AB9" s="192"/>
      <c r="AC9" s="193"/>
      <c r="AD9" s="194"/>
      <c r="AE9" s="195"/>
      <c r="AF9" s="184">
        <f t="shared" si="1"/>
        <v>10877</v>
      </c>
      <c r="AG9" s="193">
        <f t="shared" si="2"/>
        <v>0</v>
      </c>
      <c r="AH9" s="196">
        <f t="shared" si="3"/>
        <v>-10877</v>
      </c>
      <c r="AI9" s="184"/>
      <c r="AJ9" s="184" t="s">
        <v>67</v>
      </c>
      <c r="AK9" s="197"/>
      <c r="AL9" s="193"/>
      <c r="AM9" s="198"/>
      <c r="AN9" s="193"/>
      <c r="AO9" s="198"/>
      <c r="AP9" s="193"/>
      <c r="AQ9" s="193"/>
      <c r="AR9" s="193"/>
      <c r="AS9" s="199">
        <v>35000</v>
      </c>
      <c r="AT9" s="199">
        <v>30000</v>
      </c>
      <c r="AU9" s="199"/>
      <c r="AV9" s="199"/>
      <c r="AW9" s="199"/>
      <c r="AX9" s="199">
        <f t="shared" si="4"/>
        <v>65000</v>
      </c>
      <c r="AY9" s="200">
        <f t="shared" si="5"/>
        <v>18404146</v>
      </c>
      <c r="AZ9" s="200">
        <f t="shared" si="6"/>
        <v>2204146</v>
      </c>
      <c r="BA9" s="200">
        <f t="shared" si="7"/>
        <v>1458000</v>
      </c>
      <c r="BB9" s="200">
        <f t="shared" si="8"/>
        <v>1831073</v>
      </c>
      <c r="BC9" s="200">
        <f t="shared" si="9"/>
        <v>1647965.7</v>
      </c>
      <c r="BD9" s="201">
        <v>50000</v>
      </c>
      <c r="BE9" s="201"/>
      <c r="BF9" s="200">
        <f t="shared" si="10"/>
        <v>1597965.7</v>
      </c>
      <c r="BG9" s="33"/>
      <c r="BH9" s="16"/>
      <c r="BI9" s="16"/>
    </row>
    <row r="10" spans="1:61" ht="16.5" customHeight="1">
      <c r="A10" s="36">
        <v>9</v>
      </c>
      <c r="B10" s="178">
        <v>46034</v>
      </c>
      <c r="C10" s="180" t="s">
        <v>63</v>
      </c>
      <c r="D10" s="180" t="s">
        <v>64</v>
      </c>
      <c r="E10" s="180" t="s">
        <v>62</v>
      </c>
      <c r="F10" s="180" t="s">
        <v>202</v>
      </c>
      <c r="G10" s="180"/>
      <c r="H10" s="180"/>
      <c r="I10" s="180"/>
      <c r="J10" s="180"/>
      <c r="K10" s="180"/>
      <c r="L10" s="180" t="s">
        <v>65</v>
      </c>
      <c r="M10" s="180" t="s">
        <v>190</v>
      </c>
      <c r="N10" s="180" t="s">
        <v>191</v>
      </c>
      <c r="O10" s="179" t="s">
        <v>193</v>
      </c>
      <c r="P10" s="186" t="s">
        <v>192</v>
      </c>
      <c r="Q10" s="187" t="s">
        <v>328</v>
      </c>
      <c r="R10" s="189">
        <v>16200000</v>
      </c>
      <c r="S10" s="189">
        <v>0</v>
      </c>
      <c r="T10" s="190">
        <f t="shared" si="0"/>
        <v>16200000</v>
      </c>
      <c r="U10" s="182" t="s">
        <v>61</v>
      </c>
      <c r="V10" s="182" t="s">
        <v>50</v>
      </c>
      <c r="W10" s="183" t="s">
        <v>36</v>
      </c>
      <c r="X10" s="183" t="s">
        <v>80</v>
      </c>
      <c r="Y10" s="237">
        <v>10909</v>
      </c>
      <c r="Z10" s="241">
        <v>1698</v>
      </c>
      <c r="AA10" s="191">
        <v>1445</v>
      </c>
      <c r="AB10" s="192"/>
      <c r="AC10" s="193"/>
      <c r="AD10" s="194"/>
      <c r="AE10" s="195"/>
      <c r="AF10" s="184">
        <f t="shared" si="1"/>
        <v>10909</v>
      </c>
      <c r="AG10" s="193">
        <f t="shared" si="2"/>
        <v>0</v>
      </c>
      <c r="AH10" s="196">
        <f t="shared" si="3"/>
        <v>-10909</v>
      </c>
      <c r="AI10" s="184"/>
      <c r="AJ10" s="184"/>
      <c r="AK10" s="197"/>
      <c r="AL10" s="193"/>
      <c r="AM10" s="198"/>
      <c r="AN10" s="193"/>
      <c r="AO10" s="198"/>
      <c r="AP10" s="193"/>
      <c r="AQ10" s="193"/>
      <c r="AR10" s="193"/>
      <c r="AS10" s="199">
        <v>35000</v>
      </c>
      <c r="AT10" s="199">
        <v>30000</v>
      </c>
      <c r="AU10" s="199"/>
      <c r="AV10" s="199"/>
      <c r="AW10" s="199"/>
      <c r="AX10" s="199">
        <f t="shared" si="4"/>
        <v>65000</v>
      </c>
      <c r="AY10" s="200">
        <f t="shared" si="5"/>
        <v>18458482</v>
      </c>
      <c r="AZ10" s="200">
        <f t="shared" si="6"/>
        <v>2258482</v>
      </c>
      <c r="BA10" s="200">
        <f t="shared" si="7"/>
        <v>1458000</v>
      </c>
      <c r="BB10" s="200">
        <f t="shared" si="8"/>
        <v>1858241</v>
      </c>
      <c r="BC10" s="200">
        <f t="shared" si="9"/>
        <v>1672416.9</v>
      </c>
      <c r="BD10" s="201">
        <v>50000</v>
      </c>
      <c r="BE10" s="201"/>
      <c r="BF10" s="200">
        <f t="shared" si="10"/>
        <v>1622416.9</v>
      </c>
      <c r="BG10" s="33"/>
      <c r="BH10" s="16"/>
      <c r="BI10" s="16"/>
    </row>
    <row r="11" spans="1:61" ht="16.5" customHeight="1">
      <c r="A11" s="36">
        <v>10</v>
      </c>
      <c r="B11" s="178">
        <v>46035</v>
      </c>
      <c r="C11" s="180" t="s">
        <v>59</v>
      </c>
      <c r="D11" s="180" t="s">
        <v>60</v>
      </c>
      <c r="E11" s="180" t="s">
        <v>58</v>
      </c>
      <c r="F11" s="180" t="s">
        <v>203</v>
      </c>
      <c r="G11" s="180"/>
      <c r="H11" s="180"/>
      <c r="I11" s="180"/>
      <c r="J11" s="180"/>
      <c r="K11" s="180"/>
      <c r="L11" s="188" t="s">
        <v>35</v>
      </c>
      <c r="M11" s="180" t="s">
        <v>190</v>
      </c>
      <c r="N11" s="180" t="s">
        <v>191</v>
      </c>
      <c r="O11" s="179" t="s">
        <v>193</v>
      </c>
      <c r="P11" s="186" t="s">
        <v>192</v>
      </c>
      <c r="Q11" s="187" t="s">
        <v>328</v>
      </c>
      <c r="R11" s="189">
        <v>22800000</v>
      </c>
      <c r="S11" s="189">
        <v>1000000</v>
      </c>
      <c r="T11" s="190">
        <f t="shared" si="0"/>
        <v>23800000</v>
      </c>
      <c r="U11" s="183" t="s">
        <v>57</v>
      </c>
      <c r="V11" s="182" t="s">
        <v>50</v>
      </c>
      <c r="W11" s="183" t="s">
        <v>36</v>
      </c>
      <c r="X11" s="183" t="s">
        <v>80</v>
      </c>
      <c r="Y11" s="237">
        <v>15113</v>
      </c>
      <c r="Z11" s="241">
        <v>1698</v>
      </c>
      <c r="AA11" s="191">
        <v>1465</v>
      </c>
      <c r="AB11" s="192"/>
      <c r="AC11" s="193"/>
      <c r="AD11" s="194"/>
      <c r="AE11" s="195"/>
      <c r="AF11" s="184">
        <f t="shared" si="1"/>
        <v>15113</v>
      </c>
      <c r="AG11" s="193">
        <f t="shared" si="2"/>
        <v>0</v>
      </c>
      <c r="AH11" s="196">
        <f t="shared" si="3"/>
        <v>-15113</v>
      </c>
      <c r="AI11" s="184"/>
      <c r="AJ11" s="184"/>
      <c r="AK11" s="197"/>
      <c r="AL11" s="193"/>
      <c r="AM11" s="198"/>
      <c r="AN11" s="193"/>
      <c r="AO11" s="198"/>
      <c r="AP11" s="193"/>
      <c r="AQ11" s="193"/>
      <c r="AR11" s="193"/>
      <c r="AS11" s="199">
        <v>35000</v>
      </c>
      <c r="AT11" s="199">
        <v>30000</v>
      </c>
      <c r="AU11" s="199"/>
      <c r="AV11" s="199"/>
      <c r="AW11" s="199"/>
      <c r="AX11" s="199">
        <f t="shared" si="4"/>
        <v>65000</v>
      </c>
      <c r="AY11" s="200">
        <f t="shared" si="5"/>
        <v>25596874</v>
      </c>
      <c r="AZ11" s="200">
        <f t="shared" si="6"/>
        <v>1796874</v>
      </c>
      <c r="BA11" s="200">
        <f t="shared" si="7"/>
        <v>2052000</v>
      </c>
      <c r="BB11" s="200">
        <f t="shared" si="8"/>
        <v>1924437</v>
      </c>
      <c r="BC11" s="200">
        <f t="shared" si="9"/>
        <v>1731993.3</v>
      </c>
      <c r="BD11" s="201">
        <v>50000</v>
      </c>
      <c r="BE11" s="201"/>
      <c r="BF11" s="200">
        <f t="shared" si="10"/>
        <v>1681993.3</v>
      </c>
      <c r="BG11" s="33"/>
      <c r="BH11" s="16"/>
      <c r="BI11" s="16"/>
    </row>
    <row r="12" spans="1:61" ht="16.5" customHeight="1">
      <c r="A12" s="36">
        <v>11</v>
      </c>
      <c r="B12" s="178">
        <v>46039</v>
      </c>
      <c r="C12" s="180" t="s">
        <v>55</v>
      </c>
      <c r="D12" s="180" t="s">
        <v>56</v>
      </c>
      <c r="E12" s="180" t="s">
        <v>54</v>
      </c>
      <c r="F12" s="180" t="s">
        <v>204</v>
      </c>
      <c r="G12" s="180"/>
      <c r="H12" s="180"/>
      <c r="I12" s="180"/>
      <c r="J12" s="180"/>
      <c r="K12" s="180"/>
      <c r="L12" s="188" t="s">
        <v>35</v>
      </c>
      <c r="M12" s="180" t="s">
        <v>190</v>
      </c>
      <c r="N12" s="180" t="s">
        <v>191</v>
      </c>
      <c r="O12" s="179" t="s">
        <v>193</v>
      </c>
      <c r="P12" s="186" t="s">
        <v>192</v>
      </c>
      <c r="Q12" s="187" t="s">
        <v>328</v>
      </c>
      <c r="R12" s="189">
        <v>36200000</v>
      </c>
      <c r="S12" s="189">
        <v>0</v>
      </c>
      <c r="T12" s="190">
        <f t="shared" si="0"/>
        <v>36200000</v>
      </c>
      <c r="U12" s="183" t="s">
        <v>53</v>
      </c>
      <c r="V12" s="182" t="s">
        <v>50</v>
      </c>
      <c r="W12" s="183" t="s">
        <v>36</v>
      </c>
      <c r="X12" s="183" t="s">
        <v>80</v>
      </c>
      <c r="Y12" s="237">
        <v>24043</v>
      </c>
      <c r="Z12" s="241">
        <v>1698</v>
      </c>
      <c r="AA12" s="191">
        <v>1459</v>
      </c>
      <c r="AB12" s="192"/>
      <c r="AC12" s="193"/>
      <c r="AD12" s="194"/>
      <c r="AE12" s="195"/>
      <c r="AF12" s="184">
        <f t="shared" si="1"/>
        <v>24043</v>
      </c>
      <c r="AG12" s="193">
        <f t="shared" si="2"/>
        <v>0</v>
      </c>
      <c r="AH12" s="196">
        <f t="shared" si="3"/>
        <v>-24043</v>
      </c>
      <c r="AI12" s="184"/>
      <c r="AJ12" s="184"/>
      <c r="AK12" s="197"/>
      <c r="AL12" s="193"/>
      <c r="AM12" s="198"/>
      <c r="AN12" s="193"/>
      <c r="AO12" s="198"/>
      <c r="AP12" s="193"/>
      <c r="AQ12" s="193"/>
      <c r="AR12" s="193"/>
      <c r="AS12" s="199">
        <v>35000</v>
      </c>
      <c r="AT12" s="199">
        <v>30000</v>
      </c>
      <c r="AU12" s="199"/>
      <c r="AV12" s="199"/>
      <c r="AW12" s="199"/>
      <c r="AX12" s="199">
        <f t="shared" si="4"/>
        <v>65000</v>
      </c>
      <c r="AY12" s="200">
        <f t="shared" si="5"/>
        <v>40760014</v>
      </c>
      <c r="AZ12" s="200">
        <f t="shared" si="6"/>
        <v>4560014</v>
      </c>
      <c r="BA12" s="200">
        <f t="shared" si="7"/>
        <v>3258000</v>
      </c>
      <c r="BB12" s="200">
        <f t="shared" si="8"/>
        <v>3909007</v>
      </c>
      <c r="BC12" s="200">
        <f t="shared" si="9"/>
        <v>3518106.3</v>
      </c>
      <c r="BD12" s="201">
        <v>50000</v>
      </c>
      <c r="BE12" s="201"/>
      <c r="BF12" s="200">
        <f t="shared" si="10"/>
        <v>3468106.3</v>
      </c>
      <c r="BG12" s="33"/>
      <c r="BH12" s="16"/>
      <c r="BI12" s="16"/>
    </row>
    <row r="13" spans="1:61" s="103" customFormat="1" ht="16.5" customHeight="1">
      <c r="A13" s="36">
        <v>12</v>
      </c>
      <c r="B13" s="178">
        <v>46072</v>
      </c>
      <c r="C13" s="180" t="s">
        <v>547</v>
      </c>
      <c r="D13" s="228" t="s">
        <v>49</v>
      </c>
      <c r="E13" s="180" t="s">
        <v>47</v>
      </c>
      <c r="F13" s="180" t="s">
        <v>205</v>
      </c>
      <c r="G13" s="33" t="s">
        <v>332</v>
      </c>
      <c r="H13" s="33" t="s">
        <v>333</v>
      </c>
      <c r="I13" s="180" t="s">
        <v>545</v>
      </c>
      <c r="J13" s="180" t="s">
        <v>542</v>
      </c>
      <c r="K13" s="180"/>
      <c r="L13" s="188" t="s">
        <v>35</v>
      </c>
      <c r="M13" s="180" t="s">
        <v>190</v>
      </c>
      <c r="N13" s="180" t="s">
        <v>191</v>
      </c>
      <c r="O13" s="179" t="s">
        <v>193</v>
      </c>
      <c r="P13" s="186" t="s">
        <v>192</v>
      </c>
      <c r="Q13" s="187" t="s">
        <v>328</v>
      </c>
      <c r="R13" s="189">
        <v>12500000</v>
      </c>
      <c r="S13" s="189">
        <v>0</v>
      </c>
      <c r="T13" s="190">
        <f t="shared" si="0"/>
        <v>12500000</v>
      </c>
      <c r="U13" s="183">
        <v>7135</v>
      </c>
      <c r="V13" s="182" t="s">
        <v>50</v>
      </c>
      <c r="W13" s="183" t="s">
        <v>36</v>
      </c>
      <c r="X13" s="183"/>
      <c r="Y13" s="237">
        <v>8442</v>
      </c>
      <c r="Z13" s="241">
        <v>1698</v>
      </c>
      <c r="AA13" s="191">
        <v>1436</v>
      </c>
      <c r="AB13" s="192"/>
      <c r="AC13" s="193"/>
      <c r="AD13" s="194"/>
      <c r="AE13" s="195"/>
      <c r="AF13" s="184">
        <f t="shared" si="1"/>
        <v>8442</v>
      </c>
      <c r="AG13" s="193">
        <f t="shared" si="2"/>
        <v>0</v>
      </c>
      <c r="AH13" s="196">
        <f t="shared" si="3"/>
        <v>-8442</v>
      </c>
      <c r="AI13" s="184"/>
      <c r="AJ13" s="184"/>
      <c r="AK13" s="197"/>
      <c r="AL13" s="193"/>
      <c r="AM13" s="198"/>
      <c r="AN13" s="193"/>
      <c r="AO13" s="198"/>
      <c r="AP13" s="193"/>
      <c r="AQ13" s="193"/>
      <c r="AR13" s="193"/>
      <c r="AS13" s="199">
        <v>35000</v>
      </c>
      <c r="AT13" s="199">
        <v>30000</v>
      </c>
      <c r="AU13" s="199"/>
      <c r="AV13" s="199"/>
      <c r="AW13" s="199"/>
      <c r="AX13" s="199">
        <f t="shared" si="4"/>
        <v>65000</v>
      </c>
      <c r="AY13" s="200">
        <f t="shared" si="5"/>
        <v>14269516</v>
      </c>
      <c r="AZ13" s="200">
        <f t="shared" si="6"/>
        <v>1769516</v>
      </c>
      <c r="BA13" s="200">
        <f t="shared" si="7"/>
        <v>1125000</v>
      </c>
      <c r="BB13" s="200">
        <f t="shared" si="8"/>
        <v>1447258</v>
      </c>
      <c r="BC13" s="200">
        <f t="shared" si="9"/>
        <v>1302532.2</v>
      </c>
      <c r="BD13" s="201">
        <v>50000</v>
      </c>
      <c r="BE13" s="201"/>
      <c r="BF13" s="200">
        <f t="shared" si="10"/>
        <v>1252532.2</v>
      </c>
      <c r="BG13" s="33"/>
      <c r="BH13" s="104"/>
      <c r="BI13" s="104"/>
    </row>
    <row r="14" spans="1:61" s="6" customFormat="1" ht="16.899999999999999">
      <c r="A14" s="36">
        <v>13</v>
      </c>
      <c r="B14" s="178">
        <v>46072</v>
      </c>
      <c r="C14" s="180" t="s">
        <v>40</v>
      </c>
      <c r="D14" s="180" t="s">
        <v>41</v>
      </c>
      <c r="E14" s="180" t="s">
        <v>39</v>
      </c>
      <c r="F14" s="180" t="s">
        <v>206</v>
      </c>
      <c r="G14" s="180"/>
      <c r="H14" s="180"/>
      <c r="I14" s="180"/>
      <c r="J14" s="180"/>
      <c r="K14" s="180"/>
      <c r="L14" s="180" t="s">
        <v>42</v>
      </c>
      <c r="M14" s="180" t="s">
        <v>290</v>
      </c>
      <c r="N14" s="180">
        <v>34101913</v>
      </c>
      <c r="O14" s="179" t="s">
        <v>289</v>
      </c>
      <c r="P14" s="180" t="s">
        <v>291</v>
      </c>
      <c r="Q14" s="180"/>
      <c r="R14" s="189">
        <v>46000000</v>
      </c>
      <c r="S14" s="189">
        <v>440000</v>
      </c>
      <c r="T14" s="190">
        <f t="shared" si="0"/>
        <v>46440000</v>
      </c>
      <c r="U14" s="183" t="s">
        <v>37</v>
      </c>
      <c r="V14" s="182" t="s">
        <v>50</v>
      </c>
      <c r="W14" s="183" t="s">
        <v>36</v>
      </c>
      <c r="X14" s="183" t="s">
        <v>80</v>
      </c>
      <c r="Y14" s="237">
        <v>32470</v>
      </c>
      <c r="Z14" s="241">
        <v>1698</v>
      </c>
      <c r="AA14" s="191">
        <v>1436</v>
      </c>
      <c r="AB14" s="192"/>
      <c r="AC14" s="193"/>
      <c r="AD14" s="194"/>
      <c r="AE14" s="195"/>
      <c r="AF14" s="184">
        <f t="shared" si="1"/>
        <v>32470</v>
      </c>
      <c r="AG14" s="193">
        <f t="shared" si="2"/>
        <v>0</v>
      </c>
      <c r="AH14" s="196">
        <f t="shared" si="3"/>
        <v>-32470</v>
      </c>
      <c r="AI14" s="184"/>
      <c r="AJ14" s="184"/>
      <c r="AK14" s="197"/>
      <c r="AL14" s="193"/>
      <c r="AM14" s="198"/>
      <c r="AN14" s="193"/>
      <c r="AO14" s="198"/>
      <c r="AP14" s="193"/>
      <c r="AQ14" s="193"/>
      <c r="AR14" s="193"/>
      <c r="AS14" s="199">
        <v>35000</v>
      </c>
      <c r="AT14" s="199">
        <v>30000</v>
      </c>
      <c r="AU14" s="199"/>
      <c r="AV14" s="199"/>
      <c r="AW14" s="199"/>
      <c r="AX14" s="199">
        <f t="shared" si="4"/>
        <v>65000</v>
      </c>
      <c r="AY14" s="200">
        <f t="shared" si="5"/>
        <v>55069060</v>
      </c>
      <c r="AZ14" s="200">
        <f t="shared" si="6"/>
        <v>8629060</v>
      </c>
      <c r="BA14" s="200">
        <f t="shared" si="7"/>
        <v>4140000</v>
      </c>
      <c r="BB14" s="200">
        <f t="shared" si="8"/>
        <v>6384530</v>
      </c>
      <c r="BC14" s="200">
        <f t="shared" si="9"/>
        <v>5746077</v>
      </c>
      <c r="BD14" s="201">
        <v>50000</v>
      </c>
      <c r="BE14" s="201"/>
      <c r="BF14" s="200">
        <f t="shared" si="10"/>
        <v>5696077</v>
      </c>
      <c r="BG14" s="33"/>
      <c r="BH14" s="15"/>
      <c r="BI14" s="15"/>
    </row>
    <row r="15" spans="1:61" s="6" customFormat="1" ht="16.5" customHeight="1">
      <c r="A15" s="36">
        <v>14</v>
      </c>
      <c r="B15" s="178">
        <v>46072</v>
      </c>
      <c r="C15" s="180" t="s">
        <v>33</v>
      </c>
      <c r="D15" s="180" t="s">
        <v>34</v>
      </c>
      <c r="E15" s="180" t="s">
        <v>32</v>
      </c>
      <c r="F15" s="180" t="s">
        <v>266</v>
      </c>
      <c r="G15" s="180"/>
      <c r="H15" s="180"/>
      <c r="I15" s="180"/>
      <c r="J15" s="180"/>
      <c r="K15" s="180"/>
      <c r="L15" s="188" t="s">
        <v>35</v>
      </c>
      <c r="M15" s="180" t="s">
        <v>190</v>
      </c>
      <c r="N15" s="180" t="s">
        <v>191</v>
      </c>
      <c r="O15" s="179" t="s">
        <v>193</v>
      </c>
      <c r="P15" s="186" t="s">
        <v>192</v>
      </c>
      <c r="Q15" s="187" t="s">
        <v>328</v>
      </c>
      <c r="R15" s="189">
        <v>35500000</v>
      </c>
      <c r="S15" s="189">
        <v>550000</v>
      </c>
      <c r="T15" s="190">
        <f t="shared" si="0"/>
        <v>36050000</v>
      </c>
      <c r="U15" s="183" t="s">
        <v>157</v>
      </c>
      <c r="V15" s="182" t="s">
        <v>50</v>
      </c>
      <c r="W15" s="183" t="s">
        <v>36</v>
      </c>
      <c r="X15" s="183" t="s">
        <v>80</v>
      </c>
      <c r="Y15" s="237">
        <v>25200</v>
      </c>
      <c r="Z15" s="241">
        <v>1698</v>
      </c>
      <c r="AA15" s="191">
        <v>1409</v>
      </c>
      <c r="AB15" s="192"/>
      <c r="AC15" s="193"/>
      <c r="AD15" s="194"/>
      <c r="AE15" s="195"/>
      <c r="AF15" s="184">
        <f t="shared" si="1"/>
        <v>25200</v>
      </c>
      <c r="AG15" s="193">
        <f t="shared" si="2"/>
        <v>0</v>
      </c>
      <c r="AH15" s="196">
        <f t="shared" si="3"/>
        <v>-25200</v>
      </c>
      <c r="AI15" s="184"/>
      <c r="AJ15" s="184"/>
      <c r="AK15" s="197"/>
      <c r="AL15" s="193"/>
      <c r="AM15" s="198"/>
      <c r="AN15" s="193"/>
      <c r="AO15" s="198"/>
      <c r="AP15" s="193"/>
      <c r="AQ15" s="193"/>
      <c r="AR15" s="193"/>
      <c r="AS15" s="199">
        <v>35000</v>
      </c>
      <c r="AT15" s="199">
        <v>30000</v>
      </c>
      <c r="AU15" s="199"/>
      <c r="AV15" s="199"/>
      <c r="AW15" s="199"/>
      <c r="AX15" s="199">
        <f t="shared" si="4"/>
        <v>65000</v>
      </c>
      <c r="AY15" s="200">
        <f t="shared" si="5"/>
        <v>42724600</v>
      </c>
      <c r="AZ15" s="200">
        <f t="shared" si="6"/>
        <v>6674600</v>
      </c>
      <c r="BA15" s="200">
        <f t="shared" si="7"/>
        <v>3195000</v>
      </c>
      <c r="BB15" s="200">
        <f t="shared" si="8"/>
        <v>4934800</v>
      </c>
      <c r="BC15" s="200">
        <f t="shared" si="9"/>
        <v>4441320</v>
      </c>
      <c r="BD15" s="201">
        <v>50000</v>
      </c>
      <c r="BE15" s="201"/>
      <c r="BF15" s="200">
        <f t="shared" si="10"/>
        <v>4391320</v>
      </c>
      <c r="BG15" s="33"/>
      <c r="BH15" s="15"/>
      <c r="BI15" s="15"/>
    </row>
    <row r="16" spans="1:61" s="103" customFormat="1" ht="16.5" customHeight="1">
      <c r="A16" s="36">
        <v>15</v>
      </c>
      <c r="B16" s="178">
        <v>46073</v>
      </c>
      <c r="C16" s="180" t="s">
        <v>548</v>
      </c>
      <c r="D16" s="228" t="s">
        <v>264</v>
      </c>
      <c r="E16" s="180" t="s">
        <v>263</v>
      </c>
      <c r="F16" s="180" t="s">
        <v>297</v>
      </c>
      <c r="G16" s="180" t="s">
        <v>543</v>
      </c>
      <c r="H16" s="33" t="s">
        <v>333</v>
      </c>
      <c r="I16" s="180" t="s">
        <v>545</v>
      </c>
      <c r="J16" s="180" t="s">
        <v>544</v>
      </c>
      <c r="K16" s="183" t="s">
        <v>265</v>
      </c>
      <c r="L16" s="188" t="s">
        <v>35</v>
      </c>
      <c r="M16" s="180" t="s">
        <v>190</v>
      </c>
      <c r="N16" s="180" t="s">
        <v>191</v>
      </c>
      <c r="O16" s="179" t="s">
        <v>193</v>
      </c>
      <c r="P16" s="186" t="s">
        <v>192</v>
      </c>
      <c r="Q16" s="187" t="s">
        <v>328</v>
      </c>
      <c r="R16" s="189">
        <v>18600000</v>
      </c>
      <c r="S16" s="189">
        <v>440000</v>
      </c>
      <c r="T16" s="190">
        <f t="shared" si="0"/>
        <v>19040000</v>
      </c>
      <c r="U16" s="183">
        <v>11177</v>
      </c>
      <c r="V16" s="182" t="s">
        <v>50</v>
      </c>
      <c r="W16" s="183" t="s">
        <v>36</v>
      </c>
      <c r="X16" s="183"/>
      <c r="Y16" s="237">
        <v>13260</v>
      </c>
      <c r="Z16" s="241">
        <v>1698</v>
      </c>
      <c r="AA16" s="191">
        <v>1432</v>
      </c>
      <c r="AB16" s="192"/>
      <c r="AC16" s="193"/>
      <c r="AD16" s="194"/>
      <c r="AE16" s="195"/>
      <c r="AF16" s="184">
        <f t="shared" si="1"/>
        <v>13260</v>
      </c>
      <c r="AG16" s="193">
        <f t="shared" si="2"/>
        <v>0</v>
      </c>
      <c r="AH16" s="196">
        <f t="shared" si="3"/>
        <v>-13260</v>
      </c>
      <c r="AI16" s="184"/>
      <c r="AJ16" s="184"/>
      <c r="AK16" s="197"/>
      <c r="AL16" s="193"/>
      <c r="AM16" s="198"/>
      <c r="AN16" s="193"/>
      <c r="AO16" s="198"/>
      <c r="AP16" s="193"/>
      <c r="AQ16" s="193"/>
      <c r="AR16" s="193"/>
      <c r="AS16" s="199">
        <v>35000</v>
      </c>
      <c r="AT16" s="199">
        <v>30000</v>
      </c>
      <c r="AU16" s="199"/>
      <c r="AV16" s="199"/>
      <c r="AW16" s="199"/>
      <c r="AX16" s="199">
        <f t="shared" si="4"/>
        <v>65000</v>
      </c>
      <c r="AY16" s="200">
        <f t="shared" si="5"/>
        <v>22450480</v>
      </c>
      <c r="AZ16" s="200">
        <f t="shared" si="6"/>
        <v>3410480</v>
      </c>
      <c r="BA16" s="200">
        <f t="shared" si="7"/>
        <v>1674000</v>
      </c>
      <c r="BB16" s="200">
        <f t="shared" si="8"/>
        <v>2542240</v>
      </c>
      <c r="BC16" s="200">
        <f t="shared" si="9"/>
        <v>2288016</v>
      </c>
      <c r="BD16" s="201">
        <v>50000</v>
      </c>
      <c r="BE16" s="201"/>
      <c r="BF16" s="200">
        <f t="shared" si="10"/>
        <v>2238016</v>
      </c>
      <c r="BG16" s="33"/>
      <c r="BH16" s="104"/>
      <c r="BI16" s="104"/>
    </row>
    <row r="17" spans="1:61" s="6" customFormat="1" ht="16.5" customHeight="1">
      <c r="A17" s="36">
        <v>16</v>
      </c>
      <c r="B17" s="178">
        <v>46077</v>
      </c>
      <c r="C17" s="180" t="s">
        <v>294</v>
      </c>
      <c r="D17" s="180" t="s">
        <v>293</v>
      </c>
      <c r="E17" s="180" t="s">
        <v>295</v>
      </c>
      <c r="F17" s="180" t="s">
        <v>296</v>
      </c>
      <c r="G17" s="180"/>
      <c r="H17" s="180"/>
      <c r="I17" s="180"/>
      <c r="J17" s="180"/>
      <c r="K17" s="180"/>
      <c r="L17" s="188" t="s">
        <v>35</v>
      </c>
      <c r="M17" s="180" t="s">
        <v>190</v>
      </c>
      <c r="N17" s="180" t="s">
        <v>191</v>
      </c>
      <c r="O17" s="179" t="s">
        <v>193</v>
      </c>
      <c r="P17" s="186" t="s">
        <v>192</v>
      </c>
      <c r="Q17" s="187" t="s">
        <v>328</v>
      </c>
      <c r="R17" s="189">
        <v>121000000</v>
      </c>
      <c r="S17" s="189">
        <v>0</v>
      </c>
      <c r="T17" s="190">
        <f>R17+S17</f>
        <v>121000000</v>
      </c>
      <c r="U17" s="183"/>
      <c r="V17" s="182" t="s">
        <v>50</v>
      </c>
      <c r="W17" s="183" t="s">
        <v>36</v>
      </c>
      <c r="X17" s="183"/>
      <c r="Y17" s="237">
        <v>67648</v>
      </c>
      <c r="Z17" s="241">
        <v>1698</v>
      </c>
      <c r="AA17" s="191">
        <v>1443</v>
      </c>
      <c r="AB17" s="192"/>
      <c r="AC17" s="193"/>
      <c r="AD17" s="194"/>
      <c r="AE17" s="195"/>
      <c r="AF17" s="184">
        <f t="shared" si="1"/>
        <v>67648</v>
      </c>
      <c r="AG17" s="193">
        <f>SUM(AL17+AN17+AP17+AQ17-AR17)</f>
        <v>0</v>
      </c>
      <c r="AH17" s="196">
        <f>SUM(AG17-AF17)</f>
        <v>-67648</v>
      </c>
      <c r="AI17" s="184"/>
      <c r="AJ17" s="184"/>
      <c r="AK17" s="197"/>
      <c r="AL17" s="193"/>
      <c r="AM17" s="198"/>
      <c r="AN17" s="193"/>
      <c r="AO17" s="198"/>
      <c r="AP17" s="193"/>
      <c r="AQ17" s="193"/>
      <c r="AR17" s="193"/>
      <c r="AS17" s="199">
        <v>35000</v>
      </c>
      <c r="AT17" s="199">
        <v>30000</v>
      </c>
      <c r="AU17" s="199"/>
      <c r="AV17" s="199"/>
      <c r="AW17" s="199"/>
      <c r="AX17" s="199">
        <f>SUM(AS17:AW17)</f>
        <v>65000</v>
      </c>
      <c r="AY17" s="200">
        <f t="shared" si="5"/>
        <v>114801304</v>
      </c>
      <c r="AZ17" s="200">
        <f t="shared" si="6"/>
        <v>-6198696</v>
      </c>
      <c r="BA17" s="200">
        <f t="shared" si="7"/>
        <v>10890000</v>
      </c>
      <c r="BB17" s="200">
        <f>SUM(AZ17:BA17)/2</f>
        <v>2345652</v>
      </c>
      <c r="BC17" s="200">
        <f>BB17-(BB17*10%)</f>
        <v>2111086.7999999998</v>
      </c>
      <c r="BD17" s="201">
        <v>50000</v>
      </c>
      <c r="BE17" s="201"/>
      <c r="BF17" s="200">
        <f>SUM(BC17-BD17-BE17)</f>
        <v>2061086.7999999998</v>
      </c>
      <c r="BG17" s="33"/>
      <c r="BH17" s="15"/>
      <c r="BI17" s="15"/>
    </row>
    <row r="18" spans="1:61" s="6" customFormat="1" ht="16.899999999999999">
      <c r="A18" s="36">
        <v>17</v>
      </c>
      <c r="B18" s="35">
        <v>46084</v>
      </c>
      <c r="C18" s="33" t="s">
        <v>287</v>
      </c>
      <c r="D18" s="33" t="s">
        <v>286</v>
      </c>
      <c r="E18" s="33" t="s">
        <v>288</v>
      </c>
      <c r="F18" s="33" t="s">
        <v>292</v>
      </c>
      <c r="G18" s="33"/>
      <c r="H18" s="33"/>
      <c r="I18" s="180" t="s">
        <v>545</v>
      </c>
      <c r="J18" s="33"/>
      <c r="K18" s="33"/>
      <c r="L18" s="33" t="s">
        <v>42</v>
      </c>
      <c r="M18" s="33" t="s">
        <v>290</v>
      </c>
      <c r="N18" s="33">
        <v>34101913</v>
      </c>
      <c r="O18" s="47" t="s">
        <v>289</v>
      </c>
      <c r="P18" s="33" t="s">
        <v>291</v>
      </c>
      <c r="Q18" s="33"/>
      <c r="R18" s="158">
        <v>21900000</v>
      </c>
      <c r="S18" s="158">
        <v>0</v>
      </c>
      <c r="T18" s="159">
        <f t="shared" si="0"/>
        <v>21900000</v>
      </c>
      <c r="U18" s="30"/>
      <c r="V18" s="40" t="s">
        <v>50</v>
      </c>
      <c r="W18" s="30" t="s">
        <v>36</v>
      </c>
      <c r="X18" s="30" t="s">
        <v>80</v>
      </c>
      <c r="Y18" s="238">
        <v>15200</v>
      </c>
      <c r="Z18" s="242">
        <v>1443</v>
      </c>
      <c r="AA18" s="191">
        <v>1443</v>
      </c>
      <c r="AB18" s="160"/>
      <c r="AC18" s="161"/>
      <c r="AD18" s="162"/>
      <c r="AE18" s="163"/>
      <c r="AF18" s="23">
        <f t="shared" si="1"/>
        <v>15200</v>
      </c>
      <c r="AG18" s="161">
        <f t="shared" si="2"/>
        <v>0</v>
      </c>
      <c r="AH18" s="164">
        <f t="shared" si="3"/>
        <v>-15200</v>
      </c>
      <c r="AI18" s="23"/>
      <c r="AJ18" s="23"/>
      <c r="AK18" s="165"/>
      <c r="AL18" s="161"/>
      <c r="AM18" s="166"/>
      <c r="AN18" s="161"/>
      <c r="AO18" s="166"/>
      <c r="AP18" s="161"/>
      <c r="AQ18" s="161"/>
      <c r="AR18" s="161"/>
      <c r="AS18" s="167">
        <v>35000</v>
      </c>
      <c r="AT18" s="167">
        <v>30000</v>
      </c>
      <c r="AU18" s="167"/>
      <c r="AV18" s="167"/>
      <c r="AW18" s="167"/>
      <c r="AX18" s="167">
        <f t="shared" si="4"/>
        <v>65000</v>
      </c>
      <c r="AY18" s="168">
        <f t="shared" si="5"/>
        <v>21868600</v>
      </c>
      <c r="AZ18" s="168">
        <f t="shared" si="6"/>
        <v>-31400</v>
      </c>
      <c r="BA18" s="168">
        <f t="shared" si="7"/>
        <v>1971000</v>
      </c>
      <c r="BB18" s="168">
        <f t="shared" si="8"/>
        <v>969800</v>
      </c>
      <c r="BC18" s="168">
        <f t="shared" si="9"/>
        <v>872820</v>
      </c>
      <c r="BD18" s="169">
        <v>50000</v>
      </c>
      <c r="BE18" s="169"/>
      <c r="BF18" s="168">
        <f t="shared" si="10"/>
        <v>822820</v>
      </c>
      <c r="BG18" s="33"/>
      <c r="BH18" s="15"/>
      <c r="BI18" s="15"/>
    </row>
    <row r="19" spans="1:61" s="6" customFormat="1" ht="16.5" customHeight="1">
      <c r="A19" s="36">
        <v>18</v>
      </c>
      <c r="B19" s="35">
        <v>46089</v>
      </c>
      <c r="C19" s="33" t="s">
        <v>547</v>
      </c>
      <c r="D19" s="228" t="s">
        <v>336</v>
      </c>
      <c r="E19" s="33" t="s">
        <v>337</v>
      </c>
      <c r="F19" s="33" t="s">
        <v>335</v>
      </c>
      <c r="G19" s="33" t="s">
        <v>332</v>
      </c>
      <c r="H19" s="33" t="s">
        <v>333</v>
      </c>
      <c r="I19" s="180" t="s">
        <v>545</v>
      </c>
      <c r="J19" s="33" t="s">
        <v>334</v>
      </c>
      <c r="K19" s="30" t="s">
        <v>338</v>
      </c>
      <c r="L19" s="157" t="s">
        <v>35</v>
      </c>
      <c r="M19" s="33" t="s">
        <v>190</v>
      </c>
      <c r="N19" s="33" t="s">
        <v>191</v>
      </c>
      <c r="O19" s="47" t="s">
        <v>193</v>
      </c>
      <c r="P19" s="44" t="s">
        <v>192</v>
      </c>
      <c r="Q19" s="131" t="s">
        <v>328</v>
      </c>
      <c r="R19" s="158">
        <v>11950000</v>
      </c>
      <c r="S19" s="158">
        <v>0</v>
      </c>
      <c r="T19" s="159">
        <f t="shared" si="0"/>
        <v>11950000</v>
      </c>
      <c r="U19" s="30">
        <v>7006</v>
      </c>
      <c r="V19" s="40" t="s">
        <v>50</v>
      </c>
      <c r="W19" s="30" t="s">
        <v>36</v>
      </c>
      <c r="X19" s="30" t="s">
        <v>80</v>
      </c>
      <c r="Y19" s="238">
        <v>6972</v>
      </c>
      <c r="Z19" s="242">
        <v>1698</v>
      </c>
      <c r="AA19" s="191">
        <v>1495</v>
      </c>
      <c r="AB19" s="160"/>
      <c r="AC19" s="161"/>
      <c r="AD19" s="162"/>
      <c r="AE19" s="163"/>
      <c r="AF19" s="23">
        <f t="shared" si="1"/>
        <v>6972</v>
      </c>
      <c r="AG19" s="161">
        <f t="shared" si="2"/>
        <v>0</v>
      </c>
      <c r="AH19" s="164">
        <f t="shared" si="3"/>
        <v>-6972</v>
      </c>
      <c r="AI19" s="23"/>
      <c r="AJ19" s="23"/>
      <c r="AK19" s="165"/>
      <c r="AL19" s="161"/>
      <c r="AM19" s="166"/>
      <c r="AN19" s="161"/>
      <c r="AO19" s="166"/>
      <c r="AP19" s="161"/>
      <c r="AQ19" s="161"/>
      <c r="AR19" s="161"/>
      <c r="AS19" s="167">
        <v>35000</v>
      </c>
      <c r="AT19" s="167">
        <v>30000</v>
      </c>
      <c r="AU19" s="167"/>
      <c r="AV19" s="167"/>
      <c r="AW19" s="167"/>
      <c r="AX19" s="167">
        <f t="shared" si="4"/>
        <v>65000</v>
      </c>
      <c r="AY19" s="168">
        <f t="shared" si="5"/>
        <v>11773456</v>
      </c>
      <c r="AZ19" s="168">
        <f t="shared" si="6"/>
        <v>-176544</v>
      </c>
      <c r="BA19" s="168">
        <f t="shared" si="7"/>
        <v>1075500</v>
      </c>
      <c r="BB19" s="168">
        <f t="shared" si="8"/>
        <v>449478</v>
      </c>
      <c r="BC19" s="168">
        <f t="shared" si="9"/>
        <v>404530.2</v>
      </c>
      <c r="BD19" s="169">
        <v>50000</v>
      </c>
      <c r="BE19" s="169"/>
      <c r="BF19" s="168">
        <f t="shared" si="10"/>
        <v>354530.2</v>
      </c>
      <c r="BG19" s="33"/>
      <c r="BH19" s="15"/>
      <c r="BI19" s="15"/>
    </row>
    <row r="20" spans="1:61" s="6" customFormat="1" ht="16.5" customHeight="1">
      <c r="A20" s="36">
        <v>19</v>
      </c>
      <c r="B20" s="35">
        <v>46118</v>
      </c>
      <c r="C20" s="229" t="s">
        <v>549</v>
      </c>
      <c r="D20" s="229" t="s">
        <v>432</v>
      </c>
      <c r="E20" s="230" t="s">
        <v>433</v>
      </c>
      <c r="F20" s="33" t="s">
        <v>437</v>
      </c>
      <c r="G20" s="33" t="s">
        <v>436</v>
      </c>
      <c r="H20" s="33" t="s">
        <v>435</v>
      </c>
      <c r="I20" s="180" t="s">
        <v>545</v>
      </c>
      <c r="J20" s="33" t="s">
        <v>434</v>
      </c>
      <c r="K20" s="232">
        <v>22144375</v>
      </c>
      <c r="L20" s="157" t="s">
        <v>35</v>
      </c>
      <c r="M20" s="33" t="s">
        <v>190</v>
      </c>
      <c r="N20" s="33" t="s">
        <v>191</v>
      </c>
      <c r="O20" s="47" t="s">
        <v>193</v>
      </c>
      <c r="P20" s="44" t="s">
        <v>192</v>
      </c>
      <c r="Q20" s="131" t="s">
        <v>328</v>
      </c>
      <c r="R20" s="158">
        <v>23000000</v>
      </c>
      <c r="S20" s="158">
        <v>0</v>
      </c>
      <c r="T20" s="159">
        <f t="shared" si="0"/>
        <v>23000000</v>
      </c>
      <c r="U20" s="30">
        <v>12822</v>
      </c>
      <c r="V20" s="40" t="s">
        <v>50</v>
      </c>
      <c r="W20" s="30" t="s">
        <v>36</v>
      </c>
      <c r="X20" s="30" t="s">
        <v>80</v>
      </c>
      <c r="Y20" s="238">
        <f>12822-50</f>
        <v>12772</v>
      </c>
      <c r="Z20" s="242">
        <v>1727</v>
      </c>
      <c r="AA20" s="33">
        <v>1467</v>
      </c>
      <c r="AB20" s="160"/>
      <c r="AC20" s="161"/>
      <c r="AD20" s="162"/>
      <c r="AE20" s="163"/>
      <c r="AF20" s="23">
        <f t="shared" si="1"/>
        <v>12772</v>
      </c>
      <c r="AG20" s="161">
        <f t="shared" si="2"/>
        <v>0</v>
      </c>
      <c r="AH20" s="164">
        <f t="shared" si="3"/>
        <v>-12772</v>
      </c>
      <c r="AI20" s="23"/>
      <c r="AJ20" s="23"/>
      <c r="AK20" s="165"/>
      <c r="AL20" s="161"/>
      <c r="AM20" s="166"/>
      <c r="AN20" s="161"/>
      <c r="AO20" s="166"/>
      <c r="AP20" s="161"/>
      <c r="AQ20" s="161"/>
      <c r="AR20" s="161"/>
      <c r="AS20" s="167">
        <v>35000</v>
      </c>
      <c r="AT20" s="167">
        <v>30000</v>
      </c>
      <c r="AU20" s="167"/>
      <c r="AV20" s="167"/>
      <c r="AW20" s="167"/>
      <c r="AX20" s="167">
        <f t="shared" si="4"/>
        <v>65000</v>
      </c>
      <c r="AY20" s="168">
        <f t="shared" si="5"/>
        <v>21992244</v>
      </c>
      <c r="AZ20" s="168">
        <f t="shared" si="6"/>
        <v>-1007756</v>
      </c>
      <c r="BA20" s="168">
        <f t="shared" si="7"/>
        <v>2070000</v>
      </c>
      <c r="BB20" s="168">
        <f t="shared" si="8"/>
        <v>531122</v>
      </c>
      <c r="BC20" s="168">
        <f t="shared" si="9"/>
        <v>478009.8</v>
      </c>
      <c r="BD20" s="169">
        <v>50000</v>
      </c>
      <c r="BE20" s="169"/>
      <c r="BF20" s="168">
        <f t="shared" si="10"/>
        <v>428009.8</v>
      </c>
      <c r="BG20" s="33"/>
      <c r="BH20" s="15"/>
      <c r="BI20" s="15"/>
    </row>
    <row r="21" spans="1:61" s="6" customFormat="1" ht="16.899999999999999">
      <c r="A21" s="218">
        <v>20</v>
      </c>
      <c r="B21" s="219">
        <v>46119</v>
      </c>
      <c r="C21" s="229" t="s">
        <v>550</v>
      </c>
      <c r="D21" s="229" t="s">
        <v>476</v>
      </c>
      <c r="E21" s="229" t="s">
        <v>477</v>
      </c>
      <c r="F21" s="220" t="s">
        <v>505</v>
      </c>
      <c r="G21" s="220">
        <v>1950</v>
      </c>
      <c r="H21" s="220" t="s">
        <v>435</v>
      </c>
      <c r="I21" s="180" t="s">
        <v>545</v>
      </c>
      <c r="J21" s="220" t="s">
        <v>506</v>
      </c>
      <c r="K21" s="233">
        <v>19016250</v>
      </c>
      <c r="L21" s="221" t="s">
        <v>35</v>
      </c>
      <c r="M21" s="220" t="s">
        <v>190</v>
      </c>
      <c r="N21" s="220" t="s">
        <v>191</v>
      </c>
      <c r="O21" s="222" t="s">
        <v>193</v>
      </c>
      <c r="P21" s="220" t="s">
        <v>192</v>
      </c>
      <c r="Q21" s="223" t="s">
        <v>328</v>
      </c>
      <c r="R21" s="224">
        <v>20300000</v>
      </c>
      <c r="S21" s="224">
        <v>0</v>
      </c>
      <c r="T21" s="225">
        <f t="shared" si="0"/>
        <v>20300000</v>
      </c>
      <c r="U21" s="226">
        <v>11011</v>
      </c>
      <c r="V21" s="40" t="s">
        <v>50</v>
      </c>
      <c r="W21" s="226" t="s">
        <v>36</v>
      </c>
      <c r="X21" s="30" t="s">
        <v>80</v>
      </c>
      <c r="Y21" s="238">
        <f>11011-50</f>
        <v>10961</v>
      </c>
      <c r="Z21" s="242">
        <v>1727</v>
      </c>
      <c r="AA21" s="33">
        <v>1467</v>
      </c>
      <c r="AB21" s="160"/>
      <c r="AC21" s="161"/>
      <c r="AD21" s="162"/>
      <c r="AE21" s="163"/>
      <c r="AF21" s="23">
        <f t="shared" si="1"/>
        <v>10961</v>
      </c>
      <c r="AG21" s="161">
        <f t="shared" si="2"/>
        <v>0</v>
      </c>
      <c r="AH21" s="164">
        <f t="shared" si="3"/>
        <v>-10961</v>
      </c>
      <c r="AI21" s="23"/>
      <c r="AJ21" s="23"/>
      <c r="AK21" s="165"/>
      <c r="AL21" s="161"/>
      <c r="AM21" s="166"/>
      <c r="AN21" s="161"/>
      <c r="AO21" s="166"/>
      <c r="AP21" s="161"/>
      <c r="AQ21" s="161"/>
      <c r="AR21" s="161"/>
      <c r="AS21" s="167">
        <v>35000</v>
      </c>
      <c r="AT21" s="167">
        <v>30000</v>
      </c>
      <c r="AU21" s="167"/>
      <c r="AV21" s="167"/>
      <c r="AW21" s="167"/>
      <c r="AX21" s="167">
        <f t="shared" si="4"/>
        <v>65000</v>
      </c>
      <c r="AY21" s="168">
        <f t="shared" si="5"/>
        <v>18864647</v>
      </c>
      <c r="AZ21" s="168">
        <f t="shared" si="6"/>
        <v>-1435353</v>
      </c>
      <c r="BA21" s="168">
        <f t="shared" si="7"/>
        <v>1827000</v>
      </c>
      <c r="BB21" s="168">
        <f t="shared" si="8"/>
        <v>195823.5</v>
      </c>
      <c r="BC21" s="168">
        <f t="shared" si="9"/>
        <v>176241.15</v>
      </c>
      <c r="BD21" s="169">
        <v>50000</v>
      </c>
      <c r="BE21" s="169"/>
      <c r="BF21" s="168">
        <f t="shared" si="10"/>
        <v>126241.15</v>
      </c>
      <c r="BG21" s="33"/>
      <c r="BH21" s="15"/>
      <c r="BI21" s="15"/>
    </row>
    <row r="22" spans="1:61" s="6" customFormat="1" ht="16.899999999999999">
      <c r="A22" s="36">
        <v>21</v>
      </c>
      <c r="B22" s="35">
        <v>46124</v>
      </c>
      <c r="C22" s="229" t="s">
        <v>551</v>
      </c>
      <c r="D22" s="229" t="s">
        <v>532</v>
      </c>
      <c r="E22" s="229" t="s">
        <v>533</v>
      </c>
      <c r="F22" s="33" t="s">
        <v>541</v>
      </c>
      <c r="G22" s="33" t="s">
        <v>540</v>
      </c>
      <c r="H22" s="33" t="s">
        <v>333</v>
      </c>
      <c r="I22" s="180" t="s">
        <v>545</v>
      </c>
      <c r="J22" s="33" t="s">
        <v>534</v>
      </c>
      <c r="K22" s="234">
        <v>10090000</v>
      </c>
      <c r="L22" s="221" t="s">
        <v>35</v>
      </c>
      <c r="M22" s="220" t="s">
        <v>190</v>
      </c>
      <c r="N22" s="220" t="s">
        <v>191</v>
      </c>
      <c r="O22" s="222" t="s">
        <v>193</v>
      </c>
      <c r="P22" s="220" t="s">
        <v>192</v>
      </c>
      <c r="Q22" s="223" t="s">
        <v>328</v>
      </c>
      <c r="R22" s="158">
        <v>10000000</v>
      </c>
      <c r="S22" s="158">
        <v>440000</v>
      </c>
      <c r="T22" s="159">
        <f t="shared" si="0"/>
        <v>10440000</v>
      </c>
      <c r="U22" s="30">
        <v>5843</v>
      </c>
      <c r="V22" s="40" t="s">
        <v>50</v>
      </c>
      <c r="W22" s="226" t="s">
        <v>36</v>
      </c>
      <c r="X22" s="30" t="s">
        <v>80</v>
      </c>
      <c r="Y22" s="238">
        <f>5843-50</f>
        <v>5793</v>
      </c>
      <c r="Z22" s="242">
        <v>1727</v>
      </c>
      <c r="AA22" s="33">
        <v>1467</v>
      </c>
      <c r="AB22" s="160"/>
      <c r="AC22" s="161"/>
      <c r="AD22" s="162"/>
      <c r="AE22" s="163"/>
      <c r="AF22" s="23">
        <f t="shared" si="1"/>
        <v>5793</v>
      </c>
      <c r="AG22" s="161">
        <f t="shared" si="2"/>
        <v>0</v>
      </c>
      <c r="AH22" s="164">
        <f t="shared" si="3"/>
        <v>-5793</v>
      </c>
      <c r="AI22" s="23"/>
      <c r="AJ22" s="23"/>
      <c r="AK22" s="165"/>
      <c r="AL22" s="161"/>
      <c r="AM22" s="166"/>
      <c r="AN22" s="161"/>
      <c r="AO22" s="166"/>
      <c r="AP22" s="161"/>
      <c r="AQ22" s="161"/>
      <c r="AR22" s="161"/>
      <c r="AS22" s="167">
        <v>35000</v>
      </c>
      <c r="AT22" s="167">
        <v>30000</v>
      </c>
      <c r="AU22" s="167"/>
      <c r="AV22" s="167"/>
      <c r="AW22" s="167"/>
      <c r="AX22" s="167">
        <f t="shared" si="4"/>
        <v>65000</v>
      </c>
      <c r="AY22" s="168">
        <f t="shared" si="5"/>
        <v>9939511</v>
      </c>
      <c r="AZ22" s="168">
        <f t="shared" si="6"/>
        <v>-500489</v>
      </c>
      <c r="BA22" s="168">
        <f t="shared" si="7"/>
        <v>900000</v>
      </c>
      <c r="BB22" s="168">
        <f t="shared" si="8"/>
        <v>199755.5</v>
      </c>
      <c r="BC22" s="168">
        <f t="shared" si="9"/>
        <v>179779.95</v>
      </c>
      <c r="BD22" s="169">
        <v>50000</v>
      </c>
      <c r="BE22" s="169"/>
      <c r="BF22" s="168">
        <f t="shared" si="10"/>
        <v>129779.95000000001</v>
      </c>
      <c r="BG22" s="33"/>
      <c r="BH22" s="15"/>
      <c r="BI22" s="15"/>
    </row>
    <row r="23" spans="1:61" s="6" customFormat="1" ht="16.899999999999999">
      <c r="A23" s="36">
        <v>22</v>
      </c>
      <c r="B23" s="3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5"/>
      <c r="P23" s="33"/>
      <c r="Q23" s="33"/>
      <c r="R23" s="158"/>
      <c r="S23" s="158"/>
      <c r="T23" s="159">
        <f t="shared" si="0"/>
        <v>0</v>
      </c>
      <c r="U23" s="30"/>
      <c r="V23" s="30"/>
      <c r="W23" s="30"/>
      <c r="X23" s="30"/>
      <c r="Y23" s="238"/>
      <c r="Z23" s="242"/>
      <c r="AA23" s="33"/>
      <c r="AB23" s="160"/>
      <c r="AC23" s="161"/>
      <c r="AD23" s="162"/>
      <c r="AE23" s="163"/>
      <c r="AF23" s="23">
        <f t="shared" si="1"/>
        <v>0</v>
      </c>
      <c r="AG23" s="161">
        <f t="shared" si="2"/>
        <v>0</v>
      </c>
      <c r="AH23" s="164">
        <f t="shared" si="3"/>
        <v>0</v>
      </c>
      <c r="AI23" s="23"/>
      <c r="AJ23" s="23"/>
      <c r="AK23" s="165"/>
      <c r="AL23" s="161"/>
      <c r="AM23" s="166"/>
      <c r="AN23" s="161"/>
      <c r="AO23" s="166"/>
      <c r="AP23" s="161"/>
      <c r="AQ23" s="161"/>
      <c r="AR23" s="161"/>
      <c r="AS23" s="167">
        <v>35000</v>
      </c>
      <c r="AT23" s="167">
        <v>30000</v>
      </c>
      <c r="AU23" s="167"/>
      <c r="AV23" s="167"/>
      <c r="AW23" s="167"/>
      <c r="AX23" s="167">
        <f t="shared" si="4"/>
        <v>65000</v>
      </c>
      <c r="AY23" s="168">
        <f t="shared" si="5"/>
        <v>-65000</v>
      </c>
      <c r="AZ23" s="168">
        <f t="shared" si="6"/>
        <v>-65000</v>
      </c>
      <c r="BA23" s="168">
        <f t="shared" si="7"/>
        <v>0</v>
      </c>
      <c r="BB23" s="168">
        <f t="shared" si="8"/>
        <v>-32500</v>
      </c>
      <c r="BC23" s="168">
        <f t="shared" si="9"/>
        <v>-29250</v>
      </c>
      <c r="BD23" s="169">
        <v>50000</v>
      </c>
      <c r="BE23" s="169"/>
      <c r="BF23" s="168">
        <f t="shared" si="10"/>
        <v>-79250</v>
      </c>
      <c r="BG23" s="33"/>
      <c r="BH23" s="15"/>
      <c r="BI23" s="15"/>
    </row>
    <row r="24" spans="1:61" s="6" customFormat="1" ht="16.899999999999999">
      <c r="A24" s="36">
        <v>23</v>
      </c>
      <c r="B24" s="35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5"/>
      <c r="P24" s="33"/>
      <c r="Q24" s="33"/>
      <c r="R24" s="158"/>
      <c r="S24" s="158"/>
      <c r="T24" s="159">
        <f t="shared" si="0"/>
        <v>0</v>
      </c>
      <c r="U24" s="30"/>
      <c r="V24" s="30"/>
      <c r="W24" s="30"/>
      <c r="X24" s="30"/>
      <c r="Y24" s="238"/>
      <c r="Z24" s="242"/>
      <c r="AA24" s="33"/>
      <c r="AB24" s="160"/>
      <c r="AC24" s="161"/>
      <c r="AD24" s="162"/>
      <c r="AE24" s="163"/>
      <c r="AF24" s="23">
        <f t="shared" si="1"/>
        <v>0</v>
      </c>
      <c r="AG24" s="161">
        <f t="shared" si="2"/>
        <v>0</v>
      </c>
      <c r="AH24" s="164">
        <f t="shared" si="3"/>
        <v>0</v>
      </c>
      <c r="AI24" s="23"/>
      <c r="AJ24" s="23"/>
      <c r="AK24" s="165"/>
      <c r="AL24" s="161"/>
      <c r="AM24" s="166"/>
      <c r="AN24" s="161"/>
      <c r="AO24" s="166"/>
      <c r="AP24" s="161"/>
      <c r="AQ24" s="161"/>
      <c r="AR24" s="161"/>
      <c r="AS24" s="167">
        <v>35000</v>
      </c>
      <c r="AT24" s="167">
        <v>30000</v>
      </c>
      <c r="AU24" s="167"/>
      <c r="AV24" s="167"/>
      <c r="AW24" s="167"/>
      <c r="AX24" s="167">
        <f t="shared" si="4"/>
        <v>65000</v>
      </c>
      <c r="AY24" s="168">
        <f t="shared" si="5"/>
        <v>-65000</v>
      </c>
      <c r="AZ24" s="168">
        <f t="shared" si="6"/>
        <v>-65000</v>
      </c>
      <c r="BA24" s="168">
        <f t="shared" si="7"/>
        <v>0</v>
      </c>
      <c r="BB24" s="168">
        <f t="shared" si="8"/>
        <v>-32500</v>
      </c>
      <c r="BC24" s="168">
        <f t="shared" si="9"/>
        <v>-29250</v>
      </c>
      <c r="BD24" s="169">
        <v>50000</v>
      </c>
      <c r="BE24" s="169"/>
      <c r="BF24" s="168">
        <f t="shared" si="10"/>
        <v>-79250</v>
      </c>
      <c r="BG24" s="33"/>
      <c r="BH24" s="15"/>
      <c r="BI24" s="15"/>
    </row>
    <row r="25" spans="1:61" s="6" customFormat="1" ht="16.899999999999999">
      <c r="A25" s="36">
        <v>24</v>
      </c>
      <c r="B25" s="35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5"/>
      <c r="P25" s="33"/>
      <c r="Q25" s="33"/>
      <c r="R25" s="158"/>
      <c r="S25" s="158"/>
      <c r="T25" s="159">
        <f t="shared" si="0"/>
        <v>0</v>
      </c>
      <c r="U25" s="30"/>
      <c r="V25" s="30"/>
      <c r="W25" s="30"/>
      <c r="X25" s="30"/>
      <c r="Y25" s="238"/>
      <c r="Z25" s="242"/>
      <c r="AA25" s="33"/>
      <c r="AB25" s="160"/>
      <c r="AC25" s="161"/>
      <c r="AD25" s="162"/>
      <c r="AE25" s="163"/>
      <c r="AF25" s="23">
        <f t="shared" si="1"/>
        <v>0</v>
      </c>
      <c r="AG25" s="161">
        <f t="shared" si="2"/>
        <v>0</v>
      </c>
      <c r="AH25" s="164">
        <f t="shared" si="3"/>
        <v>0</v>
      </c>
      <c r="AI25" s="23"/>
      <c r="AJ25" s="23"/>
      <c r="AK25" s="165"/>
      <c r="AL25" s="161"/>
      <c r="AM25" s="166"/>
      <c r="AN25" s="161"/>
      <c r="AO25" s="166"/>
      <c r="AP25" s="161"/>
      <c r="AQ25" s="161"/>
      <c r="AR25" s="161"/>
      <c r="AS25" s="167">
        <v>35000</v>
      </c>
      <c r="AT25" s="167">
        <v>30000</v>
      </c>
      <c r="AU25" s="167"/>
      <c r="AV25" s="167"/>
      <c r="AW25" s="167"/>
      <c r="AX25" s="167">
        <f t="shared" si="4"/>
        <v>65000</v>
      </c>
      <c r="AY25" s="168">
        <f t="shared" si="5"/>
        <v>-65000</v>
      </c>
      <c r="AZ25" s="168">
        <f t="shared" si="6"/>
        <v>-65000</v>
      </c>
      <c r="BA25" s="168">
        <f t="shared" si="7"/>
        <v>0</v>
      </c>
      <c r="BB25" s="168">
        <f t="shared" si="8"/>
        <v>-32500</v>
      </c>
      <c r="BC25" s="168">
        <f t="shared" si="9"/>
        <v>-29250</v>
      </c>
      <c r="BD25" s="169">
        <v>50000</v>
      </c>
      <c r="BE25" s="169"/>
      <c r="BF25" s="168">
        <f t="shared" si="10"/>
        <v>-79250</v>
      </c>
      <c r="BG25" s="33"/>
      <c r="BH25" s="15"/>
      <c r="BI25" s="15"/>
    </row>
    <row r="26" spans="1:61" s="6" customFormat="1" ht="16.899999999999999">
      <c r="A26" s="36">
        <v>25</v>
      </c>
      <c r="B26" s="35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5"/>
      <c r="P26" s="33"/>
      <c r="Q26" s="33"/>
      <c r="R26" s="158"/>
      <c r="S26" s="158"/>
      <c r="T26" s="159">
        <f t="shared" si="0"/>
        <v>0</v>
      </c>
      <c r="U26" s="30"/>
      <c r="V26" s="30"/>
      <c r="W26" s="30"/>
      <c r="X26" s="30"/>
      <c r="Y26" s="238"/>
      <c r="Z26" s="242"/>
      <c r="AA26" s="33"/>
      <c r="AB26" s="160"/>
      <c r="AC26" s="161"/>
      <c r="AD26" s="162"/>
      <c r="AE26" s="163"/>
      <c r="AF26" s="23">
        <f t="shared" si="1"/>
        <v>0</v>
      </c>
      <c r="AG26" s="161">
        <f t="shared" si="2"/>
        <v>0</v>
      </c>
      <c r="AH26" s="164">
        <f t="shared" si="3"/>
        <v>0</v>
      </c>
      <c r="AI26" s="23"/>
      <c r="AJ26" s="23"/>
      <c r="AK26" s="165"/>
      <c r="AL26" s="161"/>
      <c r="AM26" s="166"/>
      <c r="AN26" s="161"/>
      <c r="AO26" s="166"/>
      <c r="AP26" s="161"/>
      <c r="AQ26" s="161"/>
      <c r="AR26" s="161"/>
      <c r="AS26" s="167">
        <v>35000</v>
      </c>
      <c r="AT26" s="167">
        <v>30000</v>
      </c>
      <c r="AU26" s="167"/>
      <c r="AV26" s="167"/>
      <c r="AW26" s="167"/>
      <c r="AX26" s="167">
        <f t="shared" si="4"/>
        <v>65000</v>
      </c>
      <c r="AY26" s="168">
        <f t="shared" si="5"/>
        <v>-65000</v>
      </c>
      <c r="AZ26" s="168">
        <f t="shared" si="6"/>
        <v>-65000</v>
      </c>
      <c r="BA26" s="168">
        <f t="shared" si="7"/>
        <v>0</v>
      </c>
      <c r="BB26" s="168">
        <f t="shared" si="8"/>
        <v>-32500</v>
      </c>
      <c r="BC26" s="168">
        <f t="shared" si="9"/>
        <v>-29250</v>
      </c>
      <c r="BD26" s="169">
        <v>50000</v>
      </c>
      <c r="BE26" s="169"/>
      <c r="BF26" s="168">
        <f t="shared" si="10"/>
        <v>-79250</v>
      </c>
      <c r="BG26" s="33"/>
      <c r="BH26" s="15"/>
      <c r="BI26" s="15"/>
    </row>
    <row r="27" spans="1:61" s="6" customFormat="1" ht="16.899999999999999">
      <c r="A27" s="36">
        <v>26</v>
      </c>
      <c r="B27" s="35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5"/>
      <c r="P27" s="33"/>
      <c r="Q27" s="33"/>
      <c r="R27" s="158"/>
      <c r="S27" s="158"/>
      <c r="T27" s="159">
        <f t="shared" si="0"/>
        <v>0</v>
      </c>
      <c r="U27" s="30"/>
      <c r="V27" s="30"/>
      <c r="W27" s="30"/>
      <c r="X27" s="30"/>
      <c r="Y27" s="238"/>
      <c r="Z27" s="242"/>
      <c r="AA27" s="33"/>
      <c r="AB27" s="160"/>
      <c r="AC27" s="161"/>
      <c r="AD27" s="162"/>
      <c r="AE27" s="163"/>
      <c r="AF27" s="23">
        <f t="shared" si="1"/>
        <v>0</v>
      </c>
      <c r="AG27" s="161">
        <f t="shared" si="2"/>
        <v>0</v>
      </c>
      <c r="AH27" s="164">
        <f t="shared" si="3"/>
        <v>0</v>
      </c>
      <c r="AI27" s="23"/>
      <c r="AJ27" s="23"/>
      <c r="AK27" s="165"/>
      <c r="AL27" s="161"/>
      <c r="AM27" s="166"/>
      <c r="AN27" s="161"/>
      <c r="AO27" s="166"/>
      <c r="AP27" s="161"/>
      <c r="AQ27" s="161"/>
      <c r="AR27" s="161"/>
      <c r="AS27" s="167">
        <v>35000</v>
      </c>
      <c r="AT27" s="167">
        <v>30000</v>
      </c>
      <c r="AU27" s="167"/>
      <c r="AV27" s="167"/>
      <c r="AW27" s="167"/>
      <c r="AX27" s="167">
        <f t="shared" si="4"/>
        <v>65000</v>
      </c>
      <c r="AY27" s="168">
        <f t="shared" si="5"/>
        <v>-65000</v>
      </c>
      <c r="AZ27" s="168">
        <f t="shared" si="6"/>
        <v>-65000</v>
      </c>
      <c r="BA27" s="168">
        <f t="shared" si="7"/>
        <v>0</v>
      </c>
      <c r="BB27" s="168">
        <f t="shared" si="8"/>
        <v>-32500</v>
      </c>
      <c r="BC27" s="168">
        <f t="shared" si="9"/>
        <v>-29250</v>
      </c>
      <c r="BD27" s="169">
        <v>50000</v>
      </c>
      <c r="BE27" s="169"/>
      <c r="BF27" s="168">
        <f t="shared" si="10"/>
        <v>-79250</v>
      </c>
      <c r="BG27" s="33"/>
      <c r="BH27" s="15"/>
      <c r="BI27" s="15"/>
    </row>
    <row r="28" spans="1:61" s="6" customFormat="1" ht="16.899999999999999">
      <c r="A28" s="36">
        <v>27</v>
      </c>
      <c r="B28" s="35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5"/>
      <c r="P28" s="33"/>
      <c r="Q28" s="33"/>
      <c r="R28" s="158"/>
      <c r="S28" s="158"/>
      <c r="T28" s="159">
        <f t="shared" ref="T28:T91" si="11">R28+S28</f>
        <v>0</v>
      </c>
      <c r="U28" s="30"/>
      <c r="V28" s="30"/>
      <c r="W28" s="30"/>
      <c r="X28" s="30"/>
      <c r="Y28" s="238"/>
      <c r="Z28" s="242"/>
      <c r="AA28" s="33"/>
      <c r="AB28" s="160"/>
      <c r="AC28" s="161"/>
      <c r="AD28" s="162"/>
      <c r="AE28" s="163"/>
      <c r="AF28" s="23">
        <f t="shared" si="1"/>
        <v>0</v>
      </c>
      <c r="AG28" s="161">
        <f t="shared" si="2"/>
        <v>0</v>
      </c>
      <c r="AH28" s="164">
        <f t="shared" ref="AH28:AH91" si="12">SUM(AG28-AF28)</f>
        <v>0</v>
      </c>
      <c r="AI28" s="23"/>
      <c r="AJ28" s="23"/>
      <c r="AK28" s="165"/>
      <c r="AL28" s="161"/>
      <c r="AM28" s="166"/>
      <c r="AN28" s="161"/>
      <c r="AO28" s="166"/>
      <c r="AP28" s="161"/>
      <c r="AQ28" s="161"/>
      <c r="AR28" s="161"/>
      <c r="AS28" s="167">
        <v>35000</v>
      </c>
      <c r="AT28" s="167">
        <v>30000</v>
      </c>
      <c r="AU28" s="167"/>
      <c r="AV28" s="167"/>
      <c r="AW28" s="167"/>
      <c r="AX28" s="167">
        <f t="shared" si="4"/>
        <v>65000</v>
      </c>
      <c r="AY28" s="168">
        <f t="shared" si="5"/>
        <v>-65000</v>
      </c>
      <c r="AZ28" s="168">
        <f t="shared" si="6"/>
        <v>-65000</v>
      </c>
      <c r="BA28" s="168">
        <f t="shared" si="7"/>
        <v>0</v>
      </c>
      <c r="BB28" s="168">
        <f t="shared" ref="BB28:BB91" si="13">SUM(AZ28:BA28)/2</f>
        <v>-32500</v>
      </c>
      <c r="BC28" s="168">
        <f t="shared" ref="BC28:BC91" si="14">BB28-(BB28*10%)</f>
        <v>-29250</v>
      </c>
      <c r="BD28" s="169">
        <v>50000</v>
      </c>
      <c r="BE28" s="169"/>
      <c r="BF28" s="168">
        <f t="shared" si="10"/>
        <v>-79250</v>
      </c>
      <c r="BG28" s="33"/>
      <c r="BH28" s="15"/>
      <c r="BI28" s="15"/>
    </row>
    <row r="29" spans="1:61" ht="16.899999999999999">
      <c r="A29" s="36">
        <v>28</v>
      </c>
      <c r="B29" s="35"/>
      <c r="C29" s="33"/>
      <c r="D29" s="33"/>
      <c r="E29" s="33"/>
      <c r="F29" s="38"/>
      <c r="G29" s="38"/>
      <c r="H29" s="38"/>
      <c r="I29" s="38"/>
      <c r="J29" s="38"/>
      <c r="K29" s="38"/>
      <c r="L29" s="33"/>
      <c r="M29" s="33"/>
      <c r="N29" s="38"/>
      <c r="O29" s="39" t="s">
        <v>27</v>
      </c>
      <c r="P29" s="38"/>
      <c r="Q29" s="216"/>
      <c r="R29" s="158"/>
      <c r="S29" s="158"/>
      <c r="T29" s="159">
        <f t="shared" si="11"/>
        <v>0</v>
      </c>
      <c r="U29" s="30"/>
      <c r="V29" s="30"/>
      <c r="W29" s="30"/>
      <c r="X29" s="30"/>
      <c r="Y29" s="238"/>
      <c r="Z29" s="242"/>
      <c r="AA29" s="38"/>
      <c r="AB29" s="160"/>
      <c r="AC29" s="161"/>
      <c r="AD29" s="162"/>
      <c r="AE29" s="163"/>
      <c r="AF29" s="23">
        <f t="shared" si="1"/>
        <v>0</v>
      </c>
      <c r="AG29" s="161">
        <f t="shared" si="2"/>
        <v>0</v>
      </c>
      <c r="AH29" s="164">
        <f t="shared" si="12"/>
        <v>0</v>
      </c>
      <c r="AI29" s="23"/>
      <c r="AJ29" s="23"/>
      <c r="AK29" s="165"/>
      <c r="AL29" s="161"/>
      <c r="AM29" s="166"/>
      <c r="AN29" s="161"/>
      <c r="AO29" s="166"/>
      <c r="AP29" s="161"/>
      <c r="AQ29" s="161"/>
      <c r="AR29" s="161"/>
      <c r="AS29" s="167">
        <v>35000</v>
      </c>
      <c r="AT29" s="167">
        <v>30000</v>
      </c>
      <c r="AU29" s="167"/>
      <c r="AV29" s="167"/>
      <c r="AW29" s="167"/>
      <c r="AX29" s="167">
        <f t="shared" si="4"/>
        <v>65000</v>
      </c>
      <c r="AY29" s="168">
        <f t="shared" si="5"/>
        <v>-65000</v>
      </c>
      <c r="AZ29" s="168">
        <f t="shared" si="6"/>
        <v>-65000</v>
      </c>
      <c r="BA29" s="168">
        <f t="shared" si="7"/>
        <v>0</v>
      </c>
      <c r="BB29" s="168">
        <f t="shared" si="13"/>
        <v>-32500</v>
      </c>
      <c r="BC29" s="168">
        <f t="shared" si="14"/>
        <v>-29250</v>
      </c>
      <c r="BD29" s="169">
        <v>50000</v>
      </c>
      <c r="BE29" s="169"/>
      <c r="BF29" s="168">
        <f t="shared" si="10"/>
        <v>-79250</v>
      </c>
      <c r="BG29" s="33"/>
      <c r="BH29" s="16"/>
      <c r="BI29" s="16"/>
    </row>
    <row r="30" spans="1:61" ht="16.899999999999999">
      <c r="A30" s="36">
        <v>29</v>
      </c>
      <c r="B30" s="35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5"/>
      <c r="P30" s="33"/>
      <c r="Q30" s="33"/>
      <c r="R30" s="158"/>
      <c r="S30" s="158"/>
      <c r="T30" s="159">
        <f t="shared" si="11"/>
        <v>0</v>
      </c>
      <c r="U30" s="30"/>
      <c r="V30" s="30"/>
      <c r="W30" s="30"/>
      <c r="X30" s="30"/>
      <c r="Y30" s="238"/>
      <c r="Z30" s="242"/>
      <c r="AA30" s="33"/>
      <c r="AB30" s="160"/>
      <c r="AC30" s="161"/>
      <c r="AD30" s="162"/>
      <c r="AE30" s="163"/>
      <c r="AF30" s="23">
        <f t="shared" si="1"/>
        <v>0</v>
      </c>
      <c r="AG30" s="161">
        <f t="shared" si="2"/>
        <v>0</v>
      </c>
      <c r="AH30" s="164">
        <f t="shared" si="12"/>
        <v>0</v>
      </c>
      <c r="AI30" s="23"/>
      <c r="AJ30" s="23"/>
      <c r="AK30" s="165"/>
      <c r="AL30" s="161"/>
      <c r="AM30" s="166"/>
      <c r="AN30" s="161"/>
      <c r="AO30" s="166"/>
      <c r="AP30" s="161"/>
      <c r="AQ30" s="161"/>
      <c r="AR30" s="161"/>
      <c r="AS30" s="167">
        <v>35000</v>
      </c>
      <c r="AT30" s="167">
        <v>30000</v>
      </c>
      <c r="AU30" s="167"/>
      <c r="AV30" s="167"/>
      <c r="AW30" s="167"/>
      <c r="AX30" s="167">
        <f t="shared" si="4"/>
        <v>65000</v>
      </c>
      <c r="AY30" s="168">
        <f t="shared" si="5"/>
        <v>-65000</v>
      </c>
      <c r="AZ30" s="168">
        <f t="shared" si="6"/>
        <v>-65000</v>
      </c>
      <c r="BA30" s="168">
        <f t="shared" si="7"/>
        <v>0</v>
      </c>
      <c r="BB30" s="168">
        <f t="shared" si="13"/>
        <v>-32500</v>
      </c>
      <c r="BC30" s="168">
        <f t="shared" si="14"/>
        <v>-29250</v>
      </c>
      <c r="BD30" s="169">
        <v>50000</v>
      </c>
      <c r="BE30" s="169"/>
      <c r="BF30" s="168">
        <f t="shared" si="10"/>
        <v>-79250</v>
      </c>
      <c r="BG30" s="33"/>
      <c r="BH30" s="16"/>
      <c r="BI30" s="16"/>
    </row>
    <row r="31" spans="1:61" ht="16.899999999999999">
      <c r="A31" s="36">
        <v>30</v>
      </c>
      <c r="B31" s="35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5"/>
      <c r="P31" s="33"/>
      <c r="Q31" s="33"/>
      <c r="R31" s="158"/>
      <c r="S31" s="158"/>
      <c r="T31" s="159">
        <f t="shared" si="11"/>
        <v>0</v>
      </c>
      <c r="U31" s="30"/>
      <c r="V31" s="30"/>
      <c r="W31" s="30"/>
      <c r="X31" s="30"/>
      <c r="Y31" s="238"/>
      <c r="Z31" s="242"/>
      <c r="AA31" s="33"/>
      <c r="AB31" s="160"/>
      <c r="AC31" s="161"/>
      <c r="AD31" s="162"/>
      <c r="AE31" s="163"/>
      <c r="AF31" s="23">
        <f t="shared" si="1"/>
        <v>0</v>
      </c>
      <c r="AG31" s="161">
        <f t="shared" si="2"/>
        <v>0</v>
      </c>
      <c r="AH31" s="164">
        <f t="shared" si="12"/>
        <v>0</v>
      </c>
      <c r="AI31" s="23"/>
      <c r="AJ31" s="23"/>
      <c r="AK31" s="165"/>
      <c r="AL31" s="161"/>
      <c r="AM31" s="160"/>
      <c r="AN31" s="161"/>
      <c r="AO31" s="166"/>
      <c r="AP31" s="161"/>
      <c r="AQ31" s="161"/>
      <c r="AR31" s="161"/>
      <c r="AS31" s="167">
        <v>35000</v>
      </c>
      <c r="AT31" s="167">
        <v>30000</v>
      </c>
      <c r="AU31" s="167"/>
      <c r="AV31" s="167"/>
      <c r="AW31" s="167"/>
      <c r="AX31" s="167">
        <f t="shared" si="4"/>
        <v>65000</v>
      </c>
      <c r="AY31" s="168">
        <f t="shared" si="5"/>
        <v>-65000</v>
      </c>
      <c r="AZ31" s="168">
        <f t="shared" si="6"/>
        <v>-65000</v>
      </c>
      <c r="BA31" s="168">
        <f t="shared" si="7"/>
        <v>0</v>
      </c>
      <c r="BB31" s="168">
        <f t="shared" si="13"/>
        <v>-32500</v>
      </c>
      <c r="BC31" s="168">
        <f t="shared" si="14"/>
        <v>-29250</v>
      </c>
      <c r="BD31" s="169">
        <v>50000</v>
      </c>
      <c r="BE31" s="169"/>
      <c r="BF31" s="168">
        <f t="shared" si="10"/>
        <v>-79250</v>
      </c>
      <c r="BG31" s="33"/>
      <c r="BH31" s="16"/>
      <c r="BI31" s="16"/>
    </row>
    <row r="32" spans="1:61" ht="16.899999999999999">
      <c r="A32" s="36">
        <v>31</v>
      </c>
      <c r="B32" s="35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5"/>
      <c r="P32" s="33"/>
      <c r="Q32" s="33"/>
      <c r="R32" s="158"/>
      <c r="S32" s="158"/>
      <c r="T32" s="159">
        <f t="shared" si="11"/>
        <v>0</v>
      </c>
      <c r="U32" s="30"/>
      <c r="V32" s="30"/>
      <c r="W32" s="30"/>
      <c r="X32" s="30"/>
      <c r="Y32" s="238"/>
      <c r="Z32" s="242"/>
      <c r="AA32" s="33"/>
      <c r="AB32" s="160"/>
      <c r="AC32" s="161"/>
      <c r="AD32" s="162"/>
      <c r="AE32" s="163"/>
      <c r="AF32" s="23">
        <f t="shared" si="1"/>
        <v>0</v>
      </c>
      <c r="AG32" s="161">
        <f t="shared" si="2"/>
        <v>0</v>
      </c>
      <c r="AH32" s="164">
        <f t="shared" si="12"/>
        <v>0</v>
      </c>
      <c r="AI32" s="23"/>
      <c r="AJ32" s="23"/>
      <c r="AK32" s="165"/>
      <c r="AL32" s="161"/>
      <c r="AM32" s="166"/>
      <c r="AN32" s="161"/>
      <c r="AO32" s="166"/>
      <c r="AP32" s="161"/>
      <c r="AQ32" s="161"/>
      <c r="AR32" s="161"/>
      <c r="AS32" s="167">
        <v>35000</v>
      </c>
      <c r="AT32" s="167">
        <v>30000</v>
      </c>
      <c r="AU32" s="167"/>
      <c r="AV32" s="167"/>
      <c r="AW32" s="167"/>
      <c r="AX32" s="167">
        <f t="shared" si="4"/>
        <v>65000</v>
      </c>
      <c r="AY32" s="168">
        <f t="shared" si="5"/>
        <v>-65000</v>
      </c>
      <c r="AZ32" s="168">
        <f t="shared" si="6"/>
        <v>-65000</v>
      </c>
      <c r="BA32" s="168">
        <f t="shared" si="7"/>
        <v>0</v>
      </c>
      <c r="BB32" s="168">
        <f t="shared" si="13"/>
        <v>-32500</v>
      </c>
      <c r="BC32" s="168">
        <f t="shared" si="14"/>
        <v>-29250</v>
      </c>
      <c r="BD32" s="169">
        <v>50000</v>
      </c>
      <c r="BE32" s="169"/>
      <c r="BF32" s="168">
        <f t="shared" si="10"/>
        <v>-79250</v>
      </c>
      <c r="BG32" s="33"/>
      <c r="BH32" s="16"/>
      <c r="BI32" s="16"/>
    </row>
    <row r="33" spans="1:61" ht="16.899999999999999">
      <c r="A33" s="36">
        <v>32</v>
      </c>
      <c r="B33" s="3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5"/>
      <c r="P33" s="33"/>
      <c r="Q33" s="33"/>
      <c r="R33" s="158"/>
      <c r="S33" s="158"/>
      <c r="T33" s="159">
        <f t="shared" si="11"/>
        <v>0</v>
      </c>
      <c r="U33" s="30"/>
      <c r="V33" s="30"/>
      <c r="W33" s="30"/>
      <c r="X33" s="30"/>
      <c r="Y33" s="238"/>
      <c r="Z33" s="242"/>
      <c r="AA33" s="33"/>
      <c r="AB33" s="160"/>
      <c r="AC33" s="161"/>
      <c r="AD33" s="162"/>
      <c r="AE33" s="163"/>
      <c r="AF33" s="23">
        <f t="shared" si="1"/>
        <v>0</v>
      </c>
      <c r="AG33" s="161">
        <f t="shared" si="2"/>
        <v>0</v>
      </c>
      <c r="AH33" s="164">
        <f t="shared" si="12"/>
        <v>0</v>
      </c>
      <c r="AI33" s="23"/>
      <c r="AJ33" s="23"/>
      <c r="AK33" s="165"/>
      <c r="AL33" s="161"/>
      <c r="AM33" s="166"/>
      <c r="AN33" s="161"/>
      <c r="AO33" s="166"/>
      <c r="AP33" s="161"/>
      <c r="AQ33" s="161"/>
      <c r="AR33" s="161"/>
      <c r="AS33" s="167">
        <v>35000</v>
      </c>
      <c r="AT33" s="167">
        <v>30000</v>
      </c>
      <c r="AU33" s="167"/>
      <c r="AV33" s="167"/>
      <c r="AW33" s="167"/>
      <c r="AX33" s="167">
        <f t="shared" si="4"/>
        <v>65000</v>
      </c>
      <c r="AY33" s="168">
        <f t="shared" si="5"/>
        <v>-65000</v>
      </c>
      <c r="AZ33" s="168">
        <f t="shared" si="6"/>
        <v>-65000</v>
      </c>
      <c r="BA33" s="168">
        <f t="shared" si="7"/>
        <v>0</v>
      </c>
      <c r="BB33" s="168">
        <f t="shared" si="13"/>
        <v>-32500</v>
      </c>
      <c r="BC33" s="168">
        <f t="shared" si="14"/>
        <v>-29250</v>
      </c>
      <c r="BD33" s="169">
        <v>50000</v>
      </c>
      <c r="BE33" s="169"/>
      <c r="BF33" s="168">
        <f t="shared" si="10"/>
        <v>-79250</v>
      </c>
      <c r="BG33" s="33"/>
      <c r="BH33" s="16"/>
      <c r="BI33" s="16"/>
    </row>
    <row r="34" spans="1:61" ht="16.899999999999999">
      <c r="A34" s="36">
        <v>33</v>
      </c>
      <c r="B34" s="35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5"/>
      <c r="P34" s="33"/>
      <c r="Q34" s="33"/>
      <c r="R34" s="158"/>
      <c r="S34" s="158"/>
      <c r="T34" s="159">
        <f t="shared" si="11"/>
        <v>0</v>
      </c>
      <c r="U34" s="30"/>
      <c r="V34" s="30"/>
      <c r="W34" s="30"/>
      <c r="X34" s="30"/>
      <c r="Y34" s="238"/>
      <c r="Z34" s="242"/>
      <c r="AA34" s="33"/>
      <c r="AB34" s="160"/>
      <c r="AC34" s="161"/>
      <c r="AD34" s="162"/>
      <c r="AE34" s="163"/>
      <c r="AF34" s="23">
        <f t="shared" si="1"/>
        <v>0</v>
      </c>
      <c r="AG34" s="161">
        <f t="shared" si="2"/>
        <v>0</v>
      </c>
      <c r="AH34" s="164">
        <f t="shared" si="12"/>
        <v>0</v>
      </c>
      <c r="AI34" s="23"/>
      <c r="AJ34" s="23"/>
      <c r="AK34" s="165"/>
      <c r="AL34" s="161"/>
      <c r="AM34" s="166"/>
      <c r="AN34" s="161"/>
      <c r="AO34" s="166"/>
      <c r="AP34" s="161"/>
      <c r="AQ34" s="161"/>
      <c r="AR34" s="161"/>
      <c r="AS34" s="167">
        <v>35000</v>
      </c>
      <c r="AT34" s="167">
        <v>30000</v>
      </c>
      <c r="AU34" s="167"/>
      <c r="AV34" s="167"/>
      <c r="AW34" s="167"/>
      <c r="AX34" s="167">
        <f t="shared" si="4"/>
        <v>65000</v>
      </c>
      <c r="AY34" s="168">
        <f t="shared" si="5"/>
        <v>-65000</v>
      </c>
      <c r="AZ34" s="168">
        <f t="shared" si="6"/>
        <v>-65000</v>
      </c>
      <c r="BA34" s="168">
        <f t="shared" si="7"/>
        <v>0</v>
      </c>
      <c r="BB34" s="168">
        <f t="shared" si="13"/>
        <v>-32500</v>
      </c>
      <c r="BC34" s="168">
        <f t="shared" si="14"/>
        <v>-29250</v>
      </c>
      <c r="BD34" s="169">
        <v>50000</v>
      </c>
      <c r="BE34" s="169"/>
      <c r="BF34" s="168">
        <f t="shared" si="10"/>
        <v>-79250</v>
      </c>
      <c r="BG34" s="33"/>
      <c r="BH34" s="16"/>
      <c r="BI34" s="16"/>
    </row>
    <row r="35" spans="1:61" ht="16.899999999999999">
      <c r="A35" s="36">
        <v>34</v>
      </c>
      <c r="B35" s="35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5"/>
      <c r="P35" s="33"/>
      <c r="Q35" s="33"/>
      <c r="R35" s="158"/>
      <c r="S35" s="158"/>
      <c r="T35" s="159">
        <f t="shared" si="11"/>
        <v>0</v>
      </c>
      <c r="U35" s="30"/>
      <c r="V35" s="30"/>
      <c r="W35" s="30"/>
      <c r="X35" s="30"/>
      <c r="Y35" s="238"/>
      <c r="Z35" s="242"/>
      <c r="AA35" s="33"/>
      <c r="AB35" s="160"/>
      <c r="AC35" s="161"/>
      <c r="AD35" s="162"/>
      <c r="AE35" s="163"/>
      <c r="AF35" s="23">
        <f t="shared" si="1"/>
        <v>0</v>
      </c>
      <c r="AG35" s="161">
        <f t="shared" si="2"/>
        <v>0</v>
      </c>
      <c r="AH35" s="164">
        <f t="shared" si="12"/>
        <v>0</v>
      </c>
      <c r="AI35" s="23"/>
      <c r="AJ35" s="23"/>
      <c r="AK35" s="165"/>
      <c r="AL35" s="161"/>
      <c r="AM35" s="166"/>
      <c r="AN35" s="161"/>
      <c r="AO35" s="166"/>
      <c r="AP35" s="161"/>
      <c r="AQ35" s="161"/>
      <c r="AR35" s="161"/>
      <c r="AS35" s="167">
        <v>35000</v>
      </c>
      <c r="AT35" s="167">
        <v>30000</v>
      </c>
      <c r="AU35" s="167"/>
      <c r="AV35" s="167"/>
      <c r="AW35" s="167"/>
      <c r="AX35" s="167">
        <f t="shared" si="4"/>
        <v>65000</v>
      </c>
      <c r="AY35" s="168">
        <f t="shared" si="5"/>
        <v>-65000</v>
      </c>
      <c r="AZ35" s="168">
        <f t="shared" si="6"/>
        <v>-65000</v>
      </c>
      <c r="BA35" s="168">
        <f t="shared" si="7"/>
        <v>0</v>
      </c>
      <c r="BB35" s="168">
        <f t="shared" si="13"/>
        <v>-32500</v>
      </c>
      <c r="BC35" s="168">
        <f t="shared" si="14"/>
        <v>-29250</v>
      </c>
      <c r="BD35" s="169">
        <v>50000</v>
      </c>
      <c r="BE35" s="169"/>
      <c r="BF35" s="168">
        <f t="shared" si="10"/>
        <v>-79250</v>
      </c>
      <c r="BG35" s="33"/>
      <c r="BH35" s="16"/>
      <c r="BI35" s="16"/>
    </row>
    <row r="36" spans="1:61" ht="16.899999999999999">
      <c r="A36" s="36">
        <v>35</v>
      </c>
      <c r="B36" s="35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5"/>
      <c r="P36" s="33"/>
      <c r="Q36" s="33"/>
      <c r="R36" s="158"/>
      <c r="S36" s="158"/>
      <c r="T36" s="159">
        <f t="shared" si="11"/>
        <v>0</v>
      </c>
      <c r="U36" s="30"/>
      <c r="V36" s="30"/>
      <c r="W36" s="30"/>
      <c r="X36" s="30"/>
      <c r="Y36" s="238"/>
      <c r="Z36" s="242"/>
      <c r="AA36" s="33"/>
      <c r="AB36" s="160"/>
      <c r="AC36" s="161"/>
      <c r="AD36" s="162"/>
      <c r="AE36" s="163"/>
      <c r="AF36" s="23">
        <f t="shared" si="1"/>
        <v>0</v>
      </c>
      <c r="AG36" s="161">
        <f t="shared" si="2"/>
        <v>0</v>
      </c>
      <c r="AH36" s="164">
        <f t="shared" si="12"/>
        <v>0</v>
      </c>
      <c r="AI36" s="23"/>
      <c r="AJ36" s="23"/>
      <c r="AK36" s="165"/>
      <c r="AL36" s="161"/>
      <c r="AM36" s="166"/>
      <c r="AN36" s="161"/>
      <c r="AO36" s="166"/>
      <c r="AP36" s="161"/>
      <c r="AQ36" s="161"/>
      <c r="AR36" s="161"/>
      <c r="AS36" s="167">
        <v>35000</v>
      </c>
      <c r="AT36" s="167">
        <v>30000</v>
      </c>
      <c r="AU36" s="167"/>
      <c r="AV36" s="167"/>
      <c r="AW36" s="167"/>
      <c r="AX36" s="167">
        <f t="shared" si="4"/>
        <v>65000</v>
      </c>
      <c r="AY36" s="168">
        <f t="shared" si="5"/>
        <v>-65000</v>
      </c>
      <c r="AZ36" s="168">
        <f t="shared" si="6"/>
        <v>-65000</v>
      </c>
      <c r="BA36" s="168">
        <f t="shared" si="7"/>
        <v>0</v>
      </c>
      <c r="BB36" s="168">
        <f t="shared" si="13"/>
        <v>-32500</v>
      </c>
      <c r="BC36" s="168">
        <f t="shared" si="14"/>
        <v>-29250</v>
      </c>
      <c r="BD36" s="169">
        <v>50000</v>
      </c>
      <c r="BE36" s="169"/>
      <c r="BF36" s="168">
        <f t="shared" si="10"/>
        <v>-79250</v>
      </c>
      <c r="BG36" s="33"/>
      <c r="BH36" s="16"/>
      <c r="BI36" s="16"/>
    </row>
    <row r="37" spans="1:61" ht="16.899999999999999">
      <c r="A37" s="36">
        <v>36</v>
      </c>
      <c r="B37" s="35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5"/>
      <c r="P37" s="33"/>
      <c r="Q37" s="33"/>
      <c r="R37" s="158"/>
      <c r="S37" s="158"/>
      <c r="T37" s="159">
        <f t="shared" si="11"/>
        <v>0</v>
      </c>
      <c r="U37" s="30"/>
      <c r="V37" s="30"/>
      <c r="W37" s="30"/>
      <c r="X37" s="30"/>
      <c r="Y37" s="238"/>
      <c r="Z37" s="242"/>
      <c r="AA37" s="33"/>
      <c r="AB37" s="160"/>
      <c r="AC37" s="161"/>
      <c r="AD37" s="162"/>
      <c r="AE37" s="163"/>
      <c r="AF37" s="23">
        <f t="shared" si="1"/>
        <v>0</v>
      </c>
      <c r="AG37" s="161">
        <f t="shared" si="2"/>
        <v>0</v>
      </c>
      <c r="AH37" s="164">
        <f t="shared" si="12"/>
        <v>0</v>
      </c>
      <c r="AI37" s="23"/>
      <c r="AJ37" s="23"/>
      <c r="AK37" s="165"/>
      <c r="AL37" s="161"/>
      <c r="AM37" s="166"/>
      <c r="AN37" s="161"/>
      <c r="AO37" s="166"/>
      <c r="AP37" s="161"/>
      <c r="AQ37" s="161"/>
      <c r="AR37" s="161"/>
      <c r="AS37" s="167">
        <v>35000</v>
      </c>
      <c r="AT37" s="167">
        <v>30000</v>
      </c>
      <c r="AU37" s="167"/>
      <c r="AV37" s="167"/>
      <c r="AW37" s="167"/>
      <c r="AX37" s="167">
        <f t="shared" si="4"/>
        <v>65000</v>
      </c>
      <c r="AY37" s="168">
        <f t="shared" si="5"/>
        <v>-65000</v>
      </c>
      <c r="AZ37" s="168">
        <f t="shared" si="6"/>
        <v>-65000</v>
      </c>
      <c r="BA37" s="168">
        <f t="shared" si="7"/>
        <v>0</v>
      </c>
      <c r="BB37" s="168">
        <f t="shared" si="13"/>
        <v>-32500</v>
      </c>
      <c r="BC37" s="168">
        <f t="shared" si="14"/>
        <v>-29250</v>
      </c>
      <c r="BD37" s="169">
        <v>50000</v>
      </c>
      <c r="BE37" s="169"/>
      <c r="BF37" s="168">
        <f t="shared" si="10"/>
        <v>-79250</v>
      </c>
      <c r="BG37" s="33"/>
      <c r="BH37" s="16"/>
      <c r="BI37" s="16"/>
    </row>
    <row r="38" spans="1:61" ht="16.899999999999999">
      <c r="A38" s="36">
        <v>37</v>
      </c>
      <c r="B38" s="35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5"/>
      <c r="P38" s="33"/>
      <c r="Q38" s="33"/>
      <c r="R38" s="158"/>
      <c r="S38" s="158"/>
      <c r="T38" s="159">
        <f t="shared" si="11"/>
        <v>0</v>
      </c>
      <c r="U38" s="30"/>
      <c r="V38" s="30"/>
      <c r="W38" s="30"/>
      <c r="X38" s="30"/>
      <c r="Y38" s="238"/>
      <c r="Z38" s="242"/>
      <c r="AA38" s="33"/>
      <c r="AB38" s="160"/>
      <c r="AC38" s="161"/>
      <c r="AD38" s="162"/>
      <c r="AE38" s="163"/>
      <c r="AF38" s="23">
        <f t="shared" si="1"/>
        <v>0</v>
      </c>
      <c r="AG38" s="161">
        <f t="shared" si="2"/>
        <v>0</v>
      </c>
      <c r="AH38" s="164">
        <f t="shared" si="12"/>
        <v>0</v>
      </c>
      <c r="AI38" s="23"/>
      <c r="AJ38" s="23"/>
      <c r="AK38" s="165"/>
      <c r="AL38" s="161"/>
      <c r="AM38" s="166"/>
      <c r="AN38" s="161"/>
      <c r="AO38" s="166"/>
      <c r="AP38" s="161"/>
      <c r="AQ38" s="161"/>
      <c r="AR38" s="161"/>
      <c r="AS38" s="167">
        <v>35000</v>
      </c>
      <c r="AT38" s="167">
        <v>30000</v>
      </c>
      <c r="AU38" s="167"/>
      <c r="AV38" s="167"/>
      <c r="AW38" s="167"/>
      <c r="AX38" s="167">
        <f t="shared" si="4"/>
        <v>65000</v>
      </c>
      <c r="AY38" s="168">
        <f t="shared" si="5"/>
        <v>-65000</v>
      </c>
      <c r="AZ38" s="168">
        <f t="shared" si="6"/>
        <v>-65000</v>
      </c>
      <c r="BA38" s="168">
        <f t="shared" si="7"/>
        <v>0</v>
      </c>
      <c r="BB38" s="168">
        <f t="shared" si="13"/>
        <v>-32500</v>
      </c>
      <c r="BC38" s="168">
        <f t="shared" si="14"/>
        <v>-29250</v>
      </c>
      <c r="BD38" s="169">
        <v>50000</v>
      </c>
      <c r="BE38" s="169"/>
      <c r="BF38" s="168">
        <f t="shared" si="10"/>
        <v>-79250</v>
      </c>
      <c r="BG38" s="33"/>
      <c r="BH38" s="16"/>
      <c r="BI38" s="16"/>
    </row>
    <row r="39" spans="1:61" ht="16.899999999999999">
      <c r="A39" s="36">
        <v>38</v>
      </c>
      <c r="B39" s="35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5"/>
      <c r="P39" s="33"/>
      <c r="Q39" s="33"/>
      <c r="R39" s="158"/>
      <c r="S39" s="158"/>
      <c r="T39" s="159">
        <f t="shared" si="11"/>
        <v>0</v>
      </c>
      <c r="U39" s="30"/>
      <c r="V39" s="30"/>
      <c r="W39" s="30"/>
      <c r="X39" s="30"/>
      <c r="Y39" s="238"/>
      <c r="Z39" s="242"/>
      <c r="AA39" s="33"/>
      <c r="AB39" s="160"/>
      <c r="AC39" s="161"/>
      <c r="AD39" s="162"/>
      <c r="AE39" s="163"/>
      <c r="AF39" s="23">
        <f t="shared" si="1"/>
        <v>0</v>
      </c>
      <c r="AG39" s="161">
        <f t="shared" si="2"/>
        <v>0</v>
      </c>
      <c r="AH39" s="164">
        <f t="shared" si="12"/>
        <v>0</v>
      </c>
      <c r="AI39" s="23"/>
      <c r="AJ39" s="23"/>
      <c r="AK39" s="165"/>
      <c r="AL39" s="161"/>
      <c r="AM39" s="166"/>
      <c r="AN39" s="161"/>
      <c r="AO39" s="166"/>
      <c r="AP39" s="161"/>
      <c r="AQ39" s="161"/>
      <c r="AR39" s="161"/>
      <c r="AS39" s="167">
        <v>35000</v>
      </c>
      <c r="AT39" s="167">
        <v>30000</v>
      </c>
      <c r="AU39" s="167"/>
      <c r="AV39" s="167"/>
      <c r="AW39" s="167"/>
      <c r="AX39" s="167">
        <f t="shared" si="4"/>
        <v>65000</v>
      </c>
      <c r="AY39" s="168">
        <f t="shared" si="5"/>
        <v>-65000</v>
      </c>
      <c r="AZ39" s="168">
        <f t="shared" si="6"/>
        <v>-65000</v>
      </c>
      <c r="BA39" s="168">
        <f t="shared" si="7"/>
        <v>0</v>
      </c>
      <c r="BB39" s="168">
        <f t="shared" si="13"/>
        <v>-32500</v>
      </c>
      <c r="BC39" s="168">
        <f t="shared" si="14"/>
        <v>-29250</v>
      </c>
      <c r="BD39" s="169">
        <v>50000</v>
      </c>
      <c r="BE39" s="169"/>
      <c r="BF39" s="168">
        <f t="shared" si="10"/>
        <v>-79250</v>
      </c>
      <c r="BG39" s="33"/>
      <c r="BH39" s="16"/>
      <c r="BI39" s="16"/>
    </row>
    <row r="40" spans="1:61" ht="16.899999999999999">
      <c r="A40" s="36">
        <v>39</v>
      </c>
      <c r="B40" s="35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5"/>
      <c r="P40" s="33"/>
      <c r="Q40" s="33"/>
      <c r="R40" s="158"/>
      <c r="S40" s="158"/>
      <c r="T40" s="159">
        <f t="shared" si="11"/>
        <v>0</v>
      </c>
      <c r="U40" s="30"/>
      <c r="V40" s="30"/>
      <c r="W40" s="30"/>
      <c r="X40" s="30"/>
      <c r="Y40" s="238"/>
      <c r="Z40" s="242"/>
      <c r="AA40" s="33"/>
      <c r="AB40" s="160"/>
      <c r="AC40" s="161"/>
      <c r="AD40" s="162"/>
      <c r="AE40" s="163"/>
      <c r="AF40" s="23">
        <f t="shared" si="1"/>
        <v>0</v>
      </c>
      <c r="AG40" s="161">
        <f t="shared" si="2"/>
        <v>0</v>
      </c>
      <c r="AH40" s="164">
        <f t="shared" si="12"/>
        <v>0</v>
      </c>
      <c r="AI40" s="23"/>
      <c r="AJ40" s="23"/>
      <c r="AK40" s="166"/>
      <c r="AL40" s="161"/>
      <c r="AM40" s="166"/>
      <c r="AN40" s="161"/>
      <c r="AO40" s="166"/>
      <c r="AP40" s="161"/>
      <c r="AQ40" s="161"/>
      <c r="AR40" s="161"/>
      <c r="AS40" s="167">
        <v>35000</v>
      </c>
      <c r="AT40" s="167">
        <v>30000</v>
      </c>
      <c r="AU40" s="167"/>
      <c r="AV40" s="167"/>
      <c r="AW40" s="167"/>
      <c r="AX40" s="167">
        <f t="shared" si="4"/>
        <v>65000</v>
      </c>
      <c r="AY40" s="168">
        <f t="shared" si="5"/>
        <v>-65000</v>
      </c>
      <c r="AZ40" s="168">
        <f t="shared" si="6"/>
        <v>-65000</v>
      </c>
      <c r="BA40" s="168">
        <f t="shared" si="7"/>
        <v>0</v>
      </c>
      <c r="BB40" s="168">
        <f t="shared" si="13"/>
        <v>-32500</v>
      </c>
      <c r="BC40" s="168">
        <f t="shared" si="14"/>
        <v>-29250</v>
      </c>
      <c r="BD40" s="169">
        <v>50000</v>
      </c>
      <c r="BE40" s="169"/>
      <c r="BF40" s="168">
        <f t="shared" si="10"/>
        <v>-79250</v>
      </c>
      <c r="BG40" s="33"/>
      <c r="BH40" s="16"/>
      <c r="BI40" s="16"/>
    </row>
    <row r="41" spans="1:61" ht="16.899999999999999">
      <c r="A41" s="36">
        <v>40</v>
      </c>
      <c r="B41" s="35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5"/>
      <c r="P41" s="33"/>
      <c r="Q41" s="33"/>
      <c r="R41" s="158"/>
      <c r="S41" s="158"/>
      <c r="T41" s="159">
        <f t="shared" si="11"/>
        <v>0</v>
      </c>
      <c r="U41" s="30"/>
      <c r="V41" s="30"/>
      <c r="W41" s="30"/>
      <c r="X41" s="30"/>
      <c r="Y41" s="238"/>
      <c r="Z41" s="242"/>
      <c r="AA41" s="33"/>
      <c r="AB41" s="160"/>
      <c r="AC41" s="161"/>
      <c r="AD41" s="162"/>
      <c r="AE41" s="163"/>
      <c r="AF41" s="23">
        <f t="shared" si="1"/>
        <v>0</v>
      </c>
      <c r="AG41" s="161">
        <f t="shared" si="2"/>
        <v>0</v>
      </c>
      <c r="AH41" s="164">
        <f t="shared" si="12"/>
        <v>0</v>
      </c>
      <c r="AI41" s="23"/>
      <c r="AJ41" s="23"/>
      <c r="AK41" s="165"/>
      <c r="AL41" s="161"/>
      <c r="AM41" s="166"/>
      <c r="AN41" s="161"/>
      <c r="AO41" s="166"/>
      <c r="AP41" s="161"/>
      <c r="AQ41" s="161"/>
      <c r="AR41" s="161"/>
      <c r="AS41" s="167">
        <v>35000</v>
      </c>
      <c r="AT41" s="167">
        <v>30000</v>
      </c>
      <c r="AU41" s="167"/>
      <c r="AV41" s="167"/>
      <c r="AW41" s="167"/>
      <c r="AX41" s="167">
        <f t="shared" si="4"/>
        <v>65000</v>
      </c>
      <c r="AY41" s="168">
        <f t="shared" si="5"/>
        <v>-65000</v>
      </c>
      <c r="AZ41" s="168">
        <f t="shared" si="6"/>
        <v>-65000</v>
      </c>
      <c r="BA41" s="168">
        <f t="shared" si="7"/>
        <v>0</v>
      </c>
      <c r="BB41" s="168">
        <f t="shared" si="13"/>
        <v>-32500</v>
      </c>
      <c r="BC41" s="168">
        <f t="shared" si="14"/>
        <v>-29250</v>
      </c>
      <c r="BD41" s="169">
        <v>50000</v>
      </c>
      <c r="BE41" s="169"/>
      <c r="BF41" s="168">
        <f t="shared" si="10"/>
        <v>-79250</v>
      </c>
      <c r="BG41" s="33"/>
      <c r="BH41" s="16"/>
      <c r="BI41" s="16"/>
    </row>
    <row r="42" spans="1:61" ht="16.899999999999999">
      <c r="A42" s="36">
        <v>41</v>
      </c>
      <c r="B42" s="35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5"/>
      <c r="P42" s="33"/>
      <c r="Q42" s="33"/>
      <c r="R42" s="158"/>
      <c r="S42" s="158"/>
      <c r="T42" s="159">
        <f t="shared" si="11"/>
        <v>0</v>
      </c>
      <c r="U42" s="30"/>
      <c r="V42" s="30"/>
      <c r="W42" s="30"/>
      <c r="X42" s="30"/>
      <c r="Y42" s="238"/>
      <c r="Z42" s="242"/>
      <c r="AA42" s="33"/>
      <c r="AB42" s="160"/>
      <c r="AC42" s="161"/>
      <c r="AD42" s="162"/>
      <c r="AE42" s="163"/>
      <c r="AF42" s="23">
        <f t="shared" si="1"/>
        <v>0</v>
      </c>
      <c r="AG42" s="161">
        <f t="shared" si="2"/>
        <v>0</v>
      </c>
      <c r="AH42" s="164">
        <f t="shared" si="12"/>
        <v>0</v>
      </c>
      <c r="AI42" s="23"/>
      <c r="AJ42" s="23"/>
      <c r="AK42" s="165"/>
      <c r="AL42" s="161"/>
      <c r="AM42" s="166"/>
      <c r="AN42" s="161"/>
      <c r="AO42" s="166"/>
      <c r="AP42" s="161"/>
      <c r="AQ42" s="161"/>
      <c r="AR42" s="161"/>
      <c r="AS42" s="167">
        <v>35000</v>
      </c>
      <c r="AT42" s="167">
        <v>30000</v>
      </c>
      <c r="AU42" s="167"/>
      <c r="AV42" s="167"/>
      <c r="AW42" s="167"/>
      <c r="AX42" s="167">
        <f t="shared" si="4"/>
        <v>65000</v>
      </c>
      <c r="AY42" s="168">
        <f t="shared" si="5"/>
        <v>-65000</v>
      </c>
      <c r="AZ42" s="168">
        <f t="shared" si="6"/>
        <v>-65000</v>
      </c>
      <c r="BA42" s="168">
        <f t="shared" si="7"/>
        <v>0</v>
      </c>
      <c r="BB42" s="168">
        <f t="shared" si="13"/>
        <v>-32500</v>
      </c>
      <c r="BC42" s="168">
        <f t="shared" si="14"/>
        <v>-29250</v>
      </c>
      <c r="BD42" s="169">
        <v>50000</v>
      </c>
      <c r="BE42" s="169"/>
      <c r="BF42" s="168">
        <f t="shared" si="10"/>
        <v>-79250</v>
      </c>
      <c r="BG42" s="33"/>
      <c r="BH42" s="16"/>
      <c r="BI42" s="16"/>
    </row>
    <row r="43" spans="1:61" ht="16.899999999999999">
      <c r="A43" s="36">
        <v>42</v>
      </c>
      <c r="B43" s="35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5"/>
      <c r="P43" s="33"/>
      <c r="Q43" s="33"/>
      <c r="R43" s="158"/>
      <c r="S43" s="158"/>
      <c r="T43" s="159">
        <f t="shared" si="11"/>
        <v>0</v>
      </c>
      <c r="U43" s="30"/>
      <c r="V43" s="30"/>
      <c r="W43" s="30"/>
      <c r="X43" s="30"/>
      <c r="Y43" s="238"/>
      <c r="Z43" s="242"/>
      <c r="AA43" s="33"/>
      <c r="AB43" s="160"/>
      <c r="AC43" s="161"/>
      <c r="AD43" s="162"/>
      <c r="AE43" s="163"/>
      <c r="AF43" s="23">
        <f t="shared" si="1"/>
        <v>0</v>
      </c>
      <c r="AG43" s="161">
        <f t="shared" si="2"/>
        <v>0</v>
      </c>
      <c r="AH43" s="164">
        <f t="shared" si="12"/>
        <v>0</v>
      </c>
      <c r="AI43" s="23"/>
      <c r="AJ43" s="23"/>
      <c r="AK43" s="165"/>
      <c r="AL43" s="161"/>
      <c r="AM43" s="166"/>
      <c r="AN43" s="161"/>
      <c r="AO43" s="166"/>
      <c r="AP43" s="161"/>
      <c r="AQ43" s="161"/>
      <c r="AR43" s="161"/>
      <c r="AS43" s="167">
        <v>35000</v>
      </c>
      <c r="AT43" s="167">
        <v>30000</v>
      </c>
      <c r="AU43" s="167"/>
      <c r="AV43" s="167"/>
      <c r="AW43" s="167"/>
      <c r="AX43" s="167">
        <f t="shared" si="4"/>
        <v>65000</v>
      </c>
      <c r="AY43" s="168">
        <f t="shared" si="5"/>
        <v>-65000</v>
      </c>
      <c r="AZ43" s="168">
        <f t="shared" si="6"/>
        <v>-65000</v>
      </c>
      <c r="BA43" s="168">
        <f t="shared" si="7"/>
        <v>0</v>
      </c>
      <c r="BB43" s="168">
        <f t="shared" si="13"/>
        <v>-32500</v>
      </c>
      <c r="BC43" s="168">
        <f t="shared" si="14"/>
        <v>-29250</v>
      </c>
      <c r="BD43" s="169">
        <v>50000</v>
      </c>
      <c r="BE43" s="169"/>
      <c r="BF43" s="168">
        <f t="shared" si="10"/>
        <v>-79250</v>
      </c>
      <c r="BG43" s="33"/>
      <c r="BH43" s="16"/>
      <c r="BI43" s="16"/>
    </row>
    <row r="44" spans="1:61" ht="16.899999999999999">
      <c r="A44" s="36">
        <v>43</v>
      </c>
      <c r="B44" s="35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5"/>
      <c r="P44" s="33"/>
      <c r="Q44" s="33"/>
      <c r="R44" s="158"/>
      <c r="S44" s="158"/>
      <c r="T44" s="159">
        <f t="shared" si="11"/>
        <v>0</v>
      </c>
      <c r="U44" s="30"/>
      <c r="V44" s="30"/>
      <c r="W44" s="30"/>
      <c r="X44" s="30"/>
      <c r="Y44" s="238"/>
      <c r="Z44" s="242"/>
      <c r="AA44" s="33"/>
      <c r="AB44" s="160"/>
      <c r="AC44" s="161"/>
      <c r="AD44" s="162"/>
      <c r="AE44" s="163"/>
      <c r="AF44" s="23">
        <f t="shared" si="1"/>
        <v>0</v>
      </c>
      <c r="AG44" s="161">
        <f t="shared" si="2"/>
        <v>0</v>
      </c>
      <c r="AH44" s="164">
        <f t="shared" si="12"/>
        <v>0</v>
      </c>
      <c r="AI44" s="23"/>
      <c r="AJ44" s="23"/>
      <c r="AK44" s="165"/>
      <c r="AL44" s="161"/>
      <c r="AM44" s="166"/>
      <c r="AN44" s="161"/>
      <c r="AO44" s="166"/>
      <c r="AP44" s="161"/>
      <c r="AQ44" s="161"/>
      <c r="AR44" s="161"/>
      <c r="AS44" s="167">
        <v>35000</v>
      </c>
      <c r="AT44" s="167">
        <v>30000</v>
      </c>
      <c r="AU44" s="167"/>
      <c r="AV44" s="167"/>
      <c r="AW44" s="167"/>
      <c r="AX44" s="167">
        <f t="shared" si="4"/>
        <v>65000</v>
      </c>
      <c r="AY44" s="168">
        <f t="shared" si="5"/>
        <v>-65000</v>
      </c>
      <c r="AZ44" s="168">
        <f t="shared" si="6"/>
        <v>-65000</v>
      </c>
      <c r="BA44" s="168">
        <f t="shared" si="7"/>
        <v>0</v>
      </c>
      <c r="BB44" s="168">
        <f t="shared" si="13"/>
        <v>-32500</v>
      </c>
      <c r="BC44" s="168">
        <f t="shared" si="14"/>
        <v>-29250</v>
      </c>
      <c r="BD44" s="169">
        <v>50000</v>
      </c>
      <c r="BE44" s="169"/>
      <c r="BF44" s="168">
        <f t="shared" si="10"/>
        <v>-79250</v>
      </c>
      <c r="BG44" s="33"/>
      <c r="BH44" s="16"/>
      <c r="BI44" s="16"/>
    </row>
    <row r="45" spans="1:61" ht="16.899999999999999">
      <c r="A45" s="36">
        <v>44</v>
      </c>
      <c r="B45" s="35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5"/>
      <c r="P45" s="33"/>
      <c r="Q45" s="33"/>
      <c r="R45" s="158"/>
      <c r="S45" s="158"/>
      <c r="T45" s="159">
        <f t="shared" si="11"/>
        <v>0</v>
      </c>
      <c r="U45" s="30"/>
      <c r="V45" s="30"/>
      <c r="W45" s="30"/>
      <c r="X45" s="30"/>
      <c r="Y45" s="238"/>
      <c r="Z45" s="242"/>
      <c r="AA45" s="33"/>
      <c r="AB45" s="160"/>
      <c r="AC45" s="161"/>
      <c r="AD45" s="162"/>
      <c r="AE45" s="163"/>
      <c r="AF45" s="23">
        <f t="shared" si="1"/>
        <v>0</v>
      </c>
      <c r="AG45" s="161">
        <f t="shared" si="2"/>
        <v>0</v>
      </c>
      <c r="AH45" s="164">
        <f t="shared" si="12"/>
        <v>0</v>
      </c>
      <c r="AI45" s="23"/>
      <c r="AJ45" s="23"/>
      <c r="AK45" s="165"/>
      <c r="AL45" s="161"/>
      <c r="AM45" s="166"/>
      <c r="AN45" s="161"/>
      <c r="AO45" s="166"/>
      <c r="AP45" s="161"/>
      <c r="AQ45" s="161"/>
      <c r="AR45" s="161"/>
      <c r="AS45" s="167">
        <v>35000</v>
      </c>
      <c r="AT45" s="167">
        <v>30000</v>
      </c>
      <c r="AU45" s="167"/>
      <c r="AV45" s="167"/>
      <c r="AW45" s="167"/>
      <c r="AX45" s="167">
        <f t="shared" si="4"/>
        <v>65000</v>
      </c>
      <c r="AY45" s="168">
        <f t="shared" si="5"/>
        <v>-65000</v>
      </c>
      <c r="AZ45" s="168">
        <f t="shared" si="6"/>
        <v>-65000</v>
      </c>
      <c r="BA45" s="168">
        <f t="shared" si="7"/>
        <v>0</v>
      </c>
      <c r="BB45" s="168">
        <f t="shared" si="13"/>
        <v>-32500</v>
      </c>
      <c r="BC45" s="168">
        <f t="shared" si="14"/>
        <v>-29250</v>
      </c>
      <c r="BD45" s="169">
        <v>50000</v>
      </c>
      <c r="BE45" s="169"/>
      <c r="BF45" s="168">
        <f t="shared" si="10"/>
        <v>-79250</v>
      </c>
      <c r="BG45" s="33"/>
      <c r="BH45" s="16"/>
      <c r="BI45" s="16"/>
    </row>
    <row r="46" spans="1:61" ht="16.899999999999999">
      <c r="A46" s="36">
        <v>45</v>
      </c>
      <c r="B46" s="35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5"/>
      <c r="P46" s="33"/>
      <c r="Q46" s="33"/>
      <c r="R46" s="158"/>
      <c r="S46" s="158"/>
      <c r="T46" s="159">
        <f t="shared" si="11"/>
        <v>0</v>
      </c>
      <c r="U46" s="30"/>
      <c r="V46" s="30"/>
      <c r="W46" s="30"/>
      <c r="X46" s="30"/>
      <c r="Y46" s="238"/>
      <c r="Z46" s="242"/>
      <c r="AA46" s="33"/>
      <c r="AB46" s="160"/>
      <c r="AC46" s="161"/>
      <c r="AD46" s="162"/>
      <c r="AE46" s="163"/>
      <c r="AF46" s="23">
        <f t="shared" si="1"/>
        <v>0</v>
      </c>
      <c r="AG46" s="161">
        <f t="shared" si="2"/>
        <v>0</v>
      </c>
      <c r="AH46" s="164">
        <f t="shared" si="12"/>
        <v>0</v>
      </c>
      <c r="AI46" s="37"/>
      <c r="AJ46" s="37"/>
      <c r="AK46" s="165"/>
      <c r="AL46" s="161"/>
      <c r="AM46" s="166"/>
      <c r="AN46" s="161"/>
      <c r="AO46" s="166"/>
      <c r="AP46" s="161"/>
      <c r="AQ46" s="161"/>
      <c r="AR46" s="161"/>
      <c r="AS46" s="167">
        <v>35000</v>
      </c>
      <c r="AT46" s="167">
        <v>30000</v>
      </c>
      <c r="AU46" s="167"/>
      <c r="AV46" s="167"/>
      <c r="AW46" s="167"/>
      <c r="AX46" s="167">
        <f t="shared" si="4"/>
        <v>65000</v>
      </c>
      <c r="AY46" s="168">
        <f t="shared" si="5"/>
        <v>-65000</v>
      </c>
      <c r="AZ46" s="168">
        <f t="shared" si="6"/>
        <v>-65000</v>
      </c>
      <c r="BA46" s="168">
        <f t="shared" si="7"/>
        <v>0</v>
      </c>
      <c r="BB46" s="168">
        <f t="shared" si="13"/>
        <v>-32500</v>
      </c>
      <c r="BC46" s="168">
        <f t="shared" si="14"/>
        <v>-29250</v>
      </c>
      <c r="BD46" s="169">
        <v>50000</v>
      </c>
      <c r="BE46" s="169"/>
      <c r="BF46" s="168">
        <f t="shared" si="10"/>
        <v>-79250</v>
      </c>
      <c r="BG46" s="33"/>
      <c r="BH46" s="16"/>
      <c r="BI46" s="16"/>
    </row>
    <row r="47" spans="1:61" ht="16.899999999999999">
      <c r="A47" s="36">
        <v>46</v>
      </c>
      <c r="B47" s="35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5"/>
      <c r="P47" s="33"/>
      <c r="Q47" s="33"/>
      <c r="R47" s="158"/>
      <c r="S47" s="158"/>
      <c r="T47" s="159">
        <f t="shared" si="11"/>
        <v>0</v>
      </c>
      <c r="U47" s="30"/>
      <c r="V47" s="30"/>
      <c r="W47" s="30"/>
      <c r="X47" s="30"/>
      <c r="Y47" s="238"/>
      <c r="Z47" s="242"/>
      <c r="AA47" s="33"/>
      <c r="AB47" s="160"/>
      <c r="AC47" s="161"/>
      <c r="AD47" s="162"/>
      <c r="AE47" s="163"/>
      <c r="AF47" s="23">
        <f t="shared" si="1"/>
        <v>0</v>
      </c>
      <c r="AG47" s="161">
        <f t="shared" si="2"/>
        <v>0</v>
      </c>
      <c r="AH47" s="164">
        <f t="shared" si="12"/>
        <v>0</v>
      </c>
      <c r="AI47" s="23"/>
      <c r="AJ47" s="23"/>
      <c r="AK47" s="165"/>
      <c r="AL47" s="161"/>
      <c r="AM47" s="166"/>
      <c r="AN47" s="161"/>
      <c r="AO47" s="166"/>
      <c r="AP47" s="161"/>
      <c r="AQ47" s="161"/>
      <c r="AR47" s="161"/>
      <c r="AS47" s="167">
        <v>35000</v>
      </c>
      <c r="AT47" s="167">
        <v>30000</v>
      </c>
      <c r="AU47" s="167"/>
      <c r="AV47" s="167"/>
      <c r="AW47" s="167"/>
      <c r="AX47" s="167">
        <f t="shared" si="4"/>
        <v>65000</v>
      </c>
      <c r="AY47" s="168">
        <f t="shared" si="5"/>
        <v>-65000</v>
      </c>
      <c r="AZ47" s="168">
        <f t="shared" si="6"/>
        <v>-65000</v>
      </c>
      <c r="BA47" s="168">
        <f t="shared" si="7"/>
        <v>0</v>
      </c>
      <c r="BB47" s="168">
        <f t="shared" si="13"/>
        <v>-32500</v>
      </c>
      <c r="BC47" s="168">
        <f t="shared" si="14"/>
        <v>-29250</v>
      </c>
      <c r="BD47" s="169">
        <v>50000</v>
      </c>
      <c r="BE47" s="169"/>
      <c r="BF47" s="168">
        <f t="shared" si="10"/>
        <v>-79250</v>
      </c>
      <c r="BG47" s="33"/>
      <c r="BH47" s="16"/>
      <c r="BI47" s="16"/>
    </row>
    <row r="48" spans="1:61" ht="16.899999999999999">
      <c r="A48" s="36">
        <v>47</v>
      </c>
      <c r="B48" s="35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5"/>
      <c r="P48" s="33"/>
      <c r="Q48" s="33"/>
      <c r="R48" s="158"/>
      <c r="S48" s="158"/>
      <c r="T48" s="159">
        <f t="shared" si="11"/>
        <v>0</v>
      </c>
      <c r="U48" s="30"/>
      <c r="V48" s="30"/>
      <c r="W48" s="30"/>
      <c r="X48" s="30"/>
      <c r="Y48" s="238"/>
      <c r="Z48" s="242"/>
      <c r="AA48" s="33"/>
      <c r="AB48" s="160"/>
      <c r="AC48" s="161"/>
      <c r="AD48" s="162"/>
      <c r="AE48" s="163"/>
      <c r="AF48" s="23">
        <f t="shared" si="1"/>
        <v>0</v>
      </c>
      <c r="AG48" s="161">
        <f t="shared" si="2"/>
        <v>0</v>
      </c>
      <c r="AH48" s="164">
        <f t="shared" si="12"/>
        <v>0</v>
      </c>
      <c r="AI48" s="23"/>
      <c r="AJ48" s="23"/>
      <c r="AK48" s="165"/>
      <c r="AL48" s="161"/>
      <c r="AM48" s="166"/>
      <c r="AN48" s="161"/>
      <c r="AO48" s="166"/>
      <c r="AP48" s="161"/>
      <c r="AQ48" s="161"/>
      <c r="AR48" s="161"/>
      <c r="AS48" s="167">
        <v>35000</v>
      </c>
      <c r="AT48" s="167">
        <v>30000</v>
      </c>
      <c r="AU48" s="167"/>
      <c r="AV48" s="167"/>
      <c r="AW48" s="167"/>
      <c r="AX48" s="167">
        <f t="shared" si="4"/>
        <v>65000</v>
      </c>
      <c r="AY48" s="168">
        <f t="shared" si="5"/>
        <v>-65000</v>
      </c>
      <c r="AZ48" s="168">
        <f t="shared" si="6"/>
        <v>-65000</v>
      </c>
      <c r="BA48" s="168">
        <f t="shared" si="7"/>
        <v>0</v>
      </c>
      <c r="BB48" s="168">
        <f t="shared" si="13"/>
        <v>-32500</v>
      </c>
      <c r="BC48" s="168">
        <f t="shared" si="14"/>
        <v>-29250</v>
      </c>
      <c r="BD48" s="169">
        <v>50000</v>
      </c>
      <c r="BE48" s="169"/>
      <c r="BF48" s="168">
        <f t="shared" si="10"/>
        <v>-79250</v>
      </c>
      <c r="BG48" s="33"/>
      <c r="BH48" s="16"/>
      <c r="BI48" s="16"/>
    </row>
    <row r="49" spans="1:61" ht="16.899999999999999">
      <c r="A49" s="36">
        <v>48</v>
      </c>
      <c r="B49" s="35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5"/>
      <c r="P49" s="33"/>
      <c r="Q49" s="33"/>
      <c r="R49" s="158"/>
      <c r="S49" s="158"/>
      <c r="T49" s="159">
        <f t="shared" si="11"/>
        <v>0</v>
      </c>
      <c r="U49" s="30"/>
      <c r="V49" s="30"/>
      <c r="W49" s="30"/>
      <c r="X49" s="30"/>
      <c r="Y49" s="238"/>
      <c r="Z49" s="242"/>
      <c r="AA49" s="33"/>
      <c r="AB49" s="160"/>
      <c r="AC49" s="161"/>
      <c r="AD49" s="162"/>
      <c r="AE49" s="163"/>
      <c r="AF49" s="23">
        <f t="shared" si="1"/>
        <v>0</v>
      </c>
      <c r="AG49" s="161">
        <f t="shared" si="2"/>
        <v>0</v>
      </c>
      <c r="AH49" s="164">
        <f t="shared" si="12"/>
        <v>0</v>
      </c>
      <c r="AI49" s="23"/>
      <c r="AJ49" s="23"/>
      <c r="AK49" s="165"/>
      <c r="AL49" s="161"/>
      <c r="AM49" s="166"/>
      <c r="AN49" s="161"/>
      <c r="AO49" s="166"/>
      <c r="AP49" s="161"/>
      <c r="AQ49" s="161"/>
      <c r="AR49" s="161"/>
      <c r="AS49" s="167">
        <v>35000</v>
      </c>
      <c r="AT49" s="167">
        <v>30000</v>
      </c>
      <c r="AU49" s="167"/>
      <c r="AV49" s="167"/>
      <c r="AW49" s="167"/>
      <c r="AX49" s="167">
        <f t="shared" si="4"/>
        <v>65000</v>
      </c>
      <c r="AY49" s="168">
        <f t="shared" si="5"/>
        <v>-65000</v>
      </c>
      <c r="AZ49" s="168">
        <f t="shared" si="6"/>
        <v>-65000</v>
      </c>
      <c r="BA49" s="168">
        <f t="shared" si="7"/>
        <v>0</v>
      </c>
      <c r="BB49" s="168">
        <f t="shared" si="13"/>
        <v>-32500</v>
      </c>
      <c r="BC49" s="168">
        <f t="shared" si="14"/>
        <v>-29250</v>
      </c>
      <c r="BD49" s="169">
        <v>50000</v>
      </c>
      <c r="BE49" s="169"/>
      <c r="BF49" s="168">
        <f t="shared" si="10"/>
        <v>-79250</v>
      </c>
      <c r="BG49" s="33"/>
      <c r="BH49" s="16"/>
      <c r="BI49" s="16"/>
    </row>
    <row r="50" spans="1:61" ht="16.899999999999999">
      <c r="A50" s="36">
        <v>49</v>
      </c>
      <c r="B50" s="35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5"/>
      <c r="P50" s="33"/>
      <c r="Q50" s="33"/>
      <c r="R50" s="158"/>
      <c r="S50" s="158"/>
      <c r="T50" s="159">
        <f t="shared" si="11"/>
        <v>0</v>
      </c>
      <c r="U50" s="30"/>
      <c r="V50" s="30"/>
      <c r="W50" s="30"/>
      <c r="X50" s="30"/>
      <c r="Y50" s="238"/>
      <c r="Z50" s="242"/>
      <c r="AA50" s="33"/>
      <c r="AB50" s="160"/>
      <c r="AC50" s="161"/>
      <c r="AD50" s="162"/>
      <c r="AE50" s="163"/>
      <c r="AF50" s="23">
        <f t="shared" si="1"/>
        <v>0</v>
      </c>
      <c r="AG50" s="161">
        <f t="shared" si="2"/>
        <v>0</v>
      </c>
      <c r="AH50" s="164">
        <f t="shared" si="12"/>
        <v>0</v>
      </c>
      <c r="AI50" s="37"/>
      <c r="AJ50" s="37"/>
      <c r="AK50" s="165"/>
      <c r="AL50" s="161"/>
      <c r="AM50" s="166"/>
      <c r="AN50" s="161"/>
      <c r="AO50" s="166"/>
      <c r="AP50" s="161"/>
      <c r="AQ50" s="161"/>
      <c r="AR50" s="161"/>
      <c r="AS50" s="167">
        <v>35000</v>
      </c>
      <c r="AT50" s="167">
        <v>30000</v>
      </c>
      <c r="AU50" s="167"/>
      <c r="AV50" s="167"/>
      <c r="AW50" s="167"/>
      <c r="AX50" s="167">
        <f t="shared" si="4"/>
        <v>65000</v>
      </c>
      <c r="AY50" s="168">
        <f t="shared" si="5"/>
        <v>-65000</v>
      </c>
      <c r="AZ50" s="168">
        <f t="shared" si="6"/>
        <v>-65000</v>
      </c>
      <c r="BA50" s="168">
        <f t="shared" si="7"/>
        <v>0</v>
      </c>
      <c r="BB50" s="168">
        <f t="shared" si="13"/>
        <v>-32500</v>
      </c>
      <c r="BC50" s="168">
        <f t="shared" si="14"/>
        <v>-29250</v>
      </c>
      <c r="BD50" s="169">
        <v>50000</v>
      </c>
      <c r="BE50" s="169"/>
      <c r="BF50" s="168">
        <f t="shared" si="10"/>
        <v>-79250</v>
      </c>
      <c r="BG50" s="33"/>
      <c r="BH50" s="16"/>
      <c r="BI50" s="16"/>
    </row>
    <row r="51" spans="1:61" ht="16.899999999999999">
      <c r="A51" s="36">
        <v>50</v>
      </c>
      <c r="B51" s="35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5"/>
      <c r="P51" s="33"/>
      <c r="Q51" s="33"/>
      <c r="R51" s="158"/>
      <c r="S51" s="158"/>
      <c r="T51" s="159">
        <f t="shared" si="11"/>
        <v>0</v>
      </c>
      <c r="U51" s="30"/>
      <c r="V51" s="30"/>
      <c r="W51" s="30"/>
      <c r="X51" s="30"/>
      <c r="Y51" s="238"/>
      <c r="Z51" s="242"/>
      <c r="AA51" s="33"/>
      <c r="AB51" s="160"/>
      <c r="AC51" s="161"/>
      <c r="AD51" s="162"/>
      <c r="AE51" s="163"/>
      <c r="AF51" s="23">
        <f t="shared" si="1"/>
        <v>0</v>
      </c>
      <c r="AG51" s="161">
        <f t="shared" si="2"/>
        <v>0</v>
      </c>
      <c r="AH51" s="164">
        <f t="shared" si="12"/>
        <v>0</v>
      </c>
      <c r="AI51" s="23"/>
      <c r="AJ51" s="23"/>
      <c r="AK51" s="165"/>
      <c r="AL51" s="161"/>
      <c r="AM51" s="166"/>
      <c r="AN51" s="161"/>
      <c r="AO51" s="166"/>
      <c r="AP51" s="161"/>
      <c r="AQ51" s="161"/>
      <c r="AR51" s="161"/>
      <c r="AS51" s="167">
        <v>35000</v>
      </c>
      <c r="AT51" s="167">
        <v>30000</v>
      </c>
      <c r="AU51" s="167"/>
      <c r="AV51" s="167"/>
      <c r="AW51" s="167"/>
      <c r="AX51" s="167">
        <f t="shared" si="4"/>
        <v>65000</v>
      </c>
      <c r="AY51" s="168">
        <f t="shared" si="5"/>
        <v>-65000</v>
      </c>
      <c r="AZ51" s="168">
        <f t="shared" si="6"/>
        <v>-65000</v>
      </c>
      <c r="BA51" s="168">
        <f t="shared" si="7"/>
        <v>0</v>
      </c>
      <c r="BB51" s="168">
        <f t="shared" si="13"/>
        <v>-32500</v>
      </c>
      <c r="BC51" s="168">
        <f t="shared" si="14"/>
        <v>-29250</v>
      </c>
      <c r="BD51" s="169">
        <v>50000</v>
      </c>
      <c r="BE51" s="169"/>
      <c r="BF51" s="168">
        <f t="shared" si="10"/>
        <v>-79250</v>
      </c>
      <c r="BG51" s="33"/>
      <c r="BH51" s="16"/>
      <c r="BI51" s="16"/>
    </row>
    <row r="52" spans="1:61" ht="16.899999999999999">
      <c r="A52" s="36">
        <v>51</v>
      </c>
      <c r="B52" s="35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5"/>
      <c r="P52" s="33"/>
      <c r="Q52" s="33"/>
      <c r="R52" s="158"/>
      <c r="S52" s="158"/>
      <c r="T52" s="159">
        <f t="shared" si="11"/>
        <v>0</v>
      </c>
      <c r="U52" s="30"/>
      <c r="V52" s="30"/>
      <c r="W52" s="30"/>
      <c r="X52" s="30"/>
      <c r="Y52" s="238"/>
      <c r="Z52" s="242"/>
      <c r="AA52" s="33"/>
      <c r="AB52" s="160"/>
      <c r="AC52" s="161"/>
      <c r="AD52" s="162"/>
      <c r="AE52" s="163"/>
      <c r="AF52" s="23">
        <f t="shared" si="1"/>
        <v>0</v>
      </c>
      <c r="AG52" s="161">
        <f t="shared" si="2"/>
        <v>0</v>
      </c>
      <c r="AH52" s="164">
        <f t="shared" si="12"/>
        <v>0</v>
      </c>
      <c r="AI52" s="23"/>
      <c r="AJ52" s="23"/>
      <c r="AK52" s="165"/>
      <c r="AL52" s="161"/>
      <c r="AM52" s="166"/>
      <c r="AN52" s="161"/>
      <c r="AO52" s="166"/>
      <c r="AP52" s="161"/>
      <c r="AQ52" s="161"/>
      <c r="AR52" s="161"/>
      <c r="AS52" s="167">
        <v>35000</v>
      </c>
      <c r="AT52" s="167">
        <v>30000</v>
      </c>
      <c r="AU52" s="167"/>
      <c r="AV52" s="167"/>
      <c r="AW52" s="167"/>
      <c r="AX52" s="167">
        <f t="shared" si="4"/>
        <v>65000</v>
      </c>
      <c r="AY52" s="168">
        <f t="shared" si="5"/>
        <v>-65000</v>
      </c>
      <c r="AZ52" s="168">
        <f t="shared" si="6"/>
        <v>-65000</v>
      </c>
      <c r="BA52" s="168">
        <f t="shared" si="7"/>
        <v>0</v>
      </c>
      <c r="BB52" s="168">
        <f t="shared" si="13"/>
        <v>-32500</v>
      </c>
      <c r="BC52" s="168">
        <f t="shared" si="14"/>
        <v>-29250</v>
      </c>
      <c r="BD52" s="169">
        <v>50000</v>
      </c>
      <c r="BE52" s="169"/>
      <c r="BF52" s="168">
        <f t="shared" si="10"/>
        <v>-79250</v>
      </c>
      <c r="BG52" s="33"/>
      <c r="BH52" s="16"/>
      <c r="BI52" s="16"/>
    </row>
    <row r="53" spans="1:61" ht="16.5" customHeight="1">
      <c r="A53" s="36">
        <v>52</v>
      </c>
      <c r="B53" s="35"/>
      <c r="C53" s="33"/>
      <c r="D53" s="33"/>
      <c r="E53" s="33"/>
      <c r="F53" s="38"/>
      <c r="G53" s="38"/>
      <c r="H53" s="38"/>
      <c r="I53" s="38"/>
      <c r="J53" s="38"/>
      <c r="K53" s="38"/>
      <c r="L53" s="33"/>
      <c r="M53" s="33"/>
      <c r="N53" s="38"/>
      <c r="O53" s="33"/>
      <c r="P53" s="38"/>
      <c r="Q53" s="216"/>
      <c r="R53" s="158"/>
      <c r="S53" s="160"/>
      <c r="T53" s="159">
        <f t="shared" si="11"/>
        <v>0</v>
      </c>
      <c r="U53" s="30"/>
      <c r="V53" s="30"/>
      <c r="W53" s="30"/>
      <c r="X53" s="30"/>
      <c r="Y53" s="238"/>
      <c r="Z53" s="242"/>
      <c r="AA53" s="38"/>
      <c r="AB53" s="160"/>
      <c r="AC53" s="161"/>
      <c r="AD53" s="162"/>
      <c r="AE53" s="163"/>
      <c r="AF53" s="23">
        <f t="shared" si="1"/>
        <v>0</v>
      </c>
      <c r="AG53" s="161">
        <f t="shared" si="2"/>
        <v>0</v>
      </c>
      <c r="AH53" s="164">
        <f t="shared" si="12"/>
        <v>0</v>
      </c>
      <c r="AI53" s="37"/>
      <c r="AJ53" s="37"/>
      <c r="AK53" s="165"/>
      <c r="AL53" s="161"/>
      <c r="AM53" s="166"/>
      <c r="AN53" s="170"/>
      <c r="AO53" s="166"/>
      <c r="AP53" s="161"/>
      <c r="AQ53" s="161"/>
      <c r="AR53" s="161"/>
      <c r="AS53" s="167">
        <v>35000</v>
      </c>
      <c r="AT53" s="167">
        <v>30000</v>
      </c>
      <c r="AU53" s="167"/>
      <c r="AV53" s="167"/>
      <c r="AW53" s="171"/>
      <c r="AX53" s="167">
        <f t="shared" si="4"/>
        <v>65000</v>
      </c>
      <c r="AY53" s="168">
        <f t="shared" si="5"/>
        <v>-65000</v>
      </c>
      <c r="AZ53" s="168">
        <f t="shared" si="6"/>
        <v>-65000</v>
      </c>
      <c r="BA53" s="168">
        <f t="shared" si="7"/>
        <v>0</v>
      </c>
      <c r="BB53" s="168">
        <f t="shared" si="13"/>
        <v>-32500</v>
      </c>
      <c r="BC53" s="168">
        <f t="shared" si="14"/>
        <v>-29250</v>
      </c>
      <c r="BD53" s="169">
        <v>50000</v>
      </c>
      <c r="BE53" s="172"/>
      <c r="BF53" s="168">
        <f t="shared" ref="BF53:BF116" si="15">SUM(BC53-BD53-BE53)</f>
        <v>-79250</v>
      </c>
      <c r="BG53" s="33"/>
      <c r="BH53" s="16"/>
      <c r="BI53" s="16"/>
    </row>
    <row r="54" spans="1:61" ht="16.899999999999999">
      <c r="A54" s="36">
        <v>53</v>
      </c>
      <c r="B54" s="35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5"/>
      <c r="P54" s="33"/>
      <c r="Q54" s="33"/>
      <c r="R54" s="158"/>
      <c r="S54" s="158"/>
      <c r="T54" s="159">
        <f t="shared" si="11"/>
        <v>0</v>
      </c>
      <c r="U54" s="30"/>
      <c r="V54" s="30"/>
      <c r="W54" s="30"/>
      <c r="X54" s="30"/>
      <c r="Y54" s="238"/>
      <c r="Z54" s="242"/>
      <c r="AA54" s="33"/>
      <c r="AB54" s="160"/>
      <c r="AC54" s="161"/>
      <c r="AD54" s="162"/>
      <c r="AE54" s="163"/>
      <c r="AF54" s="23">
        <f t="shared" si="1"/>
        <v>0</v>
      </c>
      <c r="AG54" s="161">
        <f t="shared" si="2"/>
        <v>0</v>
      </c>
      <c r="AH54" s="164">
        <f t="shared" si="12"/>
        <v>0</v>
      </c>
      <c r="AI54" s="23"/>
      <c r="AJ54" s="23"/>
      <c r="AK54" s="165"/>
      <c r="AL54" s="161"/>
      <c r="AM54" s="166"/>
      <c r="AN54" s="161"/>
      <c r="AO54" s="166"/>
      <c r="AP54" s="161"/>
      <c r="AQ54" s="161"/>
      <c r="AR54" s="161"/>
      <c r="AS54" s="167">
        <v>35000</v>
      </c>
      <c r="AT54" s="167">
        <v>30000</v>
      </c>
      <c r="AU54" s="167"/>
      <c r="AV54" s="167"/>
      <c r="AW54" s="167"/>
      <c r="AX54" s="167">
        <f t="shared" si="4"/>
        <v>65000</v>
      </c>
      <c r="AY54" s="168">
        <f t="shared" si="5"/>
        <v>-65000</v>
      </c>
      <c r="AZ54" s="168">
        <f t="shared" si="6"/>
        <v>-65000</v>
      </c>
      <c r="BA54" s="168">
        <f t="shared" si="7"/>
        <v>0</v>
      </c>
      <c r="BB54" s="168">
        <f t="shared" si="13"/>
        <v>-32500</v>
      </c>
      <c r="BC54" s="168">
        <f t="shared" si="14"/>
        <v>-29250</v>
      </c>
      <c r="BD54" s="169">
        <v>50000</v>
      </c>
      <c r="BE54" s="169"/>
      <c r="BF54" s="168">
        <f t="shared" si="15"/>
        <v>-79250</v>
      </c>
      <c r="BG54" s="33"/>
      <c r="BH54" s="16"/>
      <c r="BI54" s="16"/>
    </row>
    <row r="55" spans="1:61" ht="16.899999999999999">
      <c r="A55" s="36">
        <v>54</v>
      </c>
      <c r="B55" s="35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5"/>
      <c r="P55" s="33"/>
      <c r="Q55" s="33"/>
      <c r="R55" s="158"/>
      <c r="S55" s="158"/>
      <c r="T55" s="159">
        <f t="shared" si="11"/>
        <v>0</v>
      </c>
      <c r="U55" s="30"/>
      <c r="V55" s="30"/>
      <c r="W55" s="30"/>
      <c r="X55" s="30"/>
      <c r="Y55" s="238"/>
      <c r="Z55" s="242"/>
      <c r="AA55" s="33"/>
      <c r="AB55" s="160"/>
      <c r="AC55" s="161"/>
      <c r="AD55" s="162"/>
      <c r="AE55" s="163"/>
      <c r="AF55" s="23">
        <f t="shared" si="1"/>
        <v>0</v>
      </c>
      <c r="AG55" s="161">
        <f t="shared" si="2"/>
        <v>0</v>
      </c>
      <c r="AH55" s="164">
        <f t="shared" si="12"/>
        <v>0</v>
      </c>
      <c r="AI55" s="23"/>
      <c r="AJ55" s="23"/>
      <c r="AK55" s="165"/>
      <c r="AL55" s="161"/>
      <c r="AM55" s="166"/>
      <c r="AN55" s="161"/>
      <c r="AO55" s="166"/>
      <c r="AP55" s="161"/>
      <c r="AQ55" s="161"/>
      <c r="AR55" s="161"/>
      <c r="AS55" s="167">
        <v>35000</v>
      </c>
      <c r="AT55" s="167">
        <v>30000</v>
      </c>
      <c r="AU55" s="167"/>
      <c r="AV55" s="167"/>
      <c r="AW55" s="167"/>
      <c r="AX55" s="167">
        <f t="shared" si="4"/>
        <v>65000</v>
      </c>
      <c r="AY55" s="168">
        <f t="shared" si="5"/>
        <v>-65000</v>
      </c>
      <c r="AZ55" s="168">
        <f t="shared" si="6"/>
        <v>-65000</v>
      </c>
      <c r="BA55" s="168">
        <f t="shared" si="7"/>
        <v>0</v>
      </c>
      <c r="BB55" s="168">
        <f t="shared" si="13"/>
        <v>-32500</v>
      </c>
      <c r="BC55" s="168">
        <f t="shared" si="14"/>
        <v>-29250</v>
      </c>
      <c r="BD55" s="169">
        <v>50000</v>
      </c>
      <c r="BE55" s="169"/>
      <c r="BF55" s="168">
        <f t="shared" si="15"/>
        <v>-79250</v>
      </c>
      <c r="BG55" s="33"/>
      <c r="BH55" s="16"/>
      <c r="BI55" s="16"/>
    </row>
    <row r="56" spans="1:61" s="6" customFormat="1" ht="16.899999999999999">
      <c r="A56" s="36">
        <v>55</v>
      </c>
      <c r="B56" s="35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5"/>
      <c r="P56" s="33"/>
      <c r="Q56" s="33"/>
      <c r="R56" s="158"/>
      <c r="S56" s="158"/>
      <c r="T56" s="159">
        <f t="shared" si="11"/>
        <v>0</v>
      </c>
      <c r="U56" s="30"/>
      <c r="V56" s="30"/>
      <c r="W56" s="30"/>
      <c r="X56" s="30"/>
      <c r="Y56" s="238"/>
      <c r="Z56" s="242"/>
      <c r="AA56" s="33"/>
      <c r="AB56" s="160"/>
      <c r="AC56" s="161"/>
      <c r="AD56" s="162"/>
      <c r="AE56" s="163"/>
      <c r="AF56" s="23">
        <f t="shared" si="1"/>
        <v>0</v>
      </c>
      <c r="AG56" s="161">
        <f t="shared" si="2"/>
        <v>0</v>
      </c>
      <c r="AH56" s="164">
        <f t="shared" si="12"/>
        <v>0</v>
      </c>
      <c r="AI56" s="23"/>
      <c r="AJ56" s="23"/>
      <c r="AK56" s="165"/>
      <c r="AL56" s="161"/>
      <c r="AM56" s="166"/>
      <c r="AN56" s="161"/>
      <c r="AO56" s="166"/>
      <c r="AP56" s="161"/>
      <c r="AQ56" s="161"/>
      <c r="AR56" s="161"/>
      <c r="AS56" s="167">
        <v>35000</v>
      </c>
      <c r="AT56" s="167">
        <v>30000</v>
      </c>
      <c r="AU56" s="167"/>
      <c r="AV56" s="167"/>
      <c r="AW56" s="167"/>
      <c r="AX56" s="167">
        <f t="shared" si="4"/>
        <v>65000</v>
      </c>
      <c r="AY56" s="168">
        <f t="shared" si="5"/>
        <v>-65000</v>
      </c>
      <c r="AZ56" s="168">
        <f t="shared" si="6"/>
        <v>-65000</v>
      </c>
      <c r="BA56" s="168">
        <f t="shared" si="7"/>
        <v>0</v>
      </c>
      <c r="BB56" s="168">
        <f t="shared" si="13"/>
        <v>-32500</v>
      </c>
      <c r="BC56" s="168">
        <f t="shared" si="14"/>
        <v>-29250</v>
      </c>
      <c r="BD56" s="169">
        <v>50000</v>
      </c>
      <c r="BE56" s="169"/>
      <c r="BF56" s="168">
        <f t="shared" si="15"/>
        <v>-79250</v>
      </c>
      <c r="BG56" s="33"/>
      <c r="BH56" s="15"/>
      <c r="BI56" s="15"/>
    </row>
    <row r="57" spans="1:61" s="6" customFormat="1" ht="16.899999999999999">
      <c r="A57" s="36">
        <v>56</v>
      </c>
      <c r="B57" s="35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5"/>
      <c r="P57" s="33"/>
      <c r="Q57" s="33"/>
      <c r="R57" s="158"/>
      <c r="S57" s="158"/>
      <c r="T57" s="159">
        <f t="shared" si="11"/>
        <v>0</v>
      </c>
      <c r="U57" s="30"/>
      <c r="V57" s="30"/>
      <c r="W57" s="30"/>
      <c r="X57" s="30"/>
      <c r="Y57" s="238"/>
      <c r="Z57" s="242"/>
      <c r="AA57" s="33"/>
      <c r="AB57" s="160"/>
      <c r="AC57" s="161"/>
      <c r="AD57" s="162"/>
      <c r="AE57" s="163"/>
      <c r="AF57" s="23">
        <f t="shared" si="1"/>
        <v>0</v>
      </c>
      <c r="AG57" s="161">
        <f t="shared" si="2"/>
        <v>0</v>
      </c>
      <c r="AH57" s="164">
        <f t="shared" si="12"/>
        <v>0</v>
      </c>
      <c r="AI57" s="23"/>
      <c r="AJ57" s="23"/>
      <c r="AK57" s="165"/>
      <c r="AL57" s="161"/>
      <c r="AM57" s="166"/>
      <c r="AN57" s="161"/>
      <c r="AO57" s="166"/>
      <c r="AP57" s="161"/>
      <c r="AQ57" s="161"/>
      <c r="AR57" s="161"/>
      <c r="AS57" s="167">
        <v>35000</v>
      </c>
      <c r="AT57" s="167">
        <v>30000</v>
      </c>
      <c r="AU57" s="167"/>
      <c r="AV57" s="167"/>
      <c r="AW57" s="167"/>
      <c r="AX57" s="167">
        <f t="shared" si="4"/>
        <v>65000</v>
      </c>
      <c r="AY57" s="168">
        <f t="shared" si="5"/>
        <v>-65000</v>
      </c>
      <c r="AZ57" s="168">
        <f t="shared" si="6"/>
        <v>-65000</v>
      </c>
      <c r="BA57" s="168">
        <f t="shared" si="7"/>
        <v>0</v>
      </c>
      <c r="BB57" s="168">
        <f t="shared" si="13"/>
        <v>-32500</v>
      </c>
      <c r="BC57" s="168">
        <f t="shared" si="14"/>
        <v>-29250</v>
      </c>
      <c r="BD57" s="169">
        <v>50000</v>
      </c>
      <c r="BE57" s="169"/>
      <c r="BF57" s="168">
        <f t="shared" si="15"/>
        <v>-79250</v>
      </c>
      <c r="BG57" s="33"/>
      <c r="BH57" s="15"/>
      <c r="BI57" s="15"/>
    </row>
    <row r="58" spans="1:61" s="6" customFormat="1" ht="16.899999999999999">
      <c r="A58" s="36">
        <v>57</v>
      </c>
      <c r="B58" s="35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5"/>
      <c r="P58" s="33"/>
      <c r="Q58" s="33"/>
      <c r="R58" s="158"/>
      <c r="S58" s="158"/>
      <c r="T58" s="159">
        <f t="shared" si="11"/>
        <v>0</v>
      </c>
      <c r="U58" s="30"/>
      <c r="V58" s="30"/>
      <c r="W58" s="30"/>
      <c r="X58" s="30"/>
      <c r="Y58" s="238"/>
      <c r="Z58" s="242"/>
      <c r="AA58" s="33"/>
      <c r="AB58" s="160"/>
      <c r="AC58" s="161"/>
      <c r="AD58" s="162"/>
      <c r="AE58" s="163"/>
      <c r="AF58" s="23">
        <f t="shared" si="1"/>
        <v>0</v>
      </c>
      <c r="AG58" s="161">
        <f t="shared" si="2"/>
        <v>0</v>
      </c>
      <c r="AH58" s="164">
        <f t="shared" si="12"/>
        <v>0</v>
      </c>
      <c r="AI58" s="23"/>
      <c r="AJ58" s="23"/>
      <c r="AK58" s="165"/>
      <c r="AL58" s="161"/>
      <c r="AM58" s="166"/>
      <c r="AN58" s="161"/>
      <c r="AO58" s="166"/>
      <c r="AP58" s="161"/>
      <c r="AQ58" s="161"/>
      <c r="AR58" s="161"/>
      <c r="AS58" s="167">
        <v>35000</v>
      </c>
      <c r="AT58" s="167">
        <v>30000</v>
      </c>
      <c r="AU58" s="167"/>
      <c r="AV58" s="167"/>
      <c r="AW58" s="167"/>
      <c r="AX58" s="167">
        <f t="shared" si="4"/>
        <v>65000</v>
      </c>
      <c r="AY58" s="168">
        <f t="shared" si="5"/>
        <v>-65000</v>
      </c>
      <c r="AZ58" s="168">
        <f t="shared" si="6"/>
        <v>-65000</v>
      </c>
      <c r="BA58" s="168">
        <f t="shared" si="7"/>
        <v>0</v>
      </c>
      <c r="BB58" s="168">
        <f t="shared" si="13"/>
        <v>-32500</v>
      </c>
      <c r="BC58" s="168">
        <f t="shared" si="14"/>
        <v>-29250</v>
      </c>
      <c r="BD58" s="169">
        <v>50000</v>
      </c>
      <c r="BE58" s="169"/>
      <c r="BF58" s="168">
        <f t="shared" si="15"/>
        <v>-79250</v>
      </c>
      <c r="BG58" s="33"/>
      <c r="BH58" s="15"/>
      <c r="BI58" s="15"/>
    </row>
    <row r="59" spans="1:61" s="6" customFormat="1" ht="16.899999999999999">
      <c r="A59" s="36">
        <v>58</v>
      </c>
      <c r="B59" s="35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5"/>
      <c r="P59" s="33"/>
      <c r="Q59" s="33"/>
      <c r="R59" s="158"/>
      <c r="S59" s="158"/>
      <c r="T59" s="159">
        <f t="shared" si="11"/>
        <v>0</v>
      </c>
      <c r="U59" s="30"/>
      <c r="V59" s="30"/>
      <c r="W59" s="30"/>
      <c r="X59" s="30"/>
      <c r="Y59" s="238"/>
      <c r="Z59" s="242"/>
      <c r="AA59" s="33"/>
      <c r="AB59" s="160"/>
      <c r="AC59" s="161"/>
      <c r="AD59" s="162"/>
      <c r="AE59" s="163"/>
      <c r="AF59" s="23">
        <f t="shared" si="1"/>
        <v>0</v>
      </c>
      <c r="AG59" s="161">
        <f t="shared" si="2"/>
        <v>0</v>
      </c>
      <c r="AH59" s="164">
        <f t="shared" si="12"/>
        <v>0</v>
      </c>
      <c r="AI59" s="23"/>
      <c r="AJ59" s="23"/>
      <c r="AK59" s="165"/>
      <c r="AL59" s="161"/>
      <c r="AM59" s="166"/>
      <c r="AN59" s="161"/>
      <c r="AO59" s="166"/>
      <c r="AP59" s="161"/>
      <c r="AQ59" s="161"/>
      <c r="AR59" s="161"/>
      <c r="AS59" s="167">
        <v>35000</v>
      </c>
      <c r="AT59" s="167">
        <v>30000</v>
      </c>
      <c r="AU59" s="167"/>
      <c r="AV59" s="167"/>
      <c r="AW59" s="167"/>
      <c r="AX59" s="167">
        <f t="shared" si="4"/>
        <v>65000</v>
      </c>
      <c r="AY59" s="168">
        <f t="shared" si="5"/>
        <v>-65000</v>
      </c>
      <c r="AZ59" s="168">
        <f t="shared" si="6"/>
        <v>-65000</v>
      </c>
      <c r="BA59" s="168">
        <f t="shared" si="7"/>
        <v>0</v>
      </c>
      <c r="BB59" s="168">
        <f t="shared" si="13"/>
        <v>-32500</v>
      </c>
      <c r="BC59" s="168">
        <f t="shared" si="14"/>
        <v>-29250</v>
      </c>
      <c r="BD59" s="169">
        <v>50000</v>
      </c>
      <c r="BE59" s="169"/>
      <c r="BF59" s="168">
        <f t="shared" si="15"/>
        <v>-79250</v>
      </c>
      <c r="BG59" s="33"/>
      <c r="BH59" s="15"/>
      <c r="BI59" s="15"/>
    </row>
    <row r="60" spans="1:61" s="6" customFormat="1" ht="16.899999999999999">
      <c r="A60" s="36">
        <v>59</v>
      </c>
      <c r="B60" s="35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5"/>
      <c r="P60" s="33"/>
      <c r="Q60" s="33"/>
      <c r="R60" s="158"/>
      <c r="S60" s="158"/>
      <c r="T60" s="159">
        <f t="shared" si="11"/>
        <v>0</v>
      </c>
      <c r="U60" s="30"/>
      <c r="V60" s="30"/>
      <c r="W60" s="30"/>
      <c r="X60" s="30"/>
      <c r="Y60" s="238"/>
      <c r="Z60" s="242"/>
      <c r="AA60" s="33"/>
      <c r="AB60" s="160"/>
      <c r="AC60" s="161"/>
      <c r="AD60" s="162"/>
      <c r="AE60" s="163"/>
      <c r="AF60" s="23">
        <f t="shared" si="1"/>
        <v>0</v>
      </c>
      <c r="AG60" s="161">
        <f t="shared" si="2"/>
        <v>0</v>
      </c>
      <c r="AH60" s="164">
        <f t="shared" si="12"/>
        <v>0</v>
      </c>
      <c r="AI60" s="23"/>
      <c r="AJ60" s="23"/>
      <c r="AK60" s="165"/>
      <c r="AL60" s="161"/>
      <c r="AM60" s="166"/>
      <c r="AN60" s="161"/>
      <c r="AO60" s="166"/>
      <c r="AP60" s="161"/>
      <c r="AQ60" s="161"/>
      <c r="AR60" s="161"/>
      <c r="AS60" s="167">
        <v>35000</v>
      </c>
      <c r="AT60" s="167">
        <v>30000</v>
      </c>
      <c r="AU60" s="167"/>
      <c r="AV60" s="167"/>
      <c r="AW60" s="167"/>
      <c r="AX60" s="167">
        <f t="shared" si="4"/>
        <v>65000</v>
      </c>
      <c r="AY60" s="168">
        <f t="shared" si="5"/>
        <v>-65000</v>
      </c>
      <c r="AZ60" s="168">
        <f t="shared" si="6"/>
        <v>-65000</v>
      </c>
      <c r="BA60" s="168">
        <f t="shared" si="7"/>
        <v>0</v>
      </c>
      <c r="BB60" s="168">
        <f t="shared" si="13"/>
        <v>-32500</v>
      </c>
      <c r="BC60" s="168">
        <f t="shared" si="14"/>
        <v>-29250</v>
      </c>
      <c r="BD60" s="169">
        <v>50000</v>
      </c>
      <c r="BE60" s="169"/>
      <c r="BF60" s="168">
        <f t="shared" si="15"/>
        <v>-79250</v>
      </c>
      <c r="BG60" s="33"/>
      <c r="BH60" s="15"/>
      <c r="BI60" s="15"/>
    </row>
    <row r="61" spans="1:61" s="6" customFormat="1" ht="16.899999999999999">
      <c r="A61" s="36">
        <v>60</v>
      </c>
      <c r="B61" s="35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5"/>
      <c r="P61" s="33"/>
      <c r="Q61" s="33"/>
      <c r="R61" s="158"/>
      <c r="S61" s="158"/>
      <c r="T61" s="159">
        <f t="shared" si="11"/>
        <v>0</v>
      </c>
      <c r="U61" s="30"/>
      <c r="V61" s="30"/>
      <c r="W61" s="30"/>
      <c r="X61" s="30"/>
      <c r="Y61" s="238"/>
      <c r="Z61" s="242"/>
      <c r="AA61" s="33"/>
      <c r="AB61" s="160"/>
      <c r="AC61" s="161"/>
      <c r="AD61" s="162"/>
      <c r="AE61" s="163"/>
      <c r="AF61" s="23">
        <f t="shared" si="1"/>
        <v>0</v>
      </c>
      <c r="AG61" s="161">
        <f t="shared" si="2"/>
        <v>0</v>
      </c>
      <c r="AH61" s="164">
        <f t="shared" si="12"/>
        <v>0</v>
      </c>
      <c r="AI61" s="23"/>
      <c r="AJ61" s="23"/>
      <c r="AK61" s="165"/>
      <c r="AL61" s="161"/>
      <c r="AM61" s="166"/>
      <c r="AN61" s="161"/>
      <c r="AO61" s="166"/>
      <c r="AP61" s="161"/>
      <c r="AQ61" s="161"/>
      <c r="AR61" s="161"/>
      <c r="AS61" s="167">
        <v>35000</v>
      </c>
      <c r="AT61" s="167">
        <v>30000</v>
      </c>
      <c r="AU61" s="167"/>
      <c r="AV61" s="167"/>
      <c r="AW61" s="167"/>
      <c r="AX61" s="167">
        <f t="shared" si="4"/>
        <v>65000</v>
      </c>
      <c r="AY61" s="168">
        <f t="shared" si="5"/>
        <v>-65000</v>
      </c>
      <c r="AZ61" s="168">
        <f t="shared" si="6"/>
        <v>-65000</v>
      </c>
      <c r="BA61" s="168">
        <f t="shared" si="7"/>
        <v>0</v>
      </c>
      <c r="BB61" s="168">
        <f t="shared" si="13"/>
        <v>-32500</v>
      </c>
      <c r="BC61" s="168">
        <f t="shared" si="14"/>
        <v>-29250</v>
      </c>
      <c r="BD61" s="169">
        <v>50000</v>
      </c>
      <c r="BE61" s="169"/>
      <c r="BF61" s="168">
        <f t="shared" si="15"/>
        <v>-79250</v>
      </c>
      <c r="BG61" s="33"/>
      <c r="BH61" s="15"/>
      <c r="BI61" s="15"/>
    </row>
    <row r="62" spans="1:61" s="6" customFormat="1" ht="16.899999999999999">
      <c r="A62" s="36">
        <v>61</v>
      </c>
      <c r="B62" s="35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5"/>
      <c r="P62" s="33"/>
      <c r="Q62" s="33"/>
      <c r="R62" s="158"/>
      <c r="S62" s="158"/>
      <c r="T62" s="159">
        <f t="shared" si="11"/>
        <v>0</v>
      </c>
      <c r="U62" s="30"/>
      <c r="V62" s="30"/>
      <c r="W62" s="30"/>
      <c r="X62" s="30"/>
      <c r="Y62" s="238"/>
      <c r="Z62" s="242"/>
      <c r="AA62" s="33"/>
      <c r="AB62" s="160"/>
      <c r="AC62" s="161"/>
      <c r="AD62" s="162"/>
      <c r="AE62" s="163"/>
      <c r="AF62" s="23">
        <f t="shared" si="1"/>
        <v>0</v>
      </c>
      <c r="AG62" s="161">
        <f t="shared" si="2"/>
        <v>0</v>
      </c>
      <c r="AH62" s="164">
        <f t="shared" si="12"/>
        <v>0</v>
      </c>
      <c r="AI62" s="23"/>
      <c r="AJ62" s="23"/>
      <c r="AK62" s="165"/>
      <c r="AL62" s="161"/>
      <c r="AM62" s="166"/>
      <c r="AN62" s="161"/>
      <c r="AO62" s="166"/>
      <c r="AP62" s="161"/>
      <c r="AQ62" s="161"/>
      <c r="AR62" s="161"/>
      <c r="AS62" s="167">
        <v>35000</v>
      </c>
      <c r="AT62" s="167">
        <v>30000</v>
      </c>
      <c r="AU62" s="167"/>
      <c r="AV62" s="167"/>
      <c r="AW62" s="167"/>
      <c r="AX62" s="167">
        <f t="shared" si="4"/>
        <v>65000</v>
      </c>
      <c r="AY62" s="168">
        <f t="shared" si="5"/>
        <v>-65000</v>
      </c>
      <c r="AZ62" s="168">
        <f t="shared" si="6"/>
        <v>-65000</v>
      </c>
      <c r="BA62" s="168">
        <f t="shared" si="7"/>
        <v>0</v>
      </c>
      <c r="BB62" s="168">
        <f t="shared" si="13"/>
        <v>-32500</v>
      </c>
      <c r="BC62" s="168">
        <f t="shared" si="14"/>
        <v>-29250</v>
      </c>
      <c r="BD62" s="169">
        <v>50000</v>
      </c>
      <c r="BE62" s="169"/>
      <c r="BF62" s="168">
        <f t="shared" si="15"/>
        <v>-79250</v>
      </c>
      <c r="BG62" s="33"/>
      <c r="BH62" s="15"/>
      <c r="BI62" s="15"/>
    </row>
    <row r="63" spans="1:61" s="6" customFormat="1" ht="16.899999999999999">
      <c r="A63" s="36">
        <v>62</v>
      </c>
      <c r="B63" s="35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5"/>
      <c r="P63" s="33"/>
      <c r="Q63" s="33"/>
      <c r="R63" s="158"/>
      <c r="S63" s="158"/>
      <c r="T63" s="159">
        <f t="shared" si="11"/>
        <v>0</v>
      </c>
      <c r="U63" s="30"/>
      <c r="V63" s="30"/>
      <c r="W63" s="30"/>
      <c r="X63" s="30"/>
      <c r="Y63" s="238"/>
      <c r="Z63" s="242"/>
      <c r="AA63" s="33"/>
      <c r="AB63" s="160"/>
      <c r="AC63" s="161"/>
      <c r="AD63" s="162"/>
      <c r="AE63" s="163"/>
      <c r="AF63" s="23">
        <f t="shared" si="1"/>
        <v>0</v>
      </c>
      <c r="AG63" s="161">
        <f t="shared" si="2"/>
        <v>0</v>
      </c>
      <c r="AH63" s="164">
        <f t="shared" si="12"/>
        <v>0</v>
      </c>
      <c r="AI63" s="23"/>
      <c r="AJ63" s="23"/>
      <c r="AK63" s="165"/>
      <c r="AL63" s="161"/>
      <c r="AM63" s="166"/>
      <c r="AN63" s="161"/>
      <c r="AO63" s="166"/>
      <c r="AP63" s="161"/>
      <c r="AQ63" s="161"/>
      <c r="AR63" s="161"/>
      <c r="AS63" s="167">
        <v>35000</v>
      </c>
      <c r="AT63" s="167">
        <v>30000</v>
      </c>
      <c r="AU63" s="167"/>
      <c r="AV63" s="167"/>
      <c r="AW63" s="167"/>
      <c r="AX63" s="167">
        <f t="shared" si="4"/>
        <v>65000</v>
      </c>
      <c r="AY63" s="168">
        <f t="shared" si="5"/>
        <v>-65000</v>
      </c>
      <c r="AZ63" s="168">
        <f t="shared" si="6"/>
        <v>-65000</v>
      </c>
      <c r="BA63" s="168">
        <f t="shared" si="7"/>
        <v>0</v>
      </c>
      <c r="BB63" s="168">
        <f t="shared" si="13"/>
        <v>-32500</v>
      </c>
      <c r="BC63" s="168">
        <f t="shared" si="14"/>
        <v>-29250</v>
      </c>
      <c r="BD63" s="169">
        <v>50000</v>
      </c>
      <c r="BE63" s="169"/>
      <c r="BF63" s="168">
        <f t="shared" si="15"/>
        <v>-79250</v>
      </c>
      <c r="BG63" s="33"/>
      <c r="BH63" s="15"/>
      <c r="BI63" s="15"/>
    </row>
    <row r="64" spans="1:61" s="6" customFormat="1" ht="16.899999999999999">
      <c r="A64" s="36">
        <v>63</v>
      </c>
      <c r="B64" s="35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5"/>
      <c r="P64" s="33"/>
      <c r="Q64" s="33"/>
      <c r="R64" s="158"/>
      <c r="S64" s="158"/>
      <c r="T64" s="159">
        <f t="shared" si="11"/>
        <v>0</v>
      </c>
      <c r="U64" s="30"/>
      <c r="V64" s="30"/>
      <c r="W64" s="30"/>
      <c r="X64" s="30"/>
      <c r="Y64" s="238"/>
      <c r="Z64" s="242"/>
      <c r="AA64" s="33"/>
      <c r="AB64" s="160"/>
      <c r="AC64" s="161"/>
      <c r="AD64" s="162"/>
      <c r="AE64" s="163"/>
      <c r="AF64" s="23">
        <f t="shared" si="1"/>
        <v>0</v>
      </c>
      <c r="AG64" s="161">
        <f t="shared" si="2"/>
        <v>0</v>
      </c>
      <c r="AH64" s="164">
        <f t="shared" si="12"/>
        <v>0</v>
      </c>
      <c r="AI64" s="23"/>
      <c r="AJ64" s="23"/>
      <c r="AK64" s="165"/>
      <c r="AL64" s="161"/>
      <c r="AM64" s="166"/>
      <c r="AN64" s="161"/>
      <c r="AO64" s="166"/>
      <c r="AP64" s="161"/>
      <c r="AQ64" s="161"/>
      <c r="AR64" s="161"/>
      <c r="AS64" s="167">
        <v>35000</v>
      </c>
      <c r="AT64" s="167">
        <v>30000</v>
      </c>
      <c r="AU64" s="167"/>
      <c r="AV64" s="167"/>
      <c r="AW64" s="167"/>
      <c r="AX64" s="167">
        <f t="shared" si="4"/>
        <v>65000</v>
      </c>
      <c r="AY64" s="168">
        <f t="shared" si="5"/>
        <v>-65000</v>
      </c>
      <c r="AZ64" s="168">
        <f t="shared" si="6"/>
        <v>-65000</v>
      </c>
      <c r="BA64" s="168">
        <f t="shared" si="7"/>
        <v>0</v>
      </c>
      <c r="BB64" s="168">
        <f t="shared" si="13"/>
        <v>-32500</v>
      </c>
      <c r="BC64" s="168">
        <f t="shared" si="14"/>
        <v>-29250</v>
      </c>
      <c r="BD64" s="169">
        <v>50000</v>
      </c>
      <c r="BE64" s="169"/>
      <c r="BF64" s="168">
        <f t="shared" si="15"/>
        <v>-79250</v>
      </c>
      <c r="BG64" s="33"/>
      <c r="BH64" s="15"/>
      <c r="BI64" s="15"/>
    </row>
    <row r="65" spans="1:61" s="6" customFormat="1" ht="16.899999999999999">
      <c r="A65" s="36">
        <v>64</v>
      </c>
      <c r="B65" s="35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5"/>
      <c r="P65" s="33"/>
      <c r="Q65" s="33"/>
      <c r="R65" s="158"/>
      <c r="S65" s="158"/>
      <c r="T65" s="159">
        <f t="shared" si="11"/>
        <v>0</v>
      </c>
      <c r="U65" s="30"/>
      <c r="V65" s="30"/>
      <c r="W65" s="30"/>
      <c r="X65" s="30"/>
      <c r="Y65" s="238"/>
      <c r="Z65" s="242"/>
      <c r="AA65" s="33"/>
      <c r="AB65" s="160"/>
      <c r="AC65" s="161"/>
      <c r="AD65" s="162"/>
      <c r="AE65" s="163"/>
      <c r="AF65" s="23">
        <f t="shared" ref="AF65:AF128" si="16">SUM(Y65,AB65:AE65)</f>
        <v>0</v>
      </c>
      <c r="AG65" s="161">
        <f t="shared" si="2"/>
        <v>0</v>
      </c>
      <c r="AH65" s="164">
        <f t="shared" si="12"/>
        <v>0</v>
      </c>
      <c r="AI65" s="23"/>
      <c r="AJ65" s="23"/>
      <c r="AK65" s="165"/>
      <c r="AL65" s="161"/>
      <c r="AM65" s="166"/>
      <c r="AN65" s="161"/>
      <c r="AO65" s="166"/>
      <c r="AP65" s="161"/>
      <c r="AQ65" s="161"/>
      <c r="AR65" s="161"/>
      <c r="AS65" s="167">
        <v>35000</v>
      </c>
      <c r="AT65" s="167">
        <v>30000</v>
      </c>
      <c r="AU65" s="167"/>
      <c r="AV65" s="167"/>
      <c r="AW65" s="167"/>
      <c r="AX65" s="167">
        <f t="shared" si="4"/>
        <v>65000</v>
      </c>
      <c r="AY65" s="168">
        <f t="shared" ref="AY65:AY128" si="17">SUM(AF65-AB65)*Z65-AX65</f>
        <v>-65000</v>
      </c>
      <c r="AZ65" s="168">
        <f t="shared" ref="AZ65:AZ128" si="18">SUM(AY65-T65)</f>
        <v>-65000</v>
      </c>
      <c r="BA65" s="168">
        <f t="shared" ref="BA65:BA128" si="19">SUM(R65*0.09)</f>
        <v>0</v>
      </c>
      <c r="BB65" s="168">
        <f t="shared" si="13"/>
        <v>-32500</v>
      </c>
      <c r="BC65" s="168">
        <f t="shared" si="14"/>
        <v>-29250</v>
      </c>
      <c r="BD65" s="169">
        <v>50000</v>
      </c>
      <c r="BE65" s="169"/>
      <c r="BF65" s="168">
        <f t="shared" si="15"/>
        <v>-79250</v>
      </c>
      <c r="BG65" s="33"/>
      <c r="BH65" s="15"/>
      <c r="BI65" s="15"/>
    </row>
    <row r="66" spans="1:61" s="6" customFormat="1" ht="16.899999999999999">
      <c r="A66" s="36">
        <v>65</v>
      </c>
      <c r="B66" s="35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5"/>
      <c r="P66" s="33"/>
      <c r="Q66" s="33"/>
      <c r="R66" s="158"/>
      <c r="S66" s="158"/>
      <c r="T66" s="159">
        <f t="shared" si="11"/>
        <v>0</v>
      </c>
      <c r="U66" s="30"/>
      <c r="V66" s="30"/>
      <c r="W66" s="30"/>
      <c r="X66" s="30"/>
      <c r="Y66" s="238"/>
      <c r="Z66" s="242"/>
      <c r="AA66" s="33"/>
      <c r="AB66" s="160"/>
      <c r="AC66" s="161"/>
      <c r="AD66" s="162"/>
      <c r="AE66" s="163"/>
      <c r="AF66" s="23">
        <f t="shared" si="16"/>
        <v>0</v>
      </c>
      <c r="AG66" s="161">
        <f t="shared" ref="AG66:AG129" si="20">SUM(AL66+AN66+AP66+AQ66-AR66)</f>
        <v>0</v>
      </c>
      <c r="AH66" s="164">
        <f t="shared" si="12"/>
        <v>0</v>
      </c>
      <c r="AI66" s="23"/>
      <c r="AJ66" s="23"/>
      <c r="AK66" s="165"/>
      <c r="AL66" s="161"/>
      <c r="AM66" s="166"/>
      <c r="AN66" s="161"/>
      <c r="AO66" s="166"/>
      <c r="AP66" s="161"/>
      <c r="AQ66" s="161"/>
      <c r="AR66" s="161"/>
      <c r="AS66" s="167">
        <v>35000</v>
      </c>
      <c r="AT66" s="167">
        <v>30000</v>
      </c>
      <c r="AU66" s="167"/>
      <c r="AV66" s="167"/>
      <c r="AW66" s="167"/>
      <c r="AX66" s="167">
        <f t="shared" ref="AX66:AX129" si="21">SUM(AS66:AW66)</f>
        <v>65000</v>
      </c>
      <c r="AY66" s="168">
        <f t="shared" si="17"/>
        <v>-65000</v>
      </c>
      <c r="AZ66" s="168">
        <f t="shared" si="18"/>
        <v>-65000</v>
      </c>
      <c r="BA66" s="168">
        <f t="shared" si="19"/>
        <v>0</v>
      </c>
      <c r="BB66" s="168">
        <f t="shared" si="13"/>
        <v>-32500</v>
      </c>
      <c r="BC66" s="168">
        <f t="shared" si="14"/>
        <v>-29250</v>
      </c>
      <c r="BD66" s="169">
        <v>50000</v>
      </c>
      <c r="BE66" s="169"/>
      <c r="BF66" s="168">
        <f t="shared" si="15"/>
        <v>-79250</v>
      </c>
      <c r="BG66" s="33"/>
      <c r="BH66" s="15"/>
      <c r="BI66" s="15"/>
    </row>
    <row r="67" spans="1:61" s="6" customFormat="1" ht="16.899999999999999">
      <c r="A67" s="36">
        <v>66</v>
      </c>
      <c r="B67" s="35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5"/>
      <c r="P67" s="33"/>
      <c r="Q67" s="33"/>
      <c r="R67" s="158"/>
      <c r="S67" s="158"/>
      <c r="T67" s="159">
        <f t="shared" si="11"/>
        <v>0</v>
      </c>
      <c r="U67" s="30"/>
      <c r="V67" s="30"/>
      <c r="W67" s="30"/>
      <c r="X67" s="30"/>
      <c r="Y67" s="238"/>
      <c r="Z67" s="242"/>
      <c r="AA67" s="33"/>
      <c r="AB67" s="160"/>
      <c r="AC67" s="161"/>
      <c r="AD67" s="162"/>
      <c r="AE67" s="163"/>
      <c r="AF67" s="23">
        <f t="shared" si="16"/>
        <v>0</v>
      </c>
      <c r="AG67" s="161">
        <f t="shared" si="20"/>
        <v>0</v>
      </c>
      <c r="AH67" s="164">
        <f t="shared" si="12"/>
        <v>0</v>
      </c>
      <c r="AI67" s="23"/>
      <c r="AJ67" s="23"/>
      <c r="AK67" s="165"/>
      <c r="AL67" s="161"/>
      <c r="AM67" s="166"/>
      <c r="AN67" s="161"/>
      <c r="AO67" s="166"/>
      <c r="AP67" s="161"/>
      <c r="AQ67" s="161"/>
      <c r="AR67" s="161"/>
      <c r="AS67" s="167">
        <v>35000</v>
      </c>
      <c r="AT67" s="167">
        <v>30000</v>
      </c>
      <c r="AU67" s="167"/>
      <c r="AV67" s="167"/>
      <c r="AW67" s="167"/>
      <c r="AX67" s="167">
        <f t="shared" si="21"/>
        <v>65000</v>
      </c>
      <c r="AY67" s="168">
        <f t="shared" si="17"/>
        <v>-65000</v>
      </c>
      <c r="AZ67" s="168">
        <f t="shared" si="18"/>
        <v>-65000</v>
      </c>
      <c r="BA67" s="168">
        <f t="shared" si="19"/>
        <v>0</v>
      </c>
      <c r="BB67" s="168">
        <f t="shared" si="13"/>
        <v>-32500</v>
      </c>
      <c r="BC67" s="168">
        <f t="shared" si="14"/>
        <v>-29250</v>
      </c>
      <c r="BD67" s="169">
        <v>50000</v>
      </c>
      <c r="BE67" s="169"/>
      <c r="BF67" s="168">
        <f t="shared" si="15"/>
        <v>-79250</v>
      </c>
      <c r="BG67" s="33"/>
      <c r="BH67" s="15"/>
      <c r="BI67" s="15"/>
    </row>
    <row r="68" spans="1:61" s="6" customFormat="1" ht="16.899999999999999">
      <c r="A68" s="36">
        <v>67</v>
      </c>
      <c r="B68" s="35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5"/>
      <c r="P68" s="33"/>
      <c r="Q68" s="33"/>
      <c r="R68" s="158"/>
      <c r="S68" s="158"/>
      <c r="T68" s="159">
        <f t="shared" si="11"/>
        <v>0</v>
      </c>
      <c r="U68" s="30"/>
      <c r="V68" s="30"/>
      <c r="W68" s="30"/>
      <c r="X68" s="30"/>
      <c r="Y68" s="238"/>
      <c r="Z68" s="242"/>
      <c r="AA68" s="33"/>
      <c r="AB68" s="160"/>
      <c r="AC68" s="161"/>
      <c r="AD68" s="162"/>
      <c r="AE68" s="163"/>
      <c r="AF68" s="23">
        <f t="shared" si="16"/>
        <v>0</v>
      </c>
      <c r="AG68" s="161">
        <f t="shared" si="20"/>
        <v>0</v>
      </c>
      <c r="AH68" s="164">
        <f t="shared" si="12"/>
        <v>0</v>
      </c>
      <c r="AI68" s="23"/>
      <c r="AJ68" s="23"/>
      <c r="AK68" s="165"/>
      <c r="AL68" s="161"/>
      <c r="AM68" s="166"/>
      <c r="AN68" s="161"/>
      <c r="AO68" s="166"/>
      <c r="AP68" s="161"/>
      <c r="AQ68" s="161"/>
      <c r="AR68" s="161"/>
      <c r="AS68" s="167">
        <v>35000</v>
      </c>
      <c r="AT68" s="167">
        <v>30000</v>
      </c>
      <c r="AU68" s="167"/>
      <c r="AV68" s="167"/>
      <c r="AW68" s="167"/>
      <c r="AX68" s="167">
        <f t="shared" si="21"/>
        <v>65000</v>
      </c>
      <c r="AY68" s="168">
        <f t="shared" si="17"/>
        <v>-65000</v>
      </c>
      <c r="AZ68" s="168">
        <f t="shared" si="18"/>
        <v>-65000</v>
      </c>
      <c r="BA68" s="168">
        <f t="shared" si="19"/>
        <v>0</v>
      </c>
      <c r="BB68" s="168">
        <f t="shared" si="13"/>
        <v>-32500</v>
      </c>
      <c r="BC68" s="168">
        <f t="shared" si="14"/>
        <v>-29250</v>
      </c>
      <c r="BD68" s="169">
        <v>50000</v>
      </c>
      <c r="BE68" s="169"/>
      <c r="BF68" s="168">
        <f t="shared" si="15"/>
        <v>-79250</v>
      </c>
      <c r="BG68" s="33"/>
      <c r="BH68" s="15"/>
      <c r="BI68" s="15"/>
    </row>
    <row r="69" spans="1:61" s="6" customFormat="1" ht="16.899999999999999">
      <c r="A69" s="36">
        <v>68</v>
      </c>
      <c r="B69" s="35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5"/>
      <c r="P69" s="33"/>
      <c r="Q69" s="33"/>
      <c r="R69" s="158"/>
      <c r="S69" s="158"/>
      <c r="T69" s="159">
        <f t="shared" si="11"/>
        <v>0</v>
      </c>
      <c r="U69" s="30"/>
      <c r="V69" s="30"/>
      <c r="W69" s="30"/>
      <c r="X69" s="30"/>
      <c r="Y69" s="238"/>
      <c r="Z69" s="242"/>
      <c r="AA69" s="33"/>
      <c r="AB69" s="160"/>
      <c r="AC69" s="161"/>
      <c r="AD69" s="162"/>
      <c r="AE69" s="163"/>
      <c r="AF69" s="23">
        <f t="shared" si="16"/>
        <v>0</v>
      </c>
      <c r="AG69" s="161">
        <f t="shared" si="20"/>
        <v>0</v>
      </c>
      <c r="AH69" s="164">
        <f t="shared" si="12"/>
        <v>0</v>
      </c>
      <c r="AI69" s="23"/>
      <c r="AJ69" s="23"/>
      <c r="AK69" s="165"/>
      <c r="AL69" s="161"/>
      <c r="AM69" s="166"/>
      <c r="AN69" s="161"/>
      <c r="AO69" s="166"/>
      <c r="AP69" s="161"/>
      <c r="AQ69" s="161"/>
      <c r="AR69" s="161"/>
      <c r="AS69" s="167">
        <v>35000</v>
      </c>
      <c r="AT69" s="167">
        <v>30000</v>
      </c>
      <c r="AU69" s="167"/>
      <c r="AV69" s="167"/>
      <c r="AW69" s="167"/>
      <c r="AX69" s="167">
        <f t="shared" si="21"/>
        <v>65000</v>
      </c>
      <c r="AY69" s="168">
        <f t="shared" si="17"/>
        <v>-65000</v>
      </c>
      <c r="AZ69" s="168">
        <f t="shared" si="18"/>
        <v>-65000</v>
      </c>
      <c r="BA69" s="168">
        <f t="shared" si="19"/>
        <v>0</v>
      </c>
      <c r="BB69" s="168">
        <f t="shared" si="13"/>
        <v>-32500</v>
      </c>
      <c r="BC69" s="168">
        <f t="shared" si="14"/>
        <v>-29250</v>
      </c>
      <c r="BD69" s="169">
        <v>50000</v>
      </c>
      <c r="BE69" s="169"/>
      <c r="BF69" s="168">
        <f t="shared" si="15"/>
        <v>-79250</v>
      </c>
      <c r="BG69" s="33"/>
      <c r="BH69" s="15"/>
      <c r="BI69" s="15"/>
    </row>
    <row r="70" spans="1:61" s="6" customFormat="1" ht="16.899999999999999">
      <c r="A70" s="36">
        <v>69</v>
      </c>
      <c r="B70" s="35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5"/>
      <c r="P70" s="33"/>
      <c r="Q70" s="33"/>
      <c r="R70" s="158"/>
      <c r="S70" s="158"/>
      <c r="T70" s="159">
        <f t="shared" si="11"/>
        <v>0</v>
      </c>
      <c r="U70" s="30"/>
      <c r="V70" s="30"/>
      <c r="W70" s="30"/>
      <c r="X70" s="30"/>
      <c r="Y70" s="238"/>
      <c r="Z70" s="242"/>
      <c r="AA70" s="33"/>
      <c r="AB70" s="160"/>
      <c r="AC70" s="161"/>
      <c r="AD70" s="162"/>
      <c r="AE70" s="163"/>
      <c r="AF70" s="23">
        <f t="shared" si="16"/>
        <v>0</v>
      </c>
      <c r="AG70" s="161">
        <f t="shared" si="20"/>
        <v>0</v>
      </c>
      <c r="AH70" s="164">
        <f t="shared" si="12"/>
        <v>0</v>
      </c>
      <c r="AI70" s="23"/>
      <c r="AJ70" s="23"/>
      <c r="AK70" s="165"/>
      <c r="AL70" s="161"/>
      <c r="AM70" s="166"/>
      <c r="AN70" s="161"/>
      <c r="AO70" s="166"/>
      <c r="AP70" s="161"/>
      <c r="AQ70" s="161"/>
      <c r="AR70" s="161"/>
      <c r="AS70" s="167">
        <v>35000</v>
      </c>
      <c r="AT70" s="167">
        <v>30000</v>
      </c>
      <c r="AU70" s="167"/>
      <c r="AV70" s="167"/>
      <c r="AW70" s="167"/>
      <c r="AX70" s="167">
        <f t="shared" si="21"/>
        <v>65000</v>
      </c>
      <c r="AY70" s="168">
        <f t="shared" si="17"/>
        <v>-65000</v>
      </c>
      <c r="AZ70" s="168">
        <f t="shared" si="18"/>
        <v>-65000</v>
      </c>
      <c r="BA70" s="168">
        <f t="shared" si="19"/>
        <v>0</v>
      </c>
      <c r="BB70" s="168">
        <f t="shared" si="13"/>
        <v>-32500</v>
      </c>
      <c r="BC70" s="168">
        <f t="shared" si="14"/>
        <v>-29250</v>
      </c>
      <c r="BD70" s="169">
        <v>50000</v>
      </c>
      <c r="BE70" s="169"/>
      <c r="BF70" s="168">
        <f t="shared" si="15"/>
        <v>-79250</v>
      </c>
      <c r="BG70" s="33"/>
      <c r="BH70" s="15"/>
      <c r="BI70" s="15"/>
    </row>
    <row r="71" spans="1:61" s="6" customFormat="1" ht="16.899999999999999">
      <c r="A71" s="36">
        <v>70</v>
      </c>
      <c r="B71" s="35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5"/>
      <c r="P71" s="33"/>
      <c r="Q71" s="33"/>
      <c r="R71" s="158"/>
      <c r="S71" s="158"/>
      <c r="T71" s="159">
        <f t="shared" si="11"/>
        <v>0</v>
      </c>
      <c r="U71" s="30"/>
      <c r="V71" s="30"/>
      <c r="W71" s="30"/>
      <c r="X71" s="30"/>
      <c r="Y71" s="238"/>
      <c r="Z71" s="242"/>
      <c r="AA71" s="33"/>
      <c r="AB71" s="160"/>
      <c r="AC71" s="161"/>
      <c r="AD71" s="162"/>
      <c r="AE71" s="163"/>
      <c r="AF71" s="23">
        <f t="shared" si="16"/>
        <v>0</v>
      </c>
      <c r="AG71" s="161">
        <f t="shared" si="20"/>
        <v>0</v>
      </c>
      <c r="AH71" s="164">
        <f t="shared" si="12"/>
        <v>0</v>
      </c>
      <c r="AI71" s="23"/>
      <c r="AJ71" s="23"/>
      <c r="AK71" s="165"/>
      <c r="AL71" s="161"/>
      <c r="AM71" s="166"/>
      <c r="AN71" s="161"/>
      <c r="AO71" s="166"/>
      <c r="AP71" s="161"/>
      <c r="AQ71" s="161"/>
      <c r="AR71" s="161"/>
      <c r="AS71" s="167">
        <v>35000</v>
      </c>
      <c r="AT71" s="167">
        <v>30000</v>
      </c>
      <c r="AU71" s="167"/>
      <c r="AV71" s="167"/>
      <c r="AW71" s="167"/>
      <c r="AX71" s="167">
        <f t="shared" si="21"/>
        <v>65000</v>
      </c>
      <c r="AY71" s="168">
        <f t="shared" si="17"/>
        <v>-65000</v>
      </c>
      <c r="AZ71" s="168">
        <f t="shared" si="18"/>
        <v>-65000</v>
      </c>
      <c r="BA71" s="168">
        <f t="shared" si="19"/>
        <v>0</v>
      </c>
      <c r="BB71" s="168">
        <f t="shared" si="13"/>
        <v>-32500</v>
      </c>
      <c r="BC71" s="168">
        <f t="shared" si="14"/>
        <v>-29250</v>
      </c>
      <c r="BD71" s="169">
        <v>50000</v>
      </c>
      <c r="BE71" s="169"/>
      <c r="BF71" s="168">
        <f t="shared" si="15"/>
        <v>-79250</v>
      </c>
      <c r="BG71" s="33"/>
      <c r="BH71" s="15"/>
      <c r="BI71" s="15"/>
    </row>
    <row r="72" spans="1:61" s="6" customFormat="1" ht="16.899999999999999">
      <c r="A72" s="36">
        <v>71</v>
      </c>
      <c r="B72" s="35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5"/>
      <c r="P72" s="33"/>
      <c r="Q72" s="33"/>
      <c r="R72" s="158"/>
      <c r="S72" s="158"/>
      <c r="T72" s="159">
        <f t="shared" si="11"/>
        <v>0</v>
      </c>
      <c r="U72" s="30"/>
      <c r="V72" s="30"/>
      <c r="W72" s="30"/>
      <c r="X72" s="30"/>
      <c r="Y72" s="238"/>
      <c r="Z72" s="242"/>
      <c r="AA72" s="33"/>
      <c r="AB72" s="160"/>
      <c r="AC72" s="161"/>
      <c r="AD72" s="162"/>
      <c r="AE72" s="163"/>
      <c r="AF72" s="23">
        <f t="shared" si="16"/>
        <v>0</v>
      </c>
      <c r="AG72" s="161">
        <f t="shared" si="20"/>
        <v>0</v>
      </c>
      <c r="AH72" s="164">
        <f t="shared" si="12"/>
        <v>0</v>
      </c>
      <c r="AI72" s="23"/>
      <c r="AJ72" s="23"/>
      <c r="AK72" s="165"/>
      <c r="AL72" s="161"/>
      <c r="AM72" s="166"/>
      <c r="AN72" s="161"/>
      <c r="AO72" s="166"/>
      <c r="AP72" s="161"/>
      <c r="AQ72" s="161"/>
      <c r="AR72" s="161"/>
      <c r="AS72" s="167">
        <v>35000</v>
      </c>
      <c r="AT72" s="167">
        <v>30000</v>
      </c>
      <c r="AU72" s="167"/>
      <c r="AV72" s="167"/>
      <c r="AW72" s="167"/>
      <c r="AX72" s="167">
        <f t="shared" si="21"/>
        <v>65000</v>
      </c>
      <c r="AY72" s="168">
        <f t="shared" si="17"/>
        <v>-65000</v>
      </c>
      <c r="AZ72" s="168">
        <f t="shared" si="18"/>
        <v>-65000</v>
      </c>
      <c r="BA72" s="168">
        <f t="shared" si="19"/>
        <v>0</v>
      </c>
      <c r="BB72" s="168">
        <f t="shared" si="13"/>
        <v>-32500</v>
      </c>
      <c r="BC72" s="168">
        <f t="shared" si="14"/>
        <v>-29250</v>
      </c>
      <c r="BD72" s="169">
        <v>50000</v>
      </c>
      <c r="BE72" s="169"/>
      <c r="BF72" s="168">
        <f t="shared" si="15"/>
        <v>-79250</v>
      </c>
      <c r="BG72" s="33"/>
      <c r="BH72" s="15"/>
      <c r="BI72" s="15"/>
    </row>
    <row r="73" spans="1:61" s="6" customFormat="1" ht="16.899999999999999">
      <c r="A73" s="36">
        <v>72</v>
      </c>
      <c r="B73" s="35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5"/>
      <c r="P73" s="33"/>
      <c r="Q73" s="33"/>
      <c r="R73" s="158"/>
      <c r="S73" s="158"/>
      <c r="T73" s="159">
        <f t="shared" si="11"/>
        <v>0</v>
      </c>
      <c r="U73" s="30"/>
      <c r="V73" s="30"/>
      <c r="W73" s="30"/>
      <c r="X73" s="30"/>
      <c r="Y73" s="238"/>
      <c r="Z73" s="242"/>
      <c r="AA73" s="33"/>
      <c r="AB73" s="160"/>
      <c r="AC73" s="161"/>
      <c r="AD73" s="162"/>
      <c r="AE73" s="163"/>
      <c r="AF73" s="23">
        <f t="shared" si="16"/>
        <v>0</v>
      </c>
      <c r="AG73" s="161">
        <f t="shared" si="20"/>
        <v>0</v>
      </c>
      <c r="AH73" s="164">
        <f t="shared" si="12"/>
        <v>0</v>
      </c>
      <c r="AI73" s="23"/>
      <c r="AJ73" s="23"/>
      <c r="AK73" s="165"/>
      <c r="AL73" s="161"/>
      <c r="AM73" s="166"/>
      <c r="AN73" s="161"/>
      <c r="AO73" s="166"/>
      <c r="AP73" s="161"/>
      <c r="AQ73" s="161"/>
      <c r="AR73" s="161"/>
      <c r="AS73" s="167">
        <v>35000</v>
      </c>
      <c r="AT73" s="167">
        <v>30000</v>
      </c>
      <c r="AU73" s="167"/>
      <c r="AV73" s="167"/>
      <c r="AW73" s="167"/>
      <c r="AX73" s="167">
        <f t="shared" si="21"/>
        <v>65000</v>
      </c>
      <c r="AY73" s="168">
        <f t="shared" si="17"/>
        <v>-65000</v>
      </c>
      <c r="AZ73" s="168">
        <f t="shared" si="18"/>
        <v>-65000</v>
      </c>
      <c r="BA73" s="168">
        <f t="shared" si="19"/>
        <v>0</v>
      </c>
      <c r="BB73" s="168">
        <f t="shared" si="13"/>
        <v>-32500</v>
      </c>
      <c r="BC73" s="168">
        <f t="shared" si="14"/>
        <v>-29250</v>
      </c>
      <c r="BD73" s="169">
        <v>50000</v>
      </c>
      <c r="BE73" s="169"/>
      <c r="BF73" s="168">
        <f t="shared" si="15"/>
        <v>-79250</v>
      </c>
      <c r="BG73" s="33"/>
      <c r="BH73" s="15"/>
      <c r="BI73" s="15"/>
    </row>
    <row r="74" spans="1:61" ht="16.899999999999999">
      <c r="A74" s="36">
        <v>73</v>
      </c>
      <c r="B74" s="35"/>
      <c r="C74" s="33"/>
      <c r="D74" s="33"/>
      <c r="E74" s="33"/>
      <c r="F74" s="38"/>
      <c r="G74" s="38"/>
      <c r="H74" s="38"/>
      <c r="I74" s="38"/>
      <c r="J74" s="38"/>
      <c r="K74" s="38"/>
      <c r="L74" s="33"/>
      <c r="M74" s="33"/>
      <c r="N74" s="38"/>
      <c r="O74" s="39" t="s">
        <v>27</v>
      </c>
      <c r="P74" s="38"/>
      <c r="Q74" s="216"/>
      <c r="R74" s="158"/>
      <c r="S74" s="158"/>
      <c r="T74" s="159">
        <f t="shared" si="11"/>
        <v>0</v>
      </c>
      <c r="U74" s="30"/>
      <c r="V74" s="30"/>
      <c r="W74" s="30"/>
      <c r="X74" s="30"/>
      <c r="Y74" s="238"/>
      <c r="Z74" s="242"/>
      <c r="AA74" s="38"/>
      <c r="AB74" s="160"/>
      <c r="AC74" s="161"/>
      <c r="AD74" s="162"/>
      <c r="AE74" s="163"/>
      <c r="AF74" s="23">
        <f t="shared" si="16"/>
        <v>0</v>
      </c>
      <c r="AG74" s="161">
        <f t="shared" si="20"/>
        <v>0</v>
      </c>
      <c r="AH74" s="164">
        <f t="shared" si="12"/>
        <v>0</v>
      </c>
      <c r="AI74" s="23"/>
      <c r="AJ74" s="23"/>
      <c r="AK74" s="165"/>
      <c r="AL74" s="161"/>
      <c r="AM74" s="166"/>
      <c r="AN74" s="161"/>
      <c r="AO74" s="166"/>
      <c r="AP74" s="161"/>
      <c r="AQ74" s="161"/>
      <c r="AR74" s="161"/>
      <c r="AS74" s="167">
        <v>35000</v>
      </c>
      <c r="AT74" s="167">
        <v>30000</v>
      </c>
      <c r="AU74" s="167"/>
      <c r="AV74" s="167"/>
      <c r="AW74" s="167"/>
      <c r="AX74" s="167">
        <f t="shared" si="21"/>
        <v>65000</v>
      </c>
      <c r="AY74" s="168">
        <f t="shared" si="17"/>
        <v>-65000</v>
      </c>
      <c r="AZ74" s="168">
        <f t="shared" si="18"/>
        <v>-65000</v>
      </c>
      <c r="BA74" s="168">
        <f t="shared" si="19"/>
        <v>0</v>
      </c>
      <c r="BB74" s="168">
        <f t="shared" si="13"/>
        <v>-32500</v>
      </c>
      <c r="BC74" s="168">
        <f t="shared" si="14"/>
        <v>-29250</v>
      </c>
      <c r="BD74" s="169">
        <v>50000</v>
      </c>
      <c r="BE74" s="169"/>
      <c r="BF74" s="168">
        <f t="shared" si="15"/>
        <v>-79250</v>
      </c>
      <c r="BG74" s="33"/>
      <c r="BH74" s="16"/>
      <c r="BI74" s="16"/>
    </row>
    <row r="75" spans="1:61" ht="16.899999999999999">
      <c r="A75" s="36">
        <v>74</v>
      </c>
      <c r="B75" s="35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5"/>
      <c r="P75" s="33"/>
      <c r="Q75" s="33"/>
      <c r="R75" s="158"/>
      <c r="S75" s="158"/>
      <c r="T75" s="159">
        <f t="shared" si="11"/>
        <v>0</v>
      </c>
      <c r="U75" s="30"/>
      <c r="V75" s="30"/>
      <c r="W75" s="30"/>
      <c r="X75" s="30"/>
      <c r="Y75" s="238"/>
      <c r="Z75" s="242"/>
      <c r="AA75" s="33"/>
      <c r="AB75" s="160"/>
      <c r="AC75" s="161"/>
      <c r="AD75" s="162"/>
      <c r="AE75" s="163"/>
      <c r="AF75" s="23">
        <f t="shared" si="16"/>
        <v>0</v>
      </c>
      <c r="AG75" s="161">
        <f t="shared" si="20"/>
        <v>0</v>
      </c>
      <c r="AH75" s="164">
        <f t="shared" si="12"/>
        <v>0</v>
      </c>
      <c r="AI75" s="23"/>
      <c r="AJ75" s="23"/>
      <c r="AK75" s="165"/>
      <c r="AL75" s="161"/>
      <c r="AM75" s="166"/>
      <c r="AN75" s="161"/>
      <c r="AO75" s="166"/>
      <c r="AP75" s="161"/>
      <c r="AQ75" s="161"/>
      <c r="AR75" s="161"/>
      <c r="AS75" s="167">
        <v>35000</v>
      </c>
      <c r="AT75" s="167">
        <v>30000</v>
      </c>
      <c r="AU75" s="167"/>
      <c r="AV75" s="167"/>
      <c r="AW75" s="167"/>
      <c r="AX75" s="167">
        <f t="shared" si="21"/>
        <v>65000</v>
      </c>
      <c r="AY75" s="168">
        <f t="shared" si="17"/>
        <v>-65000</v>
      </c>
      <c r="AZ75" s="168">
        <f t="shared" si="18"/>
        <v>-65000</v>
      </c>
      <c r="BA75" s="168">
        <f t="shared" si="19"/>
        <v>0</v>
      </c>
      <c r="BB75" s="168">
        <f t="shared" si="13"/>
        <v>-32500</v>
      </c>
      <c r="BC75" s="168">
        <f t="shared" si="14"/>
        <v>-29250</v>
      </c>
      <c r="BD75" s="169">
        <v>50000</v>
      </c>
      <c r="BE75" s="169"/>
      <c r="BF75" s="168">
        <f t="shared" si="15"/>
        <v>-79250</v>
      </c>
      <c r="BG75" s="33"/>
      <c r="BH75" s="16"/>
      <c r="BI75" s="16"/>
    </row>
    <row r="76" spans="1:61" ht="16.899999999999999">
      <c r="A76" s="36">
        <v>75</v>
      </c>
      <c r="B76" s="35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5"/>
      <c r="P76" s="33"/>
      <c r="Q76" s="33"/>
      <c r="R76" s="158"/>
      <c r="S76" s="158"/>
      <c r="T76" s="159">
        <f t="shared" si="11"/>
        <v>0</v>
      </c>
      <c r="U76" s="30"/>
      <c r="V76" s="30"/>
      <c r="W76" s="30"/>
      <c r="X76" s="30"/>
      <c r="Y76" s="238"/>
      <c r="Z76" s="242"/>
      <c r="AA76" s="33"/>
      <c r="AB76" s="160"/>
      <c r="AC76" s="161"/>
      <c r="AD76" s="162"/>
      <c r="AE76" s="163"/>
      <c r="AF76" s="23">
        <f t="shared" si="16"/>
        <v>0</v>
      </c>
      <c r="AG76" s="161">
        <f t="shared" si="20"/>
        <v>0</v>
      </c>
      <c r="AH76" s="164">
        <f t="shared" si="12"/>
        <v>0</v>
      </c>
      <c r="AI76" s="23"/>
      <c r="AJ76" s="23"/>
      <c r="AK76" s="165"/>
      <c r="AL76" s="161"/>
      <c r="AM76" s="160"/>
      <c r="AN76" s="161"/>
      <c r="AO76" s="166"/>
      <c r="AP76" s="161"/>
      <c r="AQ76" s="161"/>
      <c r="AR76" s="161"/>
      <c r="AS76" s="167">
        <v>35000</v>
      </c>
      <c r="AT76" s="167">
        <v>30000</v>
      </c>
      <c r="AU76" s="167"/>
      <c r="AV76" s="167"/>
      <c r="AW76" s="167"/>
      <c r="AX76" s="167">
        <f t="shared" si="21"/>
        <v>65000</v>
      </c>
      <c r="AY76" s="168">
        <f t="shared" si="17"/>
        <v>-65000</v>
      </c>
      <c r="AZ76" s="168">
        <f t="shared" si="18"/>
        <v>-65000</v>
      </c>
      <c r="BA76" s="168">
        <f t="shared" si="19"/>
        <v>0</v>
      </c>
      <c r="BB76" s="168">
        <f t="shared" si="13"/>
        <v>-32500</v>
      </c>
      <c r="BC76" s="168">
        <f t="shared" si="14"/>
        <v>-29250</v>
      </c>
      <c r="BD76" s="169">
        <v>50000</v>
      </c>
      <c r="BE76" s="169"/>
      <c r="BF76" s="168">
        <f t="shared" si="15"/>
        <v>-79250</v>
      </c>
      <c r="BG76" s="33"/>
      <c r="BH76" s="16"/>
      <c r="BI76" s="16"/>
    </row>
    <row r="77" spans="1:61" ht="16.899999999999999">
      <c r="A77" s="36">
        <v>76</v>
      </c>
      <c r="B77" s="35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5"/>
      <c r="P77" s="33"/>
      <c r="Q77" s="33"/>
      <c r="R77" s="158"/>
      <c r="S77" s="158"/>
      <c r="T77" s="159">
        <f t="shared" si="11"/>
        <v>0</v>
      </c>
      <c r="U77" s="30"/>
      <c r="V77" s="30"/>
      <c r="W77" s="30"/>
      <c r="X77" s="30"/>
      <c r="Y77" s="238"/>
      <c r="Z77" s="242"/>
      <c r="AA77" s="33"/>
      <c r="AB77" s="160"/>
      <c r="AC77" s="161"/>
      <c r="AD77" s="162"/>
      <c r="AE77" s="163"/>
      <c r="AF77" s="23">
        <f t="shared" si="16"/>
        <v>0</v>
      </c>
      <c r="AG77" s="161">
        <f t="shared" si="20"/>
        <v>0</v>
      </c>
      <c r="AH77" s="164">
        <f t="shared" si="12"/>
        <v>0</v>
      </c>
      <c r="AI77" s="23"/>
      <c r="AJ77" s="23"/>
      <c r="AK77" s="165"/>
      <c r="AL77" s="161"/>
      <c r="AM77" s="166"/>
      <c r="AN77" s="161"/>
      <c r="AO77" s="166"/>
      <c r="AP77" s="161"/>
      <c r="AQ77" s="161"/>
      <c r="AR77" s="161"/>
      <c r="AS77" s="167">
        <v>35000</v>
      </c>
      <c r="AT77" s="167">
        <v>30000</v>
      </c>
      <c r="AU77" s="167"/>
      <c r="AV77" s="167"/>
      <c r="AW77" s="167"/>
      <c r="AX77" s="167">
        <f t="shared" si="21"/>
        <v>65000</v>
      </c>
      <c r="AY77" s="168">
        <f t="shared" si="17"/>
        <v>-65000</v>
      </c>
      <c r="AZ77" s="168">
        <f t="shared" si="18"/>
        <v>-65000</v>
      </c>
      <c r="BA77" s="168">
        <f t="shared" si="19"/>
        <v>0</v>
      </c>
      <c r="BB77" s="168">
        <f t="shared" si="13"/>
        <v>-32500</v>
      </c>
      <c r="BC77" s="168">
        <f t="shared" si="14"/>
        <v>-29250</v>
      </c>
      <c r="BD77" s="169">
        <v>50000</v>
      </c>
      <c r="BE77" s="169"/>
      <c r="BF77" s="168">
        <f t="shared" si="15"/>
        <v>-79250</v>
      </c>
      <c r="BG77" s="33"/>
      <c r="BH77" s="16"/>
      <c r="BI77" s="16"/>
    </row>
    <row r="78" spans="1:61" ht="16.899999999999999">
      <c r="A78" s="36">
        <v>77</v>
      </c>
      <c r="B78" s="35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5"/>
      <c r="P78" s="33"/>
      <c r="Q78" s="33"/>
      <c r="R78" s="158"/>
      <c r="S78" s="158"/>
      <c r="T78" s="159">
        <f t="shared" si="11"/>
        <v>0</v>
      </c>
      <c r="U78" s="30"/>
      <c r="V78" s="30"/>
      <c r="W78" s="30"/>
      <c r="X78" s="30"/>
      <c r="Y78" s="238"/>
      <c r="Z78" s="242"/>
      <c r="AA78" s="33"/>
      <c r="AB78" s="160"/>
      <c r="AC78" s="161"/>
      <c r="AD78" s="162"/>
      <c r="AE78" s="163"/>
      <c r="AF78" s="23">
        <f t="shared" si="16"/>
        <v>0</v>
      </c>
      <c r="AG78" s="161">
        <f t="shared" si="20"/>
        <v>0</v>
      </c>
      <c r="AH78" s="164">
        <f t="shared" si="12"/>
        <v>0</v>
      </c>
      <c r="AI78" s="23"/>
      <c r="AJ78" s="23"/>
      <c r="AK78" s="165"/>
      <c r="AL78" s="161"/>
      <c r="AM78" s="166"/>
      <c r="AN78" s="161"/>
      <c r="AO78" s="166"/>
      <c r="AP78" s="161"/>
      <c r="AQ78" s="161"/>
      <c r="AR78" s="161"/>
      <c r="AS78" s="167">
        <v>35000</v>
      </c>
      <c r="AT78" s="167">
        <v>30000</v>
      </c>
      <c r="AU78" s="167"/>
      <c r="AV78" s="167"/>
      <c r="AW78" s="167"/>
      <c r="AX78" s="167">
        <f t="shared" si="21"/>
        <v>65000</v>
      </c>
      <c r="AY78" s="168">
        <f t="shared" si="17"/>
        <v>-65000</v>
      </c>
      <c r="AZ78" s="168">
        <f t="shared" si="18"/>
        <v>-65000</v>
      </c>
      <c r="BA78" s="168">
        <f t="shared" si="19"/>
        <v>0</v>
      </c>
      <c r="BB78" s="168">
        <f t="shared" si="13"/>
        <v>-32500</v>
      </c>
      <c r="BC78" s="168">
        <f t="shared" si="14"/>
        <v>-29250</v>
      </c>
      <c r="BD78" s="169">
        <v>50000</v>
      </c>
      <c r="BE78" s="169"/>
      <c r="BF78" s="168">
        <f t="shared" si="15"/>
        <v>-79250</v>
      </c>
      <c r="BG78" s="33"/>
      <c r="BH78" s="16"/>
      <c r="BI78" s="16"/>
    </row>
    <row r="79" spans="1:61" ht="16.899999999999999">
      <c r="A79" s="36">
        <v>78</v>
      </c>
      <c r="B79" s="35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5"/>
      <c r="P79" s="33"/>
      <c r="Q79" s="33"/>
      <c r="R79" s="158"/>
      <c r="S79" s="158"/>
      <c r="T79" s="159">
        <f t="shared" si="11"/>
        <v>0</v>
      </c>
      <c r="U79" s="30"/>
      <c r="V79" s="30"/>
      <c r="W79" s="30"/>
      <c r="X79" s="30"/>
      <c r="Y79" s="238"/>
      <c r="Z79" s="242"/>
      <c r="AA79" s="33"/>
      <c r="AB79" s="160"/>
      <c r="AC79" s="161"/>
      <c r="AD79" s="162"/>
      <c r="AE79" s="163"/>
      <c r="AF79" s="23">
        <f t="shared" si="16"/>
        <v>0</v>
      </c>
      <c r="AG79" s="161">
        <f t="shared" si="20"/>
        <v>0</v>
      </c>
      <c r="AH79" s="164">
        <f t="shared" si="12"/>
        <v>0</v>
      </c>
      <c r="AI79" s="23"/>
      <c r="AJ79" s="23"/>
      <c r="AK79" s="165"/>
      <c r="AL79" s="161"/>
      <c r="AM79" s="166"/>
      <c r="AN79" s="161"/>
      <c r="AO79" s="166"/>
      <c r="AP79" s="161"/>
      <c r="AQ79" s="161"/>
      <c r="AR79" s="161"/>
      <c r="AS79" s="167">
        <v>35000</v>
      </c>
      <c r="AT79" s="167">
        <v>30000</v>
      </c>
      <c r="AU79" s="167"/>
      <c r="AV79" s="167"/>
      <c r="AW79" s="167"/>
      <c r="AX79" s="167">
        <f t="shared" si="21"/>
        <v>65000</v>
      </c>
      <c r="AY79" s="168">
        <f t="shared" si="17"/>
        <v>-65000</v>
      </c>
      <c r="AZ79" s="168">
        <f t="shared" si="18"/>
        <v>-65000</v>
      </c>
      <c r="BA79" s="168">
        <f t="shared" si="19"/>
        <v>0</v>
      </c>
      <c r="BB79" s="168">
        <f t="shared" si="13"/>
        <v>-32500</v>
      </c>
      <c r="BC79" s="168">
        <f t="shared" si="14"/>
        <v>-29250</v>
      </c>
      <c r="BD79" s="169">
        <v>50000</v>
      </c>
      <c r="BE79" s="169"/>
      <c r="BF79" s="168">
        <f t="shared" si="15"/>
        <v>-79250</v>
      </c>
      <c r="BG79" s="33"/>
      <c r="BH79" s="16"/>
      <c r="BI79" s="16"/>
    </row>
    <row r="80" spans="1:61" ht="16.899999999999999">
      <c r="A80" s="36">
        <v>79</v>
      </c>
      <c r="B80" s="35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5"/>
      <c r="P80" s="33"/>
      <c r="Q80" s="33"/>
      <c r="R80" s="158"/>
      <c r="S80" s="158"/>
      <c r="T80" s="159">
        <f t="shared" si="11"/>
        <v>0</v>
      </c>
      <c r="U80" s="30"/>
      <c r="V80" s="30"/>
      <c r="W80" s="30"/>
      <c r="X80" s="30"/>
      <c r="Y80" s="238"/>
      <c r="Z80" s="242"/>
      <c r="AA80" s="33"/>
      <c r="AB80" s="160"/>
      <c r="AC80" s="161"/>
      <c r="AD80" s="162"/>
      <c r="AE80" s="163"/>
      <c r="AF80" s="23">
        <f t="shared" si="16"/>
        <v>0</v>
      </c>
      <c r="AG80" s="161">
        <f t="shared" si="20"/>
        <v>0</v>
      </c>
      <c r="AH80" s="164">
        <f t="shared" si="12"/>
        <v>0</v>
      </c>
      <c r="AI80" s="23"/>
      <c r="AJ80" s="23"/>
      <c r="AK80" s="165"/>
      <c r="AL80" s="161"/>
      <c r="AM80" s="166"/>
      <c r="AN80" s="161"/>
      <c r="AO80" s="166"/>
      <c r="AP80" s="161"/>
      <c r="AQ80" s="161"/>
      <c r="AR80" s="161"/>
      <c r="AS80" s="167">
        <v>35000</v>
      </c>
      <c r="AT80" s="167">
        <v>30000</v>
      </c>
      <c r="AU80" s="167"/>
      <c r="AV80" s="167"/>
      <c r="AW80" s="167"/>
      <c r="AX80" s="167">
        <f t="shared" si="21"/>
        <v>65000</v>
      </c>
      <c r="AY80" s="168">
        <f t="shared" si="17"/>
        <v>-65000</v>
      </c>
      <c r="AZ80" s="168">
        <f t="shared" si="18"/>
        <v>-65000</v>
      </c>
      <c r="BA80" s="168">
        <f t="shared" si="19"/>
        <v>0</v>
      </c>
      <c r="BB80" s="168">
        <f t="shared" si="13"/>
        <v>-32500</v>
      </c>
      <c r="BC80" s="168">
        <f t="shared" si="14"/>
        <v>-29250</v>
      </c>
      <c r="BD80" s="169">
        <v>50000</v>
      </c>
      <c r="BE80" s="169"/>
      <c r="BF80" s="168">
        <f t="shared" si="15"/>
        <v>-79250</v>
      </c>
      <c r="BG80" s="33"/>
      <c r="BH80" s="16"/>
      <c r="BI80" s="16"/>
    </row>
    <row r="81" spans="1:61" ht="16.899999999999999">
      <c r="A81" s="36">
        <v>80</v>
      </c>
      <c r="B81" s="35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5"/>
      <c r="P81" s="33"/>
      <c r="Q81" s="33"/>
      <c r="R81" s="158"/>
      <c r="S81" s="158"/>
      <c r="T81" s="159">
        <f t="shared" si="11"/>
        <v>0</v>
      </c>
      <c r="U81" s="30"/>
      <c r="V81" s="30"/>
      <c r="W81" s="30"/>
      <c r="X81" s="30"/>
      <c r="Y81" s="238"/>
      <c r="Z81" s="242"/>
      <c r="AA81" s="33"/>
      <c r="AB81" s="160"/>
      <c r="AC81" s="161"/>
      <c r="AD81" s="162"/>
      <c r="AE81" s="163"/>
      <c r="AF81" s="23">
        <f t="shared" si="16"/>
        <v>0</v>
      </c>
      <c r="AG81" s="161">
        <f t="shared" si="20"/>
        <v>0</v>
      </c>
      <c r="AH81" s="164">
        <f t="shared" si="12"/>
        <v>0</v>
      </c>
      <c r="AI81" s="23"/>
      <c r="AJ81" s="23"/>
      <c r="AK81" s="165"/>
      <c r="AL81" s="161"/>
      <c r="AM81" s="166"/>
      <c r="AN81" s="161"/>
      <c r="AO81" s="166"/>
      <c r="AP81" s="161"/>
      <c r="AQ81" s="161"/>
      <c r="AR81" s="161"/>
      <c r="AS81" s="167">
        <v>35000</v>
      </c>
      <c r="AT81" s="167">
        <v>30000</v>
      </c>
      <c r="AU81" s="167"/>
      <c r="AV81" s="167"/>
      <c r="AW81" s="167"/>
      <c r="AX81" s="167">
        <f t="shared" si="21"/>
        <v>65000</v>
      </c>
      <c r="AY81" s="168">
        <f t="shared" si="17"/>
        <v>-65000</v>
      </c>
      <c r="AZ81" s="168">
        <f t="shared" si="18"/>
        <v>-65000</v>
      </c>
      <c r="BA81" s="168">
        <f t="shared" si="19"/>
        <v>0</v>
      </c>
      <c r="BB81" s="168">
        <f t="shared" si="13"/>
        <v>-32500</v>
      </c>
      <c r="BC81" s="168">
        <f t="shared" si="14"/>
        <v>-29250</v>
      </c>
      <c r="BD81" s="169">
        <v>50000</v>
      </c>
      <c r="BE81" s="169"/>
      <c r="BF81" s="168">
        <f t="shared" si="15"/>
        <v>-79250</v>
      </c>
      <c r="BG81" s="33"/>
      <c r="BH81" s="16"/>
      <c r="BI81" s="16"/>
    </row>
    <row r="82" spans="1:61" ht="16.899999999999999">
      <c r="A82" s="36">
        <v>81</v>
      </c>
      <c r="B82" s="35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5"/>
      <c r="P82" s="33"/>
      <c r="Q82" s="33"/>
      <c r="R82" s="158"/>
      <c r="S82" s="158"/>
      <c r="T82" s="159">
        <f t="shared" si="11"/>
        <v>0</v>
      </c>
      <c r="U82" s="30"/>
      <c r="V82" s="30"/>
      <c r="W82" s="30"/>
      <c r="X82" s="30"/>
      <c r="Y82" s="238"/>
      <c r="Z82" s="242"/>
      <c r="AA82" s="33"/>
      <c r="AB82" s="160"/>
      <c r="AC82" s="161"/>
      <c r="AD82" s="162"/>
      <c r="AE82" s="163"/>
      <c r="AF82" s="23">
        <f t="shared" si="16"/>
        <v>0</v>
      </c>
      <c r="AG82" s="161">
        <f t="shared" si="20"/>
        <v>0</v>
      </c>
      <c r="AH82" s="164">
        <f t="shared" si="12"/>
        <v>0</v>
      </c>
      <c r="AI82" s="23"/>
      <c r="AJ82" s="23"/>
      <c r="AK82" s="165"/>
      <c r="AL82" s="161"/>
      <c r="AM82" s="166"/>
      <c r="AN82" s="161"/>
      <c r="AO82" s="166"/>
      <c r="AP82" s="161"/>
      <c r="AQ82" s="161"/>
      <c r="AR82" s="161"/>
      <c r="AS82" s="167">
        <v>35000</v>
      </c>
      <c r="AT82" s="167">
        <v>30000</v>
      </c>
      <c r="AU82" s="167"/>
      <c r="AV82" s="167"/>
      <c r="AW82" s="167"/>
      <c r="AX82" s="167">
        <f t="shared" si="21"/>
        <v>65000</v>
      </c>
      <c r="AY82" s="168">
        <f t="shared" si="17"/>
        <v>-65000</v>
      </c>
      <c r="AZ82" s="168">
        <f t="shared" si="18"/>
        <v>-65000</v>
      </c>
      <c r="BA82" s="168">
        <f t="shared" si="19"/>
        <v>0</v>
      </c>
      <c r="BB82" s="168">
        <f t="shared" si="13"/>
        <v>-32500</v>
      </c>
      <c r="BC82" s="168">
        <f t="shared" si="14"/>
        <v>-29250</v>
      </c>
      <c r="BD82" s="169">
        <v>50000</v>
      </c>
      <c r="BE82" s="169"/>
      <c r="BF82" s="168">
        <f t="shared" si="15"/>
        <v>-79250</v>
      </c>
      <c r="BG82" s="33"/>
      <c r="BH82" s="16"/>
      <c r="BI82" s="16"/>
    </row>
    <row r="83" spans="1:61" ht="16.899999999999999">
      <c r="A83" s="36">
        <v>82</v>
      </c>
      <c r="B83" s="35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5"/>
      <c r="P83" s="33"/>
      <c r="Q83" s="33"/>
      <c r="R83" s="158"/>
      <c r="S83" s="158"/>
      <c r="T83" s="159">
        <f t="shared" si="11"/>
        <v>0</v>
      </c>
      <c r="U83" s="30"/>
      <c r="V83" s="30"/>
      <c r="W83" s="30"/>
      <c r="X83" s="30"/>
      <c r="Y83" s="238"/>
      <c r="Z83" s="242"/>
      <c r="AA83" s="33"/>
      <c r="AB83" s="160"/>
      <c r="AC83" s="161"/>
      <c r="AD83" s="162"/>
      <c r="AE83" s="163"/>
      <c r="AF83" s="23">
        <f t="shared" si="16"/>
        <v>0</v>
      </c>
      <c r="AG83" s="161">
        <f t="shared" si="20"/>
        <v>0</v>
      </c>
      <c r="AH83" s="164">
        <f t="shared" si="12"/>
        <v>0</v>
      </c>
      <c r="AI83" s="23"/>
      <c r="AJ83" s="23"/>
      <c r="AK83" s="165"/>
      <c r="AL83" s="161"/>
      <c r="AM83" s="166"/>
      <c r="AN83" s="161"/>
      <c r="AO83" s="166"/>
      <c r="AP83" s="161"/>
      <c r="AQ83" s="161"/>
      <c r="AR83" s="161"/>
      <c r="AS83" s="167">
        <v>35000</v>
      </c>
      <c r="AT83" s="167">
        <v>30000</v>
      </c>
      <c r="AU83" s="167"/>
      <c r="AV83" s="167"/>
      <c r="AW83" s="167"/>
      <c r="AX83" s="167">
        <f t="shared" si="21"/>
        <v>65000</v>
      </c>
      <c r="AY83" s="168">
        <f t="shared" si="17"/>
        <v>-65000</v>
      </c>
      <c r="AZ83" s="168">
        <f t="shared" si="18"/>
        <v>-65000</v>
      </c>
      <c r="BA83" s="168">
        <f t="shared" si="19"/>
        <v>0</v>
      </c>
      <c r="BB83" s="168">
        <f t="shared" si="13"/>
        <v>-32500</v>
      </c>
      <c r="BC83" s="168">
        <f t="shared" si="14"/>
        <v>-29250</v>
      </c>
      <c r="BD83" s="169">
        <v>50000</v>
      </c>
      <c r="BE83" s="169"/>
      <c r="BF83" s="168">
        <f t="shared" si="15"/>
        <v>-79250</v>
      </c>
      <c r="BG83" s="33"/>
      <c r="BH83" s="16"/>
      <c r="BI83" s="16"/>
    </row>
    <row r="84" spans="1:61" ht="16.899999999999999">
      <c r="A84" s="36">
        <v>83</v>
      </c>
      <c r="B84" s="35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5"/>
      <c r="P84" s="33"/>
      <c r="Q84" s="33"/>
      <c r="R84" s="158"/>
      <c r="S84" s="158"/>
      <c r="T84" s="159">
        <f t="shared" si="11"/>
        <v>0</v>
      </c>
      <c r="U84" s="30"/>
      <c r="V84" s="30"/>
      <c r="W84" s="30"/>
      <c r="X84" s="30"/>
      <c r="Y84" s="238"/>
      <c r="Z84" s="242"/>
      <c r="AA84" s="33"/>
      <c r="AB84" s="160"/>
      <c r="AC84" s="161"/>
      <c r="AD84" s="162"/>
      <c r="AE84" s="163"/>
      <c r="AF84" s="23">
        <f t="shared" si="16"/>
        <v>0</v>
      </c>
      <c r="AG84" s="161">
        <f t="shared" si="20"/>
        <v>0</v>
      </c>
      <c r="AH84" s="164">
        <f t="shared" si="12"/>
        <v>0</v>
      </c>
      <c r="AI84" s="23"/>
      <c r="AJ84" s="23"/>
      <c r="AK84" s="165"/>
      <c r="AL84" s="161"/>
      <c r="AM84" s="166"/>
      <c r="AN84" s="161"/>
      <c r="AO84" s="166"/>
      <c r="AP84" s="161"/>
      <c r="AQ84" s="161"/>
      <c r="AR84" s="161"/>
      <c r="AS84" s="167">
        <v>35000</v>
      </c>
      <c r="AT84" s="167">
        <v>30000</v>
      </c>
      <c r="AU84" s="167"/>
      <c r="AV84" s="167"/>
      <c r="AW84" s="167"/>
      <c r="AX84" s="167">
        <f t="shared" si="21"/>
        <v>65000</v>
      </c>
      <c r="AY84" s="168">
        <f t="shared" si="17"/>
        <v>-65000</v>
      </c>
      <c r="AZ84" s="168">
        <f t="shared" si="18"/>
        <v>-65000</v>
      </c>
      <c r="BA84" s="168">
        <f t="shared" si="19"/>
        <v>0</v>
      </c>
      <c r="BB84" s="168">
        <f t="shared" si="13"/>
        <v>-32500</v>
      </c>
      <c r="BC84" s="168">
        <f t="shared" si="14"/>
        <v>-29250</v>
      </c>
      <c r="BD84" s="169">
        <v>50000</v>
      </c>
      <c r="BE84" s="169"/>
      <c r="BF84" s="168">
        <f t="shared" si="15"/>
        <v>-79250</v>
      </c>
      <c r="BG84" s="33"/>
      <c r="BH84" s="16"/>
      <c r="BI84" s="16"/>
    </row>
    <row r="85" spans="1:61" ht="16.899999999999999">
      <c r="A85" s="36">
        <v>84</v>
      </c>
      <c r="B85" s="35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5"/>
      <c r="P85" s="33"/>
      <c r="Q85" s="33"/>
      <c r="R85" s="158"/>
      <c r="S85" s="158"/>
      <c r="T85" s="159">
        <f t="shared" si="11"/>
        <v>0</v>
      </c>
      <c r="U85" s="30"/>
      <c r="V85" s="30"/>
      <c r="W85" s="30"/>
      <c r="X85" s="30"/>
      <c r="Y85" s="238"/>
      <c r="Z85" s="242"/>
      <c r="AA85" s="33"/>
      <c r="AB85" s="160"/>
      <c r="AC85" s="161"/>
      <c r="AD85" s="162"/>
      <c r="AE85" s="163"/>
      <c r="AF85" s="23">
        <f t="shared" si="16"/>
        <v>0</v>
      </c>
      <c r="AG85" s="161">
        <f t="shared" si="20"/>
        <v>0</v>
      </c>
      <c r="AH85" s="164">
        <f t="shared" si="12"/>
        <v>0</v>
      </c>
      <c r="AI85" s="23"/>
      <c r="AJ85" s="23"/>
      <c r="AK85" s="166"/>
      <c r="AL85" s="161"/>
      <c r="AM85" s="166"/>
      <c r="AN85" s="161"/>
      <c r="AO85" s="166"/>
      <c r="AP85" s="161"/>
      <c r="AQ85" s="161"/>
      <c r="AR85" s="161"/>
      <c r="AS85" s="167">
        <v>35000</v>
      </c>
      <c r="AT85" s="167">
        <v>30000</v>
      </c>
      <c r="AU85" s="167"/>
      <c r="AV85" s="167"/>
      <c r="AW85" s="167"/>
      <c r="AX85" s="167">
        <f t="shared" si="21"/>
        <v>65000</v>
      </c>
      <c r="AY85" s="168">
        <f t="shared" si="17"/>
        <v>-65000</v>
      </c>
      <c r="AZ85" s="168">
        <f t="shared" si="18"/>
        <v>-65000</v>
      </c>
      <c r="BA85" s="168">
        <f t="shared" si="19"/>
        <v>0</v>
      </c>
      <c r="BB85" s="168">
        <f t="shared" si="13"/>
        <v>-32500</v>
      </c>
      <c r="BC85" s="168">
        <f t="shared" si="14"/>
        <v>-29250</v>
      </c>
      <c r="BD85" s="169">
        <v>50000</v>
      </c>
      <c r="BE85" s="169"/>
      <c r="BF85" s="168">
        <f t="shared" si="15"/>
        <v>-79250</v>
      </c>
      <c r="BG85" s="33"/>
      <c r="BH85" s="16"/>
      <c r="BI85" s="16"/>
    </row>
    <row r="86" spans="1:61" ht="16.899999999999999">
      <c r="A86" s="36">
        <v>85</v>
      </c>
      <c r="B86" s="35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5"/>
      <c r="P86" s="33"/>
      <c r="Q86" s="33"/>
      <c r="R86" s="158"/>
      <c r="S86" s="158"/>
      <c r="T86" s="159">
        <f t="shared" si="11"/>
        <v>0</v>
      </c>
      <c r="U86" s="30"/>
      <c r="V86" s="30"/>
      <c r="W86" s="30"/>
      <c r="X86" s="30"/>
      <c r="Y86" s="238"/>
      <c r="Z86" s="242"/>
      <c r="AA86" s="33"/>
      <c r="AB86" s="160"/>
      <c r="AC86" s="161"/>
      <c r="AD86" s="162"/>
      <c r="AE86" s="163"/>
      <c r="AF86" s="23">
        <f t="shared" si="16"/>
        <v>0</v>
      </c>
      <c r="AG86" s="161">
        <f t="shared" si="20"/>
        <v>0</v>
      </c>
      <c r="AH86" s="164">
        <f t="shared" si="12"/>
        <v>0</v>
      </c>
      <c r="AI86" s="23"/>
      <c r="AJ86" s="23"/>
      <c r="AK86" s="165"/>
      <c r="AL86" s="161"/>
      <c r="AM86" s="166"/>
      <c r="AN86" s="161"/>
      <c r="AO86" s="166"/>
      <c r="AP86" s="161"/>
      <c r="AQ86" s="161"/>
      <c r="AR86" s="161"/>
      <c r="AS86" s="167">
        <v>35000</v>
      </c>
      <c r="AT86" s="167">
        <v>30000</v>
      </c>
      <c r="AU86" s="167"/>
      <c r="AV86" s="167"/>
      <c r="AW86" s="167"/>
      <c r="AX86" s="167">
        <f t="shared" si="21"/>
        <v>65000</v>
      </c>
      <c r="AY86" s="168">
        <f t="shared" si="17"/>
        <v>-65000</v>
      </c>
      <c r="AZ86" s="168">
        <f t="shared" si="18"/>
        <v>-65000</v>
      </c>
      <c r="BA86" s="168">
        <f t="shared" si="19"/>
        <v>0</v>
      </c>
      <c r="BB86" s="168">
        <f t="shared" si="13"/>
        <v>-32500</v>
      </c>
      <c r="BC86" s="168">
        <f t="shared" si="14"/>
        <v>-29250</v>
      </c>
      <c r="BD86" s="169">
        <v>50000</v>
      </c>
      <c r="BE86" s="169"/>
      <c r="BF86" s="168">
        <f t="shared" si="15"/>
        <v>-79250</v>
      </c>
      <c r="BG86" s="33"/>
      <c r="BH86" s="16"/>
      <c r="BI86" s="16"/>
    </row>
    <row r="87" spans="1:61" ht="16.899999999999999">
      <c r="A87" s="36">
        <v>86</v>
      </c>
      <c r="B87" s="35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5"/>
      <c r="P87" s="33"/>
      <c r="Q87" s="33"/>
      <c r="R87" s="158"/>
      <c r="S87" s="158"/>
      <c r="T87" s="159">
        <f t="shared" si="11"/>
        <v>0</v>
      </c>
      <c r="U87" s="30"/>
      <c r="V87" s="30"/>
      <c r="W87" s="30"/>
      <c r="X87" s="30"/>
      <c r="Y87" s="238"/>
      <c r="Z87" s="242"/>
      <c r="AA87" s="33"/>
      <c r="AB87" s="160"/>
      <c r="AC87" s="161"/>
      <c r="AD87" s="162"/>
      <c r="AE87" s="163"/>
      <c r="AF87" s="23">
        <f t="shared" si="16"/>
        <v>0</v>
      </c>
      <c r="AG87" s="161">
        <f t="shared" si="20"/>
        <v>0</v>
      </c>
      <c r="AH87" s="164">
        <f t="shared" si="12"/>
        <v>0</v>
      </c>
      <c r="AI87" s="23"/>
      <c r="AJ87" s="23"/>
      <c r="AK87" s="165"/>
      <c r="AL87" s="161"/>
      <c r="AM87" s="166"/>
      <c r="AN87" s="161"/>
      <c r="AO87" s="166"/>
      <c r="AP87" s="161"/>
      <c r="AQ87" s="161"/>
      <c r="AR87" s="161"/>
      <c r="AS87" s="167">
        <v>35000</v>
      </c>
      <c r="AT87" s="167">
        <v>30000</v>
      </c>
      <c r="AU87" s="167"/>
      <c r="AV87" s="167"/>
      <c r="AW87" s="167"/>
      <c r="AX87" s="167">
        <f t="shared" si="21"/>
        <v>65000</v>
      </c>
      <c r="AY87" s="168">
        <f t="shared" si="17"/>
        <v>-65000</v>
      </c>
      <c r="AZ87" s="168">
        <f t="shared" si="18"/>
        <v>-65000</v>
      </c>
      <c r="BA87" s="168">
        <f t="shared" si="19"/>
        <v>0</v>
      </c>
      <c r="BB87" s="168">
        <f t="shared" si="13"/>
        <v>-32500</v>
      </c>
      <c r="BC87" s="168">
        <f t="shared" si="14"/>
        <v>-29250</v>
      </c>
      <c r="BD87" s="169">
        <v>50000</v>
      </c>
      <c r="BE87" s="169"/>
      <c r="BF87" s="168">
        <f t="shared" si="15"/>
        <v>-79250</v>
      </c>
      <c r="BG87" s="33"/>
      <c r="BH87" s="16"/>
      <c r="BI87" s="16"/>
    </row>
    <row r="88" spans="1:61" ht="16.899999999999999">
      <c r="A88" s="36">
        <v>87</v>
      </c>
      <c r="B88" s="35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5"/>
      <c r="P88" s="33"/>
      <c r="Q88" s="33"/>
      <c r="R88" s="158"/>
      <c r="S88" s="158"/>
      <c r="T88" s="159">
        <f t="shared" si="11"/>
        <v>0</v>
      </c>
      <c r="U88" s="30"/>
      <c r="V88" s="30"/>
      <c r="W88" s="30"/>
      <c r="X88" s="30"/>
      <c r="Y88" s="238"/>
      <c r="Z88" s="242"/>
      <c r="AA88" s="33"/>
      <c r="AB88" s="160"/>
      <c r="AC88" s="161"/>
      <c r="AD88" s="162"/>
      <c r="AE88" s="163"/>
      <c r="AF88" s="23">
        <f t="shared" si="16"/>
        <v>0</v>
      </c>
      <c r="AG88" s="161">
        <f t="shared" si="20"/>
        <v>0</v>
      </c>
      <c r="AH88" s="164">
        <f t="shared" si="12"/>
        <v>0</v>
      </c>
      <c r="AI88" s="23"/>
      <c r="AJ88" s="23"/>
      <c r="AK88" s="165"/>
      <c r="AL88" s="161"/>
      <c r="AM88" s="166"/>
      <c r="AN88" s="161"/>
      <c r="AO88" s="166"/>
      <c r="AP88" s="161"/>
      <c r="AQ88" s="161"/>
      <c r="AR88" s="161"/>
      <c r="AS88" s="167">
        <v>35000</v>
      </c>
      <c r="AT88" s="167">
        <v>30000</v>
      </c>
      <c r="AU88" s="167"/>
      <c r="AV88" s="167"/>
      <c r="AW88" s="167"/>
      <c r="AX88" s="167">
        <f t="shared" si="21"/>
        <v>65000</v>
      </c>
      <c r="AY88" s="168">
        <f t="shared" si="17"/>
        <v>-65000</v>
      </c>
      <c r="AZ88" s="168">
        <f t="shared" si="18"/>
        <v>-65000</v>
      </c>
      <c r="BA88" s="168">
        <f t="shared" si="19"/>
        <v>0</v>
      </c>
      <c r="BB88" s="168">
        <f t="shared" si="13"/>
        <v>-32500</v>
      </c>
      <c r="BC88" s="168">
        <f t="shared" si="14"/>
        <v>-29250</v>
      </c>
      <c r="BD88" s="169">
        <v>50000</v>
      </c>
      <c r="BE88" s="169"/>
      <c r="BF88" s="168">
        <f t="shared" si="15"/>
        <v>-79250</v>
      </c>
      <c r="BG88" s="33"/>
      <c r="BH88" s="16"/>
      <c r="BI88" s="16"/>
    </row>
    <row r="89" spans="1:61" ht="16.899999999999999">
      <c r="A89" s="36">
        <v>88</v>
      </c>
      <c r="B89" s="35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5"/>
      <c r="P89" s="33"/>
      <c r="Q89" s="33"/>
      <c r="R89" s="158"/>
      <c r="S89" s="158"/>
      <c r="T89" s="159">
        <f t="shared" si="11"/>
        <v>0</v>
      </c>
      <c r="U89" s="30"/>
      <c r="V89" s="30"/>
      <c r="W89" s="30"/>
      <c r="X89" s="30"/>
      <c r="Y89" s="238"/>
      <c r="Z89" s="242"/>
      <c r="AA89" s="33"/>
      <c r="AB89" s="160"/>
      <c r="AC89" s="161"/>
      <c r="AD89" s="162"/>
      <c r="AE89" s="163"/>
      <c r="AF89" s="23">
        <f t="shared" si="16"/>
        <v>0</v>
      </c>
      <c r="AG89" s="161">
        <f t="shared" si="20"/>
        <v>0</v>
      </c>
      <c r="AH89" s="164">
        <f t="shared" si="12"/>
        <v>0</v>
      </c>
      <c r="AI89" s="23"/>
      <c r="AJ89" s="23"/>
      <c r="AK89" s="165"/>
      <c r="AL89" s="161"/>
      <c r="AM89" s="166"/>
      <c r="AN89" s="161"/>
      <c r="AO89" s="166"/>
      <c r="AP89" s="161"/>
      <c r="AQ89" s="161"/>
      <c r="AR89" s="161"/>
      <c r="AS89" s="167">
        <v>35000</v>
      </c>
      <c r="AT89" s="167">
        <v>30000</v>
      </c>
      <c r="AU89" s="167"/>
      <c r="AV89" s="167"/>
      <c r="AW89" s="167"/>
      <c r="AX89" s="167">
        <f t="shared" si="21"/>
        <v>65000</v>
      </c>
      <c r="AY89" s="168">
        <f t="shared" si="17"/>
        <v>-65000</v>
      </c>
      <c r="AZ89" s="168">
        <f t="shared" si="18"/>
        <v>-65000</v>
      </c>
      <c r="BA89" s="168">
        <f t="shared" si="19"/>
        <v>0</v>
      </c>
      <c r="BB89" s="168">
        <f t="shared" si="13"/>
        <v>-32500</v>
      </c>
      <c r="BC89" s="168">
        <f t="shared" si="14"/>
        <v>-29250</v>
      </c>
      <c r="BD89" s="169">
        <v>50000</v>
      </c>
      <c r="BE89" s="169"/>
      <c r="BF89" s="168">
        <f t="shared" si="15"/>
        <v>-79250</v>
      </c>
      <c r="BG89" s="33"/>
      <c r="BH89" s="16"/>
      <c r="BI89" s="16"/>
    </row>
    <row r="90" spans="1:61" ht="16.899999999999999">
      <c r="A90" s="36">
        <v>89</v>
      </c>
      <c r="B90" s="35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5"/>
      <c r="P90" s="33"/>
      <c r="Q90" s="33"/>
      <c r="R90" s="158"/>
      <c r="S90" s="158"/>
      <c r="T90" s="159">
        <f t="shared" si="11"/>
        <v>0</v>
      </c>
      <c r="U90" s="30"/>
      <c r="V90" s="30"/>
      <c r="W90" s="30"/>
      <c r="X90" s="30"/>
      <c r="Y90" s="238"/>
      <c r="Z90" s="242"/>
      <c r="AA90" s="33"/>
      <c r="AB90" s="160"/>
      <c r="AC90" s="161"/>
      <c r="AD90" s="162"/>
      <c r="AE90" s="163"/>
      <c r="AF90" s="23">
        <f t="shared" si="16"/>
        <v>0</v>
      </c>
      <c r="AG90" s="161">
        <f t="shared" si="20"/>
        <v>0</v>
      </c>
      <c r="AH90" s="164">
        <f t="shared" si="12"/>
        <v>0</v>
      </c>
      <c r="AI90" s="23"/>
      <c r="AJ90" s="23"/>
      <c r="AK90" s="165"/>
      <c r="AL90" s="161"/>
      <c r="AM90" s="166"/>
      <c r="AN90" s="161"/>
      <c r="AO90" s="166"/>
      <c r="AP90" s="161"/>
      <c r="AQ90" s="161"/>
      <c r="AR90" s="161"/>
      <c r="AS90" s="167">
        <v>35000</v>
      </c>
      <c r="AT90" s="167">
        <v>30000</v>
      </c>
      <c r="AU90" s="167"/>
      <c r="AV90" s="167"/>
      <c r="AW90" s="167"/>
      <c r="AX90" s="167">
        <f t="shared" si="21"/>
        <v>65000</v>
      </c>
      <c r="AY90" s="168">
        <f t="shared" si="17"/>
        <v>-65000</v>
      </c>
      <c r="AZ90" s="168">
        <f t="shared" si="18"/>
        <v>-65000</v>
      </c>
      <c r="BA90" s="168">
        <f t="shared" si="19"/>
        <v>0</v>
      </c>
      <c r="BB90" s="168">
        <f t="shared" si="13"/>
        <v>-32500</v>
      </c>
      <c r="BC90" s="168">
        <f t="shared" si="14"/>
        <v>-29250</v>
      </c>
      <c r="BD90" s="169">
        <v>50000</v>
      </c>
      <c r="BE90" s="169"/>
      <c r="BF90" s="168">
        <f t="shared" si="15"/>
        <v>-79250</v>
      </c>
      <c r="BG90" s="33"/>
      <c r="BH90" s="16"/>
      <c r="BI90" s="16"/>
    </row>
    <row r="91" spans="1:61" ht="16.899999999999999">
      <c r="A91" s="36">
        <v>90</v>
      </c>
      <c r="B91" s="35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5"/>
      <c r="P91" s="33"/>
      <c r="Q91" s="33"/>
      <c r="R91" s="158"/>
      <c r="S91" s="158"/>
      <c r="T91" s="159">
        <f t="shared" si="11"/>
        <v>0</v>
      </c>
      <c r="U91" s="30"/>
      <c r="V91" s="30"/>
      <c r="W91" s="30"/>
      <c r="X91" s="30"/>
      <c r="Y91" s="238"/>
      <c r="Z91" s="242"/>
      <c r="AA91" s="33"/>
      <c r="AB91" s="160"/>
      <c r="AC91" s="161"/>
      <c r="AD91" s="162"/>
      <c r="AE91" s="163"/>
      <c r="AF91" s="23">
        <f t="shared" si="16"/>
        <v>0</v>
      </c>
      <c r="AG91" s="161">
        <f t="shared" si="20"/>
        <v>0</v>
      </c>
      <c r="AH91" s="164">
        <f t="shared" si="12"/>
        <v>0</v>
      </c>
      <c r="AI91" s="37"/>
      <c r="AJ91" s="37"/>
      <c r="AK91" s="165"/>
      <c r="AL91" s="161"/>
      <c r="AM91" s="166"/>
      <c r="AN91" s="161"/>
      <c r="AO91" s="166"/>
      <c r="AP91" s="161"/>
      <c r="AQ91" s="161"/>
      <c r="AR91" s="161"/>
      <c r="AS91" s="167">
        <v>35000</v>
      </c>
      <c r="AT91" s="167">
        <v>30000</v>
      </c>
      <c r="AU91" s="167"/>
      <c r="AV91" s="167"/>
      <c r="AW91" s="167"/>
      <c r="AX91" s="167">
        <f t="shared" si="21"/>
        <v>65000</v>
      </c>
      <c r="AY91" s="168">
        <f t="shared" si="17"/>
        <v>-65000</v>
      </c>
      <c r="AZ91" s="168">
        <f t="shared" si="18"/>
        <v>-65000</v>
      </c>
      <c r="BA91" s="168">
        <f t="shared" si="19"/>
        <v>0</v>
      </c>
      <c r="BB91" s="168">
        <f t="shared" si="13"/>
        <v>-32500</v>
      </c>
      <c r="BC91" s="168">
        <f t="shared" si="14"/>
        <v>-29250</v>
      </c>
      <c r="BD91" s="169">
        <v>50000</v>
      </c>
      <c r="BE91" s="169"/>
      <c r="BF91" s="168">
        <f t="shared" si="15"/>
        <v>-79250</v>
      </c>
      <c r="BG91" s="33"/>
      <c r="BH91" s="16"/>
      <c r="BI91" s="16"/>
    </row>
    <row r="92" spans="1:61" ht="16.899999999999999">
      <c r="A92" s="36">
        <v>91</v>
      </c>
      <c r="B92" s="35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5"/>
      <c r="P92" s="33"/>
      <c r="Q92" s="33"/>
      <c r="R92" s="158"/>
      <c r="S92" s="158"/>
      <c r="T92" s="159">
        <f t="shared" ref="T92:T155" si="22">R92+S92</f>
        <v>0</v>
      </c>
      <c r="U92" s="30"/>
      <c r="V92" s="30"/>
      <c r="W92" s="30"/>
      <c r="X92" s="30"/>
      <c r="Y92" s="238"/>
      <c r="Z92" s="242"/>
      <c r="AA92" s="33"/>
      <c r="AB92" s="160"/>
      <c r="AC92" s="161"/>
      <c r="AD92" s="162"/>
      <c r="AE92" s="163"/>
      <c r="AF92" s="23">
        <f t="shared" si="16"/>
        <v>0</v>
      </c>
      <c r="AG92" s="161">
        <f t="shared" si="20"/>
        <v>0</v>
      </c>
      <c r="AH92" s="164">
        <f t="shared" ref="AH92:AH155" si="23">SUM(AG92-AF92)</f>
        <v>0</v>
      </c>
      <c r="AI92" s="23"/>
      <c r="AJ92" s="23"/>
      <c r="AK92" s="165"/>
      <c r="AL92" s="161"/>
      <c r="AM92" s="166"/>
      <c r="AN92" s="161"/>
      <c r="AO92" s="166"/>
      <c r="AP92" s="161"/>
      <c r="AQ92" s="161"/>
      <c r="AR92" s="161"/>
      <c r="AS92" s="167">
        <v>35000</v>
      </c>
      <c r="AT92" s="167">
        <v>30000</v>
      </c>
      <c r="AU92" s="167"/>
      <c r="AV92" s="167"/>
      <c r="AW92" s="167"/>
      <c r="AX92" s="167">
        <f t="shared" si="21"/>
        <v>65000</v>
      </c>
      <c r="AY92" s="168">
        <f t="shared" si="17"/>
        <v>-65000</v>
      </c>
      <c r="AZ92" s="168">
        <f t="shared" si="18"/>
        <v>-65000</v>
      </c>
      <c r="BA92" s="168">
        <f t="shared" si="19"/>
        <v>0</v>
      </c>
      <c r="BB92" s="168">
        <f t="shared" ref="BB92:BB155" si="24">SUM(AZ92:BA92)/2</f>
        <v>-32500</v>
      </c>
      <c r="BC92" s="168">
        <f t="shared" ref="BC92:BC155" si="25">BB92-(BB92*10%)</f>
        <v>-29250</v>
      </c>
      <c r="BD92" s="169">
        <v>50000</v>
      </c>
      <c r="BE92" s="169"/>
      <c r="BF92" s="168">
        <f t="shared" si="15"/>
        <v>-79250</v>
      </c>
      <c r="BG92" s="33"/>
      <c r="BH92" s="16"/>
      <c r="BI92" s="16"/>
    </row>
    <row r="93" spans="1:61" ht="16.899999999999999">
      <c r="A93" s="36">
        <v>92</v>
      </c>
      <c r="B93" s="35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5"/>
      <c r="P93" s="33"/>
      <c r="Q93" s="33"/>
      <c r="R93" s="158"/>
      <c r="S93" s="158"/>
      <c r="T93" s="159">
        <f t="shared" si="22"/>
        <v>0</v>
      </c>
      <c r="U93" s="30"/>
      <c r="V93" s="30"/>
      <c r="W93" s="30"/>
      <c r="X93" s="30"/>
      <c r="Y93" s="238"/>
      <c r="Z93" s="242"/>
      <c r="AA93" s="33"/>
      <c r="AB93" s="160"/>
      <c r="AC93" s="161"/>
      <c r="AD93" s="162"/>
      <c r="AE93" s="163"/>
      <c r="AF93" s="23">
        <f t="shared" si="16"/>
        <v>0</v>
      </c>
      <c r="AG93" s="161">
        <f t="shared" si="20"/>
        <v>0</v>
      </c>
      <c r="AH93" s="164">
        <f t="shared" si="23"/>
        <v>0</v>
      </c>
      <c r="AI93" s="23"/>
      <c r="AJ93" s="23"/>
      <c r="AK93" s="165"/>
      <c r="AL93" s="161"/>
      <c r="AM93" s="166"/>
      <c r="AN93" s="161"/>
      <c r="AO93" s="166"/>
      <c r="AP93" s="161"/>
      <c r="AQ93" s="161"/>
      <c r="AR93" s="161"/>
      <c r="AS93" s="167">
        <v>35000</v>
      </c>
      <c r="AT93" s="167">
        <v>30000</v>
      </c>
      <c r="AU93" s="167"/>
      <c r="AV93" s="167"/>
      <c r="AW93" s="167"/>
      <c r="AX93" s="167">
        <f t="shared" si="21"/>
        <v>65000</v>
      </c>
      <c r="AY93" s="168">
        <f t="shared" si="17"/>
        <v>-65000</v>
      </c>
      <c r="AZ93" s="168">
        <f t="shared" si="18"/>
        <v>-65000</v>
      </c>
      <c r="BA93" s="168">
        <f t="shared" si="19"/>
        <v>0</v>
      </c>
      <c r="BB93" s="168">
        <f t="shared" si="24"/>
        <v>-32500</v>
      </c>
      <c r="BC93" s="168">
        <f t="shared" si="25"/>
        <v>-29250</v>
      </c>
      <c r="BD93" s="169">
        <v>50000</v>
      </c>
      <c r="BE93" s="169"/>
      <c r="BF93" s="168">
        <f t="shared" si="15"/>
        <v>-79250</v>
      </c>
      <c r="BG93" s="33"/>
      <c r="BH93" s="16"/>
      <c r="BI93" s="16"/>
    </row>
    <row r="94" spans="1:61" ht="16.899999999999999">
      <c r="A94" s="36">
        <v>93</v>
      </c>
      <c r="B94" s="35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5"/>
      <c r="P94" s="33"/>
      <c r="Q94" s="33"/>
      <c r="R94" s="158"/>
      <c r="S94" s="158"/>
      <c r="T94" s="159">
        <f t="shared" si="22"/>
        <v>0</v>
      </c>
      <c r="U94" s="30"/>
      <c r="V94" s="30"/>
      <c r="W94" s="30"/>
      <c r="X94" s="30"/>
      <c r="Y94" s="238"/>
      <c r="Z94" s="242"/>
      <c r="AA94" s="33"/>
      <c r="AB94" s="160"/>
      <c r="AC94" s="161"/>
      <c r="AD94" s="162"/>
      <c r="AE94" s="163"/>
      <c r="AF94" s="23">
        <f t="shared" si="16"/>
        <v>0</v>
      </c>
      <c r="AG94" s="161">
        <f t="shared" si="20"/>
        <v>0</v>
      </c>
      <c r="AH94" s="164">
        <f t="shared" si="23"/>
        <v>0</v>
      </c>
      <c r="AI94" s="23"/>
      <c r="AJ94" s="23"/>
      <c r="AK94" s="165"/>
      <c r="AL94" s="161"/>
      <c r="AM94" s="166"/>
      <c r="AN94" s="161"/>
      <c r="AO94" s="166"/>
      <c r="AP94" s="161"/>
      <c r="AQ94" s="161"/>
      <c r="AR94" s="161"/>
      <c r="AS94" s="167">
        <v>35000</v>
      </c>
      <c r="AT94" s="167">
        <v>30000</v>
      </c>
      <c r="AU94" s="167"/>
      <c r="AV94" s="167"/>
      <c r="AW94" s="167"/>
      <c r="AX94" s="167">
        <f t="shared" si="21"/>
        <v>65000</v>
      </c>
      <c r="AY94" s="168">
        <f t="shared" si="17"/>
        <v>-65000</v>
      </c>
      <c r="AZ94" s="168">
        <f t="shared" si="18"/>
        <v>-65000</v>
      </c>
      <c r="BA94" s="168">
        <f t="shared" si="19"/>
        <v>0</v>
      </c>
      <c r="BB94" s="168">
        <f t="shared" si="24"/>
        <v>-32500</v>
      </c>
      <c r="BC94" s="168">
        <f t="shared" si="25"/>
        <v>-29250</v>
      </c>
      <c r="BD94" s="169">
        <v>50000</v>
      </c>
      <c r="BE94" s="169"/>
      <c r="BF94" s="168">
        <f t="shared" si="15"/>
        <v>-79250</v>
      </c>
      <c r="BG94" s="33"/>
      <c r="BH94" s="16"/>
      <c r="BI94" s="16"/>
    </row>
    <row r="95" spans="1:61" ht="16.899999999999999">
      <c r="A95" s="36">
        <v>94</v>
      </c>
      <c r="B95" s="35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5"/>
      <c r="P95" s="33"/>
      <c r="Q95" s="33"/>
      <c r="R95" s="158"/>
      <c r="S95" s="158"/>
      <c r="T95" s="159">
        <f t="shared" si="22"/>
        <v>0</v>
      </c>
      <c r="U95" s="30"/>
      <c r="V95" s="30"/>
      <c r="W95" s="30"/>
      <c r="X95" s="30"/>
      <c r="Y95" s="238"/>
      <c r="Z95" s="242"/>
      <c r="AA95" s="33"/>
      <c r="AB95" s="160"/>
      <c r="AC95" s="161"/>
      <c r="AD95" s="162"/>
      <c r="AE95" s="163"/>
      <c r="AF95" s="23">
        <f t="shared" si="16"/>
        <v>0</v>
      </c>
      <c r="AG95" s="161">
        <f t="shared" si="20"/>
        <v>0</v>
      </c>
      <c r="AH95" s="164">
        <f t="shared" si="23"/>
        <v>0</v>
      </c>
      <c r="AI95" s="37"/>
      <c r="AJ95" s="37"/>
      <c r="AK95" s="165"/>
      <c r="AL95" s="161"/>
      <c r="AM95" s="166"/>
      <c r="AN95" s="161"/>
      <c r="AO95" s="166"/>
      <c r="AP95" s="161"/>
      <c r="AQ95" s="161"/>
      <c r="AR95" s="161"/>
      <c r="AS95" s="167">
        <v>35000</v>
      </c>
      <c r="AT95" s="167">
        <v>30000</v>
      </c>
      <c r="AU95" s="167"/>
      <c r="AV95" s="167"/>
      <c r="AW95" s="167"/>
      <c r="AX95" s="167">
        <f t="shared" si="21"/>
        <v>65000</v>
      </c>
      <c r="AY95" s="168">
        <f t="shared" si="17"/>
        <v>-65000</v>
      </c>
      <c r="AZ95" s="168">
        <f t="shared" si="18"/>
        <v>-65000</v>
      </c>
      <c r="BA95" s="168">
        <f t="shared" si="19"/>
        <v>0</v>
      </c>
      <c r="BB95" s="168">
        <f t="shared" si="24"/>
        <v>-32500</v>
      </c>
      <c r="BC95" s="168">
        <f t="shared" si="25"/>
        <v>-29250</v>
      </c>
      <c r="BD95" s="169">
        <v>50000</v>
      </c>
      <c r="BE95" s="169"/>
      <c r="BF95" s="168">
        <f t="shared" si="15"/>
        <v>-79250</v>
      </c>
      <c r="BG95" s="33"/>
      <c r="BH95" s="16"/>
      <c r="BI95" s="16"/>
    </row>
    <row r="96" spans="1:61" ht="16.899999999999999">
      <c r="A96" s="36">
        <v>95</v>
      </c>
      <c r="B96" s="35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5"/>
      <c r="P96" s="33"/>
      <c r="Q96" s="33"/>
      <c r="R96" s="158"/>
      <c r="S96" s="158"/>
      <c r="T96" s="159">
        <f t="shared" si="22"/>
        <v>0</v>
      </c>
      <c r="U96" s="30"/>
      <c r="V96" s="30"/>
      <c r="W96" s="30"/>
      <c r="X96" s="30"/>
      <c r="Y96" s="238"/>
      <c r="Z96" s="242"/>
      <c r="AA96" s="33"/>
      <c r="AB96" s="160"/>
      <c r="AC96" s="161"/>
      <c r="AD96" s="162"/>
      <c r="AE96" s="163"/>
      <c r="AF96" s="23">
        <f t="shared" si="16"/>
        <v>0</v>
      </c>
      <c r="AG96" s="161">
        <f t="shared" si="20"/>
        <v>0</v>
      </c>
      <c r="AH96" s="164">
        <f t="shared" si="23"/>
        <v>0</v>
      </c>
      <c r="AI96" s="23"/>
      <c r="AJ96" s="23"/>
      <c r="AK96" s="165"/>
      <c r="AL96" s="161"/>
      <c r="AM96" s="166"/>
      <c r="AN96" s="161"/>
      <c r="AO96" s="166"/>
      <c r="AP96" s="161"/>
      <c r="AQ96" s="161"/>
      <c r="AR96" s="161"/>
      <c r="AS96" s="167">
        <v>35000</v>
      </c>
      <c r="AT96" s="167">
        <v>30000</v>
      </c>
      <c r="AU96" s="167"/>
      <c r="AV96" s="167"/>
      <c r="AW96" s="167"/>
      <c r="AX96" s="167">
        <f t="shared" si="21"/>
        <v>65000</v>
      </c>
      <c r="AY96" s="168">
        <f t="shared" si="17"/>
        <v>-65000</v>
      </c>
      <c r="AZ96" s="168">
        <f t="shared" si="18"/>
        <v>-65000</v>
      </c>
      <c r="BA96" s="168">
        <f t="shared" si="19"/>
        <v>0</v>
      </c>
      <c r="BB96" s="168">
        <f t="shared" si="24"/>
        <v>-32500</v>
      </c>
      <c r="BC96" s="168">
        <f t="shared" si="25"/>
        <v>-29250</v>
      </c>
      <c r="BD96" s="169">
        <v>50000</v>
      </c>
      <c r="BE96" s="169"/>
      <c r="BF96" s="168">
        <f t="shared" si="15"/>
        <v>-79250</v>
      </c>
      <c r="BG96" s="33"/>
      <c r="BH96" s="16"/>
      <c r="BI96" s="16"/>
    </row>
    <row r="97" spans="1:61" ht="16.899999999999999">
      <c r="A97" s="36">
        <v>96</v>
      </c>
      <c r="B97" s="35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5"/>
      <c r="P97" s="33"/>
      <c r="Q97" s="33"/>
      <c r="R97" s="158"/>
      <c r="S97" s="158"/>
      <c r="T97" s="159">
        <f t="shared" si="22"/>
        <v>0</v>
      </c>
      <c r="U97" s="30"/>
      <c r="V97" s="30"/>
      <c r="W97" s="30"/>
      <c r="X97" s="30"/>
      <c r="Y97" s="238"/>
      <c r="Z97" s="242"/>
      <c r="AA97" s="33"/>
      <c r="AB97" s="160"/>
      <c r="AC97" s="161"/>
      <c r="AD97" s="162"/>
      <c r="AE97" s="163"/>
      <c r="AF97" s="23">
        <f t="shared" si="16"/>
        <v>0</v>
      </c>
      <c r="AG97" s="161">
        <f t="shared" si="20"/>
        <v>0</v>
      </c>
      <c r="AH97" s="164">
        <f t="shared" si="23"/>
        <v>0</v>
      </c>
      <c r="AI97" s="23"/>
      <c r="AJ97" s="23"/>
      <c r="AK97" s="165"/>
      <c r="AL97" s="161"/>
      <c r="AM97" s="166"/>
      <c r="AN97" s="161"/>
      <c r="AO97" s="166"/>
      <c r="AP97" s="161"/>
      <c r="AQ97" s="161"/>
      <c r="AR97" s="161"/>
      <c r="AS97" s="167">
        <v>35000</v>
      </c>
      <c r="AT97" s="167">
        <v>30000</v>
      </c>
      <c r="AU97" s="167"/>
      <c r="AV97" s="167"/>
      <c r="AW97" s="167"/>
      <c r="AX97" s="167">
        <f t="shared" si="21"/>
        <v>65000</v>
      </c>
      <c r="AY97" s="168">
        <f t="shared" si="17"/>
        <v>-65000</v>
      </c>
      <c r="AZ97" s="168">
        <f t="shared" si="18"/>
        <v>-65000</v>
      </c>
      <c r="BA97" s="168">
        <f t="shared" si="19"/>
        <v>0</v>
      </c>
      <c r="BB97" s="168">
        <f t="shared" si="24"/>
        <v>-32500</v>
      </c>
      <c r="BC97" s="168">
        <f t="shared" si="25"/>
        <v>-29250</v>
      </c>
      <c r="BD97" s="169">
        <v>50000</v>
      </c>
      <c r="BE97" s="169"/>
      <c r="BF97" s="168">
        <f t="shared" si="15"/>
        <v>-79250</v>
      </c>
      <c r="BG97" s="33"/>
      <c r="BH97" s="16"/>
      <c r="BI97" s="16"/>
    </row>
    <row r="98" spans="1:61" ht="16.5" customHeight="1">
      <c r="A98" s="36">
        <v>97</v>
      </c>
      <c r="B98" s="35"/>
      <c r="C98" s="33"/>
      <c r="D98" s="33"/>
      <c r="E98" s="33"/>
      <c r="F98" s="38"/>
      <c r="G98" s="38"/>
      <c r="H98" s="38"/>
      <c r="I98" s="38"/>
      <c r="J98" s="38"/>
      <c r="K98" s="38"/>
      <c r="L98" s="33"/>
      <c r="M98" s="33"/>
      <c r="N98" s="38"/>
      <c r="O98" s="33"/>
      <c r="P98" s="38"/>
      <c r="Q98" s="216"/>
      <c r="R98" s="158"/>
      <c r="S98" s="160"/>
      <c r="T98" s="159">
        <f t="shared" si="22"/>
        <v>0</v>
      </c>
      <c r="U98" s="30"/>
      <c r="V98" s="30"/>
      <c r="W98" s="30"/>
      <c r="X98" s="30"/>
      <c r="Y98" s="238"/>
      <c r="Z98" s="242"/>
      <c r="AA98" s="38"/>
      <c r="AB98" s="160"/>
      <c r="AC98" s="161"/>
      <c r="AD98" s="162"/>
      <c r="AE98" s="163"/>
      <c r="AF98" s="23">
        <f t="shared" si="16"/>
        <v>0</v>
      </c>
      <c r="AG98" s="161">
        <f t="shared" si="20"/>
        <v>0</v>
      </c>
      <c r="AH98" s="164">
        <f t="shared" si="23"/>
        <v>0</v>
      </c>
      <c r="AI98" s="37"/>
      <c r="AJ98" s="37"/>
      <c r="AK98" s="165"/>
      <c r="AL98" s="161"/>
      <c r="AM98" s="166"/>
      <c r="AN98" s="170"/>
      <c r="AO98" s="166"/>
      <c r="AP98" s="161"/>
      <c r="AQ98" s="161"/>
      <c r="AR98" s="161"/>
      <c r="AS98" s="167">
        <v>35000</v>
      </c>
      <c r="AT98" s="167">
        <v>30000</v>
      </c>
      <c r="AU98" s="167"/>
      <c r="AV98" s="167"/>
      <c r="AW98" s="171"/>
      <c r="AX98" s="167">
        <f t="shared" si="21"/>
        <v>65000</v>
      </c>
      <c r="AY98" s="168">
        <f t="shared" si="17"/>
        <v>-65000</v>
      </c>
      <c r="AZ98" s="168">
        <f t="shared" si="18"/>
        <v>-65000</v>
      </c>
      <c r="BA98" s="168">
        <f t="shared" si="19"/>
        <v>0</v>
      </c>
      <c r="BB98" s="168">
        <f t="shared" si="24"/>
        <v>-32500</v>
      </c>
      <c r="BC98" s="168">
        <f t="shared" si="25"/>
        <v>-29250</v>
      </c>
      <c r="BD98" s="169">
        <v>50000</v>
      </c>
      <c r="BE98" s="172"/>
      <c r="BF98" s="168">
        <f t="shared" si="15"/>
        <v>-79250</v>
      </c>
      <c r="BG98" s="33"/>
      <c r="BH98" s="16"/>
      <c r="BI98" s="16"/>
    </row>
    <row r="99" spans="1:61" ht="16.899999999999999">
      <c r="A99" s="36">
        <v>98</v>
      </c>
      <c r="B99" s="35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5"/>
      <c r="P99" s="33"/>
      <c r="Q99" s="33"/>
      <c r="R99" s="158"/>
      <c r="S99" s="158"/>
      <c r="T99" s="159">
        <f t="shared" si="22"/>
        <v>0</v>
      </c>
      <c r="U99" s="30"/>
      <c r="V99" s="30"/>
      <c r="W99" s="30"/>
      <c r="X99" s="30"/>
      <c r="Y99" s="238"/>
      <c r="Z99" s="242"/>
      <c r="AA99" s="33"/>
      <c r="AB99" s="160"/>
      <c r="AC99" s="161"/>
      <c r="AD99" s="162"/>
      <c r="AE99" s="163"/>
      <c r="AF99" s="23">
        <f t="shared" si="16"/>
        <v>0</v>
      </c>
      <c r="AG99" s="161">
        <f t="shared" si="20"/>
        <v>0</v>
      </c>
      <c r="AH99" s="164">
        <f t="shared" si="23"/>
        <v>0</v>
      </c>
      <c r="AI99" s="23"/>
      <c r="AJ99" s="23"/>
      <c r="AK99" s="165"/>
      <c r="AL99" s="161"/>
      <c r="AM99" s="166"/>
      <c r="AN99" s="161"/>
      <c r="AO99" s="166"/>
      <c r="AP99" s="161"/>
      <c r="AQ99" s="161"/>
      <c r="AR99" s="161"/>
      <c r="AS99" s="167">
        <v>35000</v>
      </c>
      <c r="AT99" s="167">
        <v>30000</v>
      </c>
      <c r="AU99" s="167"/>
      <c r="AV99" s="167"/>
      <c r="AW99" s="167"/>
      <c r="AX99" s="167">
        <f t="shared" si="21"/>
        <v>65000</v>
      </c>
      <c r="AY99" s="168">
        <f t="shared" si="17"/>
        <v>-65000</v>
      </c>
      <c r="AZ99" s="168">
        <f t="shared" si="18"/>
        <v>-65000</v>
      </c>
      <c r="BA99" s="168">
        <f t="shared" si="19"/>
        <v>0</v>
      </c>
      <c r="BB99" s="168">
        <f t="shared" si="24"/>
        <v>-32500</v>
      </c>
      <c r="BC99" s="168">
        <f t="shared" si="25"/>
        <v>-29250</v>
      </c>
      <c r="BD99" s="169">
        <v>50000</v>
      </c>
      <c r="BE99" s="169"/>
      <c r="BF99" s="168">
        <f t="shared" si="15"/>
        <v>-79250</v>
      </c>
      <c r="BG99" s="33"/>
      <c r="BH99" s="16"/>
      <c r="BI99" s="16"/>
    </row>
    <row r="100" spans="1:61" ht="16.899999999999999">
      <c r="A100" s="36">
        <v>99</v>
      </c>
      <c r="B100" s="35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5"/>
      <c r="P100" s="33"/>
      <c r="Q100" s="33"/>
      <c r="R100" s="158"/>
      <c r="S100" s="158"/>
      <c r="T100" s="159">
        <f t="shared" si="22"/>
        <v>0</v>
      </c>
      <c r="U100" s="30"/>
      <c r="V100" s="30"/>
      <c r="W100" s="30"/>
      <c r="X100" s="30"/>
      <c r="Y100" s="238"/>
      <c r="Z100" s="242"/>
      <c r="AA100" s="33"/>
      <c r="AB100" s="160"/>
      <c r="AC100" s="161"/>
      <c r="AD100" s="162"/>
      <c r="AE100" s="163"/>
      <c r="AF100" s="23">
        <f t="shared" si="16"/>
        <v>0</v>
      </c>
      <c r="AG100" s="161">
        <f t="shared" si="20"/>
        <v>0</v>
      </c>
      <c r="AH100" s="164">
        <f t="shared" si="23"/>
        <v>0</v>
      </c>
      <c r="AI100" s="23"/>
      <c r="AJ100" s="23"/>
      <c r="AK100" s="165"/>
      <c r="AL100" s="161"/>
      <c r="AM100" s="166"/>
      <c r="AN100" s="161"/>
      <c r="AO100" s="166"/>
      <c r="AP100" s="161"/>
      <c r="AQ100" s="161"/>
      <c r="AR100" s="161"/>
      <c r="AS100" s="167">
        <v>35000</v>
      </c>
      <c r="AT100" s="167">
        <v>30000</v>
      </c>
      <c r="AU100" s="167"/>
      <c r="AV100" s="167"/>
      <c r="AW100" s="167"/>
      <c r="AX100" s="167">
        <f t="shared" si="21"/>
        <v>65000</v>
      </c>
      <c r="AY100" s="168">
        <f t="shared" si="17"/>
        <v>-65000</v>
      </c>
      <c r="AZ100" s="168">
        <f t="shared" si="18"/>
        <v>-65000</v>
      </c>
      <c r="BA100" s="168">
        <f t="shared" si="19"/>
        <v>0</v>
      </c>
      <c r="BB100" s="168">
        <f t="shared" si="24"/>
        <v>-32500</v>
      </c>
      <c r="BC100" s="168">
        <f t="shared" si="25"/>
        <v>-29250</v>
      </c>
      <c r="BD100" s="169">
        <v>50000</v>
      </c>
      <c r="BE100" s="169"/>
      <c r="BF100" s="168">
        <f t="shared" si="15"/>
        <v>-79250</v>
      </c>
      <c r="BG100" s="33"/>
      <c r="BH100" s="16"/>
      <c r="BI100" s="16"/>
    </row>
    <row r="101" spans="1:61" s="6" customFormat="1" ht="16.899999999999999">
      <c r="A101" s="36">
        <v>100</v>
      </c>
      <c r="B101" s="35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5"/>
      <c r="P101" s="33"/>
      <c r="Q101" s="33"/>
      <c r="R101" s="158"/>
      <c r="S101" s="158"/>
      <c r="T101" s="159">
        <f t="shared" si="22"/>
        <v>0</v>
      </c>
      <c r="U101" s="30"/>
      <c r="V101" s="30"/>
      <c r="W101" s="30"/>
      <c r="X101" s="30"/>
      <c r="Y101" s="238"/>
      <c r="Z101" s="242"/>
      <c r="AA101" s="33"/>
      <c r="AB101" s="160"/>
      <c r="AC101" s="161"/>
      <c r="AD101" s="162"/>
      <c r="AE101" s="163"/>
      <c r="AF101" s="23">
        <f t="shared" si="16"/>
        <v>0</v>
      </c>
      <c r="AG101" s="161">
        <f t="shared" si="20"/>
        <v>0</v>
      </c>
      <c r="AH101" s="164">
        <f t="shared" si="23"/>
        <v>0</v>
      </c>
      <c r="AI101" s="23"/>
      <c r="AJ101" s="23"/>
      <c r="AK101" s="165"/>
      <c r="AL101" s="161"/>
      <c r="AM101" s="166"/>
      <c r="AN101" s="161"/>
      <c r="AO101" s="166"/>
      <c r="AP101" s="161"/>
      <c r="AQ101" s="161"/>
      <c r="AR101" s="161"/>
      <c r="AS101" s="167">
        <v>35000</v>
      </c>
      <c r="AT101" s="167">
        <v>30000</v>
      </c>
      <c r="AU101" s="167"/>
      <c r="AV101" s="167"/>
      <c r="AW101" s="167"/>
      <c r="AX101" s="167">
        <f t="shared" si="21"/>
        <v>65000</v>
      </c>
      <c r="AY101" s="168">
        <f t="shared" si="17"/>
        <v>-65000</v>
      </c>
      <c r="AZ101" s="168">
        <f t="shared" si="18"/>
        <v>-65000</v>
      </c>
      <c r="BA101" s="168">
        <f t="shared" si="19"/>
        <v>0</v>
      </c>
      <c r="BB101" s="168">
        <f t="shared" si="24"/>
        <v>-32500</v>
      </c>
      <c r="BC101" s="168">
        <f t="shared" si="25"/>
        <v>-29250</v>
      </c>
      <c r="BD101" s="169">
        <v>50000</v>
      </c>
      <c r="BE101" s="169"/>
      <c r="BF101" s="168">
        <f t="shared" si="15"/>
        <v>-79250</v>
      </c>
      <c r="BG101" s="33"/>
      <c r="BH101" s="15"/>
      <c r="BI101" s="15"/>
    </row>
    <row r="102" spans="1:61" s="6" customFormat="1" ht="16.899999999999999">
      <c r="A102" s="36">
        <v>101</v>
      </c>
      <c r="B102" s="35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5"/>
      <c r="P102" s="33"/>
      <c r="Q102" s="33"/>
      <c r="R102" s="158"/>
      <c r="S102" s="158"/>
      <c r="T102" s="159">
        <f t="shared" si="22"/>
        <v>0</v>
      </c>
      <c r="U102" s="30"/>
      <c r="V102" s="30"/>
      <c r="W102" s="30"/>
      <c r="X102" s="30"/>
      <c r="Y102" s="238"/>
      <c r="Z102" s="242"/>
      <c r="AA102" s="33"/>
      <c r="AB102" s="160"/>
      <c r="AC102" s="161"/>
      <c r="AD102" s="162"/>
      <c r="AE102" s="163"/>
      <c r="AF102" s="23">
        <f t="shared" si="16"/>
        <v>0</v>
      </c>
      <c r="AG102" s="161">
        <f t="shared" si="20"/>
        <v>0</v>
      </c>
      <c r="AH102" s="164">
        <f t="shared" si="23"/>
        <v>0</v>
      </c>
      <c r="AI102" s="23"/>
      <c r="AJ102" s="23"/>
      <c r="AK102" s="165"/>
      <c r="AL102" s="161"/>
      <c r="AM102" s="166"/>
      <c r="AN102" s="161"/>
      <c r="AO102" s="166"/>
      <c r="AP102" s="161"/>
      <c r="AQ102" s="161"/>
      <c r="AR102" s="161"/>
      <c r="AS102" s="167">
        <v>35000</v>
      </c>
      <c r="AT102" s="167">
        <v>30000</v>
      </c>
      <c r="AU102" s="167"/>
      <c r="AV102" s="167"/>
      <c r="AW102" s="167"/>
      <c r="AX102" s="167">
        <f t="shared" si="21"/>
        <v>65000</v>
      </c>
      <c r="AY102" s="168">
        <f t="shared" si="17"/>
        <v>-65000</v>
      </c>
      <c r="AZ102" s="168">
        <f t="shared" si="18"/>
        <v>-65000</v>
      </c>
      <c r="BA102" s="168">
        <f t="shared" si="19"/>
        <v>0</v>
      </c>
      <c r="BB102" s="168">
        <f t="shared" si="24"/>
        <v>-32500</v>
      </c>
      <c r="BC102" s="168">
        <f t="shared" si="25"/>
        <v>-29250</v>
      </c>
      <c r="BD102" s="169">
        <v>50000</v>
      </c>
      <c r="BE102" s="169"/>
      <c r="BF102" s="168">
        <f t="shared" si="15"/>
        <v>-79250</v>
      </c>
      <c r="BG102" s="33"/>
      <c r="BH102" s="15"/>
      <c r="BI102" s="15"/>
    </row>
    <row r="103" spans="1:61" s="6" customFormat="1" ht="16.899999999999999">
      <c r="A103" s="36">
        <v>102</v>
      </c>
      <c r="B103" s="35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5"/>
      <c r="P103" s="33"/>
      <c r="Q103" s="33"/>
      <c r="R103" s="158"/>
      <c r="S103" s="158"/>
      <c r="T103" s="159">
        <f t="shared" si="22"/>
        <v>0</v>
      </c>
      <c r="U103" s="30"/>
      <c r="V103" s="30"/>
      <c r="W103" s="30"/>
      <c r="X103" s="30"/>
      <c r="Y103" s="238"/>
      <c r="Z103" s="242"/>
      <c r="AA103" s="33"/>
      <c r="AB103" s="160"/>
      <c r="AC103" s="161"/>
      <c r="AD103" s="162"/>
      <c r="AE103" s="163"/>
      <c r="AF103" s="23">
        <f t="shared" si="16"/>
        <v>0</v>
      </c>
      <c r="AG103" s="161">
        <f t="shared" si="20"/>
        <v>0</v>
      </c>
      <c r="AH103" s="164">
        <f t="shared" si="23"/>
        <v>0</v>
      </c>
      <c r="AI103" s="23"/>
      <c r="AJ103" s="23"/>
      <c r="AK103" s="165"/>
      <c r="AL103" s="161"/>
      <c r="AM103" s="166"/>
      <c r="AN103" s="161"/>
      <c r="AO103" s="166"/>
      <c r="AP103" s="161"/>
      <c r="AQ103" s="161"/>
      <c r="AR103" s="161"/>
      <c r="AS103" s="167">
        <v>35000</v>
      </c>
      <c r="AT103" s="167">
        <v>30000</v>
      </c>
      <c r="AU103" s="167"/>
      <c r="AV103" s="167"/>
      <c r="AW103" s="167"/>
      <c r="AX103" s="167">
        <f t="shared" si="21"/>
        <v>65000</v>
      </c>
      <c r="AY103" s="168">
        <f t="shared" si="17"/>
        <v>-65000</v>
      </c>
      <c r="AZ103" s="168">
        <f t="shared" si="18"/>
        <v>-65000</v>
      </c>
      <c r="BA103" s="168">
        <f t="shared" si="19"/>
        <v>0</v>
      </c>
      <c r="BB103" s="168">
        <f t="shared" si="24"/>
        <v>-32500</v>
      </c>
      <c r="BC103" s="168">
        <f t="shared" si="25"/>
        <v>-29250</v>
      </c>
      <c r="BD103" s="169">
        <v>50000</v>
      </c>
      <c r="BE103" s="169"/>
      <c r="BF103" s="168">
        <f t="shared" si="15"/>
        <v>-79250</v>
      </c>
      <c r="BG103" s="33"/>
      <c r="BH103" s="15"/>
      <c r="BI103" s="15"/>
    </row>
    <row r="104" spans="1:61" s="6" customFormat="1" ht="16.899999999999999">
      <c r="A104" s="36">
        <v>103</v>
      </c>
      <c r="B104" s="35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5"/>
      <c r="P104" s="33"/>
      <c r="Q104" s="33"/>
      <c r="R104" s="158"/>
      <c r="S104" s="158"/>
      <c r="T104" s="159">
        <f t="shared" si="22"/>
        <v>0</v>
      </c>
      <c r="U104" s="30"/>
      <c r="V104" s="30"/>
      <c r="W104" s="30"/>
      <c r="X104" s="30"/>
      <c r="Y104" s="238"/>
      <c r="Z104" s="242"/>
      <c r="AA104" s="33"/>
      <c r="AB104" s="160"/>
      <c r="AC104" s="161"/>
      <c r="AD104" s="162"/>
      <c r="AE104" s="163"/>
      <c r="AF104" s="23">
        <f t="shared" si="16"/>
        <v>0</v>
      </c>
      <c r="AG104" s="161">
        <f t="shared" si="20"/>
        <v>0</v>
      </c>
      <c r="AH104" s="164">
        <f t="shared" si="23"/>
        <v>0</v>
      </c>
      <c r="AI104" s="23"/>
      <c r="AJ104" s="23"/>
      <c r="AK104" s="165"/>
      <c r="AL104" s="161"/>
      <c r="AM104" s="166"/>
      <c r="AN104" s="161"/>
      <c r="AO104" s="166"/>
      <c r="AP104" s="161"/>
      <c r="AQ104" s="161"/>
      <c r="AR104" s="161"/>
      <c r="AS104" s="167">
        <v>35000</v>
      </c>
      <c r="AT104" s="167">
        <v>30000</v>
      </c>
      <c r="AU104" s="167"/>
      <c r="AV104" s="167"/>
      <c r="AW104" s="167"/>
      <c r="AX104" s="167">
        <f t="shared" si="21"/>
        <v>65000</v>
      </c>
      <c r="AY104" s="168">
        <f t="shared" si="17"/>
        <v>-65000</v>
      </c>
      <c r="AZ104" s="168">
        <f t="shared" si="18"/>
        <v>-65000</v>
      </c>
      <c r="BA104" s="168">
        <f t="shared" si="19"/>
        <v>0</v>
      </c>
      <c r="BB104" s="168">
        <f t="shared" si="24"/>
        <v>-32500</v>
      </c>
      <c r="BC104" s="168">
        <f t="shared" si="25"/>
        <v>-29250</v>
      </c>
      <c r="BD104" s="169">
        <v>50000</v>
      </c>
      <c r="BE104" s="169"/>
      <c r="BF104" s="168">
        <f t="shared" si="15"/>
        <v>-79250</v>
      </c>
      <c r="BG104" s="33"/>
      <c r="BH104" s="15"/>
      <c r="BI104" s="15"/>
    </row>
    <row r="105" spans="1:61" s="6" customFormat="1" ht="16.899999999999999">
      <c r="A105" s="36">
        <v>104</v>
      </c>
      <c r="B105" s="35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5"/>
      <c r="P105" s="33"/>
      <c r="Q105" s="33"/>
      <c r="R105" s="158"/>
      <c r="S105" s="158"/>
      <c r="T105" s="159">
        <f t="shared" si="22"/>
        <v>0</v>
      </c>
      <c r="U105" s="30"/>
      <c r="V105" s="30"/>
      <c r="W105" s="30"/>
      <c r="X105" s="30"/>
      <c r="Y105" s="238"/>
      <c r="Z105" s="242"/>
      <c r="AA105" s="33"/>
      <c r="AB105" s="160"/>
      <c r="AC105" s="161"/>
      <c r="AD105" s="162"/>
      <c r="AE105" s="163"/>
      <c r="AF105" s="23">
        <f t="shared" si="16"/>
        <v>0</v>
      </c>
      <c r="AG105" s="161">
        <f t="shared" si="20"/>
        <v>0</v>
      </c>
      <c r="AH105" s="164">
        <f t="shared" si="23"/>
        <v>0</v>
      </c>
      <c r="AI105" s="23"/>
      <c r="AJ105" s="23"/>
      <c r="AK105" s="165"/>
      <c r="AL105" s="161"/>
      <c r="AM105" s="166"/>
      <c r="AN105" s="161"/>
      <c r="AO105" s="166"/>
      <c r="AP105" s="161"/>
      <c r="AQ105" s="161"/>
      <c r="AR105" s="161"/>
      <c r="AS105" s="167">
        <v>35000</v>
      </c>
      <c r="AT105" s="167">
        <v>30000</v>
      </c>
      <c r="AU105" s="167"/>
      <c r="AV105" s="167"/>
      <c r="AW105" s="167"/>
      <c r="AX105" s="167">
        <f t="shared" si="21"/>
        <v>65000</v>
      </c>
      <c r="AY105" s="168">
        <f t="shared" si="17"/>
        <v>-65000</v>
      </c>
      <c r="AZ105" s="168">
        <f t="shared" si="18"/>
        <v>-65000</v>
      </c>
      <c r="BA105" s="168">
        <f t="shared" si="19"/>
        <v>0</v>
      </c>
      <c r="BB105" s="168">
        <f t="shared" si="24"/>
        <v>-32500</v>
      </c>
      <c r="BC105" s="168">
        <f t="shared" si="25"/>
        <v>-29250</v>
      </c>
      <c r="BD105" s="169">
        <v>50000</v>
      </c>
      <c r="BE105" s="169"/>
      <c r="BF105" s="168">
        <f t="shared" si="15"/>
        <v>-79250</v>
      </c>
      <c r="BG105" s="33"/>
      <c r="BH105" s="15"/>
      <c r="BI105" s="15"/>
    </row>
    <row r="106" spans="1:61" s="6" customFormat="1" ht="16.899999999999999">
      <c r="A106" s="36">
        <v>105</v>
      </c>
      <c r="B106" s="35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5"/>
      <c r="P106" s="33"/>
      <c r="Q106" s="33"/>
      <c r="R106" s="158"/>
      <c r="S106" s="158"/>
      <c r="T106" s="159">
        <f t="shared" si="22"/>
        <v>0</v>
      </c>
      <c r="U106" s="30"/>
      <c r="V106" s="30"/>
      <c r="W106" s="30"/>
      <c r="X106" s="30"/>
      <c r="Y106" s="238"/>
      <c r="Z106" s="242"/>
      <c r="AA106" s="33"/>
      <c r="AB106" s="160"/>
      <c r="AC106" s="161"/>
      <c r="AD106" s="162"/>
      <c r="AE106" s="163"/>
      <c r="AF106" s="23">
        <f t="shared" si="16"/>
        <v>0</v>
      </c>
      <c r="AG106" s="161">
        <f t="shared" si="20"/>
        <v>0</v>
      </c>
      <c r="AH106" s="164">
        <f t="shared" si="23"/>
        <v>0</v>
      </c>
      <c r="AI106" s="23"/>
      <c r="AJ106" s="23"/>
      <c r="AK106" s="165"/>
      <c r="AL106" s="161"/>
      <c r="AM106" s="166"/>
      <c r="AN106" s="161"/>
      <c r="AO106" s="166"/>
      <c r="AP106" s="161"/>
      <c r="AQ106" s="161"/>
      <c r="AR106" s="161"/>
      <c r="AS106" s="167">
        <v>35000</v>
      </c>
      <c r="AT106" s="167">
        <v>30000</v>
      </c>
      <c r="AU106" s="167"/>
      <c r="AV106" s="167"/>
      <c r="AW106" s="167"/>
      <c r="AX106" s="167">
        <f t="shared" si="21"/>
        <v>65000</v>
      </c>
      <c r="AY106" s="168">
        <f t="shared" si="17"/>
        <v>-65000</v>
      </c>
      <c r="AZ106" s="168">
        <f t="shared" si="18"/>
        <v>-65000</v>
      </c>
      <c r="BA106" s="168">
        <f t="shared" si="19"/>
        <v>0</v>
      </c>
      <c r="BB106" s="168">
        <f t="shared" si="24"/>
        <v>-32500</v>
      </c>
      <c r="BC106" s="168">
        <f t="shared" si="25"/>
        <v>-29250</v>
      </c>
      <c r="BD106" s="169">
        <v>50000</v>
      </c>
      <c r="BE106" s="169"/>
      <c r="BF106" s="168">
        <f t="shared" si="15"/>
        <v>-79250</v>
      </c>
      <c r="BG106" s="33"/>
      <c r="BH106" s="15"/>
      <c r="BI106" s="15"/>
    </row>
    <row r="107" spans="1:61" s="6" customFormat="1" ht="16.899999999999999">
      <c r="A107" s="36">
        <v>106</v>
      </c>
      <c r="B107" s="35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5"/>
      <c r="P107" s="33"/>
      <c r="Q107" s="33"/>
      <c r="R107" s="158"/>
      <c r="S107" s="158"/>
      <c r="T107" s="159">
        <f t="shared" si="22"/>
        <v>0</v>
      </c>
      <c r="U107" s="30"/>
      <c r="V107" s="30"/>
      <c r="W107" s="30"/>
      <c r="X107" s="30"/>
      <c r="Y107" s="238"/>
      <c r="Z107" s="242"/>
      <c r="AA107" s="33"/>
      <c r="AB107" s="160"/>
      <c r="AC107" s="161"/>
      <c r="AD107" s="162"/>
      <c r="AE107" s="163"/>
      <c r="AF107" s="23">
        <f t="shared" si="16"/>
        <v>0</v>
      </c>
      <c r="AG107" s="161">
        <f t="shared" si="20"/>
        <v>0</v>
      </c>
      <c r="AH107" s="164">
        <f t="shared" si="23"/>
        <v>0</v>
      </c>
      <c r="AI107" s="23"/>
      <c r="AJ107" s="23"/>
      <c r="AK107" s="165"/>
      <c r="AL107" s="161"/>
      <c r="AM107" s="166"/>
      <c r="AN107" s="161"/>
      <c r="AO107" s="166"/>
      <c r="AP107" s="161"/>
      <c r="AQ107" s="161"/>
      <c r="AR107" s="161"/>
      <c r="AS107" s="167">
        <v>35000</v>
      </c>
      <c r="AT107" s="167">
        <v>30000</v>
      </c>
      <c r="AU107" s="167"/>
      <c r="AV107" s="167"/>
      <c r="AW107" s="167"/>
      <c r="AX107" s="167">
        <f t="shared" si="21"/>
        <v>65000</v>
      </c>
      <c r="AY107" s="168">
        <f t="shared" si="17"/>
        <v>-65000</v>
      </c>
      <c r="AZ107" s="168">
        <f t="shared" si="18"/>
        <v>-65000</v>
      </c>
      <c r="BA107" s="168">
        <f t="shared" si="19"/>
        <v>0</v>
      </c>
      <c r="BB107" s="168">
        <f t="shared" si="24"/>
        <v>-32500</v>
      </c>
      <c r="BC107" s="168">
        <f t="shared" si="25"/>
        <v>-29250</v>
      </c>
      <c r="BD107" s="169">
        <v>50000</v>
      </c>
      <c r="BE107" s="169"/>
      <c r="BF107" s="168">
        <f t="shared" si="15"/>
        <v>-79250</v>
      </c>
      <c r="BG107" s="33"/>
      <c r="BH107" s="15"/>
      <c r="BI107" s="15"/>
    </row>
    <row r="108" spans="1:61" s="6" customFormat="1" ht="16.899999999999999">
      <c r="A108" s="36">
        <v>107</v>
      </c>
      <c r="B108" s="35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5"/>
      <c r="P108" s="33"/>
      <c r="Q108" s="33"/>
      <c r="R108" s="158"/>
      <c r="S108" s="158"/>
      <c r="T108" s="159">
        <f t="shared" si="22"/>
        <v>0</v>
      </c>
      <c r="U108" s="30"/>
      <c r="V108" s="30"/>
      <c r="W108" s="30"/>
      <c r="X108" s="30"/>
      <c r="Y108" s="238"/>
      <c r="Z108" s="242"/>
      <c r="AA108" s="33"/>
      <c r="AB108" s="160"/>
      <c r="AC108" s="161"/>
      <c r="AD108" s="162"/>
      <c r="AE108" s="163"/>
      <c r="AF108" s="23">
        <f t="shared" si="16"/>
        <v>0</v>
      </c>
      <c r="AG108" s="161">
        <f t="shared" si="20"/>
        <v>0</v>
      </c>
      <c r="AH108" s="164">
        <f t="shared" si="23"/>
        <v>0</v>
      </c>
      <c r="AI108" s="23"/>
      <c r="AJ108" s="23"/>
      <c r="AK108" s="165"/>
      <c r="AL108" s="161"/>
      <c r="AM108" s="166"/>
      <c r="AN108" s="161"/>
      <c r="AO108" s="166"/>
      <c r="AP108" s="161"/>
      <c r="AQ108" s="161"/>
      <c r="AR108" s="161"/>
      <c r="AS108" s="167">
        <v>35000</v>
      </c>
      <c r="AT108" s="167">
        <v>30000</v>
      </c>
      <c r="AU108" s="167"/>
      <c r="AV108" s="167"/>
      <c r="AW108" s="167"/>
      <c r="AX108" s="167">
        <f t="shared" si="21"/>
        <v>65000</v>
      </c>
      <c r="AY108" s="168">
        <f t="shared" si="17"/>
        <v>-65000</v>
      </c>
      <c r="AZ108" s="168">
        <f t="shared" si="18"/>
        <v>-65000</v>
      </c>
      <c r="BA108" s="168">
        <f t="shared" si="19"/>
        <v>0</v>
      </c>
      <c r="BB108" s="168">
        <f t="shared" si="24"/>
        <v>-32500</v>
      </c>
      <c r="BC108" s="168">
        <f t="shared" si="25"/>
        <v>-29250</v>
      </c>
      <c r="BD108" s="169">
        <v>50000</v>
      </c>
      <c r="BE108" s="169"/>
      <c r="BF108" s="168">
        <f t="shared" si="15"/>
        <v>-79250</v>
      </c>
      <c r="BG108" s="33"/>
      <c r="BH108" s="15"/>
      <c r="BI108" s="15"/>
    </row>
    <row r="109" spans="1:61" s="6" customFormat="1" ht="16.899999999999999">
      <c r="A109" s="36">
        <v>108</v>
      </c>
      <c r="B109" s="35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5"/>
      <c r="P109" s="33"/>
      <c r="Q109" s="33"/>
      <c r="R109" s="158"/>
      <c r="S109" s="158"/>
      <c r="T109" s="159">
        <f t="shared" si="22"/>
        <v>0</v>
      </c>
      <c r="U109" s="30"/>
      <c r="V109" s="30"/>
      <c r="W109" s="30"/>
      <c r="X109" s="30"/>
      <c r="Y109" s="238"/>
      <c r="Z109" s="242"/>
      <c r="AA109" s="33"/>
      <c r="AB109" s="160"/>
      <c r="AC109" s="161"/>
      <c r="AD109" s="162"/>
      <c r="AE109" s="163"/>
      <c r="AF109" s="23">
        <f t="shared" si="16"/>
        <v>0</v>
      </c>
      <c r="AG109" s="161">
        <f t="shared" si="20"/>
        <v>0</v>
      </c>
      <c r="AH109" s="164">
        <f t="shared" si="23"/>
        <v>0</v>
      </c>
      <c r="AI109" s="23"/>
      <c r="AJ109" s="23"/>
      <c r="AK109" s="165"/>
      <c r="AL109" s="161"/>
      <c r="AM109" s="166"/>
      <c r="AN109" s="161"/>
      <c r="AO109" s="166"/>
      <c r="AP109" s="161"/>
      <c r="AQ109" s="161"/>
      <c r="AR109" s="161"/>
      <c r="AS109" s="167">
        <v>35000</v>
      </c>
      <c r="AT109" s="167">
        <v>30000</v>
      </c>
      <c r="AU109" s="167"/>
      <c r="AV109" s="167"/>
      <c r="AW109" s="167"/>
      <c r="AX109" s="167">
        <f t="shared" si="21"/>
        <v>65000</v>
      </c>
      <c r="AY109" s="168">
        <f t="shared" si="17"/>
        <v>-65000</v>
      </c>
      <c r="AZ109" s="168">
        <f t="shared" si="18"/>
        <v>-65000</v>
      </c>
      <c r="BA109" s="168">
        <f t="shared" si="19"/>
        <v>0</v>
      </c>
      <c r="BB109" s="168">
        <f t="shared" si="24"/>
        <v>-32500</v>
      </c>
      <c r="BC109" s="168">
        <f t="shared" si="25"/>
        <v>-29250</v>
      </c>
      <c r="BD109" s="169">
        <v>50000</v>
      </c>
      <c r="BE109" s="169"/>
      <c r="BF109" s="168">
        <f t="shared" si="15"/>
        <v>-79250</v>
      </c>
      <c r="BG109" s="33"/>
      <c r="BH109" s="15"/>
      <c r="BI109" s="15"/>
    </row>
    <row r="110" spans="1:61" s="6" customFormat="1" ht="16.899999999999999">
      <c r="A110" s="36">
        <v>109</v>
      </c>
      <c r="B110" s="35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5"/>
      <c r="P110" s="33"/>
      <c r="Q110" s="33"/>
      <c r="R110" s="158"/>
      <c r="S110" s="158"/>
      <c r="T110" s="159">
        <f t="shared" si="22"/>
        <v>0</v>
      </c>
      <c r="U110" s="30"/>
      <c r="V110" s="30"/>
      <c r="W110" s="30"/>
      <c r="X110" s="30"/>
      <c r="Y110" s="238"/>
      <c r="Z110" s="242"/>
      <c r="AA110" s="33"/>
      <c r="AB110" s="160"/>
      <c r="AC110" s="161"/>
      <c r="AD110" s="162"/>
      <c r="AE110" s="163"/>
      <c r="AF110" s="23">
        <f t="shared" si="16"/>
        <v>0</v>
      </c>
      <c r="AG110" s="161">
        <f t="shared" si="20"/>
        <v>0</v>
      </c>
      <c r="AH110" s="164">
        <f t="shared" si="23"/>
        <v>0</v>
      </c>
      <c r="AI110" s="23"/>
      <c r="AJ110" s="23"/>
      <c r="AK110" s="165"/>
      <c r="AL110" s="161"/>
      <c r="AM110" s="166"/>
      <c r="AN110" s="161"/>
      <c r="AO110" s="166"/>
      <c r="AP110" s="161"/>
      <c r="AQ110" s="161"/>
      <c r="AR110" s="161"/>
      <c r="AS110" s="167">
        <v>35000</v>
      </c>
      <c r="AT110" s="167">
        <v>30000</v>
      </c>
      <c r="AU110" s="167"/>
      <c r="AV110" s="167"/>
      <c r="AW110" s="167"/>
      <c r="AX110" s="167">
        <f t="shared" si="21"/>
        <v>65000</v>
      </c>
      <c r="AY110" s="168">
        <f t="shared" si="17"/>
        <v>-65000</v>
      </c>
      <c r="AZ110" s="168">
        <f t="shared" si="18"/>
        <v>-65000</v>
      </c>
      <c r="BA110" s="168">
        <f t="shared" si="19"/>
        <v>0</v>
      </c>
      <c r="BB110" s="168">
        <f t="shared" si="24"/>
        <v>-32500</v>
      </c>
      <c r="BC110" s="168">
        <f t="shared" si="25"/>
        <v>-29250</v>
      </c>
      <c r="BD110" s="169">
        <v>50000</v>
      </c>
      <c r="BE110" s="169"/>
      <c r="BF110" s="168">
        <f t="shared" si="15"/>
        <v>-79250</v>
      </c>
      <c r="BG110" s="33"/>
      <c r="BH110" s="15"/>
      <c r="BI110" s="15"/>
    </row>
    <row r="111" spans="1:61" s="6" customFormat="1" ht="16.899999999999999">
      <c r="A111" s="36">
        <v>110</v>
      </c>
      <c r="B111" s="35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5"/>
      <c r="P111" s="33"/>
      <c r="Q111" s="33"/>
      <c r="R111" s="158"/>
      <c r="S111" s="158"/>
      <c r="T111" s="159">
        <f t="shared" si="22"/>
        <v>0</v>
      </c>
      <c r="U111" s="30"/>
      <c r="V111" s="30"/>
      <c r="W111" s="30"/>
      <c r="X111" s="30"/>
      <c r="Y111" s="238"/>
      <c r="Z111" s="242"/>
      <c r="AA111" s="33"/>
      <c r="AB111" s="160"/>
      <c r="AC111" s="161"/>
      <c r="AD111" s="162"/>
      <c r="AE111" s="163"/>
      <c r="AF111" s="23">
        <f t="shared" si="16"/>
        <v>0</v>
      </c>
      <c r="AG111" s="161">
        <f t="shared" si="20"/>
        <v>0</v>
      </c>
      <c r="AH111" s="164">
        <f t="shared" si="23"/>
        <v>0</v>
      </c>
      <c r="AI111" s="23"/>
      <c r="AJ111" s="23"/>
      <c r="AK111" s="165"/>
      <c r="AL111" s="161"/>
      <c r="AM111" s="166"/>
      <c r="AN111" s="161"/>
      <c r="AO111" s="166"/>
      <c r="AP111" s="161"/>
      <c r="AQ111" s="161"/>
      <c r="AR111" s="161"/>
      <c r="AS111" s="167">
        <v>35000</v>
      </c>
      <c r="AT111" s="167">
        <v>30000</v>
      </c>
      <c r="AU111" s="167"/>
      <c r="AV111" s="167"/>
      <c r="AW111" s="167"/>
      <c r="AX111" s="167">
        <f t="shared" si="21"/>
        <v>65000</v>
      </c>
      <c r="AY111" s="168">
        <f t="shared" si="17"/>
        <v>-65000</v>
      </c>
      <c r="AZ111" s="168">
        <f t="shared" si="18"/>
        <v>-65000</v>
      </c>
      <c r="BA111" s="168">
        <f t="shared" si="19"/>
        <v>0</v>
      </c>
      <c r="BB111" s="168">
        <f t="shared" si="24"/>
        <v>-32500</v>
      </c>
      <c r="BC111" s="168">
        <f t="shared" si="25"/>
        <v>-29250</v>
      </c>
      <c r="BD111" s="169">
        <v>50000</v>
      </c>
      <c r="BE111" s="169"/>
      <c r="BF111" s="168">
        <f t="shared" si="15"/>
        <v>-79250</v>
      </c>
      <c r="BG111" s="33"/>
      <c r="BH111" s="15"/>
      <c r="BI111" s="15"/>
    </row>
    <row r="112" spans="1:61" s="6" customFormat="1" ht="16.899999999999999">
      <c r="A112" s="36">
        <v>111</v>
      </c>
      <c r="B112" s="35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5"/>
      <c r="P112" s="33"/>
      <c r="Q112" s="33"/>
      <c r="R112" s="158"/>
      <c r="S112" s="158"/>
      <c r="T112" s="159">
        <f t="shared" si="22"/>
        <v>0</v>
      </c>
      <c r="U112" s="30"/>
      <c r="V112" s="30"/>
      <c r="W112" s="30"/>
      <c r="X112" s="30"/>
      <c r="Y112" s="238"/>
      <c r="Z112" s="242"/>
      <c r="AA112" s="33"/>
      <c r="AB112" s="160"/>
      <c r="AC112" s="161"/>
      <c r="AD112" s="162"/>
      <c r="AE112" s="163"/>
      <c r="AF112" s="23">
        <f t="shared" si="16"/>
        <v>0</v>
      </c>
      <c r="AG112" s="161">
        <f t="shared" si="20"/>
        <v>0</v>
      </c>
      <c r="AH112" s="164">
        <f t="shared" si="23"/>
        <v>0</v>
      </c>
      <c r="AI112" s="23"/>
      <c r="AJ112" s="23"/>
      <c r="AK112" s="165"/>
      <c r="AL112" s="161"/>
      <c r="AM112" s="166"/>
      <c r="AN112" s="161"/>
      <c r="AO112" s="166"/>
      <c r="AP112" s="161"/>
      <c r="AQ112" s="161"/>
      <c r="AR112" s="161"/>
      <c r="AS112" s="167">
        <v>35000</v>
      </c>
      <c r="AT112" s="167">
        <v>30000</v>
      </c>
      <c r="AU112" s="167"/>
      <c r="AV112" s="167"/>
      <c r="AW112" s="167"/>
      <c r="AX112" s="167">
        <f t="shared" si="21"/>
        <v>65000</v>
      </c>
      <c r="AY112" s="168">
        <f t="shared" si="17"/>
        <v>-65000</v>
      </c>
      <c r="AZ112" s="168">
        <f t="shared" si="18"/>
        <v>-65000</v>
      </c>
      <c r="BA112" s="168">
        <f t="shared" si="19"/>
        <v>0</v>
      </c>
      <c r="BB112" s="168">
        <f t="shared" si="24"/>
        <v>-32500</v>
      </c>
      <c r="BC112" s="168">
        <f t="shared" si="25"/>
        <v>-29250</v>
      </c>
      <c r="BD112" s="169">
        <v>50000</v>
      </c>
      <c r="BE112" s="169"/>
      <c r="BF112" s="168">
        <f t="shared" si="15"/>
        <v>-79250</v>
      </c>
      <c r="BG112" s="33"/>
      <c r="BH112" s="15"/>
      <c r="BI112" s="15"/>
    </row>
    <row r="113" spans="1:61" s="6" customFormat="1" ht="16.899999999999999">
      <c r="A113" s="36">
        <v>112</v>
      </c>
      <c r="B113" s="35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5"/>
      <c r="P113" s="33"/>
      <c r="Q113" s="33"/>
      <c r="R113" s="158"/>
      <c r="S113" s="158"/>
      <c r="T113" s="159">
        <f t="shared" si="22"/>
        <v>0</v>
      </c>
      <c r="U113" s="30"/>
      <c r="V113" s="30"/>
      <c r="W113" s="30"/>
      <c r="X113" s="30"/>
      <c r="Y113" s="238"/>
      <c r="Z113" s="242"/>
      <c r="AA113" s="33"/>
      <c r="AB113" s="160"/>
      <c r="AC113" s="161"/>
      <c r="AD113" s="162"/>
      <c r="AE113" s="163"/>
      <c r="AF113" s="23">
        <f t="shared" si="16"/>
        <v>0</v>
      </c>
      <c r="AG113" s="161">
        <f t="shared" si="20"/>
        <v>0</v>
      </c>
      <c r="AH113" s="164">
        <f t="shared" si="23"/>
        <v>0</v>
      </c>
      <c r="AI113" s="23"/>
      <c r="AJ113" s="23"/>
      <c r="AK113" s="165"/>
      <c r="AL113" s="161"/>
      <c r="AM113" s="166"/>
      <c r="AN113" s="161"/>
      <c r="AO113" s="166"/>
      <c r="AP113" s="161"/>
      <c r="AQ113" s="161"/>
      <c r="AR113" s="161"/>
      <c r="AS113" s="167">
        <v>35000</v>
      </c>
      <c r="AT113" s="167">
        <v>30000</v>
      </c>
      <c r="AU113" s="167"/>
      <c r="AV113" s="167"/>
      <c r="AW113" s="167"/>
      <c r="AX113" s="167">
        <f t="shared" si="21"/>
        <v>65000</v>
      </c>
      <c r="AY113" s="168">
        <f t="shared" si="17"/>
        <v>-65000</v>
      </c>
      <c r="AZ113" s="168">
        <f t="shared" si="18"/>
        <v>-65000</v>
      </c>
      <c r="BA113" s="168">
        <f t="shared" si="19"/>
        <v>0</v>
      </c>
      <c r="BB113" s="168">
        <f t="shared" si="24"/>
        <v>-32500</v>
      </c>
      <c r="BC113" s="168">
        <f t="shared" si="25"/>
        <v>-29250</v>
      </c>
      <c r="BD113" s="169">
        <v>50000</v>
      </c>
      <c r="BE113" s="169"/>
      <c r="BF113" s="168">
        <f t="shared" si="15"/>
        <v>-79250</v>
      </c>
      <c r="BG113" s="33"/>
      <c r="BH113" s="15"/>
      <c r="BI113" s="15"/>
    </row>
    <row r="114" spans="1:61" s="6" customFormat="1" ht="16.899999999999999">
      <c r="A114" s="36">
        <v>113</v>
      </c>
      <c r="B114" s="35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5"/>
      <c r="P114" s="33"/>
      <c r="Q114" s="33"/>
      <c r="R114" s="158"/>
      <c r="S114" s="158"/>
      <c r="T114" s="159">
        <f t="shared" si="22"/>
        <v>0</v>
      </c>
      <c r="U114" s="30"/>
      <c r="V114" s="30"/>
      <c r="W114" s="30"/>
      <c r="X114" s="30"/>
      <c r="Y114" s="238"/>
      <c r="Z114" s="242"/>
      <c r="AA114" s="33"/>
      <c r="AB114" s="160"/>
      <c r="AC114" s="161"/>
      <c r="AD114" s="162"/>
      <c r="AE114" s="163"/>
      <c r="AF114" s="23">
        <f t="shared" si="16"/>
        <v>0</v>
      </c>
      <c r="AG114" s="161">
        <f t="shared" si="20"/>
        <v>0</v>
      </c>
      <c r="AH114" s="164">
        <f t="shared" si="23"/>
        <v>0</v>
      </c>
      <c r="AI114" s="23"/>
      <c r="AJ114" s="23"/>
      <c r="AK114" s="165"/>
      <c r="AL114" s="161"/>
      <c r="AM114" s="166"/>
      <c r="AN114" s="161"/>
      <c r="AO114" s="166"/>
      <c r="AP114" s="161"/>
      <c r="AQ114" s="161"/>
      <c r="AR114" s="161"/>
      <c r="AS114" s="167">
        <v>35000</v>
      </c>
      <c r="AT114" s="167">
        <v>30000</v>
      </c>
      <c r="AU114" s="167"/>
      <c r="AV114" s="167"/>
      <c r="AW114" s="167"/>
      <c r="AX114" s="167">
        <f t="shared" si="21"/>
        <v>65000</v>
      </c>
      <c r="AY114" s="168">
        <f t="shared" si="17"/>
        <v>-65000</v>
      </c>
      <c r="AZ114" s="168">
        <f t="shared" si="18"/>
        <v>-65000</v>
      </c>
      <c r="BA114" s="168">
        <f t="shared" si="19"/>
        <v>0</v>
      </c>
      <c r="BB114" s="168">
        <f t="shared" si="24"/>
        <v>-32500</v>
      </c>
      <c r="BC114" s="168">
        <f t="shared" si="25"/>
        <v>-29250</v>
      </c>
      <c r="BD114" s="169">
        <v>50000</v>
      </c>
      <c r="BE114" s="169"/>
      <c r="BF114" s="168">
        <f t="shared" si="15"/>
        <v>-79250</v>
      </c>
      <c r="BG114" s="33"/>
      <c r="BH114" s="15"/>
      <c r="BI114" s="15"/>
    </row>
    <row r="115" spans="1:61" s="6" customFormat="1" ht="16.899999999999999">
      <c r="A115" s="36">
        <v>114</v>
      </c>
      <c r="B115" s="35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5"/>
      <c r="P115" s="33"/>
      <c r="Q115" s="33"/>
      <c r="R115" s="158"/>
      <c r="S115" s="158"/>
      <c r="T115" s="159">
        <f t="shared" si="22"/>
        <v>0</v>
      </c>
      <c r="U115" s="30"/>
      <c r="V115" s="30"/>
      <c r="W115" s="30"/>
      <c r="X115" s="30"/>
      <c r="Y115" s="238"/>
      <c r="Z115" s="242"/>
      <c r="AA115" s="33"/>
      <c r="AB115" s="160"/>
      <c r="AC115" s="161"/>
      <c r="AD115" s="162"/>
      <c r="AE115" s="163"/>
      <c r="AF115" s="23">
        <f t="shared" si="16"/>
        <v>0</v>
      </c>
      <c r="AG115" s="161">
        <f t="shared" si="20"/>
        <v>0</v>
      </c>
      <c r="AH115" s="164">
        <f t="shared" si="23"/>
        <v>0</v>
      </c>
      <c r="AI115" s="23"/>
      <c r="AJ115" s="23"/>
      <c r="AK115" s="165"/>
      <c r="AL115" s="161"/>
      <c r="AM115" s="166"/>
      <c r="AN115" s="161"/>
      <c r="AO115" s="166"/>
      <c r="AP115" s="161"/>
      <c r="AQ115" s="161"/>
      <c r="AR115" s="161"/>
      <c r="AS115" s="167">
        <v>35000</v>
      </c>
      <c r="AT115" s="167">
        <v>30000</v>
      </c>
      <c r="AU115" s="167"/>
      <c r="AV115" s="167"/>
      <c r="AW115" s="167"/>
      <c r="AX115" s="167">
        <f t="shared" si="21"/>
        <v>65000</v>
      </c>
      <c r="AY115" s="168">
        <f t="shared" si="17"/>
        <v>-65000</v>
      </c>
      <c r="AZ115" s="168">
        <f t="shared" si="18"/>
        <v>-65000</v>
      </c>
      <c r="BA115" s="168">
        <f t="shared" si="19"/>
        <v>0</v>
      </c>
      <c r="BB115" s="168">
        <f t="shared" si="24"/>
        <v>-32500</v>
      </c>
      <c r="BC115" s="168">
        <f t="shared" si="25"/>
        <v>-29250</v>
      </c>
      <c r="BD115" s="169">
        <v>50000</v>
      </c>
      <c r="BE115" s="169"/>
      <c r="BF115" s="168">
        <f t="shared" si="15"/>
        <v>-79250</v>
      </c>
      <c r="BG115" s="33"/>
      <c r="BH115" s="15"/>
      <c r="BI115" s="15"/>
    </row>
    <row r="116" spans="1:61" s="6" customFormat="1" ht="16.899999999999999">
      <c r="A116" s="36">
        <v>115</v>
      </c>
      <c r="B116" s="35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5"/>
      <c r="P116" s="33"/>
      <c r="Q116" s="33"/>
      <c r="R116" s="158"/>
      <c r="S116" s="158"/>
      <c r="T116" s="159">
        <f t="shared" si="22"/>
        <v>0</v>
      </c>
      <c r="U116" s="30"/>
      <c r="V116" s="30"/>
      <c r="W116" s="30"/>
      <c r="X116" s="30"/>
      <c r="Y116" s="238"/>
      <c r="Z116" s="242"/>
      <c r="AA116" s="33"/>
      <c r="AB116" s="160"/>
      <c r="AC116" s="161"/>
      <c r="AD116" s="162"/>
      <c r="AE116" s="163"/>
      <c r="AF116" s="23">
        <f t="shared" si="16"/>
        <v>0</v>
      </c>
      <c r="AG116" s="161">
        <f t="shared" si="20"/>
        <v>0</v>
      </c>
      <c r="AH116" s="164">
        <f t="shared" si="23"/>
        <v>0</v>
      </c>
      <c r="AI116" s="23"/>
      <c r="AJ116" s="23"/>
      <c r="AK116" s="165"/>
      <c r="AL116" s="161"/>
      <c r="AM116" s="166"/>
      <c r="AN116" s="161"/>
      <c r="AO116" s="166"/>
      <c r="AP116" s="161"/>
      <c r="AQ116" s="161"/>
      <c r="AR116" s="161"/>
      <c r="AS116" s="167">
        <v>35000</v>
      </c>
      <c r="AT116" s="167">
        <v>30000</v>
      </c>
      <c r="AU116" s="167"/>
      <c r="AV116" s="167"/>
      <c r="AW116" s="167"/>
      <c r="AX116" s="167">
        <f t="shared" si="21"/>
        <v>65000</v>
      </c>
      <c r="AY116" s="168">
        <f t="shared" si="17"/>
        <v>-65000</v>
      </c>
      <c r="AZ116" s="168">
        <f t="shared" si="18"/>
        <v>-65000</v>
      </c>
      <c r="BA116" s="168">
        <f t="shared" si="19"/>
        <v>0</v>
      </c>
      <c r="BB116" s="168">
        <f t="shared" si="24"/>
        <v>-32500</v>
      </c>
      <c r="BC116" s="168">
        <f t="shared" si="25"/>
        <v>-29250</v>
      </c>
      <c r="BD116" s="169">
        <v>50000</v>
      </c>
      <c r="BE116" s="169"/>
      <c r="BF116" s="168">
        <f t="shared" si="15"/>
        <v>-79250</v>
      </c>
      <c r="BG116" s="33"/>
      <c r="BH116" s="15"/>
      <c r="BI116" s="15"/>
    </row>
    <row r="117" spans="1:61" s="6" customFormat="1" ht="16.899999999999999">
      <c r="A117" s="36">
        <v>116</v>
      </c>
      <c r="B117" s="35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5"/>
      <c r="P117" s="33"/>
      <c r="Q117" s="33"/>
      <c r="R117" s="158"/>
      <c r="S117" s="158"/>
      <c r="T117" s="159">
        <f t="shared" si="22"/>
        <v>0</v>
      </c>
      <c r="U117" s="30"/>
      <c r="V117" s="30"/>
      <c r="W117" s="30"/>
      <c r="X117" s="30"/>
      <c r="Y117" s="238"/>
      <c r="Z117" s="242"/>
      <c r="AA117" s="33"/>
      <c r="AB117" s="160"/>
      <c r="AC117" s="161"/>
      <c r="AD117" s="162"/>
      <c r="AE117" s="163"/>
      <c r="AF117" s="23">
        <f t="shared" si="16"/>
        <v>0</v>
      </c>
      <c r="AG117" s="161">
        <f t="shared" si="20"/>
        <v>0</v>
      </c>
      <c r="AH117" s="164">
        <f t="shared" si="23"/>
        <v>0</v>
      </c>
      <c r="AI117" s="23"/>
      <c r="AJ117" s="23"/>
      <c r="AK117" s="165"/>
      <c r="AL117" s="161"/>
      <c r="AM117" s="166"/>
      <c r="AN117" s="161"/>
      <c r="AO117" s="166"/>
      <c r="AP117" s="161"/>
      <c r="AQ117" s="161"/>
      <c r="AR117" s="161"/>
      <c r="AS117" s="167">
        <v>35000</v>
      </c>
      <c r="AT117" s="167">
        <v>30000</v>
      </c>
      <c r="AU117" s="167"/>
      <c r="AV117" s="167"/>
      <c r="AW117" s="167"/>
      <c r="AX117" s="167">
        <f t="shared" si="21"/>
        <v>65000</v>
      </c>
      <c r="AY117" s="168">
        <f t="shared" si="17"/>
        <v>-65000</v>
      </c>
      <c r="AZ117" s="168">
        <f t="shared" si="18"/>
        <v>-65000</v>
      </c>
      <c r="BA117" s="168">
        <f t="shared" si="19"/>
        <v>0</v>
      </c>
      <c r="BB117" s="168">
        <f t="shared" si="24"/>
        <v>-32500</v>
      </c>
      <c r="BC117" s="168">
        <f t="shared" si="25"/>
        <v>-29250</v>
      </c>
      <c r="BD117" s="169">
        <v>50000</v>
      </c>
      <c r="BE117" s="169"/>
      <c r="BF117" s="168">
        <f t="shared" ref="BF117:BF180" si="26">SUM(BC117-BD117-BE117)</f>
        <v>-79250</v>
      </c>
      <c r="BG117" s="33"/>
      <c r="BH117" s="15"/>
      <c r="BI117" s="15"/>
    </row>
    <row r="118" spans="1:61" ht="16.899999999999999">
      <c r="A118" s="36">
        <v>117</v>
      </c>
      <c r="B118" s="35"/>
      <c r="C118" s="33"/>
      <c r="D118" s="33"/>
      <c r="E118" s="33"/>
      <c r="F118" s="38"/>
      <c r="G118" s="38"/>
      <c r="H118" s="38"/>
      <c r="I118" s="38"/>
      <c r="J118" s="38"/>
      <c r="K118" s="38"/>
      <c r="L118" s="33"/>
      <c r="M118" s="33"/>
      <c r="N118" s="38"/>
      <c r="O118" s="39" t="s">
        <v>27</v>
      </c>
      <c r="P118" s="38"/>
      <c r="Q118" s="216"/>
      <c r="R118" s="158"/>
      <c r="S118" s="158"/>
      <c r="T118" s="159">
        <f t="shared" si="22"/>
        <v>0</v>
      </c>
      <c r="U118" s="30"/>
      <c r="V118" s="30"/>
      <c r="W118" s="30"/>
      <c r="X118" s="30"/>
      <c r="Y118" s="238"/>
      <c r="Z118" s="242"/>
      <c r="AA118" s="38"/>
      <c r="AB118" s="160"/>
      <c r="AC118" s="161"/>
      <c r="AD118" s="162"/>
      <c r="AE118" s="163"/>
      <c r="AF118" s="23">
        <f t="shared" si="16"/>
        <v>0</v>
      </c>
      <c r="AG118" s="161">
        <f t="shared" si="20"/>
        <v>0</v>
      </c>
      <c r="AH118" s="164">
        <f t="shared" si="23"/>
        <v>0</v>
      </c>
      <c r="AI118" s="23"/>
      <c r="AJ118" s="23"/>
      <c r="AK118" s="165"/>
      <c r="AL118" s="161"/>
      <c r="AM118" s="166"/>
      <c r="AN118" s="161"/>
      <c r="AO118" s="166"/>
      <c r="AP118" s="161"/>
      <c r="AQ118" s="161"/>
      <c r="AR118" s="161"/>
      <c r="AS118" s="167">
        <v>35000</v>
      </c>
      <c r="AT118" s="167">
        <v>30000</v>
      </c>
      <c r="AU118" s="167"/>
      <c r="AV118" s="167"/>
      <c r="AW118" s="167"/>
      <c r="AX118" s="167">
        <f t="shared" si="21"/>
        <v>65000</v>
      </c>
      <c r="AY118" s="168">
        <f t="shared" si="17"/>
        <v>-65000</v>
      </c>
      <c r="AZ118" s="168">
        <f t="shared" si="18"/>
        <v>-65000</v>
      </c>
      <c r="BA118" s="168">
        <f t="shared" si="19"/>
        <v>0</v>
      </c>
      <c r="BB118" s="168">
        <f t="shared" si="24"/>
        <v>-32500</v>
      </c>
      <c r="BC118" s="168">
        <f t="shared" si="25"/>
        <v>-29250</v>
      </c>
      <c r="BD118" s="169">
        <v>50000</v>
      </c>
      <c r="BE118" s="169"/>
      <c r="BF118" s="168">
        <f t="shared" si="26"/>
        <v>-79250</v>
      </c>
      <c r="BG118" s="33"/>
      <c r="BH118" s="16"/>
      <c r="BI118" s="16"/>
    </row>
    <row r="119" spans="1:61" ht="16.899999999999999">
      <c r="A119" s="36">
        <v>118</v>
      </c>
      <c r="B119" s="35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5"/>
      <c r="P119" s="33"/>
      <c r="Q119" s="33"/>
      <c r="R119" s="158"/>
      <c r="S119" s="158"/>
      <c r="T119" s="159">
        <f t="shared" si="22"/>
        <v>0</v>
      </c>
      <c r="U119" s="30"/>
      <c r="V119" s="30"/>
      <c r="W119" s="30"/>
      <c r="X119" s="30"/>
      <c r="Y119" s="238"/>
      <c r="Z119" s="242"/>
      <c r="AA119" s="33"/>
      <c r="AB119" s="160"/>
      <c r="AC119" s="161"/>
      <c r="AD119" s="162"/>
      <c r="AE119" s="163"/>
      <c r="AF119" s="23">
        <f t="shared" si="16"/>
        <v>0</v>
      </c>
      <c r="AG119" s="161">
        <f t="shared" si="20"/>
        <v>0</v>
      </c>
      <c r="AH119" s="164">
        <f t="shared" si="23"/>
        <v>0</v>
      </c>
      <c r="AI119" s="23"/>
      <c r="AJ119" s="23"/>
      <c r="AK119" s="165"/>
      <c r="AL119" s="161"/>
      <c r="AM119" s="166"/>
      <c r="AN119" s="161"/>
      <c r="AO119" s="166"/>
      <c r="AP119" s="161"/>
      <c r="AQ119" s="161"/>
      <c r="AR119" s="161"/>
      <c r="AS119" s="167">
        <v>35000</v>
      </c>
      <c r="AT119" s="167">
        <v>30000</v>
      </c>
      <c r="AU119" s="167"/>
      <c r="AV119" s="167"/>
      <c r="AW119" s="167"/>
      <c r="AX119" s="167">
        <f t="shared" si="21"/>
        <v>65000</v>
      </c>
      <c r="AY119" s="168">
        <f t="shared" si="17"/>
        <v>-65000</v>
      </c>
      <c r="AZ119" s="168">
        <f t="shared" si="18"/>
        <v>-65000</v>
      </c>
      <c r="BA119" s="168">
        <f t="shared" si="19"/>
        <v>0</v>
      </c>
      <c r="BB119" s="168">
        <f t="shared" si="24"/>
        <v>-32500</v>
      </c>
      <c r="BC119" s="168">
        <f t="shared" si="25"/>
        <v>-29250</v>
      </c>
      <c r="BD119" s="169">
        <v>50000</v>
      </c>
      <c r="BE119" s="169"/>
      <c r="BF119" s="168">
        <f t="shared" si="26"/>
        <v>-79250</v>
      </c>
      <c r="BG119" s="33"/>
      <c r="BH119" s="16"/>
      <c r="BI119" s="16"/>
    </row>
    <row r="120" spans="1:61" ht="16.899999999999999">
      <c r="A120" s="36">
        <v>119</v>
      </c>
      <c r="B120" s="35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5"/>
      <c r="P120" s="33"/>
      <c r="Q120" s="33"/>
      <c r="R120" s="158"/>
      <c r="S120" s="158"/>
      <c r="T120" s="159">
        <f t="shared" si="22"/>
        <v>0</v>
      </c>
      <c r="U120" s="30"/>
      <c r="V120" s="30"/>
      <c r="W120" s="30"/>
      <c r="X120" s="30"/>
      <c r="Y120" s="238"/>
      <c r="Z120" s="242"/>
      <c r="AA120" s="33"/>
      <c r="AB120" s="160"/>
      <c r="AC120" s="161"/>
      <c r="AD120" s="162"/>
      <c r="AE120" s="163"/>
      <c r="AF120" s="23">
        <f t="shared" si="16"/>
        <v>0</v>
      </c>
      <c r="AG120" s="161">
        <f t="shared" si="20"/>
        <v>0</v>
      </c>
      <c r="AH120" s="164">
        <f t="shared" si="23"/>
        <v>0</v>
      </c>
      <c r="AI120" s="23"/>
      <c r="AJ120" s="23"/>
      <c r="AK120" s="165"/>
      <c r="AL120" s="161"/>
      <c r="AM120" s="160"/>
      <c r="AN120" s="161"/>
      <c r="AO120" s="166"/>
      <c r="AP120" s="161"/>
      <c r="AQ120" s="161"/>
      <c r="AR120" s="161"/>
      <c r="AS120" s="167">
        <v>35000</v>
      </c>
      <c r="AT120" s="167">
        <v>30000</v>
      </c>
      <c r="AU120" s="167"/>
      <c r="AV120" s="167"/>
      <c r="AW120" s="167"/>
      <c r="AX120" s="167">
        <f t="shared" si="21"/>
        <v>65000</v>
      </c>
      <c r="AY120" s="168">
        <f t="shared" si="17"/>
        <v>-65000</v>
      </c>
      <c r="AZ120" s="168">
        <f t="shared" si="18"/>
        <v>-65000</v>
      </c>
      <c r="BA120" s="168">
        <f t="shared" si="19"/>
        <v>0</v>
      </c>
      <c r="BB120" s="168">
        <f t="shared" si="24"/>
        <v>-32500</v>
      </c>
      <c r="BC120" s="168">
        <f t="shared" si="25"/>
        <v>-29250</v>
      </c>
      <c r="BD120" s="169">
        <v>50000</v>
      </c>
      <c r="BE120" s="169"/>
      <c r="BF120" s="168">
        <f t="shared" si="26"/>
        <v>-79250</v>
      </c>
      <c r="BG120" s="33"/>
      <c r="BH120" s="16"/>
      <c r="BI120" s="16"/>
    </row>
    <row r="121" spans="1:61" ht="16.899999999999999">
      <c r="A121" s="36">
        <v>120</v>
      </c>
      <c r="B121" s="35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5"/>
      <c r="P121" s="33"/>
      <c r="Q121" s="33"/>
      <c r="R121" s="158"/>
      <c r="S121" s="158"/>
      <c r="T121" s="159">
        <f t="shared" si="22"/>
        <v>0</v>
      </c>
      <c r="U121" s="30"/>
      <c r="V121" s="30"/>
      <c r="W121" s="30"/>
      <c r="X121" s="30"/>
      <c r="Y121" s="238"/>
      <c r="Z121" s="242"/>
      <c r="AA121" s="33"/>
      <c r="AB121" s="160"/>
      <c r="AC121" s="161"/>
      <c r="AD121" s="162"/>
      <c r="AE121" s="163"/>
      <c r="AF121" s="23">
        <f t="shared" si="16"/>
        <v>0</v>
      </c>
      <c r="AG121" s="161">
        <f t="shared" si="20"/>
        <v>0</v>
      </c>
      <c r="AH121" s="164">
        <f t="shared" si="23"/>
        <v>0</v>
      </c>
      <c r="AI121" s="23"/>
      <c r="AJ121" s="23"/>
      <c r="AK121" s="165"/>
      <c r="AL121" s="161"/>
      <c r="AM121" s="166"/>
      <c r="AN121" s="161"/>
      <c r="AO121" s="166"/>
      <c r="AP121" s="161"/>
      <c r="AQ121" s="161"/>
      <c r="AR121" s="161"/>
      <c r="AS121" s="167">
        <v>35000</v>
      </c>
      <c r="AT121" s="167">
        <v>30000</v>
      </c>
      <c r="AU121" s="167"/>
      <c r="AV121" s="167"/>
      <c r="AW121" s="167"/>
      <c r="AX121" s="167">
        <f t="shared" si="21"/>
        <v>65000</v>
      </c>
      <c r="AY121" s="168">
        <f t="shared" si="17"/>
        <v>-65000</v>
      </c>
      <c r="AZ121" s="168">
        <f t="shared" si="18"/>
        <v>-65000</v>
      </c>
      <c r="BA121" s="168">
        <f t="shared" si="19"/>
        <v>0</v>
      </c>
      <c r="BB121" s="168">
        <f t="shared" si="24"/>
        <v>-32500</v>
      </c>
      <c r="BC121" s="168">
        <f t="shared" si="25"/>
        <v>-29250</v>
      </c>
      <c r="BD121" s="169">
        <v>50000</v>
      </c>
      <c r="BE121" s="169"/>
      <c r="BF121" s="168">
        <f t="shared" si="26"/>
        <v>-79250</v>
      </c>
      <c r="BG121" s="33"/>
      <c r="BH121" s="16"/>
      <c r="BI121" s="16"/>
    </row>
    <row r="122" spans="1:61" ht="16.899999999999999">
      <c r="A122" s="36">
        <v>121</v>
      </c>
      <c r="B122" s="35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5"/>
      <c r="P122" s="33"/>
      <c r="Q122" s="33"/>
      <c r="R122" s="158"/>
      <c r="S122" s="158"/>
      <c r="T122" s="159">
        <f t="shared" si="22"/>
        <v>0</v>
      </c>
      <c r="U122" s="30"/>
      <c r="V122" s="30"/>
      <c r="W122" s="30"/>
      <c r="X122" s="30"/>
      <c r="Y122" s="238"/>
      <c r="Z122" s="242"/>
      <c r="AA122" s="33"/>
      <c r="AB122" s="160"/>
      <c r="AC122" s="161"/>
      <c r="AD122" s="162"/>
      <c r="AE122" s="163"/>
      <c r="AF122" s="23">
        <f t="shared" si="16"/>
        <v>0</v>
      </c>
      <c r="AG122" s="161">
        <f t="shared" si="20"/>
        <v>0</v>
      </c>
      <c r="AH122" s="164">
        <f t="shared" si="23"/>
        <v>0</v>
      </c>
      <c r="AI122" s="23"/>
      <c r="AJ122" s="23"/>
      <c r="AK122" s="165"/>
      <c r="AL122" s="161"/>
      <c r="AM122" s="166"/>
      <c r="AN122" s="161"/>
      <c r="AO122" s="166"/>
      <c r="AP122" s="161"/>
      <c r="AQ122" s="161"/>
      <c r="AR122" s="161"/>
      <c r="AS122" s="167">
        <v>35000</v>
      </c>
      <c r="AT122" s="167">
        <v>30000</v>
      </c>
      <c r="AU122" s="167"/>
      <c r="AV122" s="167"/>
      <c r="AW122" s="167"/>
      <c r="AX122" s="167">
        <f t="shared" si="21"/>
        <v>65000</v>
      </c>
      <c r="AY122" s="168">
        <f t="shared" si="17"/>
        <v>-65000</v>
      </c>
      <c r="AZ122" s="168">
        <f t="shared" si="18"/>
        <v>-65000</v>
      </c>
      <c r="BA122" s="168">
        <f t="shared" si="19"/>
        <v>0</v>
      </c>
      <c r="BB122" s="168">
        <f t="shared" si="24"/>
        <v>-32500</v>
      </c>
      <c r="BC122" s="168">
        <f t="shared" si="25"/>
        <v>-29250</v>
      </c>
      <c r="BD122" s="169">
        <v>50000</v>
      </c>
      <c r="BE122" s="169"/>
      <c r="BF122" s="168">
        <f t="shared" si="26"/>
        <v>-79250</v>
      </c>
      <c r="BG122" s="33"/>
      <c r="BH122" s="16"/>
      <c r="BI122" s="16"/>
    </row>
    <row r="123" spans="1:61" ht="16.899999999999999">
      <c r="A123" s="36">
        <v>122</v>
      </c>
      <c r="B123" s="35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5"/>
      <c r="P123" s="33"/>
      <c r="Q123" s="33"/>
      <c r="R123" s="158"/>
      <c r="S123" s="158"/>
      <c r="T123" s="159">
        <f t="shared" si="22"/>
        <v>0</v>
      </c>
      <c r="U123" s="30"/>
      <c r="V123" s="30"/>
      <c r="W123" s="30"/>
      <c r="X123" s="30"/>
      <c r="Y123" s="238"/>
      <c r="Z123" s="242"/>
      <c r="AA123" s="33"/>
      <c r="AB123" s="160"/>
      <c r="AC123" s="161"/>
      <c r="AD123" s="162"/>
      <c r="AE123" s="163"/>
      <c r="AF123" s="23">
        <f t="shared" si="16"/>
        <v>0</v>
      </c>
      <c r="AG123" s="161">
        <f t="shared" si="20"/>
        <v>0</v>
      </c>
      <c r="AH123" s="164">
        <f t="shared" si="23"/>
        <v>0</v>
      </c>
      <c r="AI123" s="23"/>
      <c r="AJ123" s="23"/>
      <c r="AK123" s="165"/>
      <c r="AL123" s="161"/>
      <c r="AM123" s="166"/>
      <c r="AN123" s="161"/>
      <c r="AO123" s="166"/>
      <c r="AP123" s="161"/>
      <c r="AQ123" s="161"/>
      <c r="AR123" s="161"/>
      <c r="AS123" s="167">
        <v>35000</v>
      </c>
      <c r="AT123" s="167">
        <v>30000</v>
      </c>
      <c r="AU123" s="167"/>
      <c r="AV123" s="167"/>
      <c r="AW123" s="167"/>
      <c r="AX123" s="167">
        <f t="shared" si="21"/>
        <v>65000</v>
      </c>
      <c r="AY123" s="168">
        <f t="shared" si="17"/>
        <v>-65000</v>
      </c>
      <c r="AZ123" s="168">
        <f t="shared" si="18"/>
        <v>-65000</v>
      </c>
      <c r="BA123" s="168">
        <f t="shared" si="19"/>
        <v>0</v>
      </c>
      <c r="BB123" s="168">
        <f t="shared" si="24"/>
        <v>-32500</v>
      </c>
      <c r="BC123" s="168">
        <f t="shared" si="25"/>
        <v>-29250</v>
      </c>
      <c r="BD123" s="169">
        <v>50000</v>
      </c>
      <c r="BE123" s="169"/>
      <c r="BF123" s="168">
        <f t="shared" si="26"/>
        <v>-79250</v>
      </c>
      <c r="BG123" s="33"/>
      <c r="BH123" s="16"/>
      <c r="BI123" s="16"/>
    </row>
    <row r="124" spans="1:61" ht="16.899999999999999">
      <c r="A124" s="36">
        <v>123</v>
      </c>
      <c r="B124" s="35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5"/>
      <c r="P124" s="33"/>
      <c r="Q124" s="33"/>
      <c r="R124" s="158"/>
      <c r="S124" s="158"/>
      <c r="T124" s="159">
        <f t="shared" si="22"/>
        <v>0</v>
      </c>
      <c r="U124" s="30"/>
      <c r="V124" s="30"/>
      <c r="W124" s="30"/>
      <c r="X124" s="30"/>
      <c r="Y124" s="238"/>
      <c r="Z124" s="242"/>
      <c r="AA124" s="33"/>
      <c r="AB124" s="160"/>
      <c r="AC124" s="161"/>
      <c r="AD124" s="162"/>
      <c r="AE124" s="163"/>
      <c r="AF124" s="23">
        <f t="shared" si="16"/>
        <v>0</v>
      </c>
      <c r="AG124" s="161">
        <f t="shared" si="20"/>
        <v>0</v>
      </c>
      <c r="AH124" s="164">
        <f t="shared" si="23"/>
        <v>0</v>
      </c>
      <c r="AI124" s="23"/>
      <c r="AJ124" s="23"/>
      <c r="AK124" s="165"/>
      <c r="AL124" s="161"/>
      <c r="AM124" s="166"/>
      <c r="AN124" s="161"/>
      <c r="AO124" s="166"/>
      <c r="AP124" s="161"/>
      <c r="AQ124" s="161"/>
      <c r="AR124" s="161"/>
      <c r="AS124" s="167">
        <v>35000</v>
      </c>
      <c r="AT124" s="167">
        <v>30000</v>
      </c>
      <c r="AU124" s="167"/>
      <c r="AV124" s="167"/>
      <c r="AW124" s="167"/>
      <c r="AX124" s="167">
        <f t="shared" si="21"/>
        <v>65000</v>
      </c>
      <c r="AY124" s="168">
        <f t="shared" si="17"/>
        <v>-65000</v>
      </c>
      <c r="AZ124" s="168">
        <f t="shared" si="18"/>
        <v>-65000</v>
      </c>
      <c r="BA124" s="168">
        <f t="shared" si="19"/>
        <v>0</v>
      </c>
      <c r="BB124" s="168">
        <f t="shared" si="24"/>
        <v>-32500</v>
      </c>
      <c r="BC124" s="168">
        <f t="shared" si="25"/>
        <v>-29250</v>
      </c>
      <c r="BD124" s="169">
        <v>50000</v>
      </c>
      <c r="BE124" s="169"/>
      <c r="BF124" s="168">
        <f t="shared" si="26"/>
        <v>-79250</v>
      </c>
      <c r="BG124" s="33"/>
      <c r="BH124" s="16"/>
      <c r="BI124" s="16"/>
    </row>
    <row r="125" spans="1:61" ht="16.899999999999999">
      <c r="A125" s="36">
        <v>124</v>
      </c>
      <c r="B125" s="35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5"/>
      <c r="P125" s="33"/>
      <c r="Q125" s="33"/>
      <c r="R125" s="158"/>
      <c r="S125" s="158"/>
      <c r="T125" s="159">
        <f t="shared" si="22"/>
        <v>0</v>
      </c>
      <c r="U125" s="30"/>
      <c r="V125" s="30"/>
      <c r="W125" s="30"/>
      <c r="X125" s="30"/>
      <c r="Y125" s="238"/>
      <c r="Z125" s="242"/>
      <c r="AA125" s="33"/>
      <c r="AB125" s="160"/>
      <c r="AC125" s="161"/>
      <c r="AD125" s="162"/>
      <c r="AE125" s="163"/>
      <c r="AF125" s="23">
        <f t="shared" si="16"/>
        <v>0</v>
      </c>
      <c r="AG125" s="161">
        <f t="shared" si="20"/>
        <v>0</v>
      </c>
      <c r="AH125" s="164">
        <f t="shared" si="23"/>
        <v>0</v>
      </c>
      <c r="AI125" s="23"/>
      <c r="AJ125" s="23"/>
      <c r="AK125" s="165"/>
      <c r="AL125" s="161"/>
      <c r="AM125" s="166"/>
      <c r="AN125" s="161"/>
      <c r="AO125" s="166"/>
      <c r="AP125" s="161"/>
      <c r="AQ125" s="161"/>
      <c r="AR125" s="161"/>
      <c r="AS125" s="167">
        <v>35000</v>
      </c>
      <c r="AT125" s="167">
        <v>30000</v>
      </c>
      <c r="AU125" s="167"/>
      <c r="AV125" s="167"/>
      <c r="AW125" s="167"/>
      <c r="AX125" s="167">
        <f t="shared" si="21"/>
        <v>65000</v>
      </c>
      <c r="AY125" s="168">
        <f t="shared" si="17"/>
        <v>-65000</v>
      </c>
      <c r="AZ125" s="168">
        <f t="shared" si="18"/>
        <v>-65000</v>
      </c>
      <c r="BA125" s="168">
        <f t="shared" si="19"/>
        <v>0</v>
      </c>
      <c r="BB125" s="168">
        <f t="shared" si="24"/>
        <v>-32500</v>
      </c>
      <c r="BC125" s="168">
        <f t="shared" si="25"/>
        <v>-29250</v>
      </c>
      <c r="BD125" s="169">
        <v>50000</v>
      </c>
      <c r="BE125" s="169"/>
      <c r="BF125" s="168">
        <f t="shared" si="26"/>
        <v>-79250</v>
      </c>
      <c r="BG125" s="33"/>
      <c r="BH125" s="16"/>
      <c r="BI125" s="16"/>
    </row>
    <row r="126" spans="1:61" ht="16.899999999999999">
      <c r="A126" s="36">
        <v>125</v>
      </c>
      <c r="B126" s="35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5"/>
      <c r="P126" s="33"/>
      <c r="Q126" s="33"/>
      <c r="R126" s="158"/>
      <c r="S126" s="158"/>
      <c r="T126" s="159">
        <f t="shared" si="22"/>
        <v>0</v>
      </c>
      <c r="U126" s="30"/>
      <c r="V126" s="30"/>
      <c r="W126" s="30"/>
      <c r="X126" s="30"/>
      <c r="Y126" s="238"/>
      <c r="Z126" s="242"/>
      <c r="AA126" s="33"/>
      <c r="AB126" s="160"/>
      <c r="AC126" s="161"/>
      <c r="AD126" s="162"/>
      <c r="AE126" s="163"/>
      <c r="AF126" s="23">
        <f t="shared" si="16"/>
        <v>0</v>
      </c>
      <c r="AG126" s="161">
        <f t="shared" si="20"/>
        <v>0</v>
      </c>
      <c r="AH126" s="164">
        <f t="shared" si="23"/>
        <v>0</v>
      </c>
      <c r="AI126" s="23"/>
      <c r="AJ126" s="23"/>
      <c r="AK126" s="165"/>
      <c r="AL126" s="161"/>
      <c r="AM126" s="166"/>
      <c r="AN126" s="161"/>
      <c r="AO126" s="166"/>
      <c r="AP126" s="161"/>
      <c r="AQ126" s="161"/>
      <c r="AR126" s="161"/>
      <c r="AS126" s="167">
        <v>35000</v>
      </c>
      <c r="AT126" s="167">
        <v>30000</v>
      </c>
      <c r="AU126" s="167"/>
      <c r="AV126" s="167"/>
      <c r="AW126" s="167"/>
      <c r="AX126" s="167">
        <f t="shared" si="21"/>
        <v>65000</v>
      </c>
      <c r="AY126" s="168">
        <f t="shared" si="17"/>
        <v>-65000</v>
      </c>
      <c r="AZ126" s="168">
        <f t="shared" si="18"/>
        <v>-65000</v>
      </c>
      <c r="BA126" s="168">
        <f t="shared" si="19"/>
        <v>0</v>
      </c>
      <c r="BB126" s="168">
        <f t="shared" si="24"/>
        <v>-32500</v>
      </c>
      <c r="BC126" s="168">
        <f t="shared" si="25"/>
        <v>-29250</v>
      </c>
      <c r="BD126" s="169">
        <v>50000</v>
      </c>
      <c r="BE126" s="169"/>
      <c r="BF126" s="168">
        <f t="shared" si="26"/>
        <v>-79250</v>
      </c>
      <c r="BG126" s="33"/>
      <c r="BH126" s="16"/>
      <c r="BI126" s="16"/>
    </row>
    <row r="127" spans="1:61" ht="16.899999999999999">
      <c r="A127" s="36">
        <v>126</v>
      </c>
      <c r="B127" s="35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5"/>
      <c r="P127" s="33"/>
      <c r="Q127" s="33"/>
      <c r="R127" s="158"/>
      <c r="S127" s="158"/>
      <c r="T127" s="159">
        <f t="shared" si="22"/>
        <v>0</v>
      </c>
      <c r="U127" s="30"/>
      <c r="V127" s="30"/>
      <c r="W127" s="30"/>
      <c r="X127" s="30"/>
      <c r="Y127" s="238"/>
      <c r="Z127" s="242"/>
      <c r="AA127" s="33"/>
      <c r="AB127" s="160"/>
      <c r="AC127" s="161"/>
      <c r="AD127" s="162"/>
      <c r="AE127" s="163"/>
      <c r="AF127" s="23">
        <f t="shared" si="16"/>
        <v>0</v>
      </c>
      <c r="AG127" s="161">
        <f t="shared" si="20"/>
        <v>0</v>
      </c>
      <c r="AH127" s="164">
        <f t="shared" si="23"/>
        <v>0</v>
      </c>
      <c r="AI127" s="23"/>
      <c r="AJ127" s="23"/>
      <c r="AK127" s="165"/>
      <c r="AL127" s="161"/>
      <c r="AM127" s="166"/>
      <c r="AN127" s="161"/>
      <c r="AO127" s="166"/>
      <c r="AP127" s="161"/>
      <c r="AQ127" s="161"/>
      <c r="AR127" s="161"/>
      <c r="AS127" s="167">
        <v>35000</v>
      </c>
      <c r="AT127" s="167">
        <v>30000</v>
      </c>
      <c r="AU127" s="167"/>
      <c r="AV127" s="167"/>
      <c r="AW127" s="167"/>
      <c r="AX127" s="167">
        <f t="shared" si="21"/>
        <v>65000</v>
      </c>
      <c r="AY127" s="168">
        <f t="shared" si="17"/>
        <v>-65000</v>
      </c>
      <c r="AZ127" s="168">
        <f t="shared" si="18"/>
        <v>-65000</v>
      </c>
      <c r="BA127" s="168">
        <f t="shared" si="19"/>
        <v>0</v>
      </c>
      <c r="BB127" s="168">
        <f t="shared" si="24"/>
        <v>-32500</v>
      </c>
      <c r="BC127" s="168">
        <f t="shared" si="25"/>
        <v>-29250</v>
      </c>
      <c r="BD127" s="169">
        <v>50000</v>
      </c>
      <c r="BE127" s="169"/>
      <c r="BF127" s="168">
        <f t="shared" si="26"/>
        <v>-79250</v>
      </c>
      <c r="BG127" s="33"/>
      <c r="BH127" s="16"/>
      <c r="BI127" s="16"/>
    </row>
    <row r="128" spans="1:61" ht="16.899999999999999">
      <c r="A128" s="36">
        <v>127</v>
      </c>
      <c r="B128" s="35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5"/>
      <c r="P128" s="33"/>
      <c r="Q128" s="33"/>
      <c r="R128" s="158"/>
      <c r="S128" s="158"/>
      <c r="T128" s="159">
        <f t="shared" si="22"/>
        <v>0</v>
      </c>
      <c r="U128" s="30"/>
      <c r="V128" s="30"/>
      <c r="W128" s="30"/>
      <c r="X128" s="30"/>
      <c r="Y128" s="238"/>
      <c r="Z128" s="242"/>
      <c r="AA128" s="33"/>
      <c r="AB128" s="160"/>
      <c r="AC128" s="161"/>
      <c r="AD128" s="162"/>
      <c r="AE128" s="163"/>
      <c r="AF128" s="23">
        <f t="shared" si="16"/>
        <v>0</v>
      </c>
      <c r="AG128" s="161">
        <f t="shared" si="20"/>
        <v>0</v>
      </c>
      <c r="AH128" s="164">
        <f t="shared" si="23"/>
        <v>0</v>
      </c>
      <c r="AI128" s="23"/>
      <c r="AJ128" s="23"/>
      <c r="AK128" s="165"/>
      <c r="AL128" s="161"/>
      <c r="AM128" s="166"/>
      <c r="AN128" s="161"/>
      <c r="AO128" s="166"/>
      <c r="AP128" s="161"/>
      <c r="AQ128" s="161"/>
      <c r="AR128" s="161"/>
      <c r="AS128" s="167">
        <v>35000</v>
      </c>
      <c r="AT128" s="167">
        <v>30000</v>
      </c>
      <c r="AU128" s="167"/>
      <c r="AV128" s="167"/>
      <c r="AW128" s="167"/>
      <c r="AX128" s="167">
        <f t="shared" si="21"/>
        <v>65000</v>
      </c>
      <c r="AY128" s="168">
        <f t="shared" si="17"/>
        <v>-65000</v>
      </c>
      <c r="AZ128" s="168">
        <f t="shared" si="18"/>
        <v>-65000</v>
      </c>
      <c r="BA128" s="168">
        <f t="shared" si="19"/>
        <v>0</v>
      </c>
      <c r="BB128" s="168">
        <f t="shared" si="24"/>
        <v>-32500</v>
      </c>
      <c r="BC128" s="168">
        <f t="shared" si="25"/>
        <v>-29250</v>
      </c>
      <c r="BD128" s="169">
        <v>50000</v>
      </c>
      <c r="BE128" s="169"/>
      <c r="BF128" s="168">
        <f t="shared" si="26"/>
        <v>-79250</v>
      </c>
      <c r="BG128" s="33"/>
      <c r="BH128" s="16"/>
      <c r="BI128" s="16"/>
    </row>
    <row r="129" spans="1:61" ht="16.899999999999999">
      <c r="A129" s="36">
        <v>128</v>
      </c>
      <c r="B129" s="35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5"/>
      <c r="P129" s="33"/>
      <c r="Q129" s="33"/>
      <c r="R129" s="158"/>
      <c r="S129" s="158"/>
      <c r="T129" s="159">
        <f t="shared" si="22"/>
        <v>0</v>
      </c>
      <c r="U129" s="30"/>
      <c r="V129" s="30"/>
      <c r="W129" s="30"/>
      <c r="X129" s="30"/>
      <c r="Y129" s="238"/>
      <c r="Z129" s="242"/>
      <c r="AA129" s="33"/>
      <c r="AB129" s="160"/>
      <c r="AC129" s="161"/>
      <c r="AD129" s="162"/>
      <c r="AE129" s="163"/>
      <c r="AF129" s="23">
        <f t="shared" ref="AF129:AF192" si="27">SUM(Y129,AB129:AE129)</f>
        <v>0</v>
      </c>
      <c r="AG129" s="161">
        <f t="shared" si="20"/>
        <v>0</v>
      </c>
      <c r="AH129" s="164">
        <f t="shared" si="23"/>
        <v>0</v>
      </c>
      <c r="AI129" s="23"/>
      <c r="AJ129" s="23"/>
      <c r="AK129" s="166"/>
      <c r="AL129" s="161"/>
      <c r="AM129" s="166"/>
      <c r="AN129" s="161"/>
      <c r="AO129" s="166"/>
      <c r="AP129" s="161"/>
      <c r="AQ129" s="161"/>
      <c r="AR129" s="161"/>
      <c r="AS129" s="167">
        <v>35000</v>
      </c>
      <c r="AT129" s="167">
        <v>30000</v>
      </c>
      <c r="AU129" s="167"/>
      <c r="AV129" s="167"/>
      <c r="AW129" s="167"/>
      <c r="AX129" s="167">
        <f t="shared" si="21"/>
        <v>65000</v>
      </c>
      <c r="AY129" s="168">
        <f t="shared" ref="AY129:AY192" si="28">SUM(AF129-AB129)*Z129-AX129</f>
        <v>-65000</v>
      </c>
      <c r="AZ129" s="168">
        <f t="shared" ref="AZ129:AZ192" si="29">SUM(AY129-T129)</f>
        <v>-65000</v>
      </c>
      <c r="BA129" s="168">
        <f t="shared" ref="BA129:BA192" si="30">SUM(R129*0.09)</f>
        <v>0</v>
      </c>
      <c r="BB129" s="168">
        <f t="shared" si="24"/>
        <v>-32500</v>
      </c>
      <c r="BC129" s="168">
        <f t="shared" si="25"/>
        <v>-29250</v>
      </c>
      <c r="BD129" s="169">
        <v>50000</v>
      </c>
      <c r="BE129" s="169"/>
      <c r="BF129" s="168">
        <f t="shared" si="26"/>
        <v>-79250</v>
      </c>
      <c r="BG129" s="33"/>
      <c r="BH129" s="16"/>
      <c r="BI129" s="16"/>
    </row>
    <row r="130" spans="1:61" ht="16.899999999999999">
      <c r="A130" s="36">
        <v>129</v>
      </c>
      <c r="B130" s="35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5"/>
      <c r="P130" s="33"/>
      <c r="Q130" s="33"/>
      <c r="R130" s="158"/>
      <c r="S130" s="158"/>
      <c r="T130" s="159">
        <f t="shared" si="22"/>
        <v>0</v>
      </c>
      <c r="U130" s="30"/>
      <c r="V130" s="30"/>
      <c r="W130" s="30"/>
      <c r="X130" s="30"/>
      <c r="Y130" s="238"/>
      <c r="Z130" s="242"/>
      <c r="AA130" s="33"/>
      <c r="AB130" s="160"/>
      <c r="AC130" s="161"/>
      <c r="AD130" s="162"/>
      <c r="AE130" s="163"/>
      <c r="AF130" s="23">
        <f t="shared" si="27"/>
        <v>0</v>
      </c>
      <c r="AG130" s="161">
        <f t="shared" ref="AG130:AG193" si="31">SUM(AL130+AN130+AP130+AQ130-AR130)</f>
        <v>0</v>
      </c>
      <c r="AH130" s="164">
        <f t="shared" si="23"/>
        <v>0</v>
      </c>
      <c r="AI130" s="23"/>
      <c r="AJ130" s="23"/>
      <c r="AK130" s="165"/>
      <c r="AL130" s="161"/>
      <c r="AM130" s="166"/>
      <c r="AN130" s="161"/>
      <c r="AO130" s="166"/>
      <c r="AP130" s="161"/>
      <c r="AQ130" s="161"/>
      <c r="AR130" s="161"/>
      <c r="AS130" s="167">
        <v>35000</v>
      </c>
      <c r="AT130" s="167">
        <v>30000</v>
      </c>
      <c r="AU130" s="167"/>
      <c r="AV130" s="167"/>
      <c r="AW130" s="167"/>
      <c r="AX130" s="167">
        <f t="shared" ref="AX130:AX193" si="32">SUM(AS130:AW130)</f>
        <v>65000</v>
      </c>
      <c r="AY130" s="168">
        <f t="shared" si="28"/>
        <v>-65000</v>
      </c>
      <c r="AZ130" s="168">
        <f t="shared" si="29"/>
        <v>-65000</v>
      </c>
      <c r="BA130" s="168">
        <f t="shared" si="30"/>
        <v>0</v>
      </c>
      <c r="BB130" s="168">
        <f t="shared" si="24"/>
        <v>-32500</v>
      </c>
      <c r="BC130" s="168">
        <f t="shared" si="25"/>
        <v>-29250</v>
      </c>
      <c r="BD130" s="169">
        <v>50000</v>
      </c>
      <c r="BE130" s="169"/>
      <c r="BF130" s="168">
        <f t="shared" si="26"/>
        <v>-79250</v>
      </c>
      <c r="BG130" s="33"/>
      <c r="BH130" s="16"/>
      <c r="BI130" s="16"/>
    </row>
    <row r="131" spans="1:61" ht="16.899999999999999">
      <c r="A131" s="36">
        <v>130</v>
      </c>
      <c r="B131" s="35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5"/>
      <c r="P131" s="33"/>
      <c r="Q131" s="33"/>
      <c r="R131" s="158"/>
      <c r="S131" s="158"/>
      <c r="T131" s="159">
        <f t="shared" si="22"/>
        <v>0</v>
      </c>
      <c r="U131" s="30"/>
      <c r="V131" s="30"/>
      <c r="W131" s="30"/>
      <c r="X131" s="30"/>
      <c r="Y131" s="238"/>
      <c r="Z131" s="242"/>
      <c r="AA131" s="33"/>
      <c r="AB131" s="160"/>
      <c r="AC131" s="161"/>
      <c r="AD131" s="162"/>
      <c r="AE131" s="163"/>
      <c r="AF131" s="23">
        <f t="shared" si="27"/>
        <v>0</v>
      </c>
      <c r="AG131" s="161">
        <f t="shared" si="31"/>
        <v>0</v>
      </c>
      <c r="AH131" s="164">
        <f t="shared" si="23"/>
        <v>0</v>
      </c>
      <c r="AI131" s="23"/>
      <c r="AJ131" s="23"/>
      <c r="AK131" s="165"/>
      <c r="AL131" s="161"/>
      <c r="AM131" s="166"/>
      <c r="AN131" s="161"/>
      <c r="AO131" s="166"/>
      <c r="AP131" s="161"/>
      <c r="AQ131" s="161"/>
      <c r="AR131" s="161"/>
      <c r="AS131" s="167">
        <v>35000</v>
      </c>
      <c r="AT131" s="167">
        <v>30000</v>
      </c>
      <c r="AU131" s="167"/>
      <c r="AV131" s="167"/>
      <c r="AW131" s="167"/>
      <c r="AX131" s="167">
        <f t="shared" si="32"/>
        <v>65000</v>
      </c>
      <c r="AY131" s="168">
        <f t="shared" si="28"/>
        <v>-65000</v>
      </c>
      <c r="AZ131" s="168">
        <f t="shared" si="29"/>
        <v>-65000</v>
      </c>
      <c r="BA131" s="168">
        <f t="shared" si="30"/>
        <v>0</v>
      </c>
      <c r="BB131" s="168">
        <f t="shared" si="24"/>
        <v>-32500</v>
      </c>
      <c r="BC131" s="168">
        <f t="shared" si="25"/>
        <v>-29250</v>
      </c>
      <c r="BD131" s="169">
        <v>50000</v>
      </c>
      <c r="BE131" s="169"/>
      <c r="BF131" s="168">
        <f t="shared" si="26"/>
        <v>-79250</v>
      </c>
      <c r="BG131" s="33"/>
      <c r="BH131" s="16"/>
      <c r="BI131" s="16"/>
    </row>
    <row r="132" spans="1:61" ht="16.899999999999999">
      <c r="A132" s="36">
        <v>131</v>
      </c>
      <c r="B132" s="35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5"/>
      <c r="P132" s="33"/>
      <c r="Q132" s="33"/>
      <c r="R132" s="158"/>
      <c r="S132" s="158"/>
      <c r="T132" s="159">
        <f t="shared" si="22"/>
        <v>0</v>
      </c>
      <c r="U132" s="30"/>
      <c r="V132" s="30"/>
      <c r="W132" s="30"/>
      <c r="X132" s="30"/>
      <c r="Y132" s="238"/>
      <c r="Z132" s="242"/>
      <c r="AA132" s="33"/>
      <c r="AB132" s="160"/>
      <c r="AC132" s="161"/>
      <c r="AD132" s="162"/>
      <c r="AE132" s="163"/>
      <c r="AF132" s="23">
        <f t="shared" si="27"/>
        <v>0</v>
      </c>
      <c r="AG132" s="161">
        <f t="shared" si="31"/>
        <v>0</v>
      </c>
      <c r="AH132" s="164">
        <f t="shared" si="23"/>
        <v>0</v>
      </c>
      <c r="AI132" s="23"/>
      <c r="AJ132" s="23"/>
      <c r="AK132" s="165"/>
      <c r="AL132" s="161"/>
      <c r="AM132" s="166"/>
      <c r="AN132" s="161"/>
      <c r="AO132" s="166"/>
      <c r="AP132" s="161"/>
      <c r="AQ132" s="161"/>
      <c r="AR132" s="161"/>
      <c r="AS132" s="167">
        <v>35000</v>
      </c>
      <c r="AT132" s="167">
        <v>30000</v>
      </c>
      <c r="AU132" s="167"/>
      <c r="AV132" s="167"/>
      <c r="AW132" s="167"/>
      <c r="AX132" s="167">
        <f t="shared" si="32"/>
        <v>65000</v>
      </c>
      <c r="AY132" s="168">
        <f t="shared" si="28"/>
        <v>-65000</v>
      </c>
      <c r="AZ132" s="168">
        <f t="shared" si="29"/>
        <v>-65000</v>
      </c>
      <c r="BA132" s="168">
        <f t="shared" si="30"/>
        <v>0</v>
      </c>
      <c r="BB132" s="168">
        <f t="shared" si="24"/>
        <v>-32500</v>
      </c>
      <c r="BC132" s="168">
        <f t="shared" si="25"/>
        <v>-29250</v>
      </c>
      <c r="BD132" s="169">
        <v>50000</v>
      </c>
      <c r="BE132" s="169"/>
      <c r="BF132" s="168">
        <f t="shared" si="26"/>
        <v>-79250</v>
      </c>
      <c r="BG132" s="33"/>
      <c r="BH132" s="16"/>
      <c r="BI132" s="16"/>
    </row>
    <row r="133" spans="1:61" ht="16.899999999999999">
      <c r="A133" s="36">
        <v>132</v>
      </c>
      <c r="B133" s="35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5"/>
      <c r="P133" s="33"/>
      <c r="Q133" s="33"/>
      <c r="R133" s="158"/>
      <c r="S133" s="158"/>
      <c r="T133" s="159">
        <f t="shared" si="22"/>
        <v>0</v>
      </c>
      <c r="U133" s="30"/>
      <c r="V133" s="30"/>
      <c r="W133" s="30"/>
      <c r="X133" s="30"/>
      <c r="Y133" s="238"/>
      <c r="Z133" s="242"/>
      <c r="AA133" s="33"/>
      <c r="AB133" s="160"/>
      <c r="AC133" s="161"/>
      <c r="AD133" s="162"/>
      <c r="AE133" s="163"/>
      <c r="AF133" s="23">
        <f t="shared" si="27"/>
        <v>0</v>
      </c>
      <c r="AG133" s="161">
        <f t="shared" si="31"/>
        <v>0</v>
      </c>
      <c r="AH133" s="164">
        <f t="shared" si="23"/>
        <v>0</v>
      </c>
      <c r="AI133" s="23"/>
      <c r="AJ133" s="23"/>
      <c r="AK133" s="165"/>
      <c r="AL133" s="161"/>
      <c r="AM133" s="166"/>
      <c r="AN133" s="161"/>
      <c r="AO133" s="166"/>
      <c r="AP133" s="161"/>
      <c r="AQ133" s="161"/>
      <c r="AR133" s="161"/>
      <c r="AS133" s="167">
        <v>35000</v>
      </c>
      <c r="AT133" s="167">
        <v>30000</v>
      </c>
      <c r="AU133" s="167"/>
      <c r="AV133" s="167"/>
      <c r="AW133" s="167"/>
      <c r="AX133" s="167">
        <f t="shared" si="32"/>
        <v>65000</v>
      </c>
      <c r="AY133" s="168">
        <f t="shared" si="28"/>
        <v>-65000</v>
      </c>
      <c r="AZ133" s="168">
        <f t="shared" si="29"/>
        <v>-65000</v>
      </c>
      <c r="BA133" s="168">
        <f t="shared" si="30"/>
        <v>0</v>
      </c>
      <c r="BB133" s="168">
        <f t="shared" si="24"/>
        <v>-32500</v>
      </c>
      <c r="BC133" s="168">
        <f t="shared" si="25"/>
        <v>-29250</v>
      </c>
      <c r="BD133" s="169">
        <v>50000</v>
      </c>
      <c r="BE133" s="169"/>
      <c r="BF133" s="168">
        <f t="shared" si="26"/>
        <v>-79250</v>
      </c>
      <c r="BG133" s="33"/>
      <c r="BH133" s="16"/>
      <c r="BI133" s="16"/>
    </row>
    <row r="134" spans="1:61" ht="16.899999999999999">
      <c r="A134" s="36">
        <v>133</v>
      </c>
      <c r="B134" s="35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5"/>
      <c r="P134" s="33"/>
      <c r="Q134" s="33"/>
      <c r="R134" s="158"/>
      <c r="S134" s="158"/>
      <c r="T134" s="159">
        <f t="shared" si="22"/>
        <v>0</v>
      </c>
      <c r="U134" s="30"/>
      <c r="V134" s="30"/>
      <c r="W134" s="30"/>
      <c r="X134" s="30"/>
      <c r="Y134" s="238"/>
      <c r="Z134" s="242"/>
      <c r="AA134" s="33"/>
      <c r="AB134" s="160"/>
      <c r="AC134" s="161"/>
      <c r="AD134" s="162"/>
      <c r="AE134" s="163"/>
      <c r="AF134" s="23">
        <f t="shared" si="27"/>
        <v>0</v>
      </c>
      <c r="AG134" s="161">
        <f t="shared" si="31"/>
        <v>0</v>
      </c>
      <c r="AH134" s="164">
        <f t="shared" si="23"/>
        <v>0</v>
      </c>
      <c r="AI134" s="23"/>
      <c r="AJ134" s="23"/>
      <c r="AK134" s="165"/>
      <c r="AL134" s="161"/>
      <c r="AM134" s="166"/>
      <c r="AN134" s="161"/>
      <c r="AO134" s="166"/>
      <c r="AP134" s="161"/>
      <c r="AQ134" s="161"/>
      <c r="AR134" s="161"/>
      <c r="AS134" s="167">
        <v>35000</v>
      </c>
      <c r="AT134" s="167">
        <v>30000</v>
      </c>
      <c r="AU134" s="167"/>
      <c r="AV134" s="167"/>
      <c r="AW134" s="167"/>
      <c r="AX134" s="167">
        <f t="shared" si="32"/>
        <v>65000</v>
      </c>
      <c r="AY134" s="168">
        <f t="shared" si="28"/>
        <v>-65000</v>
      </c>
      <c r="AZ134" s="168">
        <f t="shared" si="29"/>
        <v>-65000</v>
      </c>
      <c r="BA134" s="168">
        <f t="shared" si="30"/>
        <v>0</v>
      </c>
      <c r="BB134" s="168">
        <f t="shared" si="24"/>
        <v>-32500</v>
      </c>
      <c r="BC134" s="168">
        <f t="shared" si="25"/>
        <v>-29250</v>
      </c>
      <c r="BD134" s="169">
        <v>50000</v>
      </c>
      <c r="BE134" s="169"/>
      <c r="BF134" s="168">
        <f t="shared" si="26"/>
        <v>-79250</v>
      </c>
      <c r="BG134" s="33"/>
      <c r="BH134" s="16"/>
      <c r="BI134" s="16"/>
    </row>
    <row r="135" spans="1:61" ht="16.899999999999999">
      <c r="A135" s="36">
        <v>134</v>
      </c>
      <c r="B135" s="35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5"/>
      <c r="P135" s="33"/>
      <c r="Q135" s="33"/>
      <c r="R135" s="158"/>
      <c r="S135" s="158"/>
      <c r="T135" s="159">
        <f t="shared" si="22"/>
        <v>0</v>
      </c>
      <c r="U135" s="30"/>
      <c r="V135" s="30"/>
      <c r="W135" s="30"/>
      <c r="X135" s="30"/>
      <c r="Y135" s="238"/>
      <c r="Z135" s="242"/>
      <c r="AA135" s="33"/>
      <c r="AB135" s="160"/>
      <c r="AC135" s="161"/>
      <c r="AD135" s="162"/>
      <c r="AE135" s="163"/>
      <c r="AF135" s="23">
        <f t="shared" si="27"/>
        <v>0</v>
      </c>
      <c r="AG135" s="161">
        <f t="shared" si="31"/>
        <v>0</v>
      </c>
      <c r="AH135" s="164">
        <f t="shared" si="23"/>
        <v>0</v>
      </c>
      <c r="AI135" s="37"/>
      <c r="AJ135" s="37"/>
      <c r="AK135" s="165"/>
      <c r="AL135" s="161"/>
      <c r="AM135" s="166"/>
      <c r="AN135" s="161"/>
      <c r="AO135" s="166"/>
      <c r="AP135" s="161"/>
      <c r="AQ135" s="161"/>
      <c r="AR135" s="161"/>
      <c r="AS135" s="167">
        <v>35000</v>
      </c>
      <c r="AT135" s="167">
        <v>30000</v>
      </c>
      <c r="AU135" s="167"/>
      <c r="AV135" s="167"/>
      <c r="AW135" s="167"/>
      <c r="AX135" s="167">
        <f t="shared" si="32"/>
        <v>65000</v>
      </c>
      <c r="AY135" s="168">
        <f t="shared" si="28"/>
        <v>-65000</v>
      </c>
      <c r="AZ135" s="168">
        <f t="shared" si="29"/>
        <v>-65000</v>
      </c>
      <c r="BA135" s="168">
        <f t="shared" si="30"/>
        <v>0</v>
      </c>
      <c r="BB135" s="168">
        <f t="shared" si="24"/>
        <v>-32500</v>
      </c>
      <c r="BC135" s="168">
        <f t="shared" si="25"/>
        <v>-29250</v>
      </c>
      <c r="BD135" s="169">
        <v>50000</v>
      </c>
      <c r="BE135" s="169"/>
      <c r="BF135" s="168">
        <f t="shared" si="26"/>
        <v>-79250</v>
      </c>
      <c r="BG135" s="33"/>
      <c r="BH135" s="16"/>
      <c r="BI135" s="16"/>
    </row>
    <row r="136" spans="1:61" ht="16.899999999999999">
      <c r="A136" s="36">
        <v>135</v>
      </c>
      <c r="B136" s="35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5"/>
      <c r="P136" s="33"/>
      <c r="Q136" s="33"/>
      <c r="R136" s="158"/>
      <c r="S136" s="158"/>
      <c r="T136" s="159">
        <f t="shared" si="22"/>
        <v>0</v>
      </c>
      <c r="U136" s="30"/>
      <c r="V136" s="30"/>
      <c r="W136" s="30"/>
      <c r="X136" s="30"/>
      <c r="Y136" s="238"/>
      <c r="Z136" s="242"/>
      <c r="AA136" s="33"/>
      <c r="AB136" s="160"/>
      <c r="AC136" s="161"/>
      <c r="AD136" s="162"/>
      <c r="AE136" s="163"/>
      <c r="AF136" s="23">
        <f t="shared" si="27"/>
        <v>0</v>
      </c>
      <c r="AG136" s="161">
        <f t="shared" si="31"/>
        <v>0</v>
      </c>
      <c r="AH136" s="164">
        <f t="shared" si="23"/>
        <v>0</v>
      </c>
      <c r="AI136" s="23"/>
      <c r="AJ136" s="23"/>
      <c r="AK136" s="165"/>
      <c r="AL136" s="161"/>
      <c r="AM136" s="166"/>
      <c r="AN136" s="161"/>
      <c r="AO136" s="166"/>
      <c r="AP136" s="161"/>
      <c r="AQ136" s="161"/>
      <c r="AR136" s="161"/>
      <c r="AS136" s="167">
        <v>35000</v>
      </c>
      <c r="AT136" s="167">
        <v>30000</v>
      </c>
      <c r="AU136" s="167"/>
      <c r="AV136" s="167"/>
      <c r="AW136" s="167"/>
      <c r="AX136" s="167">
        <f t="shared" si="32"/>
        <v>65000</v>
      </c>
      <c r="AY136" s="168">
        <f t="shared" si="28"/>
        <v>-65000</v>
      </c>
      <c r="AZ136" s="168">
        <f t="shared" si="29"/>
        <v>-65000</v>
      </c>
      <c r="BA136" s="168">
        <f t="shared" si="30"/>
        <v>0</v>
      </c>
      <c r="BB136" s="168">
        <f t="shared" si="24"/>
        <v>-32500</v>
      </c>
      <c r="BC136" s="168">
        <f t="shared" si="25"/>
        <v>-29250</v>
      </c>
      <c r="BD136" s="169">
        <v>50000</v>
      </c>
      <c r="BE136" s="169"/>
      <c r="BF136" s="168">
        <f t="shared" si="26"/>
        <v>-79250</v>
      </c>
      <c r="BG136" s="33"/>
      <c r="BH136" s="16"/>
      <c r="BI136" s="16"/>
    </row>
    <row r="137" spans="1:61" ht="16.899999999999999">
      <c r="A137" s="36">
        <v>136</v>
      </c>
      <c r="B137" s="35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5"/>
      <c r="P137" s="33"/>
      <c r="Q137" s="33"/>
      <c r="R137" s="158"/>
      <c r="S137" s="158"/>
      <c r="T137" s="159">
        <f t="shared" si="22"/>
        <v>0</v>
      </c>
      <c r="U137" s="30"/>
      <c r="V137" s="30"/>
      <c r="W137" s="30"/>
      <c r="X137" s="30"/>
      <c r="Y137" s="238"/>
      <c r="Z137" s="242"/>
      <c r="AA137" s="33"/>
      <c r="AB137" s="160"/>
      <c r="AC137" s="161"/>
      <c r="AD137" s="162"/>
      <c r="AE137" s="163"/>
      <c r="AF137" s="23">
        <f t="shared" si="27"/>
        <v>0</v>
      </c>
      <c r="AG137" s="161">
        <f t="shared" si="31"/>
        <v>0</v>
      </c>
      <c r="AH137" s="164">
        <f t="shared" si="23"/>
        <v>0</v>
      </c>
      <c r="AI137" s="23"/>
      <c r="AJ137" s="23"/>
      <c r="AK137" s="165"/>
      <c r="AL137" s="161"/>
      <c r="AM137" s="166"/>
      <c r="AN137" s="161"/>
      <c r="AO137" s="166"/>
      <c r="AP137" s="161"/>
      <c r="AQ137" s="161"/>
      <c r="AR137" s="161"/>
      <c r="AS137" s="167">
        <v>35000</v>
      </c>
      <c r="AT137" s="167">
        <v>30000</v>
      </c>
      <c r="AU137" s="167"/>
      <c r="AV137" s="167"/>
      <c r="AW137" s="167"/>
      <c r="AX137" s="167">
        <f t="shared" si="32"/>
        <v>65000</v>
      </c>
      <c r="AY137" s="168">
        <f t="shared" si="28"/>
        <v>-65000</v>
      </c>
      <c r="AZ137" s="168">
        <f t="shared" si="29"/>
        <v>-65000</v>
      </c>
      <c r="BA137" s="168">
        <f t="shared" si="30"/>
        <v>0</v>
      </c>
      <c r="BB137" s="168">
        <f t="shared" si="24"/>
        <v>-32500</v>
      </c>
      <c r="BC137" s="168">
        <f t="shared" si="25"/>
        <v>-29250</v>
      </c>
      <c r="BD137" s="169">
        <v>50000</v>
      </c>
      <c r="BE137" s="169"/>
      <c r="BF137" s="168">
        <f t="shared" si="26"/>
        <v>-79250</v>
      </c>
      <c r="BG137" s="33"/>
      <c r="BH137" s="16"/>
      <c r="BI137" s="16"/>
    </row>
    <row r="138" spans="1:61" ht="16.899999999999999">
      <c r="A138" s="36">
        <v>137</v>
      </c>
      <c r="B138" s="35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5"/>
      <c r="P138" s="33"/>
      <c r="Q138" s="33"/>
      <c r="R138" s="158"/>
      <c r="S138" s="158"/>
      <c r="T138" s="159">
        <f t="shared" si="22"/>
        <v>0</v>
      </c>
      <c r="U138" s="30"/>
      <c r="V138" s="30"/>
      <c r="W138" s="30"/>
      <c r="X138" s="30"/>
      <c r="Y138" s="238"/>
      <c r="Z138" s="242"/>
      <c r="AA138" s="33"/>
      <c r="AB138" s="160"/>
      <c r="AC138" s="161"/>
      <c r="AD138" s="162"/>
      <c r="AE138" s="163"/>
      <c r="AF138" s="23">
        <f t="shared" si="27"/>
        <v>0</v>
      </c>
      <c r="AG138" s="161">
        <f t="shared" si="31"/>
        <v>0</v>
      </c>
      <c r="AH138" s="164">
        <f t="shared" si="23"/>
        <v>0</v>
      </c>
      <c r="AI138" s="23"/>
      <c r="AJ138" s="23"/>
      <c r="AK138" s="165"/>
      <c r="AL138" s="161"/>
      <c r="AM138" s="166"/>
      <c r="AN138" s="161"/>
      <c r="AO138" s="166"/>
      <c r="AP138" s="161"/>
      <c r="AQ138" s="161"/>
      <c r="AR138" s="161"/>
      <c r="AS138" s="167">
        <v>35000</v>
      </c>
      <c r="AT138" s="167">
        <v>30000</v>
      </c>
      <c r="AU138" s="167"/>
      <c r="AV138" s="167"/>
      <c r="AW138" s="167"/>
      <c r="AX138" s="167">
        <f t="shared" si="32"/>
        <v>65000</v>
      </c>
      <c r="AY138" s="168">
        <f t="shared" si="28"/>
        <v>-65000</v>
      </c>
      <c r="AZ138" s="168">
        <f t="shared" si="29"/>
        <v>-65000</v>
      </c>
      <c r="BA138" s="168">
        <f t="shared" si="30"/>
        <v>0</v>
      </c>
      <c r="BB138" s="168">
        <f t="shared" si="24"/>
        <v>-32500</v>
      </c>
      <c r="BC138" s="168">
        <f t="shared" si="25"/>
        <v>-29250</v>
      </c>
      <c r="BD138" s="169">
        <v>50000</v>
      </c>
      <c r="BE138" s="169"/>
      <c r="BF138" s="168">
        <f t="shared" si="26"/>
        <v>-79250</v>
      </c>
      <c r="BG138" s="33"/>
      <c r="BH138" s="16"/>
      <c r="BI138" s="16"/>
    </row>
    <row r="139" spans="1:61" ht="16.899999999999999">
      <c r="A139" s="36">
        <v>138</v>
      </c>
      <c r="B139" s="35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5"/>
      <c r="P139" s="33"/>
      <c r="Q139" s="33"/>
      <c r="R139" s="158"/>
      <c r="S139" s="158"/>
      <c r="T139" s="159">
        <f t="shared" si="22"/>
        <v>0</v>
      </c>
      <c r="U139" s="30"/>
      <c r="V139" s="30"/>
      <c r="W139" s="30"/>
      <c r="X139" s="30"/>
      <c r="Y139" s="238"/>
      <c r="Z139" s="242"/>
      <c r="AA139" s="33"/>
      <c r="AB139" s="160"/>
      <c r="AC139" s="161"/>
      <c r="AD139" s="162"/>
      <c r="AE139" s="163"/>
      <c r="AF139" s="23">
        <f t="shared" si="27"/>
        <v>0</v>
      </c>
      <c r="AG139" s="161">
        <f t="shared" si="31"/>
        <v>0</v>
      </c>
      <c r="AH139" s="164">
        <f t="shared" si="23"/>
        <v>0</v>
      </c>
      <c r="AI139" s="37"/>
      <c r="AJ139" s="37"/>
      <c r="AK139" s="165"/>
      <c r="AL139" s="161"/>
      <c r="AM139" s="166"/>
      <c r="AN139" s="161"/>
      <c r="AO139" s="166"/>
      <c r="AP139" s="161"/>
      <c r="AQ139" s="161"/>
      <c r="AR139" s="161"/>
      <c r="AS139" s="167">
        <v>35000</v>
      </c>
      <c r="AT139" s="167">
        <v>30000</v>
      </c>
      <c r="AU139" s="167"/>
      <c r="AV139" s="167"/>
      <c r="AW139" s="167"/>
      <c r="AX139" s="167">
        <f t="shared" si="32"/>
        <v>65000</v>
      </c>
      <c r="AY139" s="168">
        <f t="shared" si="28"/>
        <v>-65000</v>
      </c>
      <c r="AZ139" s="168">
        <f t="shared" si="29"/>
        <v>-65000</v>
      </c>
      <c r="BA139" s="168">
        <f t="shared" si="30"/>
        <v>0</v>
      </c>
      <c r="BB139" s="168">
        <f t="shared" si="24"/>
        <v>-32500</v>
      </c>
      <c r="BC139" s="168">
        <f t="shared" si="25"/>
        <v>-29250</v>
      </c>
      <c r="BD139" s="169">
        <v>50000</v>
      </c>
      <c r="BE139" s="169"/>
      <c r="BF139" s="168">
        <f t="shared" si="26"/>
        <v>-79250</v>
      </c>
      <c r="BG139" s="33"/>
      <c r="BH139" s="16"/>
      <c r="BI139" s="16"/>
    </row>
    <row r="140" spans="1:61" ht="16.899999999999999">
      <c r="A140" s="36">
        <v>139</v>
      </c>
      <c r="B140" s="35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5"/>
      <c r="P140" s="33"/>
      <c r="Q140" s="33"/>
      <c r="R140" s="158"/>
      <c r="S140" s="158"/>
      <c r="T140" s="159">
        <f t="shared" si="22"/>
        <v>0</v>
      </c>
      <c r="U140" s="30"/>
      <c r="V140" s="30"/>
      <c r="W140" s="30"/>
      <c r="X140" s="30"/>
      <c r="Y140" s="238"/>
      <c r="Z140" s="242"/>
      <c r="AA140" s="33"/>
      <c r="AB140" s="160"/>
      <c r="AC140" s="161"/>
      <c r="AD140" s="162"/>
      <c r="AE140" s="163"/>
      <c r="AF140" s="23">
        <f t="shared" si="27"/>
        <v>0</v>
      </c>
      <c r="AG140" s="161">
        <f t="shared" si="31"/>
        <v>0</v>
      </c>
      <c r="AH140" s="164">
        <f t="shared" si="23"/>
        <v>0</v>
      </c>
      <c r="AI140" s="23"/>
      <c r="AJ140" s="23"/>
      <c r="AK140" s="165"/>
      <c r="AL140" s="161"/>
      <c r="AM140" s="166"/>
      <c r="AN140" s="161"/>
      <c r="AO140" s="166"/>
      <c r="AP140" s="161"/>
      <c r="AQ140" s="161"/>
      <c r="AR140" s="161"/>
      <c r="AS140" s="167">
        <v>35000</v>
      </c>
      <c r="AT140" s="167">
        <v>30000</v>
      </c>
      <c r="AU140" s="167"/>
      <c r="AV140" s="167"/>
      <c r="AW140" s="167"/>
      <c r="AX140" s="167">
        <f t="shared" si="32"/>
        <v>65000</v>
      </c>
      <c r="AY140" s="168">
        <f t="shared" si="28"/>
        <v>-65000</v>
      </c>
      <c r="AZ140" s="168">
        <f t="shared" si="29"/>
        <v>-65000</v>
      </c>
      <c r="BA140" s="168">
        <f t="shared" si="30"/>
        <v>0</v>
      </c>
      <c r="BB140" s="168">
        <f t="shared" si="24"/>
        <v>-32500</v>
      </c>
      <c r="BC140" s="168">
        <f t="shared" si="25"/>
        <v>-29250</v>
      </c>
      <c r="BD140" s="169">
        <v>50000</v>
      </c>
      <c r="BE140" s="169"/>
      <c r="BF140" s="168">
        <f t="shared" si="26"/>
        <v>-79250</v>
      </c>
      <c r="BG140" s="33"/>
      <c r="BH140" s="16"/>
      <c r="BI140" s="16"/>
    </row>
    <row r="141" spans="1:61" ht="16.899999999999999">
      <c r="A141" s="36">
        <v>140</v>
      </c>
      <c r="B141" s="35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5"/>
      <c r="P141" s="33"/>
      <c r="Q141" s="33"/>
      <c r="R141" s="158"/>
      <c r="S141" s="158"/>
      <c r="T141" s="159">
        <f t="shared" si="22"/>
        <v>0</v>
      </c>
      <c r="U141" s="30"/>
      <c r="V141" s="30"/>
      <c r="W141" s="30"/>
      <c r="X141" s="30"/>
      <c r="Y141" s="238"/>
      <c r="Z141" s="242"/>
      <c r="AA141" s="33"/>
      <c r="AB141" s="160"/>
      <c r="AC141" s="161"/>
      <c r="AD141" s="162"/>
      <c r="AE141" s="163"/>
      <c r="AF141" s="23">
        <f t="shared" si="27"/>
        <v>0</v>
      </c>
      <c r="AG141" s="161">
        <f t="shared" si="31"/>
        <v>0</v>
      </c>
      <c r="AH141" s="164">
        <f t="shared" si="23"/>
        <v>0</v>
      </c>
      <c r="AI141" s="23"/>
      <c r="AJ141" s="23"/>
      <c r="AK141" s="165"/>
      <c r="AL141" s="161"/>
      <c r="AM141" s="166"/>
      <c r="AN141" s="161"/>
      <c r="AO141" s="166"/>
      <c r="AP141" s="161"/>
      <c r="AQ141" s="161"/>
      <c r="AR141" s="161"/>
      <c r="AS141" s="167">
        <v>35000</v>
      </c>
      <c r="AT141" s="167">
        <v>30000</v>
      </c>
      <c r="AU141" s="167"/>
      <c r="AV141" s="167"/>
      <c r="AW141" s="167"/>
      <c r="AX141" s="167">
        <f t="shared" si="32"/>
        <v>65000</v>
      </c>
      <c r="AY141" s="168">
        <f t="shared" si="28"/>
        <v>-65000</v>
      </c>
      <c r="AZ141" s="168">
        <f t="shared" si="29"/>
        <v>-65000</v>
      </c>
      <c r="BA141" s="168">
        <f t="shared" si="30"/>
        <v>0</v>
      </c>
      <c r="BB141" s="168">
        <f t="shared" si="24"/>
        <v>-32500</v>
      </c>
      <c r="BC141" s="168">
        <f t="shared" si="25"/>
        <v>-29250</v>
      </c>
      <c r="BD141" s="169">
        <v>50000</v>
      </c>
      <c r="BE141" s="169"/>
      <c r="BF141" s="168">
        <f t="shared" si="26"/>
        <v>-79250</v>
      </c>
      <c r="BG141" s="33"/>
      <c r="BH141" s="16"/>
      <c r="BI141" s="16"/>
    </row>
    <row r="142" spans="1:61" ht="16.5" customHeight="1">
      <c r="A142" s="36">
        <v>141</v>
      </c>
      <c r="B142" s="35"/>
      <c r="C142" s="33"/>
      <c r="D142" s="33"/>
      <c r="E142" s="33"/>
      <c r="F142" s="38"/>
      <c r="G142" s="38"/>
      <c r="H142" s="38"/>
      <c r="I142" s="38"/>
      <c r="J142" s="38"/>
      <c r="K142" s="38"/>
      <c r="L142" s="33"/>
      <c r="M142" s="33"/>
      <c r="N142" s="38"/>
      <c r="O142" s="33"/>
      <c r="P142" s="38"/>
      <c r="Q142" s="216"/>
      <c r="R142" s="158"/>
      <c r="S142" s="160"/>
      <c r="T142" s="159">
        <f t="shared" si="22"/>
        <v>0</v>
      </c>
      <c r="U142" s="30"/>
      <c r="V142" s="30"/>
      <c r="W142" s="30"/>
      <c r="X142" s="30"/>
      <c r="Y142" s="238"/>
      <c r="Z142" s="242"/>
      <c r="AA142" s="38"/>
      <c r="AB142" s="160"/>
      <c r="AC142" s="161"/>
      <c r="AD142" s="162"/>
      <c r="AE142" s="163"/>
      <c r="AF142" s="23">
        <f t="shared" si="27"/>
        <v>0</v>
      </c>
      <c r="AG142" s="161">
        <f t="shared" si="31"/>
        <v>0</v>
      </c>
      <c r="AH142" s="164">
        <f t="shared" si="23"/>
        <v>0</v>
      </c>
      <c r="AI142" s="37"/>
      <c r="AJ142" s="37"/>
      <c r="AK142" s="165"/>
      <c r="AL142" s="161"/>
      <c r="AM142" s="166"/>
      <c r="AN142" s="170"/>
      <c r="AO142" s="166"/>
      <c r="AP142" s="161"/>
      <c r="AQ142" s="161"/>
      <c r="AR142" s="161"/>
      <c r="AS142" s="167">
        <v>35000</v>
      </c>
      <c r="AT142" s="167">
        <v>30000</v>
      </c>
      <c r="AU142" s="167"/>
      <c r="AV142" s="167"/>
      <c r="AW142" s="171"/>
      <c r="AX142" s="167">
        <f t="shared" si="32"/>
        <v>65000</v>
      </c>
      <c r="AY142" s="168">
        <f t="shared" si="28"/>
        <v>-65000</v>
      </c>
      <c r="AZ142" s="168">
        <f t="shared" si="29"/>
        <v>-65000</v>
      </c>
      <c r="BA142" s="168">
        <f t="shared" si="30"/>
        <v>0</v>
      </c>
      <c r="BB142" s="168">
        <f t="shared" si="24"/>
        <v>-32500</v>
      </c>
      <c r="BC142" s="168">
        <f t="shared" si="25"/>
        <v>-29250</v>
      </c>
      <c r="BD142" s="169">
        <v>50000</v>
      </c>
      <c r="BE142" s="172"/>
      <c r="BF142" s="168">
        <f t="shared" si="26"/>
        <v>-79250</v>
      </c>
      <c r="BG142" s="33"/>
      <c r="BH142" s="16"/>
      <c r="BI142" s="16"/>
    </row>
    <row r="143" spans="1:61" ht="16.899999999999999">
      <c r="A143" s="36">
        <v>142</v>
      </c>
      <c r="B143" s="35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5"/>
      <c r="P143" s="33"/>
      <c r="Q143" s="33"/>
      <c r="R143" s="158"/>
      <c r="S143" s="158"/>
      <c r="T143" s="159">
        <f t="shared" si="22"/>
        <v>0</v>
      </c>
      <c r="U143" s="30"/>
      <c r="V143" s="30"/>
      <c r="W143" s="30"/>
      <c r="X143" s="30"/>
      <c r="Y143" s="238"/>
      <c r="Z143" s="242"/>
      <c r="AA143" s="33"/>
      <c r="AB143" s="160"/>
      <c r="AC143" s="161"/>
      <c r="AD143" s="162"/>
      <c r="AE143" s="163"/>
      <c r="AF143" s="23">
        <f t="shared" si="27"/>
        <v>0</v>
      </c>
      <c r="AG143" s="161">
        <f t="shared" si="31"/>
        <v>0</v>
      </c>
      <c r="AH143" s="164">
        <f t="shared" si="23"/>
        <v>0</v>
      </c>
      <c r="AI143" s="23"/>
      <c r="AJ143" s="23"/>
      <c r="AK143" s="165"/>
      <c r="AL143" s="161"/>
      <c r="AM143" s="166"/>
      <c r="AN143" s="161"/>
      <c r="AO143" s="166"/>
      <c r="AP143" s="161"/>
      <c r="AQ143" s="161"/>
      <c r="AR143" s="161"/>
      <c r="AS143" s="167">
        <v>35000</v>
      </c>
      <c r="AT143" s="167">
        <v>30000</v>
      </c>
      <c r="AU143" s="167"/>
      <c r="AV143" s="167"/>
      <c r="AW143" s="167"/>
      <c r="AX143" s="167">
        <f t="shared" si="32"/>
        <v>65000</v>
      </c>
      <c r="AY143" s="168">
        <f t="shared" si="28"/>
        <v>-65000</v>
      </c>
      <c r="AZ143" s="168">
        <f t="shared" si="29"/>
        <v>-65000</v>
      </c>
      <c r="BA143" s="168">
        <f t="shared" si="30"/>
        <v>0</v>
      </c>
      <c r="BB143" s="168">
        <f t="shared" si="24"/>
        <v>-32500</v>
      </c>
      <c r="BC143" s="168">
        <f t="shared" si="25"/>
        <v>-29250</v>
      </c>
      <c r="BD143" s="169">
        <v>50000</v>
      </c>
      <c r="BE143" s="169"/>
      <c r="BF143" s="168">
        <f t="shared" si="26"/>
        <v>-79250</v>
      </c>
      <c r="BG143" s="33"/>
      <c r="BH143" s="16"/>
      <c r="BI143" s="16"/>
    </row>
    <row r="144" spans="1:61" ht="16.899999999999999">
      <c r="A144" s="36">
        <v>143</v>
      </c>
      <c r="B144" s="35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5"/>
      <c r="P144" s="33"/>
      <c r="Q144" s="33"/>
      <c r="R144" s="158"/>
      <c r="S144" s="158"/>
      <c r="T144" s="159">
        <f t="shared" si="22"/>
        <v>0</v>
      </c>
      <c r="U144" s="30"/>
      <c r="V144" s="30"/>
      <c r="W144" s="30"/>
      <c r="X144" s="30"/>
      <c r="Y144" s="238"/>
      <c r="Z144" s="242"/>
      <c r="AA144" s="33"/>
      <c r="AB144" s="160"/>
      <c r="AC144" s="161"/>
      <c r="AD144" s="162"/>
      <c r="AE144" s="163"/>
      <c r="AF144" s="23">
        <f t="shared" si="27"/>
        <v>0</v>
      </c>
      <c r="AG144" s="161">
        <f t="shared" si="31"/>
        <v>0</v>
      </c>
      <c r="AH144" s="164">
        <f t="shared" si="23"/>
        <v>0</v>
      </c>
      <c r="AI144" s="23"/>
      <c r="AJ144" s="23"/>
      <c r="AK144" s="165"/>
      <c r="AL144" s="161"/>
      <c r="AM144" s="166"/>
      <c r="AN144" s="161"/>
      <c r="AO144" s="166"/>
      <c r="AP144" s="161"/>
      <c r="AQ144" s="161"/>
      <c r="AR144" s="161"/>
      <c r="AS144" s="167">
        <v>35000</v>
      </c>
      <c r="AT144" s="167">
        <v>30000</v>
      </c>
      <c r="AU144" s="167"/>
      <c r="AV144" s="167"/>
      <c r="AW144" s="167"/>
      <c r="AX144" s="167">
        <f t="shared" si="32"/>
        <v>65000</v>
      </c>
      <c r="AY144" s="168">
        <f t="shared" si="28"/>
        <v>-65000</v>
      </c>
      <c r="AZ144" s="168">
        <f t="shared" si="29"/>
        <v>-65000</v>
      </c>
      <c r="BA144" s="168">
        <f t="shared" si="30"/>
        <v>0</v>
      </c>
      <c r="BB144" s="168">
        <f t="shared" si="24"/>
        <v>-32500</v>
      </c>
      <c r="BC144" s="168">
        <f t="shared" si="25"/>
        <v>-29250</v>
      </c>
      <c r="BD144" s="169">
        <v>50000</v>
      </c>
      <c r="BE144" s="169"/>
      <c r="BF144" s="168">
        <f t="shared" si="26"/>
        <v>-79250</v>
      </c>
      <c r="BG144" s="33"/>
      <c r="BH144" s="16"/>
      <c r="BI144" s="16"/>
    </row>
    <row r="145" spans="1:61" s="6" customFormat="1" ht="16.899999999999999">
      <c r="A145" s="36">
        <v>144</v>
      </c>
      <c r="B145" s="35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5"/>
      <c r="P145" s="33"/>
      <c r="Q145" s="33"/>
      <c r="R145" s="158"/>
      <c r="S145" s="158"/>
      <c r="T145" s="159">
        <f t="shared" si="22"/>
        <v>0</v>
      </c>
      <c r="U145" s="30"/>
      <c r="V145" s="30"/>
      <c r="W145" s="30"/>
      <c r="X145" s="30"/>
      <c r="Y145" s="238"/>
      <c r="Z145" s="242"/>
      <c r="AA145" s="33"/>
      <c r="AB145" s="160"/>
      <c r="AC145" s="161"/>
      <c r="AD145" s="162"/>
      <c r="AE145" s="163"/>
      <c r="AF145" s="23">
        <f t="shared" si="27"/>
        <v>0</v>
      </c>
      <c r="AG145" s="161">
        <f t="shared" si="31"/>
        <v>0</v>
      </c>
      <c r="AH145" s="164">
        <f t="shared" si="23"/>
        <v>0</v>
      </c>
      <c r="AI145" s="23"/>
      <c r="AJ145" s="23"/>
      <c r="AK145" s="165"/>
      <c r="AL145" s="161"/>
      <c r="AM145" s="166"/>
      <c r="AN145" s="161"/>
      <c r="AO145" s="166"/>
      <c r="AP145" s="161"/>
      <c r="AQ145" s="161"/>
      <c r="AR145" s="161"/>
      <c r="AS145" s="167">
        <v>35000</v>
      </c>
      <c r="AT145" s="167">
        <v>30000</v>
      </c>
      <c r="AU145" s="167"/>
      <c r="AV145" s="167"/>
      <c r="AW145" s="167"/>
      <c r="AX145" s="167">
        <f t="shared" si="32"/>
        <v>65000</v>
      </c>
      <c r="AY145" s="168">
        <f t="shared" si="28"/>
        <v>-65000</v>
      </c>
      <c r="AZ145" s="168">
        <f t="shared" si="29"/>
        <v>-65000</v>
      </c>
      <c r="BA145" s="168">
        <f t="shared" si="30"/>
        <v>0</v>
      </c>
      <c r="BB145" s="168">
        <f t="shared" si="24"/>
        <v>-32500</v>
      </c>
      <c r="BC145" s="168">
        <f t="shared" si="25"/>
        <v>-29250</v>
      </c>
      <c r="BD145" s="169">
        <v>50000</v>
      </c>
      <c r="BE145" s="169"/>
      <c r="BF145" s="168">
        <f t="shared" si="26"/>
        <v>-79250</v>
      </c>
      <c r="BG145" s="33"/>
      <c r="BH145" s="15"/>
      <c r="BI145" s="15"/>
    </row>
    <row r="146" spans="1:61" s="6" customFormat="1" ht="16.899999999999999">
      <c r="A146" s="36">
        <v>145</v>
      </c>
      <c r="B146" s="35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5"/>
      <c r="P146" s="33"/>
      <c r="Q146" s="33"/>
      <c r="R146" s="158"/>
      <c r="S146" s="158"/>
      <c r="T146" s="159">
        <f t="shared" si="22"/>
        <v>0</v>
      </c>
      <c r="U146" s="30"/>
      <c r="V146" s="30"/>
      <c r="W146" s="30"/>
      <c r="X146" s="30"/>
      <c r="Y146" s="238"/>
      <c r="Z146" s="242"/>
      <c r="AA146" s="33"/>
      <c r="AB146" s="160"/>
      <c r="AC146" s="161"/>
      <c r="AD146" s="162"/>
      <c r="AE146" s="163"/>
      <c r="AF146" s="23">
        <f t="shared" si="27"/>
        <v>0</v>
      </c>
      <c r="AG146" s="161">
        <f t="shared" si="31"/>
        <v>0</v>
      </c>
      <c r="AH146" s="164">
        <f t="shared" si="23"/>
        <v>0</v>
      </c>
      <c r="AI146" s="23"/>
      <c r="AJ146" s="23"/>
      <c r="AK146" s="165"/>
      <c r="AL146" s="161"/>
      <c r="AM146" s="166"/>
      <c r="AN146" s="161"/>
      <c r="AO146" s="166"/>
      <c r="AP146" s="161"/>
      <c r="AQ146" s="161"/>
      <c r="AR146" s="161"/>
      <c r="AS146" s="167">
        <v>35000</v>
      </c>
      <c r="AT146" s="167">
        <v>30000</v>
      </c>
      <c r="AU146" s="167"/>
      <c r="AV146" s="167"/>
      <c r="AW146" s="167"/>
      <c r="AX146" s="167">
        <f t="shared" si="32"/>
        <v>65000</v>
      </c>
      <c r="AY146" s="168">
        <f t="shared" si="28"/>
        <v>-65000</v>
      </c>
      <c r="AZ146" s="168">
        <f t="shared" si="29"/>
        <v>-65000</v>
      </c>
      <c r="BA146" s="168">
        <f t="shared" si="30"/>
        <v>0</v>
      </c>
      <c r="BB146" s="168">
        <f t="shared" si="24"/>
        <v>-32500</v>
      </c>
      <c r="BC146" s="168">
        <f t="shared" si="25"/>
        <v>-29250</v>
      </c>
      <c r="BD146" s="169">
        <v>50000</v>
      </c>
      <c r="BE146" s="169"/>
      <c r="BF146" s="168">
        <f t="shared" si="26"/>
        <v>-79250</v>
      </c>
      <c r="BG146" s="33"/>
      <c r="BH146" s="15"/>
      <c r="BI146" s="15"/>
    </row>
    <row r="147" spans="1:61" s="6" customFormat="1" ht="16.899999999999999">
      <c r="A147" s="36">
        <v>146</v>
      </c>
      <c r="B147" s="35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5"/>
      <c r="P147" s="33"/>
      <c r="Q147" s="33"/>
      <c r="R147" s="158"/>
      <c r="S147" s="158"/>
      <c r="T147" s="159">
        <f t="shared" si="22"/>
        <v>0</v>
      </c>
      <c r="U147" s="30"/>
      <c r="V147" s="30"/>
      <c r="W147" s="30"/>
      <c r="X147" s="30"/>
      <c r="Y147" s="238"/>
      <c r="Z147" s="242"/>
      <c r="AA147" s="33"/>
      <c r="AB147" s="160"/>
      <c r="AC147" s="161"/>
      <c r="AD147" s="162"/>
      <c r="AE147" s="163"/>
      <c r="AF147" s="23">
        <f t="shared" si="27"/>
        <v>0</v>
      </c>
      <c r="AG147" s="161">
        <f t="shared" si="31"/>
        <v>0</v>
      </c>
      <c r="AH147" s="164">
        <f t="shared" si="23"/>
        <v>0</v>
      </c>
      <c r="AI147" s="23"/>
      <c r="AJ147" s="23"/>
      <c r="AK147" s="165"/>
      <c r="AL147" s="161"/>
      <c r="AM147" s="166"/>
      <c r="AN147" s="161"/>
      <c r="AO147" s="166"/>
      <c r="AP147" s="161"/>
      <c r="AQ147" s="161"/>
      <c r="AR147" s="161"/>
      <c r="AS147" s="167">
        <v>35000</v>
      </c>
      <c r="AT147" s="167">
        <v>30000</v>
      </c>
      <c r="AU147" s="167"/>
      <c r="AV147" s="167"/>
      <c r="AW147" s="167"/>
      <c r="AX147" s="167">
        <f t="shared" si="32"/>
        <v>65000</v>
      </c>
      <c r="AY147" s="168">
        <f t="shared" si="28"/>
        <v>-65000</v>
      </c>
      <c r="AZ147" s="168">
        <f t="shared" si="29"/>
        <v>-65000</v>
      </c>
      <c r="BA147" s="168">
        <f t="shared" si="30"/>
        <v>0</v>
      </c>
      <c r="BB147" s="168">
        <f t="shared" si="24"/>
        <v>-32500</v>
      </c>
      <c r="BC147" s="168">
        <f t="shared" si="25"/>
        <v>-29250</v>
      </c>
      <c r="BD147" s="169">
        <v>50000</v>
      </c>
      <c r="BE147" s="169"/>
      <c r="BF147" s="168">
        <f t="shared" si="26"/>
        <v>-79250</v>
      </c>
      <c r="BG147" s="33"/>
      <c r="BH147" s="15"/>
      <c r="BI147" s="15"/>
    </row>
    <row r="148" spans="1:61" s="6" customFormat="1" ht="16.899999999999999">
      <c r="A148" s="36">
        <v>147</v>
      </c>
      <c r="B148" s="35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5"/>
      <c r="P148" s="33"/>
      <c r="Q148" s="33"/>
      <c r="R148" s="158"/>
      <c r="S148" s="158"/>
      <c r="T148" s="159">
        <f t="shared" si="22"/>
        <v>0</v>
      </c>
      <c r="U148" s="30"/>
      <c r="V148" s="30"/>
      <c r="W148" s="30"/>
      <c r="X148" s="30"/>
      <c r="Y148" s="238"/>
      <c r="Z148" s="242"/>
      <c r="AA148" s="33"/>
      <c r="AB148" s="160"/>
      <c r="AC148" s="161"/>
      <c r="AD148" s="162"/>
      <c r="AE148" s="163"/>
      <c r="AF148" s="23">
        <f t="shared" si="27"/>
        <v>0</v>
      </c>
      <c r="AG148" s="161">
        <f t="shared" si="31"/>
        <v>0</v>
      </c>
      <c r="AH148" s="164">
        <f t="shared" si="23"/>
        <v>0</v>
      </c>
      <c r="AI148" s="23"/>
      <c r="AJ148" s="23"/>
      <c r="AK148" s="165"/>
      <c r="AL148" s="161"/>
      <c r="AM148" s="166"/>
      <c r="AN148" s="161"/>
      <c r="AO148" s="166"/>
      <c r="AP148" s="161"/>
      <c r="AQ148" s="161"/>
      <c r="AR148" s="161"/>
      <c r="AS148" s="167">
        <v>35000</v>
      </c>
      <c r="AT148" s="167">
        <v>30000</v>
      </c>
      <c r="AU148" s="167"/>
      <c r="AV148" s="167"/>
      <c r="AW148" s="167"/>
      <c r="AX148" s="167">
        <f t="shared" si="32"/>
        <v>65000</v>
      </c>
      <c r="AY148" s="168">
        <f t="shared" si="28"/>
        <v>-65000</v>
      </c>
      <c r="AZ148" s="168">
        <f t="shared" si="29"/>
        <v>-65000</v>
      </c>
      <c r="BA148" s="168">
        <f t="shared" si="30"/>
        <v>0</v>
      </c>
      <c r="BB148" s="168">
        <f t="shared" si="24"/>
        <v>-32500</v>
      </c>
      <c r="BC148" s="168">
        <f t="shared" si="25"/>
        <v>-29250</v>
      </c>
      <c r="BD148" s="169">
        <v>50000</v>
      </c>
      <c r="BE148" s="169"/>
      <c r="BF148" s="168">
        <f t="shared" si="26"/>
        <v>-79250</v>
      </c>
      <c r="BG148" s="33"/>
      <c r="BH148" s="15"/>
      <c r="BI148" s="15"/>
    </row>
    <row r="149" spans="1:61" s="6" customFormat="1" ht="16.899999999999999">
      <c r="A149" s="36">
        <v>148</v>
      </c>
      <c r="B149" s="35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5"/>
      <c r="P149" s="33"/>
      <c r="Q149" s="33"/>
      <c r="R149" s="158"/>
      <c r="S149" s="158"/>
      <c r="T149" s="159">
        <f t="shared" si="22"/>
        <v>0</v>
      </c>
      <c r="U149" s="30"/>
      <c r="V149" s="30"/>
      <c r="W149" s="30"/>
      <c r="X149" s="30"/>
      <c r="Y149" s="238"/>
      <c r="Z149" s="242"/>
      <c r="AA149" s="33"/>
      <c r="AB149" s="160"/>
      <c r="AC149" s="161"/>
      <c r="AD149" s="162"/>
      <c r="AE149" s="163"/>
      <c r="AF149" s="23">
        <f t="shared" si="27"/>
        <v>0</v>
      </c>
      <c r="AG149" s="161">
        <f t="shared" si="31"/>
        <v>0</v>
      </c>
      <c r="AH149" s="164">
        <f t="shared" si="23"/>
        <v>0</v>
      </c>
      <c r="AI149" s="23"/>
      <c r="AJ149" s="23"/>
      <c r="AK149" s="165"/>
      <c r="AL149" s="161"/>
      <c r="AM149" s="166"/>
      <c r="AN149" s="161"/>
      <c r="AO149" s="166"/>
      <c r="AP149" s="161"/>
      <c r="AQ149" s="161"/>
      <c r="AR149" s="161"/>
      <c r="AS149" s="167">
        <v>35000</v>
      </c>
      <c r="AT149" s="167">
        <v>30000</v>
      </c>
      <c r="AU149" s="167"/>
      <c r="AV149" s="167"/>
      <c r="AW149" s="167"/>
      <c r="AX149" s="167">
        <f t="shared" si="32"/>
        <v>65000</v>
      </c>
      <c r="AY149" s="168">
        <f t="shared" si="28"/>
        <v>-65000</v>
      </c>
      <c r="AZ149" s="168">
        <f t="shared" si="29"/>
        <v>-65000</v>
      </c>
      <c r="BA149" s="168">
        <f t="shared" si="30"/>
        <v>0</v>
      </c>
      <c r="BB149" s="168">
        <f t="shared" si="24"/>
        <v>-32500</v>
      </c>
      <c r="BC149" s="168">
        <f t="shared" si="25"/>
        <v>-29250</v>
      </c>
      <c r="BD149" s="169">
        <v>50000</v>
      </c>
      <c r="BE149" s="169"/>
      <c r="BF149" s="168">
        <f t="shared" si="26"/>
        <v>-79250</v>
      </c>
      <c r="BG149" s="33"/>
      <c r="BH149" s="15"/>
      <c r="BI149" s="15"/>
    </row>
    <row r="150" spans="1:61" s="6" customFormat="1" ht="16.899999999999999">
      <c r="A150" s="36">
        <v>149</v>
      </c>
      <c r="B150" s="35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5"/>
      <c r="P150" s="33"/>
      <c r="Q150" s="33"/>
      <c r="R150" s="158"/>
      <c r="S150" s="158"/>
      <c r="T150" s="159">
        <f t="shared" si="22"/>
        <v>0</v>
      </c>
      <c r="U150" s="30"/>
      <c r="V150" s="30"/>
      <c r="W150" s="30"/>
      <c r="X150" s="30"/>
      <c r="Y150" s="238"/>
      <c r="Z150" s="242"/>
      <c r="AA150" s="33"/>
      <c r="AB150" s="160"/>
      <c r="AC150" s="161"/>
      <c r="AD150" s="162"/>
      <c r="AE150" s="163"/>
      <c r="AF150" s="23">
        <f t="shared" si="27"/>
        <v>0</v>
      </c>
      <c r="AG150" s="161">
        <f t="shared" si="31"/>
        <v>0</v>
      </c>
      <c r="AH150" s="164">
        <f t="shared" si="23"/>
        <v>0</v>
      </c>
      <c r="AI150" s="23"/>
      <c r="AJ150" s="23"/>
      <c r="AK150" s="165"/>
      <c r="AL150" s="161"/>
      <c r="AM150" s="166"/>
      <c r="AN150" s="161"/>
      <c r="AO150" s="166"/>
      <c r="AP150" s="161"/>
      <c r="AQ150" s="161"/>
      <c r="AR150" s="161"/>
      <c r="AS150" s="167">
        <v>35000</v>
      </c>
      <c r="AT150" s="167">
        <v>30000</v>
      </c>
      <c r="AU150" s="167"/>
      <c r="AV150" s="167"/>
      <c r="AW150" s="167"/>
      <c r="AX150" s="167">
        <f t="shared" si="32"/>
        <v>65000</v>
      </c>
      <c r="AY150" s="168">
        <f t="shared" si="28"/>
        <v>-65000</v>
      </c>
      <c r="AZ150" s="168">
        <f t="shared" si="29"/>
        <v>-65000</v>
      </c>
      <c r="BA150" s="168">
        <f t="shared" si="30"/>
        <v>0</v>
      </c>
      <c r="BB150" s="168">
        <f t="shared" si="24"/>
        <v>-32500</v>
      </c>
      <c r="BC150" s="168">
        <f t="shared" si="25"/>
        <v>-29250</v>
      </c>
      <c r="BD150" s="169">
        <v>50000</v>
      </c>
      <c r="BE150" s="169"/>
      <c r="BF150" s="168">
        <f t="shared" si="26"/>
        <v>-79250</v>
      </c>
      <c r="BG150" s="33"/>
      <c r="BH150" s="15"/>
      <c r="BI150" s="15"/>
    </row>
    <row r="151" spans="1:61" s="6" customFormat="1" ht="16.899999999999999">
      <c r="A151" s="36">
        <v>150</v>
      </c>
      <c r="B151" s="35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5"/>
      <c r="P151" s="33"/>
      <c r="Q151" s="33"/>
      <c r="R151" s="158"/>
      <c r="S151" s="158"/>
      <c r="T151" s="159">
        <f t="shared" si="22"/>
        <v>0</v>
      </c>
      <c r="U151" s="30"/>
      <c r="V151" s="30"/>
      <c r="W151" s="30"/>
      <c r="X151" s="30"/>
      <c r="Y151" s="238"/>
      <c r="Z151" s="242"/>
      <c r="AA151" s="33"/>
      <c r="AB151" s="160"/>
      <c r="AC151" s="161"/>
      <c r="AD151" s="162"/>
      <c r="AE151" s="163"/>
      <c r="AF151" s="23">
        <f t="shared" si="27"/>
        <v>0</v>
      </c>
      <c r="AG151" s="161">
        <f t="shared" si="31"/>
        <v>0</v>
      </c>
      <c r="AH151" s="164">
        <f t="shared" si="23"/>
        <v>0</v>
      </c>
      <c r="AI151" s="23"/>
      <c r="AJ151" s="23"/>
      <c r="AK151" s="165"/>
      <c r="AL151" s="161"/>
      <c r="AM151" s="166"/>
      <c r="AN151" s="161"/>
      <c r="AO151" s="166"/>
      <c r="AP151" s="161"/>
      <c r="AQ151" s="161"/>
      <c r="AR151" s="161"/>
      <c r="AS151" s="167">
        <v>35000</v>
      </c>
      <c r="AT151" s="167">
        <v>30000</v>
      </c>
      <c r="AU151" s="167"/>
      <c r="AV151" s="167"/>
      <c r="AW151" s="167"/>
      <c r="AX151" s="167">
        <f t="shared" si="32"/>
        <v>65000</v>
      </c>
      <c r="AY151" s="168">
        <f t="shared" si="28"/>
        <v>-65000</v>
      </c>
      <c r="AZ151" s="168">
        <f t="shared" si="29"/>
        <v>-65000</v>
      </c>
      <c r="BA151" s="168">
        <f t="shared" si="30"/>
        <v>0</v>
      </c>
      <c r="BB151" s="168">
        <f t="shared" si="24"/>
        <v>-32500</v>
      </c>
      <c r="BC151" s="168">
        <f t="shared" si="25"/>
        <v>-29250</v>
      </c>
      <c r="BD151" s="169">
        <v>50000</v>
      </c>
      <c r="BE151" s="169"/>
      <c r="BF151" s="168">
        <f t="shared" si="26"/>
        <v>-79250</v>
      </c>
      <c r="BG151" s="33"/>
      <c r="BH151" s="15"/>
      <c r="BI151" s="15"/>
    </row>
    <row r="152" spans="1:61" s="6" customFormat="1" ht="16.899999999999999">
      <c r="A152" s="36">
        <v>151</v>
      </c>
      <c r="B152" s="35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5"/>
      <c r="P152" s="33"/>
      <c r="Q152" s="33"/>
      <c r="R152" s="158"/>
      <c r="S152" s="158"/>
      <c r="T152" s="159">
        <f t="shared" si="22"/>
        <v>0</v>
      </c>
      <c r="U152" s="30"/>
      <c r="V152" s="30"/>
      <c r="W152" s="30"/>
      <c r="X152" s="30"/>
      <c r="Y152" s="238"/>
      <c r="Z152" s="242"/>
      <c r="AA152" s="33"/>
      <c r="AB152" s="160"/>
      <c r="AC152" s="161"/>
      <c r="AD152" s="162"/>
      <c r="AE152" s="163"/>
      <c r="AF152" s="23">
        <f t="shared" si="27"/>
        <v>0</v>
      </c>
      <c r="AG152" s="161">
        <f t="shared" si="31"/>
        <v>0</v>
      </c>
      <c r="AH152" s="164">
        <f t="shared" si="23"/>
        <v>0</v>
      </c>
      <c r="AI152" s="23"/>
      <c r="AJ152" s="23"/>
      <c r="AK152" s="165"/>
      <c r="AL152" s="161"/>
      <c r="AM152" s="166"/>
      <c r="AN152" s="161"/>
      <c r="AO152" s="166"/>
      <c r="AP152" s="161"/>
      <c r="AQ152" s="161"/>
      <c r="AR152" s="161"/>
      <c r="AS152" s="167">
        <v>35000</v>
      </c>
      <c r="AT152" s="167">
        <v>30000</v>
      </c>
      <c r="AU152" s="167"/>
      <c r="AV152" s="167"/>
      <c r="AW152" s="167"/>
      <c r="AX152" s="167">
        <f t="shared" si="32"/>
        <v>65000</v>
      </c>
      <c r="AY152" s="168">
        <f t="shared" si="28"/>
        <v>-65000</v>
      </c>
      <c r="AZ152" s="168">
        <f t="shared" si="29"/>
        <v>-65000</v>
      </c>
      <c r="BA152" s="168">
        <f t="shared" si="30"/>
        <v>0</v>
      </c>
      <c r="BB152" s="168">
        <f t="shared" si="24"/>
        <v>-32500</v>
      </c>
      <c r="BC152" s="168">
        <f t="shared" si="25"/>
        <v>-29250</v>
      </c>
      <c r="BD152" s="169">
        <v>50000</v>
      </c>
      <c r="BE152" s="169"/>
      <c r="BF152" s="168">
        <f t="shared" si="26"/>
        <v>-79250</v>
      </c>
      <c r="BG152" s="33"/>
      <c r="BH152" s="15"/>
      <c r="BI152" s="15"/>
    </row>
    <row r="153" spans="1:61" s="6" customFormat="1" ht="16.899999999999999">
      <c r="A153" s="36">
        <v>152</v>
      </c>
      <c r="B153" s="35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5"/>
      <c r="P153" s="33"/>
      <c r="Q153" s="33"/>
      <c r="R153" s="158"/>
      <c r="S153" s="158"/>
      <c r="T153" s="159">
        <f t="shared" si="22"/>
        <v>0</v>
      </c>
      <c r="U153" s="30"/>
      <c r="V153" s="30"/>
      <c r="W153" s="30"/>
      <c r="X153" s="30"/>
      <c r="Y153" s="238"/>
      <c r="Z153" s="242"/>
      <c r="AA153" s="33"/>
      <c r="AB153" s="160"/>
      <c r="AC153" s="161"/>
      <c r="AD153" s="162"/>
      <c r="AE153" s="163"/>
      <c r="AF153" s="23">
        <f t="shared" si="27"/>
        <v>0</v>
      </c>
      <c r="AG153" s="161">
        <f t="shared" si="31"/>
        <v>0</v>
      </c>
      <c r="AH153" s="164">
        <f t="shared" si="23"/>
        <v>0</v>
      </c>
      <c r="AI153" s="23"/>
      <c r="AJ153" s="23"/>
      <c r="AK153" s="165"/>
      <c r="AL153" s="161"/>
      <c r="AM153" s="166"/>
      <c r="AN153" s="161"/>
      <c r="AO153" s="166"/>
      <c r="AP153" s="161"/>
      <c r="AQ153" s="161"/>
      <c r="AR153" s="161"/>
      <c r="AS153" s="167">
        <v>35000</v>
      </c>
      <c r="AT153" s="167">
        <v>30000</v>
      </c>
      <c r="AU153" s="167"/>
      <c r="AV153" s="167"/>
      <c r="AW153" s="167"/>
      <c r="AX153" s="167">
        <f t="shared" si="32"/>
        <v>65000</v>
      </c>
      <c r="AY153" s="168">
        <f t="shared" si="28"/>
        <v>-65000</v>
      </c>
      <c r="AZ153" s="168">
        <f t="shared" si="29"/>
        <v>-65000</v>
      </c>
      <c r="BA153" s="168">
        <f t="shared" si="30"/>
        <v>0</v>
      </c>
      <c r="BB153" s="168">
        <f t="shared" si="24"/>
        <v>-32500</v>
      </c>
      <c r="BC153" s="168">
        <f t="shared" si="25"/>
        <v>-29250</v>
      </c>
      <c r="BD153" s="169">
        <v>50000</v>
      </c>
      <c r="BE153" s="169"/>
      <c r="BF153" s="168">
        <f t="shared" si="26"/>
        <v>-79250</v>
      </c>
      <c r="BG153" s="33"/>
      <c r="BH153" s="15"/>
      <c r="BI153" s="15"/>
    </row>
    <row r="154" spans="1:61" s="6" customFormat="1" ht="16.899999999999999">
      <c r="A154" s="36">
        <v>153</v>
      </c>
      <c r="B154" s="35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5"/>
      <c r="P154" s="33"/>
      <c r="Q154" s="33"/>
      <c r="R154" s="158"/>
      <c r="S154" s="158"/>
      <c r="T154" s="159">
        <f t="shared" si="22"/>
        <v>0</v>
      </c>
      <c r="U154" s="30"/>
      <c r="V154" s="30"/>
      <c r="W154" s="30"/>
      <c r="X154" s="30"/>
      <c r="Y154" s="238"/>
      <c r="Z154" s="242"/>
      <c r="AA154" s="33"/>
      <c r="AB154" s="160"/>
      <c r="AC154" s="161"/>
      <c r="AD154" s="162"/>
      <c r="AE154" s="163"/>
      <c r="AF154" s="23">
        <f t="shared" si="27"/>
        <v>0</v>
      </c>
      <c r="AG154" s="161">
        <f t="shared" si="31"/>
        <v>0</v>
      </c>
      <c r="AH154" s="164">
        <f t="shared" si="23"/>
        <v>0</v>
      </c>
      <c r="AI154" s="23"/>
      <c r="AJ154" s="23"/>
      <c r="AK154" s="165"/>
      <c r="AL154" s="161"/>
      <c r="AM154" s="166"/>
      <c r="AN154" s="161"/>
      <c r="AO154" s="166"/>
      <c r="AP154" s="161"/>
      <c r="AQ154" s="161"/>
      <c r="AR154" s="161"/>
      <c r="AS154" s="167">
        <v>35000</v>
      </c>
      <c r="AT154" s="167">
        <v>30000</v>
      </c>
      <c r="AU154" s="167"/>
      <c r="AV154" s="167"/>
      <c r="AW154" s="167"/>
      <c r="AX154" s="167">
        <f t="shared" si="32"/>
        <v>65000</v>
      </c>
      <c r="AY154" s="168">
        <f t="shared" si="28"/>
        <v>-65000</v>
      </c>
      <c r="AZ154" s="168">
        <f t="shared" si="29"/>
        <v>-65000</v>
      </c>
      <c r="BA154" s="168">
        <f t="shared" si="30"/>
        <v>0</v>
      </c>
      <c r="BB154" s="168">
        <f t="shared" si="24"/>
        <v>-32500</v>
      </c>
      <c r="BC154" s="168">
        <f t="shared" si="25"/>
        <v>-29250</v>
      </c>
      <c r="BD154" s="169">
        <v>50000</v>
      </c>
      <c r="BE154" s="169"/>
      <c r="BF154" s="168">
        <f t="shared" si="26"/>
        <v>-79250</v>
      </c>
      <c r="BG154" s="33"/>
      <c r="BH154" s="15"/>
      <c r="BI154" s="15"/>
    </row>
    <row r="155" spans="1:61" s="6" customFormat="1" ht="16.899999999999999">
      <c r="A155" s="36">
        <v>154</v>
      </c>
      <c r="B155" s="35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5"/>
      <c r="P155" s="33"/>
      <c r="Q155" s="33"/>
      <c r="R155" s="158"/>
      <c r="S155" s="158"/>
      <c r="T155" s="159">
        <f t="shared" si="22"/>
        <v>0</v>
      </c>
      <c r="U155" s="30"/>
      <c r="V155" s="30"/>
      <c r="W155" s="30"/>
      <c r="X155" s="30"/>
      <c r="Y155" s="238"/>
      <c r="Z155" s="242"/>
      <c r="AA155" s="33"/>
      <c r="AB155" s="160"/>
      <c r="AC155" s="161"/>
      <c r="AD155" s="162"/>
      <c r="AE155" s="163"/>
      <c r="AF155" s="23">
        <f t="shared" si="27"/>
        <v>0</v>
      </c>
      <c r="AG155" s="161">
        <f t="shared" si="31"/>
        <v>0</v>
      </c>
      <c r="AH155" s="164">
        <f t="shared" si="23"/>
        <v>0</v>
      </c>
      <c r="AI155" s="23"/>
      <c r="AJ155" s="23"/>
      <c r="AK155" s="165"/>
      <c r="AL155" s="161"/>
      <c r="AM155" s="166"/>
      <c r="AN155" s="161"/>
      <c r="AO155" s="166"/>
      <c r="AP155" s="161"/>
      <c r="AQ155" s="161"/>
      <c r="AR155" s="161"/>
      <c r="AS155" s="167">
        <v>35000</v>
      </c>
      <c r="AT155" s="167">
        <v>30000</v>
      </c>
      <c r="AU155" s="167"/>
      <c r="AV155" s="167"/>
      <c r="AW155" s="167"/>
      <c r="AX155" s="167">
        <f t="shared" si="32"/>
        <v>65000</v>
      </c>
      <c r="AY155" s="168">
        <f t="shared" si="28"/>
        <v>-65000</v>
      </c>
      <c r="AZ155" s="168">
        <f t="shared" si="29"/>
        <v>-65000</v>
      </c>
      <c r="BA155" s="168">
        <f t="shared" si="30"/>
        <v>0</v>
      </c>
      <c r="BB155" s="168">
        <f t="shared" si="24"/>
        <v>-32500</v>
      </c>
      <c r="BC155" s="168">
        <f t="shared" si="25"/>
        <v>-29250</v>
      </c>
      <c r="BD155" s="169">
        <v>50000</v>
      </c>
      <c r="BE155" s="169"/>
      <c r="BF155" s="168">
        <f t="shared" si="26"/>
        <v>-79250</v>
      </c>
      <c r="BG155" s="33"/>
      <c r="BH155" s="15"/>
      <c r="BI155" s="15"/>
    </row>
    <row r="156" spans="1:61" s="6" customFormat="1" ht="16.899999999999999">
      <c r="A156" s="36">
        <v>155</v>
      </c>
      <c r="B156" s="35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5"/>
      <c r="P156" s="33"/>
      <c r="Q156" s="33"/>
      <c r="R156" s="158"/>
      <c r="S156" s="158"/>
      <c r="T156" s="159">
        <f t="shared" ref="T156:T219" si="33">R156+S156</f>
        <v>0</v>
      </c>
      <c r="U156" s="30"/>
      <c r="V156" s="30"/>
      <c r="W156" s="30"/>
      <c r="X156" s="30"/>
      <c r="Y156" s="238"/>
      <c r="Z156" s="242"/>
      <c r="AA156" s="33"/>
      <c r="AB156" s="160"/>
      <c r="AC156" s="161"/>
      <c r="AD156" s="162"/>
      <c r="AE156" s="163"/>
      <c r="AF156" s="23">
        <f t="shared" si="27"/>
        <v>0</v>
      </c>
      <c r="AG156" s="161">
        <f t="shared" si="31"/>
        <v>0</v>
      </c>
      <c r="AH156" s="164">
        <f t="shared" ref="AH156:AH219" si="34">SUM(AG156-AF156)</f>
        <v>0</v>
      </c>
      <c r="AI156" s="23"/>
      <c r="AJ156" s="23"/>
      <c r="AK156" s="165"/>
      <c r="AL156" s="161"/>
      <c r="AM156" s="166"/>
      <c r="AN156" s="161"/>
      <c r="AO156" s="166"/>
      <c r="AP156" s="161"/>
      <c r="AQ156" s="161"/>
      <c r="AR156" s="161"/>
      <c r="AS156" s="167">
        <v>35000</v>
      </c>
      <c r="AT156" s="167">
        <v>30000</v>
      </c>
      <c r="AU156" s="167"/>
      <c r="AV156" s="167"/>
      <c r="AW156" s="167"/>
      <c r="AX156" s="167">
        <f t="shared" si="32"/>
        <v>65000</v>
      </c>
      <c r="AY156" s="168">
        <f t="shared" si="28"/>
        <v>-65000</v>
      </c>
      <c r="AZ156" s="168">
        <f t="shared" si="29"/>
        <v>-65000</v>
      </c>
      <c r="BA156" s="168">
        <f t="shared" si="30"/>
        <v>0</v>
      </c>
      <c r="BB156" s="168">
        <f t="shared" ref="BB156:BB219" si="35">SUM(AZ156:BA156)/2</f>
        <v>-32500</v>
      </c>
      <c r="BC156" s="168">
        <f t="shared" ref="BC156:BC219" si="36">BB156-(BB156*10%)</f>
        <v>-29250</v>
      </c>
      <c r="BD156" s="169">
        <v>50000</v>
      </c>
      <c r="BE156" s="169"/>
      <c r="BF156" s="168">
        <f t="shared" si="26"/>
        <v>-79250</v>
      </c>
      <c r="BG156" s="33"/>
      <c r="BH156" s="15"/>
      <c r="BI156" s="15"/>
    </row>
    <row r="157" spans="1:61" s="6" customFormat="1" ht="16.899999999999999">
      <c r="A157" s="36">
        <v>156</v>
      </c>
      <c r="B157" s="35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5"/>
      <c r="P157" s="33"/>
      <c r="Q157" s="33"/>
      <c r="R157" s="158"/>
      <c r="S157" s="158"/>
      <c r="T157" s="159">
        <f t="shared" si="33"/>
        <v>0</v>
      </c>
      <c r="U157" s="30"/>
      <c r="V157" s="30"/>
      <c r="W157" s="30"/>
      <c r="X157" s="30"/>
      <c r="Y157" s="238"/>
      <c r="Z157" s="242"/>
      <c r="AA157" s="33"/>
      <c r="AB157" s="160"/>
      <c r="AC157" s="161"/>
      <c r="AD157" s="162"/>
      <c r="AE157" s="163"/>
      <c r="AF157" s="23">
        <f t="shared" si="27"/>
        <v>0</v>
      </c>
      <c r="AG157" s="161">
        <f t="shared" si="31"/>
        <v>0</v>
      </c>
      <c r="AH157" s="164">
        <f t="shared" si="34"/>
        <v>0</v>
      </c>
      <c r="AI157" s="23"/>
      <c r="AJ157" s="23"/>
      <c r="AK157" s="165"/>
      <c r="AL157" s="161"/>
      <c r="AM157" s="166"/>
      <c r="AN157" s="161"/>
      <c r="AO157" s="166"/>
      <c r="AP157" s="161"/>
      <c r="AQ157" s="161"/>
      <c r="AR157" s="161"/>
      <c r="AS157" s="167">
        <v>35000</v>
      </c>
      <c r="AT157" s="167">
        <v>30000</v>
      </c>
      <c r="AU157" s="167"/>
      <c r="AV157" s="167"/>
      <c r="AW157" s="167"/>
      <c r="AX157" s="167">
        <f t="shared" si="32"/>
        <v>65000</v>
      </c>
      <c r="AY157" s="168">
        <f t="shared" si="28"/>
        <v>-65000</v>
      </c>
      <c r="AZ157" s="168">
        <f t="shared" si="29"/>
        <v>-65000</v>
      </c>
      <c r="BA157" s="168">
        <f t="shared" si="30"/>
        <v>0</v>
      </c>
      <c r="BB157" s="168">
        <f t="shared" si="35"/>
        <v>-32500</v>
      </c>
      <c r="BC157" s="168">
        <f t="shared" si="36"/>
        <v>-29250</v>
      </c>
      <c r="BD157" s="169">
        <v>50000</v>
      </c>
      <c r="BE157" s="169"/>
      <c r="BF157" s="168">
        <f t="shared" si="26"/>
        <v>-79250</v>
      </c>
      <c r="BG157" s="33"/>
      <c r="BH157" s="15"/>
      <c r="BI157" s="15"/>
    </row>
    <row r="158" spans="1:61" s="6" customFormat="1" ht="16.899999999999999">
      <c r="A158" s="36">
        <v>157</v>
      </c>
      <c r="B158" s="35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5"/>
      <c r="P158" s="33"/>
      <c r="Q158" s="33"/>
      <c r="R158" s="158"/>
      <c r="S158" s="158"/>
      <c r="T158" s="159">
        <f t="shared" si="33"/>
        <v>0</v>
      </c>
      <c r="U158" s="30"/>
      <c r="V158" s="30"/>
      <c r="W158" s="30"/>
      <c r="X158" s="30"/>
      <c r="Y158" s="238"/>
      <c r="Z158" s="242"/>
      <c r="AA158" s="33"/>
      <c r="AB158" s="160"/>
      <c r="AC158" s="161"/>
      <c r="AD158" s="162"/>
      <c r="AE158" s="163"/>
      <c r="AF158" s="23">
        <f t="shared" si="27"/>
        <v>0</v>
      </c>
      <c r="AG158" s="161">
        <f t="shared" si="31"/>
        <v>0</v>
      </c>
      <c r="AH158" s="164">
        <f t="shared" si="34"/>
        <v>0</v>
      </c>
      <c r="AI158" s="23"/>
      <c r="AJ158" s="23"/>
      <c r="AK158" s="165"/>
      <c r="AL158" s="161"/>
      <c r="AM158" s="166"/>
      <c r="AN158" s="161"/>
      <c r="AO158" s="166"/>
      <c r="AP158" s="161"/>
      <c r="AQ158" s="161"/>
      <c r="AR158" s="161"/>
      <c r="AS158" s="167">
        <v>35000</v>
      </c>
      <c r="AT158" s="167">
        <v>30000</v>
      </c>
      <c r="AU158" s="167"/>
      <c r="AV158" s="167"/>
      <c r="AW158" s="167"/>
      <c r="AX158" s="167">
        <f t="shared" si="32"/>
        <v>65000</v>
      </c>
      <c r="AY158" s="168">
        <f t="shared" si="28"/>
        <v>-65000</v>
      </c>
      <c r="AZ158" s="168">
        <f t="shared" si="29"/>
        <v>-65000</v>
      </c>
      <c r="BA158" s="168">
        <f t="shared" si="30"/>
        <v>0</v>
      </c>
      <c r="BB158" s="168">
        <f t="shared" si="35"/>
        <v>-32500</v>
      </c>
      <c r="BC158" s="168">
        <f t="shared" si="36"/>
        <v>-29250</v>
      </c>
      <c r="BD158" s="169">
        <v>50000</v>
      </c>
      <c r="BE158" s="169"/>
      <c r="BF158" s="168">
        <f t="shared" si="26"/>
        <v>-79250</v>
      </c>
      <c r="BG158" s="33"/>
      <c r="BH158" s="15"/>
      <c r="BI158" s="15"/>
    </row>
    <row r="159" spans="1:61" s="6" customFormat="1" ht="16.899999999999999">
      <c r="A159" s="36">
        <v>158</v>
      </c>
      <c r="B159" s="35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5"/>
      <c r="P159" s="33"/>
      <c r="Q159" s="33"/>
      <c r="R159" s="158"/>
      <c r="S159" s="158"/>
      <c r="T159" s="159">
        <f t="shared" si="33"/>
        <v>0</v>
      </c>
      <c r="U159" s="30"/>
      <c r="V159" s="30"/>
      <c r="W159" s="30"/>
      <c r="X159" s="30"/>
      <c r="Y159" s="238"/>
      <c r="Z159" s="242"/>
      <c r="AA159" s="33"/>
      <c r="AB159" s="160"/>
      <c r="AC159" s="161"/>
      <c r="AD159" s="162"/>
      <c r="AE159" s="163"/>
      <c r="AF159" s="23">
        <f t="shared" si="27"/>
        <v>0</v>
      </c>
      <c r="AG159" s="161">
        <f t="shared" si="31"/>
        <v>0</v>
      </c>
      <c r="AH159" s="164">
        <f t="shared" si="34"/>
        <v>0</v>
      </c>
      <c r="AI159" s="23"/>
      <c r="AJ159" s="23"/>
      <c r="AK159" s="165"/>
      <c r="AL159" s="161"/>
      <c r="AM159" s="166"/>
      <c r="AN159" s="161"/>
      <c r="AO159" s="166"/>
      <c r="AP159" s="161"/>
      <c r="AQ159" s="161"/>
      <c r="AR159" s="161"/>
      <c r="AS159" s="167">
        <v>35000</v>
      </c>
      <c r="AT159" s="167">
        <v>30000</v>
      </c>
      <c r="AU159" s="167"/>
      <c r="AV159" s="167"/>
      <c r="AW159" s="167"/>
      <c r="AX159" s="167">
        <f t="shared" si="32"/>
        <v>65000</v>
      </c>
      <c r="AY159" s="168">
        <f t="shared" si="28"/>
        <v>-65000</v>
      </c>
      <c r="AZ159" s="168">
        <f t="shared" si="29"/>
        <v>-65000</v>
      </c>
      <c r="BA159" s="168">
        <f t="shared" si="30"/>
        <v>0</v>
      </c>
      <c r="BB159" s="168">
        <f t="shared" si="35"/>
        <v>-32500</v>
      </c>
      <c r="BC159" s="168">
        <f t="shared" si="36"/>
        <v>-29250</v>
      </c>
      <c r="BD159" s="169">
        <v>50000</v>
      </c>
      <c r="BE159" s="169"/>
      <c r="BF159" s="168">
        <f t="shared" si="26"/>
        <v>-79250</v>
      </c>
      <c r="BG159" s="33"/>
      <c r="BH159" s="15"/>
      <c r="BI159" s="15"/>
    </row>
    <row r="160" spans="1:61" s="6" customFormat="1" ht="16.899999999999999">
      <c r="A160" s="36">
        <v>159</v>
      </c>
      <c r="B160" s="35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5"/>
      <c r="P160" s="33"/>
      <c r="Q160" s="33"/>
      <c r="R160" s="158"/>
      <c r="S160" s="158"/>
      <c r="T160" s="159">
        <f t="shared" si="33"/>
        <v>0</v>
      </c>
      <c r="U160" s="30"/>
      <c r="V160" s="30"/>
      <c r="W160" s="30"/>
      <c r="X160" s="30"/>
      <c r="Y160" s="238"/>
      <c r="Z160" s="242"/>
      <c r="AA160" s="33"/>
      <c r="AB160" s="160"/>
      <c r="AC160" s="161"/>
      <c r="AD160" s="162"/>
      <c r="AE160" s="163"/>
      <c r="AF160" s="23">
        <f t="shared" si="27"/>
        <v>0</v>
      </c>
      <c r="AG160" s="161">
        <f t="shared" si="31"/>
        <v>0</v>
      </c>
      <c r="AH160" s="164">
        <f t="shared" si="34"/>
        <v>0</v>
      </c>
      <c r="AI160" s="23"/>
      <c r="AJ160" s="23"/>
      <c r="AK160" s="165"/>
      <c r="AL160" s="161"/>
      <c r="AM160" s="166"/>
      <c r="AN160" s="161"/>
      <c r="AO160" s="166"/>
      <c r="AP160" s="161"/>
      <c r="AQ160" s="161"/>
      <c r="AR160" s="161"/>
      <c r="AS160" s="167">
        <v>35000</v>
      </c>
      <c r="AT160" s="167">
        <v>30000</v>
      </c>
      <c r="AU160" s="167"/>
      <c r="AV160" s="167"/>
      <c r="AW160" s="167"/>
      <c r="AX160" s="167">
        <f t="shared" si="32"/>
        <v>65000</v>
      </c>
      <c r="AY160" s="168">
        <f t="shared" si="28"/>
        <v>-65000</v>
      </c>
      <c r="AZ160" s="168">
        <f t="shared" si="29"/>
        <v>-65000</v>
      </c>
      <c r="BA160" s="168">
        <f t="shared" si="30"/>
        <v>0</v>
      </c>
      <c r="BB160" s="168">
        <f t="shared" si="35"/>
        <v>-32500</v>
      </c>
      <c r="BC160" s="168">
        <f t="shared" si="36"/>
        <v>-29250</v>
      </c>
      <c r="BD160" s="169">
        <v>50000</v>
      </c>
      <c r="BE160" s="169"/>
      <c r="BF160" s="168">
        <f t="shared" si="26"/>
        <v>-79250</v>
      </c>
      <c r="BG160" s="33"/>
      <c r="BH160" s="15"/>
      <c r="BI160" s="15"/>
    </row>
    <row r="161" spans="1:61" s="6" customFormat="1" ht="16.899999999999999">
      <c r="A161" s="36">
        <v>160</v>
      </c>
      <c r="B161" s="35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5"/>
      <c r="P161" s="33"/>
      <c r="Q161" s="33"/>
      <c r="R161" s="158"/>
      <c r="S161" s="158"/>
      <c r="T161" s="159">
        <f t="shared" si="33"/>
        <v>0</v>
      </c>
      <c r="U161" s="30"/>
      <c r="V161" s="30"/>
      <c r="W161" s="30"/>
      <c r="X161" s="30"/>
      <c r="Y161" s="238"/>
      <c r="Z161" s="242"/>
      <c r="AA161" s="33"/>
      <c r="AB161" s="160"/>
      <c r="AC161" s="161"/>
      <c r="AD161" s="162"/>
      <c r="AE161" s="163"/>
      <c r="AF161" s="23">
        <f t="shared" si="27"/>
        <v>0</v>
      </c>
      <c r="AG161" s="161">
        <f t="shared" si="31"/>
        <v>0</v>
      </c>
      <c r="AH161" s="164">
        <f t="shared" si="34"/>
        <v>0</v>
      </c>
      <c r="AI161" s="23"/>
      <c r="AJ161" s="23"/>
      <c r="AK161" s="165"/>
      <c r="AL161" s="161"/>
      <c r="AM161" s="166"/>
      <c r="AN161" s="161"/>
      <c r="AO161" s="166"/>
      <c r="AP161" s="161"/>
      <c r="AQ161" s="161"/>
      <c r="AR161" s="161"/>
      <c r="AS161" s="167">
        <v>35000</v>
      </c>
      <c r="AT161" s="167">
        <v>30000</v>
      </c>
      <c r="AU161" s="167"/>
      <c r="AV161" s="167"/>
      <c r="AW161" s="167"/>
      <c r="AX161" s="167">
        <f t="shared" si="32"/>
        <v>65000</v>
      </c>
      <c r="AY161" s="168">
        <f t="shared" si="28"/>
        <v>-65000</v>
      </c>
      <c r="AZ161" s="168">
        <f t="shared" si="29"/>
        <v>-65000</v>
      </c>
      <c r="BA161" s="168">
        <f t="shared" si="30"/>
        <v>0</v>
      </c>
      <c r="BB161" s="168">
        <f t="shared" si="35"/>
        <v>-32500</v>
      </c>
      <c r="BC161" s="168">
        <f t="shared" si="36"/>
        <v>-29250</v>
      </c>
      <c r="BD161" s="169">
        <v>50000</v>
      </c>
      <c r="BE161" s="169"/>
      <c r="BF161" s="168">
        <f t="shared" si="26"/>
        <v>-79250</v>
      </c>
      <c r="BG161" s="33"/>
      <c r="BH161" s="15"/>
      <c r="BI161" s="15"/>
    </row>
    <row r="162" spans="1:61" ht="16.899999999999999">
      <c r="A162" s="36">
        <v>161</v>
      </c>
      <c r="B162" s="35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5"/>
      <c r="P162" s="33"/>
      <c r="Q162" s="33"/>
      <c r="R162" s="158"/>
      <c r="S162" s="158"/>
      <c r="T162" s="159">
        <f t="shared" si="33"/>
        <v>0</v>
      </c>
      <c r="U162" s="30"/>
      <c r="V162" s="30"/>
      <c r="W162" s="30"/>
      <c r="X162" s="30"/>
      <c r="Y162" s="238"/>
      <c r="Z162" s="242"/>
      <c r="AA162" s="33"/>
      <c r="AB162" s="160"/>
      <c r="AC162" s="161"/>
      <c r="AD162" s="162"/>
      <c r="AE162" s="163"/>
      <c r="AF162" s="23">
        <f t="shared" si="27"/>
        <v>0</v>
      </c>
      <c r="AG162" s="161">
        <f t="shared" si="31"/>
        <v>0</v>
      </c>
      <c r="AH162" s="164">
        <f t="shared" si="34"/>
        <v>0</v>
      </c>
      <c r="AI162" s="23"/>
      <c r="AJ162" s="23"/>
      <c r="AK162" s="165"/>
      <c r="AL162" s="161"/>
      <c r="AM162" s="166"/>
      <c r="AN162" s="161"/>
      <c r="AO162" s="166"/>
      <c r="AP162" s="161"/>
      <c r="AQ162" s="161"/>
      <c r="AR162" s="161"/>
      <c r="AS162" s="167">
        <v>35000</v>
      </c>
      <c r="AT162" s="167">
        <v>30000</v>
      </c>
      <c r="AU162" s="167"/>
      <c r="AV162" s="167"/>
      <c r="AW162" s="167"/>
      <c r="AX162" s="167">
        <f t="shared" si="32"/>
        <v>65000</v>
      </c>
      <c r="AY162" s="168">
        <f t="shared" si="28"/>
        <v>-65000</v>
      </c>
      <c r="AZ162" s="168">
        <f t="shared" si="29"/>
        <v>-65000</v>
      </c>
      <c r="BA162" s="168">
        <f t="shared" si="30"/>
        <v>0</v>
      </c>
      <c r="BB162" s="168">
        <f t="shared" si="35"/>
        <v>-32500</v>
      </c>
      <c r="BC162" s="168">
        <f t="shared" si="36"/>
        <v>-29250</v>
      </c>
      <c r="BD162" s="169">
        <v>50000</v>
      </c>
      <c r="BE162" s="169"/>
      <c r="BF162" s="168">
        <f t="shared" si="26"/>
        <v>-79250</v>
      </c>
      <c r="BG162" s="33"/>
      <c r="BH162" s="16"/>
      <c r="BI162" s="16"/>
    </row>
    <row r="163" spans="1:61" ht="16.899999999999999">
      <c r="A163" s="36">
        <v>162</v>
      </c>
      <c r="B163" s="35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5"/>
      <c r="P163" s="33"/>
      <c r="Q163" s="33"/>
      <c r="R163" s="158"/>
      <c r="S163" s="158"/>
      <c r="T163" s="159">
        <f t="shared" si="33"/>
        <v>0</v>
      </c>
      <c r="U163" s="30"/>
      <c r="V163" s="30"/>
      <c r="W163" s="30"/>
      <c r="X163" s="30"/>
      <c r="Y163" s="238"/>
      <c r="Z163" s="242"/>
      <c r="AA163" s="33"/>
      <c r="AB163" s="160"/>
      <c r="AC163" s="161"/>
      <c r="AD163" s="162"/>
      <c r="AE163" s="163"/>
      <c r="AF163" s="23">
        <f t="shared" si="27"/>
        <v>0</v>
      </c>
      <c r="AG163" s="161">
        <f t="shared" si="31"/>
        <v>0</v>
      </c>
      <c r="AH163" s="164">
        <f t="shared" si="34"/>
        <v>0</v>
      </c>
      <c r="AI163" s="23"/>
      <c r="AJ163" s="23"/>
      <c r="AK163" s="165"/>
      <c r="AL163" s="161"/>
      <c r="AM163" s="166"/>
      <c r="AN163" s="161"/>
      <c r="AO163" s="166"/>
      <c r="AP163" s="161"/>
      <c r="AQ163" s="161"/>
      <c r="AR163" s="161"/>
      <c r="AS163" s="167">
        <v>35000</v>
      </c>
      <c r="AT163" s="167">
        <v>30000</v>
      </c>
      <c r="AU163" s="167"/>
      <c r="AV163" s="167"/>
      <c r="AW163" s="167"/>
      <c r="AX163" s="167">
        <f t="shared" si="32"/>
        <v>65000</v>
      </c>
      <c r="AY163" s="168">
        <f t="shared" si="28"/>
        <v>-65000</v>
      </c>
      <c r="AZ163" s="168">
        <f t="shared" si="29"/>
        <v>-65000</v>
      </c>
      <c r="BA163" s="168">
        <f t="shared" si="30"/>
        <v>0</v>
      </c>
      <c r="BB163" s="168">
        <f t="shared" si="35"/>
        <v>-32500</v>
      </c>
      <c r="BC163" s="168">
        <f t="shared" si="36"/>
        <v>-29250</v>
      </c>
      <c r="BD163" s="169">
        <v>50000</v>
      </c>
      <c r="BE163" s="169"/>
      <c r="BF163" s="168">
        <f t="shared" si="26"/>
        <v>-79250</v>
      </c>
      <c r="BG163" s="33"/>
      <c r="BH163" s="16"/>
      <c r="BI163" s="16"/>
    </row>
    <row r="164" spans="1:61" ht="16.899999999999999">
      <c r="A164" s="36">
        <v>163</v>
      </c>
      <c r="B164" s="35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5"/>
      <c r="P164" s="33"/>
      <c r="Q164" s="33"/>
      <c r="R164" s="158"/>
      <c r="S164" s="158"/>
      <c r="T164" s="159">
        <f t="shared" si="33"/>
        <v>0</v>
      </c>
      <c r="U164" s="30"/>
      <c r="V164" s="30"/>
      <c r="W164" s="30"/>
      <c r="X164" s="30"/>
      <c r="Y164" s="238"/>
      <c r="Z164" s="242"/>
      <c r="AA164" s="33"/>
      <c r="AB164" s="160"/>
      <c r="AC164" s="161"/>
      <c r="AD164" s="162"/>
      <c r="AE164" s="163"/>
      <c r="AF164" s="23">
        <f t="shared" si="27"/>
        <v>0</v>
      </c>
      <c r="AG164" s="161">
        <f t="shared" si="31"/>
        <v>0</v>
      </c>
      <c r="AH164" s="164">
        <f t="shared" si="34"/>
        <v>0</v>
      </c>
      <c r="AI164" s="23"/>
      <c r="AJ164" s="23"/>
      <c r="AK164" s="165"/>
      <c r="AL164" s="161"/>
      <c r="AM164" s="166"/>
      <c r="AN164" s="161"/>
      <c r="AO164" s="166"/>
      <c r="AP164" s="161"/>
      <c r="AQ164" s="161"/>
      <c r="AR164" s="161"/>
      <c r="AS164" s="167">
        <v>35000</v>
      </c>
      <c r="AT164" s="167">
        <v>30000</v>
      </c>
      <c r="AU164" s="167"/>
      <c r="AV164" s="167"/>
      <c r="AW164" s="167"/>
      <c r="AX164" s="167">
        <f t="shared" si="32"/>
        <v>65000</v>
      </c>
      <c r="AY164" s="168">
        <f t="shared" si="28"/>
        <v>-65000</v>
      </c>
      <c r="AZ164" s="168">
        <f t="shared" si="29"/>
        <v>-65000</v>
      </c>
      <c r="BA164" s="168">
        <f t="shared" si="30"/>
        <v>0</v>
      </c>
      <c r="BB164" s="168">
        <f t="shared" si="35"/>
        <v>-32500</v>
      </c>
      <c r="BC164" s="168">
        <f t="shared" si="36"/>
        <v>-29250</v>
      </c>
      <c r="BD164" s="169">
        <v>50000</v>
      </c>
      <c r="BE164" s="169"/>
      <c r="BF164" s="168">
        <f t="shared" si="26"/>
        <v>-79250</v>
      </c>
      <c r="BG164" s="33"/>
      <c r="BH164" s="16"/>
      <c r="BI164" s="16"/>
    </row>
    <row r="165" spans="1:61" ht="16.899999999999999">
      <c r="A165" s="36">
        <v>164</v>
      </c>
      <c r="B165" s="35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5"/>
      <c r="P165" s="33"/>
      <c r="Q165" s="33"/>
      <c r="R165" s="158"/>
      <c r="S165" s="158"/>
      <c r="T165" s="159">
        <f t="shared" si="33"/>
        <v>0</v>
      </c>
      <c r="U165" s="30"/>
      <c r="V165" s="30"/>
      <c r="W165" s="30"/>
      <c r="X165" s="30"/>
      <c r="Y165" s="238"/>
      <c r="Z165" s="242"/>
      <c r="AA165" s="33"/>
      <c r="AB165" s="160"/>
      <c r="AC165" s="161"/>
      <c r="AD165" s="162"/>
      <c r="AE165" s="163"/>
      <c r="AF165" s="23">
        <f t="shared" si="27"/>
        <v>0</v>
      </c>
      <c r="AG165" s="161">
        <f t="shared" si="31"/>
        <v>0</v>
      </c>
      <c r="AH165" s="164">
        <f t="shared" si="34"/>
        <v>0</v>
      </c>
      <c r="AI165" s="23"/>
      <c r="AJ165" s="23"/>
      <c r="AK165" s="165"/>
      <c r="AL165" s="161"/>
      <c r="AM165" s="166"/>
      <c r="AN165" s="161"/>
      <c r="AO165" s="166"/>
      <c r="AP165" s="161"/>
      <c r="AQ165" s="161"/>
      <c r="AR165" s="161"/>
      <c r="AS165" s="167">
        <v>35000</v>
      </c>
      <c r="AT165" s="167">
        <v>30000</v>
      </c>
      <c r="AU165" s="167"/>
      <c r="AV165" s="167"/>
      <c r="AW165" s="167"/>
      <c r="AX165" s="167">
        <f t="shared" si="32"/>
        <v>65000</v>
      </c>
      <c r="AY165" s="168">
        <f t="shared" si="28"/>
        <v>-65000</v>
      </c>
      <c r="AZ165" s="168">
        <f t="shared" si="29"/>
        <v>-65000</v>
      </c>
      <c r="BA165" s="168">
        <f t="shared" si="30"/>
        <v>0</v>
      </c>
      <c r="BB165" s="168">
        <f t="shared" si="35"/>
        <v>-32500</v>
      </c>
      <c r="BC165" s="168">
        <f t="shared" si="36"/>
        <v>-29250</v>
      </c>
      <c r="BD165" s="169">
        <v>50000</v>
      </c>
      <c r="BE165" s="169"/>
      <c r="BF165" s="168">
        <f t="shared" si="26"/>
        <v>-79250</v>
      </c>
      <c r="BG165" s="33"/>
      <c r="BH165" s="16"/>
      <c r="BI165" s="16"/>
    </row>
    <row r="166" spans="1:61" ht="16.899999999999999">
      <c r="A166" s="36">
        <v>165</v>
      </c>
      <c r="B166" s="35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5"/>
      <c r="P166" s="33"/>
      <c r="Q166" s="33"/>
      <c r="R166" s="158"/>
      <c r="S166" s="158"/>
      <c r="T166" s="159">
        <f t="shared" si="33"/>
        <v>0</v>
      </c>
      <c r="U166" s="30"/>
      <c r="V166" s="30"/>
      <c r="W166" s="30"/>
      <c r="X166" s="30"/>
      <c r="Y166" s="238"/>
      <c r="Z166" s="242"/>
      <c r="AA166" s="33"/>
      <c r="AB166" s="160"/>
      <c r="AC166" s="161"/>
      <c r="AD166" s="162"/>
      <c r="AE166" s="163"/>
      <c r="AF166" s="23">
        <f t="shared" si="27"/>
        <v>0</v>
      </c>
      <c r="AG166" s="161">
        <f t="shared" si="31"/>
        <v>0</v>
      </c>
      <c r="AH166" s="164">
        <f t="shared" si="34"/>
        <v>0</v>
      </c>
      <c r="AI166" s="23"/>
      <c r="AJ166" s="23"/>
      <c r="AK166" s="165"/>
      <c r="AL166" s="161"/>
      <c r="AM166" s="166"/>
      <c r="AN166" s="161"/>
      <c r="AO166" s="166"/>
      <c r="AP166" s="161"/>
      <c r="AQ166" s="161"/>
      <c r="AR166" s="161"/>
      <c r="AS166" s="167">
        <v>35000</v>
      </c>
      <c r="AT166" s="167">
        <v>30000</v>
      </c>
      <c r="AU166" s="167"/>
      <c r="AV166" s="167"/>
      <c r="AW166" s="167"/>
      <c r="AX166" s="167">
        <f t="shared" si="32"/>
        <v>65000</v>
      </c>
      <c r="AY166" s="168">
        <f t="shared" si="28"/>
        <v>-65000</v>
      </c>
      <c r="AZ166" s="168">
        <f t="shared" si="29"/>
        <v>-65000</v>
      </c>
      <c r="BA166" s="168">
        <f t="shared" si="30"/>
        <v>0</v>
      </c>
      <c r="BB166" s="168">
        <f t="shared" si="35"/>
        <v>-32500</v>
      </c>
      <c r="BC166" s="168">
        <f t="shared" si="36"/>
        <v>-29250</v>
      </c>
      <c r="BD166" s="169">
        <v>50000</v>
      </c>
      <c r="BE166" s="169"/>
      <c r="BF166" s="168">
        <f t="shared" si="26"/>
        <v>-79250</v>
      </c>
      <c r="BG166" s="33"/>
      <c r="BH166" s="16"/>
      <c r="BI166" s="16"/>
    </row>
    <row r="167" spans="1:61" ht="16.899999999999999">
      <c r="A167" s="36">
        <v>166</v>
      </c>
      <c r="B167" s="35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5"/>
      <c r="P167" s="33"/>
      <c r="Q167" s="33"/>
      <c r="R167" s="158"/>
      <c r="S167" s="158"/>
      <c r="T167" s="159">
        <f t="shared" si="33"/>
        <v>0</v>
      </c>
      <c r="U167" s="30"/>
      <c r="V167" s="30"/>
      <c r="W167" s="30"/>
      <c r="X167" s="30"/>
      <c r="Y167" s="238"/>
      <c r="Z167" s="242"/>
      <c r="AA167" s="33"/>
      <c r="AB167" s="160"/>
      <c r="AC167" s="161"/>
      <c r="AD167" s="162"/>
      <c r="AE167" s="163"/>
      <c r="AF167" s="23">
        <f t="shared" si="27"/>
        <v>0</v>
      </c>
      <c r="AG167" s="161">
        <f t="shared" si="31"/>
        <v>0</v>
      </c>
      <c r="AH167" s="164">
        <f t="shared" si="34"/>
        <v>0</v>
      </c>
      <c r="AI167" s="23"/>
      <c r="AJ167" s="23"/>
      <c r="AK167" s="166"/>
      <c r="AL167" s="161"/>
      <c r="AM167" s="166"/>
      <c r="AN167" s="161"/>
      <c r="AO167" s="166"/>
      <c r="AP167" s="161"/>
      <c r="AQ167" s="161"/>
      <c r="AR167" s="161"/>
      <c r="AS167" s="167">
        <v>35000</v>
      </c>
      <c r="AT167" s="167">
        <v>30000</v>
      </c>
      <c r="AU167" s="167"/>
      <c r="AV167" s="167"/>
      <c r="AW167" s="167"/>
      <c r="AX167" s="167">
        <f t="shared" si="32"/>
        <v>65000</v>
      </c>
      <c r="AY167" s="168">
        <f t="shared" si="28"/>
        <v>-65000</v>
      </c>
      <c r="AZ167" s="168">
        <f t="shared" si="29"/>
        <v>-65000</v>
      </c>
      <c r="BA167" s="168">
        <f t="shared" si="30"/>
        <v>0</v>
      </c>
      <c r="BB167" s="168">
        <f t="shared" si="35"/>
        <v>-32500</v>
      </c>
      <c r="BC167" s="168">
        <f t="shared" si="36"/>
        <v>-29250</v>
      </c>
      <c r="BD167" s="169">
        <v>50000</v>
      </c>
      <c r="BE167" s="169"/>
      <c r="BF167" s="168">
        <f t="shared" si="26"/>
        <v>-79250</v>
      </c>
      <c r="BG167" s="33"/>
      <c r="BH167" s="16"/>
      <c r="BI167" s="16"/>
    </row>
    <row r="168" spans="1:61" ht="16.899999999999999">
      <c r="A168" s="36">
        <v>167</v>
      </c>
      <c r="B168" s="35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5"/>
      <c r="P168" s="33"/>
      <c r="Q168" s="33"/>
      <c r="R168" s="158"/>
      <c r="S168" s="158"/>
      <c r="T168" s="159">
        <f t="shared" si="33"/>
        <v>0</v>
      </c>
      <c r="U168" s="30"/>
      <c r="V168" s="30"/>
      <c r="W168" s="30"/>
      <c r="X168" s="30"/>
      <c r="Y168" s="238"/>
      <c r="Z168" s="242"/>
      <c r="AA168" s="33"/>
      <c r="AB168" s="160"/>
      <c r="AC168" s="161"/>
      <c r="AD168" s="162"/>
      <c r="AE168" s="163"/>
      <c r="AF168" s="23">
        <f t="shared" si="27"/>
        <v>0</v>
      </c>
      <c r="AG168" s="161">
        <f t="shared" si="31"/>
        <v>0</v>
      </c>
      <c r="AH168" s="164">
        <f t="shared" si="34"/>
        <v>0</v>
      </c>
      <c r="AI168" s="23"/>
      <c r="AJ168" s="23"/>
      <c r="AK168" s="165"/>
      <c r="AL168" s="161"/>
      <c r="AM168" s="166"/>
      <c r="AN168" s="161"/>
      <c r="AO168" s="166"/>
      <c r="AP168" s="161"/>
      <c r="AQ168" s="161"/>
      <c r="AR168" s="161"/>
      <c r="AS168" s="167">
        <v>35000</v>
      </c>
      <c r="AT168" s="167">
        <v>30000</v>
      </c>
      <c r="AU168" s="167"/>
      <c r="AV168" s="167"/>
      <c r="AW168" s="167"/>
      <c r="AX168" s="167">
        <f t="shared" si="32"/>
        <v>65000</v>
      </c>
      <c r="AY168" s="168">
        <f t="shared" si="28"/>
        <v>-65000</v>
      </c>
      <c r="AZ168" s="168">
        <f t="shared" si="29"/>
        <v>-65000</v>
      </c>
      <c r="BA168" s="168">
        <f t="shared" si="30"/>
        <v>0</v>
      </c>
      <c r="BB168" s="168">
        <f t="shared" si="35"/>
        <v>-32500</v>
      </c>
      <c r="BC168" s="168">
        <f t="shared" si="36"/>
        <v>-29250</v>
      </c>
      <c r="BD168" s="169">
        <v>50000</v>
      </c>
      <c r="BE168" s="169"/>
      <c r="BF168" s="168">
        <f t="shared" si="26"/>
        <v>-79250</v>
      </c>
      <c r="BG168" s="33"/>
      <c r="BH168" s="16"/>
      <c r="BI168" s="16"/>
    </row>
    <row r="169" spans="1:61" ht="16.899999999999999">
      <c r="A169" s="36">
        <v>168</v>
      </c>
      <c r="B169" s="35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5"/>
      <c r="P169" s="33"/>
      <c r="Q169" s="33"/>
      <c r="R169" s="158"/>
      <c r="S169" s="158"/>
      <c r="T169" s="159">
        <f t="shared" si="33"/>
        <v>0</v>
      </c>
      <c r="U169" s="30"/>
      <c r="V169" s="30"/>
      <c r="W169" s="30"/>
      <c r="X169" s="30"/>
      <c r="Y169" s="238"/>
      <c r="Z169" s="242"/>
      <c r="AA169" s="33"/>
      <c r="AB169" s="160"/>
      <c r="AC169" s="161"/>
      <c r="AD169" s="162"/>
      <c r="AE169" s="163"/>
      <c r="AF169" s="23">
        <f t="shared" si="27"/>
        <v>0</v>
      </c>
      <c r="AG169" s="161">
        <f t="shared" si="31"/>
        <v>0</v>
      </c>
      <c r="AH169" s="164">
        <f t="shared" si="34"/>
        <v>0</v>
      </c>
      <c r="AI169" s="23"/>
      <c r="AJ169" s="23"/>
      <c r="AK169" s="165"/>
      <c r="AL169" s="161"/>
      <c r="AM169" s="166"/>
      <c r="AN169" s="161"/>
      <c r="AO169" s="166"/>
      <c r="AP169" s="161"/>
      <c r="AQ169" s="161"/>
      <c r="AR169" s="161"/>
      <c r="AS169" s="167">
        <v>35000</v>
      </c>
      <c r="AT169" s="167">
        <v>30000</v>
      </c>
      <c r="AU169" s="167"/>
      <c r="AV169" s="167"/>
      <c r="AW169" s="167"/>
      <c r="AX169" s="167">
        <f t="shared" si="32"/>
        <v>65000</v>
      </c>
      <c r="AY169" s="168">
        <f t="shared" si="28"/>
        <v>-65000</v>
      </c>
      <c r="AZ169" s="168">
        <f t="shared" si="29"/>
        <v>-65000</v>
      </c>
      <c r="BA169" s="168">
        <f t="shared" si="30"/>
        <v>0</v>
      </c>
      <c r="BB169" s="168">
        <f t="shared" si="35"/>
        <v>-32500</v>
      </c>
      <c r="BC169" s="168">
        <f t="shared" si="36"/>
        <v>-29250</v>
      </c>
      <c r="BD169" s="169">
        <v>50000</v>
      </c>
      <c r="BE169" s="169"/>
      <c r="BF169" s="168">
        <f t="shared" si="26"/>
        <v>-79250</v>
      </c>
      <c r="BG169" s="33"/>
      <c r="BH169" s="16"/>
      <c r="BI169" s="16"/>
    </row>
    <row r="170" spans="1:61" ht="16.899999999999999">
      <c r="A170" s="36">
        <v>169</v>
      </c>
      <c r="B170" s="35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5"/>
      <c r="P170" s="33"/>
      <c r="Q170" s="33"/>
      <c r="R170" s="158"/>
      <c r="S170" s="158"/>
      <c r="T170" s="159">
        <f t="shared" si="33"/>
        <v>0</v>
      </c>
      <c r="U170" s="30"/>
      <c r="V170" s="30"/>
      <c r="W170" s="30"/>
      <c r="X170" s="30"/>
      <c r="Y170" s="238"/>
      <c r="Z170" s="242"/>
      <c r="AA170" s="33"/>
      <c r="AB170" s="160"/>
      <c r="AC170" s="161"/>
      <c r="AD170" s="162"/>
      <c r="AE170" s="163"/>
      <c r="AF170" s="23">
        <f t="shared" si="27"/>
        <v>0</v>
      </c>
      <c r="AG170" s="161">
        <f t="shared" si="31"/>
        <v>0</v>
      </c>
      <c r="AH170" s="164">
        <f t="shared" si="34"/>
        <v>0</v>
      </c>
      <c r="AI170" s="23"/>
      <c r="AJ170" s="23"/>
      <c r="AK170" s="165"/>
      <c r="AL170" s="161"/>
      <c r="AM170" s="166"/>
      <c r="AN170" s="161"/>
      <c r="AO170" s="166"/>
      <c r="AP170" s="161"/>
      <c r="AQ170" s="161"/>
      <c r="AR170" s="161"/>
      <c r="AS170" s="167">
        <v>35000</v>
      </c>
      <c r="AT170" s="167">
        <v>30000</v>
      </c>
      <c r="AU170" s="167"/>
      <c r="AV170" s="167"/>
      <c r="AW170" s="167"/>
      <c r="AX170" s="167">
        <f t="shared" si="32"/>
        <v>65000</v>
      </c>
      <c r="AY170" s="168">
        <f t="shared" si="28"/>
        <v>-65000</v>
      </c>
      <c r="AZ170" s="168">
        <f t="shared" si="29"/>
        <v>-65000</v>
      </c>
      <c r="BA170" s="168">
        <f t="shared" si="30"/>
        <v>0</v>
      </c>
      <c r="BB170" s="168">
        <f t="shared" si="35"/>
        <v>-32500</v>
      </c>
      <c r="BC170" s="168">
        <f t="shared" si="36"/>
        <v>-29250</v>
      </c>
      <c r="BD170" s="169">
        <v>50000</v>
      </c>
      <c r="BE170" s="169"/>
      <c r="BF170" s="168">
        <f t="shared" si="26"/>
        <v>-79250</v>
      </c>
      <c r="BG170" s="33"/>
      <c r="BH170" s="16"/>
      <c r="BI170" s="16"/>
    </row>
    <row r="171" spans="1:61" ht="16.899999999999999">
      <c r="A171" s="36">
        <v>170</v>
      </c>
      <c r="B171" s="35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5"/>
      <c r="P171" s="33"/>
      <c r="Q171" s="33"/>
      <c r="R171" s="158"/>
      <c r="S171" s="158"/>
      <c r="T171" s="159">
        <f t="shared" si="33"/>
        <v>0</v>
      </c>
      <c r="U171" s="30"/>
      <c r="V171" s="30"/>
      <c r="W171" s="30"/>
      <c r="X171" s="30"/>
      <c r="Y171" s="238"/>
      <c r="Z171" s="242"/>
      <c r="AA171" s="33"/>
      <c r="AB171" s="160"/>
      <c r="AC171" s="161"/>
      <c r="AD171" s="162"/>
      <c r="AE171" s="163"/>
      <c r="AF171" s="23">
        <f t="shared" si="27"/>
        <v>0</v>
      </c>
      <c r="AG171" s="161">
        <f t="shared" si="31"/>
        <v>0</v>
      </c>
      <c r="AH171" s="164">
        <f t="shared" si="34"/>
        <v>0</v>
      </c>
      <c r="AI171" s="23"/>
      <c r="AJ171" s="23"/>
      <c r="AK171" s="165"/>
      <c r="AL171" s="161"/>
      <c r="AM171" s="166"/>
      <c r="AN171" s="161"/>
      <c r="AO171" s="166"/>
      <c r="AP171" s="161"/>
      <c r="AQ171" s="161"/>
      <c r="AR171" s="161"/>
      <c r="AS171" s="167">
        <v>35000</v>
      </c>
      <c r="AT171" s="167">
        <v>30000</v>
      </c>
      <c r="AU171" s="167"/>
      <c r="AV171" s="167"/>
      <c r="AW171" s="167"/>
      <c r="AX171" s="167">
        <f t="shared" si="32"/>
        <v>65000</v>
      </c>
      <c r="AY171" s="168">
        <f t="shared" si="28"/>
        <v>-65000</v>
      </c>
      <c r="AZ171" s="168">
        <f t="shared" si="29"/>
        <v>-65000</v>
      </c>
      <c r="BA171" s="168">
        <f t="shared" si="30"/>
        <v>0</v>
      </c>
      <c r="BB171" s="168">
        <f t="shared" si="35"/>
        <v>-32500</v>
      </c>
      <c r="BC171" s="168">
        <f t="shared" si="36"/>
        <v>-29250</v>
      </c>
      <c r="BD171" s="169">
        <v>50000</v>
      </c>
      <c r="BE171" s="169"/>
      <c r="BF171" s="168">
        <f t="shared" si="26"/>
        <v>-79250</v>
      </c>
      <c r="BG171" s="33"/>
      <c r="BH171" s="16"/>
      <c r="BI171" s="16"/>
    </row>
    <row r="172" spans="1:61" ht="16.899999999999999">
      <c r="A172" s="36">
        <v>171</v>
      </c>
      <c r="B172" s="35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5"/>
      <c r="P172" s="33"/>
      <c r="Q172" s="33"/>
      <c r="R172" s="158"/>
      <c r="S172" s="158"/>
      <c r="T172" s="159">
        <f t="shared" si="33"/>
        <v>0</v>
      </c>
      <c r="U172" s="30"/>
      <c r="V172" s="30"/>
      <c r="W172" s="30"/>
      <c r="X172" s="30"/>
      <c r="Y172" s="238"/>
      <c r="Z172" s="242"/>
      <c r="AA172" s="33"/>
      <c r="AB172" s="160"/>
      <c r="AC172" s="161"/>
      <c r="AD172" s="162"/>
      <c r="AE172" s="163"/>
      <c r="AF172" s="23">
        <f t="shared" si="27"/>
        <v>0</v>
      </c>
      <c r="AG172" s="161">
        <f t="shared" si="31"/>
        <v>0</v>
      </c>
      <c r="AH172" s="164">
        <f t="shared" si="34"/>
        <v>0</v>
      </c>
      <c r="AI172" s="23"/>
      <c r="AJ172" s="23"/>
      <c r="AK172" s="165"/>
      <c r="AL172" s="161"/>
      <c r="AM172" s="166"/>
      <c r="AN172" s="161"/>
      <c r="AO172" s="166"/>
      <c r="AP172" s="161"/>
      <c r="AQ172" s="161"/>
      <c r="AR172" s="161"/>
      <c r="AS172" s="167">
        <v>35000</v>
      </c>
      <c r="AT172" s="167">
        <v>30000</v>
      </c>
      <c r="AU172" s="167"/>
      <c r="AV172" s="167"/>
      <c r="AW172" s="167"/>
      <c r="AX172" s="167">
        <f t="shared" si="32"/>
        <v>65000</v>
      </c>
      <c r="AY172" s="168">
        <f t="shared" si="28"/>
        <v>-65000</v>
      </c>
      <c r="AZ172" s="168">
        <f t="shared" si="29"/>
        <v>-65000</v>
      </c>
      <c r="BA172" s="168">
        <f t="shared" si="30"/>
        <v>0</v>
      </c>
      <c r="BB172" s="168">
        <f t="shared" si="35"/>
        <v>-32500</v>
      </c>
      <c r="BC172" s="168">
        <f t="shared" si="36"/>
        <v>-29250</v>
      </c>
      <c r="BD172" s="169">
        <v>50000</v>
      </c>
      <c r="BE172" s="169"/>
      <c r="BF172" s="168">
        <f t="shared" si="26"/>
        <v>-79250</v>
      </c>
      <c r="BG172" s="33"/>
      <c r="BH172" s="16"/>
      <c r="BI172" s="16"/>
    </row>
    <row r="173" spans="1:61" ht="16.899999999999999">
      <c r="A173" s="36">
        <v>172</v>
      </c>
      <c r="B173" s="35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5"/>
      <c r="P173" s="33"/>
      <c r="Q173" s="33"/>
      <c r="R173" s="158"/>
      <c r="S173" s="158"/>
      <c r="T173" s="159">
        <f t="shared" si="33"/>
        <v>0</v>
      </c>
      <c r="U173" s="30"/>
      <c r="V173" s="30"/>
      <c r="W173" s="30"/>
      <c r="X173" s="30"/>
      <c r="Y173" s="238"/>
      <c r="Z173" s="242"/>
      <c r="AA173" s="33"/>
      <c r="AB173" s="160"/>
      <c r="AC173" s="161"/>
      <c r="AD173" s="162"/>
      <c r="AE173" s="163"/>
      <c r="AF173" s="23">
        <f t="shared" si="27"/>
        <v>0</v>
      </c>
      <c r="AG173" s="161">
        <f t="shared" si="31"/>
        <v>0</v>
      </c>
      <c r="AH173" s="164">
        <f t="shared" si="34"/>
        <v>0</v>
      </c>
      <c r="AI173" s="37"/>
      <c r="AJ173" s="37"/>
      <c r="AK173" s="165"/>
      <c r="AL173" s="161"/>
      <c r="AM173" s="166"/>
      <c r="AN173" s="161"/>
      <c r="AO173" s="166"/>
      <c r="AP173" s="161"/>
      <c r="AQ173" s="161"/>
      <c r="AR173" s="161"/>
      <c r="AS173" s="167">
        <v>35000</v>
      </c>
      <c r="AT173" s="167">
        <v>30000</v>
      </c>
      <c r="AU173" s="167"/>
      <c r="AV173" s="167"/>
      <c r="AW173" s="167"/>
      <c r="AX173" s="167">
        <f t="shared" si="32"/>
        <v>65000</v>
      </c>
      <c r="AY173" s="168">
        <f t="shared" si="28"/>
        <v>-65000</v>
      </c>
      <c r="AZ173" s="168">
        <f t="shared" si="29"/>
        <v>-65000</v>
      </c>
      <c r="BA173" s="168">
        <f t="shared" si="30"/>
        <v>0</v>
      </c>
      <c r="BB173" s="168">
        <f t="shared" si="35"/>
        <v>-32500</v>
      </c>
      <c r="BC173" s="168">
        <f t="shared" si="36"/>
        <v>-29250</v>
      </c>
      <c r="BD173" s="169">
        <v>50000</v>
      </c>
      <c r="BE173" s="169"/>
      <c r="BF173" s="168">
        <f t="shared" si="26"/>
        <v>-79250</v>
      </c>
      <c r="BG173" s="33"/>
      <c r="BH173" s="16"/>
      <c r="BI173" s="16"/>
    </row>
    <row r="174" spans="1:61" ht="16.899999999999999">
      <c r="A174" s="36">
        <v>173</v>
      </c>
      <c r="B174" s="35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5"/>
      <c r="P174" s="33"/>
      <c r="Q174" s="33"/>
      <c r="R174" s="158"/>
      <c r="S174" s="158"/>
      <c r="T174" s="159">
        <f t="shared" si="33"/>
        <v>0</v>
      </c>
      <c r="U174" s="30"/>
      <c r="V174" s="30"/>
      <c r="W174" s="30"/>
      <c r="X174" s="30"/>
      <c r="Y174" s="238"/>
      <c r="Z174" s="242"/>
      <c r="AA174" s="33"/>
      <c r="AB174" s="160"/>
      <c r="AC174" s="161"/>
      <c r="AD174" s="162"/>
      <c r="AE174" s="163"/>
      <c r="AF174" s="23">
        <f t="shared" si="27"/>
        <v>0</v>
      </c>
      <c r="AG174" s="161">
        <f t="shared" si="31"/>
        <v>0</v>
      </c>
      <c r="AH174" s="164">
        <f t="shared" si="34"/>
        <v>0</v>
      </c>
      <c r="AI174" s="23"/>
      <c r="AJ174" s="23"/>
      <c r="AK174" s="165"/>
      <c r="AL174" s="161"/>
      <c r="AM174" s="166"/>
      <c r="AN174" s="161"/>
      <c r="AO174" s="166"/>
      <c r="AP174" s="161"/>
      <c r="AQ174" s="161"/>
      <c r="AR174" s="161"/>
      <c r="AS174" s="167">
        <v>35000</v>
      </c>
      <c r="AT174" s="167">
        <v>30000</v>
      </c>
      <c r="AU174" s="167"/>
      <c r="AV174" s="167"/>
      <c r="AW174" s="167"/>
      <c r="AX174" s="167">
        <f t="shared" si="32"/>
        <v>65000</v>
      </c>
      <c r="AY174" s="168">
        <f t="shared" si="28"/>
        <v>-65000</v>
      </c>
      <c r="AZ174" s="168">
        <f t="shared" si="29"/>
        <v>-65000</v>
      </c>
      <c r="BA174" s="168">
        <f t="shared" si="30"/>
        <v>0</v>
      </c>
      <c r="BB174" s="168">
        <f t="shared" si="35"/>
        <v>-32500</v>
      </c>
      <c r="BC174" s="168">
        <f t="shared" si="36"/>
        <v>-29250</v>
      </c>
      <c r="BD174" s="169">
        <v>50000</v>
      </c>
      <c r="BE174" s="169"/>
      <c r="BF174" s="168">
        <f t="shared" si="26"/>
        <v>-79250</v>
      </c>
      <c r="BG174" s="33"/>
      <c r="BH174" s="16"/>
      <c r="BI174" s="16"/>
    </row>
    <row r="175" spans="1:61" ht="16.899999999999999">
      <c r="A175" s="36">
        <v>174</v>
      </c>
      <c r="B175" s="35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5"/>
      <c r="P175" s="33"/>
      <c r="Q175" s="33"/>
      <c r="R175" s="158"/>
      <c r="S175" s="158"/>
      <c r="T175" s="159">
        <f t="shared" si="33"/>
        <v>0</v>
      </c>
      <c r="U175" s="30"/>
      <c r="V175" s="30"/>
      <c r="W175" s="30"/>
      <c r="X175" s="30"/>
      <c r="Y175" s="238"/>
      <c r="Z175" s="242"/>
      <c r="AA175" s="33"/>
      <c r="AB175" s="160"/>
      <c r="AC175" s="161"/>
      <c r="AD175" s="162"/>
      <c r="AE175" s="163"/>
      <c r="AF175" s="23">
        <f t="shared" si="27"/>
        <v>0</v>
      </c>
      <c r="AG175" s="161">
        <f t="shared" si="31"/>
        <v>0</v>
      </c>
      <c r="AH175" s="164">
        <f t="shared" si="34"/>
        <v>0</v>
      </c>
      <c r="AI175" s="23"/>
      <c r="AJ175" s="23"/>
      <c r="AK175" s="165"/>
      <c r="AL175" s="161"/>
      <c r="AM175" s="166"/>
      <c r="AN175" s="161"/>
      <c r="AO175" s="166"/>
      <c r="AP175" s="161"/>
      <c r="AQ175" s="161"/>
      <c r="AR175" s="161"/>
      <c r="AS175" s="167">
        <v>35000</v>
      </c>
      <c r="AT175" s="167">
        <v>30000</v>
      </c>
      <c r="AU175" s="167"/>
      <c r="AV175" s="167"/>
      <c r="AW175" s="167"/>
      <c r="AX175" s="167">
        <f t="shared" si="32"/>
        <v>65000</v>
      </c>
      <c r="AY175" s="168">
        <f t="shared" si="28"/>
        <v>-65000</v>
      </c>
      <c r="AZ175" s="168">
        <f t="shared" si="29"/>
        <v>-65000</v>
      </c>
      <c r="BA175" s="168">
        <f t="shared" si="30"/>
        <v>0</v>
      </c>
      <c r="BB175" s="168">
        <f t="shared" si="35"/>
        <v>-32500</v>
      </c>
      <c r="BC175" s="168">
        <f t="shared" si="36"/>
        <v>-29250</v>
      </c>
      <c r="BD175" s="169">
        <v>50000</v>
      </c>
      <c r="BE175" s="169"/>
      <c r="BF175" s="168">
        <f t="shared" si="26"/>
        <v>-79250</v>
      </c>
      <c r="BG175" s="33"/>
      <c r="BH175" s="16"/>
      <c r="BI175" s="16"/>
    </row>
    <row r="176" spans="1:61" ht="16.899999999999999">
      <c r="A176" s="36">
        <v>175</v>
      </c>
      <c r="B176" s="35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5"/>
      <c r="P176" s="33"/>
      <c r="Q176" s="33"/>
      <c r="R176" s="158"/>
      <c r="S176" s="158"/>
      <c r="T176" s="159">
        <f t="shared" si="33"/>
        <v>0</v>
      </c>
      <c r="U176" s="30"/>
      <c r="V176" s="30"/>
      <c r="W176" s="30"/>
      <c r="X176" s="30"/>
      <c r="Y176" s="238"/>
      <c r="Z176" s="242"/>
      <c r="AA176" s="33"/>
      <c r="AB176" s="160"/>
      <c r="AC176" s="161"/>
      <c r="AD176" s="162"/>
      <c r="AE176" s="163"/>
      <c r="AF176" s="23">
        <f t="shared" si="27"/>
        <v>0</v>
      </c>
      <c r="AG176" s="161">
        <f t="shared" si="31"/>
        <v>0</v>
      </c>
      <c r="AH176" s="164">
        <f t="shared" si="34"/>
        <v>0</v>
      </c>
      <c r="AI176" s="23"/>
      <c r="AJ176" s="23"/>
      <c r="AK176" s="165"/>
      <c r="AL176" s="161"/>
      <c r="AM176" s="166"/>
      <c r="AN176" s="161"/>
      <c r="AO176" s="166"/>
      <c r="AP176" s="161"/>
      <c r="AQ176" s="161"/>
      <c r="AR176" s="161"/>
      <c r="AS176" s="167">
        <v>35000</v>
      </c>
      <c r="AT176" s="167">
        <v>30000</v>
      </c>
      <c r="AU176" s="167"/>
      <c r="AV176" s="167"/>
      <c r="AW176" s="167"/>
      <c r="AX176" s="167">
        <f t="shared" si="32"/>
        <v>65000</v>
      </c>
      <c r="AY176" s="168">
        <f t="shared" si="28"/>
        <v>-65000</v>
      </c>
      <c r="AZ176" s="168">
        <f t="shared" si="29"/>
        <v>-65000</v>
      </c>
      <c r="BA176" s="168">
        <f t="shared" si="30"/>
        <v>0</v>
      </c>
      <c r="BB176" s="168">
        <f t="shared" si="35"/>
        <v>-32500</v>
      </c>
      <c r="BC176" s="168">
        <f t="shared" si="36"/>
        <v>-29250</v>
      </c>
      <c r="BD176" s="169">
        <v>50000</v>
      </c>
      <c r="BE176" s="169"/>
      <c r="BF176" s="168">
        <f t="shared" si="26"/>
        <v>-79250</v>
      </c>
      <c r="BG176" s="33"/>
      <c r="BH176" s="16"/>
      <c r="BI176" s="16"/>
    </row>
    <row r="177" spans="1:61" ht="16.899999999999999">
      <c r="A177" s="36">
        <v>176</v>
      </c>
      <c r="B177" s="35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5"/>
      <c r="P177" s="33"/>
      <c r="Q177" s="33"/>
      <c r="R177" s="158"/>
      <c r="S177" s="158"/>
      <c r="T177" s="159">
        <f t="shared" si="33"/>
        <v>0</v>
      </c>
      <c r="U177" s="30"/>
      <c r="V177" s="30"/>
      <c r="W177" s="30"/>
      <c r="X177" s="30"/>
      <c r="Y177" s="238"/>
      <c r="Z177" s="242"/>
      <c r="AA177" s="33"/>
      <c r="AB177" s="160"/>
      <c r="AC177" s="161"/>
      <c r="AD177" s="162"/>
      <c r="AE177" s="163"/>
      <c r="AF177" s="23">
        <f t="shared" si="27"/>
        <v>0</v>
      </c>
      <c r="AG177" s="161">
        <f t="shared" si="31"/>
        <v>0</v>
      </c>
      <c r="AH177" s="164">
        <f t="shared" si="34"/>
        <v>0</v>
      </c>
      <c r="AI177" s="37"/>
      <c r="AJ177" s="37"/>
      <c r="AK177" s="165"/>
      <c r="AL177" s="161"/>
      <c r="AM177" s="166"/>
      <c r="AN177" s="161"/>
      <c r="AO177" s="166"/>
      <c r="AP177" s="161"/>
      <c r="AQ177" s="161"/>
      <c r="AR177" s="161"/>
      <c r="AS177" s="167">
        <v>35000</v>
      </c>
      <c r="AT177" s="167">
        <v>30000</v>
      </c>
      <c r="AU177" s="167"/>
      <c r="AV177" s="167"/>
      <c r="AW177" s="167"/>
      <c r="AX177" s="167">
        <f t="shared" si="32"/>
        <v>65000</v>
      </c>
      <c r="AY177" s="168">
        <f t="shared" si="28"/>
        <v>-65000</v>
      </c>
      <c r="AZ177" s="168">
        <f t="shared" si="29"/>
        <v>-65000</v>
      </c>
      <c r="BA177" s="168">
        <f t="shared" si="30"/>
        <v>0</v>
      </c>
      <c r="BB177" s="168">
        <f t="shared" si="35"/>
        <v>-32500</v>
      </c>
      <c r="BC177" s="168">
        <f t="shared" si="36"/>
        <v>-29250</v>
      </c>
      <c r="BD177" s="169">
        <v>50000</v>
      </c>
      <c r="BE177" s="169"/>
      <c r="BF177" s="168">
        <f t="shared" si="26"/>
        <v>-79250</v>
      </c>
      <c r="BG177" s="33"/>
      <c r="BH177" s="16"/>
      <c r="BI177" s="16"/>
    </row>
    <row r="178" spans="1:61" ht="16.899999999999999">
      <c r="A178" s="36">
        <v>177</v>
      </c>
      <c r="B178" s="35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5"/>
      <c r="P178" s="33"/>
      <c r="Q178" s="33"/>
      <c r="R178" s="158"/>
      <c r="S178" s="158"/>
      <c r="T178" s="159">
        <f t="shared" si="33"/>
        <v>0</v>
      </c>
      <c r="U178" s="30"/>
      <c r="V178" s="30"/>
      <c r="W178" s="30"/>
      <c r="X178" s="30"/>
      <c r="Y178" s="238"/>
      <c r="Z178" s="242"/>
      <c r="AA178" s="33"/>
      <c r="AB178" s="160"/>
      <c r="AC178" s="161"/>
      <c r="AD178" s="162"/>
      <c r="AE178" s="163"/>
      <c r="AF178" s="23">
        <f t="shared" si="27"/>
        <v>0</v>
      </c>
      <c r="AG178" s="161">
        <f t="shared" si="31"/>
        <v>0</v>
      </c>
      <c r="AH178" s="164">
        <f t="shared" si="34"/>
        <v>0</v>
      </c>
      <c r="AI178" s="23"/>
      <c r="AJ178" s="23"/>
      <c r="AK178" s="165"/>
      <c r="AL178" s="161"/>
      <c r="AM178" s="166"/>
      <c r="AN178" s="161"/>
      <c r="AO178" s="166"/>
      <c r="AP178" s="161"/>
      <c r="AQ178" s="161"/>
      <c r="AR178" s="161"/>
      <c r="AS178" s="167">
        <v>35000</v>
      </c>
      <c r="AT178" s="167">
        <v>30000</v>
      </c>
      <c r="AU178" s="167"/>
      <c r="AV178" s="167"/>
      <c r="AW178" s="167"/>
      <c r="AX178" s="167">
        <f t="shared" si="32"/>
        <v>65000</v>
      </c>
      <c r="AY178" s="168">
        <f t="shared" si="28"/>
        <v>-65000</v>
      </c>
      <c r="AZ178" s="168">
        <f t="shared" si="29"/>
        <v>-65000</v>
      </c>
      <c r="BA178" s="168">
        <f t="shared" si="30"/>
        <v>0</v>
      </c>
      <c r="BB178" s="168">
        <f t="shared" si="35"/>
        <v>-32500</v>
      </c>
      <c r="BC178" s="168">
        <f t="shared" si="36"/>
        <v>-29250</v>
      </c>
      <c r="BD178" s="169">
        <v>50000</v>
      </c>
      <c r="BE178" s="169"/>
      <c r="BF178" s="168">
        <f t="shared" si="26"/>
        <v>-79250</v>
      </c>
      <c r="BG178" s="33"/>
      <c r="BH178" s="16"/>
      <c r="BI178" s="16"/>
    </row>
    <row r="179" spans="1:61" ht="16.899999999999999">
      <c r="A179" s="36">
        <v>178</v>
      </c>
      <c r="B179" s="35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5"/>
      <c r="P179" s="33"/>
      <c r="Q179" s="33"/>
      <c r="R179" s="158"/>
      <c r="S179" s="158"/>
      <c r="T179" s="159">
        <f t="shared" si="33"/>
        <v>0</v>
      </c>
      <c r="U179" s="30"/>
      <c r="V179" s="30"/>
      <c r="W179" s="30"/>
      <c r="X179" s="30"/>
      <c r="Y179" s="238"/>
      <c r="Z179" s="242"/>
      <c r="AA179" s="33"/>
      <c r="AB179" s="160"/>
      <c r="AC179" s="161"/>
      <c r="AD179" s="162"/>
      <c r="AE179" s="163"/>
      <c r="AF179" s="23">
        <f t="shared" si="27"/>
        <v>0</v>
      </c>
      <c r="AG179" s="161">
        <f t="shared" si="31"/>
        <v>0</v>
      </c>
      <c r="AH179" s="164">
        <f t="shared" si="34"/>
        <v>0</v>
      </c>
      <c r="AI179" s="23"/>
      <c r="AJ179" s="23"/>
      <c r="AK179" s="165"/>
      <c r="AL179" s="161"/>
      <c r="AM179" s="166"/>
      <c r="AN179" s="161"/>
      <c r="AO179" s="166"/>
      <c r="AP179" s="161"/>
      <c r="AQ179" s="161"/>
      <c r="AR179" s="161"/>
      <c r="AS179" s="167">
        <v>35000</v>
      </c>
      <c r="AT179" s="167">
        <v>30000</v>
      </c>
      <c r="AU179" s="167"/>
      <c r="AV179" s="167"/>
      <c r="AW179" s="167"/>
      <c r="AX179" s="167">
        <f t="shared" si="32"/>
        <v>65000</v>
      </c>
      <c r="AY179" s="168">
        <f t="shared" si="28"/>
        <v>-65000</v>
      </c>
      <c r="AZ179" s="168">
        <f t="shared" si="29"/>
        <v>-65000</v>
      </c>
      <c r="BA179" s="168">
        <f t="shared" si="30"/>
        <v>0</v>
      </c>
      <c r="BB179" s="168">
        <f t="shared" si="35"/>
        <v>-32500</v>
      </c>
      <c r="BC179" s="168">
        <f t="shared" si="36"/>
        <v>-29250</v>
      </c>
      <c r="BD179" s="169">
        <v>50000</v>
      </c>
      <c r="BE179" s="169"/>
      <c r="BF179" s="168">
        <f t="shared" si="26"/>
        <v>-79250</v>
      </c>
      <c r="BG179" s="33"/>
      <c r="BH179" s="16"/>
      <c r="BI179" s="16"/>
    </row>
    <row r="180" spans="1:61" ht="16.5" customHeight="1">
      <c r="A180" s="36">
        <v>179</v>
      </c>
      <c r="B180" s="35"/>
      <c r="C180" s="33"/>
      <c r="D180" s="33"/>
      <c r="E180" s="33"/>
      <c r="F180" s="38"/>
      <c r="G180" s="38"/>
      <c r="H180" s="38"/>
      <c r="I180" s="38"/>
      <c r="J180" s="38"/>
      <c r="K180" s="38"/>
      <c r="L180" s="33"/>
      <c r="M180" s="33"/>
      <c r="N180" s="38"/>
      <c r="O180" s="33"/>
      <c r="P180" s="38"/>
      <c r="Q180" s="216"/>
      <c r="R180" s="158"/>
      <c r="S180" s="160"/>
      <c r="T180" s="159">
        <f t="shared" si="33"/>
        <v>0</v>
      </c>
      <c r="U180" s="30"/>
      <c r="V180" s="30"/>
      <c r="W180" s="30"/>
      <c r="X180" s="30"/>
      <c r="Y180" s="238"/>
      <c r="Z180" s="242"/>
      <c r="AA180" s="38"/>
      <c r="AB180" s="160"/>
      <c r="AC180" s="161"/>
      <c r="AD180" s="162"/>
      <c r="AE180" s="163"/>
      <c r="AF180" s="23">
        <f t="shared" si="27"/>
        <v>0</v>
      </c>
      <c r="AG180" s="161">
        <f t="shared" si="31"/>
        <v>0</v>
      </c>
      <c r="AH180" s="164">
        <f t="shared" si="34"/>
        <v>0</v>
      </c>
      <c r="AI180" s="37"/>
      <c r="AJ180" s="37"/>
      <c r="AK180" s="165"/>
      <c r="AL180" s="161"/>
      <c r="AM180" s="166"/>
      <c r="AN180" s="170"/>
      <c r="AO180" s="166"/>
      <c r="AP180" s="161"/>
      <c r="AQ180" s="161"/>
      <c r="AR180" s="161"/>
      <c r="AS180" s="167">
        <v>35000</v>
      </c>
      <c r="AT180" s="167">
        <v>30000</v>
      </c>
      <c r="AU180" s="167"/>
      <c r="AV180" s="167"/>
      <c r="AW180" s="171"/>
      <c r="AX180" s="167">
        <f t="shared" si="32"/>
        <v>65000</v>
      </c>
      <c r="AY180" s="168">
        <f t="shared" si="28"/>
        <v>-65000</v>
      </c>
      <c r="AZ180" s="168">
        <f t="shared" si="29"/>
        <v>-65000</v>
      </c>
      <c r="BA180" s="168">
        <f t="shared" si="30"/>
        <v>0</v>
      </c>
      <c r="BB180" s="168">
        <f t="shared" si="35"/>
        <v>-32500</v>
      </c>
      <c r="BC180" s="168">
        <f t="shared" si="36"/>
        <v>-29250</v>
      </c>
      <c r="BD180" s="169">
        <v>50000</v>
      </c>
      <c r="BE180" s="172"/>
      <c r="BF180" s="168">
        <f t="shared" si="26"/>
        <v>-79250</v>
      </c>
      <c r="BG180" s="33"/>
      <c r="BH180" s="16"/>
      <c r="BI180" s="16"/>
    </row>
    <row r="181" spans="1:61" ht="16.899999999999999">
      <c r="A181" s="36">
        <v>180</v>
      </c>
      <c r="B181" s="35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5"/>
      <c r="P181" s="33"/>
      <c r="Q181" s="33"/>
      <c r="R181" s="158"/>
      <c r="S181" s="158"/>
      <c r="T181" s="159">
        <f t="shared" si="33"/>
        <v>0</v>
      </c>
      <c r="U181" s="30"/>
      <c r="V181" s="30"/>
      <c r="W181" s="30"/>
      <c r="X181" s="30"/>
      <c r="Y181" s="238"/>
      <c r="Z181" s="242"/>
      <c r="AA181" s="33"/>
      <c r="AB181" s="160"/>
      <c r="AC181" s="161"/>
      <c r="AD181" s="162"/>
      <c r="AE181" s="163"/>
      <c r="AF181" s="23">
        <f t="shared" si="27"/>
        <v>0</v>
      </c>
      <c r="AG181" s="161">
        <f t="shared" si="31"/>
        <v>0</v>
      </c>
      <c r="AH181" s="164">
        <f t="shared" si="34"/>
        <v>0</v>
      </c>
      <c r="AI181" s="23"/>
      <c r="AJ181" s="23"/>
      <c r="AK181" s="165"/>
      <c r="AL181" s="161"/>
      <c r="AM181" s="166"/>
      <c r="AN181" s="161"/>
      <c r="AO181" s="166"/>
      <c r="AP181" s="161"/>
      <c r="AQ181" s="161"/>
      <c r="AR181" s="161"/>
      <c r="AS181" s="167">
        <v>35000</v>
      </c>
      <c r="AT181" s="167">
        <v>30000</v>
      </c>
      <c r="AU181" s="167"/>
      <c r="AV181" s="167"/>
      <c r="AW181" s="167"/>
      <c r="AX181" s="167">
        <f t="shared" si="32"/>
        <v>65000</v>
      </c>
      <c r="AY181" s="168">
        <f t="shared" si="28"/>
        <v>-65000</v>
      </c>
      <c r="AZ181" s="168">
        <f t="shared" si="29"/>
        <v>-65000</v>
      </c>
      <c r="BA181" s="168">
        <f t="shared" si="30"/>
        <v>0</v>
      </c>
      <c r="BB181" s="168">
        <f t="shared" si="35"/>
        <v>-32500</v>
      </c>
      <c r="BC181" s="168">
        <f t="shared" si="36"/>
        <v>-29250</v>
      </c>
      <c r="BD181" s="169">
        <v>50000</v>
      </c>
      <c r="BE181" s="169"/>
      <c r="BF181" s="168">
        <f t="shared" ref="BF181:BF244" si="37">SUM(BC181-BD181-BE181)</f>
        <v>-79250</v>
      </c>
      <c r="BG181" s="33"/>
      <c r="BH181" s="16"/>
      <c r="BI181" s="16"/>
    </row>
    <row r="182" spans="1:61" ht="16.899999999999999">
      <c r="A182" s="36">
        <v>181</v>
      </c>
      <c r="B182" s="35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5"/>
      <c r="P182" s="33"/>
      <c r="Q182" s="33"/>
      <c r="R182" s="158"/>
      <c r="S182" s="158"/>
      <c r="T182" s="159">
        <f t="shared" si="33"/>
        <v>0</v>
      </c>
      <c r="U182" s="30"/>
      <c r="V182" s="30"/>
      <c r="W182" s="30"/>
      <c r="X182" s="30"/>
      <c r="Y182" s="238"/>
      <c r="Z182" s="242"/>
      <c r="AA182" s="33"/>
      <c r="AB182" s="160"/>
      <c r="AC182" s="161"/>
      <c r="AD182" s="162"/>
      <c r="AE182" s="163"/>
      <c r="AF182" s="23">
        <f t="shared" si="27"/>
        <v>0</v>
      </c>
      <c r="AG182" s="161">
        <f t="shared" si="31"/>
        <v>0</v>
      </c>
      <c r="AH182" s="164">
        <f t="shared" si="34"/>
        <v>0</v>
      </c>
      <c r="AI182" s="23"/>
      <c r="AJ182" s="23"/>
      <c r="AK182" s="165"/>
      <c r="AL182" s="161"/>
      <c r="AM182" s="166"/>
      <c r="AN182" s="161"/>
      <c r="AO182" s="166"/>
      <c r="AP182" s="161"/>
      <c r="AQ182" s="161"/>
      <c r="AR182" s="161"/>
      <c r="AS182" s="167">
        <v>35000</v>
      </c>
      <c r="AT182" s="167">
        <v>30000</v>
      </c>
      <c r="AU182" s="167"/>
      <c r="AV182" s="167"/>
      <c r="AW182" s="167"/>
      <c r="AX182" s="167">
        <f t="shared" si="32"/>
        <v>65000</v>
      </c>
      <c r="AY182" s="168">
        <f t="shared" si="28"/>
        <v>-65000</v>
      </c>
      <c r="AZ182" s="168">
        <f t="shared" si="29"/>
        <v>-65000</v>
      </c>
      <c r="BA182" s="168">
        <f t="shared" si="30"/>
        <v>0</v>
      </c>
      <c r="BB182" s="168">
        <f t="shared" si="35"/>
        <v>-32500</v>
      </c>
      <c r="BC182" s="168">
        <f t="shared" si="36"/>
        <v>-29250</v>
      </c>
      <c r="BD182" s="169">
        <v>50000</v>
      </c>
      <c r="BE182" s="169"/>
      <c r="BF182" s="168">
        <f t="shared" si="37"/>
        <v>-79250</v>
      </c>
      <c r="BG182" s="33"/>
      <c r="BH182" s="16"/>
      <c r="BI182" s="16"/>
    </row>
    <row r="183" spans="1:61" s="6" customFormat="1" ht="16.899999999999999">
      <c r="A183" s="36">
        <v>182</v>
      </c>
      <c r="B183" s="35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5"/>
      <c r="P183" s="33"/>
      <c r="Q183" s="33"/>
      <c r="R183" s="158"/>
      <c r="S183" s="158"/>
      <c r="T183" s="159">
        <f t="shared" si="33"/>
        <v>0</v>
      </c>
      <c r="U183" s="30"/>
      <c r="V183" s="30"/>
      <c r="W183" s="30"/>
      <c r="X183" s="30"/>
      <c r="Y183" s="238"/>
      <c r="Z183" s="242"/>
      <c r="AA183" s="33"/>
      <c r="AB183" s="160"/>
      <c r="AC183" s="161"/>
      <c r="AD183" s="162"/>
      <c r="AE183" s="163"/>
      <c r="AF183" s="23">
        <f t="shared" si="27"/>
        <v>0</v>
      </c>
      <c r="AG183" s="161">
        <f t="shared" si="31"/>
        <v>0</v>
      </c>
      <c r="AH183" s="164">
        <f t="shared" si="34"/>
        <v>0</v>
      </c>
      <c r="AI183" s="23"/>
      <c r="AJ183" s="23"/>
      <c r="AK183" s="165"/>
      <c r="AL183" s="161"/>
      <c r="AM183" s="166"/>
      <c r="AN183" s="161"/>
      <c r="AO183" s="166"/>
      <c r="AP183" s="161"/>
      <c r="AQ183" s="161"/>
      <c r="AR183" s="161"/>
      <c r="AS183" s="167">
        <v>35000</v>
      </c>
      <c r="AT183" s="167">
        <v>30000</v>
      </c>
      <c r="AU183" s="167"/>
      <c r="AV183" s="167"/>
      <c r="AW183" s="167"/>
      <c r="AX183" s="167">
        <f t="shared" si="32"/>
        <v>65000</v>
      </c>
      <c r="AY183" s="168">
        <f t="shared" si="28"/>
        <v>-65000</v>
      </c>
      <c r="AZ183" s="168">
        <f t="shared" si="29"/>
        <v>-65000</v>
      </c>
      <c r="BA183" s="168">
        <f t="shared" si="30"/>
        <v>0</v>
      </c>
      <c r="BB183" s="168">
        <f t="shared" si="35"/>
        <v>-32500</v>
      </c>
      <c r="BC183" s="168">
        <f t="shared" si="36"/>
        <v>-29250</v>
      </c>
      <c r="BD183" s="169">
        <v>50000</v>
      </c>
      <c r="BE183" s="169"/>
      <c r="BF183" s="168">
        <f t="shared" si="37"/>
        <v>-79250</v>
      </c>
      <c r="BG183" s="33"/>
      <c r="BH183" s="15"/>
      <c r="BI183" s="15"/>
    </row>
    <row r="184" spans="1:61" s="6" customFormat="1" ht="16.899999999999999">
      <c r="A184" s="36">
        <v>183</v>
      </c>
      <c r="B184" s="35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5"/>
      <c r="P184" s="33"/>
      <c r="Q184" s="33"/>
      <c r="R184" s="158"/>
      <c r="S184" s="158"/>
      <c r="T184" s="159">
        <f t="shared" si="33"/>
        <v>0</v>
      </c>
      <c r="U184" s="30"/>
      <c r="V184" s="30"/>
      <c r="W184" s="30"/>
      <c r="X184" s="30"/>
      <c r="Y184" s="238"/>
      <c r="Z184" s="242"/>
      <c r="AA184" s="33"/>
      <c r="AB184" s="160"/>
      <c r="AC184" s="161"/>
      <c r="AD184" s="162"/>
      <c r="AE184" s="163"/>
      <c r="AF184" s="23">
        <f t="shared" si="27"/>
        <v>0</v>
      </c>
      <c r="AG184" s="161">
        <f t="shared" si="31"/>
        <v>0</v>
      </c>
      <c r="AH184" s="164">
        <f t="shared" si="34"/>
        <v>0</v>
      </c>
      <c r="AI184" s="23"/>
      <c r="AJ184" s="23"/>
      <c r="AK184" s="165"/>
      <c r="AL184" s="161"/>
      <c r="AM184" s="166"/>
      <c r="AN184" s="161"/>
      <c r="AO184" s="166"/>
      <c r="AP184" s="161"/>
      <c r="AQ184" s="161"/>
      <c r="AR184" s="161"/>
      <c r="AS184" s="167">
        <v>35000</v>
      </c>
      <c r="AT184" s="167">
        <v>30000</v>
      </c>
      <c r="AU184" s="167"/>
      <c r="AV184" s="167"/>
      <c r="AW184" s="167"/>
      <c r="AX184" s="167">
        <f t="shared" si="32"/>
        <v>65000</v>
      </c>
      <c r="AY184" s="168">
        <f t="shared" si="28"/>
        <v>-65000</v>
      </c>
      <c r="AZ184" s="168">
        <f t="shared" si="29"/>
        <v>-65000</v>
      </c>
      <c r="BA184" s="168">
        <f t="shared" si="30"/>
        <v>0</v>
      </c>
      <c r="BB184" s="168">
        <f t="shared" si="35"/>
        <v>-32500</v>
      </c>
      <c r="BC184" s="168">
        <f t="shared" si="36"/>
        <v>-29250</v>
      </c>
      <c r="BD184" s="169">
        <v>50000</v>
      </c>
      <c r="BE184" s="169"/>
      <c r="BF184" s="168">
        <f t="shared" si="37"/>
        <v>-79250</v>
      </c>
      <c r="BG184" s="33"/>
      <c r="BH184" s="15"/>
      <c r="BI184" s="15"/>
    </row>
    <row r="185" spans="1:61" s="6" customFormat="1" ht="16.899999999999999">
      <c r="A185" s="36">
        <v>184</v>
      </c>
      <c r="B185" s="35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5"/>
      <c r="P185" s="33"/>
      <c r="Q185" s="33"/>
      <c r="R185" s="158"/>
      <c r="S185" s="158"/>
      <c r="T185" s="159">
        <f t="shared" si="33"/>
        <v>0</v>
      </c>
      <c r="U185" s="30"/>
      <c r="V185" s="30"/>
      <c r="W185" s="30"/>
      <c r="X185" s="30"/>
      <c r="Y185" s="238"/>
      <c r="Z185" s="242"/>
      <c r="AA185" s="33"/>
      <c r="AB185" s="160"/>
      <c r="AC185" s="161"/>
      <c r="AD185" s="162"/>
      <c r="AE185" s="163"/>
      <c r="AF185" s="23">
        <f t="shared" si="27"/>
        <v>0</v>
      </c>
      <c r="AG185" s="161">
        <f t="shared" si="31"/>
        <v>0</v>
      </c>
      <c r="AH185" s="164">
        <f t="shared" si="34"/>
        <v>0</v>
      </c>
      <c r="AI185" s="23"/>
      <c r="AJ185" s="23"/>
      <c r="AK185" s="165"/>
      <c r="AL185" s="161"/>
      <c r="AM185" s="166"/>
      <c r="AN185" s="161"/>
      <c r="AO185" s="166"/>
      <c r="AP185" s="161"/>
      <c r="AQ185" s="161"/>
      <c r="AR185" s="161"/>
      <c r="AS185" s="167">
        <v>35000</v>
      </c>
      <c r="AT185" s="167">
        <v>30000</v>
      </c>
      <c r="AU185" s="167"/>
      <c r="AV185" s="167"/>
      <c r="AW185" s="167"/>
      <c r="AX185" s="167">
        <f t="shared" si="32"/>
        <v>65000</v>
      </c>
      <c r="AY185" s="168">
        <f t="shared" si="28"/>
        <v>-65000</v>
      </c>
      <c r="AZ185" s="168">
        <f t="shared" si="29"/>
        <v>-65000</v>
      </c>
      <c r="BA185" s="168">
        <f t="shared" si="30"/>
        <v>0</v>
      </c>
      <c r="BB185" s="168">
        <f t="shared" si="35"/>
        <v>-32500</v>
      </c>
      <c r="BC185" s="168">
        <f t="shared" si="36"/>
        <v>-29250</v>
      </c>
      <c r="BD185" s="169">
        <v>50000</v>
      </c>
      <c r="BE185" s="169"/>
      <c r="BF185" s="168">
        <f t="shared" si="37"/>
        <v>-79250</v>
      </c>
      <c r="BG185" s="33"/>
      <c r="BH185" s="15"/>
      <c r="BI185" s="15"/>
    </row>
    <row r="186" spans="1:61" s="6" customFormat="1" ht="16.899999999999999">
      <c r="A186" s="36">
        <v>185</v>
      </c>
      <c r="B186" s="35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5"/>
      <c r="P186" s="33"/>
      <c r="Q186" s="33"/>
      <c r="R186" s="158"/>
      <c r="S186" s="158"/>
      <c r="T186" s="159">
        <f t="shared" si="33"/>
        <v>0</v>
      </c>
      <c r="U186" s="30"/>
      <c r="V186" s="30"/>
      <c r="W186" s="30"/>
      <c r="X186" s="30"/>
      <c r="Y186" s="238"/>
      <c r="Z186" s="242"/>
      <c r="AA186" s="33"/>
      <c r="AB186" s="160"/>
      <c r="AC186" s="161"/>
      <c r="AD186" s="162"/>
      <c r="AE186" s="163"/>
      <c r="AF186" s="23">
        <f t="shared" si="27"/>
        <v>0</v>
      </c>
      <c r="AG186" s="161">
        <f t="shared" si="31"/>
        <v>0</v>
      </c>
      <c r="AH186" s="164">
        <f t="shared" si="34"/>
        <v>0</v>
      </c>
      <c r="AI186" s="23"/>
      <c r="AJ186" s="23"/>
      <c r="AK186" s="165"/>
      <c r="AL186" s="161"/>
      <c r="AM186" s="166"/>
      <c r="AN186" s="161"/>
      <c r="AO186" s="166"/>
      <c r="AP186" s="161"/>
      <c r="AQ186" s="161"/>
      <c r="AR186" s="161"/>
      <c r="AS186" s="167">
        <v>35000</v>
      </c>
      <c r="AT186" s="167">
        <v>30000</v>
      </c>
      <c r="AU186" s="167"/>
      <c r="AV186" s="167"/>
      <c r="AW186" s="167"/>
      <c r="AX186" s="167">
        <f t="shared" si="32"/>
        <v>65000</v>
      </c>
      <c r="AY186" s="168">
        <f t="shared" si="28"/>
        <v>-65000</v>
      </c>
      <c r="AZ186" s="168">
        <f t="shared" si="29"/>
        <v>-65000</v>
      </c>
      <c r="BA186" s="168">
        <f t="shared" si="30"/>
        <v>0</v>
      </c>
      <c r="BB186" s="168">
        <f t="shared" si="35"/>
        <v>-32500</v>
      </c>
      <c r="BC186" s="168">
        <f t="shared" si="36"/>
        <v>-29250</v>
      </c>
      <c r="BD186" s="169">
        <v>50000</v>
      </c>
      <c r="BE186" s="169"/>
      <c r="BF186" s="168">
        <f t="shared" si="37"/>
        <v>-79250</v>
      </c>
      <c r="BG186" s="33"/>
      <c r="BH186" s="15"/>
      <c r="BI186" s="15"/>
    </row>
    <row r="187" spans="1:61" s="6" customFormat="1" ht="16.899999999999999">
      <c r="A187" s="36">
        <v>186</v>
      </c>
      <c r="B187" s="35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5"/>
      <c r="P187" s="33"/>
      <c r="Q187" s="33"/>
      <c r="R187" s="158"/>
      <c r="S187" s="158"/>
      <c r="T187" s="159">
        <f t="shared" si="33"/>
        <v>0</v>
      </c>
      <c r="U187" s="30"/>
      <c r="V187" s="30"/>
      <c r="W187" s="30"/>
      <c r="X187" s="30"/>
      <c r="Y187" s="238"/>
      <c r="Z187" s="242"/>
      <c r="AA187" s="33"/>
      <c r="AB187" s="160"/>
      <c r="AC187" s="161"/>
      <c r="AD187" s="162"/>
      <c r="AE187" s="163"/>
      <c r="AF187" s="23">
        <f t="shared" si="27"/>
        <v>0</v>
      </c>
      <c r="AG187" s="161">
        <f t="shared" si="31"/>
        <v>0</v>
      </c>
      <c r="AH187" s="164">
        <f t="shared" si="34"/>
        <v>0</v>
      </c>
      <c r="AI187" s="23"/>
      <c r="AJ187" s="23"/>
      <c r="AK187" s="165"/>
      <c r="AL187" s="161"/>
      <c r="AM187" s="166"/>
      <c r="AN187" s="161"/>
      <c r="AO187" s="166"/>
      <c r="AP187" s="161"/>
      <c r="AQ187" s="161"/>
      <c r="AR187" s="161"/>
      <c r="AS187" s="167">
        <v>35000</v>
      </c>
      <c r="AT187" s="167">
        <v>30000</v>
      </c>
      <c r="AU187" s="167"/>
      <c r="AV187" s="167"/>
      <c r="AW187" s="167"/>
      <c r="AX187" s="167">
        <f t="shared" si="32"/>
        <v>65000</v>
      </c>
      <c r="AY187" s="168">
        <f t="shared" si="28"/>
        <v>-65000</v>
      </c>
      <c r="AZ187" s="168">
        <f t="shared" si="29"/>
        <v>-65000</v>
      </c>
      <c r="BA187" s="168">
        <f t="shared" si="30"/>
        <v>0</v>
      </c>
      <c r="BB187" s="168">
        <f t="shared" si="35"/>
        <v>-32500</v>
      </c>
      <c r="BC187" s="168">
        <f t="shared" si="36"/>
        <v>-29250</v>
      </c>
      <c r="BD187" s="169">
        <v>50000</v>
      </c>
      <c r="BE187" s="169"/>
      <c r="BF187" s="168">
        <f t="shared" si="37"/>
        <v>-79250</v>
      </c>
      <c r="BG187" s="33"/>
      <c r="BH187" s="15"/>
      <c r="BI187" s="15"/>
    </row>
    <row r="188" spans="1:61" s="6" customFormat="1" ht="16.899999999999999">
      <c r="A188" s="36">
        <v>187</v>
      </c>
      <c r="B188" s="35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5"/>
      <c r="P188" s="33"/>
      <c r="Q188" s="33"/>
      <c r="R188" s="158"/>
      <c r="S188" s="158"/>
      <c r="T188" s="159">
        <f t="shared" si="33"/>
        <v>0</v>
      </c>
      <c r="U188" s="30"/>
      <c r="V188" s="30"/>
      <c r="W188" s="30"/>
      <c r="X188" s="30"/>
      <c r="Y188" s="238"/>
      <c r="Z188" s="242"/>
      <c r="AA188" s="33"/>
      <c r="AB188" s="160"/>
      <c r="AC188" s="161"/>
      <c r="AD188" s="162"/>
      <c r="AE188" s="163"/>
      <c r="AF188" s="23">
        <f t="shared" si="27"/>
        <v>0</v>
      </c>
      <c r="AG188" s="161">
        <f t="shared" si="31"/>
        <v>0</v>
      </c>
      <c r="AH188" s="164">
        <f t="shared" si="34"/>
        <v>0</v>
      </c>
      <c r="AI188" s="23"/>
      <c r="AJ188" s="23"/>
      <c r="AK188" s="165"/>
      <c r="AL188" s="161"/>
      <c r="AM188" s="166"/>
      <c r="AN188" s="161"/>
      <c r="AO188" s="166"/>
      <c r="AP188" s="161"/>
      <c r="AQ188" s="161"/>
      <c r="AR188" s="161"/>
      <c r="AS188" s="167">
        <v>35000</v>
      </c>
      <c r="AT188" s="167">
        <v>30000</v>
      </c>
      <c r="AU188" s="167"/>
      <c r="AV188" s="167"/>
      <c r="AW188" s="167"/>
      <c r="AX188" s="167">
        <f t="shared" si="32"/>
        <v>65000</v>
      </c>
      <c r="AY188" s="168">
        <f t="shared" si="28"/>
        <v>-65000</v>
      </c>
      <c r="AZ188" s="168">
        <f t="shared" si="29"/>
        <v>-65000</v>
      </c>
      <c r="BA188" s="168">
        <f t="shared" si="30"/>
        <v>0</v>
      </c>
      <c r="BB188" s="168">
        <f t="shared" si="35"/>
        <v>-32500</v>
      </c>
      <c r="BC188" s="168">
        <f t="shared" si="36"/>
        <v>-29250</v>
      </c>
      <c r="BD188" s="169">
        <v>50000</v>
      </c>
      <c r="BE188" s="169"/>
      <c r="BF188" s="168">
        <f t="shared" si="37"/>
        <v>-79250</v>
      </c>
      <c r="BG188" s="33"/>
      <c r="BH188" s="15"/>
      <c r="BI188" s="15"/>
    </row>
    <row r="189" spans="1:61" s="6" customFormat="1" ht="16.899999999999999">
      <c r="A189" s="36">
        <v>188</v>
      </c>
      <c r="B189" s="35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5"/>
      <c r="P189" s="33"/>
      <c r="Q189" s="33"/>
      <c r="R189" s="158"/>
      <c r="S189" s="158"/>
      <c r="T189" s="159">
        <f t="shared" si="33"/>
        <v>0</v>
      </c>
      <c r="U189" s="30"/>
      <c r="V189" s="30"/>
      <c r="W189" s="30"/>
      <c r="X189" s="30"/>
      <c r="Y189" s="238"/>
      <c r="Z189" s="242"/>
      <c r="AA189" s="33"/>
      <c r="AB189" s="160"/>
      <c r="AC189" s="161"/>
      <c r="AD189" s="162"/>
      <c r="AE189" s="163"/>
      <c r="AF189" s="23">
        <f t="shared" si="27"/>
        <v>0</v>
      </c>
      <c r="AG189" s="161">
        <f t="shared" si="31"/>
        <v>0</v>
      </c>
      <c r="AH189" s="164">
        <f t="shared" si="34"/>
        <v>0</v>
      </c>
      <c r="AI189" s="23"/>
      <c r="AJ189" s="23"/>
      <c r="AK189" s="165"/>
      <c r="AL189" s="161"/>
      <c r="AM189" s="166"/>
      <c r="AN189" s="161"/>
      <c r="AO189" s="166"/>
      <c r="AP189" s="161"/>
      <c r="AQ189" s="161"/>
      <c r="AR189" s="161"/>
      <c r="AS189" s="167">
        <v>35000</v>
      </c>
      <c r="AT189" s="167">
        <v>30000</v>
      </c>
      <c r="AU189" s="167"/>
      <c r="AV189" s="167"/>
      <c r="AW189" s="167"/>
      <c r="AX189" s="167">
        <f t="shared" si="32"/>
        <v>65000</v>
      </c>
      <c r="AY189" s="168">
        <f t="shared" si="28"/>
        <v>-65000</v>
      </c>
      <c r="AZ189" s="168">
        <f t="shared" si="29"/>
        <v>-65000</v>
      </c>
      <c r="BA189" s="168">
        <f t="shared" si="30"/>
        <v>0</v>
      </c>
      <c r="BB189" s="168">
        <f t="shared" si="35"/>
        <v>-32500</v>
      </c>
      <c r="BC189" s="168">
        <f t="shared" si="36"/>
        <v>-29250</v>
      </c>
      <c r="BD189" s="169">
        <v>50000</v>
      </c>
      <c r="BE189" s="169"/>
      <c r="BF189" s="168">
        <f t="shared" si="37"/>
        <v>-79250</v>
      </c>
      <c r="BG189" s="33"/>
      <c r="BH189" s="15"/>
      <c r="BI189" s="15"/>
    </row>
    <row r="190" spans="1:61" s="6" customFormat="1" ht="16.899999999999999">
      <c r="A190" s="36">
        <v>189</v>
      </c>
      <c r="B190" s="35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5"/>
      <c r="P190" s="33"/>
      <c r="Q190" s="33"/>
      <c r="R190" s="158"/>
      <c r="S190" s="158"/>
      <c r="T190" s="159">
        <f t="shared" si="33"/>
        <v>0</v>
      </c>
      <c r="U190" s="30"/>
      <c r="V190" s="30"/>
      <c r="W190" s="30"/>
      <c r="X190" s="30"/>
      <c r="Y190" s="238"/>
      <c r="Z190" s="242"/>
      <c r="AA190" s="33"/>
      <c r="AB190" s="160"/>
      <c r="AC190" s="161"/>
      <c r="AD190" s="162"/>
      <c r="AE190" s="163"/>
      <c r="AF190" s="23">
        <f t="shared" si="27"/>
        <v>0</v>
      </c>
      <c r="AG190" s="161">
        <f t="shared" si="31"/>
        <v>0</v>
      </c>
      <c r="AH190" s="164">
        <f t="shared" si="34"/>
        <v>0</v>
      </c>
      <c r="AI190" s="23"/>
      <c r="AJ190" s="23"/>
      <c r="AK190" s="165"/>
      <c r="AL190" s="161"/>
      <c r="AM190" s="166"/>
      <c r="AN190" s="161"/>
      <c r="AO190" s="166"/>
      <c r="AP190" s="161"/>
      <c r="AQ190" s="161"/>
      <c r="AR190" s="161"/>
      <c r="AS190" s="167">
        <v>35000</v>
      </c>
      <c r="AT190" s="167">
        <v>30000</v>
      </c>
      <c r="AU190" s="167"/>
      <c r="AV190" s="167"/>
      <c r="AW190" s="167"/>
      <c r="AX190" s="167">
        <f t="shared" si="32"/>
        <v>65000</v>
      </c>
      <c r="AY190" s="168">
        <f t="shared" si="28"/>
        <v>-65000</v>
      </c>
      <c r="AZ190" s="168">
        <f t="shared" si="29"/>
        <v>-65000</v>
      </c>
      <c r="BA190" s="168">
        <f t="shared" si="30"/>
        <v>0</v>
      </c>
      <c r="BB190" s="168">
        <f t="shared" si="35"/>
        <v>-32500</v>
      </c>
      <c r="BC190" s="168">
        <f t="shared" si="36"/>
        <v>-29250</v>
      </c>
      <c r="BD190" s="169">
        <v>50000</v>
      </c>
      <c r="BE190" s="169"/>
      <c r="BF190" s="168">
        <f t="shared" si="37"/>
        <v>-79250</v>
      </c>
      <c r="BG190" s="33"/>
      <c r="BH190" s="15"/>
      <c r="BI190" s="15"/>
    </row>
    <row r="191" spans="1:61" s="6" customFormat="1" ht="16.899999999999999">
      <c r="A191" s="36">
        <v>190</v>
      </c>
      <c r="B191" s="35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5"/>
      <c r="P191" s="33"/>
      <c r="Q191" s="33"/>
      <c r="R191" s="158"/>
      <c r="S191" s="158"/>
      <c r="T191" s="159">
        <f t="shared" si="33"/>
        <v>0</v>
      </c>
      <c r="U191" s="30"/>
      <c r="V191" s="30"/>
      <c r="W191" s="30"/>
      <c r="X191" s="30"/>
      <c r="Y191" s="238"/>
      <c r="Z191" s="242"/>
      <c r="AA191" s="33"/>
      <c r="AB191" s="160"/>
      <c r="AC191" s="161"/>
      <c r="AD191" s="162"/>
      <c r="AE191" s="163"/>
      <c r="AF191" s="23">
        <f t="shared" si="27"/>
        <v>0</v>
      </c>
      <c r="AG191" s="161">
        <f t="shared" si="31"/>
        <v>0</v>
      </c>
      <c r="AH191" s="164">
        <f t="shared" si="34"/>
        <v>0</v>
      </c>
      <c r="AI191" s="23"/>
      <c r="AJ191" s="23"/>
      <c r="AK191" s="165"/>
      <c r="AL191" s="161"/>
      <c r="AM191" s="166"/>
      <c r="AN191" s="161"/>
      <c r="AO191" s="166"/>
      <c r="AP191" s="161"/>
      <c r="AQ191" s="161"/>
      <c r="AR191" s="161"/>
      <c r="AS191" s="167">
        <v>35000</v>
      </c>
      <c r="AT191" s="167">
        <v>30000</v>
      </c>
      <c r="AU191" s="167"/>
      <c r="AV191" s="167"/>
      <c r="AW191" s="167"/>
      <c r="AX191" s="167">
        <f t="shared" si="32"/>
        <v>65000</v>
      </c>
      <c r="AY191" s="168">
        <f t="shared" si="28"/>
        <v>-65000</v>
      </c>
      <c r="AZ191" s="168">
        <f t="shared" si="29"/>
        <v>-65000</v>
      </c>
      <c r="BA191" s="168">
        <f t="shared" si="30"/>
        <v>0</v>
      </c>
      <c r="BB191" s="168">
        <f t="shared" si="35"/>
        <v>-32500</v>
      </c>
      <c r="BC191" s="168">
        <f t="shared" si="36"/>
        <v>-29250</v>
      </c>
      <c r="BD191" s="169">
        <v>50000</v>
      </c>
      <c r="BE191" s="169"/>
      <c r="BF191" s="168">
        <f t="shared" si="37"/>
        <v>-79250</v>
      </c>
      <c r="BG191" s="33"/>
      <c r="BH191" s="15"/>
      <c r="BI191" s="15"/>
    </row>
    <row r="192" spans="1:61" s="6" customFormat="1" ht="16.899999999999999">
      <c r="A192" s="36">
        <v>191</v>
      </c>
      <c r="B192" s="35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5"/>
      <c r="P192" s="33"/>
      <c r="Q192" s="33"/>
      <c r="R192" s="158"/>
      <c r="S192" s="158"/>
      <c r="T192" s="159">
        <f t="shared" si="33"/>
        <v>0</v>
      </c>
      <c r="U192" s="30"/>
      <c r="V192" s="30"/>
      <c r="W192" s="30"/>
      <c r="X192" s="30"/>
      <c r="Y192" s="238"/>
      <c r="Z192" s="242"/>
      <c r="AA192" s="33"/>
      <c r="AB192" s="160"/>
      <c r="AC192" s="161"/>
      <c r="AD192" s="162"/>
      <c r="AE192" s="163"/>
      <c r="AF192" s="23">
        <f t="shared" si="27"/>
        <v>0</v>
      </c>
      <c r="AG192" s="161">
        <f t="shared" si="31"/>
        <v>0</v>
      </c>
      <c r="AH192" s="164">
        <f t="shared" si="34"/>
        <v>0</v>
      </c>
      <c r="AI192" s="23"/>
      <c r="AJ192" s="23"/>
      <c r="AK192" s="165"/>
      <c r="AL192" s="161"/>
      <c r="AM192" s="166"/>
      <c r="AN192" s="161"/>
      <c r="AO192" s="166"/>
      <c r="AP192" s="161"/>
      <c r="AQ192" s="161"/>
      <c r="AR192" s="161"/>
      <c r="AS192" s="167">
        <v>35000</v>
      </c>
      <c r="AT192" s="167">
        <v>30000</v>
      </c>
      <c r="AU192" s="167"/>
      <c r="AV192" s="167"/>
      <c r="AW192" s="167"/>
      <c r="AX192" s="167">
        <f t="shared" si="32"/>
        <v>65000</v>
      </c>
      <c r="AY192" s="168">
        <f t="shared" si="28"/>
        <v>-65000</v>
      </c>
      <c r="AZ192" s="168">
        <f t="shared" si="29"/>
        <v>-65000</v>
      </c>
      <c r="BA192" s="168">
        <f t="shared" si="30"/>
        <v>0</v>
      </c>
      <c r="BB192" s="168">
        <f t="shared" si="35"/>
        <v>-32500</v>
      </c>
      <c r="BC192" s="168">
        <f t="shared" si="36"/>
        <v>-29250</v>
      </c>
      <c r="BD192" s="169">
        <v>50000</v>
      </c>
      <c r="BE192" s="169"/>
      <c r="BF192" s="168">
        <f t="shared" si="37"/>
        <v>-79250</v>
      </c>
      <c r="BG192" s="33"/>
      <c r="BH192" s="15"/>
      <c r="BI192" s="15"/>
    </row>
    <row r="193" spans="1:61" s="6" customFormat="1" ht="16.899999999999999">
      <c r="A193" s="36">
        <v>192</v>
      </c>
      <c r="B193" s="35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5"/>
      <c r="P193" s="33"/>
      <c r="Q193" s="33"/>
      <c r="R193" s="158"/>
      <c r="S193" s="158"/>
      <c r="T193" s="159">
        <f t="shared" si="33"/>
        <v>0</v>
      </c>
      <c r="U193" s="30"/>
      <c r="V193" s="30"/>
      <c r="W193" s="30"/>
      <c r="X193" s="30"/>
      <c r="Y193" s="238"/>
      <c r="Z193" s="242"/>
      <c r="AA193" s="33"/>
      <c r="AB193" s="160"/>
      <c r="AC193" s="161"/>
      <c r="AD193" s="162"/>
      <c r="AE193" s="163"/>
      <c r="AF193" s="23">
        <f t="shared" ref="AF193:AF256" si="38">SUM(Y193,AB193:AE193)</f>
        <v>0</v>
      </c>
      <c r="AG193" s="161">
        <f t="shared" si="31"/>
        <v>0</v>
      </c>
      <c r="AH193" s="164">
        <f t="shared" si="34"/>
        <v>0</v>
      </c>
      <c r="AI193" s="23"/>
      <c r="AJ193" s="23"/>
      <c r="AK193" s="165"/>
      <c r="AL193" s="161"/>
      <c r="AM193" s="166"/>
      <c r="AN193" s="161"/>
      <c r="AO193" s="166"/>
      <c r="AP193" s="161"/>
      <c r="AQ193" s="161"/>
      <c r="AR193" s="161"/>
      <c r="AS193" s="167">
        <v>35000</v>
      </c>
      <c r="AT193" s="167">
        <v>30000</v>
      </c>
      <c r="AU193" s="167"/>
      <c r="AV193" s="167"/>
      <c r="AW193" s="167"/>
      <c r="AX193" s="167">
        <f t="shared" si="32"/>
        <v>65000</v>
      </c>
      <c r="AY193" s="168">
        <f t="shared" ref="AY193:AY256" si="39">SUM(AF193-AB193)*Z193-AX193</f>
        <v>-65000</v>
      </c>
      <c r="AZ193" s="168">
        <f t="shared" ref="AZ193:AZ256" si="40">SUM(AY193-T193)</f>
        <v>-65000</v>
      </c>
      <c r="BA193" s="168">
        <f t="shared" ref="BA193:BA256" si="41">SUM(R193*0.09)</f>
        <v>0</v>
      </c>
      <c r="BB193" s="168">
        <f t="shared" si="35"/>
        <v>-32500</v>
      </c>
      <c r="BC193" s="168">
        <f t="shared" si="36"/>
        <v>-29250</v>
      </c>
      <c r="BD193" s="169">
        <v>50000</v>
      </c>
      <c r="BE193" s="169"/>
      <c r="BF193" s="168">
        <f t="shared" si="37"/>
        <v>-79250</v>
      </c>
      <c r="BG193" s="33"/>
      <c r="BH193" s="15"/>
      <c r="BI193" s="15"/>
    </row>
    <row r="194" spans="1:61" s="6" customFormat="1" ht="16.899999999999999">
      <c r="A194" s="36">
        <v>193</v>
      </c>
      <c r="B194" s="35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5"/>
      <c r="P194" s="33"/>
      <c r="Q194" s="33"/>
      <c r="R194" s="158"/>
      <c r="S194" s="158"/>
      <c r="T194" s="159">
        <f t="shared" si="33"/>
        <v>0</v>
      </c>
      <c r="U194" s="30"/>
      <c r="V194" s="30"/>
      <c r="W194" s="30"/>
      <c r="X194" s="30"/>
      <c r="Y194" s="238"/>
      <c r="Z194" s="242"/>
      <c r="AA194" s="33"/>
      <c r="AB194" s="160"/>
      <c r="AC194" s="161"/>
      <c r="AD194" s="162"/>
      <c r="AE194" s="163"/>
      <c r="AF194" s="23">
        <f t="shared" si="38"/>
        <v>0</v>
      </c>
      <c r="AG194" s="161">
        <f t="shared" ref="AG194:AG257" si="42">SUM(AL194+AN194+AP194+AQ194-AR194)</f>
        <v>0</v>
      </c>
      <c r="AH194" s="164">
        <f t="shared" si="34"/>
        <v>0</v>
      </c>
      <c r="AI194" s="23"/>
      <c r="AJ194" s="23"/>
      <c r="AK194" s="165"/>
      <c r="AL194" s="161"/>
      <c r="AM194" s="166"/>
      <c r="AN194" s="161"/>
      <c r="AO194" s="166"/>
      <c r="AP194" s="161"/>
      <c r="AQ194" s="161"/>
      <c r="AR194" s="161"/>
      <c r="AS194" s="167">
        <v>35000</v>
      </c>
      <c r="AT194" s="167">
        <v>30000</v>
      </c>
      <c r="AU194" s="167"/>
      <c r="AV194" s="167"/>
      <c r="AW194" s="167"/>
      <c r="AX194" s="167">
        <f t="shared" ref="AX194:AX257" si="43">SUM(AS194:AW194)</f>
        <v>65000</v>
      </c>
      <c r="AY194" s="168">
        <f t="shared" si="39"/>
        <v>-65000</v>
      </c>
      <c r="AZ194" s="168">
        <f t="shared" si="40"/>
        <v>-65000</v>
      </c>
      <c r="BA194" s="168">
        <f t="shared" si="41"/>
        <v>0</v>
      </c>
      <c r="BB194" s="168">
        <f t="shared" si="35"/>
        <v>-32500</v>
      </c>
      <c r="BC194" s="168">
        <f t="shared" si="36"/>
        <v>-29250</v>
      </c>
      <c r="BD194" s="169">
        <v>50000</v>
      </c>
      <c r="BE194" s="169"/>
      <c r="BF194" s="168">
        <f t="shared" si="37"/>
        <v>-79250</v>
      </c>
      <c r="BG194" s="33"/>
      <c r="BH194" s="15"/>
      <c r="BI194" s="15"/>
    </row>
    <row r="195" spans="1:61" s="6" customFormat="1" ht="16.899999999999999">
      <c r="A195" s="36">
        <v>194</v>
      </c>
      <c r="B195" s="35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5"/>
      <c r="P195" s="33"/>
      <c r="Q195" s="33"/>
      <c r="R195" s="158"/>
      <c r="S195" s="158"/>
      <c r="T195" s="159">
        <f t="shared" si="33"/>
        <v>0</v>
      </c>
      <c r="U195" s="30"/>
      <c r="V195" s="30"/>
      <c r="W195" s="30"/>
      <c r="X195" s="30"/>
      <c r="Y195" s="238"/>
      <c r="Z195" s="242"/>
      <c r="AA195" s="33"/>
      <c r="AB195" s="160"/>
      <c r="AC195" s="161"/>
      <c r="AD195" s="162"/>
      <c r="AE195" s="163"/>
      <c r="AF195" s="23">
        <f t="shared" si="38"/>
        <v>0</v>
      </c>
      <c r="AG195" s="161">
        <f t="shared" si="42"/>
        <v>0</v>
      </c>
      <c r="AH195" s="164">
        <f t="shared" si="34"/>
        <v>0</v>
      </c>
      <c r="AI195" s="23"/>
      <c r="AJ195" s="23"/>
      <c r="AK195" s="165"/>
      <c r="AL195" s="161"/>
      <c r="AM195" s="166"/>
      <c r="AN195" s="161"/>
      <c r="AO195" s="166"/>
      <c r="AP195" s="161"/>
      <c r="AQ195" s="161"/>
      <c r="AR195" s="161"/>
      <c r="AS195" s="167">
        <v>35000</v>
      </c>
      <c r="AT195" s="167">
        <v>30000</v>
      </c>
      <c r="AU195" s="167"/>
      <c r="AV195" s="167"/>
      <c r="AW195" s="167"/>
      <c r="AX195" s="167">
        <f t="shared" si="43"/>
        <v>65000</v>
      </c>
      <c r="AY195" s="168">
        <f t="shared" si="39"/>
        <v>-65000</v>
      </c>
      <c r="AZ195" s="168">
        <f t="shared" si="40"/>
        <v>-65000</v>
      </c>
      <c r="BA195" s="168">
        <f t="shared" si="41"/>
        <v>0</v>
      </c>
      <c r="BB195" s="168">
        <f t="shared" si="35"/>
        <v>-32500</v>
      </c>
      <c r="BC195" s="168">
        <f t="shared" si="36"/>
        <v>-29250</v>
      </c>
      <c r="BD195" s="169">
        <v>50000</v>
      </c>
      <c r="BE195" s="169"/>
      <c r="BF195" s="168">
        <f t="shared" si="37"/>
        <v>-79250</v>
      </c>
      <c r="BG195" s="33"/>
      <c r="BH195" s="15"/>
      <c r="BI195" s="15"/>
    </row>
    <row r="196" spans="1:61" s="6" customFormat="1" ht="16.899999999999999">
      <c r="A196" s="36">
        <v>195</v>
      </c>
      <c r="B196" s="35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5"/>
      <c r="P196" s="33"/>
      <c r="Q196" s="33"/>
      <c r="R196" s="158"/>
      <c r="S196" s="158"/>
      <c r="T196" s="159">
        <f t="shared" si="33"/>
        <v>0</v>
      </c>
      <c r="U196" s="30"/>
      <c r="V196" s="30"/>
      <c r="W196" s="30"/>
      <c r="X196" s="30"/>
      <c r="Y196" s="238"/>
      <c r="Z196" s="242"/>
      <c r="AA196" s="33"/>
      <c r="AB196" s="160"/>
      <c r="AC196" s="161"/>
      <c r="AD196" s="162"/>
      <c r="AE196" s="163"/>
      <c r="AF196" s="23">
        <f t="shared" si="38"/>
        <v>0</v>
      </c>
      <c r="AG196" s="161">
        <f t="shared" si="42"/>
        <v>0</v>
      </c>
      <c r="AH196" s="164">
        <f t="shared" si="34"/>
        <v>0</v>
      </c>
      <c r="AI196" s="23"/>
      <c r="AJ196" s="23"/>
      <c r="AK196" s="165"/>
      <c r="AL196" s="161"/>
      <c r="AM196" s="166"/>
      <c r="AN196" s="161"/>
      <c r="AO196" s="166"/>
      <c r="AP196" s="161"/>
      <c r="AQ196" s="161"/>
      <c r="AR196" s="161"/>
      <c r="AS196" s="167">
        <v>35000</v>
      </c>
      <c r="AT196" s="167">
        <v>30000</v>
      </c>
      <c r="AU196" s="167"/>
      <c r="AV196" s="167"/>
      <c r="AW196" s="167"/>
      <c r="AX196" s="167">
        <f t="shared" si="43"/>
        <v>65000</v>
      </c>
      <c r="AY196" s="168">
        <f t="shared" si="39"/>
        <v>-65000</v>
      </c>
      <c r="AZ196" s="168">
        <f t="shared" si="40"/>
        <v>-65000</v>
      </c>
      <c r="BA196" s="168">
        <f t="shared" si="41"/>
        <v>0</v>
      </c>
      <c r="BB196" s="168">
        <f t="shared" si="35"/>
        <v>-32500</v>
      </c>
      <c r="BC196" s="168">
        <f t="shared" si="36"/>
        <v>-29250</v>
      </c>
      <c r="BD196" s="169">
        <v>50000</v>
      </c>
      <c r="BE196" s="169"/>
      <c r="BF196" s="168">
        <f t="shared" si="37"/>
        <v>-79250</v>
      </c>
      <c r="BG196" s="33"/>
      <c r="BH196" s="15"/>
      <c r="BI196" s="15"/>
    </row>
    <row r="197" spans="1:61" s="6" customFormat="1" ht="16.899999999999999">
      <c r="A197" s="36">
        <v>196</v>
      </c>
      <c r="B197" s="35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5"/>
      <c r="P197" s="33"/>
      <c r="Q197" s="33"/>
      <c r="R197" s="158"/>
      <c r="S197" s="158"/>
      <c r="T197" s="159">
        <f t="shared" si="33"/>
        <v>0</v>
      </c>
      <c r="U197" s="30"/>
      <c r="V197" s="30"/>
      <c r="W197" s="30"/>
      <c r="X197" s="30"/>
      <c r="Y197" s="238"/>
      <c r="Z197" s="242"/>
      <c r="AA197" s="33"/>
      <c r="AB197" s="160"/>
      <c r="AC197" s="161"/>
      <c r="AD197" s="162"/>
      <c r="AE197" s="163"/>
      <c r="AF197" s="23">
        <f t="shared" si="38"/>
        <v>0</v>
      </c>
      <c r="AG197" s="161">
        <f t="shared" si="42"/>
        <v>0</v>
      </c>
      <c r="AH197" s="164">
        <f t="shared" si="34"/>
        <v>0</v>
      </c>
      <c r="AI197" s="23"/>
      <c r="AJ197" s="23"/>
      <c r="AK197" s="165"/>
      <c r="AL197" s="161"/>
      <c r="AM197" s="166"/>
      <c r="AN197" s="161"/>
      <c r="AO197" s="166"/>
      <c r="AP197" s="161"/>
      <c r="AQ197" s="161"/>
      <c r="AR197" s="161"/>
      <c r="AS197" s="167">
        <v>35000</v>
      </c>
      <c r="AT197" s="167">
        <v>30000</v>
      </c>
      <c r="AU197" s="167"/>
      <c r="AV197" s="167"/>
      <c r="AW197" s="167"/>
      <c r="AX197" s="167">
        <f t="shared" si="43"/>
        <v>65000</v>
      </c>
      <c r="AY197" s="168">
        <f t="shared" si="39"/>
        <v>-65000</v>
      </c>
      <c r="AZ197" s="168">
        <f t="shared" si="40"/>
        <v>-65000</v>
      </c>
      <c r="BA197" s="168">
        <f t="shared" si="41"/>
        <v>0</v>
      </c>
      <c r="BB197" s="168">
        <f t="shared" si="35"/>
        <v>-32500</v>
      </c>
      <c r="BC197" s="168">
        <f t="shared" si="36"/>
        <v>-29250</v>
      </c>
      <c r="BD197" s="169">
        <v>50000</v>
      </c>
      <c r="BE197" s="169"/>
      <c r="BF197" s="168">
        <f t="shared" si="37"/>
        <v>-79250</v>
      </c>
      <c r="BG197" s="33"/>
      <c r="BH197" s="15"/>
      <c r="BI197" s="15"/>
    </row>
    <row r="198" spans="1:61" s="6" customFormat="1" ht="16.899999999999999">
      <c r="A198" s="36">
        <v>197</v>
      </c>
      <c r="B198" s="35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5"/>
      <c r="P198" s="33"/>
      <c r="Q198" s="33"/>
      <c r="R198" s="158"/>
      <c r="S198" s="158"/>
      <c r="T198" s="159">
        <f t="shared" si="33"/>
        <v>0</v>
      </c>
      <c r="U198" s="30"/>
      <c r="V198" s="30"/>
      <c r="W198" s="30"/>
      <c r="X198" s="30"/>
      <c r="Y198" s="238"/>
      <c r="Z198" s="242"/>
      <c r="AA198" s="33"/>
      <c r="AB198" s="160"/>
      <c r="AC198" s="161"/>
      <c r="AD198" s="162"/>
      <c r="AE198" s="163"/>
      <c r="AF198" s="23">
        <f t="shared" si="38"/>
        <v>0</v>
      </c>
      <c r="AG198" s="161">
        <f t="shared" si="42"/>
        <v>0</v>
      </c>
      <c r="AH198" s="164">
        <f t="shared" si="34"/>
        <v>0</v>
      </c>
      <c r="AI198" s="23"/>
      <c r="AJ198" s="23"/>
      <c r="AK198" s="165"/>
      <c r="AL198" s="161"/>
      <c r="AM198" s="166"/>
      <c r="AN198" s="161"/>
      <c r="AO198" s="166"/>
      <c r="AP198" s="161"/>
      <c r="AQ198" s="161"/>
      <c r="AR198" s="161"/>
      <c r="AS198" s="167">
        <v>35000</v>
      </c>
      <c r="AT198" s="167">
        <v>30000</v>
      </c>
      <c r="AU198" s="167"/>
      <c r="AV198" s="167"/>
      <c r="AW198" s="167"/>
      <c r="AX198" s="167">
        <f t="shared" si="43"/>
        <v>65000</v>
      </c>
      <c r="AY198" s="168">
        <f t="shared" si="39"/>
        <v>-65000</v>
      </c>
      <c r="AZ198" s="168">
        <f t="shared" si="40"/>
        <v>-65000</v>
      </c>
      <c r="BA198" s="168">
        <f t="shared" si="41"/>
        <v>0</v>
      </c>
      <c r="BB198" s="168">
        <f t="shared" si="35"/>
        <v>-32500</v>
      </c>
      <c r="BC198" s="168">
        <f t="shared" si="36"/>
        <v>-29250</v>
      </c>
      <c r="BD198" s="169">
        <v>50000</v>
      </c>
      <c r="BE198" s="169"/>
      <c r="BF198" s="168">
        <f t="shared" si="37"/>
        <v>-79250</v>
      </c>
      <c r="BG198" s="33"/>
      <c r="BH198" s="15"/>
      <c r="BI198" s="15"/>
    </row>
    <row r="199" spans="1:61" s="6" customFormat="1" ht="16.899999999999999">
      <c r="A199" s="36">
        <v>198</v>
      </c>
      <c r="B199" s="35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5"/>
      <c r="P199" s="33"/>
      <c r="Q199" s="33"/>
      <c r="R199" s="158"/>
      <c r="S199" s="158"/>
      <c r="T199" s="159">
        <f t="shared" si="33"/>
        <v>0</v>
      </c>
      <c r="U199" s="30"/>
      <c r="V199" s="30"/>
      <c r="W199" s="30"/>
      <c r="X199" s="30"/>
      <c r="Y199" s="238"/>
      <c r="Z199" s="242"/>
      <c r="AA199" s="33"/>
      <c r="AB199" s="160"/>
      <c r="AC199" s="161"/>
      <c r="AD199" s="162"/>
      <c r="AE199" s="163"/>
      <c r="AF199" s="23">
        <f t="shared" si="38"/>
        <v>0</v>
      </c>
      <c r="AG199" s="161">
        <f t="shared" si="42"/>
        <v>0</v>
      </c>
      <c r="AH199" s="164">
        <f t="shared" si="34"/>
        <v>0</v>
      </c>
      <c r="AI199" s="23"/>
      <c r="AJ199" s="23"/>
      <c r="AK199" s="165"/>
      <c r="AL199" s="161"/>
      <c r="AM199" s="166"/>
      <c r="AN199" s="161"/>
      <c r="AO199" s="166"/>
      <c r="AP199" s="161"/>
      <c r="AQ199" s="161"/>
      <c r="AR199" s="161"/>
      <c r="AS199" s="167">
        <v>35000</v>
      </c>
      <c r="AT199" s="167">
        <v>30000</v>
      </c>
      <c r="AU199" s="167"/>
      <c r="AV199" s="167"/>
      <c r="AW199" s="167"/>
      <c r="AX199" s="167">
        <f t="shared" si="43"/>
        <v>65000</v>
      </c>
      <c r="AY199" s="168">
        <f t="shared" si="39"/>
        <v>-65000</v>
      </c>
      <c r="AZ199" s="168">
        <f t="shared" si="40"/>
        <v>-65000</v>
      </c>
      <c r="BA199" s="168">
        <f t="shared" si="41"/>
        <v>0</v>
      </c>
      <c r="BB199" s="168">
        <f t="shared" si="35"/>
        <v>-32500</v>
      </c>
      <c r="BC199" s="168">
        <f t="shared" si="36"/>
        <v>-29250</v>
      </c>
      <c r="BD199" s="169">
        <v>50000</v>
      </c>
      <c r="BE199" s="169"/>
      <c r="BF199" s="168">
        <f t="shared" si="37"/>
        <v>-79250</v>
      </c>
      <c r="BG199" s="33"/>
      <c r="BH199" s="15"/>
      <c r="BI199" s="15"/>
    </row>
    <row r="200" spans="1:61" s="6" customFormat="1" ht="16.899999999999999">
      <c r="A200" s="36">
        <v>199</v>
      </c>
      <c r="B200" s="35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5"/>
      <c r="P200" s="33"/>
      <c r="Q200" s="33"/>
      <c r="R200" s="158"/>
      <c r="S200" s="158"/>
      <c r="T200" s="159">
        <f t="shared" si="33"/>
        <v>0</v>
      </c>
      <c r="U200" s="30"/>
      <c r="V200" s="30"/>
      <c r="W200" s="30"/>
      <c r="X200" s="30"/>
      <c r="Y200" s="238"/>
      <c r="Z200" s="242"/>
      <c r="AA200" s="33"/>
      <c r="AB200" s="160"/>
      <c r="AC200" s="161"/>
      <c r="AD200" s="162"/>
      <c r="AE200" s="163"/>
      <c r="AF200" s="23">
        <f t="shared" si="38"/>
        <v>0</v>
      </c>
      <c r="AG200" s="161">
        <f t="shared" si="42"/>
        <v>0</v>
      </c>
      <c r="AH200" s="164">
        <f t="shared" si="34"/>
        <v>0</v>
      </c>
      <c r="AI200" s="23"/>
      <c r="AJ200" s="23"/>
      <c r="AK200" s="165"/>
      <c r="AL200" s="161"/>
      <c r="AM200" s="166"/>
      <c r="AN200" s="161"/>
      <c r="AO200" s="166"/>
      <c r="AP200" s="161"/>
      <c r="AQ200" s="161"/>
      <c r="AR200" s="161"/>
      <c r="AS200" s="167">
        <v>35000</v>
      </c>
      <c r="AT200" s="167">
        <v>30000</v>
      </c>
      <c r="AU200" s="167"/>
      <c r="AV200" s="167"/>
      <c r="AW200" s="167"/>
      <c r="AX200" s="167">
        <f t="shared" si="43"/>
        <v>65000</v>
      </c>
      <c r="AY200" s="168">
        <f t="shared" si="39"/>
        <v>-65000</v>
      </c>
      <c r="AZ200" s="168">
        <f t="shared" si="40"/>
        <v>-65000</v>
      </c>
      <c r="BA200" s="168">
        <f t="shared" si="41"/>
        <v>0</v>
      </c>
      <c r="BB200" s="168">
        <f t="shared" si="35"/>
        <v>-32500</v>
      </c>
      <c r="BC200" s="168">
        <f t="shared" si="36"/>
        <v>-29250</v>
      </c>
      <c r="BD200" s="169">
        <v>50000</v>
      </c>
      <c r="BE200" s="169"/>
      <c r="BF200" s="168">
        <f t="shared" si="37"/>
        <v>-79250</v>
      </c>
      <c r="BG200" s="33"/>
      <c r="BH200" s="15"/>
      <c r="BI200" s="15"/>
    </row>
    <row r="201" spans="1:61" s="6" customFormat="1" ht="16.899999999999999">
      <c r="A201" s="36">
        <v>200</v>
      </c>
      <c r="B201" s="35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5"/>
      <c r="P201" s="33"/>
      <c r="Q201" s="33"/>
      <c r="R201" s="158"/>
      <c r="S201" s="158"/>
      <c r="T201" s="159">
        <f t="shared" si="33"/>
        <v>0</v>
      </c>
      <c r="U201" s="30"/>
      <c r="V201" s="30"/>
      <c r="W201" s="30"/>
      <c r="X201" s="30"/>
      <c r="Y201" s="238"/>
      <c r="Z201" s="242"/>
      <c r="AA201" s="33"/>
      <c r="AB201" s="160"/>
      <c r="AC201" s="161"/>
      <c r="AD201" s="162"/>
      <c r="AE201" s="163"/>
      <c r="AF201" s="23">
        <f t="shared" si="38"/>
        <v>0</v>
      </c>
      <c r="AG201" s="161">
        <f t="shared" si="42"/>
        <v>0</v>
      </c>
      <c r="AH201" s="164">
        <f t="shared" si="34"/>
        <v>0</v>
      </c>
      <c r="AI201" s="23"/>
      <c r="AJ201" s="23"/>
      <c r="AK201" s="165"/>
      <c r="AL201" s="161"/>
      <c r="AM201" s="166"/>
      <c r="AN201" s="161"/>
      <c r="AO201" s="166"/>
      <c r="AP201" s="161"/>
      <c r="AQ201" s="161"/>
      <c r="AR201" s="161"/>
      <c r="AS201" s="167">
        <v>35000</v>
      </c>
      <c r="AT201" s="167">
        <v>30000</v>
      </c>
      <c r="AU201" s="167"/>
      <c r="AV201" s="167"/>
      <c r="AW201" s="167"/>
      <c r="AX201" s="167">
        <f t="shared" si="43"/>
        <v>65000</v>
      </c>
      <c r="AY201" s="168">
        <f t="shared" si="39"/>
        <v>-65000</v>
      </c>
      <c r="AZ201" s="168">
        <f t="shared" si="40"/>
        <v>-65000</v>
      </c>
      <c r="BA201" s="168">
        <f t="shared" si="41"/>
        <v>0</v>
      </c>
      <c r="BB201" s="168">
        <f t="shared" si="35"/>
        <v>-32500</v>
      </c>
      <c r="BC201" s="168">
        <f t="shared" si="36"/>
        <v>-29250</v>
      </c>
      <c r="BD201" s="169">
        <v>50000</v>
      </c>
      <c r="BE201" s="169"/>
      <c r="BF201" s="168">
        <f t="shared" si="37"/>
        <v>-79250</v>
      </c>
      <c r="BG201" s="33"/>
      <c r="BH201" s="15"/>
      <c r="BI201" s="15"/>
    </row>
    <row r="202" spans="1:61" s="6" customFormat="1" ht="16.899999999999999">
      <c r="A202" s="36">
        <v>201</v>
      </c>
      <c r="B202" s="35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5"/>
      <c r="P202" s="33"/>
      <c r="Q202" s="33"/>
      <c r="R202" s="158"/>
      <c r="S202" s="158"/>
      <c r="T202" s="159">
        <f t="shared" si="33"/>
        <v>0</v>
      </c>
      <c r="U202" s="30"/>
      <c r="V202" s="30"/>
      <c r="W202" s="30"/>
      <c r="X202" s="30"/>
      <c r="Y202" s="238"/>
      <c r="Z202" s="242"/>
      <c r="AA202" s="33"/>
      <c r="AB202" s="160"/>
      <c r="AC202" s="161"/>
      <c r="AD202" s="162"/>
      <c r="AE202" s="163"/>
      <c r="AF202" s="23">
        <f t="shared" si="38"/>
        <v>0</v>
      </c>
      <c r="AG202" s="161">
        <f t="shared" si="42"/>
        <v>0</v>
      </c>
      <c r="AH202" s="164">
        <f t="shared" si="34"/>
        <v>0</v>
      </c>
      <c r="AI202" s="23"/>
      <c r="AJ202" s="23"/>
      <c r="AK202" s="165"/>
      <c r="AL202" s="161"/>
      <c r="AM202" s="166"/>
      <c r="AN202" s="161"/>
      <c r="AO202" s="166"/>
      <c r="AP202" s="161"/>
      <c r="AQ202" s="161"/>
      <c r="AR202" s="161"/>
      <c r="AS202" s="167">
        <v>35000</v>
      </c>
      <c r="AT202" s="167">
        <v>30000</v>
      </c>
      <c r="AU202" s="167"/>
      <c r="AV202" s="167"/>
      <c r="AW202" s="167"/>
      <c r="AX202" s="167">
        <f t="shared" si="43"/>
        <v>65000</v>
      </c>
      <c r="AY202" s="168">
        <f t="shared" si="39"/>
        <v>-65000</v>
      </c>
      <c r="AZ202" s="168">
        <f t="shared" si="40"/>
        <v>-65000</v>
      </c>
      <c r="BA202" s="168">
        <f t="shared" si="41"/>
        <v>0</v>
      </c>
      <c r="BB202" s="168">
        <f t="shared" si="35"/>
        <v>-32500</v>
      </c>
      <c r="BC202" s="168">
        <f t="shared" si="36"/>
        <v>-29250</v>
      </c>
      <c r="BD202" s="169">
        <v>50000</v>
      </c>
      <c r="BE202" s="169"/>
      <c r="BF202" s="168">
        <f t="shared" si="37"/>
        <v>-79250</v>
      </c>
      <c r="BG202" s="33"/>
      <c r="BH202" s="15"/>
      <c r="BI202" s="15"/>
    </row>
    <row r="203" spans="1:61" s="6" customFormat="1" ht="16.899999999999999">
      <c r="A203" s="36">
        <v>202</v>
      </c>
      <c r="B203" s="35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5"/>
      <c r="P203" s="33"/>
      <c r="Q203" s="33"/>
      <c r="R203" s="158"/>
      <c r="S203" s="158"/>
      <c r="T203" s="159">
        <f t="shared" si="33"/>
        <v>0</v>
      </c>
      <c r="U203" s="30"/>
      <c r="V203" s="30"/>
      <c r="W203" s="30"/>
      <c r="X203" s="30"/>
      <c r="Y203" s="238"/>
      <c r="Z203" s="242"/>
      <c r="AA203" s="33"/>
      <c r="AB203" s="160"/>
      <c r="AC203" s="161"/>
      <c r="AD203" s="162"/>
      <c r="AE203" s="163"/>
      <c r="AF203" s="23">
        <f t="shared" si="38"/>
        <v>0</v>
      </c>
      <c r="AG203" s="161">
        <f t="shared" si="42"/>
        <v>0</v>
      </c>
      <c r="AH203" s="164">
        <f t="shared" si="34"/>
        <v>0</v>
      </c>
      <c r="AI203" s="23"/>
      <c r="AJ203" s="23"/>
      <c r="AK203" s="165"/>
      <c r="AL203" s="161"/>
      <c r="AM203" s="166"/>
      <c r="AN203" s="161"/>
      <c r="AO203" s="166"/>
      <c r="AP203" s="161"/>
      <c r="AQ203" s="161"/>
      <c r="AR203" s="161"/>
      <c r="AS203" s="167">
        <v>35000</v>
      </c>
      <c r="AT203" s="167">
        <v>30000</v>
      </c>
      <c r="AU203" s="167"/>
      <c r="AV203" s="167"/>
      <c r="AW203" s="167"/>
      <c r="AX203" s="167">
        <f t="shared" si="43"/>
        <v>65000</v>
      </c>
      <c r="AY203" s="168">
        <f t="shared" si="39"/>
        <v>-65000</v>
      </c>
      <c r="AZ203" s="168">
        <f t="shared" si="40"/>
        <v>-65000</v>
      </c>
      <c r="BA203" s="168">
        <f t="shared" si="41"/>
        <v>0</v>
      </c>
      <c r="BB203" s="168">
        <f t="shared" si="35"/>
        <v>-32500</v>
      </c>
      <c r="BC203" s="168">
        <f t="shared" si="36"/>
        <v>-29250</v>
      </c>
      <c r="BD203" s="169">
        <v>50000</v>
      </c>
      <c r="BE203" s="169"/>
      <c r="BF203" s="168">
        <f t="shared" si="37"/>
        <v>-79250</v>
      </c>
      <c r="BG203" s="33"/>
      <c r="BH203" s="15"/>
      <c r="BI203" s="15"/>
    </row>
    <row r="204" spans="1:61" s="6" customFormat="1" ht="16.899999999999999">
      <c r="A204" s="36">
        <v>203</v>
      </c>
      <c r="B204" s="35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5"/>
      <c r="P204" s="33"/>
      <c r="Q204" s="33"/>
      <c r="R204" s="158"/>
      <c r="S204" s="158"/>
      <c r="T204" s="159">
        <f t="shared" si="33"/>
        <v>0</v>
      </c>
      <c r="U204" s="30"/>
      <c r="V204" s="30"/>
      <c r="W204" s="30"/>
      <c r="X204" s="30"/>
      <c r="Y204" s="238"/>
      <c r="Z204" s="242"/>
      <c r="AA204" s="33"/>
      <c r="AB204" s="160"/>
      <c r="AC204" s="161"/>
      <c r="AD204" s="162"/>
      <c r="AE204" s="163"/>
      <c r="AF204" s="23">
        <f t="shared" si="38"/>
        <v>0</v>
      </c>
      <c r="AG204" s="161">
        <f t="shared" si="42"/>
        <v>0</v>
      </c>
      <c r="AH204" s="164">
        <f t="shared" si="34"/>
        <v>0</v>
      </c>
      <c r="AI204" s="23"/>
      <c r="AJ204" s="23"/>
      <c r="AK204" s="165"/>
      <c r="AL204" s="161"/>
      <c r="AM204" s="166"/>
      <c r="AN204" s="161"/>
      <c r="AO204" s="166"/>
      <c r="AP204" s="161"/>
      <c r="AQ204" s="161"/>
      <c r="AR204" s="161"/>
      <c r="AS204" s="167">
        <v>35000</v>
      </c>
      <c r="AT204" s="167">
        <v>30000</v>
      </c>
      <c r="AU204" s="167"/>
      <c r="AV204" s="167"/>
      <c r="AW204" s="167"/>
      <c r="AX204" s="167">
        <f t="shared" si="43"/>
        <v>65000</v>
      </c>
      <c r="AY204" s="168">
        <f t="shared" si="39"/>
        <v>-65000</v>
      </c>
      <c r="AZ204" s="168">
        <f t="shared" si="40"/>
        <v>-65000</v>
      </c>
      <c r="BA204" s="168">
        <f t="shared" si="41"/>
        <v>0</v>
      </c>
      <c r="BB204" s="168">
        <f t="shared" si="35"/>
        <v>-32500</v>
      </c>
      <c r="BC204" s="168">
        <f t="shared" si="36"/>
        <v>-29250</v>
      </c>
      <c r="BD204" s="169">
        <v>50000</v>
      </c>
      <c r="BE204" s="169"/>
      <c r="BF204" s="168">
        <f t="shared" si="37"/>
        <v>-79250</v>
      </c>
      <c r="BG204" s="33"/>
      <c r="BH204" s="15"/>
      <c r="BI204" s="15"/>
    </row>
    <row r="205" spans="1:61" s="6" customFormat="1" ht="16.899999999999999">
      <c r="A205" s="36">
        <v>204</v>
      </c>
      <c r="B205" s="35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5"/>
      <c r="P205" s="33"/>
      <c r="Q205" s="33"/>
      <c r="R205" s="158"/>
      <c r="S205" s="158"/>
      <c r="T205" s="159">
        <f t="shared" si="33"/>
        <v>0</v>
      </c>
      <c r="U205" s="30"/>
      <c r="V205" s="30"/>
      <c r="W205" s="30"/>
      <c r="X205" s="30"/>
      <c r="Y205" s="238"/>
      <c r="Z205" s="242"/>
      <c r="AA205" s="33"/>
      <c r="AB205" s="160"/>
      <c r="AC205" s="161"/>
      <c r="AD205" s="162"/>
      <c r="AE205" s="163"/>
      <c r="AF205" s="23">
        <f t="shared" si="38"/>
        <v>0</v>
      </c>
      <c r="AG205" s="161">
        <f t="shared" si="42"/>
        <v>0</v>
      </c>
      <c r="AH205" s="164">
        <f t="shared" si="34"/>
        <v>0</v>
      </c>
      <c r="AI205" s="23"/>
      <c r="AJ205" s="23"/>
      <c r="AK205" s="165"/>
      <c r="AL205" s="161"/>
      <c r="AM205" s="166"/>
      <c r="AN205" s="161"/>
      <c r="AO205" s="166"/>
      <c r="AP205" s="161"/>
      <c r="AQ205" s="161"/>
      <c r="AR205" s="161"/>
      <c r="AS205" s="167">
        <v>35000</v>
      </c>
      <c r="AT205" s="167">
        <v>30000</v>
      </c>
      <c r="AU205" s="167"/>
      <c r="AV205" s="167"/>
      <c r="AW205" s="167"/>
      <c r="AX205" s="167">
        <f t="shared" si="43"/>
        <v>65000</v>
      </c>
      <c r="AY205" s="168">
        <f t="shared" si="39"/>
        <v>-65000</v>
      </c>
      <c r="AZ205" s="168">
        <f t="shared" si="40"/>
        <v>-65000</v>
      </c>
      <c r="BA205" s="168">
        <f t="shared" si="41"/>
        <v>0</v>
      </c>
      <c r="BB205" s="168">
        <f t="shared" si="35"/>
        <v>-32500</v>
      </c>
      <c r="BC205" s="168">
        <f t="shared" si="36"/>
        <v>-29250</v>
      </c>
      <c r="BD205" s="169">
        <v>50000</v>
      </c>
      <c r="BE205" s="169"/>
      <c r="BF205" s="168">
        <f t="shared" si="37"/>
        <v>-79250</v>
      </c>
      <c r="BG205" s="33"/>
      <c r="BH205" s="15"/>
      <c r="BI205" s="15"/>
    </row>
    <row r="206" spans="1:61" s="6" customFormat="1" ht="16.899999999999999">
      <c r="A206" s="36">
        <v>205</v>
      </c>
      <c r="B206" s="35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5"/>
      <c r="P206" s="33"/>
      <c r="Q206" s="33"/>
      <c r="R206" s="158"/>
      <c r="S206" s="158"/>
      <c r="T206" s="159">
        <f t="shared" si="33"/>
        <v>0</v>
      </c>
      <c r="U206" s="30"/>
      <c r="V206" s="30"/>
      <c r="W206" s="30"/>
      <c r="X206" s="30"/>
      <c r="Y206" s="238"/>
      <c r="Z206" s="242"/>
      <c r="AA206" s="33"/>
      <c r="AB206" s="160"/>
      <c r="AC206" s="161"/>
      <c r="AD206" s="162"/>
      <c r="AE206" s="163"/>
      <c r="AF206" s="23">
        <f t="shared" si="38"/>
        <v>0</v>
      </c>
      <c r="AG206" s="161">
        <f t="shared" si="42"/>
        <v>0</v>
      </c>
      <c r="AH206" s="164">
        <f t="shared" si="34"/>
        <v>0</v>
      </c>
      <c r="AI206" s="23"/>
      <c r="AJ206" s="23"/>
      <c r="AK206" s="165"/>
      <c r="AL206" s="161"/>
      <c r="AM206" s="166"/>
      <c r="AN206" s="161"/>
      <c r="AO206" s="166"/>
      <c r="AP206" s="161"/>
      <c r="AQ206" s="161"/>
      <c r="AR206" s="161"/>
      <c r="AS206" s="167">
        <v>35000</v>
      </c>
      <c r="AT206" s="167">
        <v>30000</v>
      </c>
      <c r="AU206" s="167"/>
      <c r="AV206" s="167"/>
      <c r="AW206" s="167"/>
      <c r="AX206" s="167">
        <f t="shared" si="43"/>
        <v>65000</v>
      </c>
      <c r="AY206" s="168">
        <f t="shared" si="39"/>
        <v>-65000</v>
      </c>
      <c r="AZ206" s="168">
        <f t="shared" si="40"/>
        <v>-65000</v>
      </c>
      <c r="BA206" s="168">
        <f t="shared" si="41"/>
        <v>0</v>
      </c>
      <c r="BB206" s="168">
        <f t="shared" si="35"/>
        <v>-32500</v>
      </c>
      <c r="BC206" s="168">
        <f t="shared" si="36"/>
        <v>-29250</v>
      </c>
      <c r="BD206" s="169">
        <v>50000</v>
      </c>
      <c r="BE206" s="169"/>
      <c r="BF206" s="168">
        <f t="shared" si="37"/>
        <v>-79250</v>
      </c>
      <c r="BG206" s="33"/>
      <c r="BH206" s="15"/>
      <c r="BI206" s="15"/>
    </row>
    <row r="207" spans="1:61" s="6" customFormat="1" ht="16.899999999999999">
      <c r="A207" s="36">
        <v>206</v>
      </c>
      <c r="B207" s="35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5"/>
      <c r="P207" s="33"/>
      <c r="Q207" s="33"/>
      <c r="R207" s="158"/>
      <c r="S207" s="158"/>
      <c r="T207" s="159">
        <f t="shared" si="33"/>
        <v>0</v>
      </c>
      <c r="U207" s="30"/>
      <c r="V207" s="30"/>
      <c r="W207" s="30"/>
      <c r="X207" s="30"/>
      <c r="Y207" s="238"/>
      <c r="Z207" s="242"/>
      <c r="AA207" s="33"/>
      <c r="AB207" s="160"/>
      <c r="AC207" s="161"/>
      <c r="AD207" s="162"/>
      <c r="AE207" s="163"/>
      <c r="AF207" s="23">
        <f t="shared" si="38"/>
        <v>0</v>
      </c>
      <c r="AG207" s="161">
        <f t="shared" si="42"/>
        <v>0</v>
      </c>
      <c r="AH207" s="164">
        <f t="shared" si="34"/>
        <v>0</v>
      </c>
      <c r="AI207" s="23"/>
      <c r="AJ207" s="23"/>
      <c r="AK207" s="165"/>
      <c r="AL207" s="161"/>
      <c r="AM207" s="166"/>
      <c r="AN207" s="161"/>
      <c r="AO207" s="166"/>
      <c r="AP207" s="161"/>
      <c r="AQ207" s="161"/>
      <c r="AR207" s="161"/>
      <c r="AS207" s="167">
        <v>35000</v>
      </c>
      <c r="AT207" s="167">
        <v>30000</v>
      </c>
      <c r="AU207" s="167"/>
      <c r="AV207" s="167"/>
      <c r="AW207" s="167"/>
      <c r="AX207" s="167">
        <f t="shared" si="43"/>
        <v>65000</v>
      </c>
      <c r="AY207" s="168">
        <f t="shared" si="39"/>
        <v>-65000</v>
      </c>
      <c r="AZ207" s="168">
        <f t="shared" si="40"/>
        <v>-65000</v>
      </c>
      <c r="BA207" s="168">
        <f t="shared" si="41"/>
        <v>0</v>
      </c>
      <c r="BB207" s="168">
        <f t="shared" si="35"/>
        <v>-32500</v>
      </c>
      <c r="BC207" s="168">
        <f t="shared" si="36"/>
        <v>-29250</v>
      </c>
      <c r="BD207" s="169">
        <v>50000</v>
      </c>
      <c r="BE207" s="169"/>
      <c r="BF207" s="168">
        <f t="shared" si="37"/>
        <v>-79250</v>
      </c>
      <c r="BG207" s="33"/>
      <c r="BH207" s="15"/>
      <c r="BI207" s="15"/>
    </row>
    <row r="208" spans="1:61" ht="16.899999999999999">
      <c r="A208" s="36">
        <v>207</v>
      </c>
      <c r="B208" s="35"/>
      <c r="C208" s="33"/>
      <c r="D208" s="33"/>
      <c r="E208" s="33"/>
      <c r="F208" s="38"/>
      <c r="G208" s="38"/>
      <c r="H208" s="38"/>
      <c r="I208" s="38"/>
      <c r="J208" s="38"/>
      <c r="K208" s="38"/>
      <c r="L208" s="33"/>
      <c r="M208" s="33"/>
      <c r="N208" s="38"/>
      <c r="O208" s="39" t="s">
        <v>27</v>
      </c>
      <c r="P208" s="38"/>
      <c r="Q208" s="216"/>
      <c r="R208" s="158"/>
      <c r="S208" s="158"/>
      <c r="T208" s="159">
        <f t="shared" si="33"/>
        <v>0</v>
      </c>
      <c r="U208" s="30"/>
      <c r="V208" s="30"/>
      <c r="W208" s="30"/>
      <c r="X208" s="30"/>
      <c r="Y208" s="238"/>
      <c r="Z208" s="242"/>
      <c r="AA208" s="38"/>
      <c r="AB208" s="160"/>
      <c r="AC208" s="161"/>
      <c r="AD208" s="162"/>
      <c r="AE208" s="163"/>
      <c r="AF208" s="23">
        <f t="shared" si="38"/>
        <v>0</v>
      </c>
      <c r="AG208" s="161">
        <f t="shared" si="42"/>
        <v>0</v>
      </c>
      <c r="AH208" s="164">
        <f t="shared" si="34"/>
        <v>0</v>
      </c>
      <c r="AI208" s="23"/>
      <c r="AJ208" s="23"/>
      <c r="AK208" s="165"/>
      <c r="AL208" s="161"/>
      <c r="AM208" s="166"/>
      <c r="AN208" s="161"/>
      <c r="AO208" s="166"/>
      <c r="AP208" s="161"/>
      <c r="AQ208" s="161"/>
      <c r="AR208" s="161"/>
      <c r="AS208" s="167">
        <v>35000</v>
      </c>
      <c r="AT208" s="167">
        <v>30000</v>
      </c>
      <c r="AU208" s="167"/>
      <c r="AV208" s="167"/>
      <c r="AW208" s="167"/>
      <c r="AX208" s="167">
        <f t="shared" si="43"/>
        <v>65000</v>
      </c>
      <c r="AY208" s="168">
        <f t="shared" si="39"/>
        <v>-65000</v>
      </c>
      <c r="AZ208" s="168">
        <f t="shared" si="40"/>
        <v>-65000</v>
      </c>
      <c r="BA208" s="168">
        <f t="shared" si="41"/>
        <v>0</v>
      </c>
      <c r="BB208" s="168">
        <f t="shared" si="35"/>
        <v>-32500</v>
      </c>
      <c r="BC208" s="168">
        <f t="shared" si="36"/>
        <v>-29250</v>
      </c>
      <c r="BD208" s="169">
        <v>50000</v>
      </c>
      <c r="BE208" s="169"/>
      <c r="BF208" s="168">
        <f t="shared" si="37"/>
        <v>-79250</v>
      </c>
      <c r="BG208" s="33"/>
      <c r="BH208" s="16"/>
      <c r="BI208" s="16"/>
    </row>
    <row r="209" spans="1:61" ht="16.899999999999999">
      <c r="A209" s="36">
        <v>208</v>
      </c>
      <c r="B209" s="35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5"/>
      <c r="P209" s="33"/>
      <c r="Q209" s="33"/>
      <c r="R209" s="158"/>
      <c r="S209" s="158"/>
      <c r="T209" s="159">
        <f t="shared" si="33"/>
        <v>0</v>
      </c>
      <c r="U209" s="30"/>
      <c r="V209" s="30"/>
      <c r="W209" s="30"/>
      <c r="X209" s="30"/>
      <c r="Y209" s="238"/>
      <c r="Z209" s="242"/>
      <c r="AA209" s="33"/>
      <c r="AB209" s="160"/>
      <c r="AC209" s="161"/>
      <c r="AD209" s="162"/>
      <c r="AE209" s="163"/>
      <c r="AF209" s="23">
        <f t="shared" si="38"/>
        <v>0</v>
      </c>
      <c r="AG209" s="161">
        <f t="shared" si="42"/>
        <v>0</v>
      </c>
      <c r="AH209" s="164">
        <f t="shared" si="34"/>
        <v>0</v>
      </c>
      <c r="AI209" s="23"/>
      <c r="AJ209" s="23"/>
      <c r="AK209" s="165"/>
      <c r="AL209" s="161"/>
      <c r="AM209" s="166"/>
      <c r="AN209" s="161"/>
      <c r="AO209" s="166"/>
      <c r="AP209" s="161"/>
      <c r="AQ209" s="161"/>
      <c r="AR209" s="161"/>
      <c r="AS209" s="167">
        <v>35000</v>
      </c>
      <c r="AT209" s="167">
        <v>30000</v>
      </c>
      <c r="AU209" s="167"/>
      <c r="AV209" s="167"/>
      <c r="AW209" s="167"/>
      <c r="AX209" s="167">
        <f t="shared" si="43"/>
        <v>65000</v>
      </c>
      <c r="AY209" s="168">
        <f t="shared" si="39"/>
        <v>-65000</v>
      </c>
      <c r="AZ209" s="168">
        <f t="shared" si="40"/>
        <v>-65000</v>
      </c>
      <c r="BA209" s="168">
        <f t="shared" si="41"/>
        <v>0</v>
      </c>
      <c r="BB209" s="168">
        <f t="shared" si="35"/>
        <v>-32500</v>
      </c>
      <c r="BC209" s="168">
        <f t="shared" si="36"/>
        <v>-29250</v>
      </c>
      <c r="BD209" s="169">
        <v>50000</v>
      </c>
      <c r="BE209" s="169"/>
      <c r="BF209" s="168">
        <f t="shared" si="37"/>
        <v>-79250</v>
      </c>
      <c r="BG209" s="33"/>
      <c r="BH209" s="16"/>
      <c r="BI209" s="16"/>
    </row>
    <row r="210" spans="1:61" ht="16.899999999999999">
      <c r="A210" s="36">
        <v>209</v>
      </c>
      <c r="B210" s="35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5"/>
      <c r="P210" s="33"/>
      <c r="Q210" s="33"/>
      <c r="R210" s="158"/>
      <c r="S210" s="158"/>
      <c r="T210" s="159">
        <f t="shared" si="33"/>
        <v>0</v>
      </c>
      <c r="U210" s="30"/>
      <c r="V210" s="30"/>
      <c r="W210" s="30"/>
      <c r="X210" s="30"/>
      <c r="Y210" s="238"/>
      <c r="Z210" s="242"/>
      <c r="AA210" s="33"/>
      <c r="AB210" s="160"/>
      <c r="AC210" s="161"/>
      <c r="AD210" s="162"/>
      <c r="AE210" s="163"/>
      <c r="AF210" s="23">
        <f t="shared" si="38"/>
        <v>0</v>
      </c>
      <c r="AG210" s="161">
        <f t="shared" si="42"/>
        <v>0</v>
      </c>
      <c r="AH210" s="164">
        <f t="shared" si="34"/>
        <v>0</v>
      </c>
      <c r="AI210" s="23"/>
      <c r="AJ210" s="23"/>
      <c r="AK210" s="165"/>
      <c r="AL210" s="161"/>
      <c r="AM210" s="160"/>
      <c r="AN210" s="161"/>
      <c r="AO210" s="166"/>
      <c r="AP210" s="161"/>
      <c r="AQ210" s="161"/>
      <c r="AR210" s="161"/>
      <c r="AS210" s="167">
        <v>35000</v>
      </c>
      <c r="AT210" s="167">
        <v>30000</v>
      </c>
      <c r="AU210" s="167"/>
      <c r="AV210" s="167"/>
      <c r="AW210" s="167"/>
      <c r="AX210" s="167">
        <f t="shared" si="43"/>
        <v>65000</v>
      </c>
      <c r="AY210" s="168">
        <f t="shared" si="39"/>
        <v>-65000</v>
      </c>
      <c r="AZ210" s="168">
        <f t="shared" si="40"/>
        <v>-65000</v>
      </c>
      <c r="BA210" s="168">
        <f t="shared" si="41"/>
        <v>0</v>
      </c>
      <c r="BB210" s="168">
        <f t="shared" si="35"/>
        <v>-32500</v>
      </c>
      <c r="BC210" s="168">
        <f t="shared" si="36"/>
        <v>-29250</v>
      </c>
      <c r="BD210" s="169">
        <v>50000</v>
      </c>
      <c r="BE210" s="169"/>
      <c r="BF210" s="168">
        <f t="shared" si="37"/>
        <v>-79250</v>
      </c>
      <c r="BG210" s="33"/>
      <c r="BH210" s="16"/>
      <c r="BI210" s="16"/>
    </row>
    <row r="211" spans="1:61" ht="16.899999999999999">
      <c r="A211" s="36">
        <v>210</v>
      </c>
      <c r="B211" s="35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5"/>
      <c r="P211" s="33"/>
      <c r="Q211" s="33"/>
      <c r="R211" s="158"/>
      <c r="S211" s="158"/>
      <c r="T211" s="159">
        <f t="shared" si="33"/>
        <v>0</v>
      </c>
      <c r="U211" s="30"/>
      <c r="V211" s="30"/>
      <c r="W211" s="30"/>
      <c r="X211" s="30"/>
      <c r="Y211" s="238"/>
      <c r="Z211" s="242"/>
      <c r="AA211" s="33"/>
      <c r="AB211" s="160"/>
      <c r="AC211" s="161"/>
      <c r="AD211" s="162"/>
      <c r="AE211" s="163"/>
      <c r="AF211" s="23">
        <f t="shared" si="38"/>
        <v>0</v>
      </c>
      <c r="AG211" s="161">
        <f t="shared" si="42"/>
        <v>0</v>
      </c>
      <c r="AH211" s="164">
        <f t="shared" si="34"/>
        <v>0</v>
      </c>
      <c r="AI211" s="23"/>
      <c r="AJ211" s="23"/>
      <c r="AK211" s="165"/>
      <c r="AL211" s="161"/>
      <c r="AM211" s="166"/>
      <c r="AN211" s="161"/>
      <c r="AO211" s="166"/>
      <c r="AP211" s="161"/>
      <c r="AQ211" s="161"/>
      <c r="AR211" s="161"/>
      <c r="AS211" s="167">
        <v>35000</v>
      </c>
      <c r="AT211" s="167">
        <v>30000</v>
      </c>
      <c r="AU211" s="167"/>
      <c r="AV211" s="167"/>
      <c r="AW211" s="167"/>
      <c r="AX211" s="167">
        <f t="shared" si="43"/>
        <v>65000</v>
      </c>
      <c r="AY211" s="168">
        <f t="shared" si="39"/>
        <v>-65000</v>
      </c>
      <c r="AZ211" s="168">
        <f t="shared" si="40"/>
        <v>-65000</v>
      </c>
      <c r="BA211" s="168">
        <f t="shared" si="41"/>
        <v>0</v>
      </c>
      <c r="BB211" s="168">
        <f t="shared" si="35"/>
        <v>-32500</v>
      </c>
      <c r="BC211" s="168">
        <f t="shared" si="36"/>
        <v>-29250</v>
      </c>
      <c r="BD211" s="169">
        <v>50000</v>
      </c>
      <c r="BE211" s="169"/>
      <c r="BF211" s="168">
        <f t="shared" si="37"/>
        <v>-79250</v>
      </c>
      <c r="BG211" s="33"/>
      <c r="BH211" s="16"/>
      <c r="BI211" s="16"/>
    </row>
    <row r="212" spans="1:61" ht="16.899999999999999">
      <c r="A212" s="36">
        <v>211</v>
      </c>
      <c r="B212" s="35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5"/>
      <c r="P212" s="33"/>
      <c r="Q212" s="33"/>
      <c r="R212" s="158"/>
      <c r="S212" s="158"/>
      <c r="T212" s="159">
        <f t="shared" si="33"/>
        <v>0</v>
      </c>
      <c r="U212" s="30"/>
      <c r="V212" s="30"/>
      <c r="W212" s="30"/>
      <c r="X212" s="30"/>
      <c r="Y212" s="238"/>
      <c r="Z212" s="242"/>
      <c r="AA212" s="33"/>
      <c r="AB212" s="160"/>
      <c r="AC212" s="161"/>
      <c r="AD212" s="162"/>
      <c r="AE212" s="163"/>
      <c r="AF212" s="23">
        <f t="shared" si="38"/>
        <v>0</v>
      </c>
      <c r="AG212" s="161">
        <f t="shared" si="42"/>
        <v>0</v>
      </c>
      <c r="AH212" s="164">
        <f t="shared" si="34"/>
        <v>0</v>
      </c>
      <c r="AI212" s="23"/>
      <c r="AJ212" s="23"/>
      <c r="AK212" s="165"/>
      <c r="AL212" s="161"/>
      <c r="AM212" s="166"/>
      <c r="AN212" s="161"/>
      <c r="AO212" s="166"/>
      <c r="AP212" s="161"/>
      <c r="AQ212" s="161"/>
      <c r="AR212" s="161"/>
      <c r="AS212" s="167">
        <v>35000</v>
      </c>
      <c r="AT212" s="167">
        <v>30000</v>
      </c>
      <c r="AU212" s="167"/>
      <c r="AV212" s="167"/>
      <c r="AW212" s="167"/>
      <c r="AX212" s="167">
        <f t="shared" si="43"/>
        <v>65000</v>
      </c>
      <c r="AY212" s="168">
        <f t="shared" si="39"/>
        <v>-65000</v>
      </c>
      <c r="AZ212" s="168">
        <f t="shared" si="40"/>
        <v>-65000</v>
      </c>
      <c r="BA212" s="168">
        <f t="shared" si="41"/>
        <v>0</v>
      </c>
      <c r="BB212" s="168">
        <f t="shared" si="35"/>
        <v>-32500</v>
      </c>
      <c r="BC212" s="168">
        <f t="shared" si="36"/>
        <v>-29250</v>
      </c>
      <c r="BD212" s="169">
        <v>50000</v>
      </c>
      <c r="BE212" s="169"/>
      <c r="BF212" s="168">
        <f t="shared" si="37"/>
        <v>-79250</v>
      </c>
      <c r="BG212" s="33"/>
      <c r="BH212" s="16"/>
      <c r="BI212" s="16"/>
    </row>
    <row r="213" spans="1:61" ht="16.899999999999999">
      <c r="A213" s="36">
        <v>212</v>
      </c>
      <c r="B213" s="35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5"/>
      <c r="P213" s="33"/>
      <c r="Q213" s="33"/>
      <c r="R213" s="158"/>
      <c r="S213" s="158"/>
      <c r="T213" s="159">
        <f t="shared" si="33"/>
        <v>0</v>
      </c>
      <c r="U213" s="30"/>
      <c r="V213" s="30"/>
      <c r="W213" s="30"/>
      <c r="X213" s="30"/>
      <c r="Y213" s="238"/>
      <c r="Z213" s="242"/>
      <c r="AA213" s="33"/>
      <c r="AB213" s="160"/>
      <c r="AC213" s="161"/>
      <c r="AD213" s="162"/>
      <c r="AE213" s="163"/>
      <c r="AF213" s="23">
        <f t="shared" si="38"/>
        <v>0</v>
      </c>
      <c r="AG213" s="161">
        <f t="shared" si="42"/>
        <v>0</v>
      </c>
      <c r="AH213" s="164">
        <f t="shared" si="34"/>
        <v>0</v>
      </c>
      <c r="AI213" s="23"/>
      <c r="AJ213" s="23"/>
      <c r="AK213" s="165"/>
      <c r="AL213" s="161"/>
      <c r="AM213" s="166"/>
      <c r="AN213" s="161"/>
      <c r="AO213" s="166"/>
      <c r="AP213" s="161"/>
      <c r="AQ213" s="161"/>
      <c r="AR213" s="161"/>
      <c r="AS213" s="167">
        <v>35000</v>
      </c>
      <c r="AT213" s="167">
        <v>30000</v>
      </c>
      <c r="AU213" s="167"/>
      <c r="AV213" s="167"/>
      <c r="AW213" s="167"/>
      <c r="AX213" s="167">
        <f t="shared" si="43"/>
        <v>65000</v>
      </c>
      <c r="AY213" s="168">
        <f t="shared" si="39"/>
        <v>-65000</v>
      </c>
      <c r="AZ213" s="168">
        <f t="shared" si="40"/>
        <v>-65000</v>
      </c>
      <c r="BA213" s="168">
        <f t="shared" si="41"/>
        <v>0</v>
      </c>
      <c r="BB213" s="168">
        <f t="shared" si="35"/>
        <v>-32500</v>
      </c>
      <c r="BC213" s="168">
        <f t="shared" si="36"/>
        <v>-29250</v>
      </c>
      <c r="BD213" s="169">
        <v>50000</v>
      </c>
      <c r="BE213" s="169"/>
      <c r="BF213" s="168">
        <f t="shared" si="37"/>
        <v>-79250</v>
      </c>
      <c r="BG213" s="33"/>
      <c r="BH213" s="16"/>
      <c r="BI213" s="16"/>
    </row>
    <row r="214" spans="1:61" ht="16.899999999999999">
      <c r="A214" s="36">
        <v>213</v>
      </c>
      <c r="B214" s="35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5"/>
      <c r="P214" s="33"/>
      <c r="Q214" s="33"/>
      <c r="R214" s="158"/>
      <c r="S214" s="158"/>
      <c r="T214" s="159">
        <f t="shared" si="33"/>
        <v>0</v>
      </c>
      <c r="U214" s="30"/>
      <c r="V214" s="30"/>
      <c r="W214" s="30"/>
      <c r="X214" s="30"/>
      <c r="Y214" s="238"/>
      <c r="Z214" s="242"/>
      <c r="AA214" s="33"/>
      <c r="AB214" s="160"/>
      <c r="AC214" s="161"/>
      <c r="AD214" s="162"/>
      <c r="AE214" s="163"/>
      <c r="AF214" s="23">
        <f t="shared" si="38"/>
        <v>0</v>
      </c>
      <c r="AG214" s="161">
        <f t="shared" si="42"/>
        <v>0</v>
      </c>
      <c r="AH214" s="164">
        <f t="shared" si="34"/>
        <v>0</v>
      </c>
      <c r="AI214" s="23"/>
      <c r="AJ214" s="23"/>
      <c r="AK214" s="165"/>
      <c r="AL214" s="161"/>
      <c r="AM214" s="166"/>
      <c r="AN214" s="161"/>
      <c r="AO214" s="166"/>
      <c r="AP214" s="161"/>
      <c r="AQ214" s="161"/>
      <c r="AR214" s="161"/>
      <c r="AS214" s="167">
        <v>35000</v>
      </c>
      <c r="AT214" s="167">
        <v>30000</v>
      </c>
      <c r="AU214" s="167"/>
      <c r="AV214" s="167"/>
      <c r="AW214" s="167"/>
      <c r="AX214" s="167">
        <f t="shared" si="43"/>
        <v>65000</v>
      </c>
      <c r="AY214" s="168">
        <f t="shared" si="39"/>
        <v>-65000</v>
      </c>
      <c r="AZ214" s="168">
        <f t="shared" si="40"/>
        <v>-65000</v>
      </c>
      <c r="BA214" s="168">
        <f t="shared" si="41"/>
        <v>0</v>
      </c>
      <c r="BB214" s="168">
        <f t="shared" si="35"/>
        <v>-32500</v>
      </c>
      <c r="BC214" s="168">
        <f t="shared" si="36"/>
        <v>-29250</v>
      </c>
      <c r="BD214" s="169">
        <v>50000</v>
      </c>
      <c r="BE214" s="169"/>
      <c r="BF214" s="168">
        <f t="shared" si="37"/>
        <v>-79250</v>
      </c>
      <c r="BG214" s="33"/>
      <c r="BH214" s="16"/>
      <c r="BI214" s="16"/>
    </row>
    <row r="215" spans="1:61" ht="16.899999999999999">
      <c r="A215" s="36">
        <v>214</v>
      </c>
      <c r="B215" s="35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5"/>
      <c r="P215" s="33"/>
      <c r="Q215" s="33"/>
      <c r="R215" s="158"/>
      <c r="S215" s="158"/>
      <c r="T215" s="159">
        <f t="shared" si="33"/>
        <v>0</v>
      </c>
      <c r="U215" s="30"/>
      <c r="V215" s="30"/>
      <c r="W215" s="30"/>
      <c r="X215" s="30"/>
      <c r="Y215" s="238"/>
      <c r="Z215" s="242"/>
      <c r="AA215" s="33"/>
      <c r="AB215" s="160"/>
      <c r="AC215" s="161"/>
      <c r="AD215" s="162"/>
      <c r="AE215" s="163"/>
      <c r="AF215" s="23">
        <f t="shared" si="38"/>
        <v>0</v>
      </c>
      <c r="AG215" s="161">
        <f t="shared" si="42"/>
        <v>0</v>
      </c>
      <c r="AH215" s="164">
        <f t="shared" si="34"/>
        <v>0</v>
      </c>
      <c r="AI215" s="23"/>
      <c r="AJ215" s="23"/>
      <c r="AK215" s="165"/>
      <c r="AL215" s="161"/>
      <c r="AM215" s="166"/>
      <c r="AN215" s="161"/>
      <c r="AO215" s="166"/>
      <c r="AP215" s="161"/>
      <c r="AQ215" s="161"/>
      <c r="AR215" s="161"/>
      <c r="AS215" s="167">
        <v>35000</v>
      </c>
      <c r="AT215" s="167">
        <v>30000</v>
      </c>
      <c r="AU215" s="167"/>
      <c r="AV215" s="167"/>
      <c r="AW215" s="167"/>
      <c r="AX215" s="167">
        <f t="shared" si="43"/>
        <v>65000</v>
      </c>
      <c r="AY215" s="168">
        <f t="shared" si="39"/>
        <v>-65000</v>
      </c>
      <c r="AZ215" s="168">
        <f t="shared" si="40"/>
        <v>-65000</v>
      </c>
      <c r="BA215" s="168">
        <f t="shared" si="41"/>
        <v>0</v>
      </c>
      <c r="BB215" s="168">
        <f t="shared" si="35"/>
        <v>-32500</v>
      </c>
      <c r="BC215" s="168">
        <f t="shared" si="36"/>
        <v>-29250</v>
      </c>
      <c r="BD215" s="169">
        <v>50000</v>
      </c>
      <c r="BE215" s="169"/>
      <c r="BF215" s="168">
        <f t="shared" si="37"/>
        <v>-79250</v>
      </c>
      <c r="BG215" s="33"/>
      <c r="BH215" s="16"/>
      <c r="BI215" s="16"/>
    </row>
    <row r="216" spans="1:61" ht="16.899999999999999">
      <c r="A216" s="36">
        <v>215</v>
      </c>
      <c r="B216" s="35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5"/>
      <c r="P216" s="33"/>
      <c r="Q216" s="33"/>
      <c r="R216" s="158"/>
      <c r="S216" s="158"/>
      <c r="T216" s="159">
        <f t="shared" si="33"/>
        <v>0</v>
      </c>
      <c r="U216" s="30"/>
      <c r="V216" s="30"/>
      <c r="W216" s="30"/>
      <c r="X216" s="30"/>
      <c r="Y216" s="238"/>
      <c r="Z216" s="242"/>
      <c r="AA216" s="33"/>
      <c r="AB216" s="160"/>
      <c r="AC216" s="161"/>
      <c r="AD216" s="162"/>
      <c r="AE216" s="163"/>
      <c r="AF216" s="23">
        <f t="shared" si="38"/>
        <v>0</v>
      </c>
      <c r="AG216" s="161">
        <f t="shared" si="42"/>
        <v>0</v>
      </c>
      <c r="AH216" s="164">
        <f t="shared" si="34"/>
        <v>0</v>
      </c>
      <c r="AI216" s="23"/>
      <c r="AJ216" s="23"/>
      <c r="AK216" s="165"/>
      <c r="AL216" s="161"/>
      <c r="AM216" s="166"/>
      <c r="AN216" s="161"/>
      <c r="AO216" s="166"/>
      <c r="AP216" s="161"/>
      <c r="AQ216" s="161"/>
      <c r="AR216" s="161"/>
      <c r="AS216" s="167">
        <v>35000</v>
      </c>
      <c r="AT216" s="167">
        <v>30000</v>
      </c>
      <c r="AU216" s="167"/>
      <c r="AV216" s="167"/>
      <c r="AW216" s="167"/>
      <c r="AX216" s="167">
        <f t="shared" si="43"/>
        <v>65000</v>
      </c>
      <c r="AY216" s="168">
        <f t="shared" si="39"/>
        <v>-65000</v>
      </c>
      <c r="AZ216" s="168">
        <f t="shared" si="40"/>
        <v>-65000</v>
      </c>
      <c r="BA216" s="168">
        <f t="shared" si="41"/>
        <v>0</v>
      </c>
      <c r="BB216" s="168">
        <f t="shared" si="35"/>
        <v>-32500</v>
      </c>
      <c r="BC216" s="168">
        <f t="shared" si="36"/>
        <v>-29250</v>
      </c>
      <c r="BD216" s="169">
        <v>50000</v>
      </c>
      <c r="BE216" s="169"/>
      <c r="BF216" s="168">
        <f t="shared" si="37"/>
        <v>-79250</v>
      </c>
      <c r="BG216" s="33"/>
      <c r="BH216" s="16"/>
      <c r="BI216" s="16"/>
    </row>
    <row r="217" spans="1:61" ht="16.899999999999999">
      <c r="A217" s="36">
        <v>216</v>
      </c>
      <c r="B217" s="35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5"/>
      <c r="P217" s="33"/>
      <c r="Q217" s="33"/>
      <c r="R217" s="158"/>
      <c r="S217" s="158"/>
      <c r="T217" s="159">
        <f t="shared" si="33"/>
        <v>0</v>
      </c>
      <c r="U217" s="30"/>
      <c r="V217" s="30"/>
      <c r="W217" s="30"/>
      <c r="X217" s="30"/>
      <c r="Y217" s="238"/>
      <c r="Z217" s="242"/>
      <c r="AA217" s="33"/>
      <c r="AB217" s="160"/>
      <c r="AC217" s="161"/>
      <c r="AD217" s="162"/>
      <c r="AE217" s="163"/>
      <c r="AF217" s="23">
        <f t="shared" si="38"/>
        <v>0</v>
      </c>
      <c r="AG217" s="161">
        <f t="shared" si="42"/>
        <v>0</v>
      </c>
      <c r="AH217" s="164">
        <f t="shared" si="34"/>
        <v>0</v>
      </c>
      <c r="AI217" s="23"/>
      <c r="AJ217" s="23"/>
      <c r="AK217" s="165"/>
      <c r="AL217" s="161"/>
      <c r="AM217" s="166"/>
      <c r="AN217" s="161"/>
      <c r="AO217" s="166"/>
      <c r="AP217" s="161"/>
      <c r="AQ217" s="161"/>
      <c r="AR217" s="161"/>
      <c r="AS217" s="167">
        <v>35000</v>
      </c>
      <c r="AT217" s="167">
        <v>30000</v>
      </c>
      <c r="AU217" s="167"/>
      <c r="AV217" s="167"/>
      <c r="AW217" s="167"/>
      <c r="AX217" s="167">
        <f t="shared" si="43"/>
        <v>65000</v>
      </c>
      <c r="AY217" s="168">
        <f t="shared" si="39"/>
        <v>-65000</v>
      </c>
      <c r="AZ217" s="168">
        <f t="shared" si="40"/>
        <v>-65000</v>
      </c>
      <c r="BA217" s="168">
        <f t="shared" si="41"/>
        <v>0</v>
      </c>
      <c r="BB217" s="168">
        <f t="shared" si="35"/>
        <v>-32500</v>
      </c>
      <c r="BC217" s="168">
        <f t="shared" si="36"/>
        <v>-29250</v>
      </c>
      <c r="BD217" s="169">
        <v>50000</v>
      </c>
      <c r="BE217" s="169"/>
      <c r="BF217" s="168">
        <f t="shared" si="37"/>
        <v>-79250</v>
      </c>
      <c r="BG217" s="33"/>
      <c r="BH217" s="16"/>
      <c r="BI217" s="16"/>
    </row>
    <row r="218" spans="1:61" ht="16.899999999999999">
      <c r="A218" s="36">
        <v>217</v>
      </c>
      <c r="B218" s="35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5"/>
      <c r="P218" s="33"/>
      <c r="Q218" s="33"/>
      <c r="R218" s="158"/>
      <c r="S218" s="158"/>
      <c r="T218" s="159">
        <f t="shared" si="33"/>
        <v>0</v>
      </c>
      <c r="U218" s="30"/>
      <c r="V218" s="30"/>
      <c r="W218" s="30"/>
      <c r="X218" s="30"/>
      <c r="Y218" s="238"/>
      <c r="Z218" s="242"/>
      <c r="AA218" s="33"/>
      <c r="AB218" s="160"/>
      <c r="AC218" s="161"/>
      <c r="AD218" s="162"/>
      <c r="AE218" s="163"/>
      <c r="AF218" s="23">
        <f t="shared" si="38"/>
        <v>0</v>
      </c>
      <c r="AG218" s="161">
        <f t="shared" si="42"/>
        <v>0</v>
      </c>
      <c r="AH218" s="164">
        <f t="shared" si="34"/>
        <v>0</v>
      </c>
      <c r="AI218" s="23"/>
      <c r="AJ218" s="23"/>
      <c r="AK218" s="165"/>
      <c r="AL218" s="161"/>
      <c r="AM218" s="166"/>
      <c r="AN218" s="161"/>
      <c r="AO218" s="166"/>
      <c r="AP218" s="161"/>
      <c r="AQ218" s="161"/>
      <c r="AR218" s="161"/>
      <c r="AS218" s="167">
        <v>35000</v>
      </c>
      <c r="AT218" s="167">
        <v>30000</v>
      </c>
      <c r="AU218" s="167"/>
      <c r="AV218" s="167"/>
      <c r="AW218" s="167"/>
      <c r="AX218" s="167">
        <f t="shared" si="43"/>
        <v>65000</v>
      </c>
      <c r="AY218" s="168">
        <f t="shared" si="39"/>
        <v>-65000</v>
      </c>
      <c r="AZ218" s="168">
        <f t="shared" si="40"/>
        <v>-65000</v>
      </c>
      <c r="BA218" s="168">
        <f t="shared" si="41"/>
        <v>0</v>
      </c>
      <c r="BB218" s="168">
        <f t="shared" si="35"/>
        <v>-32500</v>
      </c>
      <c r="BC218" s="168">
        <f t="shared" si="36"/>
        <v>-29250</v>
      </c>
      <c r="BD218" s="169">
        <v>50000</v>
      </c>
      <c r="BE218" s="169"/>
      <c r="BF218" s="168">
        <f t="shared" si="37"/>
        <v>-79250</v>
      </c>
      <c r="BG218" s="33"/>
      <c r="BH218" s="16"/>
      <c r="BI218" s="16"/>
    </row>
    <row r="219" spans="1:61" ht="16.899999999999999">
      <c r="A219" s="36">
        <v>218</v>
      </c>
      <c r="B219" s="35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5"/>
      <c r="P219" s="33"/>
      <c r="Q219" s="33"/>
      <c r="R219" s="158"/>
      <c r="S219" s="158"/>
      <c r="T219" s="159">
        <f t="shared" si="33"/>
        <v>0</v>
      </c>
      <c r="U219" s="30"/>
      <c r="V219" s="30"/>
      <c r="W219" s="30"/>
      <c r="X219" s="30"/>
      <c r="Y219" s="238"/>
      <c r="Z219" s="242"/>
      <c r="AA219" s="33"/>
      <c r="AB219" s="160"/>
      <c r="AC219" s="161"/>
      <c r="AD219" s="162"/>
      <c r="AE219" s="163"/>
      <c r="AF219" s="23">
        <f t="shared" si="38"/>
        <v>0</v>
      </c>
      <c r="AG219" s="161">
        <f t="shared" si="42"/>
        <v>0</v>
      </c>
      <c r="AH219" s="164">
        <f t="shared" si="34"/>
        <v>0</v>
      </c>
      <c r="AI219" s="23"/>
      <c r="AJ219" s="23"/>
      <c r="AK219" s="166"/>
      <c r="AL219" s="161"/>
      <c r="AM219" s="166"/>
      <c r="AN219" s="161"/>
      <c r="AO219" s="166"/>
      <c r="AP219" s="161"/>
      <c r="AQ219" s="161"/>
      <c r="AR219" s="161"/>
      <c r="AS219" s="167">
        <v>35000</v>
      </c>
      <c r="AT219" s="167">
        <v>30000</v>
      </c>
      <c r="AU219" s="167"/>
      <c r="AV219" s="167"/>
      <c r="AW219" s="167"/>
      <c r="AX219" s="167">
        <f t="shared" si="43"/>
        <v>65000</v>
      </c>
      <c r="AY219" s="168">
        <f t="shared" si="39"/>
        <v>-65000</v>
      </c>
      <c r="AZ219" s="168">
        <f t="shared" si="40"/>
        <v>-65000</v>
      </c>
      <c r="BA219" s="168">
        <f t="shared" si="41"/>
        <v>0</v>
      </c>
      <c r="BB219" s="168">
        <f t="shared" si="35"/>
        <v>-32500</v>
      </c>
      <c r="BC219" s="168">
        <f t="shared" si="36"/>
        <v>-29250</v>
      </c>
      <c r="BD219" s="169">
        <v>50000</v>
      </c>
      <c r="BE219" s="169"/>
      <c r="BF219" s="168">
        <f t="shared" si="37"/>
        <v>-79250</v>
      </c>
      <c r="BG219" s="33"/>
      <c r="BH219" s="16"/>
      <c r="BI219" s="16"/>
    </row>
    <row r="220" spans="1:61" ht="16.899999999999999">
      <c r="A220" s="36">
        <v>219</v>
      </c>
      <c r="B220" s="35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5"/>
      <c r="P220" s="33"/>
      <c r="Q220" s="33"/>
      <c r="R220" s="158"/>
      <c r="S220" s="158"/>
      <c r="T220" s="159">
        <f t="shared" ref="T220:T283" si="44">R220+S220</f>
        <v>0</v>
      </c>
      <c r="U220" s="30"/>
      <c r="V220" s="30"/>
      <c r="W220" s="30"/>
      <c r="X220" s="30"/>
      <c r="Y220" s="238"/>
      <c r="Z220" s="242"/>
      <c r="AA220" s="33"/>
      <c r="AB220" s="160"/>
      <c r="AC220" s="161"/>
      <c r="AD220" s="162"/>
      <c r="AE220" s="163"/>
      <c r="AF220" s="23">
        <f t="shared" si="38"/>
        <v>0</v>
      </c>
      <c r="AG220" s="161">
        <f t="shared" si="42"/>
        <v>0</v>
      </c>
      <c r="AH220" s="164">
        <f t="shared" ref="AH220:AH283" si="45">SUM(AG220-AF220)</f>
        <v>0</v>
      </c>
      <c r="AI220" s="23"/>
      <c r="AJ220" s="23"/>
      <c r="AK220" s="165"/>
      <c r="AL220" s="161"/>
      <c r="AM220" s="166"/>
      <c r="AN220" s="161"/>
      <c r="AO220" s="166"/>
      <c r="AP220" s="161"/>
      <c r="AQ220" s="161"/>
      <c r="AR220" s="161"/>
      <c r="AS220" s="167">
        <v>35000</v>
      </c>
      <c r="AT220" s="167">
        <v>30000</v>
      </c>
      <c r="AU220" s="167"/>
      <c r="AV220" s="167"/>
      <c r="AW220" s="167"/>
      <c r="AX220" s="167">
        <f t="shared" si="43"/>
        <v>65000</v>
      </c>
      <c r="AY220" s="168">
        <f t="shared" si="39"/>
        <v>-65000</v>
      </c>
      <c r="AZ220" s="168">
        <f t="shared" si="40"/>
        <v>-65000</v>
      </c>
      <c r="BA220" s="168">
        <f t="shared" si="41"/>
        <v>0</v>
      </c>
      <c r="BB220" s="168">
        <f t="shared" ref="BB220:BB283" si="46">SUM(AZ220:BA220)/2</f>
        <v>-32500</v>
      </c>
      <c r="BC220" s="168">
        <f t="shared" ref="BC220:BC283" si="47">BB220-(BB220*10%)</f>
        <v>-29250</v>
      </c>
      <c r="BD220" s="169">
        <v>50000</v>
      </c>
      <c r="BE220" s="169"/>
      <c r="BF220" s="168">
        <f t="shared" si="37"/>
        <v>-79250</v>
      </c>
      <c r="BG220" s="33"/>
      <c r="BH220" s="16"/>
      <c r="BI220" s="16"/>
    </row>
    <row r="221" spans="1:61" ht="16.899999999999999">
      <c r="A221" s="36">
        <v>220</v>
      </c>
      <c r="B221" s="35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5"/>
      <c r="P221" s="33"/>
      <c r="Q221" s="33"/>
      <c r="R221" s="158"/>
      <c r="S221" s="158"/>
      <c r="T221" s="159">
        <f t="shared" si="44"/>
        <v>0</v>
      </c>
      <c r="U221" s="30"/>
      <c r="V221" s="30"/>
      <c r="W221" s="30"/>
      <c r="X221" s="30"/>
      <c r="Y221" s="238"/>
      <c r="Z221" s="242"/>
      <c r="AA221" s="33"/>
      <c r="AB221" s="160"/>
      <c r="AC221" s="161"/>
      <c r="AD221" s="162"/>
      <c r="AE221" s="163"/>
      <c r="AF221" s="23">
        <f t="shared" si="38"/>
        <v>0</v>
      </c>
      <c r="AG221" s="161">
        <f t="shared" si="42"/>
        <v>0</v>
      </c>
      <c r="AH221" s="164">
        <f t="shared" si="45"/>
        <v>0</v>
      </c>
      <c r="AI221" s="23"/>
      <c r="AJ221" s="23"/>
      <c r="AK221" s="165"/>
      <c r="AL221" s="161"/>
      <c r="AM221" s="166"/>
      <c r="AN221" s="161"/>
      <c r="AO221" s="166"/>
      <c r="AP221" s="161"/>
      <c r="AQ221" s="161"/>
      <c r="AR221" s="161"/>
      <c r="AS221" s="167">
        <v>35000</v>
      </c>
      <c r="AT221" s="167">
        <v>30000</v>
      </c>
      <c r="AU221" s="167"/>
      <c r="AV221" s="167"/>
      <c r="AW221" s="167"/>
      <c r="AX221" s="167">
        <f t="shared" si="43"/>
        <v>65000</v>
      </c>
      <c r="AY221" s="168">
        <f t="shared" si="39"/>
        <v>-65000</v>
      </c>
      <c r="AZ221" s="168">
        <f t="shared" si="40"/>
        <v>-65000</v>
      </c>
      <c r="BA221" s="168">
        <f t="shared" si="41"/>
        <v>0</v>
      </c>
      <c r="BB221" s="168">
        <f t="shared" si="46"/>
        <v>-32500</v>
      </c>
      <c r="BC221" s="168">
        <f t="shared" si="47"/>
        <v>-29250</v>
      </c>
      <c r="BD221" s="169">
        <v>50000</v>
      </c>
      <c r="BE221" s="169"/>
      <c r="BF221" s="168">
        <f t="shared" si="37"/>
        <v>-79250</v>
      </c>
      <c r="BG221" s="33"/>
      <c r="BH221" s="16"/>
      <c r="BI221" s="16"/>
    </row>
    <row r="222" spans="1:61" ht="16.899999999999999">
      <c r="A222" s="36">
        <v>221</v>
      </c>
      <c r="B222" s="35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5"/>
      <c r="P222" s="33"/>
      <c r="Q222" s="33"/>
      <c r="R222" s="158"/>
      <c r="S222" s="158"/>
      <c r="T222" s="159">
        <f t="shared" si="44"/>
        <v>0</v>
      </c>
      <c r="U222" s="30"/>
      <c r="V222" s="30"/>
      <c r="W222" s="30"/>
      <c r="X222" s="30"/>
      <c r="Y222" s="238"/>
      <c r="Z222" s="242"/>
      <c r="AA222" s="33"/>
      <c r="AB222" s="160"/>
      <c r="AC222" s="161"/>
      <c r="AD222" s="162"/>
      <c r="AE222" s="163"/>
      <c r="AF222" s="23">
        <f t="shared" si="38"/>
        <v>0</v>
      </c>
      <c r="AG222" s="161">
        <f t="shared" si="42"/>
        <v>0</v>
      </c>
      <c r="AH222" s="164">
        <f t="shared" si="45"/>
        <v>0</v>
      </c>
      <c r="AI222" s="23"/>
      <c r="AJ222" s="23"/>
      <c r="AK222" s="165"/>
      <c r="AL222" s="161"/>
      <c r="AM222" s="166"/>
      <c r="AN222" s="161"/>
      <c r="AO222" s="166"/>
      <c r="AP222" s="161"/>
      <c r="AQ222" s="161"/>
      <c r="AR222" s="161"/>
      <c r="AS222" s="167">
        <v>35000</v>
      </c>
      <c r="AT222" s="167">
        <v>30000</v>
      </c>
      <c r="AU222" s="167"/>
      <c r="AV222" s="167"/>
      <c r="AW222" s="167"/>
      <c r="AX222" s="167">
        <f t="shared" si="43"/>
        <v>65000</v>
      </c>
      <c r="AY222" s="168">
        <f t="shared" si="39"/>
        <v>-65000</v>
      </c>
      <c r="AZ222" s="168">
        <f t="shared" si="40"/>
        <v>-65000</v>
      </c>
      <c r="BA222" s="168">
        <f t="shared" si="41"/>
        <v>0</v>
      </c>
      <c r="BB222" s="168">
        <f t="shared" si="46"/>
        <v>-32500</v>
      </c>
      <c r="BC222" s="168">
        <f t="shared" si="47"/>
        <v>-29250</v>
      </c>
      <c r="BD222" s="169">
        <v>50000</v>
      </c>
      <c r="BE222" s="169"/>
      <c r="BF222" s="168">
        <f t="shared" si="37"/>
        <v>-79250</v>
      </c>
      <c r="BG222" s="33"/>
      <c r="BH222" s="16"/>
      <c r="BI222" s="16"/>
    </row>
    <row r="223" spans="1:61" ht="16.899999999999999">
      <c r="A223" s="36">
        <v>222</v>
      </c>
      <c r="B223" s="35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5"/>
      <c r="P223" s="33"/>
      <c r="Q223" s="33"/>
      <c r="R223" s="158"/>
      <c r="S223" s="158"/>
      <c r="T223" s="159">
        <f t="shared" si="44"/>
        <v>0</v>
      </c>
      <c r="U223" s="30"/>
      <c r="V223" s="30"/>
      <c r="W223" s="30"/>
      <c r="X223" s="30"/>
      <c r="Y223" s="238"/>
      <c r="Z223" s="242"/>
      <c r="AA223" s="33"/>
      <c r="AB223" s="160"/>
      <c r="AC223" s="161"/>
      <c r="AD223" s="162"/>
      <c r="AE223" s="163"/>
      <c r="AF223" s="23">
        <f t="shared" si="38"/>
        <v>0</v>
      </c>
      <c r="AG223" s="161">
        <f t="shared" si="42"/>
        <v>0</v>
      </c>
      <c r="AH223" s="164">
        <f t="shared" si="45"/>
        <v>0</v>
      </c>
      <c r="AI223" s="23"/>
      <c r="AJ223" s="23"/>
      <c r="AK223" s="165"/>
      <c r="AL223" s="161"/>
      <c r="AM223" s="166"/>
      <c r="AN223" s="161"/>
      <c r="AO223" s="166"/>
      <c r="AP223" s="161"/>
      <c r="AQ223" s="161"/>
      <c r="AR223" s="161"/>
      <c r="AS223" s="167">
        <v>35000</v>
      </c>
      <c r="AT223" s="167">
        <v>30000</v>
      </c>
      <c r="AU223" s="167"/>
      <c r="AV223" s="167"/>
      <c r="AW223" s="167"/>
      <c r="AX223" s="167">
        <f t="shared" si="43"/>
        <v>65000</v>
      </c>
      <c r="AY223" s="168">
        <f t="shared" si="39"/>
        <v>-65000</v>
      </c>
      <c r="AZ223" s="168">
        <f t="shared" si="40"/>
        <v>-65000</v>
      </c>
      <c r="BA223" s="168">
        <f t="shared" si="41"/>
        <v>0</v>
      </c>
      <c r="BB223" s="168">
        <f t="shared" si="46"/>
        <v>-32500</v>
      </c>
      <c r="BC223" s="168">
        <f t="shared" si="47"/>
        <v>-29250</v>
      </c>
      <c r="BD223" s="169">
        <v>50000</v>
      </c>
      <c r="BE223" s="169"/>
      <c r="BF223" s="168">
        <f t="shared" si="37"/>
        <v>-79250</v>
      </c>
      <c r="BG223" s="33"/>
      <c r="BH223" s="16"/>
      <c r="BI223" s="16"/>
    </row>
    <row r="224" spans="1:61" ht="16.899999999999999">
      <c r="A224" s="36">
        <v>223</v>
      </c>
      <c r="B224" s="35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5"/>
      <c r="P224" s="33"/>
      <c r="Q224" s="33"/>
      <c r="R224" s="158"/>
      <c r="S224" s="158"/>
      <c r="T224" s="159">
        <f t="shared" si="44"/>
        <v>0</v>
      </c>
      <c r="U224" s="30"/>
      <c r="V224" s="30"/>
      <c r="W224" s="30"/>
      <c r="X224" s="30"/>
      <c r="Y224" s="238"/>
      <c r="Z224" s="242"/>
      <c r="AA224" s="33"/>
      <c r="AB224" s="160"/>
      <c r="AC224" s="161"/>
      <c r="AD224" s="162"/>
      <c r="AE224" s="163"/>
      <c r="AF224" s="23">
        <f t="shared" si="38"/>
        <v>0</v>
      </c>
      <c r="AG224" s="161">
        <f t="shared" si="42"/>
        <v>0</v>
      </c>
      <c r="AH224" s="164">
        <f t="shared" si="45"/>
        <v>0</v>
      </c>
      <c r="AI224" s="23"/>
      <c r="AJ224" s="23"/>
      <c r="AK224" s="165"/>
      <c r="AL224" s="161"/>
      <c r="AM224" s="166"/>
      <c r="AN224" s="161"/>
      <c r="AO224" s="166"/>
      <c r="AP224" s="161"/>
      <c r="AQ224" s="161"/>
      <c r="AR224" s="161"/>
      <c r="AS224" s="167">
        <v>35000</v>
      </c>
      <c r="AT224" s="167">
        <v>30000</v>
      </c>
      <c r="AU224" s="167"/>
      <c r="AV224" s="167"/>
      <c r="AW224" s="167"/>
      <c r="AX224" s="167">
        <f t="shared" si="43"/>
        <v>65000</v>
      </c>
      <c r="AY224" s="168">
        <f t="shared" si="39"/>
        <v>-65000</v>
      </c>
      <c r="AZ224" s="168">
        <f t="shared" si="40"/>
        <v>-65000</v>
      </c>
      <c r="BA224" s="168">
        <f t="shared" si="41"/>
        <v>0</v>
      </c>
      <c r="BB224" s="168">
        <f t="shared" si="46"/>
        <v>-32500</v>
      </c>
      <c r="BC224" s="168">
        <f t="shared" si="47"/>
        <v>-29250</v>
      </c>
      <c r="BD224" s="169">
        <v>50000</v>
      </c>
      <c r="BE224" s="169"/>
      <c r="BF224" s="168">
        <f t="shared" si="37"/>
        <v>-79250</v>
      </c>
      <c r="BG224" s="33"/>
      <c r="BH224" s="16"/>
      <c r="BI224" s="16"/>
    </row>
    <row r="225" spans="1:61" ht="16.899999999999999">
      <c r="A225" s="36">
        <v>224</v>
      </c>
      <c r="B225" s="35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5"/>
      <c r="P225" s="33"/>
      <c r="Q225" s="33"/>
      <c r="R225" s="158"/>
      <c r="S225" s="158"/>
      <c r="T225" s="159">
        <f t="shared" si="44"/>
        <v>0</v>
      </c>
      <c r="U225" s="30"/>
      <c r="V225" s="30"/>
      <c r="W225" s="30"/>
      <c r="X225" s="30"/>
      <c r="Y225" s="238"/>
      <c r="Z225" s="242"/>
      <c r="AA225" s="33"/>
      <c r="AB225" s="160"/>
      <c r="AC225" s="161"/>
      <c r="AD225" s="162"/>
      <c r="AE225" s="163"/>
      <c r="AF225" s="23">
        <f t="shared" si="38"/>
        <v>0</v>
      </c>
      <c r="AG225" s="161">
        <f t="shared" si="42"/>
        <v>0</v>
      </c>
      <c r="AH225" s="164">
        <f t="shared" si="45"/>
        <v>0</v>
      </c>
      <c r="AI225" s="37"/>
      <c r="AJ225" s="37"/>
      <c r="AK225" s="165"/>
      <c r="AL225" s="161"/>
      <c r="AM225" s="166"/>
      <c r="AN225" s="161"/>
      <c r="AO225" s="166"/>
      <c r="AP225" s="161"/>
      <c r="AQ225" s="161"/>
      <c r="AR225" s="161"/>
      <c r="AS225" s="167">
        <v>35000</v>
      </c>
      <c r="AT225" s="167">
        <v>30000</v>
      </c>
      <c r="AU225" s="167"/>
      <c r="AV225" s="167"/>
      <c r="AW225" s="167"/>
      <c r="AX225" s="167">
        <f t="shared" si="43"/>
        <v>65000</v>
      </c>
      <c r="AY225" s="168">
        <f t="shared" si="39"/>
        <v>-65000</v>
      </c>
      <c r="AZ225" s="168">
        <f t="shared" si="40"/>
        <v>-65000</v>
      </c>
      <c r="BA225" s="168">
        <f t="shared" si="41"/>
        <v>0</v>
      </c>
      <c r="BB225" s="168">
        <f t="shared" si="46"/>
        <v>-32500</v>
      </c>
      <c r="BC225" s="168">
        <f t="shared" si="47"/>
        <v>-29250</v>
      </c>
      <c r="BD225" s="169">
        <v>50000</v>
      </c>
      <c r="BE225" s="169"/>
      <c r="BF225" s="168">
        <f t="shared" si="37"/>
        <v>-79250</v>
      </c>
      <c r="BG225" s="33"/>
      <c r="BH225" s="16"/>
      <c r="BI225" s="16"/>
    </row>
    <row r="226" spans="1:61" ht="16.899999999999999">
      <c r="A226" s="36">
        <v>225</v>
      </c>
      <c r="B226" s="35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5"/>
      <c r="P226" s="33"/>
      <c r="Q226" s="33"/>
      <c r="R226" s="158"/>
      <c r="S226" s="158"/>
      <c r="T226" s="159">
        <f t="shared" si="44"/>
        <v>0</v>
      </c>
      <c r="U226" s="30"/>
      <c r="V226" s="30"/>
      <c r="W226" s="30"/>
      <c r="X226" s="30"/>
      <c r="Y226" s="238"/>
      <c r="Z226" s="242"/>
      <c r="AA226" s="33"/>
      <c r="AB226" s="160"/>
      <c r="AC226" s="161"/>
      <c r="AD226" s="162"/>
      <c r="AE226" s="163"/>
      <c r="AF226" s="23">
        <f t="shared" si="38"/>
        <v>0</v>
      </c>
      <c r="AG226" s="161">
        <f t="shared" si="42"/>
        <v>0</v>
      </c>
      <c r="AH226" s="164">
        <f t="shared" si="45"/>
        <v>0</v>
      </c>
      <c r="AI226" s="23"/>
      <c r="AJ226" s="23"/>
      <c r="AK226" s="165"/>
      <c r="AL226" s="161"/>
      <c r="AM226" s="166"/>
      <c r="AN226" s="161"/>
      <c r="AO226" s="166"/>
      <c r="AP226" s="161"/>
      <c r="AQ226" s="161"/>
      <c r="AR226" s="161"/>
      <c r="AS226" s="167">
        <v>35000</v>
      </c>
      <c r="AT226" s="167">
        <v>30000</v>
      </c>
      <c r="AU226" s="167"/>
      <c r="AV226" s="167"/>
      <c r="AW226" s="167"/>
      <c r="AX226" s="167">
        <f t="shared" si="43"/>
        <v>65000</v>
      </c>
      <c r="AY226" s="168">
        <f t="shared" si="39"/>
        <v>-65000</v>
      </c>
      <c r="AZ226" s="168">
        <f t="shared" si="40"/>
        <v>-65000</v>
      </c>
      <c r="BA226" s="168">
        <f t="shared" si="41"/>
        <v>0</v>
      </c>
      <c r="BB226" s="168">
        <f t="shared" si="46"/>
        <v>-32500</v>
      </c>
      <c r="BC226" s="168">
        <f t="shared" si="47"/>
        <v>-29250</v>
      </c>
      <c r="BD226" s="169">
        <v>50000</v>
      </c>
      <c r="BE226" s="169"/>
      <c r="BF226" s="168">
        <f t="shared" si="37"/>
        <v>-79250</v>
      </c>
      <c r="BG226" s="33"/>
      <c r="BH226" s="16"/>
      <c r="BI226" s="16"/>
    </row>
    <row r="227" spans="1:61" ht="16.899999999999999">
      <c r="A227" s="36">
        <v>226</v>
      </c>
      <c r="B227" s="35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5"/>
      <c r="P227" s="33"/>
      <c r="Q227" s="33"/>
      <c r="R227" s="158"/>
      <c r="S227" s="158"/>
      <c r="T227" s="159">
        <f t="shared" si="44"/>
        <v>0</v>
      </c>
      <c r="U227" s="30"/>
      <c r="V227" s="30"/>
      <c r="W227" s="30"/>
      <c r="X227" s="30"/>
      <c r="Y227" s="238"/>
      <c r="Z227" s="242"/>
      <c r="AA227" s="33"/>
      <c r="AB227" s="160"/>
      <c r="AC227" s="161"/>
      <c r="AD227" s="162"/>
      <c r="AE227" s="163"/>
      <c r="AF227" s="23">
        <f t="shared" si="38"/>
        <v>0</v>
      </c>
      <c r="AG227" s="161">
        <f t="shared" si="42"/>
        <v>0</v>
      </c>
      <c r="AH227" s="164">
        <f t="shared" si="45"/>
        <v>0</v>
      </c>
      <c r="AI227" s="23"/>
      <c r="AJ227" s="23"/>
      <c r="AK227" s="165"/>
      <c r="AL227" s="161"/>
      <c r="AM227" s="166"/>
      <c r="AN227" s="161"/>
      <c r="AO227" s="166"/>
      <c r="AP227" s="161"/>
      <c r="AQ227" s="161"/>
      <c r="AR227" s="161"/>
      <c r="AS227" s="167">
        <v>35000</v>
      </c>
      <c r="AT227" s="167">
        <v>30000</v>
      </c>
      <c r="AU227" s="167"/>
      <c r="AV227" s="167"/>
      <c r="AW227" s="167"/>
      <c r="AX227" s="167">
        <f t="shared" si="43"/>
        <v>65000</v>
      </c>
      <c r="AY227" s="168">
        <f t="shared" si="39"/>
        <v>-65000</v>
      </c>
      <c r="AZ227" s="168">
        <f t="shared" si="40"/>
        <v>-65000</v>
      </c>
      <c r="BA227" s="168">
        <f t="shared" si="41"/>
        <v>0</v>
      </c>
      <c r="BB227" s="168">
        <f t="shared" si="46"/>
        <v>-32500</v>
      </c>
      <c r="BC227" s="168">
        <f t="shared" si="47"/>
        <v>-29250</v>
      </c>
      <c r="BD227" s="169">
        <v>50000</v>
      </c>
      <c r="BE227" s="169"/>
      <c r="BF227" s="168">
        <f t="shared" si="37"/>
        <v>-79250</v>
      </c>
      <c r="BG227" s="33"/>
      <c r="BH227" s="16"/>
      <c r="BI227" s="16"/>
    </row>
    <row r="228" spans="1:61" ht="16.899999999999999">
      <c r="A228" s="36">
        <v>227</v>
      </c>
      <c r="B228" s="35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5"/>
      <c r="P228" s="33"/>
      <c r="Q228" s="33"/>
      <c r="R228" s="158"/>
      <c r="S228" s="158"/>
      <c r="T228" s="159">
        <f t="shared" si="44"/>
        <v>0</v>
      </c>
      <c r="U228" s="30"/>
      <c r="V228" s="30"/>
      <c r="W228" s="30"/>
      <c r="X228" s="30"/>
      <c r="Y228" s="238"/>
      <c r="Z228" s="242"/>
      <c r="AA228" s="33"/>
      <c r="AB228" s="160"/>
      <c r="AC228" s="161"/>
      <c r="AD228" s="162"/>
      <c r="AE228" s="163"/>
      <c r="AF228" s="23">
        <f t="shared" si="38"/>
        <v>0</v>
      </c>
      <c r="AG228" s="161">
        <f t="shared" si="42"/>
        <v>0</v>
      </c>
      <c r="AH228" s="164">
        <f t="shared" si="45"/>
        <v>0</v>
      </c>
      <c r="AI228" s="23"/>
      <c r="AJ228" s="23"/>
      <c r="AK228" s="165"/>
      <c r="AL228" s="161"/>
      <c r="AM228" s="166"/>
      <c r="AN228" s="161"/>
      <c r="AO228" s="166"/>
      <c r="AP228" s="161"/>
      <c r="AQ228" s="161"/>
      <c r="AR228" s="161"/>
      <c r="AS228" s="167">
        <v>35000</v>
      </c>
      <c r="AT228" s="167">
        <v>30000</v>
      </c>
      <c r="AU228" s="167"/>
      <c r="AV228" s="167"/>
      <c r="AW228" s="167"/>
      <c r="AX228" s="167">
        <f t="shared" si="43"/>
        <v>65000</v>
      </c>
      <c r="AY228" s="168">
        <f t="shared" si="39"/>
        <v>-65000</v>
      </c>
      <c r="AZ228" s="168">
        <f t="shared" si="40"/>
        <v>-65000</v>
      </c>
      <c r="BA228" s="168">
        <f t="shared" si="41"/>
        <v>0</v>
      </c>
      <c r="BB228" s="168">
        <f t="shared" si="46"/>
        <v>-32500</v>
      </c>
      <c r="BC228" s="168">
        <f t="shared" si="47"/>
        <v>-29250</v>
      </c>
      <c r="BD228" s="169">
        <v>50000</v>
      </c>
      <c r="BE228" s="169"/>
      <c r="BF228" s="168">
        <f t="shared" si="37"/>
        <v>-79250</v>
      </c>
      <c r="BG228" s="33"/>
      <c r="BH228" s="16"/>
      <c r="BI228" s="16"/>
    </row>
    <row r="229" spans="1:61" ht="16.899999999999999">
      <c r="A229" s="36">
        <v>228</v>
      </c>
      <c r="B229" s="35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5"/>
      <c r="P229" s="33"/>
      <c r="Q229" s="33"/>
      <c r="R229" s="158"/>
      <c r="S229" s="158"/>
      <c r="T229" s="159">
        <f t="shared" si="44"/>
        <v>0</v>
      </c>
      <c r="U229" s="30"/>
      <c r="V229" s="30"/>
      <c r="W229" s="30"/>
      <c r="X229" s="30"/>
      <c r="Y229" s="238"/>
      <c r="Z229" s="242"/>
      <c r="AA229" s="33"/>
      <c r="AB229" s="160"/>
      <c r="AC229" s="161"/>
      <c r="AD229" s="162"/>
      <c r="AE229" s="163"/>
      <c r="AF229" s="23">
        <f t="shared" si="38"/>
        <v>0</v>
      </c>
      <c r="AG229" s="161">
        <f t="shared" si="42"/>
        <v>0</v>
      </c>
      <c r="AH229" s="164">
        <f t="shared" si="45"/>
        <v>0</v>
      </c>
      <c r="AI229" s="37"/>
      <c r="AJ229" s="37"/>
      <c r="AK229" s="165"/>
      <c r="AL229" s="161"/>
      <c r="AM229" s="166"/>
      <c r="AN229" s="161"/>
      <c r="AO229" s="166"/>
      <c r="AP229" s="161"/>
      <c r="AQ229" s="161"/>
      <c r="AR229" s="161"/>
      <c r="AS229" s="167">
        <v>35000</v>
      </c>
      <c r="AT229" s="167">
        <v>30000</v>
      </c>
      <c r="AU229" s="167"/>
      <c r="AV229" s="167"/>
      <c r="AW229" s="167"/>
      <c r="AX229" s="167">
        <f t="shared" si="43"/>
        <v>65000</v>
      </c>
      <c r="AY229" s="168">
        <f t="shared" si="39"/>
        <v>-65000</v>
      </c>
      <c r="AZ229" s="168">
        <f t="shared" si="40"/>
        <v>-65000</v>
      </c>
      <c r="BA229" s="168">
        <f t="shared" si="41"/>
        <v>0</v>
      </c>
      <c r="BB229" s="168">
        <f t="shared" si="46"/>
        <v>-32500</v>
      </c>
      <c r="BC229" s="168">
        <f t="shared" si="47"/>
        <v>-29250</v>
      </c>
      <c r="BD229" s="169">
        <v>50000</v>
      </c>
      <c r="BE229" s="169"/>
      <c r="BF229" s="168">
        <f t="shared" si="37"/>
        <v>-79250</v>
      </c>
      <c r="BG229" s="33"/>
      <c r="BH229" s="16"/>
      <c r="BI229" s="16"/>
    </row>
    <row r="230" spans="1:61" ht="16.899999999999999">
      <c r="A230" s="36">
        <v>229</v>
      </c>
      <c r="B230" s="35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5"/>
      <c r="P230" s="33"/>
      <c r="Q230" s="33"/>
      <c r="R230" s="158"/>
      <c r="S230" s="158"/>
      <c r="T230" s="159">
        <f t="shared" si="44"/>
        <v>0</v>
      </c>
      <c r="U230" s="30"/>
      <c r="V230" s="30"/>
      <c r="W230" s="30"/>
      <c r="X230" s="30"/>
      <c r="Y230" s="238"/>
      <c r="Z230" s="242"/>
      <c r="AA230" s="33"/>
      <c r="AB230" s="160"/>
      <c r="AC230" s="161"/>
      <c r="AD230" s="162"/>
      <c r="AE230" s="163"/>
      <c r="AF230" s="23">
        <f t="shared" si="38"/>
        <v>0</v>
      </c>
      <c r="AG230" s="161">
        <f t="shared" si="42"/>
        <v>0</v>
      </c>
      <c r="AH230" s="164">
        <f t="shared" si="45"/>
        <v>0</v>
      </c>
      <c r="AI230" s="23"/>
      <c r="AJ230" s="23"/>
      <c r="AK230" s="165"/>
      <c r="AL230" s="161"/>
      <c r="AM230" s="166"/>
      <c r="AN230" s="161"/>
      <c r="AO230" s="166"/>
      <c r="AP230" s="161"/>
      <c r="AQ230" s="161"/>
      <c r="AR230" s="161"/>
      <c r="AS230" s="167">
        <v>35000</v>
      </c>
      <c r="AT230" s="167">
        <v>30000</v>
      </c>
      <c r="AU230" s="167"/>
      <c r="AV230" s="167"/>
      <c r="AW230" s="167"/>
      <c r="AX230" s="167">
        <f t="shared" si="43"/>
        <v>65000</v>
      </c>
      <c r="AY230" s="168">
        <f t="shared" si="39"/>
        <v>-65000</v>
      </c>
      <c r="AZ230" s="168">
        <f t="shared" si="40"/>
        <v>-65000</v>
      </c>
      <c r="BA230" s="168">
        <f t="shared" si="41"/>
        <v>0</v>
      </c>
      <c r="BB230" s="168">
        <f t="shared" si="46"/>
        <v>-32500</v>
      </c>
      <c r="BC230" s="168">
        <f t="shared" si="47"/>
        <v>-29250</v>
      </c>
      <c r="BD230" s="169">
        <v>50000</v>
      </c>
      <c r="BE230" s="169"/>
      <c r="BF230" s="168">
        <f t="shared" si="37"/>
        <v>-79250</v>
      </c>
      <c r="BG230" s="33"/>
      <c r="BH230" s="16"/>
      <c r="BI230" s="16"/>
    </row>
    <row r="231" spans="1:61" ht="16.899999999999999">
      <c r="A231" s="36">
        <v>230</v>
      </c>
      <c r="B231" s="35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5"/>
      <c r="P231" s="33"/>
      <c r="Q231" s="33"/>
      <c r="R231" s="158"/>
      <c r="S231" s="158"/>
      <c r="T231" s="159">
        <f t="shared" si="44"/>
        <v>0</v>
      </c>
      <c r="U231" s="30"/>
      <c r="V231" s="30"/>
      <c r="W231" s="30"/>
      <c r="X231" s="30"/>
      <c r="Y231" s="238"/>
      <c r="Z231" s="242"/>
      <c r="AA231" s="33"/>
      <c r="AB231" s="160"/>
      <c r="AC231" s="161"/>
      <c r="AD231" s="162"/>
      <c r="AE231" s="163"/>
      <c r="AF231" s="23">
        <f t="shared" si="38"/>
        <v>0</v>
      </c>
      <c r="AG231" s="161">
        <f t="shared" si="42"/>
        <v>0</v>
      </c>
      <c r="AH231" s="164">
        <f t="shared" si="45"/>
        <v>0</v>
      </c>
      <c r="AI231" s="23"/>
      <c r="AJ231" s="23"/>
      <c r="AK231" s="165"/>
      <c r="AL231" s="161"/>
      <c r="AM231" s="166"/>
      <c r="AN231" s="161"/>
      <c r="AO231" s="166"/>
      <c r="AP231" s="161"/>
      <c r="AQ231" s="161"/>
      <c r="AR231" s="161"/>
      <c r="AS231" s="167">
        <v>35000</v>
      </c>
      <c r="AT231" s="167">
        <v>30000</v>
      </c>
      <c r="AU231" s="167"/>
      <c r="AV231" s="167"/>
      <c r="AW231" s="167"/>
      <c r="AX231" s="167">
        <f t="shared" si="43"/>
        <v>65000</v>
      </c>
      <c r="AY231" s="168">
        <f t="shared" si="39"/>
        <v>-65000</v>
      </c>
      <c r="AZ231" s="168">
        <f t="shared" si="40"/>
        <v>-65000</v>
      </c>
      <c r="BA231" s="168">
        <f t="shared" si="41"/>
        <v>0</v>
      </c>
      <c r="BB231" s="168">
        <f t="shared" si="46"/>
        <v>-32500</v>
      </c>
      <c r="BC231" s="168">
        <f t="shared" si="47"/>
        <v>-29250</v>
      </c>
      <c r="BD231" s="169">
        <v>50000</v>
      </c>
      <c r="BE231" s="169"/>
      <c r="BF231" s="168">
        <f t="shared" si="37"/>
        <v>-79250</v>
      </c>
      <c r="BG231" s="33"/>
      <c r="BH231" s="16"/>
      <c r="BI231" s="16"/>
    </row>
    <row r="232" spans="1:61" ht="16.5" customHeight="1">
      <c r="A232" s="36">
        <v>231</v>
      </c>
      <c r="B232" s="35"/>
      <c r="C232" s="33"/>
      <c r="D232" s="33"/>
      <c r="E232" s="33"/>
      <c r="F232" s="38"/>
      <c r="G232" s="38"/>
      <c r="H232" s="38"/>
      <c r="I232" s="38"/>
      <c r="J232" s="38"/>
      <c r="K232" s="38"/>
      <c r="L232" s="33"/>
      <c r="M232" s="33"/>
      <c r="N232" s="38"/>
      <c r="O232" s="33"/>
      <c r="P232" s="38"/>
      <c r="Q232" s="216"/>
      <c r="R232" s="158"/>
      <c r="S232" s="160"/>
      <c r="T232" s="159">
        <f t="shared" si="44"/>
        <v>0</v>
      </c>
      <c r="U232" s="30"/>
      <c r="V232" s="30"/>
      <c r="W232" s="30"/>
      <c r="X232" s="30"/>
      <c r="Y232" s="238"/>
      <c r="Z232" s="242"/>
      <c r="AA232" s="38"/>
      <c r="AB232" s="160"/>
      <c r="AC232" s="161"/>
      <c r="AD232" s="162"/>
      <c r="AE232" s="163"/>
      <c r="AF232" s="23">
        <f t="shared" si="38"/>
        <v>0</v>
      </c>
      <c r="AG232" s="161">
        <f t="shared" si="42"/>
        <v>0</v>
      </c>
      <c r="AH232" s="164">
        <f t="shared" si="45"/>
        <v>0</v>
      </c>
      <c r="AI232" s="37"/>
      <c r="AJ232" s="37"/>
      <c r="AK232" s="165"/>
      <c r="AL232" s="161"/>
      <c r="AM232" s="166"/>
      <c r="AN232" s="170"/>
      <c r="AO232" s="166"/>
      <c r="AP232" s="161"/>
      <c r="AQ232" s="161"/>
      <c r="AR232" s="161"/>
      <c r="AS232" s="167">
        <v>35000</v>
      </c>
      <c r="AT232" s="167">
        <v>30000</v>
      </c>
      <c r="AU232" s="167"/>
      <c r="AV232" s="167"/>
      <c r="AW232" s="171"/>
      <c r="AX232" s="167">
        <f t="shared" si="43"/>
        <v>65000</v>
      </c>
      <c r="AY232" s="168">
        <f t="shared" si="39"/>
        <v>-65000</v>
      </c>
      <c r="AZ232" s="168">
        <f t="shared" si="40"/>
        <v>-65000</v>
      </c>
      <c r="BA232" s="168">
        <f t="shared" si="41"/>
        <v>0</v>
      </c>
      <c r="BB232" s="168">
        <f t="shared" si="46"/>
        <v>-32500</v>
      </c>
      <c r="BC232" s="168">
        <f t="shared" si="47"/>
        <v>-29250</v>
      </c>
      <c r="BD232" s="169">
        <v>50000</v>
      </c>
      <c r="BE232" s="172"/>
      <c r="BF232" s="168">
        <f t="shared" si="37"/>
        <v>-79250</v>
      </c>
      <c r="BG232" s="33"/>
      <c r="BH232" s="16"/>
      <c r="BI232" s="16"/>
    </row>
    <row r="233" spans="1:61" ht="16.899999999999999">
      <c r="A233" s="36">
        <v>232</v>
      </c>
      <c r="B233" s="35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5"/>
      <c r="P233" s="33"/>
      <c r="Q233" s="33"/>
      <c r="R233" s="158"/>
      <c r="S233" s="158"/>
      <c r="T233" s="159">
        <f t="shared" si="44"/>
        <v>0</v>
      </c>
      <c r="U233" s="30"/>
      <c r="V233" s="30"/>
      <c r="W233" s="30"/>
      <c r="X233" s="30"/>
      <c r="Y233" s="238"/>
      <c r="Z233" s="242"/>
      <c r="AA233" s="33"/>
      <c r="AB233" s="160"/>
      <c r="AC233" s="161"/>
      <c r="AD233" s="162"/>
      <c r="AE233" s="163"/>
      <c r="AF233" s="23">
        <f t="shared" si="38"/>
        <v>0</v>
      </c>
      <c r="AG233" s="161">
        <f t="shared" si="42"/>
        <v>0</v>
      </c>
      <c r="AH233" s="164">
        <f t="shared" si="45"/>
        <v>0</v>
      </c>
      <c r="AI233" s="23"/>
      <c r="AJ233" s="23"/>
      <c r="AK233" s="165"/>
      <c r="AL233" s="161"/>
      <c r="AM233" s="166"/>
      <c r="AN233" s="161"/>
      <c r="AO233" s="166"/>
      <c r="AP233" s="161"/>
      <c r="AQ233" s="161"/>
      <c r="AR233" s="161"/>
      <c r="AS233" s="167">
        <v>35000</v>
      </c>
      <c r="AT233" s="167">
        <v>30000</v>
      </c>
      <c r="AU233" s="167"/>
      <c r="AV233" s="167"/>
      <c r="AW233" s="167"/>
      <c r="AX233" s="167">
        <f t="shared" si="43"/>
        <v>65000</v>
      </c>
      <c r="AY233" s="168">
        <f t="shared" si="39"/>
        <v>-65000</v>
      </c>
      <c r="AZ233" s="168">
        <f t="shared" si="40"/>
        <v>-65000</v>
      </c>
      <c r="BA233" s="168">
        <f t="shared" si="41"/>
        <v>0</v>
      </c>
      <c r="BB233" s="168">
        <f t="shared" si="46"/>
        <v>-32500</v>
      </c>
      <c r="BC233" s="168">
        <f t="shared" si="47"/>
        <v>-29250</v>
      </c>
      <c r="BD233" s="169">
        <v>50000</v>
      </c>
      <c r="BE233" s="169"/>
      <c r="BF233" s="168">
        <f t="shared" si="37"/>
        <v>-79250</v>
      </c>
      <c r="BG233" s="33"/>
      <c r="BH233" s="16"/>
      <c r="BI233" s="16"/>
    </row>
    <row r="234" spans="1:61" ht="16.899999999999999">
      <c r="A234" s="36">
        <v>233</v>
      </c>
      <c r="B234" s="35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5"/>
      <c r="P234" s="33"/>
      <c r="Q234" s="33"/>
      <c r="R234" s="158"/>
      <c r="S234" s="158"/>
      <c r="T234" s="159">
        <f t="shared" si="44"/>
        <v>0</v>
      </c>
      <c r="U234" s="30"/>
      <c r="V234" s="30"/>
      <c r="W234" s="30"/>
      <c r="X234" s="30"/>
      <c r="Y234" s="238"/>
      <c r="Z234" s="242"/>
      <c r="AA234" s="33"/>
      <c r="AB234" s="160"/>
      <c r="AC234" s="161"/>
      <c r="AD234" s="162"/>
      <c r="AE234" s="163"/>
      <c r="AF234" s="23">
        <f t="shared" si="38"/>
        <v>0</v>
      </c>
      <c r="AG234" s="161">
        <f t="shared" si="42"/>
        <v>0</v>
      </c>
      <c r="AH234" s="164">
        <f t="shared" si="45"/>
        <v>0</v>
      </c>
      <c r="AI234" s="23"/>
      <c r="AJ234" s="23"/>
      <c r="AK234" s="165"/>
      <c r="AL234" s="161"/>
      <c r="AM234" s="166"/>
      <c r="AN234" s="161"/>
      <c r="AO234" s="166"/>
      <c r="AP234" s="161"/>
      <c r="AQ234" s="161"/>
      <c r="AR234" s="161"/>
      <c r="AS234" s="167">
        <v>35000</v>
      </c>
      <c r="AT234" s="167">
        <v>30000</v>
      </c>
      <c r="AU234" s="167"/>
      <c r="AV234" s="167"/>
      <c r="AW234" s="167"/>
      <c r="AX234" s="167">
        <f t="shared" si="43"/>
        <v>65000</v>
      </c>
      <c r="AY234" s="168">
        <f t="shared" si="39"/>
        <v>-65000</v>
      </c>
      <c r="AZ234" s="168">
        <f t="shared" si="40"/>
        <v>-65000</v>
      </c>
      <c r="BA234" s="168">
        <f t="shared" si="41"/>
        <v>0</v>
      </c>
      <c r="BB234" s="168">
        <f t="shared" si="46"/>
        <v>-32500</v>
      </c>
      <c r="BC234" s="168">
        <f t="shared" si="47"/>
        <v>-29250</v>
      </c>
      <c r="BD234" s="169">
        <v>50000</v>
      </c>
      <c r="BE234" s="169"/>
      <c r="BF234" s="168">
        <f t="shared" si="37"/>
        <v>-79250</v>
      </c>
      <c r="BG234" s="33"/>
      <c r="BH234" s="16"/>
      <c r="BI234" s="16"/>
    </row>
    <row r="235" spans="1:61" s="6" customFormat="1" ht="16.899999999999999">
      <c r="A235" s="36">
        <v>234</v>
      </c>
      <c r="B235" s="35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5"/>
      <c r="P235" s="33"/>
      <c r="Q235" s="33"/>
      <c r="R235" s="158"/>
      <c r="S235" s="158"/>
      <c r="T235" s="159">
        <f t="shared" si="44"/>
        <v>0</v>
      </c>
      <c r="U235" s="30"/>
      <c r="V235" s="30"/>
      <c r="W235" s="30"/>
      <c r="X235" s="30"/>
      <c r="Y235" s="238"/>
      <c r="Z235" s="242"/>
      <c r="AA235" s="33"/>
      <c r="AB235" s="160"/>
      <c r="AC235" s="161"/>
      <c r="AD235" s="162"/>
      <c r="AE235" s="163"/>
      <c r="AF235" s="23">
        <f t="shared" si="38"/>
        <v>0</v>
      </c>
      <c r="AG235" s="161">
        <f t="shared" si="42"/>
        <v>0</v>
      </c>
      <c r="AH235" s="164">
        <f t="shared" si="45"/>
        <v>0</v>
      </c>
      <c r="AI235" s="23"/>
      <c r="AJ235" s="23"/>
      <c r="AK235" s="165"/>
      <c r="AL235" s="161"/>
      <c r="AM235" s="166"/>
      <c r="AN235" s="161"/>
      <c r="AO235" s="166"/>
      <c r="AP235" s="161"/>
      <c r="AQ235" s="161"/>
      <c r="AR235" s="161"/>
      <c r="AS235" s="167">
        <v>35000</v>
      </c>
      <c r="AT235" s="167">
        <v>30000</v>
      </c>
      <c r="AU235" s="167"/>
      <c r="AV235" s="167"/>
      <c r="AW235" s="167"/>
      <c r="AX235" s="167">
        <f t="shared" si="43"/>
        <v>65000</v>
      </c>
      <c r="AY235" s="168">
        <f t="shared" si="39"/>
        <v>-65000</v>
      </c>
      <c r="AZ235" s="168">
        <f t="shared" si="40"/>
        <v>-65000</v>
      </c>
      <c r="BA235" s="168">
        <f t="shared" si="41"/>
        <v>0</v>
      </c>
      <c r="BB235" s="168">
        <f t="shared" si="46"/>
        <v>-32500</v>
      </c>
      <c r="BC235" s="168">
        <f t="shared" si="47"/>
        <v>-29250</v>
      </c>
      <c r="BD235" s="169">
        <v>50000</v>
      </c>
      <c r="BE235" s="169"/>
      <c r="BF235" s="168">
        <f t="shared" si="37"/>
        <v>-79250</v>
      </c>
      <c r="BG235" s="33"/>
      <c r="BH235" s="15"/>
      <c r="BI235" s="15"/>
    </row>
    <row r="236" spans="1:61" s="6" customFormat="1" ht="16.899999999999999">
      <c r="A236" s="36">
        <v>235</v>
      </c>
      <c r="B236" s="35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5"/>
      <c r="P236" s="33"/>
      <c r="Q236" s="33"/>
      <c r="R236" s="158"/>
      <c r="S236" s="158"/>
      <c r="T236" s="159">
        <f t="shared" si="44"/>
        <v>0</v>
      </c>
      <c r="U236" s="30"/>
      <c r="V236" s="30"/>
      <c r="W236" s="30"/>
      <c r="X236" s="30"/>
      <c r="Y236" s="238"/>
      <c r="Z236" s="242"/>
      <c r="AA236" s="33"/>
      <c r="AB236" s="160"/>
      <c r="AC236" s="161"/>
      <c r="AD236" s="162"/>
      <c r="AE236" s="163"/>
      <c r="AF236" s="23">
        <f t="shared" si="38"/>
        <v>0</v>
      </c>
      <c r="AG236" s="161">
        <f t="shared" si="42"/>
        <v>0</v>
      </c>
      <c r="AH236" s="164">
        <f t="shared" si="45"/>
        <v>0</v>
      </c>
      <c r="AI236" s="23"/>
      <c r="AJ236" s="23"/>
      <c r="AK236" s="165"/>
      <c r="AL236" s="161"/>
      <c r="AM236" s="166"/>
      <c r="AN236" s="161"/>
      <c r="AO236" s="166"/>
      <c r="AP236" s="161"/>
      <c r="AQ236" s="161"/>
      <c r="AR236" s="161"/>
      <c r="AS236" s="167">
        <v>35000</v>
      </c>
      <c r="AT236" s="167">
        <v>30000</v>
      </c>
      <c r="AU236" s="167"/>
      <c r="AV236" s="167"/>
      <c r="AW236" s="167"/>
      <c r="AX236" s="167">
        <f t="shared" si="43"/>
        <v>65000</v>
      </c>
      <c r="AY236" s="168">
        <f t="shared" si="39"/>
        <v>-65000</v>
      </c>
      <c r="AZ236" s="168">
        <f t="shared" si="40"/>
        <v>-65000</v>
      </c>
      <c r="BA236" s="168">
        <f t="shared" si="41"/>
        <v>0</v>
      </c>
      <c r="BB236" s="168">
        <f t="shared" si="46"/>
        <v>-32500</v>
      </c>
      <c r="BC236" s="168">
        <f t="shared" si="47"/>
        <v>-29250</v>
      </c>
      <c r="BD236" s="169">
        <v>50000</v>
      </c>
      <c r="BE236" s="169"/>
      <c r="BF236" s="168">
        <f t="shared" si="37"/>
        <v>-79250</v>
      </c>
      <c r="BG236" s="33"/>
      <c r="BH236" s="15"/>
      <c r="BI236" s="15"/>
    </row>
    <row r="237" spans="1:61" s="6" customFormat="1" ht="16.899999999999999">
      <c r="A237" s="36">
        <v>236</v>
      </c>
      <c r="B237" s="35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5"/>
      <c r="P237" s="33"/>
      <c r="Q237" s="33"/>
      <c r="R237" s="158"/>
      <c r="S237" s="158"/>
      <c r="T237" s="159">
        <f t="shared" si="44"/>
        <v>0</v>
      </c>
      <c r="U237" s="30"/>
      <c r="V237" s="30"/>
      <c r="W237" s="30"/>
      <c r="X237" s="30"/>
      <c r="Y237" s="238"/>
      <c r="Z237" s="242"/>
      <c r="AA237" s="33"/>
      <c r="AB237" s="160"/>
      <c r="AC237" s="161"/>
      <c r="AD237" s="162"/>
      <c r="AE237" s="163"/>
      <c r="AF237" s="23">
        <f t="shared" si="38"/>
        <v>0</v>
      </c>
      <c r="AG237" s="161">
        <f t="shared" si="42"/>
        <v>0</v>
      </c>
      <c r="AH237" s="164">
        <f t="shared" si="45"/>
        <v>0</v>
      </c>
      <c r="AI237" s="23"/>
      <c r="AJ237" s="23"/>
      <c r="AK237" s="165"/>
      <c r="AL237" s="161"/>
      <c r="AM237" s="166"/>
      <c r="AN237" s="161"/>
      <c r="AO237" s="166"/>
      <c r="AP237" s="161"/>
      <c r="AQ237" s="161"/>
      <c r="AR237" s="161"/>
      <c r="AS237" s="167">
        <v>35000</v>
      </c>
      <c r="AT237" s="167">
        <v>30000</v>
      </c>
      <c r="AU237" s="167"/>
      <c r="AV237" s="167"/>
      <c r="AW237" s="167"/>
      <c r="AX237" s="167">
        <f t="shared" si="43"/>
        <v>65000</v>
      </c>
      <c r="AY237" s="168">
        <f t="shared" si="39"/>
        <v>-65000</v>
      </c>
      <c r="AZ237" s="168">
        <f t="shared" si="40"/>
        <v>-65000</v>
      </c>
      <c r="BA237" s="168">
        <f t="shared" si="41"/>
        <v>0</v>
      </c>
      <c r="BB237" s="168">
        <f t="shared" si="46"/>
        <v>-32500</v>
      </c>
      <c r="BC237" s="168">
        <f t="shared" si="47"/>
        <v>-29250</v>
      </c>
      <c r="BD237" s="169">
        <v>50000</v>
      </c>
      <c r="BE237" s="169"/>
      <c r="BF237" s="168">
        <f t="shared" si="37"/>
        <v>-79250</v>
      </c>
      <c r="BG237" s="33"/>
      <c r="BH237" s="15"/>
      <c r="BI237" s="15"/>
    </row>
    <row r="238" spans="1:61" s="6" customFormat="1" ht="16.899999999999999">
      <c r="A238" s="36">
        <v>237</v>
      </c>
      <c r="B238" s="35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5"/>
      <c r="P238" s="33"/>
      <c r="Q238" s="33"/>
      <c r="R238" s="158"/>
      <c r="S238" s="158"/>
      <c r="T238" s="159">
        <f t="shared" si="44"/>
        <v>0</v>
      </c>
      <c r="U238" s="30"/>
      <c r="V238" s="30"/>
      <c r="W238" s="30"/>
      <c r="X238" s="30"/>
      <c r="Y238" s="238"/>
      <c r="Z238" s="242"/>
      <c r="AA238" s="33"/>
      <c r="AB238" s="160"/>
      <c r="AC238" s="161"/>
      <c r="AD238" s="162"/>
      <c r="AE238" s="163"/>
      <c r="AF238" s="23">
        <f t="shared" si="38"/>
        <v>0</v>
      </c>
      <c r="AG238" s="161">
        <f t="shared" si="42"/>
        <v>0</v>
      </c>
      <c r="AH238" s="164">
        <f t="shared" si="45"/>
        <v>0</v>
      </c>
      <c r="AI238" s="23"/>
      <c r="AJ238" s="23"/>
      <c r="AK238" s="165"/>
      <c r="AL238" s="161"/>
      <c r="AM238" s="166"/>
      <c r="AN238" s="161"/>
      <c r="AO238" s="166"/>
      <c r="AP238" s="161"/>
      <c r="AQ238" s="161"/>
      <c r="AR238" s="161"/>
      <c r="AS238" s="167">
        <v>35000</v>
      </c>
      <c r="AT238" s="167">
        <v>30000</v>
      </c>
      <c r="AU238" s="167"/>
      <c r="AV238" s="167"/>
      <c r="AW238" s="167"/>
      <c r="AX238" s="167">
        <f t="shared" si="43"/>
        <v>65000</v>
      </c>
      <c r="AY238" s="168">
        <f t="shared" si="39"/>
        <v>-65000</v>
      </c>
      <c r="AZ238" s="168">
        <f t="shared" si="40"/>
        <v>-65000</v>
      </c>
      <c r="BA238" s="168">
        <f t="shared" si="41"/>
        <v>0</v>
      </c>
      <c r="BB238" s="168">
        <f t="shared" si="46"/>
        <v>-32500</v>
      </c>
      <c r="BC238" s="168">
        <f t="shared" si="47"/>
        <v>-29250</v>
      </c>
      <c r="BD238" s="169">
        <v>50000</v>
      </c>
      <c r="BE238" s="169"/>
      <c r="BF238" s="168">
        <f t="shared" si="37"/>
        <v>-79250</v>
      </c>
      <c r="BG238" s="33"/>
      <c r="BH238" s="15"/>
      <c r="BI238" s="15"/>
    </row>
    <row r="239" spans="1:61" s="6" customFormat="1" ht="16.899999999999999">
      <c r="A239" s="36">
        <v>238</v>
      </c>
      <c r="B239" s="35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5"/>
      <c r="P239" s="33"/>
      <c r="Q239" s="33"/>
      <c r="R239" s="158"/>
      <c r="S239" s="158"/>
      <c r="T239" s="159">
        <f t="shared" si="44"/>
        <v>0</v>
      </c>
      <c r="U239" s="30"/>
      <c r="V239" s="30"/>
      <c r="W239" s="30"/>
      <c r="X239" s="30"/>
      <c r="Y239" s="238"/>
      <c r="Z239" s="242"/>
      <c r="AA239" s="33"/>
      <c r="AB239" s="160"/>
      <c r="AC239" s="161"/>
      <c r="AD239" s="162"/>
      <c r="AE239" s="163"/>
      <c r="AF239" s="23">
        <f t="shared" si="38"/>
        <v>0</v>
      </c>
      <c r="AG239" s="161">
        <f t="shared" si="42"/>
        <v>0</v>
      </c>
      <c r="AH239" s="164">
        <f t="shared" si="45"/>
        <v>0</v>
      </c>
      <c r="AI239" s="23"/>
      <c r="AJ239" s="23"/>
      <c r="AK239" s="165"/>
      <c r="AL239" s="161"/>
      <c r="AM239" s="166"/>
      <c r="AN239" s="161"/>
      <c r="AO239" s="166"/>
      <c r="AP239" s="161"/>
      <c r="AQ239" s="161"/>
      <c r="AR239" s="161"/>
      <c r="AS239" s="167">
        <v>35000</v>
      </c>
      <c r="AT239" s="167">
        <v>30000</v>
      </c>
      <c r="AU239" s="167"/>
      <c r="AV239" s="167"/>
      <c r="AW239" s="167"/>
      <c r="AX239" s="167">
        <f t="shared" si="43"/>
        <v>65000</v>
      </c>
      <c r="AY239" s="168">
        <f t="shared" si="39"/>
        <v>-65000</v>
      </c>
      <c r="AZ239" s="168">
        <f t="shared" si="40"/>
        <v>-65000</v>
      </c>
      <c r="BA239" s="168">
        <f t="shared" si="41"/>
        <v>0</v>
      </c>
      <c r="BB239" s="168">
        <f t="shared" si="46"/>
        <v>-32500</v>
      </c>
      <c r="BC239" s="168">
        <f t="shared" si="47"/>
        <v>-29250</v>
      </c>
      <c r="BD239" s="169">
        <v>50000</v>
      </c>
      <c r="BE239" s="169"/>
      <c r="BF239" s="168">
        <f t="shared" si="37"/>
        <v>-79250</v>
      </c>
      <c r="BG239" s="33"/>
      <c r="BH239" s="15"/>
      <c r="BI239" s="15"/>
    </row>
    <row r="240" spans="1:61" s="6" customFormat="1" ht="16.899999999999999">
      <c r="A240" s="36">
        <v>239</v>
      </c>
      <c r="B240" s="35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5"/>
      <c r="P240" s="33"/>
      <c r="Q240" s="33"/>
      <c r="R240" s="158"/>
      <c r="S240" s="158"/>
      <c r="T240" s="159">
        <f t="shared" si="44"/>
        <v>0</v>
      </c>
      <c r="U240" s="30"/>
      <c r="V240" s="30"/>
      <c r="W240" s="30"/>
      <c r="X240" s="30"/>
      <c r="Y240" s="238"/>
      <c r="Z240" s="242"/>
      <c r="AA240" s="33"/>
      <c r="AB240" s="160"/>
      <c r="AC240" s="161"/>
      <c r="AD240" s="162"/>
      <c r="AE240" s="163"/>
      <c r="AF240" s="23">
        <f t="shared" si="38"/>
        <v>0</v>
      </c>
      <c r="AG240" s="161">
        <f t="shared" si="42"/>
        <v>0</v>
      </c>
      <c r="AH240" s="164">
        <f t="shared" si="45"/>
        <v>0</v>
      </c>
      <c r="AI240" s="23"/>
      <c r="AJ240" s="23"/>
      <c r="AK240" s="165"/>
      <c r="AL240" s="161"/>
      <c r="AM240" s="166"/>
      <c r="AN240" s="161"/>
      <c r="AO240" s="166"/>
      <c r="AP240" s="161"/>
      <c r="AQ240" s="161"/>
      <c r="AR240" s="161"/>
      <c r="AS240" s="167">
        <v>35000</v>
      </c>
      <c r="AT240" s="167">
        <v>30000</v>
      </c>
      <c r="AU240" s="167"/>
      <c r="AV240" s="167"/>
      <c r="AW240" s="167"/>
      <c r="AX240" s="167">
        <f t="shared" si="43"/>
        <v>65000</v>
      </c>
      <c r="AY240" s="168">
        <f t="shared" si="39"/>
        <v>-65000</v>
      </c>
      <c r="AZ240" s="168">
        <f t="shared" si="40"/>
        <v>-65000</v>
      </c>
      <c r="BA240" s="168">
        <f t="shared" si="41"/>
        <v>0</v>
      </c>
      <c r="BB240" s="168">
        <f t="shared" si="46"/>
        <v>-32500</v>
      </c>
      <c r="BC240" s="168">
        <f t="shared" si="47"/>
        <v>-29250</v>
      </c>
      <c r="BD240" s="169">
        <v>50000</v>
      </c>
      <c r="BE240" s="169"/>
      <c r="BF240" s="168">
        <f t="shared" si="37"/>
        <v>-79250</v>
      </c>
      <c r="BG240" s="33"/>
      <c r="BH240" s="15"/>
      <c r="BI240" s="15"/>
    </row>
    <row r="241" spans="1:61" s="6" customFormat="1" ht="16.899999999999999">
      <c r="A241" s="36">
        <v>240</v>
      </c>
      <c r="B241" s="35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5"/>
      <c r="P241" s="33"/>
      <c r="Q241" s="33"/>
      <c r="R241" s="158"/>
      <c r="S241" s="158"/>
      <c r="T241" s="159">
        <f t="shared" si="44"/>
        <v>0</v>
      </c>
      <c r="U241" s="30"/>
      <c r="V241" s="30"/>
      <c r="W241" s="30"/>
      <c r="X241" s="30"/>
      <c r="Y241" s="238"/>
      <c r="Z241" s="242"/>
      <c r="AA241" s="33"/>
      <c r="AB241" s="160"/>
      <c r="AC241" s="161"/>
      <c r="AD241" s="162"/>
      <c r="AE241" s="163"/>
      <c r="AF241" s="23">
        <f t="shared" si="38"/>
        <v>0</v>
      </c>
      <c r="AG241" s="161">
        <f t="shared" si="42"/>
        <v>0</v>
      </c>
      <c r="AH241" s="164">
        <f t="shared" si="45"/>
        <v>0</v>
      </c>
      <c r="AI241" s="23"/>
      <c r="AJ241" s="23"/>
      <c r="AK241" s="165"/>
      <c r="AL241" s="161"/>
      <c r="AM241" s="166"/>
      <c r="AN241" s="161"/>
      <c r="AO241" s="166"/>
      <c r="AP241" s="161"/>
      <c r="AQ241" s="161"/>
      <c r="AR241" s="161"/>
      <c r="AS241" s="167">
        <v>35000</v>
      </c>
      <c r="AT241" s="167">
        <v>30000</v>
      </c>
      <c r="AU241" s="167"/>
      <c r="AV241" s="167"/>
      <c r="AW241" s="167"/>
      <c r="AX241" s="167">
        <f t="shared" si="43"/>
        <v>65000</v>
      </c>
      <c r="AY241" s="168">
        <f t="shared" si="39"/>
        <v>-65000</v>
      </c>
      <c r="AZ241" s="168">
        <f t="shared" si="40"/>
        <v>-65000</v>
      </c>
      <c r="BA241" s="168">
        <f t="shared" si="41"/>
        <v>0</v>
      </c>
      <c r="BB241" s="168">
        <f t="shared" si="46"/>
        <v>-32500</v>
      </c>
      <c r="BC241" s="168">
        <f t="shared" si="47"/>
        <v>-29250</v>
      </c>
      <c r="BD241" s="169">
        <v>50000</v>
      </c>
      <c r="BE241" s="169"/>
      <c r="BF241" s="168">
        <f t="shared" si="37"/>
        <v>-79250</v>
      </c>
      <c r="BG241" s="33"/>
      <c r="BH241" s="15"/>
      <c r="BI241" s="15"/>
    </row>
    <row r="242" spans="1:61" s="6" customFormat="1" ht="16.899999999999999">
      <c r="A242" s="36">
        <v>241</v>
      </c>
      <c r="B242" s="35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5"/>
      <c r="P242" s="33"/>
      <c r="Q242" s="33"/>
      <c r="R242" s="158"/>
      <c r="S242" s="158"/>
      <c r="T242" s="159">
        <f t="shared" si="44"/>
        <v>0</v>
      </c>
      <c r="U242" s="30"/>
      <c r="V242" s="30"/>
      <c r="W242" s="30"/>
      <c r="X242" s="30"/>
      <c r="Y242" s="238"/>
      <c r="Z242" s="242"/>
      <c r="AA242" s="33"/>
      <c r="AB242" s="160"/>
      <c r="AC242" s="161"/>
      <c r="AD242" s="162"/>
      <c r="AE242" s="163"/>
      <c r="AF242" s="23">
        <f t="shared" si="38"/>
        <v>0</v>
      </c>
      <c r="AG242" s="161">
        <f t="shared" si="42"/>
        <v>0</v>
      </c>
      <c r="AH242" s="164">
        <f t="shared" si="45"/>
        <v>0</v>
      </c>
      <c r="AI242" s="23"/>
      <c r="AJ242" s="23"/>
      <c r="AK242" s="165"/>
      <c r="AL242" s="161"/>
      <c r="AM242" s="166"/>
      <c r="AN242" s="161"/>
      <c r="AO242" s="166"/>
      <c r="AP242" s="161"/>
      <c r="AQ242" s="161"/>
      <c r="AR242" s="161"/>
      <c r="AS242" s="167">
        <v>35000</v>
      </c>
      <c r="AT242" s="167">
        <v>30000</v>
      </c>
      <c r="AU242" s="167"/>
      <c r="AV242" s="167"/>
      <c r="AW242" s="167"/>
      <c r="AX242" s="167">
        <f t="shared" si="43"/>
        <v>65000</v>
      </c>
      <c r="AY242" s="168">
        <f t="shared" si="39"/>
        <v>-65000</v>
      </c>
      <c r="AZ242" s="168">
        <f t="shared" si="40"/>
        <v>-65000</v>
      </c>
      <c r="BA242" s="168">
        <f t="shared" si="41"/>
        <v>0</v>
      </c>
      <c r="BB242" s="168">
        <f t="shared" si="46"/>
        <v>-32500</v>
      </c>
      <c r="BC242" s="168">
        <f t="shared" si="47"/>
        <v>-29250</v>
      </c>
      <c r="BD242" s="169">
        <v>50000</v>
      </c>
      <c r="BE242" s="169"/>
      <c r="BF242" s="168">
        <f t="shared" si="37"/>
        <v>-79250</v>
      </c>
      <c r="BG242" s="33"/>
      <c r="BH242" s="15"/>
      <c r="BI242" s="15"/>
    </row>
    <row r="243" spans="1:61" s="6" customFormat="1" ht="16.899999999999999">
      <c r="A243" s="36">
        <v>242</v>
      </c>
      <c r="B243" s="35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5"/>
      <c r="P243" s="33"/>
      <c r="Q243" s="33"/>
      <c r="R243" s="158"/>
      <c r="S243" s="158"/>
      <c r="T243" s="159">
        <f t="shared" si="44"/>
        <v>0</v>
      </c>
      <c r="U243" s="30"/>
      <c r="V243" s="30"/>
      <c r="W243" s="30"/>
      <c r="X243" s="30"/>
      <c r="Y243" s="238"/>
      <c r="Z243" s="242"/>
      <c r="AA243" s="33"/>
      <c r="AB243" s="160"/>
      <c r="AC243" s="161"/>
      <c r="AD243" s="162"/>
      <c r="AE243" s="163"/>
      <c r="AF243" s="23">
        <f t="shared" si="38"/>
        <v>0</v>
      </c>
      <c r="AG243" s="161">
        <f t="shared" si="42"/>
        <v>0</v>
      </c>
      <c r="AH243" s="164">
        <f t="shared" si="45"/>
        <v>0</v>
      </c>
      <c r="AI243" s="23"/>
      <c r="AJ243" s="23"/>
      <c r="AK243" s="165"/>
      <c r="AL243" s="161"/>
      <c r="AM243" s="166"/>
      <c r="AN243" s="161"/>
      <c r="AO243" s="166"/>
      <c r="AP243" s="161"/>
      <c r="AQ243" s="161"/>
      <c r="AR243" s="161"/>
      <c r="AS243" s="167">
        <v>35000</v>
      </c>
      <c r="AT243" s="167">
        <v>30000</v>
      </c>
      <c r="AU243" s="167"/>
      <c r="AV243" s="167"/>
      <c r="AW243" s="167"/>
      <c r="AX243" s="167">
        <f t="shared" si="43"/>
        <v>65000</v>
      </c>
      <c r="AY243" s="168">
        <f t="shared" si="39"/>
        <v>-65000</v>
      </c>
      <c r="AZ243" s="168">
        <f t="shared" si="40"/>
        <v>-65000</v>
      </c>
      <c r="BA243" s="168">
        <f t="shared" si="41"/>
        <v>0</v>
      </c>
      <c r="BB243" s="168">
        <f t="shared" si="46"/>
        <v>-32500</v>
      </c>
      <c r="BC243" s="168">
        <f t="shared" si="47"/>
        <v>-29250</v>
      </c>
      <c r="BD243" s="169">
        <v>50000</v>
      </c>
      <c r="BE243" s="169"/>
      <c r="BF243" s="168">
        <f t="shared" si="37"/>
        <v>-79250</v>
      </c>
      <c r="BG243" s="33"/>
      <c r="BH243" s="15"/>
      <c r="BI243" s="15"/>
    </row>
    <row r="244" spans="1:61" s="6" customFormat="1" ht="16.899999999999999">
      <c r="A244" s="36">
        <v>243</v>
      </c>
      <c r="B244" s="35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5"/>
      <c r="P244" s="33"/>
      <c r="Q244" s="33"/>
      <c r="R244" s="158"/>
      <c r="S244" s="158"/>
      <c r="T244" s="159">
        <f t="shared" si="44"/>
        <v>0</v>
      </c>
      <c r="U244" s="30"/>
      <c r="V244" s="30"/>
      <c r="W244" s="30"/>
      <c r="X244" s="30"/>
      <c r="Y244" s="238"/>
      <c r="Z244" s="242"/>
      <c r="AA244" s="33"/>
      <c r="AB244" s="160"/>
      <c r="AC244" s="161"/>
      <c r="AD244" s="162"/>
      <c r="AE244" s="163"/>
      <c r="AF244" s="23">
        <f t="shared" si="38"/>
        <v>0</v>
      </c>
      <c r="AG244" s="161">
        <f t="shared" si="42"/>
        <v>0</v>
      </c>
      <c r="AH244" s="164">
        <f t="shared" si="45"/>
        <v>0</v>
      </c>
      <c r="AI244" s="23"/>
      <c r="AJ244" s="23"/>
      <c r="AK244" s="165"/>
      <c r="AL244" s="161"/>
      <c r="AM244" s="166"/>
      <c r="AN244" s="161"/>
      <c r="AO244" s="166"/>
      <c r="AP244" s="161"/>
      <c r="AQ244" s="161"/>
      <c r="AR244" s="161"/>
      <c r="AS244" s="167">
        <v>35000</v>
      </c>
      <c r="AT244" s="167">
        <v>30000</v>
      </c>
      <c r="AU244" s="167"/>
      <c r="AV244" s="167"/>
      <c r="AW244" s="167"/>
      <c r="AX244" s="167">
        <f t="shared" si="43"/>
        <v>65000</v>
      </c>
      <c r="AY244" s="168">
        <f t="shared" si="39"/>
        <v>-65000</v>
      </c>
      <c r="AZ244" s="168">
        <f t="shared" si="40"/>
        <v>-65000</v>
      </c>
      <c r="BA244" s="168">
        <f t="shared" si="41"/>
        <v>0</v>
      </c>
      <c r="BB244" s="168">
        <f t="shared" si="46"/>
        <v>-32500</v>
      </c>
      <c r="BC244" s="168">
        <f t="shared" si="47"/>
        <v>-29250</v>
      </c>
      <c r="BD244" s="169">
        <v>50000</v>
      </c>
      <c r="BE244" s="169"/>
      <c r="BF244" s="168">
        <f t="shared" si="37"/>
        <v>-79250</v>
      </c>
      <c r="BG244" s="33"/>
      <c r="BH244" s="15"/>
      <c r="BI244" s="15"/>
    </row>
    <row r="245" spans="1:61" s="6" customFormat="1" ht="16.899999999999999">
      <c r="A245" s="36">
        <v>244</v>
      </c>
      <c r="B245" s="35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5"/>
      <c r="P245" s="33"/>
      <c r="Q245" s="33"/>
      <c r="R245" s="158"/>
      <c r="S245" s="158"/>
      <c r="T245" s="159">
        <f t="shared" si="44"/>
        <v>0</v>
      </c>
      <c r="U245" s="30"/>
      <c r="V245" s="30"/>
      <c r="W245" s="30"/>
      <c r="X245" s="30"/>
      <c r="Y245" s="238"/>
      <c r="Z245" s="242"/>
      <c r="AA245" s="33"/>
      <c r="AB245" s="160"/>
      <c r="AC245" s="161"/>
      <c r="AD245" s="162"/>
      <c r="AE245" s="163"/>
      <c r="AF245" s="23">
        <f t="shared" si="38"/>
        <v>0</v>
      </c>
      <c r="AG245" s="161">
        <f t="shared" si="42"/>
        <v>0</v>
      </c>
      <c r="AH245" s="164">
        <f t="shared" si="45"/>
        <v>0</v>
      </c>
      <c r="AI245" s="23"/>
      <c r="AJ245" s="23"/>
      <c r="AK245" s="165"/>
      <c r="AL245" s="161"/>
      <c r="AM245" s="166"/>
      <c r="AN245" s="161"/>
      <c r="AO245" s="166"/>
      <c r="AP245" s="161"/>
      <c r="AQ245" s="161"/>
      <c r="AR245" s="161"/>
      <c r="AS245" s="167">
        <v>35000</v>
      </c>
      <c r="AT245" s="167">
        <v>30000</v>
      </c>
      <c r="AU245" s="167"/>
      <c r="AV245" s="167"/>
      <c r="AW245" s="167"/>
      <c r="AX245" s="167">
        <f t="shared" si="43"/>
        <v>65000</v>
      </c>
      <c r="AY245" s="168">
        <f t="shared" si="39"/>
        <v>-65000</v>
      </c>
      <c r="AZ245" s="168">
        <f t="shared" si="40"/>
        <v>-65000</v>
      </c>
      <c r="BA245" s="168">
        <f t="shared" si="41"/>
        <v>0</v>
      </c>
      <c r="BB245" s="168">
        <f t="shared" si="46"/>
        <v>-32500</v>
      </c>
      <c r="BC245" s="168">
        <f t="shared" si="47"/>
        <v>-29250</v>
      </c>
      <c r="BD245" s="169">
        <v>50000</v>
      </c>
      <c r="BE245" s="169"/>
      <c r="BF245" s="168">
        <f t="shared" ref="BF245:BF308" si="48">SUM(BC245-BD245-BE245)</f>
        <v>-79250</v>
      </c>
      <c r="BG245" s="33"/>
      <c r="BH245" s="15"/>
      <c r="BI245" s="15"/>
    </row>
    <row r="246" spans="1:61" s="6" customFormat="1" ht="16.899999999999999">
      <c r="A246" s="36">
        <v>245</v>
      </c>
      <c r="B246" s="35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5"/>
      <c r="P246" s="33"/>
      <c r="Q246" s="33"/>
      <c r="R246" s="158"/>
      <c r="S246" s="158"/>
      <c r="T246" s="159">
        <f t="shared" si="44"/>
        <v>0</v>
      </c>
      <c r="U246" s="30"/>
      <c r="V246" s="30"/>
      <c r="W246" s="30"/>
      <c r="X246" s="30"/>
      <c r="Y246" s="238"/>
      <c r="Z246" s="242"/>
      <c r="AA246" s="33"/>
      <c r="AB246" s="160"/>
      <c r="AC246" s="161"/>
      <c r="AD246" s="162"/>
      <c r="AE246" s="163"/>
      <c r="AF246" s="23">
        <f t="shared" si="38"/>
        <v>0</v>
      </c>
      <c r="AG246" s="161">
        <f t="shared" si="42"/>
        <v>0</v>
      </c>
      <c r="AH246" s="164">
        <f t="shared" si="45"/>
        <v>0</v>
      </c>
      <c r="AI246" s="23"/>
      <c r="AJ246" s="23"/>
      <c r="AK246" s="165"/>
      <c r="AL246" s="161"/>
      <c r="AM246" s="166"/>
      <c r="AN246" s="161"/>
      <c r="AO246" s="166"/>
      <c r="AP246" s="161"/>
      <c r="AQ246" s="161"/>
      <c r="AR246" s="161"/>
      <c r="AS246" s="167">
        <v>35000</v>
      </c>
      <c r="AT246" s="167">
        <v>30000</v>
      </c>
      <c r="AU246" s="167"/>
      <c r="AV246" s="167"/>
      <c r="AW246" s="167"/>
      <c r="AX246" s="167">
        <f t="shared" si="43"/>
        <v>65000</v>
      </c>
      <c r="AY246" s="168">
        <f t="shared" si="39"/>
        <v>-65000</v>
      </c>
      <c r="AZ246" s="168">
        <f t="shared" si="40"/>
        <v>-65000</v>
      </c>
      <c r="BA246" s="168">
        <f t="shared" si="41"/>
        <v>0</v>
      </c>
      <c r="BB246" s="168">
        <f t="shared" si="46"/>
        <v>-32500</v>
      </c>
      <c r="BC246" s="168">
        <f t="shared" si="47"/>
        <v>-29250</v>
      </c>
      <c r="BD246" s="169">
        <v>50000</v>
      </c>
      <c r="BE246" s="169"/>
      <c r="BF246" s="168">
        <f t="shared" si="48"/>
        <v>-79250</v>
      </c>
      <c r="BG246" s="33"/>
      <c r="BH246" s="15"/>
      <c r="BI246" s="15"/>
    </row>
    <row r="247" spans="1:61" s="6" customFormat="1" ht="16.899999999999999">
      <c r="A247" s="36">
        <v>246</v>
      </c>
      <c r="B247" s="35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5"/>
      <c r="P247" s="33"/>
      <c r="Q247" s="33"/>
      <c r="R247" s="158"/>
      <c r="S247" s="158"/>
      <c r="T247" s="159">
        <f t="shared" si="44"/>
        <v>0</v>
      </c>
      <c r="U247" s="30"/>
      <c r="V247" s="30"/>
      <c r="W247" s="30"/>
      <c r="X247" s="30"/>
      <c r="Y247" s="238"/>
      <c r="Z247" s="242"/>
      <c r="AA247" s="33"/>
      <c r="AB247" s="160"/>
      <c r="AC247" s="161"/>
      <c r="AD247" s="162"/>
      <c r="AE247" s="163"/>
      <c r="AF247" s="23">
        <f t="shared" si="38"/>
        <v>0</v>
      </c>
      <c r="AG247" s="161">
        <f t="shared" si="42"/>
        <v>0</v>
      </c>
      <c r="AH247" s="164">
        <f t="shared" si="45"/>
        <v>0</v>
      </c>
      <c r="AI247" s="23"/>
      <c r="AJ247" s="23"/>
      <c r="AK247" s="165"/>
      <c r="AL247" s="161"/>
      <c r="AM247" s="166"/>
      <c r="AN247" s="161"/>
      <c r="AO247" s="166"/>
      <c r="AP247" s="161"/>
      <c r="AQ247" s="161"/>
      <c r="AR247" s="161"/>
      <c r="AS247" s="167">
        <v>35000</v>
      </c>
      <c r="AT247" s="167">
        <v>30000</v>
      </c>
      <c r="AU247" s="167"/>
      <c r="AV247" s="167"/>
      <c r="AW247" s="167"/>
      <c r="AX247" s="167">
        <f t="shared" si="43"/>
        <v>65000</v>
      </c>
      <c r="AY247" s="168">
        <f t="shared" si="39"/>
        <v>-65000</v>
      </c>
      <c r="AZ247" s="168">
        <f t="shared" si="40"/>
        <v>-65000</v>
      </c>
      <c r="BA247" s="168">
        <f t="shared" si="41"/>
        <v>0</v>
      </c>
      <c r="BB247" s="168">
        <f t="shared" si="46"/>
        <v>-32500</v>
      </c>
      <c r="BC247" s="168">
        <f t="shared" si="47"/>
        <v>-29250</v>
      </c>
      <c r="BD247" s="169">
        <v>50000</v>
      </c>
      <c r="BE247" s="169"/>
      <c r="BF247" s="168">
        <f t="shared" si="48"/>
        <v>-79250</v>
      </c>
      <c r="BG247" s="33"/>
      <c r="BH247" s="15"/>
      <c r="BI247" s="15"/>
    </row>
    <row r="248" spans="1:61" s="6" customFormat="1" ht="16.899999999999999">
      <c r="A248" s="36">
        <v>247</v>
      </c>
      <c r="B248" s="35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5"/>
      <c r="P248" s="33"/>
      <c r="Q248" s="33"/>
      <c r="R248" s="158"/>
      <c r="S248" s="158"/>
      <c r="T248" s="159">
        <f t="shared" si="44"/>
        <v>0</v>
      </c>
      <c r="U248" s="30"/>
      <c r="V248" s="30"/>
      <c r="W248" s="30"/>
      <c r="X248" s="30"/>
      <c r="Y248" s="238"/>
      <c r="Z248" s="242"/>
      <c r="AA248" s="33"/>
      <c r="AB248" s="160"/>
      <c r="AC248" s="161"/>
      <c r="AD248" s="162"/>
      <c r="AE248" s="163"/>
      <c r="AF248" s="23">
        <f t="shared" si="38"/>
        <v>0</v>
      </c>
      <c r="AG248" s="161">
        <f t="shared" si="42"/>
        <v>0</v>
      </c>
      <c r="AH248" s="164">
        <f t="shared" si="45"/>
        <v>0</v>
      </c>
      <c r="AI248" s="23"/>
      <c r="AJ248" s="23"/>
      <c r="AK248" s="165"/>
      <c r="AL248" s="161"/>
      <c r="AM248" s="166"/>
      <c r="AN248" s="161"/>
      <c r="AO248" s="166"/>
      <c r="AP248" s="161"/>
      <c r="AQ248" s="161"/>
      <c r="AR248" s="161"/>
      <c r="AS248" s="167">
        <v>35000</v>
      </c>
      <c r="AT248" s="167">
        <v>30000</v>
      </c>
      <c r="AU248" s="167"/>
      <c r="AV248" s="167"/>
      <c r="AW248" s="167"/>
      <c r="AX248" s="167">
        <f t="shared" si="43"/>
        <v>65000</v>
      </c>
      <c r="AY248" s="168">
        <f t="shared" si="39"/>
        <v>-65000</v>
      </c>
      <c r="AZ248" s="168">
        <f t="shared" si="40"/>
        <v>-65000</v>
      </c>
      <c r="BA248" s="168">
        <f t="shared" si="41"/>
        <v>0</v>
      </c>
      <c r="BB248" s="168">
        <f t="shared" si="46"/>
        <v>-32500</v>
      </c>
      <c r="BC248" s="168">
        <f t="shared" si="47"/>
        <v>-29250</v>
      </c>
      <c r="BD248" s="169">
        <v>50000</v>
      </c>
      <c r="BE248" s="169"/>
      <c r="BF248" s="168">
        <f t="shared" si="48"/>
        <v>-79250</v>
      </c>
      <c r="BG248" s="33"/>
      <c r="BH248" s="15"/>
      <c r="BI248" s="15"/>
    </row>
    <row r="249" spans="1:61" s="6" customFormat="1" ht="16.899999999999999">
      <c r="A249" s="36">
        <v>248</v>
      </c>
      <c r="B249" s="35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5"/>
      <c r="P249" s="33"/>
      <c r="Q249" s="33"/>
      <c r="R249" s="158"/>
      <c r="S249" s="158"/>
      <c r="T249" s="159">
        <f t="shared" si="44"/>
        <v>0</v>
      </c>
      <c r="U249" s="30"/>
      <c r="V249" s="30"/>
      <c r="W249" s="30"/>
      <c r="X249" s="30"/>
      <c r="Y249" s="238"/>
      <c r="Z249" s="242"/>
      <c r="AA249" s="33"/>
      <c r="AB249" s="160"/>
      <c r="AC249" s="161"/>
      <c r="AD249" s="162"/>
      <c r="AE249" s="163"/>
      <c r="AF249" s="23">
        <f t="shared" si="38"/>
        <v>0</v>
      </c>
      <c r="AG249" s="161">
        <f t="shared" si="42"/>
        <v>0</v>
      </c>
      <c r="AH249" s="164">
        <f t="shared" si="45"/>
        <v>0</v>
      </c>
      <c r="AI249" s="23"/>
      <c r="AJ249" s="23"/>
      <c r="AK249" s="165"/>
      <c r="AL249" s="161"/>
      <c r="AM249" s="166"/>
      <c r="AN249" s="161"/>
      <c r="AO249" s="166"/>
      <c r="AP249" s="161"/>
      <c r="AQ249" s="161"/>
      <c r="AR249" s="161"/>
      <c r="AS249" s="167">
        <v>35000</v>
      </c>
      <c r="AT249" s="167">
        <v>30000</v>
      </c>
      <c r="AU249" s="167"/>
      <c r="AV249" s="167"/>
      <c r="AW249" s="167"/>
      <c r="AX249" s="167">
        <f t="shared" si="43"/>
        <v>65000</v>
      </c>
      <c r="AY249" s="168">
        <f t="shared" si="39"/>
        <v>-65000</v>
      </c>
      <c r="AZ249" s="168">
        <f t="shared" si="40"/>
        <v>-65000</v>
      </c>
      <c r="BA249" s="168">
        <f t="shared" si="41"/>
        <v>0</v>
      </c>
      <c r="BB249" s="168">
        <f t="shared" si="46"/>
        <v>-32500</v>
      </c>
      <c r="BC249" s="168">
        <f t="shared" si="47"/>
        <v>-29250</v>
      </c>
      <c r="BD249" s="169">
        <v>50000</v>
      </c>
      <c r="BE249" s="169"/>
      <c r="BF249" s="168">
        <f t="shared" si="48"/>
        <v>-79250</v>
      </c>
      <c r="BG249" s="33"/>
      <c r="BH249" s="15"/>
      <c r="BI249" s="15"/>
    </row>
    <row r="250" spans="1:61" s="6" customFormat="1" ht="16.899999999999999">
      <c r="A250" s="36">
        <v>249</v>
      </c>
      <c r="B250" s="35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5"/>
      <c r="P250" s="33"/>
      <c r="Q250" s="33"/>
      <c r="R250" s="158"/>
      <c r="S250" s="158"/>
      <c r="T250" s="159">
        <f t="shared" si="44"/>
        <v>0</v>
      </c>
      <c r="U250" s="30"/>
      <c r="V250" s="30"/>
      <c r="W250" s="30"/>
      <c r="X250" s="30"/>
      <c r="Y250" s="238"/>
      <c r="Z250" s="242"/>
      <c r="AA250" s="33"/>
      <c r="AB250" s="160"/>
      <c r="AC250" s="161"/>
      <c r="AD250" s="162"/>
      <c r="AE250" s="163"/>
      <c r="AF250" s="23">
        <f t="shared" si="38"/>
        <v>0</v>
      </c>
      <c r="AG250" s="161">
        <f t="shared" si="42"/>
        <v>0</v>
      </c>
      <c r="AH250" s="164">
        <f t="shared" si="45"/>
        <v>0</v>
      </c>
      <c r="AI250" s="23"/>
      <c r="AJ250" s="23"/>
      <c r="AK250" s="165"/>
      <c r="AL250" s="161"/>
      <c r="AM250" s="166"/>
      <c r="AN250" s="161"/>
      <c r="AO250" s="166"/>
      <c r="AP250" s="161"/>
      <c r="AQ250" s="161"/>
      <c r="AR250" s="161"/>
      <c r="AS250" s="167">
        <v>35000</v>
      </c>
      <c r="AT250" s="167">
        <v>30000</v>
      </c>
      <c r="AU250" s="167"/>
      <c r="AV250" s="167"/>
      <c r="AW250" s="167"/>
      <c r="AX250" s="167">
        <f t="shared" si="43"/>
        <v>65000</v>
      </c>
      <c r="AY250" s="168">
        <f t="shared" si="39"/>
        <v>-65000</v>
      </c>
      <c r="AZ250" s="168">
        <f t="shared" si="40"/>
        <v>-65000</v>
      </c>
      <c r="BA250" s="168">
        <f t="shared" si="41"/>
        <v>0</v>
      </c>
      <c r="BB250" s="168">
        <f t="shared" si="46"/>
        <v>-32500</v>
      </c>
      <c r="BC250" s="168">
        <f t="shared" si="47"/>
        <v>-29250</v>
      </c>
      <c r="BD250" s="169">
        <v>50000</v>
      </c>
      <c r="BE250" s="169"/>
      <c r="BF250" s="168">
        <f t="shared" si="48"/>
        <v>-79250</v>
      </c>
      <c r="BG250" s="33"/>
      <c r="BH250" s="15"/>
      <c r="BI250" s="15"/>
    </row>
    <row r="251" spans="1:61" s="6" customFormat="1" ht="16.899999999999999">
      <c r="A251" s="36">
        <v>250</v>
      </c>
      <c r="B251" s="35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5"/>
      <c r="P251" s="33"/>
      <c r="Q251" s="33"/>
      <c r="R251" s="158"/>
      <c r="S251" s="158"/>
      <c r="T251" s="159">
        <f t="shared" si="44"/>
        <v>0</v>
      </c>
      <c r="U251" s="30"/>
      <c r="V251" s="30"/>
      <c r="W251" s="30"/>
      <c r="X251" s="30"/>
      <c r="Y251" s="238"/>
      <c r="Z251" s="242"/>
      <c r="AA251" s="33"/>
      <c r="AB251" s="160"/>
      <c r="AC251" s="161"/>
      <c r="AD251" s="162"/>
      <c r="AE251" s="163"/>
      <c r="AF251" s="23">
        <f t="shared" si="38"/>
        <v>0</v>
      </c>
      <c r="AG251" s="161">
        <f t="shared" si="42"/>
        <v>0</v>
      </c>
      <c r="AH251" s="164">
        <f t="shared" si="45"/>
        <v>0</v>
      </c>
      <c r="AI251" s="23"/>
      <c r="AJ251" s="23"/>
      <c r="AK251" s="165"/>
      <c r="AL251" s="161"/>
      <c r="AM251" s="166"/>
      <c r="AN251" s="161"/>
      <c r="AO251" s="166"/>
      <c r="AP251" s="161"/>
      <c r="AQ251" s="161"/>
      <c r="AR251" s="161"/>
      <c r="AS251" s="167">
        <v>35000</v>
      </c>
      <c r="AT251" s="167">
        <v>30000</v>
      </c>
      <c r="AU251" s="167"/>
      <c r="AV251" s="167"/>
      <c r="AW251" s="167"/>
      <c r="AX251" s="167">
        <f t="shared" si="43"/>
        <v>65000</v>
      </c>
      <c r="AY251" s="168">
        <f t="shared" si="39"/>
        <v>-65000</v>
      </c>
      <c r="AZ251" s="168">
        <f t="shared" si="40"/>
        <v>-65000</v>
      </c>
      <c r="BA251" s="168">
        <f t="shared" si="41"/>
        <v>0</v>
      </c>
      <c r="BB251" s="168">
        <f t="shared" si="46"/>
        <v>-32500</v>
      </c>
      <c r="BC251" s="168">
        <f t="shared" si="47"/>
        <v>-29250</v>
      </c>
      <c r="BD251" s="169">
        <v>50000</v>
      </c>
      <c r="BE251" s="169"/>
      <c r="BF251" s="168">
        <f t="shared" si="48"/>
        <v>-79250</v>
      </c>
      <c r="BG251" s="33"/>
      <c r="BH251" s="15"/>
      <c r="BI251" s="15"/>
    </row>
    <row r="252" spans="1:61" s="6" customFormat="1" ht="16.899999999999999">
      <c r="A252" s="36">
        <v>251</v>
      </c>
      <c r="B252" s="35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5"/>
      <c r="P252" s="33"/>
      <c r="Q252" s="33"/>
      <c r="R252" s="158"/>
      <c r="S252" s="158"/>
      <c r="T252" s="159">
        <f t="shared" si="44"/>
        <v>0</v>
      </c>
      <c r="U252" s="30"/>
      <c r="V252" s="30"/>
      <c r="W252" s="30"/>
      <c r="X252" s="30"/>
      <c r="Y252" s="238"/>
      <c r="Z252" s="242"/>
      <c r="AA252" s="33"/>
      <c r="AB252" s="160"/>
      <c r="AC252" s="161"/>
      <c r="AD252" s="162"/>
      <c r="AE252" s="163"/>
      <c r="AF252" s="23">
        <f t="shared" si="38"/>
        <v>0</v>
      </c>
      <c r="AG252" s="161">
        <f t="shared" si="42"/>
        <v>0</v>
      </c>
      <c r="AH252" s="164">
        <f t="shared" si="45"/>
        <v>0</v>
      </c>
      <c r="AI252" s="23"/>
      <c r="AJ252" s="23"/>
      <c r="AK252" s="165"/>
      <c r="AL252" s="161"/>
      <c r="AM252" s="166"/>
      <c r="AN252" s="161"/>
      <c r="AO252" s="166"/>
      <c r="AP252" s="161"/>
      <c r="AQ252" s="161"/>
      <c r="AR252" s="161"/>
      <c r="AS252" s="167">
        <v>35000</v>
      </c>
      <c r="AT252" s="167">
        <v>30000</v>
      </c>
      <c r="AU252" s="167"/>
      <c r="AV252" s="167"/>
      <c r="AW252" s="167"/>
      <c r="AX252" s="167">
        <f t="shared" si="43"/>
        <v>65000</v>
      </c>
      <c r="AY252" s="168">
        <f t="shared" si="39"/>
        <v>-65000</v>
      </c>
      <c r="AZ252" s="168">
        <f t="shared" si="40"/>
        <v>-65000</v>
      </c>
      <c r="BA252" s="168">
        <f t="shared" si="41"/>
        <v>0</v>
      </c>
      <c r="BB252" s="168">
        <f t="shared" si="46"/>
        <v>-32500</v>
      </c>
      <c r="BC252" s="168">
        <f t="shared" si="47"/>
        <v>-29250</v>
      </c>
      <c r="BD252" s="169">
        <v>50000</v>
      </c>
      <c r="BE252" s="169"/>
      <c r="BF252" s="168">
        <f t="shared" si="48"/>
        <v>-79250</v>
      </c>
      <c r="BG252" s="33"/>
      <c r="BH252" s="15"/>
      <c r="BI252" s="15"/>
    </row>
    <row r="253" spans="1:61" ht="16.899999999999999">
      <c r="A253" s="36">
        <v>252</v>
      </c>
      <c r="B253" s="35"/>
      <c r="C253" s="33"/>
      <c r="D253" s="33"/>
      <c r="E253" s="33"/>
      <c r="F253" s="38"/>
      <c r="G253" s="38"/>
      <c r="H253" s="38"/>
      <c r="I253" s="38"/>
      <c r="J253" s="38"/>
      <c r="K253" s="38"/>
      <c r="L253" s="33"/>
      <c r="M253" s="33"/>
      <c r="N253" s="38"/>
      <c r="O253" s="39" t="s">
        <v>27</v>
      </c>
      <c r="P253" s="38"/>
      <c r="Q253" s="216"/>
      <c r="R253" s="158"/>
      <c r="S253" s="158"/>
      <c r="T253" s="159">
        <f t="shared" si="44"/>
        <v>0</v>
      </c>
      <c r="U253" s="30"/>
      <c r="V253" s="30"/>
      <c r="W253" s="30"/>
      <c r="X253" s="30"/>
      <c r="Y253" s="238"/>
      <c r="Z253" s="242"/>
      <c r="AA253" s="38"/>
      <c r="AB253" s="160"/>
      <c r="AC253" s="161"/>
      <c r="AD253" s="162"/>
      <c r="AE253" s="163"/>
      <c r="AF253" s="23">
        <f t="shared" si="38"/>
        <v>0</v>
      </c>
      <c r="AG253" s="161">
        <f t="shared" si="42"/>
        <v>0</v>
      </c>
      <c r="AH253" s="164">
        <f t="shared" si="45"/>
        <v>0</v>
      </c>
      <c r="AI253" s="23"/>
      <c r="AJ253" s="23"/>
      <c r="AK253" s="165"/>
      <c r="AL253" s="161"/>
      <c r="AM253" s="166"/>
      <c r="AN253" s="161"/>
      <c r="AO253" s="166"/>
      <c r="AP253" s="161"/>
      <c r="AQ253" s="161"/>
      <c r="AR253" s="161"/>
      <c r="AS253" s="167">
        <v>35000</v>
      </c>
      <c r="AT253" s="167">
        <v>30000</v>
      </c>
      <c r="AU253" s="167"/>
      <c r="AV253" s="167"/>
      <c r="AW253" s="167"/>
      <c r="AX253" s="167">
        <f t="shared" si="43"/>
        <v>65000</v>
      </c>
      <c r="AY253" s="168">
        <f t="shared" si="39"/>
        <v>-65000</v>
      </c>
      <c r="AZ253" s="168">
        <f t="shared" si="40"/>
        <v>-65000</v>
      </c>
      <c r="BA253" s="168">
        <f t="shared" si="41"/>
        <v>0</v>
      </c>
      <c r="BB253" s="168">
        <f t="shared" si="46"/>
        <v>-32500</v>
      </c>
      <c r="BC253" s="168">
        <f t="shared" si="47"/>
        <v>-29250</v>
      </c>
      <c r="BD253" s="169">
        <v>50000</v>
      </c>
      <c r="BE253" s="169"/>
      <c r="BF253" s="168">
        <f t="shared" si="48"/>
        <v>-79250</v>
      </c>
      <c r="BG253" s="33"/>
      <c r="BH253" s="16"/>
      <c r="BI253" s="16"/>
    </row>
    <row r="254" spans="1:61" ht="16.899999999999999">
      <c r="A254" s="36">
        <v>253</v>
      </c>
      <c r="B254" s="35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5"/>
      <c r="P254" s="33"/>
      <c r="Q254" s="33"/>
      <c r="R254" s="158"/>
      <c r="S254" s="158"/>
      <c r="T254" s="159">
        <f t="shared" si="44"/>
        <v>0</v>
      </c>
      <c r="U254" s="30"/>
      <c r="V254" s="30"/>
      <c r="W254" s="30"/>
      <c r="X254" s="30"/>
      <c r="Y254" s="238"/>
      <c r="Z254" s="242"/>
      <c r="AA254" s="33"/>
      <c r="AB254" s="160"/>
      <c r="AC254" s="161"/>
      <c r="AD254" s="162"/>
      <c r="AE254" s="163"/>
      <c r="AF254" s="23">
        <f t="shared" si="38"/>
        <v>0</v>
      </c>
      <c r="AG254" s="161">
        <f t="shared" si="42"/>
        <v>0</v>
      </c>
      <c r="AH254" s="164">
        <f t="shared" si="45"/>
        <v>0</v>
      </c>
      <c r="AI254" s="23"/>
      <c r="AJ254" s="23"/>
      <c r="AK254" s="165"/>
      <c r="AL254" s="161"/>
      <c r="AM254" s="166"/>
      <c r="AN254" s="161"/>
      <c r="AO254" s="166"/>
      <c r="AP254" s="161"/>
      <c r="AQ254" s="161"/>
      <c r="AR254" s="161"/>
      <c r="AS254" s="167">
        <v>35000</v>
      </c>
      <c r="AT254" s="167">
        <v>30000</v>
      </c>
      <c r="AU254" s="167"/>
      <c r="AV254" s="167"/>
      <c r="AW254" s="167"/>
      <c r="AX254" s="167">
        <f t="shared" si="43"/>
        <v>65000</v>
      </c>
      <c r="AY254" s="168">
        <f t="shared" si="39"/>
        <v>-65000</v>
      </c>
      <c r="AZ254" s="168">
        <f t="shared" si="40"/>
        <v>-65000</v>
      </c>
      <c r="BA254" s="168">
        <f t="shared" si="41"/>
        <v>0</v>
      </c>
      <c r="BB254" s="168">
        <f t="shared" si="46"/>
        <v>-32500</v>
      </c>
      <c r="BC254" s="168">
        <f t="shared" si="47"/>
        <v>-29250</v>
      </c>
      <c r="BD254" s="169">
        <v>50000</v>
      </c>
      <c r="BE254" s="169"/>
      <c r="BF254" s="168">
        <f t="shared" si="48"/>
        <v>-79250</v>
      </c>
      <c r="BG254" s="33"/>
      <c r="BH254" s="16"/>
      <c r="BI254" s="16"/>
    </row>
    <row r="255" spans="1:61" ht="16.899999999999999">
      <c r="A255" s="36">
        <v>254</v>
      </c>
      <c r="B255" s="35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5"/>
      <c r="P255" s="33"/>
      <c r="Q255" s="33"/>
      <c r="R255" s="158"/>
      <c r="S255" s="158"/>
      <c r="T255" s="159">
        <f t="shared" si="44"/>
        <v>0</v>
      </c>
      <c r="U255" s="30"/>
      <c r="V255" s="30"/>
      <c r="W255" s="30"/>
      <c r="X255" s="30"/>
      <c r="Y255" s="238"/>
      <c r="Z255" s="242"/>
      <c r="AA255" s="33"/>
      <c r="AB255" s="160"/>
      <c r="AC255" s="161"/>
      <c r="AD255" s="162"/>
      <c r="AE255" s="163"/>
      <c r="AF255" s="23">
        <f t="shared" si="38"/>
        <v>0</v>
      </c>
      <c r="AG255" s="161">
        <f t="shared" si="42"/>
        <v>0</v>
      </c>
      <c r="AH255" s="164">
        <f t="shared" si="45"/>
        <v>0</v>
      </c>
      <c r="AI255" s="23"/>
      <c r="AJ255" s="23"/>
      <c r="AK255" s="165"/>
      <c r="AL255" s="161"/>
      <c r="AM255" s="160"/>
      <c r="AN255" s="161"/>
      <c r="AO255" s="166"/>
      <c r="AP255" s="161"/>
      <c r="AQ255" s="161"/>
      <c r="AR255" s="161"/>
      <c r="AS255" s="167">
        <v>35000</v>
      </c>
      <c r="AT255" s="167">
        <v>30000</v>
      </c>
      <c r="AU255" s="167"/>
      <c r="AV255" s="167"/>
      <c r="AW255" s="167"/>
      <c r="AX255" s="167">
        <f t="shared" si="43"/>
        <v>65000</v>
      </c>
      <c r="AY255" s="168">
        <f t="shared" si="39"/>
        <v>-65000</v>
      </c>
      <c r="AZ255" s="168">
        <f t="shared" si="40"/>
        <v>-65000</v>
      </c>
      <c r="BA255" s="168">
        <f t="shared" si="41"/>
        <v>0</v>
      </c>
      <c r="BB255" s="168">
        <f t="shared" si="46"/>
        <v>-32500</v>
      </c>
      <c r="BC255" s="168">
        <f t="shared" si="47"/>
        <v>-29250</v>
      </c>
      <c r="BD255" s="169">
        <v>50000</v>
      </c>
      <c r="BE255" s="169"/>
      <c r="BF255" s="168">
        <f t="shared" si="48"/>
        <v>-79250</v>
      </c>
      <c r="BG255" s="33"/>
      <c r="BH255" s="16"/>
      <c r="BI255" s="16"/>
    </row>
    <row r="256" spans="1:61" ht="16.899999999999999">
      <c r="A256" s="36">
        <v>255</v>
      </c>
      <c r="B256" s="35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5"/>
      <c r="P256" s="33"/>
      <c r="Q256" s="33"/>
      <c r="R256" s="158"/>
      <c r="S256" s="158"/>
      <c r="T256" s="159">
        <f t="shared" si="44"/>
        <v>0</v>
      </c>
      <c r="U256" s="30"/>
      <c r="V256" s="30"/>
      <c r="W256" s="30"/>
      <c r="X256" s="30"/>
      <c r="Y256" s="238"/>
      <c r="Z256" s="242"/>
      <c r="AA256" s="33"/>
      <c r="AB256" s="160"/>
      <c r="AC256" s="161"/>
      <c r="AD256" s="162"/>
      <c r="AE256" s="163"/>
      <c r="AF256" s="23">
        <f t="shared" si="38"/>
        <v>0</v>
      </c>
      <c r="AG256" s="161">
        <f t="shared" si="42"/>
        <v>0</v>
      </c>
      <c r="AH256" s="164">
        <f t="shared" si="45"/>
        <v>0</v>
      </c>
      <c r="AI256" s="23"/>
      <c r="AJ256" s="23"/>
      <c r="AK256" s="165"/>
      <c r="AL256" s="161"/>
      <c r="AM256" s="166"/>
      <c r="AN256" s="161"/>
      <c r="AO256" s="166"/>
      <c r="AP256" s="161"/>
      <c r="AQ256" s="161"/>
      <c r="AR256" s="161"/>
      <c r="AS256" s="167">
        <v>35000</v>
      </c>
      <c r="AT256" s="167">
        <v>30000</v>
      </c>
      <c r="AU256" s="167"/>
      <c r="AV256" s="167"/>
      <c r="AW256" s="167"/>
      <c r="AX256" s="167">
        <f t="shared" si="43"/>
        <v>65000</v>
      </c>
      <c r="AY256" s="168">
        <f t="shared" si="39"/>
        <v>-65000</v>
      </c>
      <c r="AZ256" s="168">
        <f t="shared" si="40"/>
        <v>-65000</v>
      </c>
      <c r="BA256" s="168">
        <f t="shared" si="41"/>
        <v>0</v>
      </c>
      <c r="BB256" s="168">
        <f t="shared" si="46"/>
        <v>-32500</v>
      </c>
      <c r="BC256" s="168">
        <f t="shared" si="47"/>
        <v>-29250</v>
      </c>
      <c r="BD256" s="169">
        <v>50000</v>
      </c>
      <c r="BE256" s="169"/>
      <c r="BF256" s="168">
        <f t="shared" si="48"/>
        <v>-79250</v>
      </c>
      <c r="BG256" s="33"/>
      <c r="BH256" s="16"/>
      <c r="BI256" s="16"/>
    </row>
    <row r="257" spans="1:61" ht="16.899999999999999">
      <c r="A257" s="36">
        <v>256</v>
      </c>
      <c r="B257" s="35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5"/>
      <c r="P257" s="33"/>
      <c r="Q257" s="33"/>
      <c r="R257" s="158"/>
      <c r="S257" s="158"/>
      <c r="T257" s="159">
        <f t="shared" si="44"/>
        <v>0</v>
      </c>
      <c r="U257" s="30"/>
      <c r="V257" s="30"/>
      <c r="W257" s="30"/>
      <c r="X257" s="30"/>
      <c r="Y257" s="238"/>
      <c r="Z257" s="242"/>
      <c r="AA257" s="33"/>
      <c r="AB257" s="160"/>
      <c r="AC257" s="161"/>
      <c r="AD257" s="162"/>
      <c r="AE257" s="163"/>
      <c r="AF257" s="23">
        <f t="shared" ref="AF257:AF320" si="49">SUM(Y257,AB257:AE257)</f>
        <v>0</v>
      </c>
      <c r="AG257" s="161">
        <f t="shared" si="42"/>
        <v>0</v>
      </c>
      <c r="AH257" s="164">
        <f t="shared" si="45"/>
        <v>0</v>
      </c>
      <c r="AI257" s="23"/>
      <c r="AJ257" s="23"/>
      <c r="AK257" s="165"/>
      <c r="AL257" s="161"/>
      <c r="AM257" s="166"/>
      <c r="AN257" s="161"/>
      <c r="AO257" s="166"/>
      <c r="AP257" s="161"/>
      <c r="AQ257" s="161"/>
      <c r="AR257" s="161"/>
      <c r="AS257" s="167">
        <v>35000</v>
      </c>
      <c r="AT257" s="167">
        <v>30000</v>
      </c>
      <c r="AU257" s="167"/>
      <c r="AV257" s="167"/>
      <c r="AW257" s="167"/>
      <c r="AX257" s="167">
        <f t="shared" si="43"/>
        <v>65000</v>
      </c>
      <c r="AY257" s="168">
        <f t="shared" ref="AY257:AY320" si="50">SUM(AF257-AB257)*Z257-AX257</f>
        <v>-65000</v>
      </c>
      <c r="AZ257" s="168">
        <f t="shared" ref="AZ257:AZ320" si="51">SUM(AY257-T257)</f>
        <v>-65000</v>
      </c>
      <c r="BA257" s="168">
        <f t="shared" ref="BA257:BA320" si="52">SUM(R257*0.09)</f>
        <v>0</v>
      </c>
      <c r="BB257" s="168">
        <f t="shared" si="46"/>
        <v>-32500</v>
      </c>
      <c r="BC257" s="168">
        <f t="shared" si="47"/>
        <v>-29250</v>
      </c>
      <c r="BD257" s="169">
        <v>50000</v>
      </c>
      <c r="BE257" s="169"/>
      <c r="BF257" s="168">
        <f t="shared" si="48"/>
        <v>-79250</v>
      </c>
      <c r="BG257" s="33"/>
      <c r="BH257" s="16"/>
      <c r="BI257" s="16"/>
    </row>
    <row r="258" spans="1:61" ht="16.899999999999999">
      <c r="A258" s="36">
        <v>257</v>
      </c>
      <c r="B258" s="35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5"/>
      <c r="P258" s="33"/>
      <c r="Q258" s="33"/>
      <c r="R258" s="158"/>
      <c r="S258" s="158"/>
      <c r="T258" s="159">
        <f t="shared" si="44"/>
        <v>0</v>
      </c>
      <c r="U258" s="30"/>
      <c r="V258" s="30"/>
      <c r="W258" s="30"/>
      <c r="X258" s="30"/>
      <c r="Y258" s="238"/>
      <c r="Z258" s="242"/>
      <c r="AA258" s="33"/>
      <c r="AB258" s="160"/>
      <c r="AC258" s="161"/>
      <c r="AD258" s="162"/>
      <c r="AE258" s="163"/>
      <c r="AF258" s="23">
        <f t="shared" si="49"/>
        <v>0</v>
      </c>
      <c r="AG258" s="161">
        <f t="shared" ref="AG258:AG321" si="53">SUM(AL258+AN258+AP258+AQ258-AR258)</f>
        <v>0</v>
      </c>
      <c r="AH258" s="164">
        <f t="shared" si="45"/>
        <v>0</v>
      </c>
      <c r="AI258" s="23"/>
      <c r="AJ258" s="23"/>
      <c r="AK258" s="165"/>
      <c r="AL258" s="161"/>
      <c r="AM258" s="166"/>
      <c r="AN258" s="161"/>
      <c r="AO258" s="166"/>
      <c r="AP258" s="161"/>
      <c r="AQ258" s="161"/>
      <c r="AR258" s="161"/>
      <c r="AS258" s="167">
        <v>35000</v>
      </c>
      <c r="AT258" s="167">
        <v>30000</v>
      </c>
      <c r="AU258" s="167"/>
      <c r="AV258" s="167"/>
      <c r="AW258" s="167"/>
      <c r="AX258" s="167">
        <f t="shared" ref="AX258:AX321" si="54">SUM(AS258:AW258)</f>
        <v>65000</v>
      </c>
      <c r="AY258" s="168">
        <f t="shared" si="50"/>
        <v>-65000</v>
      </c>
      <c r="AZ258" s="168">
        <f t="shared" si="51"/>
        <v>-65000</v>
      </c>
      <c r="BA258" s="168">
        <f t="shared" si="52"/>
        <v>0</v>
      </c>
      <c r="BB258" s="168">
        <f t="shared" si="46"/>
        <v>-32500</v>
      </c>
      <c r="BC258" s="168">
        <f t="shared" si="47"/>
        <v>-29250</v>
      </c>
      <c r="BD258" s="169">
        <v>50000</v>
      </c>
      <c r="BE258" s="169"/>
      <c r="BF258" s="168">
        <f t="shared" si="48"/>
        <v>-79250</v>
      </c>
      <c r="BG258" s="33"/>
      <c r="BH258" s="16"/>
      <c r="BI258" s="16"/>
    </row>
    <row r="259" spans="1:61" ht="16.899999999999999">
      <c r="A259" s="36">
        <v>258</v>
      </c>
      <c r="B259" s="35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5"/>
      <c r="P259" s="33"/>
      <c r="Q259" s="33"/>
      <c r="R259" s="158"/>
      <c r="S259" s="158"/>
      <c r="T259" s="159">
        <f t="shared" si="44"/>
        <v>0</v>
      </c>
      <c r="U259" s="30"/>
      <c r="V259" s="30"/>
      <c r="W259" s="30"/>
      <c r="X259" s="30"/>
      <c r="Y259" s="238"/>
      <c r="Z259" s="242"/>
      <c r="AA259" s="33"/>
      <c r="AB259" s="160"/>
      <c r="AC259" s="161"/>
      <c r="AD259" s="162"/>
      <c r="AE259" s="163"/>
      <c r="AF259" s="23">
        <f t="shared" si="49"/>
        <v>0</v>
      </c>
      <c r="AG259" s="161">
        <f t="shared" si="53"/>
        <v>0</v>
      </c>
      <c r="AH259" s="164">
        <f t="shared" si="45"/>
        <v>0</v>
      </c>
      <c r="AI259" s="23"/>
      <c r="AJ259" s="23"/>
      <c r="AK259" s="165"/>
      <c r="AL259" s="161"/>
      <c r="AM259" s="166"/>
      <c r="AN259" s="161"/>
      <c r="AO259" s="166"/>
      <c r="AP259" s="161"/>
      <c r="AQ259" s="161"/>
      <c r="AR259" s="161"/>
      <c r="AS259" s="167">
        <v>35000</v>
      </c>
      <c r="AT259" s="167">
        <v>30000</v>
      </c>
      <c r="AU259" s="167"/>
      <c r="AV259" s="167"/>
      <c r="AW259" s="167"/>
      <c r="AX259" s="167">
        <f t="shared" si="54"/>
        <v>65000</v>
      </c>
      <c r="AY259" s="168">
        <f t="shared" si="50"/>
        <v>-65000</v>
      </c>
      <c r="AZ259" s="168">
        <f t="shared" si="51"/>
        <v>-65000</v>
      </c>
      <c r="BA259" s="168">
        <f t="shared" si="52"/>
        <v>0</v>
      </c>
      <c r="BB259" s="168">
        <f t="shared" si="46"/>
        <v>-32500</v>
      </c>
      <c r="BC259" s="168">
        <f t="shared" si="47"/>
        <v>-29250</v>
      </c>
      <c r="BD259" s="169">
        <v>50000</v>
      </c>
      <c r="BE259" s="169"/>
      <c r="BF259" s="168">
        <f t="shared" si="48"/>
        <v>-79250</v>
      </c>
      <c r="BG259" s="33"/>
      <c r="BH259" s="16"/>
      <c r="BI259" s="16"/>
    </row>
    <row r="260" spans="1:61" ht="16.899999999999999">
      <c r="A260" s="36">
        <v>259</v>
      </c>
      <c r="B260" s="35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5"/>
      <c r="P260" s="33"/>
      <c r="Q260" s="33"/>
      <c r="R260" s="158"/>
      <c r="S260" s="158"/>
      <c r="T260" s="159">
        <f t="shared" si="44"/>
        <v>0</v>
      </c>
      <c r="U260" s="30"/>
      <c r="V260" s="30"/>
      <c r="W260" s="30"/>
      <c r="X260" s="30"/>
      <c r="Y260" s="238"/>
      <c r="Z260" s="242"/>
      <c r="AA260" s="33"/>
      <c r="AB260" s="160"/>
      <c r="AC260" s="161"/>
      <c r="AD260" s="162"/>
      <c r="AE260" s="163"/>
      <c r="AF260" s="23">
        <f t="shared" si="49"/>
        <v>0</v>
      </c>
      <c r="AG260" s="161">
        <f t="shared" si="53"/>
        <v>0</v>
      </c>
      <c r="AH260" s="164">
        <f t="shared" si="45"/>
        <v>0</v>
      </c>
      <c r="AI260" s="23"/>
      <c r="AJ260" s="23"/>
      <c r="AK260" s="165"/>
      <c r="AL260" s="161"/>
      <c r="AM260" s="166"/>
      <c r="AN260" s="161"/>
      <c r="AO260" s="166"/>
      <c r="AP260" s="161"/>
      <c r="AQ260" s="161"/>
      <c r="AR260" s="161"/>
      <c r="AS260" s="167">
        <v>35000</v>
      </c>
      <c r="AT260" s="167">
        <v>30000</v>
      </c>
      <c r="AU260" s="167"/>
      <c r="AV260" s="167"/>
      <c r="AW260" s="167"/>
      <c r="AX260" s="167">
        <f t="shared" si="54"/>
        <v>65000</v>
      </c>
      <c r="AY260" s="168">
        <f t="shared" si="50"/>
        <v>-65000</v>
      </c>
      <c r="AZ260" s="168">
        <f t="shared" si="51"/>
        <v>-65000</v>
      </c>
      <c r="BA260" s="168">
        <f t="shared" si="52"/>
        <v>0</v>
      </c>
      <c r="BB260" s="168">
        <f t="shared" si="46"/>
        <v>-32500</v>
      </c>
      <c r="BC260" s="168">
        <f t="shared" si="47"/>
        <v>-29250</v>
      </c>
      <c r="BD260" s="169">
        <v>50000</v>
      </c>
      <c r="BE260" s="169"/>
      <c r="BF260" s="168">
        <f t="shared" si="48"/>
        <v>-79250</v>
      </c>
      <c r="BG260" s="33"/>
      <c r="BH260" s="16"/>
      <c r="BI260" s="16"/>
    </row>
    <row r="261" spans="1:61" ht="16.899999999999999">
      <c r="A261" s="36">
        <v>260</v>
      </c>
      <c r="B261" s="35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5"/>
      <c r="P261" s="33"/>
      <c r="Q261" s="33"/>
      <c r="R261" s="158"/>
      <c r="S261" s="158"/>
      <c r="T261" s="159">
        <f t="shared" si="44"/>
        <v>0</v>
      </c>
      <c r="U261" s="30"/>
      <c r="V261" s="30"/>
      <c r="W261" s="30"/>
      <c r="X261" s="30"/>
      <c r="Y261" s="238"/>
      <c r="Z261" s="242"/>
      <c r="AA261" s="33"/>
      <c r="AB261" s="160"/>
      <c r="AC261" s="161"/>
      <c r="AD261" s="162"/>
      <c r="AE261" s="163"/>
      <c r="AF261" s="23">
        <f t="shared" si="49"/>
        <v>0</v>
      </c>
      <c r="AG261" s="161">
        <f t="shared" si="53"/>
        <v>0</v>
      </c>
      <c r="AH261" s="164">
        <f t="shared" si="45"/>
        <v>0</v>
      </c>
      <c r="AI261" s="23"/>
      <c r="AJ261" s="23"/>
      <c r="AK261" s="165"/>
      <c r="AL261" s="161"/>
      <c r="AM261" s="166"/>
      <c r="AN261" s="161"/>
      <c r="AO261" s="166"/>
      <c r="AP261" s="161"/>
      <c r="AQ261" s="161"/>
      <c r="AR261" s="161"/>
      <c r="AS261" s="167">
        <v>35000</v>
      </c>
      <c r="AT261" s="167">
        <v>30000</v>
      </c>
      <c r="AU261" s="167"/>
      <c r="AV261" s="167"/>
      <c r="AW261" s="167"/>
      <c r="AX261" s="167">
        <f t="shared" si="54"/>
        <v>65000</v>
      </c>
      <c r="AY261" s="168">
        <f t="shared" si="50"/>
        <v>-65000</v>
      </c>
      <c r="AZ261" s="168">
        <f t="shared" si="51"/>
        <v>-65000</v>
      </c>
      <c r="BA261" s="168">
        <f t="shared" si="52"/>
        <v>0</v>
      </c>
      <c r="BB261" s="168">
        <f t="shared" si="46"/>
        <v>-32500</v>
      </c>
      <c r="BC261" s="168">
        <f t="shared" si="47"/>
        <v>-29250</v>
      </c>
      <c r="BD261" s="169">
        <v>50000</v>
      </c>
      <c r="BE261" s="169"/>
      <c r="BF261" s="168">
        <f t="shared" si="48"/>
        <v>-79250</v>
      </c>
      <c r="BG261" s="33"/>
      <c r="BH261" s="16"/>
      <c r="BI261" s="16"/>
    </row>
    <row r="262" spans="1:61" ht="16.899999999999999">
      <c r="A262" s="36">
        <v>261</v>
      </c>
      <c r="B262" s="35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5"/>
      <c r="P262" s="33"/>
      <c r="Q262" s="33"/>
      <c r="R262" s="158"/>
      <c r="S262" s="158"/>
      <c r="T262" s="159">
        <f t="shared" si="44"/>
        <v>0</v>
      </c>
      <c r="U262" s="30"/>
      <c r="V262" s="30"/>
      <c r="W262" s="30"/>
      <c r="X262" s="30"/>
      <c r="Y262" s="238"/>
      <c r="Z262" s="242"/>
      <c r="AA262" s="33"/>
      <c r="AB262" s="160"/>
      <c r="AC262" s="161"/>
      <c r="AD262" s="162"/>
      <c r="AE262" s="163"/>
      <c r="AF262" s="23">
        <f t="shared" si="49"/>
        <v>0</v>
      </c>
      <c r="AG262" s="161">
        <f t="shared" si="53"/>
        <v>0</v>
      </c>
      <c r="AH262" s="164">
        <f t="shared" si="45"/>
        <v>0</v>
      </c>
      <c r="AI262" s="23"/>
      <c r="AJ262" s="23"/>
      <c r="AK262" s="165"/>
      <c r="AL262" s="161"/>
      <c r="AM262" s="166"/>
      <c r="AN262" s="161"/>
      <c r="AO262" s="166"/>
      <c r="AP262" s="161"/>
      <c r="AQ262" s="161"/>
      <c r="AR262" s="161"/>
      <c r="AS262" s="167">
        <v>35000</v>
      </c>
      <c r="AT262" s="167">
        <v>30000</v>
      </c>
      <c r="AU262" s="167"/>
      <c r="AV262" s="167"/>
      <c r="AW262" s="167"/>
      <c r="AX262" s="167">
        <f t="shared" si="54"/>
        <v>65000</v>
      </c>
      <c r="AY262" s="168">
        <f t="shared" si="50"/>
        <v>-65000</v>
      </c>
      <c r="AZ262" s="168">
        <f t="shared" si="51"/>
        <v>-65000</v>
      </c>
      <c r="BA262" s="168">
        <f t="shared" si="52"/>
        <v>0</v>
      </c>
      <c r="BB262" s="168">
        <f t="shared" si="46"/>
        <v>-32500</v>
      </c>
      <c r="BC262" s="168">
        <f t="shared" si="47"/>
        <v>-29250</v>
      </c>
      <c r="BD262" s="169">
        <v>50000</v>
      </c>
      <c r="BE262" s="169"/>
      <c r="BF262" s="168">
        <f t="shared" si="48"/>
        <v>-79250</v>
      </c>
      <c r="BG262" s="33"/>
      <c r="BH262" s="16"/>
      <c r="BI262" s="16"/>
    </row>
    <row r="263" spans="1:61" ht="16.899999999999999">
      <c r="A263" s="36">
        <v>262</v>
      </c>
      <c r="B263" s="35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5"/>
      <c r="P263" s="33"/>
      <c r="Q263" s="33"/>
      <c r="R263" s="158"/>
      <c r="S263" s="158"/>
      <c r="T263" s="159">
        <f t="shared" si="44"/>
        <v>0</v>
      </c>
      <c r="U263" s="30"/>
      <c r="V263" s="30"/>
      <c r="W263" s="30"/>
      <c r="X263" s="30"/>
      <c r="Y263" s="238"/>
      <c r="Z263" s="242"/>
      <c r="AA263" s="33"/>
      <c r="AB263" s="160"/>
      <c r="AC263" s="161"/>
      <c r="AD263" s="162"/>
      <c r="AE263" s="163"/>
      <c r="AF263" s="23">
        <f t="shared" si="49"/>
        <v>0</v>
      </c>
      <c r="AG263" s="161">
        <f t="shared" si="53"/>
        <v>0</v>
      </c>
      <c r="AH263" s="164">
        <f t="shared" si="45"/>
        <v>0</v>
      </c>
      <c r="AI263" s="23"/>
      <c r="AJ263" s="23"/>
      <c r="AK263" s="165"/>
      <c r="AL263" s="161"/>
      <c r="AM263" s="166"/>
      <c r="AN263" s="161"/>
      <c r="AO263" s="166"/>
      <c r="AP263" s="161"/>
      <c r="AQ263" s="161"/>
      <c r="AR263" s="161"/>
      <c r="AS263" s="167">
        <v>35000</v>
      </c>
      <c r="AT263" s="167">
        <v>30000</v>
      </c>
      <c r="AU263" s="167"/>
      <c r="AV263" s="167"/>
      <c r="AW263" s="167"/>
      <c r="AX263" s="167">
        <f t="shared" si="54"/>
        <v>65000</v>
      </c>
      <c r="AY263" s="168">
        <f t="shared" si="50"/>
        <v>-65000</v>
      </c>
      <c r="AZ263" s="168">
        <f t="shared" si="51"/>
        <v>-65000</v>
      </c>
      <c r="BA263" s="168">
        <f t="shared" si="52"/>
        <v>0</v>
      </c>
      <c r="BB263" s="168">
        <f t="shared" si="46"/>
        <v>-32500</v>
      </c>
      <c r="BC263" s="168">
        <f t="shared" si="47"/>
        <v>-29250</v>
      </c>
      <c r="BD263" s="169">
        <v>50000</v>
      </c>
      <c r="BE263" s="169"/>
      <c r="BF263" s="168">
        <f t="shared" si="48"/>
        <v>-79250</v>
      </c>
      <c r="BG263" s="33"/>
      <c r="BH263" s="16"/>
      <c r="BI263" s="16"/>
    </row>
    <row r="264" spans="1:61" ht="16.899999999999999">
      <c r="A264" s="36">
        <v>263</v>
      </c>
      <c r="B264" s="35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5"/>
      <c r="P264" s="33"/>
      <c r="Q264" s="33"/>
      <c r="R264" s="158"/>
      <c r="S264" s="158"/>
      <c r="T264" s="159">
        <f t="shared" si="44"/>
        <v>0</v>
      </c>
      <c r="U264" s="30"/>
      <c r="V264" s="30"/>
      <c r="W264" s="30"/>
      <c r="X264" s="30"/>
      <c r="Y264" s="238"/>
      <c r="Z264" s="242"/>
      <c r="AA264" s="33"/>
      <c r="AB264" s="160"/>
      <c r="AC264" s="161"/>
      <c r="AD264" s="162"/>
      <c r="AE264" s="163"/>
      <c r="AF264" s="23">
        <f t="shared" si="49"/>
        <v>0</v>
      </c>
      <c r="AG264" s="161">
        <f t="shared" si="53"/>
        <v>0</v>
      </c>
      <c r="AH264" s="164">
        <f t="shared" si="45"/>
        <v>0</v>
      </c>
      <c r="AI264" s="23"/>
      <c r="AJ264" s="23"/>
      <c r="AK264" s="166"/>
      <c r="AL264" s="161"/>
      <c r="AM264" s="166"/>
      <c r="AN264" s="161"/>
      <c r="AO264" s="166"/>
      <c r="AP264" s="161"/>
      <c r="AQ264" s="161"/>
      <c r="AR264" s="161"/>
      <c r="AS264" s="167">
        <v>35000</v>
      </c>
      <c r="AT264" s="167">
        <v>30000</v>
      </c>
      <c r="AU264" s="167"/>
      <c r="AV264" s="167"/>
      <c r="AW264" s="167"/>
      <c r="AX264" s="167">
        <f t="shared" si="54"/>
        <v>65000</v>
      </c>
      <c r="AY264" s="168">
        <f t="shared" si="50"/>
        <v>-65000</v>
      </c>
      <c r="AZ264" s="168">
        <f t="shared" si="51"/>
        <v>-65000</v>
      </c>
      <c r="BA264" s="168">
        <f t="shared" si="52"/>
        <v>0</v>
      </c>
      <c r="BB264" s="168">
        <f t="shared" si="46"/>
        <v>-32500</v>
      </c>
      <c r="BC264" s="168">
        <f t="shared" si="47"/>
        <v>-29250</v>
      </c>
      <c r="BD264" s="169">
        <v>50000</v>
      </c>
      <c r="BE264" s="169"/>
      <c r="BF264" s="168">
        <f t="shared" si="48"/>
        <v>-79250</v>
      </c>
      <c r="BG264" s="33"/>
      <c r="BH264" s="16"/>
      <c r="BI264" s="16"/>
    </row>
    <row r="265" spans="1:61" ht="16.899999999999999">
      <c r="A265" s="36">
        <v>264</v>
      </c>
      <c r="B265" s="35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5"/>
      <c r="P265" s="33"/>
      <c r="Q265" s="33"/>
      <c r="R265" s="158"/>
      <c r="S265" s="158"/>
      <c r="T265" s="159">
        <f t="shared" si="44"/>
        <v>0</v>
      </c>
      <c r="U265" s="30"/>
      <c r="V265" s="30"/>
      <c r="W265" s="30"/>
      <c r="X265" s="30"/>
      <c r="Y265" s="238"/>
      <c r="Z265" s="242"/>
      <c r="AA265" s="33"/>
      <c r="AB265" s="160"/>
      <c r="AC265" s="161"/>
      <c r="AD265" s="162"/>
      <c r="AE265" s="163"/>
      <c r="AF265" s="23">
        <f t="shared" si="49"/>
        <v>0</v>
      </c>
      <c r="AG265" s="161">
        <f t="shared" si="53"/>
        <v>0</v>
      </c>
      <c r="AH265" s="164">
        <f t="shared" si="45"/>
        <v>0</v>
      </c>
      <c r="AI265" s="23"/>
      <c r="AJ265" s="23"/>
      <c r="AK265" s="165"/>
      <c r="AL265" s="161"/>
      <c r="AM265" s="166"/>
      <c r="AN265" s="161"/>
      <c r="AO265" s="166"/>
      <c r="AP265" s="161"/>
      <c r="AQ265" s="161"/>
      <c r="AR265" s="161"/>
      <c r="AS265" s="167">
        <v>35000</v>
      </c>
      <c r="AT265" s="167">
        <v>30000</v>
      </c>
      <c r="AU265" s="167"/>
      <c r="AV265" s="167"/>
      <c r="AW265" s="167"/>
      <c r="AX265" s="167">
        <f t="shared" si="54"/>
        <v>65000</v>
      </c>
      <c r="AY265" s="168">
        <f t="shared" si="50"/>
        <v>-65000</v>
      </c>
      <c r="AZ265" s="168">
        <f t="shared" si="51"/>
        <v>-65000</v>
      </c>
      <c r="BA265" s="168">
        <f t="shared" si="52"/>
        <v>0</v>
      </c>
      <c r="BB265" s="168">
        <f t="shared" si="46"/>
        <v>-32500</v>
      </c>
      <c r="BC265" s="168">
        <f t="shared" si="47"/>
        <v>-29250</v>
      </c>
      <c r="BD265" s="169">
        <v>50000</v>
      </c>
      <c r="BE265" s="169"/>
      <c r="BF265" s="168">
        <f t="shared" si="48"/>
        <v>-79250</v>
      </c>
      <c r="BG265" s="33"/>
      <c r="BH265" s="16"/>
      <c r="BI265" s="16"/>
    </row>
    <row r="266" spans="1:61" ht="16.899999999999999">
      <c r="A266" s="36">
        <v>265</v>
      </c>
      <c r="B266" s="35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5"/>
      <c r="P266" s="33"/>
      <c r="Q266" s="33"/>
      <c r="R266" s="158"/>
      <c r="S266" s="158"/>
      <c r="T266" s="159">
        <f t="shared" si="44"/>
        <v>0</v>
      </c>
      <c r="U266" s="30"/>
      <c r="V266" s="30"/>
      <c r="W266" s="30"/>
      <c r="X266" s="30"/>
      <c r="Y266" s="238"/>
      <c r="Z266" s="242"/>
      <c r="AA266" s="33"/>
      <c r="AB266" s="160"/>
      <c r="AC266" s="161"/>
      <c r="AD266" s="162"/>
      <c r="AE266" s="163"/>
      <c r="AF266" s="23">
        <f t="shared" si="49"/>
        <v>0</v>
      </c>
      <c r="AG266" s="161">
        <f t="shared" si="53"/>
        <v>0</v>
      </c>
      <c r="AH266" s="164">
        <f t="shared" si="45"/>
        <v>0</v>
      </c>
      <c r="AI266" s="23"/>
      <c r="AJ266" s="23"/>
      <c r="AK266" s="165"/>
      <c r="AL266" s="161"/>
      <c r="AM266" s="166"/>
      <c r="AN266" s="161"/>
      <c r="AO266" s="166"/>
      <c r="AP266" s="161"/>
      <c r="AQ266" s="161"/>
      <c r="AR266" s="161"/>
      <c r="AS266" s="167">
        <v>35000</v>
      </c>
      <c r="AT266" s="167">
        <v>30000</v>
      </c>
      <c r="AU266" s="167"/>
      <c r="AV266" s="167"/>
      <c r="AW266" s="167"/>
      <c r="AX266" s="167">
        <f t="shared" si="54"/>
        <v>65000</v>
      </c>
      <c r="AY266" s="168">
        <f t="shared" si="50"/>
        <v>-65000</v>
      </c>
      <c r="AZ266" s="168">
        <f t="shared" si="51"/>
        <v>-65000</v>
      </c>
      <c r="BA266" s="168">
        <f t="shared" si="52"/>
        <v>0</v>
      </c>
      <c r="BB266" s="168">
        <f t="shared" si="46"/>
        <v>-32500</v>
      </c>
      <c r="BC266" s="168">
        <f t="shared" si="47"/>
        <v>-29250</v>
      </c>
      <c r="BD266" s="169">
        <v>50000</v>
      </c>
      <c r="BE266" s="169"/>
      <c r="BF266" s="168">
        <f t="shared" si="48"/>
        <v>-79250</v>
      </c>
      <c r="BG266" s="33"/>
      <c r="BH266" s="16"/>
      <c r="BI266" s="16"/>
    </row>
    <row r="267" spans="1:61" ht="16.899999999999999">
      <c r="A267" s="36">
        <v>266</v>
      </c>
      <c r="B267" s="35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5"/>
      <c r="P267" s="33"/>
      <c r="Q267" s="33"/>
      <c r="R267" s="158"/>
      <c r="S267" s="158"/>
      <c r="T267" s="159">
        <f t="shared" si="44"/>
        <v>0</v>
      </c>
      <c r="U267" s="30"/>
      <c r="V267" s="30"/>
      <c r="W267" s="30"/>
      <c r="X267" s="30"/>
      <c r="Y267" s="238"/>
      <c r="Z267" s="242"/>
      <c r="AA267" s="33"/>
      <c r="AB267" s="160"/>
      <c r="AC267" s="161"/>
      <c r="AD267" s="162"/>
      <c r="AE267" s="163"/>
      <c r="AF267" s="23">
        <f t="shared" si="49"/>
        <v>0</v>
      </c>
      <c r="AG267" s="161">
        <f t="shared" si="53"/>
        <v>0</v>
      </c>
      <c r="AH267" s="164">
        <f t="shared" si="45"/>
        <v>0</v>
      </c>
      <c r="AI267" s="23"/>
      <c r="AJ267" s="23"/>
      <c r="AK267" s="165"/>
      <c r="AL267" s="161"/>
      <c r="AM267" s="166"/>
      <c r="AN267" s="161"/>
      <c r="AO267" s="166"/>
      <c r="AP267" s="161"/>
      <c r="AQ267" s="161"/>
      <c r="AR267" s="161"/>
      <c r="AS267" s="167">
        <v>35000</v>
      </c>
      <c r="AT267" s="167">
        <v>30000</v>
      </c>
      <c r="AU267" s="167"/>
      <c r="AV267" s="167"/>
      <c r="AW267" s="167"/>
      <c r="AX267" s="167">
        <f t="shared" si="54"/>
        <v>65000</v>
      </c>
      <c r="AY267" s="168">
        <f t="shared" si="50"/>
        <v>-65000</v>
      </c>
      <c r="AZ267" s="168">
        <f t="shared" si="51"/>
        <v>-65000</v>
      </c>
      <c r="BA267" s="168">
        <f t="shared" si="52"/>
        <v>0</v>
      </c>
      <c r="BB267" s="168">
        <f t="shared" si="46"/>
        <v>-32500</v>
      </c>
      <c r="BC267" s="168">
        <f t="shared" si="47"/>
        <v>-29250</v>
      </c>
      <c r="BD267" s="169">
        <v>50000</v>
      </c>
      <c r="BE267" s="169"/>
      <c r="BF267" s="168">
        <f t="shared" si="48"/>
        <v>-79250</v>
      </c>
      <c r="BG267" s="33"/>
      <c r="BH267" s="16"/>
      <c r="BI267" s="16"/>
    </row>
    <row r="268" spans="1:61" ht="16.899999999999999">
      <c r="A268" s="36">
        <v>267</v>
      </c>
      <c r="B268" s="35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5"/>
      <c r="P268" s="33"/>
      <c r="Q268" s="33"/>
      <c r="R268" s="158"/>
      <c r="S268" s="158"/>
      <c r="T268" s="159">
        <f t="shared" si="44"/>
        <v>0</v>
      </c>
      <c r="U268" s="30"/>
      <c r="V268" s="30"/>
      <c r="W268" s="30"/>
      <c r="X268" s="30"/>
      <c r="Y268" s="238"/>
      <c r="Z268" s="242"/>
      <c r="AA268" s="33"/>
      <c r="AB268" s="160"/>
      <c r="AC268" s="161"/>
      <c r="AD268" s="162"/>
      <c r="AE268" s="163"/>
      <c r="AF268" s="23">
        <f t="shared" si="49"/>
        <v>0</v>
      </c>
      <c r="AG268" s="161">
        <f t="shared" si="53"/>
        <v>0</v>
      </c>
      <c r="AH268" s="164">
        <f t="shared" si="45"/>
        <v>0</v>
      </c>
      <c r="AI268" s="23"/>
      <c r="AJ268" s="23"/>
      <c r="AK268" s="165"/>
      <c r="AL268" s="161"/>
      <c r="AM268" s="166"/>
      <c r="AN268" s="161"/>
      <c r="AO268" s="166"/>
      <c r="AP268" s="161"/>
      <c r="AQ268" s="161"/>
      <c r="AR268" s="161"/>
      <c r="AS268" s="167">
        <v>35000</v>
      </c>
      <c r="AT268" s="167">
        <v>30000</v>
      </c>
      <c r="AU268" s="167"/>
      <c r="AV268" s="167"/>
      <c r="AW268" s="167"/>
      <c r="AX268" s="167">
        <f t="shared" si="54"/>
        <v>65000</v>
      </c>
      <c r="AY268" s="168">
        <f t="shared" si="50"/>
        <v>-65000</v>
      </c>
      <c r="AZ268" s="168">
        <f t="shared" si="51"/>
        <v>-65000</v>
      </c>
      <c r="BA268" s="168">
        <f t="shared" si="52"/>
        <v>0</v>
      </c>
      <c r="BB268" s="168">
        <f t="shared" si="46"/>
        <v>-32500</v>
      </c>
      <c r="BC268" s="168">
        <f t="shared" si="47"/>
        <v>-29250</v>
      </c>
      <c r="BD268" s="169">
        <v>50000</v>
      </c>
      <c r="BE268" s="169"/>
      <c r="BF268" s="168">
        <f t="shared" si="48"/>
        <v>-79250</v>
      </c>
      <c r="BG268" s="33"/>
      <c r="BH268" s="16"/>
      <c r="BI268" s="16"/>
    </row>
    <row r="269" spans="1:61" ht="16.899999999999999">
      <c r="A269" s="36">
        <v>268</v>
      </c>
      <c r="B269" s="35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5"/>
      <c r="P269" s="33"/>
      <c r="Q269" s="33"/>
      <c r="R269" s="158"/>
      <c r="S269" s="158"/>
      <c r="T269" s="159">
        <f t="shared" si="44"/>
        <v>0</v>
      </c>
      <c r="U269" s="30"/>
      <c r="V269" s="30"/>
      <c r="W269" s="30"/>
      <c r="X269" s="30"/>
      <c r="Y269" s="238"/>
      <c r="Z269" s="242"/>
      <c r="AA269" s="33"/>
      <c r="AB269" s="160"/>
      <c r="AC269" s="161"/>
      <c r="AD269" s="162"/>
      <c r="AE269" s="163"/>
      <c r="AF269" s="23">
        <f t="shared" si="49"/>
        <v>0</v>
      </c>
      <c r="AG269" s="161">
        <f t="shared" si="53"/>
        <v>0</v>
      </c>
      <c r="AH269" s="164">
        <f t="shared" si="45"/>
        <v>0</v>
      </c>
      <c r="AI269" s="23"/>
      <c r="AJ269" s="23"/>
      <c r="AK269" s="165"/>
      <c r="AL269" s="161"/>
      <c r="AM269" s="166"/>
      <c r="AN269" s="161"/>
      <c r="AO269" s="166"/>
      <c r="AP269" s="161"/>
      <c r="AQ269" s="161"/>
      <c r="AR269" s="161"/>
      <c r="AS269" s="167">
        <v>35000</v>
      </c>
      <c r="AT269" s="167">
        <v>30000</v>
      </c>
      <c r="AU269" s="167"/>
      <c r="AV269" s="167"/>
      <c r="AW269" s="167"/>
      <c r="AX269" s="167">
        <f t="shared" si="54"/>
        <v>65000</v>
      </c>
      <c r="AY269" s="168">
        <f t="shared" si="50"/>
        <v>-65000</v>
      </c>
      <c r="AZ269" s="168">
        <f t="shared" si="51"/>
        <v>-65000</v>
      </c>
      <c r="BA269" s="168">
        <f t="shared" si="52"/>
        <v>0</v>
      </c>
      <c r="BB269" s="168">
        <f t="shared" si="46"/>
        <v>-32500</v>
      </c>
      <c r="BC269" s="168">
        <f t="shared" si="47"/>
        <v>-29250</v>
      </c>
      <c r="BD269" s="169">
        <v>50000</v>
      </c>
      <c r="BE269" s="169"/>
      <c r="BF269" s="168">
        <f t="shared" si="48"/>
        <v>-79250</v>
      </c>
      <c r="BG269" s="33"/>
      <c r="BH269" s="16"/>
      <c r="BI269" s="16"/>
    </row>
    <row r="270" spans="1:61" ht="16.899999999999999">
      <c r="A270" s="36">
        <v>269</v>
      </c>
      <c r="B270" s="35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5"/>
      <c r="P270" s="33"/>
      <c r="Q270" s="33"/>
      <c r="R270" s="158"/>
      <c r="S270" s="158"/>
      <c r="T270" s="159">
        <f t="shared" si="44"/>
        <v>0</v>
      </c>
      <c r="U270" s="30"/>
      <c r="V270" s="30"/>
      <c r="W270" s="30"/>
      <c r="X270" s="30"/>
      <c r="Y270" s="238"/>
      <c r="Z270" s="242"/>
      <c r="AA270" s="33"/>
      <c r="AB270" s="160"/>
      <c r="AC270" s="161"/>
      <c r="AD270" s="162"/>
      <c r="AE270" s="163"/>
      <c r="AF270" s="23">
        <f t="shared" si="49"/>
        <v>0</v>
      </c>
      <c r="AG270" s="161">
        <f t="shared" si="53"/>
        <v>0</v>
      </c>
      <c r="AH270" s="164">
        <f t="shared" si="45"/>
        <v>0</v>
      </c>
      <c r="AI270" s="37"/>
      <c r="AJ270" s="37"/>
      <c r="AK270" s="165"/>
      <c r="AL270" s="161"/>
      <c r="AM270" s="166"/>
      <c r="AN270" s="161"/>
      <c r="AO270" s="166"/>
      <c r="AP270" s="161"/>
      <c r="AQ270" s="161"/>
      <c r="AR270" s="161"/>
      <c r="AS270" s="167">
        <v>35000</v>
      </c>
      <c r="AT270" s="167">
        <v>30000</v>
      </c>
      <c r="AU270" s="167"/>
      <c r="AV270" s="167"/>
      <c r="AW270" s="167"/>
      <c r="AX270" s="167">
        <f t="shared" si="54"/>
        <v>65000</v>
      </c>
      <c r="AY270" s="168">
        <f t="shared" si="50"/>
        <v>-65000</v>
      </c>
      <c r="AZ270" s="168">
        <f t="shared" si="51"/>
        <v>-65000</v>
      </c>
      <c r="BA270" s="168">
        <f t="shared" si="52"/>
        <v>0</v>
      </c>
      <c r="BB270" s="168">
        <f t="shared" si="46"/>
        <v>-32500</v>
      </c>
      <c r="BC270" s="168">
        <f t="shared" si="47"/>
        <v>-29250</v>
      </c>
      <c r="BD270" s="169">
        <v>50000</v>
      </c>
      <c r="BE270" s="169"/>
      <c r="BF270" s="168">
        <f t="shared" si="48"/>
        <v>-79250</v>
      </c>
      <c r="BG270" s="33"/>
      <c r="BH270" s="16"/>
      <c r="BI270" s="16"/>
    </row>
    <row r="271" spans="1:61" ht="16.899999999999999">
      <c r="A271" s="36">
        <v>270</v>
      </c>
      <c r="B271" s="35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5"/>
      <c r="P271" s="33"/>
      <c r="Q271" s="33"/>
      <c r="R271" s="158"/>
      <c r="S271" s="158"/>
      <c r="T271" s="159">
        <f t="shared" si="44"/>
        <v>0</v>
      </c>
      <c r="U271" s="30"/>
      <c r="V271" s="30"/>
      <c r="W271" s="30"/>
      <c r="X271" s="30"/>
      <c r="Y271" s="238"/>
      <c r="Z271" s="242"/>
      <c r="AA271" s="33"/>
      <c r="AB271" s="160"/>
      <c r="AC271" s="161"/>
      <c r="AD271" s="162"/>
      <c r="AE271" s="163"/>
      <c r="AF271" s="23">
        <f t="shared" si="49"/>
        <v>0</v>
      </c>
      <c r="AG271" s="161">
        <f t="shared" si="53"/>
        <v>0</v>
      </c>
      <c r="AH271" s="164">
        <f t="shared" si="45"/>
        <v>0</v>
      </c>
      <c r="AI271" s="23"/>
      <c r="AJ271" s="23"/>
      <c r="AK271" s="165"/>
      <c r="AL271" s="161"/>
      <c r="AM271" s="166"/>
      <c r="AN271" s="161"/>
      <c r="AO271" s="166"/>
      <c r="AP271" s="161"/>
      <c r="AQ271" s="161"/>
      <c r="AR271" s="161"/>
      <c r="AS271" s="167">
        <v>35000</v>
      </c>
      <c r="AT271" s="167">
        <v>30000</v>
      </c>
      <c r="AU271" s="167"/>
      <c r="AV271" s="167"/>
      <c r="AW271" s="167"/>
      <c r="AX271" s="167">
        <f t="shared" si="54"/>
        <v>65000</v>
      </c>
      <c r="AY271" s="168">
        <f t="shared" si="50"/>
        <v>-65000</v>
      </c>
      <c r="AZ271" s="168">
        <f t="shared" si="51"/>
        <v>-65000</v>
      </c>
      <c r="BA271" s="168">
        <f t="shared" si="52"/>
        <v>0</v>
      </c>
      <c r="BB271" s="168">
        <f t="shared" si="46"/>
        <v>-32500</v>
      </c>
      <c r="BC271" s="168">
        <f t="shared" si="47"/>
        <v>-29250</v>
      </c>
      <c r="BD271" s="169">
        <v>50000</v>
      </c>
      <c r="BE271" s="169"/>
      <c r="BF271" s="168">
        <f t="shared" si="48"/>
        <v>-79250</v>
      </c>
      <c r="BG271" s="33"/>
      <c r="BH271" s="16"/>
      <c r="BI271" s="16"/>
    </row>
    <row r="272" spans="1:61" ht="16.899999999999999">
      <c r="A272" s="36">
        <v>271</v>
      </c>
      <c r="B272" s="35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5"/>
      <c r="P272" s="33"/>
      <c r="Q272" s="33"/>
      <c r="R272" s="158"/>
      <c r="S272" s="158"/>
      <c r="T272" s="159">
        <f t="shared" si="44"/>
        <v>0</v>
      </c>
      <c r="U272" s="30"/>
      <c r="V272" s="30"/>
      <c r="W272" s="30"/>
      <c r="X272" s="30"/>
      <c r="Y272" s="238"/>
      <c r="Z272" s="242"/>
      <c r="AA272" s="33"/>
      <c r="AB272" s="160"/>
      <c r="AC272" s="161"/>
      <c r="AD272" s="162"/>
      <c r="AE272" s="163"/>
      <c r="AF272" s="23">
        <f t="shared" si="49"/>
        <v>0</v>
      </c>
      <c r="AG272" s="161">
        <f t="shared" si="53"/>
        <v>0</v>
      </c>
      <c r="AH272" s="164">
        <f t="shared" si="45"/>
        <v>0</v>
      </c>
      <c r="AI272" s="23"/>
      <c r="AJ272" s="23"/>
      <c r="AK272" s="165"/>
      <c r="AL272" s="161"/>
      <c r="AM272" s="166"/>
      <c r="AN272" s="161"/>
      <c r="AO272" s="166"/>
      <c r="AP272" s="161"/>
      <c r="AQ272" s="161"/>
      <c r="AR272" s="161"/>
      <c r="AS272" s="167">
        <v>35000</v>
      </c>
      <c r="AT272" s="167">
        <v>30000</v>
      </c>
      <c r="AU272" s="167"/>
      <c r="AV272" s="167"/>
      <c r="AW272" s="167"/>
      <c r="AX272" s="167">
        <f t="shared" si="54"/>
        <v>65000</v>
      </c>
      <c r="AY272" s="168">
        <f t="shared" si="50"/>
        <v>-65000</v>
      </c>
      <c r="AZ272" s="168">
        <f t="shared" si="51"/>
        <v>-65000</v>
      </c>
      <c r="BA272" s="168">
        <f t="shared" si="52"/>
        <v>0</v>
      </c>
      <c r="BB272" s="168">
        <f t="shared" si="46"/>
        <v>-32500</v>
      </c>
      <c r="BC272" s="168">
        <f t="shared" si="47"/>
        <v>-29250</v>
      </c>
      <c r="BD272" s="169">
        <v>50000</v>
      </c>
      <c r="BE272" s="169"/>
      <c r="BF272" s="168">
        <f t="shared" si="48"/>
        <v>-79250</v>
      </c>
      <c r="BG272" s="33"/>
      <c r="BH272" s="16"/>
      <c r="BI272" s="16"/>
    </row>
    <row r="273" spans="1:61" ht="16.899999999999999">
      <c r="A273" s="36">
        <v>272</v>
      </c>
      <c r="B273" s="35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5"/>
      <c r="P273" s="33"/>
      <c r="Q273" s="33"/>
      <c r="R273" s="158"/>
      <c r="S273" s="158"/>
      <c r="T273" s="159">
        <f t="shared" si="44"/>
        <v>0</v>
      </c>
      <c r="U273" s="30"/>
      <c r="V273" s="30"/>
      <c r="W273" s="30"/>
      <c r="X273" s="30"/>
      <c r="Y273" s="238"/>
      <c r="Z273" s="242"/>
      <c r="AA273" s="33"/>
      <c r="AB273" s="160"/>
      <c r="AC273" s="161"/>
      <c r="AD273" s="162"/>
      <c r="AE273" s="163"/>
      <c r="AF273" s="23">
        <f t="shared" si="49"/>
        <v>0</v>
      </c>
      <c r="AG273" s="161">
        <f t="shared" si="53"/>
        <v>0</v>
      </c>
      <c r="AH273" s="164">
        <f t="shared" si="45"/>
        <v>0</v>
      </c>
      <c r="AI273" s="23"/>
      <c r="AJ273" s="23"/>
      <c r="AK273" s="165"/>
      <c r="AL273" s="161"/>
      <c r="AM273" s="166"/>
      <c r="AN273" s="161"/>
      <c r="AO273" s="166"/>
      <c r="AP273" s="161"/>
      <c r="AQ273" s="161"/>
      <c r="AR273" s="161"/>
      <c r="AS273" s="167">
        <v>35000</v>
      </c>
      <c r="AT273" s="167">
        <v>30000</v>
      </c>
      <c r="AU273" s="167"/>
      <c r="AV273" s="167"/>
      <c r="AW273" s="167"/>
      <c r="AX273" s="167">
        <f t="shared" si="54"/>
        <v>65000</v>
      </c>
      <c r="AY273" s="168">
        <f t="shared" si="50"/>
        <v>-65000</v>
      </c>
      <c r="AZ273" s="168">
        <f t="shared" si="51"/>
        <v>-65000</v>
      </c>
      <c r="BA273" s="168">
        <f t="shared" si="52"/>
        <v>0</v>
      </c>
      <c r="BB273" s="168">
        <f t="shared" si="46"/>
        <v>-32500</v>
      </c>
      <c r="BC273" s="168">
        <f t="shared" si="47"/>
        <v>-29250</v>
      </c>
      <c r="BD273" s="169">
        <v>50000</v>
      </c>
      <c r="BE273" s="169"/>
      <c r="BF273" s="168">
        <f t="shared" si="48"/>
        <v>-79250</v>
      </c>
      <c r="BG273" s="33"/>
      <c r="BH273" s="16"/>
      <c r="BI273" s="16"/>
    </row>
    <row r="274" spans="1:61" ht="16.899999999999999">
      <c r="A274" s="36">
        <v>273</v>
      </c>
      <c r="B274" s="35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5"/>
      <c r="P274" s="33"/>
      <c r="Q274" s="33"/>
      <c r="R274" s="158"/>
      <c r="S274" s="158"/>
      <c r="T274" s="159">
        <f t="shared" si="44"/>
        <v>0</v>
      </c>
      <c r="U274" s="30"/>
      <c r="V274" s="30"/>
      <c r="W274" s="30"/>
      <c r="X274" s="30"/>
      <c r="Y274" s="238"/>
      <c r="Z274" s="242"/>
      <c r="AA274" s="33"/>
      <c r="AB274" s="160"/>
      <c r="AC274" s="161"/>
      <c r="AD274" s="162"/>
      <c r="AE274" s="163"/>
      <c r="AF274" s="23">
        <f t="shared" si="49"/>
        <v>0</v>
      </c>
      <c r="AG274" s="161">
        <f t="shared" si="53"/>
        <v>0</v>
      </c>
      <c r="AH274" s="164">
        <f t="shared" si="45"/>
        <v>0</v>
      </c>
      <c r="AI274" s="37"/>
      <c r="AJ274" s="37"/>
      <c r="AK274" s="165"/>
      <c r="AL274" s="161"/>
      <c r="AM274" s="166"/>
      <c r="AN274" s="161"/>
      <c r="AO274" s="166"/>
      <c r="AP274" s="161"/>
      <c r="AQ274" s="161"/>
      <c r="AR274" s="161"/>
      <c r="AS274" s="167">
        <v>35000</v>
      </c>
      <c r="AT274" s="167">
        <v>30000</v>
      </c>
      <c r="AU274" s="167"/>
      <c r="AV274" s="167"/>
      <c r="AW274" s="167"/>
      <c r="AX274" s="167">
        <f t="shared" si="54"/>
        <v>65000</v>
      </c>
      <c r="AY274" s="168">
        <f t="shared" si="50"/>
        <v>-65000</v>
      </c>
      <c r="AZ274" s="168">
        <f t="shared" si="51"/>
        <v>-65000</v>
      </c>
      <c r="BA274" s="168">
        <f t="shared" si="52"/>
        <v>0</v>
      </c>
      <c r="BB274" s="168">
        <f t="shared" si="46"/>
        <v>-32500</v>
      </c>
      <c r="BC274" s="168">
        <f t="shared" si="47"/>
        <v>-29250</v>
      </c>
      <c r="BD274" s="169">
        <v>50000</v>
      </c>
      <c r="BE274" s="169"/>
      <c r="BF274" s="168">
        <f t="shared" si="48"/>
        <v>-79250</v>
      </c>
      <c r="BG274" s="33"/>
      <c r="BH274" s="16"/>
      <c r="BI274" s="16"/>
    </row>
    <row r="275" spans="1:61" ht="16.899999999999999">
      <c r="A275" s="36">
        <v>274</v>
      </c>
      <c r="B275" s="35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5"/>
      <c r="P275" s="33"/>
      <c r="Q275" s="33"/>
      <c r="R275" s="158"/>
      <c r="S275" s="158"/>
      <c r="T275" s="159">
        <f t="shared" si="44"/>
        <v>0</v>
      </c>
      <c r="U275" s="30"/>
      <c r="V275" s="30"/>
      <c r="W275" s="30"/>
      <c r="X275" s="30"/>
      <c r="Y275" s="238"/>
      <c r="Z275" s="242"/>
      <c r="AA275" s="33"/>
      <c r="AB275" s="160"/>
      <c r="AC275" s="161"/>
      <c r="AD275" s="162"/>
      <c r="AE275" s="163"/>
      <c r="AF275" s="23">
        <f t="shared" si="49"/>
        <v>0</v>
      </c>
      <c r="AG275" s="161">
        <f t="shared" si="53"/>
        <v>0</v>
      </c>
      <c r="AH275" s="164">
        <f t="shared" si="45"/>
        <v>0</v>
      </c>
      <c r="AI275" s="23"/>
      <c r="AJ275" s="23"/>
      <c r="AK275" s="165"/>
      <c r="AL275" s="161"/>
      <c r="AM275" s="166"/>
      <c r="AN275" s="161"/>
      <c r="AO275" s="166"/>
      <c r="AP275" s="161"/>
      <c r="AQ275" s="161"/>
      <c r="AR275" s="161"/>
      <c r="AS275" s="167">
        <v>35000</v>
      </c>
      <c r="AT275" s="167">
        <v>30000</v>
      </c>
      <c r="AU275" s="167"/>
      <c r="AV275" s="167"/>
      <c r="AW275" s="167"/>
      <c r="AX275" s="167">
        <f t="shared" si="54"/>
        <v>65000</v>
      </c>
      <c r="AY275" s="168">
        <f t="shared" si="50"/>
        <v>-65000</v>
      </c>
      <c r="AZ275" s="168">
        <f t="shared" si="51"/>
        <v>-65000</v>
      </c>
      <c r="BA275" s="168">
        <f t="shared" si="52"/>
        <v>0</v>
      </c>
      <c r="BB275" s="168">
        <f t="shared" si="46"/>
        <v>-32500</v>
      </c>
      <c r="BC275" s="168">
        <f t="shared" si="47"/>
        <v>-29250</v>
      </c>
      <c r="BD275" s="169">
        <v>50000</v>
      </c>
      <c r="BE275" s="169"/>
      <c r="BF275" s="168">
        <f t="shared" si="48"/>
        <v>-79250</v>
      </c>
      <c r="BG275" s="33"/>
      <c r="BH275" s="16"/>
      <c r="BI275" s="16"/>
    </row>
    <row r="276" spans="1:61" ht="16.899999999999999">
      <c r="A276" s="36">
        <v>275</v>
      </c>
      <c r="B276" s="35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5"/>
      <c r="P276" s="33"/>
      <c r="Q276" s="33"/>
      <c r="R276" s="158"/>
      <c r="S276" s="158"/>
      <c r="T276" s="159">
        <f t="shared" si="44"/>
        <v>0</v>
      </c>
      <c r="U276" s="30"/>
      <c r="V276" s="30"/>
      <c r="W276" s="30"/>
      <c r="X276" s="30"/>
      <c r="Y276" s="238"/>
      <c r="Z276" s="242"/>
      <c r="AA276" s="33"/>
      <c r="AB276" s="160"/>
      <c r="AC276" s="161"/>
      <c r="AD276" s="162"/>
      <c r="AE276" s="163"/>
      <c r="AF276" s="23">
        <f t="shared" si="49"/>
        <v>0</v>
      </c>
      <c r="AG276" s="161">
        <f t="shared" si="53"/>
        <v>0</v>
      </c>
      <c r="AH276" s="164">
        <f t="shared" si="45"/>
        <v>0</v>
      </c>
      <c r="AI276" s="23"/>
      <c r="AJ276" s="23"/>
      <c r="AK276" s="165"/>
      <c r="AL276" s="161"/>
      <c r="AM276" s="166"/>
      <c r="AN276" s="161"/>
      <c r="AO276" s="166"/>
      <c r="AP276" s="161"/>
      <c r="AQ276" s="161"/>
      <c r="AR276" s="161"/>
      <c r="AS276" s="167">
        <v>35000</v>
      </c>
      <c r="AT276" s="167">
        <v>30000</v>
      </c>
      <c r="AU276" s="167"/>
      <c r="AV276" s="167"/>
      <c r="AW276" s="167"/>
      <c r="AX276" s="167">
        <f t="shared" si="54"/>
        <v>65000</v>
      </c>
      <c r="AY276" s="168">
        <f t="shared" si="50"/>
        <v>-65000</v>
      </c>
      <c r="AZ276" s="168">
        <f t="shared" si="51"/>
        <v>-65000</v>
      </c>
      <c r="BA276" s="168">
        <f t="shared" si="52"/>
        <v>0</v>
      </c>
      <c r="BB276" s="168">
        <f t="shared" si="46"/>
        <v>-32500</v>
      </c>
      <c r="BC276" s="168">
        <f t="shared" si="47"/>
        <v>-29250</v>
      </c>
      <c r="BD276" s="169">
        <v>50000</v>
      </c>
      <c r="BE276" s="169"/>
      <c r="BF276" s="168">
        <f t="shared" si="48"/>
        <v>-79250</v>
      </c>
      <c r="BG276" s="33"/>
      <c r="BH276" s="16"/>
      <c r="BI276" s="16"/>
    </row>
    <row r="277" spans="1:61" ht="16.5" customHeight="1">
      <c r="A277" s="36">
        <v>276</v>
      </c>
      <c r="B277" s="35"/>
      <c r="C277" s="33"/>
      <c r="D277" s="33"/>
      <c r="E277" s="33"/>
      <c r="F277" s="38"/>
      <c r="G277" s="38"/>
      <c r="H277" s="38"/>
      <c r="I277" s="38"/>
      <c r="J277" s="38"/>
      <c r="K277" s="38"/>
      <c r="L277" s="33"/>
      <c r="M277" s="33"/>
      <c r="N277" s="38"/>
      <c r="O277" s="33"/>
      <c r="P277" s="38"/>
      <c r="Q277" s="216"/>
      <c r="R277" s="158"/>
      <c r="S277" s="160"/>
      <c r="T277" s="159">
        <f t="shared" si="44"/>
        <v>0</v>
      </c>
      <c r="U277" s="30"/>
      <c r="V277" s="30"/>
      <c r="W277" s="30"/>
      <c r="X277" s="30"/>
      <c r="Y277" s="238"/>
      <c r="Z277" s="242"/>
      <c r="AA277" s="38"/>
      <c r="AB277" s="160"/>
      <c r="AC277" s="161"/>
      <c r="AD277" s="162"/>
      <c r="AE277" s="163"/>
      <c r="AF277" s="23">
        <f t="shared" si="49"/>
        <v>0</v>
      </c>
      <c r="AG277" s="161">
        <f t="shared" si="53"/>
        <v>0</v>
      </c>
      <c r="AH277" s="164">
        <f t="shared" si="45"/>
        <v>0</v>
      </c>
      <c r="AI277" s="37"/>
      <c r="AJ277" s="37"/>
      <c r="AK277" s="165"/>
      <c r="AL277" s="161"/>
      <c r="AM277" s="166"/>
      <c r="AN277" s="170"/>
      <c r="AO277" s="166"/>
      <c r="AP277" s="161"/>
      <c r="AQ277" s="161"/>
      <c r="AR277" s="161"/>
      <c r="AS277" s="167">
        <v>35000</v>
      </c>
      <c r="AT277" s="167">
        <v>30000</v>
      </c>
      <c r="AU277" s="167"/>
      <c r="AV277" s="167"/>
      <c r="AW277" s="171"/>
      <c r="AX277" s="167">
        <f t="shared" si="54"/>
        <v>65000</v>
      </c>
      <c r="AY277" s="168">
        <f t="shared" si="50"/>
        <v>-65000</v>
      </c>
      <c r="AZ277" s="168">
        <f t="shared" si="51"/>
        <v>-65000</v>
      </c>
      <c r="BA277" s="168">
        <f t="shared" si="52"/>
        <v>0</v>
      </c>
      <c r="BB277" s="168">
        <f t="shared" si="46"/>
        <v>-32500</v>
      </c>
      <c r="BC277" s="168">
        <f t="shared" si="47"/>
        <v>-29250</v>
      </c>
      <c r="BD277" s="169">
        <v>50000</v>
      </c>
      <c r="BE277" s="172"/>
      <c r="BF277" s="168">
        <f t="shared" si="48"/>
        <v>-79250</v>
      </c>
      <c r="BG277" s="33"/>
      <c r="BH277" s="16"/>
      <c r="BI277" s="16"/>
    </row>
    <row r="278" spans="1:61" ht="16.899999999999999">
      <c r="A278" s="36">
        <v>277</v>
      </c>
      <c r="B278" s="35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5"/>
      <c r="P278" s="33"/>
      <c r="Q278" s="33"/>
      <c r="R278" s="158"/>
      <c r="S278" s="158"/>
      <c r="T278" s="159">
        <f t="shared" si="44"/>
        <v>0</v>
      </c>
      <c r="U278" s="30"/>
      <c r="V278" s="30"/>
      <c r="W278" s="30"/>
      <c r="X278" s="30"/>
      <c r="Y278" s="238"/>
      <c r="Z278" s="242"/>
      <c r="AA278" s="33"/>
      <c r="AB278" s="160"/>
      <c r="AC278" s="161"/>
      <c r="AD278" s="162"/>
      <c r="AE278" s="163"/>
      <c r="AF278" s="23">
        <f t="shared" si="49"/>
        <v>0</v>
      </c>
      <c r="AG278" s="161">
        <f t="shared" si="53"/>
        <v>0</v>
      </c>
      <c r="AH278" s="164">
        <f t="shared" si="45"/>
        <v>0</v>
      </c>
      <c r="AI278" s="23"/>
      <c r="AJ278" s="23"/>
      <c r="AK278" s="165"/>
      <c r="AL278" s="161"/>
      <c r="AM278" s="166"/>
      <c r="AN278" s="161"/>
      <c r="AO278" s="166"/>
      <c r="AP278" s="161"/>
      <c r="AQ278" s="161"/>
      <c r="AR278" s="161"/>
      <c r="AS278" s="167">
        <v>35000</v>
      </c>
      <c r="AT278" s="167">
        <v>30000</v>
      </c>
      <c r="AU278" s="167"/>
      <c r="AV278" s="167"/>
      <c r="AW278" s="167"/>
      <c r="AX278" s="167">
        <f t="shared" si="54"/>
        <v>65000</v>
      </c>
      <c r="AY278" s="168">
        <f t="shared" si="50"/>
        <v>-65000</v>
      </c>
      <c r="AZ278" s="168">
        <f t="shared" si="51"/>
        <v>-65000</v>
      </c>
      <c r="BA278" s="168">
        <f t="shared" si="52"/>
        <v>0</v>
      </c>
      <c r="BB278" s="168">
        <f t="shared" si="46"/>
        <v>-32500</v>
      </c>
      <c r="BC278" s="168">
        <f t="shared" si="47"/>
        <v>-29250</v>
      </c>
      <c r="BD278" s="169">
        <v>50000</v>
      </c>
      <c r="BE278" s="169"/>
      <c r="BF278" s="168">
        <f t="shared" si="48"/>
        <v>-79250</v>
      </c>
      <c r="BG278" s="33"/>
      <c r="BH278" s="16"/>
      <c r="BI278" s="16"/>
    </row>
    <row r="279" spans="1:61" ht="16.899999999999999">
      <c r="A279" s="36">
        <v>278</v>
      </c>
      <c r="B279" s="35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5"/>
      <c r="P279" s="33"/>
      <c r="Q279" s="33"/>
      <c r="R279" s="158"/>
      <c r="S279" s="158"/>
      <c r="T279" s="159">
        <f t="shared" si="44"/>
        <v>0</v>
      </c>
      <c r="U279" s="30"/>
      <c r="V279" s="30"/>
      <c r="W279" s="30"/>
      <c r="X279" s="30"/>
      <c r="Y279" s="238"/>
      <c r="Z279" s="242"/>
      <c r="AA279" s="33"/>
      <c r="AB279" s="160"/>
      <c r="AC279" s="161"/>
      <c r="AD279" s="162"/>
      <c r="AE279" s="163"/>
      <c r="AF279" s="23">
        <f t="shared" si="49"/>
        <v>0</v>
      </c>
      <c r="AG279" s="161">
        <f t="shared" si="53"/>
        <v>0</v>
      </c>
      <c r="AH279" s="164">
        <f t="shared" si="45"/>
        <v>0</v>
      </c>
      <c r="AI279" s="23"/>
      <c r="AJ279" s="23"/>
      <c r="AK279" s="165"/>
      <c r="AL279" s="161"/>
      <c r="AM279" s="166"/>
      <c r="AN279" s="161"/>
      <c r="AO279" s="166"/>
      <c r="AP279" s="161"/>
      <c r="AQ279" s="161"/>
      <c r="AR279" s="161"/>
      <c r="AS279" s="167">
        <v>35000</v>
      </c>
      <c r="AT279" s="167">
        <v>30000</v>
      </c>
      <c r="AU279" s="167"/>
      <c r="AV279" s="167"/>
      <c r="AW279" s="167"/>
      <c r="AX279" s="167">
        <f t="shared" si="54"/>
        <v>65000</v>
      </c>
      <c r="AY279" s="168">
        <f t="shared" si="50"/>
        <v>-65000</v>
      </c>
      <c r="AZ279" s="168">
        <f t="shared" si="51"/>
        <v>-65000</v>
      </c>
      <c r="BA279" s="168">
        <f t="shared" si="52"/>
        <v>0</v>
      </c>
      <c r="BB279" s="168">
        <f t="shared" si="46"/>
        <v>-32500</v>
      </c>
      <c r="BC279" s="168">
        <f t="shared" si="47"/>
        <v>-29250</v>
      </c>
      <c r="BD279" s="169">
        <v>50000</v>
      </c>
      <c r="BE279" s="169"/>
      <c r="BF279" s="168">
        <f t="shared" si="48"/>
        <v>-79250</v>
      </c>
      <c r="BG279" s="33"/>
      <c r="BH279" s="16"/>
      <c r="BI279" s="16"/>
    </row>
    <row r="280" spans="1:61" s="6" customFormat="1" ht="16.899999999999999">
      <c r="A280" s="36">
        <v>279</v>
      </c>
      <c r="B280" s="35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5"/>
      <c r="P280" s="33"/>
      <c r="Q280" s="33"/>
      <c r="R280" s="158"/>
      <c r="S280" s="158"/>
      <c r="T280" s="159">
        <f t="shared" si="44"/>
        <v>0</v>
      </c>
      <c r="U280" s="30"/>
      <c r="V280" s="30"/>
      <c r="W280" s="30"/>
      <c r="X280" s="30"/>
      <c r="Y280" s="238"/>
      <c r="Z280" s="242"/>
      <c r="AA280" s="33"/>
      <c r="AB280" s="160"/>
      <c r="AC280" s="161"/>
      <c r="AD280" s="162"/>
      <c r="AE280" s="163"/>
      <c r="AF280" s="23">
        <f t="shared" si="49"/>
        <v>0</v>
      </c>
      <c r="AG280" s="161">
        <f t="shared" si="53"/>
        <v>0</v>
      </c>
      <c r="AH280" s="164">
        <f t="shared" si="45"/>
        <v>0</v>
      </c>
      <c r="AI280" s="23"/>
      <c r="AJ280" s="23"/>
      <c r="AK280" s="165"/>
      <c r="AL280" s="161"/>
      <c r="AM280" s="166"/>
      <c r="AN280" s="161"/>
      <c r="AO280" s="166"/>
      <c r="AP280" s="161"/>
      <c r="AQ280" s="161"/>
      <c r="AR280" s="161"/>
      <c r="AS280" s="167">
        <v>35000</v>
      </c>
      <c r="AT280" s="167">
        <v>30000</v>
      </c>
      <c r="AU280" s="167"/>
      <c r="AV280" s="167"/>
      <c r="AW280" s="167"/>
      <c r="AX280" s="167">
        <f t="shared" si="54"/>
        <v>65000</v>
      </c>
      <c r="AY280" s="168">
        <f t="shared" si="50"/>
        <v>-65000</v>
      </c>
      <c r="AZ280" s="168">
        <f t="shared" si="51"/>
        <v>-65000</v>
      </c>
      <c r="BA280" s="168">
        <f t="shared" si="52"/>
        <v>0</v>
      </c>
      <c r="BB280" s="168">
        <f t="shared" si="46"/>
        <v>-32500</v>
      </c>
      <c r="BC280" s="168">
        <f t="shared" si="47"/>
        <v>-29250</v>
      </c>
      <c r="BD280" s="169">
        <v>50000</v>
      </c>
      <c r="BE280" s="169"/>
      <c r="BF280" s="168">
        <f t="shared" si="48"/>
        <v>-79250</v>
      </c>
      <c r="BG280" s="33"/>
      <c r="BH280" s="15"/>
      <c r="BI280" s="15"/>
    </row>
    <row r="281" spans="1:61" s="6" customFormat="1" ht="16.899999999999999">
      <c r="A281" s="36">
        <v>280</v>
      </c>
      <c r="B281" s="35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5"/>
      <c r="P281" s="33"/>
      <c r="Q281" s="33"/>
      <c r="R281" s="158"/>
      <c r="S281" s="158"/>
      <c r="T281" s="159">
        <f t="shared" si="44"/>
        <v>0</v>
      </c>
      <c r="U281" s="30"/>
      <c r="V281" s="30"/>
      <c r="W281" s="30"/>
      <c r="X281" s="30"/>
      <c r="Y281" s="238"/>
      <c r="Z281" s="242"/>
      <c r="AA281" s="33"/>
      <c r="AB281" s="160"/>
      <c r="AC281" s="161"/>
      <c r="AD281" s="162"/>
      <c r="AE281" s="163"/>
      <c r="AF281" s="23">
        <f t="shared" si="49"/>
        <v>0</v>
      </c>
      <c r="AG281" s="161">
        <f t="shared" si="53"/>
        <v>0</v>
      </c>
      <c r="AH281" s="164">
        <f t="shared" si="45"/>
        <v>0</v>
      </c>
      <c r="AI281" s="23"/>
      <c r="AJ281" s="23"/>
      <c r="AK281" s="165"/>
      <c r="AL281" s="161"/>
      <c r="AM281" s="166"/>
      <c r="AN281" s="161"/>
      <c r="AO281" s="166"/>
      <c r="AP281" s="161"/>
      <c r="AQ281" s="161"/>
      <c r="AR281" s="161"/>
      <c r="AS281" s="167">
        <v>35000</v>
      </c>
      <c r="AT281" s="167">
        <v>30000</v>
      </c>
      <c r="AU281" s="167"/>
      <c r="AV281" s="167"/>
      <c r="AW281" s="167"/>
      <c r="AX281" s="167">
        <f t="shared" si="54"/>
        <v>65000</v>
      </c>
      <c r="AY281" s="168">
        <f t="shared" si="50"/>
        <v>-65000</v>
      </c>
      <c r="AZ281" s="168">
        <f t="shared" si="51"/>
        <v>-65000</v>
      </c>
      <c r="BA281" s="168">
        <f t="shared" si="52"/>
        <v>0</v>
      </c>
      <c r="BB281" s="168">
        <f t="shared" si="46"/>
        <v>-32500</v>
      </c>
      <c r="BC281" s="168">
        <f t="shared" si="47"/>
        <v>-29250</v>
      </c>
      <c r="BD281" s="169">
        <v>50000</v>
      </c>
      <c r="BE281" s="169"/>
      <c r="BF281" s="168">
        <f t="shared" si="48"/>
        <v>-79250</v>
      </c>
      <c r="BG281" s="33"/>
      <c r="BH281" s="15"/>
      <c r="BI281" s="15"/>
    </row>
    <row r="282" spans="1:61" s="6" customFormat="1" ht="16.899999999999999">
      <c r="A282" s="36">
        <v>281</v>
      </c>
      <c r="B282" s="35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5"/>
      <c r="P282" s="33"/>
      <c r="Q282" s="33"/>
      <c r="R282" s="158"/>
      <c r="S282" s="158"/>
      <c r="T282" s="159">
        <f t="shared" si="44"/>
        <v>0</v>
      </c>
      <c r="U282" s="30"/>
      <c r="V282" s="30"/>
      <c r="W282" s="30"/>
      <c r="X282" s="30"/>
      <c r="Y282" s="238"/>
      <c r="Z282" s="242"/>
      <c r="AA282" s="33"/>
      <c r="AB282" s="160"/>
      <c r="AC282" s="161"/>
      <c r="AD282" s="162"/>
      <c r="AE282" s="163"/>
      <c r="AF282" s="23">
        <f t="shared" si="49"/>
        <v>0</v>
      </c>
      <c r="AG282" s="161">
        <f t="shared" si="53"/>
        <v>0</v>
      </c>
      <c r="AH282" s="164">
        <f t="shared" si="45"/>
        <v>0</v>
      </c>
      <c r="AI282" s="23"/>
      <c r="AJ282" s="23"/>
      <c r="AK282" s="165"/>
      <c r="AL282" s="161"/>
      <c r="AM282" s="166"/>
      <c r="AN282" s="161"/>
      <c r="AO282" s="166"/>
      <c r="AP282" s="161"/>
      <c r="AQ282" s="161"/>
      <c r="AR282" s="161"/>
      <c r="AS282" s="167">
        <v>35000</v>
      </c>
      <c r="AT282" s="167">
        <v>30000</v>
      </c>
      <c r="AU282" s="167"/>
      <c r="AV282" s="167"/>
      <c r="AW282" s="167"/>
      <c r="AX282" s="167">
        <f t="shared" si="54"/>
        <v>65000</v>
      </c>
      <c r="AY282" s="168">
        <f t="shared" si="50"/>
        <v>-65000</v>
      </c>
      <c r="AZ282" s="168">
        <f t="shared" si="51"/>
        <v>-65000</v>
      </c>
      <c r="BA282" s="168">
        <f t="shared" si="52"/>
        <v>0</v>
      </c>
      <c r="BB282" s="168">
        <f t="shared" si="46"/>
        <v>-32500</v>
      </c>
      <c r="BC282" s="168">
        <f t="shared" si="47"/>
        <v>-29250</v>
      </c>
      <c r="BD282" s="169">
        <v>50000</v>
      </c>
      <c r="BE282" s="169"/>
      <c r="BF282" s="168">
        <f t="shared" si="48"/>
        <v>-79250</v>
      </c>
      <c r="BG282" s="33"/>
      <c r="BH282" s="15"/>
      <c r="BI282" s="15"/>
    </row>
    <row r="283" spans="1:61" s="6" customFormat="1" ht="16.899999999999999">
      <c r="A283" s="36">
        <v>282</v>
      </c>
      <c r="B283" s="35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5"/>
      <c r="P283" s="33"/>
      <c r="Q283" s="33"/>
      <c r="R283" s="158"/>
      <c r="S283" s="158"/>
      <c r="T283" s="159">
        <f t="shared" si="44"/>
        <v>0</v>
      </c>
      <c r="U283" s="30"/>
      <c r="V283" s="30"/>
      <c r="W283" s="30"/>
      <c r="X283" s="30"/>
      <c r="Y283" s="238"/>
      <c r="Z283" s="242"/>
      <c r="AA283" s="33"/>
      <c r="AB283" s="160"/>
      <c r="AC283" s="161"/>
      <c r="AD283" s="162"/>
      <c r="AE283" s="163"/>
      <c r="AF283" s="23">
        <f t="shared" si="49"/>
        <v>0</v>
      </c>
      <c r="AG283" s="161">
        <f t="shared" si="53"/>
        <v>0</v>
      </c>
      <c r="AH283" s="164">
        <f t="shared" si="45"/>
        <v>0</v>
      </c>
      <c r="AI283" s="23"/>
      <c r="AJ283" s="23"/>
      <c r="AK283" s="165"/>
      <c r="AL283" s="161"/>
      <c r="AM283" s="166"/>
      <c r="AN283" s="161"/>
      <c r="AO283" s="166"/>
      <c r="AP283" s="161"/>
      <c r="AQ283" s="161"/>
      <c r="AR283" s="161"/>
      <c r="AS283" s="167">
        <v>35000</v>
      </c>
      <c r="AT283" s="167">
        <v>30000</v>
      </c>
      <c r="AU283" s="167"/>
      <c r="AV283" s="167"/>
      <c r="AW283" s="167"/>
      <c r="AX283" s="167">
        <f t="shared" si="54"/>
        <v>65000</v>
      </c>
      <c r="AY283" s="168">
        <f t="shared" si="50"/>
        <v>-65000</v>
      </c>
      <c r="AZ283" s="168">
        <f t="shared" si="51"/>
        <v>-65000</v>
      </c>
      <c r="BA283" s="168">
        <f t="shared" si="52"/>
        <v>0</v>
      </c>
      <c r="BB283" s="168">
        <f t="shared" si="46"/>
        <v>-32500</v>
      </c>
      <c r="BC283" s="168">
        <f t="shared" si="47"/>
        <v>-29250</v>
      </c>
      <c r="BD283" s="169">
        <v>50000</v>
      </c>
      <c r="BE283" s="169"/>
      <c r="BF283" s="168">
        <f t="shared" si="48"/>
        <v>-79250</v>
      </c>
      <c r="BG283" s="33"/>
      <c r="BH283" s="15"/>
      <c r="BI283" s="15"/>
    </row>
    <row r="284" spans="1:61" s="6" customFormat="1" ht="16.899999999999999">
      <c r="A284" s="36">
        <v>283</v>
      </c>
      <c r="B284" s="35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5"/>
      <c r="P284" s="33"/>
      <c r="Q284" s="33"/>
      <c r="R284" s="158"/>
      <c r="S284" s="158"/>
      <c r="T284" s="159">
        <f t="shared" ref="T284:T347" si="55">R284+S284</f>
        <v>0</v>
      </c>
      <c r="U284" s="30"/>
      <c r="V284" s="30"/>
      <c r="W284" s="30"/>
      <c r="X284" s="30"/>
      <c r="Y284" s="238"/>
      <c r="Z284" s="242"/>
      <c r="AA284" s="33"/>
      <c r="AB284" s="160"/>
      <c r="AC284" s="161"/>
      <c r="AD284" s="162"/>
      <c r="AE284" s="163"/>
      <c r="AF284" s="23">
        <f t="shared" si="49"/>
        <v>0</v>
      </c>
      <c r="AG284" s="161">
        <f t="shared" si="53"/>
        <v>0</v>
      </c>
      <c r="AH284" s="164">
        <f t="shared" ref="AH284:AH347" si="56">SUM(AG284-AF284)</f>
        <v>0</v>
      </c>
      <c r="AI284" s="23"/>
      <c r="AJ284" s="23"/>
      <c r="AK284" s="165"/>
      <c r="AL284" s="161"/>
      <c r="AM284" s="166"/>
      <c r="AN284" s="161"/>
      <c r="AO284" s="166"/>
      <c r="AP284" s="161"/>
      <c r="AQ284" s="161"/>
      <c r="AR284" s="161"/>
      <c r="AS284" s="167">
        <v>35000</v>
      </c>
      <c r="AT284" s="167">
        <v>30000</v>
      </c>
      <c r="AU284" s="167"/>
      <c r="AV284" s="167"/>
      <c r="AW284" s="167"/>
      <c r="AX284" s="167">
        <f t="shared" si="54"/>
        <v>65000</v>
      </c>
      <c r="AY284" s="168">
        <f t="shared" si="50"/>
        <v>-65000</v>
      </c>
      <c r="AZ284" s="168">
        <f t="shared" si="51"/>
        <v>-65000</v>
      </c>
      <c r="BA284" s="168">
        <f t="shared" si="52"/>
        <v>0</v>
      </c>
      <c r="BB284" s="168">
        <f t="shared" ref="BB284:BB347" si="57">SUM(AZ284:BA284)/2</f>
        <v>-32500</v>
      </c>
      <c r="BC284" s="168">
        <f t="shared" ref="BC284:BC347" si="58">BB284-(BB284*10%)</f>
        <v>-29250</v>
      </c>
      <c r="BD284" s="169">
        <v>50000</v>
      </c>
      <c r="BE284" s="169"/>
      <c r="BF284" s="168">
        <f t="shared" si="48"/>
        <v>-79250</v>
      </c>
      <c r="BG284" s="33"/>
      <c r="BH284" s="15"/>
      <c r="BI284" s="15"/>
    </row>
    <row r="285" spans="1:61" s="6" customFormat="1" ht="16.899999999999999">
      <c r="A285" s="36">
        <v>284</v>
      </c>
      <c r="B285" s="35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5"/>
      <c r="P285" s="33"/>
      <c r="Q285" s="33"/>
      <c r="R285" s="158"/>
      <c r="S285" s="158"/>
      <c r="T285" s="159">
        <f t="shared" si="55"/>
        <v>0</v>
      </c>
      <c r="U285" s="30"/>
      <c r="V285" s="30"/>
      <c r="W285" s="30"/>
      <c r="X285" s="30"/>
      <c r="Y285" s="238"/>
      <c r="Z285" s="242"/>
      <c r="AA285" s="33"/>
      <c r="AB285" s="160"/>
      <c r="AC285" s="161"/>
      <c r="AD285" s="162"/>
      <c r="AE285" s="163"/>
      <c r="AF285" s="23">
        <f t="shared" si="49"/>
        <v>0</v>
      </c>
      <c r="AG285" s="161">
        <f t="shared" si="53"/>
        <v>0</v>
      </c>
      <c r="AH285" s="164">
        <f t="shared" si="56"/>
        <v>0</v>
      </c>
      <c r="AI285" s="23"/>
      <c r="AJ285" s="23"/>
      <c r="AK285" s="165"/>
      <c r="AL285" s="161"/>
      <c r="AM285" s="166"/>
      <c r="AN285" s="161"/>
      <c r="AO285" s="166"/>
      <c r="AP285" s="161"/>
      <c r="AQ285" s="161"/>
      <c r="AR285" s="161"/>
      <c r="AS285" s="167">
        <v>35000</v>
      </c>
      <c r="AT285" s="167">
        <v>30000</v>
      </c>
      <c r="AU285" s="167"/>
      <c r="AV285" s="167"/>
      <c r="AW285" s="167"/>
      <c r="AX285" s="167">
        <f t="shared" si="54"/>
        <v>65000</v>
      </c>
      <c r="AY285" s="168">
        <f t="shared" si="50"/>
        <v>-65000</v>
      </c>
      <c r="AZ285" s="168">
        <f t="shared" si="51"/>
        <v>-65000</v>
      </c>
      <c r="BA285" s="168">
        <f t="shared" si="52"/>
        <v>0</v>
      </c>
      <c r="BB285" s="168">
        <f t="shared" si="57"/>
        <v>-32500</v>
      </c>
      <c r="BC285" s="168">
        <f t="shared" si="58"/>
        <v>-29250</v>
      </c>
      <c r="BD285" s="169">
        <v>50000</v>
      </c>
      <c r="BE285" s="169"/>
      <c r="BF285" s="168">
        <f t="shared" si="48"/>
        <v>-79250</v>
      </c>
      <c r="BG285" s="33"/>
      <c r="BH285" s="15"/>
      <c r="BI285" s="15"/>
    </row>
    <row r="286" spans="1:61" s="6" customFormat="1" ht="16.899999999999999">
      <c r="A286" s="36">
        <v>285</v>
      </c>
      <c r="B286" s="35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5"/>
      <c r="P286" s="33"/>
      <c r="Q286" s="33"/>
      <c r="R286" s="158"/>
      <c r="S286" s="158"/>
      <c r="T286" s="159">
        <f t="shared" si="55"/>
        <v>0</v>
      </c>
      <c r="U286" s="30"/>
      <c r="V286" s="30"/>
      <c r="W286" s="30"/>
      <c r="X286" s="30"/>
      <c r="Y286" s="238"/>
      <c r="Z286" s="242"/>
      <c r="AA286" s="33"/>
      <c r="AB286" s="160"/>
      <c r="AC286" s="161"/>
      <c r="AD286" s="162"/>
      <c r="AE286" s="163"/>
      <c r="AF286" s="23">
        <f t="shared" si="49"/>
        <v>0</v>
      </c>
      <c r="AG286" s="161">
        <f t="shared" si="53"/>
        <v>0</v>
      </c>
      <c r="AH286" s="164">
        <f t="shared" si="56"/>
        <v>0</v>
      </c>
      <c r="AI286" s="23"/>
      <c r="AJ286" s="23"/>
      <c r="AK286" s="165"/>
      <c r="AL286" s="161"/>
      <c r="AM286" s="166"/>
      <c r="AN286" s="161"/>
      <c r="AO286" s="166"/>
      <c r="AP286" s="161"/>
      <c r="AQ286" s="161"/>
      <c r="AR286" s="161"/>
      <c r="AS286" s="167">
        <v>35000</v>
      </c>
      <c r="AT286" s="167">
        <v>30000</v>
      </c>
      <c r="AU286" s="167"/>
      <c r="AV286" s="167"/>
      <c r="AW286" s="167"/>
      <c r="AX286" s="167">
        <f t="shared" si="54"/>
        <v>65000</v>
      </c>
      <c r="AY286" s="168">
        <f t="shared" si="50"/>
        <v>-65000</v>
      </c>
      <c r="AZ286" s="168">
        <f t="shared" si="51"/>
        <v>-65000</v>
      </c>
      <c r="BA286" s="168">
        <f t="shared" si="52"/>
        <v>0</v>
      </c>
      <c r="BB286" s="168">
        <f t="shared" si="57"/>
        <v>-32500</v>
      </c>
      <c r="BC286" s="168">
        <f t="shared" si="58"/>
        <v>-29250</v>
      </c>
      <c r="BD286" s="169">
        <v>50000</v>
      </c>
      <c r="BE286" s="169"/>
      <c r="BF286" s="168">
        <f t="shared" si="48"/>
        <v>-79250</v>
      </c>
      <c r="BG286" s="33"/>
      <c r="BH286" s="15"/>
      <c r="BI286" s="15"/>
    </row>
    <row r="287" spans="1:61" s="6" customFormat="1" ht="16.899999999999999">
      <c r="A287" s="36">
        <v>286</v>
      </c>
      <c r="B287" s="35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5"/>
      <c r="P287" s="33"/>
      <c r="Q287" s="33"/>
      <c r="R287" s="158"/>
      <c r="S287" s="158"/>
      <c r="T287" s="159">
        <f t="shared" si="55"/>
        <v>0</v>
      </c>
      <c r="U287" s="30"/>
      <c r="V287" s="30"/>
      <c r="W287" s="30"/>
      <c r="X287" s="30"/>
      <c r="Y287" s="238"/>
      <c r="Z287" s="242"/>
      <c r="AA287" s="33"/>
      <c r="AB287" s="160"/>
      <c r="AC287" s="161"/>
      <c r="AD287" s="162"/>
      <c r="AE287" s="163"/>
      <c r="AF287" s="23">
        <f t="shared" si="49"/>
        <v>0</v>
      </c>
      <c r="AG287" s="161">
        <f t="shared" si="53"/>
        <v>0</v>
      </c>
      <c r="AH287" s="164">
        <f t="shared" si="56"/>
        <v>0</v>
      </c>
      <c r="AI287" s="23"/>
      <c r="AJ287" s="23"/>
      <c r="AK287" s="165"/>
      <c r="AL287" s="161"/>
      <c r="AM287" s="166"/>
      <c r="AN287" s="161"/>
      <c r="AO287" s="166"/>
      <c r="AP287" s="161"/>
      <c r="AQ287" s="161"/>
      <c r="AR287" s="161"/>
      <c r="AS287" s="167">
        <v>35000</v>
      </c>
      <c r="AT287" s="167">
        <v>30000</v>
      </c>
      <c r="AU287" s="167"/>
      <c r="AV287" s="167"/>
      <c r="AW287" s="167"/>
      <c r="AX287" s="167">
        <f t="shared" si="54"/>
        <v>65000</v>
      </c>
      <c r="AY287" s="168">
        <f t="shared" si="50"/>
        <v>-65000</v>
      </c>
      <c r="AZ287" s="168">
        <f t="shared" si="51"/>
        <v>-65000</v>
      </c>
      <c r="BA287" s="168">
        <f t="shared" si="52"/>
        <v>0</v>
      </c>
      <c r="BB287" s="168">
        <f t="shared" si="57"/>
        <v>-32500</v>
      </c>
      <c r="BC287" s="168">
        <f t="shared" si="58"/>
        <v>-29250</v>
      </c>
      <c r="BD287" s="169">
        <v>50000</v>
      </c>
      <c r="BE287" s="169"/>
      <c r="BF287" s="168">
        <f t="shared" si="48"/>
        <v>-79250</v>
      </c>
      <c r="BG287" s="33"/>
      <c r="BH287" s="15"/>
      <c r="BI287" s="15"/>
    </row>
    <row r="288" spans="1:61" s="6" customFormat="1" ht="16.899999999999999">
      <c r="A288" s="36">
        <v>287</v>
      </c>
      <c r="B288" s="35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5"/>
      <c r="P288" s="33"/>
      <c r="Q288" s="33"/>
      <c r="R288" s="158"/>
      <c r="S288" s="158"/>
      <c r="T288" s="159">
        <f t="shared" si="55"/>
        <v>0</v>
      </c>
      <c r="U288" s="30"/>
      <c r="V288" s="30"/>
      <c r="W288" s="30"/>
      <c r="X288" s="30"/>
      <c r="Y288" s="238"/>
      <c r="Z288" s="242"/>
      <c r="AA288" s="33"/>
      <c r="AB288" s="160"/>
      <c r="AC288" s="161"/>
      <c r="AD288" s="162"/>
      <c r="AE288" s="163"/>
      <c r="AF288" s="23">
        <f t="shared" si="49"/>
        <v>0</v>
      </c>
      <c r="AG288" s="161">
        <f t="shared" si="53"/>
        <v>0</v>
      </c>
      <c r="AH288" s="164">
        <f t="shared" si="56"/>
        <v>0</v>
      </c>
      <c r="AI288" s="23"/>
      <c r="AJ288" s="23"/>
      <c r="AK288" s="165"/>
      <c r="AL288" s="161"/>
      <c r="AM288" s="166"/>
      <c r="AN288" s="161"/>
      <c r="AO288" s="166"/>
      <c r="AP288" s="161"/>
      <c r="AQ288" s="161"/>
      <c r="AR288" s="161"/>
      <c r="AS288" s="167">
        <v>35000</v>
      </c>
      <c r="AT288" s="167">
        <v>30000</v>
      </c>
      <c r="AU288" s="167"/>
      <c r="AV288" s="167"/>
      <c r="AW288" s="167"/>
      <c r="AX288" s="167">
        <f t="shared" si="54"/>
        <v>65000</v>
      </c>
      <c r="AY288" s="168">
        <f t="shared" si="50"/>
        <v>-65000</v>
      </c>
      <c r="AZ288" s="168">
        <f t="shared" si="51"/>
        <v>-65000</v>
      </c>
      <c r="BA288" s="168">
        <f t="shared" si="52"/>
        <v>0</v>
      </c>
      <c r="BB288" s="168">
        <f t="shared" si="57"/>
        <v>-32500</v>
      </c>
      <c r="BC288" s="168">
        <f t="shared" si="58"/>
        <v>-29250</v>
      </c>
      <c r="BD288" s="169">
        <v>50000</v>
      </c>
      <c r="BE288" s="169"/>
      <c r="BF288" s="168">
        <f t="shared" si="48"/>
        <v>-79250</v>
      </c>
      <c r="BG288" s="33"/>
      <c r="BH288" s="15"/>
      <c r="BI288" s="15"/>
    </row>
    <row r="289" spans="1:61" s="6" customFormat="1" ht="16.899999999999999">
      <c r="A289" s="36">
        <v>288</v>
      </c>
      <c r="B289" s="35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5"/>
      <c r="P289" s="33"/>
      <c r="Q289" s="33"/>
      <c r="R289" s="158"/>
      <c r="S289" s="158"/>
      <c r="T289" s="159">
        <f t="shared" si="55"/>
        <v>0</v>
      </c>
      <c r="U289" s="30"/>
      <c r="V289" s="30"/>
      <c r="W289" s="30"/>
      <c r="X289" s="30"/>
      <c r="Y289" s="238"/>
      <c r="Z289" s="242"/>
      <c r="AA289" s="33"/>
      <c r="AB289" s="160"/>
      <c r="AC289" s="161"/>
      <c r="AD289" s="162"/>
      <c r="AE289" s="163"/>
      <c r="AF289" s="23">
        <f t="shared" si="49"/>
        <v>0</v>
      </c>
      <c r="AG289" s="161">
        <f t="shared" si="53"/>
        <v>0</v>
      </c>
      <c r="AH289" s="164">
        <f t="shared" si="56"/>
        <v>0</v>
      </c>
      <c r="AI289" s="23"/>
      <c r="AJ289" s="23"/>
      <c r="AK289" s="165"/>
      <c r="AL289" s="161"/>
      <c r="AM289" s="166"/>
      <c r="AN289" s="161"/>
      <c r="AO289" s="166"/>
      <c r="AP289" s="161"/>
      <c r="AQ289" s="161"/>
      <c r="AR289" s="161"/>
      <c r="AS289" s="167">
        <v>35000</v>
      </c>
      <c r="AT289" s="167">
        <v>30000</v>
      </c>
      <c r="AU289" s="167"/>
      <c r="AV289" s="167"/>
      <c r="AW289" s="167"/>
      <c r="AX289" s="167">
        <f t="shared" si="54"/>
        <v>65000</v>
      </c>
      <c r="AY289" s="168">
        <f t="shared" si="50"/>
        <v>-65000</v>
      </c>
      <c r="AZ289" s="168">
        <f t="shared" si="51"/>
        <v>-65000</v>
      </c>
      <c r="BA289" s="168">
        <f t="shared" si="52"/>
        <v>0</v>
      </c>
      <c r="BB289" s="168">
        <f t="shared" si="57"/>
        <v>-32500</v>
      </c>
      <c r="BC289" s="168">
        <f t="shared" si="58"/>
        <v>-29250</v>
      </c>
      <c r="BD289" s="169">
        <v>50000</v>
      </c>
      <c r="BE289" s="169"/>
      <c r="BF289" s="168">
        <f t="shared" si="48"/>
        <v>-79250</v>
      </c>
      <c r="BG289" s="33"/>
      <c r="BH289" s="15"/>
      <c r="BI289" s="15"/>
    </row>
    <row r="290" spans="1:61" s="6" customFormat="1" ht="16.899999999999999">
      <c r="A290" s="36">
        <v>289</v>
      </c>
      <c r="B290" s="35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5"/>
      <c r="P290" s="33"/>
      <c r="Q290" s="33"/>
      <c r="R290" s="158"/>
      <c r="S290" s="158"/>
      <c r="T290" s="159">
        <f t="shared" si="55"/>
        <v>0</v>
      </c>
      <c r="U290" s="30"/>
      <c r="V290" s="30"/>
      <c r="W290" s="30"/>
      <c r="X290" s="30"/>
      <c r="Y290" s="238"/>
      <c r="Z290" s="242"/>
      <c r="AA290" s="33"/>
      <c r="AB290" s="160"/>
      <c r="AC290" s="161"/>
      <c r="AD290" s="162"/>
      <c r="AE290" s="163"/>
      <c r="AF290" s="23">
        <f t="shared" si="49"/>
        <v>0</v>
      </c>
      <c r="AG290" s="161">
        <f t="shared" si="53"/>
        <v>0</v>
      </c>
      <c r="AH290" s="164">
        <f t="shared" si="56"/>
        <v>0</v>
      </c>
      <c r="AI290" s="23"/>
      <c r="AJ290" s="23"/>
      <c r="AK290" s="165"/>
      <c r="AL290" s="161"/>
      <c r="AM290" s="166"/>
      <c r="AN290" s="161"/>
      <c r="AO290" s="166"/>
      <c r="AP290" s="161"/>
      <c r="AQ290" s="161"/>
      <c r="AR290" s="161"/>
      <c r="AS290" s="167">
        <v>35000</v>
      </c>
      <c r="AT290" s="167">
        <v>30000</v>
      </c>
      <c r="AU290" s="167"/>
      <c r="AV290" s="167"/>
      <c r="AW290" s="167"/>
      <c r="AX290" s="167">
        <f t="shared" si="54"/>
        <v>65000</v>
      </c>
      <c r="AY290" s="168">
        <f t="shared" si="50"/>
        <v>-65000</v>
      </c>
      <c r="AZ290" s="168">
        <f t="shared" si="51"/>
        <v>-65000</v>
      </c>
      <c r="BA290" s="168">
        <f t="shared" si="52"/>
        <v>0</v>
      </c>
      <c r="BB290" s="168">
        <f t="shared" si="57"/>
        <v>-32500</v>
      </c>
      <c r="BC290" s="168">
        <f t="shared" si="58"/>
        <v>-29250</v>
      </c>
      <c r="BD290" s="169">
        <v>50000</v>
      </c>
      <c r="BE290" s="169"/>
      <c r="BF290" s="168">
        <f t="shared" si="48"/>
        <v>-79250</v>
      </c>
      <c r="BG290" s="33"/>
      <c r="BH290" s="15"/>
      <c r="BI290" s="15"/>
    </row>
    <row r="291" spans="1:61" s="6" customFormat="1" ht="16.899999999999999">
      <c r="A291" s="36">
        <v>290</v>
      </c>
      <c r="B291" s="35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5"/>
      <c r="P291" s="33"/>
      <c r="Q291" s="33"/>
      <c r="R291" s="158"/>
      <c r="S291" s="158"/>
      <c r="T291" s="159">
        <f t="shared" si="55"/>
        <v>0</v>
      </c>
      <c r="U291" s="30"/>
      <c r="V291" s="30"/>
      <c r="W291" s="30"/>
      <c r="X291" s="30"/>
      <c r="Y291" s="238"/>
      <c r="Z291" s="242"/>
      <c r="AA291" s="33"/>
      <c r="AB291" s="160"/>
      <c r="AC291" s="161"/>
      <c r="AD291" s="162"/>
      <c r="AE291" s="163"/>
      <c r="AF291" s="23">
        <f t="shared" si="49"/>
        <v>0</v>
      </c>
      <c r="AG291" s="161">
        <f t="shared" si="53"/>
        <v>0</v>
      </c>
      <c r="AH291" s="164">
        <f t="shared" si="56"/>
        <v>0</v>
      </c>
      <c r="AI291" s="23"/>
      <c r="AJ291" s="23"/>
      <c r="AK291" s="165"/>
      <c r="AL291" s="161"/>
      <c r="AM291" s="166"/>
      <c r="AN291" s="161"/>
      <c r="AO291" s="166"/>
      <c r="AP291" s="161"/>
      <c r="AQ291" s="161"/>
      <c r="AR291" s="161"/>
      <c r="AS291" s="167">
        <v>35000</v>
      </c>
      <c r="AT291" s="167">
        <v>30000</v>
      </c>
      <c r="AU291" s="167"/>
      <c r="AV291" s="167"/>
      <c r="AW291" s="167"/>
      <c r="AX291" s="167">
        <f t="shared" si="54"/>
        <v>65000</v>
      </c>
      <c r="AY291" s="168">
        <f t="shared" si="50"/>
        <v>-65000</v>
      </c>
      <c r="AZ291" s="168">
        <f t="shared" si="51"/>
        <v>-65000</v>
      </c>
      <c r="BA291" s="168">
        <f t="shared" si="52"/>
        <v>0</v>
      </c>
      <c r="BB291" s="168">
        <f t="shared" si="57"/>
        <v>-32500</v>
      </c>
      <c r="BC291" s="168">
        <f t="shared" si="58"/>
        <v>-29250</v>
      </c>
      <c r="BD291" s="169">
        <v>50000</v>
      </c>
      <c r="BE291" s="169"/>
      <c r="BF291" s="168">
        <f t="shared" si="48"/>
        <v>-79250</v>
      </c>
      <c r="BG291" s="33"/>
      <c r="BH291" s="15"/>
      <c r="BI291" s="15"/>
    </row>
    <row r="292" spans="1:61" s="6" customFormat="1" ht="16.899999999999999">
      <c r="A292" s="36">
        <v>291</v>
      </c>
      <c r="B292" s="35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5"/>
      <c r="P292" s="33"/>
      <c r="Q292" s="33"/>
      <c r="R292" s="158"/>
      <c r="S292" s="158"/>
      <c r="T292" s="159">
        <f t="shared" si="55"/>
        <v>0</v>
      </c>
      <c r="U292" s="30"/>
      <c r="V292" s="30"/>
      <c r="W292" s="30"/>
      <c r="X292" s="30"/>
      <c r="Y292" s="238"/>
      <c r="Z292" s="242"/>
      <c r="AA292" s="33"/>
      <c r="AB292" s="160"/>
      <c r="AC292" s="161"/>
      <c r="AD292" s="162"/>
      <c r="AE292" s="163"/>
      <c r="AF292" s="23">
        <f t="shared" si="49"/>
        <v>0</v>
      </c>
      <c r="AG292" s="161">
        <f t="shared" si="53"/>
        <v>0</v>
      </c>
      <c r="AH292" s="164">
        <f t="shared" si="56"/>
        <v>0</v>
      </c>
      <c r="AI292" s="23"/>
      <c r="AJ292" s="23"/>
      <c r="AK292" s="165"/>
      <c r="AL292" s="161"/>
      <c r="AM292" s="166"/>
      <c r="AN292" s="161"/>
      <c r="AO292" s="166"/>
      <c r="AP292" s="161"/>
      <c r="AQ292" s="161"/>
      <c r="AR292" s="161"/>
      <c r="AS292" s="167">
        <v>35000</v>
      </c>
      <c r="AT292" s="167">
        <v>30000</v>
      </c>
      <c r="AU292" s="167"/>
      <c r="AV292" s="167"/>
      <c r="AW292" s="167"/>
      <c r="AX292" s="167">
        <f t="shared" si="54"/>
        <v>65000</v>
      </c>
      <c r="AY292" s="168">
        <f t="shared" si="50"/>
        <v>-65000</v>
      </c>
      <c r="AZ292" s="168">
        <f t="shared" si="51"/>
        <v>-65000</v>
      </c>
      <c r="BA292" s="168">
        <f t="shared" si="52"/>
        <v>0</v>
      </c>
      <c r="BB292" s="168">
        <f t="shared" si="57"/>
        <v>-32500</v>
      </c>
      <c r="BC292" s="168">
        <f t="shared" si="58"/>
        <v>-29250</v>
      </c>
      <c r="BD292" s="169">
        <v>50000</v>
      </c>
      <c r="BE292" s="169"/>
      <c r="BF292" s="168">
        <f t="shared" si="48"/>
        <v>-79250</v>
      </c>
      <c r="BG292" s="33"/>
      <c r="BH292" s="15"/>
      <c r="BI292" s="15"/>
    </row>
    <row r="293" spans="1:61" s="6" customFormat="1" ht="16.899999999999999">
      <c r="A293" s="36">
        <v>292</v>
      </c>
      <c r="B293" s="35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5"/>
      <c r="P293" s="33"/>
      <c r="Q293" s="33"/>
      <c r="R293" s="158"/>
      <c r="S293" s="158"/>
      <c r="T293" s="159">
        <f t="shared" si="55"/>
        <v>0</v>
      </c>
      <c r="U293" s="30"/>
      <c r="V293" s="30"/>
      <c r="W293" s="30"/>
      <c r="X293" s="30"/>
      <c r="Y293" s="238"/>
      <c r="Z293" s="242"/>
      <c r="AA293" s="33"/>
      <c r="AB293" s="160"/>
      <c r="AC293" s="161"/>
      <c r="AD293" s="162"/>
      <c r="AE293" s="163"/>
      <c r="AF293" s="23">
        <f t="shared" si="49"/>
        <v>0</v>
      </c>
      <c r="AG293" s="161">
        <f t="shared" si="53"/>
        <v>0</v>
      </c>
      <c r="AH293" s="164">
        <f t="shared" si="56"/>
        <v>0</v>
      </c>
      <c r="AI293" s="23"/>
      <c r="AJ293" s="23"/>
      <c r="AK293" s="165"/>
      <c r="AL293" s="161"/>
      <c r="AM293" s="166"/>
      <c r="AN293" s="161"/>
      <c r="AO293" s="166"/>
      <c r="AP293" s="161"/>
      <c r="AQ293" s="161"/>
      <c r="AR293" s="161"/>
      <c r="AS293" s="167">
        <v>35000</v>
      </c>
      <c r="AT293" s="167">
        <v>30000</v>
      </c>
      <c r="AU293" s="167"/>
      <c r="AV293" s="167"/>
      <c r="AW293" s="167"/>
      <c r="AX293" s="167">
        <f t="shared" si="54"/>
        <v>65000</v>
      </c>
      <c r="AY293" s="168">
        <f t="shared" si="50"/>
        <v>-65000</v>
      </c>
      <c r="AZ293" s="168">
        <f t="shared" si="51"/>
        <v>-65000</v>
      </c>
      <c r="BA293" s="168">
        <f t="shared" si="52"/>
        <v>0</v>
      </c>
      <c r="BB293" s="168">
        <f t="shared" si="57"/>
        <v>-32500</v>
      </c>
      <c r="BC293" s="168">
        <f t="shared" si="58"/>
        <v>-29250</v>
      </c>
      <c r="BD293" s="169">
        <v>50000</v>
      </c>
      <c r="BE293" s="169"/>
      <c r="BF293" s="168">
        <f t="shared" si="48"/>
        <v>-79250</v>
      </c>
      <c r="BG293" s="33"/>
      <c r="BH293" s="15"/>
      <c r="BI293" s="15"/>
    </row>
    <row r="294" spans="1:61" s="6" customFormat="1" ht="16.899999999999999">
      <c r="A294" s="36">
        <v>293</v>
      </c>
      <c r="B294" s="35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5"/>
      <c r="P294" s="33"/>
      <c r="Q294" s="33"/>
      <c r="R294" s="158"/>
      <c r="S294" s="158"/>
      <c r="T294" s="159">
        <f t="shared" si="55"/>
        <v>0</v>
      </c>
      <c r="U294" s="30"/>
      <c r="V294" s="30"/>
      <c r="W294" s="30"/>
      <c r="X294" s="30"/>
      <c r="Y294" s="238"/>
      <c r="Z294" s="242"/>
      <c r="AA294" s="33"/>
      <c r="AB294" s="160"/>
      <c r="AC294" s="161"/>
      <c r="AD294" s="162"/>
      <c r="AE294" s="163"/>
      <c r="AF294" s="23">
        <f t="shared" si="49"/>
        <v>0</v>
      </c>
      <c r="AG294" s="161">
        <f t="shared" si="53"/>
        <v>0</v>
      </c>
      <c r="AH294" s="164">
        <f t="shared" si="56"/>
        <v>0</v>
      </c>
      <c r="AI294" s="23"/>
      <c r="AJ294" s="23"/>
      <c r="AK294" s="165"/>
      <c r="AL294" s="161"/>
      <c r="AM294" s="166"/>
      <c r="AN294" s="161"/>
      <c r="AO294" s="166"/>
      <c r="AP294" s="161"/>
      <c r="AQ294" s="161"/>
      <c r="AR294" s="161"/>
      <c r="AS294" s="167">
        <v>35000</v>
      </c>
      <c r="AT294" s="167">
        <v>30000</v>
      </c>
      <c r="AU294" s="167"/>
      <c r="AV294" s="167"/>
      <c r="AW294" s="167"/>
      <c r="AX294" s="167">
        <f t="shared" si="54"/>
        <v>65000</v>
      </c>
      <c r="AY294" s="168">
        <f t="shared" si="50"/>
        <v>-65000</v>
      </c>
      <c r="AZ294" s="168">
        <f t="shared" si="51"/>
        <v>-65000</v>
      </c>
      <c r="BA294" s="168">
        <f t="shared" si="52"/>
        <v>0</v>
      </c>
      <c r="BB294" s="168">
        <f t="shared" si="57"/>
        <v>-32500</v>
      </c>
      <c r="BC294" s="168">
        <f t="shared" si="58"/>
        <v>-29250</v>
      </c>
      <c r="BD294" s="169">
        <v>50000</v>
      </c>
      <c r="BE294" s="169"/>
      <c r="BF294" s="168">
        <f t="shared" si="48"/>
        <v>-79250</v>
      </c>
      <c r="BG294" s="33"/>
      <c r="BH294" s="15"/>
      <c r="BI294" s="15"/>
    </row>
    <row r="295" spans="1:61" s="6" customFormat="1" ht="16.899999999999999">
      <c r="A295" s="36">
        <v>294</v>
      </c>
      <c r="B295" s="35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5"/>
      <c r="P295" s="33"/>
      <c r="Q295" s="33"/>
      <c r="R295" s="158"/>
      <c r="S295" s="158"/>
      <c r="T295" s="159">
        <f t="shared" si="55"/>
        <v>0</v>
      </c>
      <c r="U295" s="30"/>
      <c r="V295" s="30"/>
      <c r="W295" s="30"/>
      <c r="X295" s="30"/>
      <c r="Y295" s="238"/>
      <c r="Z295" s="242"/>
      <c r="AA295" s="33"/>
      <c r="AB295" s="160"/>
      <c r="AC295" s="161"/>
      <c r="AD295" s="162"/>
      <c r="AE295" s="163"/>
      <c r="AF295" s="23">
        <f t="shared" si="49"/>
        <v>0</v>
      </c>
      <c r="AG295" s="161">
        <f t="shared" si="53"/>
        <v>0</v>
      </c>
      <c r="AH295" s="164">
        <f t="shared" si="56"/>
        <v>0</v>
      </c>
      <c r="AI295" s="23"/>
      <c r="AJ295" s="23"/>
      <c r="AK295" s="165"/>
      <c r="AL295" s="161"/>
      <c r="AM295" s="166"/>
      <c r="AN295" s="161"/>
      <c r="AO295" s="166"/>
      <c r="AP295" s="161"/>
      <c r="AQ295" s="161"/>
      <c r="AR295" s="161"/>
      <c r="AS295" s="167">
        <v>35000</v>
      </c>
      <c r="AT295" s="167">
        <v>30000</v>
      </c>
      <c r="AU295" s="167"/>
      <c r="AV295" s="167"/>
      <c r="AW295" s="167"/>
      <c r="AX295" s="167">
        <f t="shared" si="54"/>
        <v>65000</v>
      </c>
      <c r="AY295" s="168">
        <f t="shared" si="50"/>
        <v>-65000</v>
      </c>
      <c r="AZ295" s="168">
        <f t="shared" si="51"/>
        <v>-65000</v>
      </c>
      <c r="BA295" s="168">
        <f t="shared" si="52"/>
        <v>0</v>
      </c>
      <c r="BB295" s="168">
        <f t="shared" si="57"/>
        <v>-32500</v>
      </c>
      <c r="BC295" s="168">
        <f t="shared" si="58"/>
        <v>-29250</v>
      </c>
      <c r="BD295" s="169">
        <v>50000</v>
      </c>
      <c r="BE295" s="169"/>
      <c r="BF295" s="168">
        <f t="shared" si="48"/>
        <v>-79250</v>
      </c>
      <c r="BG295" s="33"/>
      <c r="BH295" s="15"/>
      <c r="BI295" s="15"/>
    </row>
    <row r="296" spans="1:61" s="6" customFormat="1" ht="16.899999999999999">
      <c r="A296" s="36">
        <v>295</v>
      </c>
      <c r="B296" s="35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5"/>
      <c r="P296" s="33"/>
      <c r="Q296" s="33"/>
      <c r="R296" s="158"/>
      <c r="S296" s="158"/>
      <c r="T296" s="159">
        <f t="shared" si="55"/>
        <v>0</v>
      </c>
      <c r="U296" s="30"/>
      <c r="V296" s="30"/>
      <c r="W296" s="30"/>
      <c r="X296" s="30"/>
      <c r="Y296" s="238"/>
      <c r="Z296" s="242"/>
      <c r="AA296" s="33"/>
      <c r="AB296" s="160"/>
      <c r="AC296" s="161"/>
      <c r="AD296" s="162"/>
      <c r="AE296" s="163"/>
      <c r="AF296" s="23">
        <f t="shared" si="49"/>
        <v>0</v>
      </c>
      <c r="AG296" s="161">
        <f t="shared" si="53"/>
        <v>0</v>
      </c>
      <c r="AH296" s="164">
        <f t="shared" si="56"/>
        <v>0</v>
      </c>
      <c r="AI296" s="23"/>
      <c r="AJ296" s="23"/>
      <c r="AK296" s="165"/>
      <c r="AL296" s="161"/>
      <c r="AM296" s="166"/>
      <c r="AN296" s="161"/>
      <c r="AO296" s="166"/>
      <c r="AP296" s="161"/>
      <c r="AQ296" s="161"/>
      <c r="AR296" s="161"/>
      <c r="AS296" s="167">
        <v>35000</v>
      </c>
      <c r="AT296" s="167">
        <v>30000</v>
      </c>
      <c r="AU296" s="167"/>
      <c r="AV296" s="167"/>
      <c r="AW296" s="167"/>
      <c r="AX296" s="167">
        <f t="shared" si="54"/>
        <v>65000</v>
      </c>
      <c r="AY296" s="168">
        <f t="shared" si="50"/>
        <v>-65000</v>
      </c>
      <c r="AZ296" s="168">
        <f t="shared" si="51"/>
        <v>-65000</v>
      </c>
      <c r="BA296" s="168">
        <f t="shared" si="52"/>
        <v>0</v>
      </c>
      <c r="BB296" s="168">
        <f t="shared" si="57"/>
        <v>-32500</v>
      </c>
      <c r="BC296" s="168">
        <f t="shared" si="58"/>
        <v>-29250</v>
      </c>
      <c r="BD296" s="169">
        <v>50000</v>
      </c>
      <c r="BE296" s="169"/>
      <c r="BF296" s="168">
        <f t="shared" si="48"/>
        <v>-79250</v>
      </c>
      <c r="BG296" s="33"/>
      <c r="BH296" s="15"/>
      <c r="BI296" s="15"/>
    </row>
    <row r="297" spans="1:61" ht="16.899999999999999">
      <c r="A297" s="36">
        <v>296</v>
      </c>
      <c r="B297" s="35"/>
      <c r="C297" s="33"/>
      <c r="D297" s="33"/>
      <c r="E297" s="33"/>
      <c r="F297" s="38"/>
      <c r="G297" s="38"/>
      <c r="H297" s="38"/>
      <c r="I297" s="38"/>
      <c r="J297" s="38"/>
      <c r="K297" s="38"/>
      <c r="L297" s="33"/>
      <c r="M297" s="33"/>
      <c r="N297" s="38"/>
      <c r="O297" s="39" t="s">
        <v>27</v>
      </c>
      <c r="P297" s="38"/>
      <c r="Q297" s="216"/>
      <c r="R297" s="158"/>
      <c r="S297" s="158"/>
      <c r="T297" s="159">
        <f t="shared" si="55"/>
        <v>0</v>
      </c>
      <c r="U297" s="30"/>
      <c r="V297" s="30"/>
      <c r="W297" s="30"/>
      <c r="X297" s="30"/>
      <c r="Y297" s="238"/>
      <c r="Z297" s="242"/>
      <c r="AA297" s="38"/>
      <c r="AB297" s="160"/>
      <c r="AC297" s="161"/>
      <c r="AD297" s="162"/>
      <c r="AE297" s="163"/>
      <c r="AF297" s="23">
        <f t="shared" si="49"/>
        <v>0</v>
      </c>
      <c r="AG297" s="161">
        <f t="shared" si="53"/>
        <v>0</v>
      </c>
      <c r="AH297" s="164">
        <f t="shared" si="56"/>
        <v>0</v>
      </c>
      <c r="AI297" s="23"/>
      <c r="AJ297" s="23"/>
      <c r="AK297" s="165"/>
      <c r="AL297" s="161"/>
      <c r="AM297" s="166"/>
      <c r="AN297" s="161"/>
      <c r="AO297" s="166"/>
      <c r="AP297" s="161"/>
      <c r="AQ297" s="161"/>
      <c r="AR297" s="161"/>
      <c r="AS297" s="167">
        <v>35000</v>
      </c>
      <c r="AT297" s="167">
        <v>30000</v>
      </c>
      <c r="AU297" s="167"/>
      <c r="AV297" s="167"/>
      <c r="AW297" s="167"/>
      <c r="AX297" s="167">
        <f t="shared" si="54"/>
        <v>65000</v>
      </c>
      <c r="AY297" s="168">
        <f t="shared" si="50"/>
        <v>-65000</v>
      </c>
      <c r="AZ297" s="168">
        <f t="shared" si="51"/>
        <v>-65000</v>
      </c>
      <c r="BA297" s="168">
        <f t="shared" si="52"/>
        <v>0</v>
      </c>
      <c r="BB297" s="168">
        <f t="shared" si="57"/>
        <v>-32500</v>
      </c>
      <c r="BC297" s="168">
        <f t="shared" si="58"/>
        <v>-29250</v>
      </c>
      <c r="BD297" s="169">
        <v>50000</v>
      </c>
      <c r="BE297" s="169"/>
      <c r="BF297" s="168">
        <f t="shared" si="48"/>
        <v>-79250</v>
      </c>
      <c r="BG297" s="33"/>
      <c r="BH297" s="16"/>
      <c r="BI297" s="16"/>
    </row>
    <row r="298" spans="1:61" ht="16.899999999999999">
      <c r="A298" s="36">
        <v>297</v>
      </c>
      <c r="B298" s="35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5"/>
      <c r="P298" s="33"/>
      <c r="Q298" s="33"/>
      <c r="R298" s="158"/>
      <c r="S298" s="158"/>
      <c r="T298" s="159">
        <f t="shared" si="55"/>
        <v>0</v>
      </c>
      <c r="U298" s="30"/>
      <c r="V298" s="30"/>
      <c r="W298" s="30"/>
      <c r="X298" s="30"/>
      <c r="Y298" s="238"/>
      <c r="Z298" s="242"/>
      <c r="AA298" s="33"/>
      <c r="AB298" s="160"/>
      <c r="AC298" s="161"/>
      <c r="AD298" s="162"/>
      <c r="AE298" s="163"/>
      <c r="AF298" s="23">
        <f t="shared" si="49"/>
        <v>0</v>
      </c>
      <c r="AG298" s="161">
        <f t="shared" si="53"/>
        <v>0</v>
      </c>
      <c r="AH298" s="164">
        <f t="shared" si="56"/>
        <v>0</v>
      </c>
      <c r="AI298" s="23"/>
      <c r="AJ298" s="23"/>
      <c r="AK298" s="165"/>
      <c r="AL298" s="161"/>
      <c r="AM298" s="166"/>
      <c r="AN298" s="161"/>
      <c r="AO298" s="166"/>
      <c r="AP298" s="161"/>
      <c r="AQ298" s="161"/>
      <c r="AR298" s="161"/>
      <c r="AS298" s="167">
        <v>35000</v>
      </c>
      <c r="AT298" s="167">
        <v>30000</v>
      </c>
      <c r="AU298" s="167"/>
      <c r="AV298" s="167"/>
      <c r="AW298" s="167"/>
      <c r="AX298" s="167">
        <f t="shared" si="54"/>
        <v>65000</v>
      </c>
      <c r="AY298" s="168">
        <f t="shared" si="50"/>
        <v>-65000</v>
      </c>
      <c r="AZ298" s="168">
        <f t="shared" si="51"/>
        <v>-65000</v>
      </c>
      <c r="BA298" s="168">
        <f t="shared" si="52"/>
        <v>0</v>
      </c>
      <c r="BB298" s="168">
        <f t="shared" si="57"/>
        <v>-32500</v>
      </c>
      <c r="BC298" s="168">
        <f t="shared" si="58"/>
        <v>-29250</v>
      </c>
      <c r="BD298" s="169">
        <v>50000</v>
      </c>
      <c r="BE298" s="169"/>
      <c r="BF298" s="168">
        <f t="shared" si="48"/>
        <v>-79250</v>
      </c>
      <c r="BG298" s="33"/>
      <c r="BH298" s="16"/>
      <c r="BI298" s="16"/>
    </row>
    <row r="299" spans="1:61" ht="16.899999999999999">
      <c r="A299" s="36">
        <v>298</v>
      </c>
      <c r="B299" s="35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5"/>
      <c r="P299" s="33"/>
      <c r="Q299" s="33"/>
      <c r="R299" s="158"/>
      <c r="S299" s="158"/>
      <c r="T299" s="159">
        <f t="shared" si="55"/>
        <v>0</v>
      </c>
      <c r="U299" s="30"/>
      <c r="V299" s="30"/>
      <c r="W299" s="30"/>
      <c r="X299" s="30"/>
      <c r="Y299" s="238"/>
      <c r="Z299" s="242"/>
      <c r="AA299" s="33"/>
      <c r="AB299" s="160"/>
      <c r="AC299" s="161"/>
      <c r="AD299" s="162"/>
      <c r="AE299" s="163"/>
      <c r="AF299" s="23">
        <f t="shared" si="49"/>
        <v>0</v>
      </c>
      <c r="AG299" s="161">
        <f t="shared" si="53"/>
        <v>0</v>
      </c>
      <c r="AH299" s="164">
        <f t="shared" si="56"/>
        <v>0</v>
      </c>
      <c r="AI299" s="23"/>
      <c r="AJ299" s="23"/>
      <c r="AK299" s="165"/>
      <c r="AL299" s="161"/>
      <c r="AM299" s="160"/>
      <c r="AN299" s="161"/>
      <c r="AO299" s="166"/>
      <c r="AP299" s="161"/>
      <c r="AQ299" s="161"/>
      <c r="AR299" s="161"/>
      <c r="AS299" s="167">
        <v>35000</v>
      </c>
      <c r="AT299" s="167">
        <v>30000</v>
      </c>
      <c r="AU299" s="167"/>
      <c r="AV299" s="167"/>
      <c r="AW299" s="167"/>
      <c r="AX299" s="167">
        <f t="shared" si="54"/>
        <v>65000</v>
      </c>
      <c r="AY299" s="168">
        <f t="shared" si="50"/>
        <v>-65000</v>
      </c>
      <c r="AZ299" s="168">
        <f t="shared" si="51"/>
        <v>-65000</v>
      </c>
      <c r="BA299" s="168">
        <f t="shared" si="52"/>
        <v>0</v>
      </c>
      <c r="BB299" s="168">
        <f t="shared" si="57"/>
        <v>-32500</v>
      </c>
      <c r="BC299" s="168">
        <f t="shared" si="58"/>
        <v>-29250</v>
      </c>
      <c r="BD299" s="169">
        <v>50000</v>
      </c>
      <c r="BE299" s="169"/>
      <c r="BF299" s="168">
        <f t="shared" si="48"/>
        <v>-79250</v>
      </c>
      <c r="BG299" s="33"/>
      <c r="BH299" s="16"/>
      <c r="BI299" s="16"/>
    </row>
    <row r="300" spans="1:61" ht="16.899999999999999">
      <c r="A300" s="36">
        <v>299</v>
      </c>
      <c r="B300" s="35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5"/>
      <c r="P300" s="33"/>
      <c r="Q300" s="33"/>
      <c r="R300" s="158"/>
      <c r="S300" s="158"/>
      <c r="T300" s="159">
        <f t="shared" si="55"/>
        <v>0</v>
      </c>
      <c r="U300" s="30"/>
      <c r="V300" s="30"/>
      <c r="W300" s="30"/>
      <c r="X300" s="30"/>
      <c r="Y300" s="238"/>
      <c r="Z300" s="242"/>
      <c r="AA300" s="33"/>
      <c r="AB300" s="160"/>
      <c r="AC300" s="161"/>
      <c r="AD300" s="162"/>
      <c r="AE300" s="163"/>
      <c r="AF300" s="23">
        <f t="shared" si="49"/>
        <v>0</v>
      </c>
      <c r="AG300" s="161">
        <f t="shared" si="53"/>
        <v>0</v>
      </c>
      <c r="AH300" s="164">
        <f t="shared" si="56"/>
        <v>0</v>
      </c>
      <c r="AI300" s="23"/>
      <c r="AJ300" s="23"/>
      <c r="AK300" s="165"/>
      <c r="AL300" s="161"/>
      <c r="AM300" s="166"/>
      <c r="AN300" s="161"/>
      <c r="AO300" s="166"/>
      <c r="AP300" s="161"/>
      <c r="AQ300" s="161"/>
      <c r="AR300" s="161"/>
      <c r="AS300" s="167">
        <v>35000</v>
      </c>
      <c r="AT300" s="167">
        <v>30000</v>
      </c>
      <c r="AU300" s="167"/>
      <c r="AV300" s="167"/>
      <c r="AW300" s="167"/>
      <c r="AX300" s="167">
        <f t="shared" si="54"/>
        <v>65000</v>
      </c>
      <c r="AY300" s="168">
        <f t="shared" si="50"/>
        <v>-65000</v>
      </c>
      <c r="AZ300" s="168">
        <f t="shared" si="51"/>
        <v>-65000</v>
      </c>
      <c r="BA300" s="168">
        <f t="shared" si="52"/>
        <v>0</v>
      </c>
      <c r="BB300" s="168">
        <f t="shared" si="57"/>
        <v>-32500</v>
      </c>
      <c r="BC300" s="168">
        <f t="shared" si="58"/>
        <v>-29250</v>
      </c>
      <c r="BD300" s="169">
        <v>50000</v>
      </c>
      <c r="BE300" s="169"/>
      <c r="BF300" s="168">
        <f t="shared" si="48"/>
        <v>-79250</v>
      </c>
      <c r="BG300" s="33"/>
      <c r="BH300" s="16"/>
      <c r="BI300" s="16"/>
    </row>
    <row r="301" spans="1:61" ht="16.899999999999999">
      <c r="A301" s="36">
        <v>300</v>
      </c>
      <c r="B301" s="35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5"/>
      <c r="P301" s="33"/>
      <c r="Q301" s="33"/>
      <c r="R301" s="158"/>
      <c r="S301" s="158"/>
      <c r="T301" s="159">
        <f t="shared" si="55"/>
        <v>0</v>
      </c>
      <c r="U301" s="30"/>
      <c r="V301" s="30"/>
      <c r="W301" s="30"/>
      <c r="X301" s="30"/>
      <c r="Y301" s="238"/>
      <c r="Z301" s="242"/>
      <c r="AA301" s="33"/>
      <c r="AB301" s="160"/>
      <c r="AC301" s="161"/>
      <c r="AD301" s="162"/>
      <c r="AE301" s="163"/>
      <c r="AF301" s="23">
        <f t="shared" si="49"/>
        <v>0</v>
      </c>
      <c r="AG301" s="161">
        <f t="shared" si="53"/>
        <v>0</v>
      </c>
      <c r="AH301" s="164">
        <f t="shared" si="56"/>
        <v>0</v>
      </c>
      <c r="AI301" s="23"/>
      <c r="AJ301" s="23"/>
      <c r="AK301" s="165"/>
      <c r="AL301" s="161"/>
      <c r="AM301" s="166"/>
      <c r="AN301" s="161"/>
      <c r="AO301" s="166"/>
      <c r="AP301" s="161"/>
      <c r="AQ301" s="161"/>
      <c r="AR301" s="161"/>
      <c r="AS301" s="167">
        <v>35000</v>
      </c>
      <c r="AT301" s="167">
        <v>30000</v>
      </c>
      <c r="AU301" s="167"/>
      <c r="AV301" s="167"/>
      <c r="AW301" s="167"/>
      <c r="AX301" s="167">
        <f t="shared" si="54"/>
        <v>65000</v>
      </c>
      <c r="AY301" s="168">
        <f t="shared" si="50"/>
        <v>-65000</v>
      </c>
      <c r="AZ301" s="168">
        <f t="shared" si="51"/>
        <v>-65000</v>
      </c>
      <c r="BA301" s="168">
        <f t="shared" si="52"/>
        <v>0</v>
      </c>
      <c r="BB301" s="168">
        <f t="shared" si="57"/>
        <v>-32500</v>
      </c>
      <c r="BC301" s="168">
        <f t="shared" si="58"/>
        <v>-29250</v>
      </c>
      <c r="BD301" s="169">
        <v>50000</v>
      </c>
      <c r="BE301" s="169"/>
      <c r="BF301" s="168">
        <f t="shared" si="48"/>
        <v>-79250</v>
      </c>
      <c r="BG301" s="33"/>
      <c r="BH301" s="16"/>
      <c r="BI301" s="16"/>
    </row>
    <row r="302" spans="1:61" ht="16.899999999999999">
      <c r="A302" s="36">
        <v>301</v>
      </c>
      <c r="B302" s="35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5"/>
      <c r="P302" s="33"/>
      <c r="Q302" s="33"/>
      <c r="R302" s="158"/>
      <c r="S302" s="158"/>
      <c r="T302" s="159">
        <f t="shared" si="55"/>
        <v>0</v>
      </c>
      <c r="U302" s="30"/>
      <c r="V302" s="30"/>
      <c r="W302" s="30"/>
      <c r="X302" s="30"/>
      <c r="Y302" s="238"/>
      <c r="Z302" s="242"/>
      <c r="AA302" s="33"/>
      <c r="AB302" s="160"/>
      <c r="AC302" s="161"/>
      <c r="AD302" s="162"/>
      <c r="AE302" s="163"/>
      <c r="AF302" s="23">
        <f t="shared" si="49"/>
        <v>0</v>
      </c>
      <c r="AG302" s="161">
        <f t="shared" si="53"/>
        <v>0</v>
      </c>
      <c r="AH302" s="164">
        <f t="shared" si="56"/>
        <v>0</v>
      </c>
      <c r="AI302" s="23"/>
      <c r="AJ302" s="23"/>
      <c r="AK302" s="165"/>
      <c r="AL302" s="161"/>
      <c r="AM302" s="166"/>
      <c r="AN302" s="161"/>
      <c r="AO302" s="166"/>
      <c r="AP302" s="161"/>
      <c r="AQ302" s="161"/>
      <c r="AR302" s="161"/>
      <c r="AS302" s="167">
        <v>35000</v>
      </c>
      <c r="AT302" s="167">
        <v>30000</v>
      </c>
      <c r="AU302" s="167"/>
      <c r="AV302" s="167"/>
      <c r="AW302" s="167"/>
      <c r="AX302" s="167">
        <f t="shared" si="54"/>
        <v>65000</v>
      </c>
      <c r="AY302" s="168">
        <f t="shared" si="50"/>
        <v>-65000</v>
      </c>
      <c r="AZ302" s="168">
        <f t="shared" si="51"/>
        <v>-65000</v>
      </c>
      <c r="BA302" s="168">
        <f t="shared" si="52"/>
        <v>0</v>
      </c>
      <c r="BB302" s="168">
        <f t="shared" si="57"/>
        <v>-32500</v>
      </c>
      <c r="BC302" s="168">
        <f t="shared" si="58"/>
        <v>-29250</v>
      </c>
      <c r="BD302" s="169">
        <v>50000</v>
      </c>
      <c r="BE302" s="169"/>
      <c r="BF302" s="168">
        <f t="shared" si="48"/>
        <v>-79250</v>
      </c>
      <c r="BG302" s="33"/>
      <c r="BH302" s="16"/>
      <c r="BI302" s="16"/>
    </row>
    <row r="303" spans="1:61" ht="16.899999999999999">
      <c r="A303" s="36">
        <v>302</v>
      </c>
      <c r="B303" s="35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5"/>
      <c r="P303" s="33"/>
      <c r="Q303" s="33"/>
      <c r="R303" s="158"/>
      <c r="S303" s="158"/>
      <c r="T303" s="159">
        <f t="shared" si="55"/>
        <v>0</v>
      </c>
      <c r="U303" s="30"/>
      <c r="V303" s="30"/>
      <c r="W303" s="30"/>
      <c r="X303" s="30"/>
      <c r="Y303" s="238"/>
      <c r="Z303" s="242"/>
      <c r="AA303" s="33"/>
      <c r="AB303" s="160"/>
      <c r="AC303" s="161"/>
      <c r="AD303" s="162"/>
      <c r="AE303" s="163"/>
      <c r="AF303" s="23">
        <f t="shared" si="49"/>
        <v>0</v>
      </c>
      <c r="AG303" s="161">
        <f t="shared" si="53"/>
        <v>0</v>
      </c>
      <c r="AH303" s="164">
        <f t="shared" si="56"/>
        <v>0</v>
      </c>
      <c r="AI303" s="23"/>
      <c r="AJ303" s="23"/>
      <c r="AK303" s="165"/>
      <c r="AL303" s="161"/>
      <c r="AM303" s="166"/>
      <c r="AN303" s="161"/>
      <c r="AO303" s="166"/>
      <c r="AP303" s="161"/>
      <c r="AQ303" s="161"/>
      <c r="AR303" s="161"/>
      <c r="AS303" s="167">
        <v>35000</v>
      </c>
      <c r="AT303" s="167">
        <v>30000</v>
      </c>
      <c r="AU303" s="167"/>
      <c r="AV303" s="167"/>
      <c r="AW303" s="167"/>
      <c r="AX303" s="167">
        <f t="shared" si="54"/>
        <v>65000</v>
      </c>
      <c r="AY303" s="168">
        <f t="shared" si="50"/>
        <v>-65000</v>
      </c>
      <c r="AZ303" s="168">
        <f t="shared" si="51"/>
        <v>-65000</v>
      </c>
      <c r="BA303" s="168">
        <f t="shared" si="52"/>
        <v>0</v>
      </c>
      <c r="BB303" s="168">
        <f t="shared" si="57"/>
        <v>-32500</v>
      </c>
      <c r="BC303" s="168">
        <f t="shared" si="58"/>
        <v>-29250</v>
      </c>
      <c r="BD303" s="169">
        <v>50000</v>
      </c>
      <c r="BE303" s="169"/>
      <c r="BF303" s="168">
        <f t="shared" si="48"/>
        <v>-79250</v>
      </c>
      <c r="BG303" s="33"/>
      <c r="BH303" s="16"/>
      <c r="BI303" s="16"/>
    </row>
    <row r="304" spans="1:61" ht="16.899999999999999">
      <c r="A304" s="36">
        <v>303</v>
      </c>
      <c r="B304" s="35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5"/>
      <c r="P304" s="33"/>
      <c r="Q304" s="33"/>
      <c r="R304" s="158"/>
      <c r="S304" s="158"/>
      <c r="T304" s="159">
        <f t="shared" si="55"/>
        <v>0</v>
      </c>
      <c r="U304" s="30"/>
      <c r="V304" s="30"/>
      <c r="W304" s="30"/>
      <c r="X304" s="30"/>
      <c r="Y304" s="238"/>
      <c r="Z304" s="242"/>
      <c r="AA304" s="33"/>
      <c r="AB304" s="160"/>
      <c r="AC304" s="161"/>
      <c r="AD304" s="162"/>
      <c r="AE304" s="163"/>
      <c r="AF304" s="23">
        <f t="shared" si="49"/>
        <v>0</v>
      </c>
      <c r="AG304" s="161">
        <f t="shared" si="53"/>
        <v>0</v>
      </c>
      <c r="AH304" s="164">
        <f t="shared" si="56"/>
        <v>0</v>
      </c>
      <c r="AI304" s="23"/>
      <c r="AJ304" s="23"/>
      <c r="AK304" s="165"/>
      <c r="AL304" s="161"/>
      <c r="AM304" s="166"/>
      <c r="AN304" s="161"/>
      <c r="AO304" s="166"/>
      <c r="AP304" s="161"/>
      <c r="AQ304" s="161"/>
      <c r="AR304" s="161"/>
      <c r="AS304" s="167">
        <v>35000</v>
      </c>
      <c r="AT304" s="167">
        <v>30000</v>
      </c>
      <c r="AU304" s="167"/>
      <c r="AV304" s="167"/>
      <c r="AW304" s="167"/>
      <c r="AX304" s="167">
        <f t="shared" si="54"/>
        <v>65000</v>
      </c>
      <c r="AY304" s="168">
        <f t="shared" si="50"/>
        <v>-65000</v>
      </c>
      <c r="AZ304" s="168">
        <f t="shared" si="51"/>
        <v>-65000</v>
      </c>
      <c r="BA304" s="168">
        <f t="shared" si="52"/>
        <v>0</v>
      </c>
      <c r="BB304" s="168">
        <f t="shared" si="57"/>
        <v>-32500</v>
      </c>
      <c r="BC304" s="168">
        <f t="shared" si="58"/>
        <v>-29250</v>
      </c>
      <c r="BD304" s="169">
        <v>50000</v>
      </c>
      <c r="BE304" s="169"/>
      <c r="BF304" s="168">
        <f t="shared" si="48"/>
        <v>-79250</v>
      </c>
      <c r="BG304" s="33"/>
      <c r="BH304" s="16"/>
      <c r="BI304" s="16"/>
    </row>
    <row r="305" spans="1:61" ht="16.899999999999999">
      <c r="A305" s="36">
        <v>304</v>
      </c>
      <c r="B305" s="35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5"/>
      <c r="P305" s="33"/>
      <c r="Q305" s="33"/>
      <c r="R305" s="158"/>
      <c r="S305" s="158"/>
      <c r="T305" s="159">
        <f t="shared" si="55"/>
        <v>0</v>
      </c>
      <c r="U305" s="30"/>
      <c r="V305" s="30"/>
      <c r="W305" s="30"/>
      <c r="X305" s="30"/>
      <c r="Y305" s="238"/>
      <c r="Z305" s="242"/>
      <c r="AA305" s="33"/>
      <c r="AB305" s="160"/>
      <c r="AC305" s="161"/>
      <c r="AD305" s="162"/>
      <c r="AE305" s="163"/>
      <c r="AF305" s="23">
        <f t="shared" si="49"/>
        <v>0</v>
      </c>
      <c r="AG305" s="161">
        <f t="shared" si="53"/>
        <v>0</v>
      </c>
      <c r="AH305" s="164">
        <f t="shared" si="56"/>
        <v>0</v>
      </c>
      <c r="AI305" s="23"/>
      <c r="AJ305" s="23"/>
      <c r="AK305" s="165"/>
      <c r="AL305" s="161"/>
      <c r="AM305" s="166"/>
      <c r="AN305" s="161"/>
      <c r="AO305" s="166"/>
      <c r="AP305" s="161"/>
      <c r="AQ305" s="161"/>
      <c r="AR305" s="161"/>
      <c r="AS305" s="167">
        <v>35000</v>
      </c>
      <c r="AT305" s="167">
        <v>30000</v>
      </c>
      <c r="AU305" s="167"/>
      <c r="AV305" s="167"/>
      <c r="AW305" s="167"/>
      <c r="AX305" s="167">
        <f t="shared" si="54"/>
        <v>65000</v>
      </c>
      <c r="AY305" s="168">
        <f t="shared" si="50"/>
        <v>-65000</v>
      </c>
      <c r="AZ305" s="168">
        <f t="shared" si="51"/>
        <v>-65000</v>
      </c>
      <c r="BA305" s="168">
        <f t="shared" si="52"/>
        <v>0</v>
      </c>
      <c r="BB305" s="168">
        <f t="shared" si="57"/>
        <v>-32500</v>
      </c>
      <c r="BC305" s="168">
        <f t="shared" si="58"/>
        <v>-29250</v>
      </c>
      <c r="BD305" s="169">
        <v>50000</v>
      </c>
      <c r="BE305" s="169"/>
      <c r="BF305" s="168">
        <f t="shared" si="48"/>
        <v>-79250</v>
      </c>
      <c r="BG305" s="33"/>
      <c r="BH305" s="16"/>
      <c r="BI305" s="16"/>
    </row>
    <row r="306" spans="1:61" ht="16.899999999999999">
      <c r="A306" s="36">
        <v>305</v>
      </c>
      <c r="B306" s="35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5"/>
      <c r="P306" s="33"/>
      <c r="Q306" s="33"/>
      <c r="R306" s="158"/>
      <c r="S306" s="158"/>
      <c r="T306" s="159">
        <f t="shared" si="55"/>
        <v>0</v>
      </c>
      <c r="U306" s="30"/>
      <c r="V306" s="30"/>
      <c r="W306" s="30"/>
      <c r="X306" s="30"/>
      <c r="Y306" s="238"/>
      <c r="Z306" s="242"/>
      <c r="AA306" s="33"/>
      <c r="AB306" s="160"/>
      <c r="AC306" s="161"/>
      <c r="AD306" s="162"/>
      <c r="AE306" s="163"/>
      <c r="AF306" s="23">
        <f t="shared" si="49"/>
        <v>0</v>
      </c>
      <c r="AG306" s="161">
        <f t="shared" si="53"/>
        <v>0</v>
      </c>
      <c r="AH306" s="164">
        <f t="shared" si="56"/>
        <v>0</v>
      </c>
      <c r="AI306" s="23"/>
      <c r="AJ306" s="23"/>
      <c r="AK306" s="165"/>
      <c r="AL306" s="161"/>
      <c r="AM306" s="166"/>
      <c r="AN306" s="161"/>
      <c r="AO306" s="166"/>
      <c r="AP306" s="161"/>
      <c r="AQ306" s="161"/>
      <c r="AR306" s="161"/>
      <c r="AS306" s="167">
        <v>35000</v>
      </c>
      <c r="AT306" s="167">
        <v>30000</v>
      </c>
      <c r="AU306" s="167"/>
      <c r="AV306" s="167"/>
      <c r="AW306" s="167"/>
      <c r="AX306" s="167">
        <f t="shared" si="54"/>
        <v>65000</v>
      </c>
      <c r="AY306" s="168">
        <f t="shared" si="50"/>
        <v>-65000</v>
      </c>
      <c r="AZ306" s="168">
        <f t="shared" si="51"/>
        <v>-65000</v>
      </c>
      <c r="BA306" s="168">
        <f t="shared" si="52"/>
        <v>0</v>
      </c>
      <c r="BB306" s="168">
        <f t="shared" si="57"/>
        <v>-32500</v>
      </c>
      <c r="BC306" s="168">
        <f t="shared" si="58"/>
        <v>-29250</v>
      </c>
      <c r="BD306" s="169">
        <v>50000</v>
      </c>
      <c r="BE306" s="169"/>
      <c r="BF306" s="168">
        <f t="shared" si="48"/>
        <v>-79250</v>
      </c>
      <c r="BG306" s="33"/>
      <c r="BH306" s="16"/>
      <c r="BI306" s="16"/>
    </row>
    <row r="307" spans="1:61" ht="16.899999999999999">
      <c r="A307" s="36">
        <v>306</v>
      </c>
      <c r="B307" s="35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5"/>
      <c r="P307" s="33"/>
      <c r="Q307" s="33"/>
      <c r="R307" s="158"/>
      <c r="S307" s="158"/>
      <c r="T307" s="159">
        <f t="shared" si="55"/>
        <v>0</v>
      </c>
      <c r="U307" s="30"/>
      <c r="V307" s="30"/>
      <c r="W307" s="30"/>
      <c r="X307" s="30"/>
      <c r="Y307" s="238"/>
      <c r="Z307" s="242"/>
      <c r="AA307" s="33"/>
      <c r="AB307" s="160"/>
      <c r="AC307" s="161"/>
      <c r="AD307" s="162"/>
      <c r="AE307" s="163"/>
      <c r="AF307" s="23">
        <f t="shared" si="49"/>
        <v>0</v>
      </c>
      <c r="AG307" s="161">
        <f t="shared" si="53"/>
        <v>0</v>
      </c>
      <c r="AH307" s="164">
        <f t="shared" si="56"/>
        <v>0</v>
      </c>
      <c r="AI307" s="23"/>
      <c r="AJ307" s="23"/>
      <c r="AK307" s="165"/>
      <c r="AL307" s="161"/>
      <c r="AM307" s="166"/>
      <c r="AN307" s="161"/>
      <c r="AO307" s="166"/>
      <c r="AP307" s="161"/>
      <c r="AQ307" s="161"/>
      <c r="AR307" s="161"/>
      <c r="AS307" s="167">
        <v>35000</v>
      </c>
      <c r="AT307" s="167">
        <v>30000</v>
      </c>
      <c r="AU307" s="167"/>
      <c r="AV307" s="167"/>
      <c r="AW307" s="167"/>
      <c r="AX307" s="167">
        <f t="shared" si="54"/>
        <v>65000</v>
      </c>
      <c r="AY307" s="168">
        <f t="shared" si="50"/>
        <v>-65000</v>
      </c>
      <c r="AZ307" s="168">
        <f t="shared" si="51"/>
        <v>-65000</v>
      </c>
      <c r="BA307" s="168">
        <f t="shared" si="52"/>
        <v>0</v>
      </c>
      <c r="BB307" s="168">
        <f t="shared" si="57"/>
        <v>-32500</v>
      </c>
      <c r="BC307" s="168">
        <f t="shared" si="58"/>
        <v>-29250</v>
      </c>
      <c r="BD307" s="169">
        <v>50000</v>
      </c>
      <c r="BE307" s="169"/>
      <c r="BF307" s="168">
        <f t="shared" si="48"/>
        <v>-79250</v>
      </c>
      <c r="BG307" s="33"/>
      <c r="BH307" s="16"/>
      <c r="BI307" s="16"/>
    </row>
    <row r="308" spans="1:61" ht="16.899999999999999">
      <c r="A308" s="36">
        <v>307</v>
      </c>
      <c r="B308" s="35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5"/>
      <c r="P308" s="33"/>
      <c r="Q308" s="33"/>
      <c r="R308" s="158"/>
      <c r="S308" s="158"/>
      <c r="T308" s="159">
        <f t="shared" si="55"/>
        <v>0</v>
      </c>
      <c r="U308" s="30"/>
      <c r="V308" s="30"/>
      <c r="W308" s="30"/>
      <c r="X308" s="30"/>
      <c r="Y308" s="238"/>
      <c r="Z308" s="242"/>
      <c r="AA308" s="33"/>
      <c r="AB308" s="160"/>
      <c r="AC308" s="161"/>
      <c r="AD308" s="162"/>
      <c r="AE308" s="163"/>
      <c r="AF308" s="23">
        <f t="shared" si="49"/>
        <v>0</v>
      </c>
      <c r="AG308" s="161">
        <f t="shared" si="53"/>
        <v>0</v>
      </c>
      <c r="AH308" s="164">
        <f t="shared" si="56"/>
        <v>0</v>
      </c>
      <c r="AI308" s="23"/>
      <c r="AJ308" s="23"/>
      <c r="AK308" s="166"/>
      <c r="AL308" s="161"/>
      <c r="AM308" s="166"/>
      <c r="AN308" s="161"/>
      <c r="AO308" s="166"/>
      <c r="AP308" s="161"/>
      <c r="AQ308" s="161"/>
      <c r="AR308" s="161"/>
      <c r="AS308" s="167">
        <v>35000</v>
      </c>
      <c r="AT308" s="167">
        <v>30000</v>
      </c>
      <c r="AU308" s="167"/>
      <c r="AV308" s="167"/>
      <c r="AW308" s="167"/>
      <c r="AX308" s="167">
        <f t="shared" si="54"/>
        <v>65000</v>
      </c>
      <c r="AY308" s="168">
        <f t="shared" si="50"/>
        <v>-65000</v>
      </c>
      <c r="AZ308" s="168">
        <f t="shared" si="51"/>
        <v>-65000</v>
      </c>
      <c r="BA308" s="168">
        <f t="shared" si="52"/>
        <v>0</v>
      </c>
      <c r="BB308" s="168">
        <f t="shared" si="57"/>
        <v>-32500</v>
      </c>
      <c r="BC308" s="168">
        <f t="shared" si="58"/>
        <v>-29250</v>
      </c>
      <c r="BD308" s="169">
        <v>50000</v>
      </c>
      <c r="BE308" s="169"/>
      <c r="BF308" s="168">
        <f t="shared" si="48"/>
        <v>-79250</v>
      </c>
      <c r="BG308" s="33"/>
      <c r="BH308" s="16"/>
      <c r="BI308" s="16"/>
    </row>
    <row r="309" spans="1:61" ht="16.899999999999999">
      <c r="A309" s="36">
        <v>308</v>
      </c>
      <c r="B309" s="35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5"/>
      <c r="P309" s="33"/>
      <c r="Q309" s="33"/>
      <c r="R309" s="158"/>
      <c r="S309" s="158"/>
      <c r="T309" s="159">
        <f t="shared" si="55"/>
        <v>0</v>
      </c>
      <c r="U309" s="30"/>
      <c r="V309" s="30"/>
      <c r="W309" s="30"/>
      <c r="X309" s="30"/>
      <c r="Y309" s="238"/>
      <c r="Z309" s="242"/>
      <c r="AA309" s="33"/>
      <c r="AB309" s="160"/>
      <c r="AC309" s="161"/>
      <c r="AD309" s="162"/>
      <c r="AE309" s="163"/>
      <c r="AF309" s="23">
        <f t="shared" si="49"/>
        <v>0</v>
      </c>
      <c r="AG309" s="161">
        <f t="shared" si="53"/>
        <v>0</v>
      </c>
      <c r="AH309" s="164">
        <f t="shared" si="56"/>
        <v>0</v>
      </c>
      <c r="AI309" s="23"/>
      <c r="AJ309" s="23"/>
      <c r="AK309" s="165"/>
      <c r="AL309" s="161"/>
      <c r="AM309" s="166"/>
      <c r="AN309" s="161"/>
      <c r="AO309" s="166"/>
      <c r="AP309" s="161"/>
      <c r="AQ309" s="161"/>
      <c r="AR309" s="161"/>
      <c r="AS309" s="167">
        <v>35000</v>
      </c>
      <c r="AT309" s="167">
        <v>30000</v>
      </c>
      <c r="AU309" s="167"/>
      <c r="AV309" s="167"/>
      <c r="AW309" s="167"/>
      <c r="AX309" s="167">
        <f t="shared" si="54"/>
        <v>65000</v>
      </c>
      <c r="AY309" s="168">
        <f t="shared" si="50"/>
        <v>-65000</v>
      </c>
      <c r="AZ309" s="168">
        <f t="shared" si="51"/>
        <v>-65000</v>
      </c>
      <c r="BA309" s="168">
        <f t="shared" si="52"/>
        <v>0</v>
      </c>
      <c r="BB309" s="168">
        <f t="shared" si="57"/>
        <v>-32500</v>
      </c>
      <c r="BC309" s="168">
        <f t="shared" si="58"/>
        <v>-29250</v>
      </c>
      <c r="BD309" s="169">
        <v>50000</v>
      </c>
      <c r="BE309" s="169"/>
      <c r="BF309" s="168">
        <f t="shared" ref="BF309:BF372" si="59">SUM(BC309-BD309-BE309)</f>
        <v>-79250</v>
      </c>
      <c r="BG309" s="33"/>
      <c r="BH309" s="16"/>
      <c r="BI309" s="16"/>
    </row>
    <row r="310" spans="1:61" ht="16.899999999999999">
      <c r="A310" s="36">
        <v>309</v>
      </c>
      <c r="B310" s="35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5"/>
      <c r="P310" s="33"/>
      <c r="Q310" s="33"/>
      <c r="R310" s="158"/>
      <c r="S310" s="158"/>
      <c r="T310" s="159">
        <f t="shared" si="55"/>
        <v>0</v>
      </c>
      <c r="U310" s="30"/>
      <c r="V310" s="30"/>
      <c r="W310" s="30"/>
      <c r="X310" s="30"/>
      <c r="Y310" s="238"/>
      <c r="Z310" s="242"/>
      <c r="AA310" s="33"/>
      <c r="AB310" s="160"/>
      <c r="AC310" s="161"/>
      <c r="AD310" s="162"/>
      <c r="AE310" s="163"/>
      <c r="AF310" s="23">
        <f t="shared" si="49"/>
        <v>0</v>
      </c>
      <c r="AG310" s="161">
        <f t="shared" si="53"/>
        <v>0</v>
      </c>
      <c r="AH310" s="164">
        <f t="shared" si="56"/>
        <v>0</v>
      </c>
      <c r="AI310" s="23"/>
      <c r="AJ310" s="23"/>
      <c r="AK310" s="165"/>
      <c r="AL310" s="161"/>
      <c r="AM310" s="166"/>
      <c r="AN310" s="161"/>
      <c r="AO310" s="166"/>
      <c r="AP310" s="161"/>
      <c r="AQ310" s="161"/>
      <c r="AR310" s="161"/>
      <c r="AS310" s="167">
        <v>35000</v>
      </c>
      <c r="AT310" s="167">
        <v>30000</v>
      </c>
      <c r="AU310" s="167"/>
      <c r="AV310" s="167"/>
      <c r="AW310" s="167"/>
      <c r="AX310" s="167">
        <f t="shared" si="54"/>
        <v>65000</v>
      </c>
      <c r="AY310" s="168">
        <f t="shared" si="50"/>
        <v>-65000</v>
      </c>
      <c r="AZ310" s="168">
        <f t="shared" si="51"/>
        <v>-65000</v>
      </c>
      <c r="BA310" s="168">
        <f t="shared" si="52"/>
        <v>0</v>
      </c>
      <c r="BB310" s="168">
        <f t="shared" si="57"/>
        <v>-32500</v>
      </c>
      <c r="BC310" s="168">
        <f t="shared" si="58"/>
        <v>-29250</v>
      </c>
      <c r="BD310" s="169">
        <v>50000</v>
      </c>
      <c r="BE310" s="169"/>
      <c r="BF310" s="168">
        <f t="shared" si="59"/>
        <v>-79250</v>
      </c>
      <c r="BG310" s="33"/>
      <c r="BH310" s="16"/>
      <c r="BI310" s="16"/>
    </row>
    <row r="311" spans="1:61" ht="16.899999999999999">
      <c r="A311" s="36">
        <v>310</v>
      </c>
      <c r="B311" s="35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5"/>
      <c r="P311" s="33"/>
      <c r="Q311" s="33"/>
      <c r="R311" s="158"/>
      <c r="S311" s="158"/>
      <c r="T311" s="159">
        <f t="shared" si="55"/>
        <v>0</v>
      </c>
      <c r="U311" s="30"/>
      <c r="V311" s="30"/>
      <c r="W311" s="30"/>
      <c r="X311" s="30"/>
      <c r="Y311" s="238"/>
      <c r="Z311" s="242"/>
      <c r="AA311" s="33"/>
      <c r="AB311" s="160"/>
      <c r="AC311" s="161"/>
      <c r="AD311" s="162"/>
      <c r="AE311" s="163"/>
      <c r="AF311" s="23">
        <f t="shared" si="49"/>
        <v>0</v>
      </c>
      <c r="AG311" s="161">
        <f t="shared" si="53"/>
        <v>0</v>
      </c>
      <c r="AH311" s="164">
        <f t="shared" si="56"/>
        <v>0</v>
      </c>
      <c r="AI311" s="23"/>
      <c r="AJ311" s="23"/>
      <c r="AK311" s="165"/>
      <c r="AL311" s="161"/>
      <c r="AM311" s="166"/>
      <c r="AN311" s="161"/>
      <c r="AO311" s="166"/>
      <c r="AP311" s="161"/>
      <c r="AQ311" s="161"/>
      <c r="AR311" s="161"/>
      <c r="AS311" s="167">
        <v>35000</v>
      </c>
      <c r="AT311" s="167">
        <v>30000</v>
      </c>
      <c r="AU311" s="167"/>
      <c r="AV311" s="167"/>
      <c r="AW311" s="167"/>
      <c r="AX311" s="167">
        <f t="shared" si="54"/>
        <v>65000</v>
      </c>
      <c r="AY311" s="168">
        <f t="shared" si="50"/>
        <v>-65000</v>
      </c>
      <c r="AZ311" s="168">
        <f t="shared" si="51"/>
        <v>-65000</v>
      </c>
      <c r="BA311" s="168">
        <f t="shared" si="52"/>
        <v>0</v>
      </c>
      <c r="BB311" s="168">
        <f t="shared" si="57"/>
        <v>-32500</v>
      </c>
      <c r="BC311" s="168">
        <f t="shared" si="58"/>
        <v>-29250</v>
      </c>
      <c r="BD311" s="169">
        <v>50000</v>
      </c>
      <c r="BE311" s="169"/>
      <c r="BF311" s="168">
        <f t="shared" si="59"/>
        <v>-79250</v>
      </c>
      <c r="BG311" s="33"/>
      <c r="BH311" s="16"/>
      <c r="BI311" s="16"/>
    </row>
    <row r="312" spans="1:61" ht="16.899999999999999">
      <c r="A312" s="36">
        <v>311</v>
      </c>
      <c r="B312" s="35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5"/>
      <c r="P312" s="33"/>
      <c r="Q312" s="33"/>
      <c r="R312" s="158"/>
      <c r="S312" s="158"/>
      <c r="T312" s="159">
        <f t="shared" si="55"/>
        <v>0</v>
      </c>
      <c r="U312" s="30"/>
      <c r="V312" s="30"/>
      <c r="W312" s="30"/>
      <c r="X312" s="30"/>
      <c r="Y312" s="238"/>
      <c r="Z312" s="242"/>
      <c r="AA312" s="33"/>
      <c r="AB312" s="160"/>
      <c r="AC312" s="161"/>
      <c r="AD312" s="162"/>
      <c r="AE312" s="163"/>
      <c r="AF312" s="23">
        <f t="shared" si="49"/>
        <v>0</v>
      </c>
      <c r="AG312" s="161">
        <f t="shared" si="53"/>
        <v>0</v>
      </c>
      <c r="AH312" s="164">
        <f t="shared" si="56"/>
        <v>0</v>
      </c>
      <c r="AI312" s="23"/>
      <c r="AJ312" s="23"/>
      <c r="AK312" s="165"/>
      <c r="AL312" s="161"/>
      <c r="AM312" s="166"/>
      <c r="AN312" s="161"/>
      <c r="AO312" s="166"/>
      <c r="AP312" s="161"/>
      <c r="AQ312" s="161"/>
      <c r="AR312" s="161"/>
      <c r="AS312" s="167">
        <v>35000</v>
      </c>
      <c r="AT312" s="167">
        <v>30000</v>
      </c>
      <c r="AU312" s="167"/>
      <c r="AV312" s="167"/>
      <c r="AW312" s="167"/>
      <c r="AX312" s="167">
        <f t="shared" si="54"/>
        <v>65000</v>
      </c>
      <c r="AY312" s="168">
        <f t="shared" si="50"/>
        <v>-65000</v>
      </c>
      <c r="AZ312" s="168">
        <f t="shared" si="51"/>
        <v>-65000</v>
      </c>
      <c r="BA312" s="168">
        <f t="shared" si="52"/>
        <v>0</v>
      </c>
      <c r="BB312" s="168">
        <f t="shared" si="57"/>
        <v>-32500</v>
      </c>
      <c r="BC312" s="168">
        <f t="shared" si="58"/>
        <v>-29250</v>
      </c>
      <c r="BD312" s="169">
        <v>50000</v>
      </c>
      <c r="BE312" s="169"/>
      <c r="BF312" s="168">
        <f t="shared" si="59"/>
        <v>-79250</v>
      </c>
      <c r="BG312" s="33"/>
      <c r="BH312" s="16"/>
      <c r="BI312" s="16"/>
    </row>
    <row r="313" spans="1:61" ht="16.899999999999999">
      <c r="A313" s="36">
        <v>312</v>
      </c>
      <c r="B313" s="35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5"/>
      <c r="P313" s="33"/>
      <c r="Q313" s="33"/>
      <c r="R313" s="158"/>
      <c r="S313" s="158"/>
      <c r="T313" s="159">
        <f t="shared" si="55"/>
        <v>0</v>
      </c>
      <c r="U313" s="30"/>
      <c r="V313" s="30"/>
      <c r="W313" s="30"/>
      <c r="X313" s="30"/>
      <c r="Y313" s="238"/>
      <c r="Z313" s="242"/>
      <c r="AA313" s="33"/>
      <c r="AB313" s="160"/>
      <c r="AC313" s="161"/>
      <c r="AD313" s="162"/>
      <c r="AE313" s="163"/>
      <c r="AF313" s="23">
        <f t="shared" si="49"/>
        <v>0</v>
      </c>
      <c r="AG313" s="161">
        <f t="shared" si="53"/>
        <v>0</v>
      </c>
      <c r="AH313" s="164">
        <f t="shared" si="56"/>
        <v>0</v>
      </c>
      <c r="AI313" s="23"/>
      <c r="AJ313" s="23"/>
      <c r="AK313" s="165"/>
      <c r="AL313" s="161"/>
      <c r="AM313" s="166"/>
      <c r="AN313" s="161"/>
      <c r="AO313" s="166"/>
      <c r="AP313" s="161"/>
      <c r="AQ313" s="161"/>
      <c r="AR313" s="161"/>
      <c r="AS313" s="167">
        <v>35000</v>
      </c>
      <c r="AT313" s="167">
        <v>30000</v>
      </c>
      <c r="AU313" s="167"/>
      <c r="AV313" s="167"/>
      <c r="AW313" s="167"/>
      <c r="AX313" s="167">
        <f t="shared" si="54"/>
        <v>65000</v>
      </c>
      <c r="AY313" s="168">
        <f t="shared" si="50"/>
        <v>-65000</v>
      </c>
      <c r="AZ313" s="168">
        <f t="shared" si="51"/>
        <v>-65000</v>
      </c>
      <c r="BA313" s="168">
        <f t="shared" si="52"/>
        <v>0</v>
      </c>
      <c r="BB313" s="168">
        <f t="shared" si="57"/>
        <v>-32500</v>
      </c>
      <c r="BC313" s="168">
        <f t="shared" si="58"/>
        <v>-29250</v>
      </c>
      <c r="BD313" s="169">
        <v>50000</v>
      </c>
      <c r="BE313" s="169"/>
      <c r="BF313" s="168">
        <f t="shared" si="59"/>
        <v>-79250</v>
      </c>
      <c r="BG313" s="33"/>
      <c r="BH313" s="16"/>
      <c r="BI313" s="16"/>
    </row>
    <row r="314" spans="1:61" ht="16.899999999999999">
      <c r="A314" s="36">
        <v>313</v>
      </c>
      <c r="B314" s="35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5"/>
      <c r="P314" s="33"/>
      <c r="Q314" s="33"/>
      <c r="R314" s="158"/>
      <c r="S314" s="158"/>
      <c r="T314" s="159">
        <f t="shared" si="55"/>
        <v>0</v>
      </c>
      <c r="U314" s="30"/>
      <c r="V314" s="30"/>
      <c r="W314" s="30"/>
      <c r="X314" s="30"/>
      <c r="Y314" s="238"/>
      <c r="Z314" s="242"/>
      <c r="AA314" s="33"/>
      <c r="AB314" s="160"/>
      <c r="AC314" s="161"/>
      <c r="AD314" s="162"/>
      <c r="AE314" s="163"/>
      <c r="AF314" s="23">
        <f t="shared" si="49"/>
        <v>0</v>
      </c>
      <c r="AG314" s="161">
        <f t="shared" si="53"/>
        <v>0</v>
      </c>
      <c r="AH314" s="164">
        <f t="shared" si="56"/>
        <v>0</v>
      </c>
      <c r="AI314" s="37"/>
      <c r="AJ314" s="37"/>
      <c r="AK314" s="165"/>
      <c r="AL314" s="161"/>
      <c r="AM314" s="166"/>
      <c r="AN314" s="161"/>
      <c r="AO314" s="166"/>
      <c r="AP314" s="161"/>
      <c r="AQ314" s="161"/>
      <c r="AR314" s="161"/>
      <c r="AS314" s="167">
        <v>35000</v>
      </c>
      <c r="AT314" s="167">
        <v>30000</v>
      </c>
      <c r="AU314" s="167"/>
      <c r="AV314" s="167"/>
      <c r="AW314" s="167"/>
      <c r="AX314" s="167">
        <f t="shared" si="54"/>
        <v>65000</v>
      </c>
      <c r="AY314" s="168">
        <f t="shared" si="50"/>
        <v>-65000</v>
      </c>
      <c r="AZ314" s="168">
        <f t="shared" si="51"/>
        <v>-65000</v>
      </c>
      <c r="BA314" s="168">
        <f t="shared" si="52"/>
        <v>0</v>
      </c>
      <c r="BB314" s="168">
        <f t="shared" si="57"/>
        <v>-32500</v>
      </c>
      <c r="BC314" s="168">
        <f t="shared" si="58"/>
        <v>-29250</v>
      </c>
      <c r="BD314" s="169">
        <v>50000</v>
      </c>
      <c r="BE314" s="169"/>
      <c r="BF314" s="168">
        <f t="shared" si="59"/>
        <v>-79250</v>
      </c>
      <c r="BG314" s="33"/>
      <c r="BH314" s="16"/>
      <c r="BI314" s="16"/>
    </row>
    <row r="315" spans="1:61" ht="16.899999999999999">
      <c r="A315" s="36">
        <v>314</v>
      </c>
      <c r="B315" s="35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5"/>
      <c r="P315" s="33"/>
      <c r="Q315" s="33"/>
      <c r="R315" s="158"/>
      <c r="S315" s="158"/>
      <c r="T315" s="159">
        <f t="shared" si="55"/>
        <v>0</v>
      </c>
      <c r="U315" s="30"/>
      <c r="V315" s="30"/>
      <c r="W315" s="30"/>
      <c r="X315" s="30"/>
      <c r="Y315" s="238"/>
      <c r="Z315" s="242"/>
      <c r="AA315" s="33"/>
      <c r="AB315" s="160"/>
      <c r="AC315" s="161"/>
      <c r="AD315" s="162"/>
      <c r="AE315" s="163"/>
      <c r="AF315" s="23">
        <f t="shared" si="49"/>
        <v>0</v>
      </c>
      <c r="AG315" s="161">
        <f t="shared" si="53"/>
        <v>0</v>
      </c>
      <c r="AH315" s="164">
        <f t="shared" si="56"/>
        <v>0</v>
      </c>
      <c r="AI315" s="23"/>
      <c r="AJ315" s="23"/>
      <c r="AK315" s="165"/>
      <c r="AL315" s="161"/>
      <c r="AM315" s="166"/>
      <c r="AN315" s="161"/>
      <c r="AO315" s="166"/>
      <c r="AP315" s="161"/>
      <c r="AQ315" s="161"/>
      <c r="AR315" s="161"/>
      <c r="AS315" s="167">
        <v>35000</v>
      </c>
      <c r="AT315" s="167">
        <v>30000</v>
      </c>
      <c r="AU315" s="167"/>
      <c r="AV315" s="167"/>
      <c r="AW315" s="167"/>
      <c r="AX315" s="167">
        <f t="shared" si="54"/>
        <v>65000</v>
      </c>
      <c r="AY315" s="168">
        <f t="shared" si="50"/>
        <v>-65000</v>
      </c>
      <c r="AZ315" s="168">
        <f t="shared" si="51"/>
        <v>-65000</v>
      </c>
      <c r="BA315" s="168">
        <f t="shared" si="52"/>
        <v>0</v>
      </c>
      <c r="BB315" s="168">
        <f t="shared" si="57"/>
        <v>-32500</v>
      </c>
      <c r="BC315" s="168">
        <f t="shared" si="58"/>
        <v>-29250</v>
      </c>
      <c r="BD315" s="169">
        <v>50000</v>
      </c>
      <c r="BE315" s="169"/>
      <c r="BF315" s="168">
        <f t="shared" si="59"/>
        <v>-79250</v>
      </c>
      <c r="BG315" s="33"/>
      <c r="BH315" s="16"/>
      <c r="BI315" s="16"/>
    </row>
    <row r="316" spans="1:61" ht="16.899999999999999">
      <c r="A316" s="36">
        <v>315</v>
      </c>
      <c r="B316" s="35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5"/>
      <c r="P316" s="33"/>
      <c r="Q316" s="33"/>
      <c r="R316" s="158"/>
      <c r="S316" s="158"/>
      <c r="T316" s="159">
        <f t="shared" si="55"/>
        <v>0</v>
      </c>
      <c r="U316" s="30"/>
      <c r="V316" s="30"/>
      <c r="W316" s="30"/>
      <c r="X316" s="30"/>
      <c r="Y316" s="238"/>
      <c r="Z316" s="242"/>
      <c r="AA316" s="33"/>
      <c r="AB316" s="160"/>
      <c r="AC316" s="161"/>
      <c r="AD316" s="162"/>
      <c r="AE316" s="163"/>
      <c r="AF316" s="23">
        <f t="shared" si="49"/>
        <v>0</v>
      </c>
      <c r="AG316" s="161">
        <f t="shared" si="53"/>
        <v>0</v>
      </c>
      <c r="AH316" s="164">
        <f t="shared" si="56"/>
        <v>0</v>
      </c>
      <c r="AI316" s="23"/>
      <c r="AJ316" s="23"/>
      <c r="AK316" s="165"/>
      <c r="AL316" s="161"/>
      <c r="AM316" s="166"/>
      <c r="AN316" s="161"/>
      <c r="AO316" s="166"/>
      <c r="AP316" s="161"/>
      <c r="AQ316" s="161"/>
      <c r="AR316" s="161"/>
      <c r="AS316" s="167">
        <v>35000</v>
      </c>
      <c r="AT316" s="167">
        <v>30000</v>
      </c>
      <c r="AU316" s="167"/>
      <c r="AV316" s="167"/>
      <c r="AW316" s="167"/>
      <c r="AX316" s="167">
        <f t="shared" si="54"/>
        <v>65000</v>
      </c>
      <c r="AY316" s="168">
        <f t="shared" si="50"/>
        <v>-65000</v>
      </c>
      <c r="AZ316" s="168">
        <f t="shared" si="51"/>
        <v>-65000</v>
      </c>
      <c r="BA316" s="168">
        <f t="shared" si="52"/>
        <v>0</v>
      </c>
      <c r="BB316" s="168">
        <f t="shared" si="57"/>
        <v>-32500</v>
      </c>
      <c r="BC316" s="168">
        <f t="shared" si="58"/>
        <v>-29250</v>
      </c>
      <c r="BD316" s="169">
        <v>50000</v>
      </c>
      <c r="BE316" s="169"/>
      <c r="BF316" s="168">
        <f t="shared" si="59"/>
        <v>-79250</v>
      </c>
      <c r="BG316" s="33"/>
      <c r="BH316" s="16"/>
      <c r="BI316" s="16"/>
    </row>
    <row r="317" spans="1:61" ht="16.899999999999999">
      <c r="A317" s="36">
        <v>316</v>
      </c>
      <c r="B317" s="35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5"/>
      <c r="P317" s="33"/>
      <c r="Q317" s="33"/>
      <c r="R317" s="158"/>
      <c r="S317" s="158"/>
      <c r="T317" s="159">
        <f t="shared" si="55"/>
        <v>0</v>
      </c>
      <c r="U317" s="30"/>
      <c r="V317" s="30"/>
      <c r="W317" s="30"/>
      <c r="X317" s="30"/>
      <c r="Y317" s="238"/>
      <c r="Z317" s="242"/>
      <c r="AA317" s="33"/>
      <c r="AB317" s="160"/>
      <c r="AC317" s="161"/>
      <c r="AD317" s="162"/>
      <c r="AE317" s="163"/>
      <c r="AF317" s="23">
        <f t="shared" si="49"/>
        <v>0</v>
      </c>
      <c r="AG317" s="161">
        <f t="shared" si="53"/>
        <v>0</v>
      </c>
      <c r="AH317" s="164">
        <f t="shared" si="56"/>
        <v>0</v>
      </c>
      <c r="AI317" s="23"/>
      <c r="AJ317" s="23"/>
      <c r="AK317" s="165"/>
      <c r="AL317" s="161"/>
      <c r="AM317" s="166"/>
      <c r="AN317" s="161"/>
      <c r="AO317" s="166"/>
      <c r="AP317" s="161"/>
      <c r="AQ317" s="161"/>
      <c r="AR317" s="161"/>
      <c r="AS317" s="167">
        <v>35000</v>
      </c>
      <c r="AT317" s="167">
        <v>30000</v>
      </c>
      <c r="AU317" s="167"/>
      <c r="AV317" s="167"/>
      <c r="AW317" s="167"/>
      <c r="AX317" s="167">
        <f t="shared" si="54"/>
        <v>65000</v>
      </c>
      <c r="AY317" s="168">
        <f t="shared" si="50"/>
        <v>-65000</v>
      </c>
      <c r="AZ317" s="168">
        <f t="shared" si="51"/>
        <v>-65000</v>
      </c>
      <c r="BA317" s="168">
        <f t="shared" si="52"/>
        <v>0</v>
      </c>
      <c r="BB317" s="168">
        <f t="shared" si="57"/>
        <v>-32500</v>
      </c>
      <c r="BC317" s="168">
        <f t="shared" si="58"/>
        <v>-29250</v>
      </c>
      <c r="BD317" s="169">
        <v>50000</v>
      </c>
      <c r="BE317" s="169"/>
      <c r="BF317" s="168">
        <f t="shared" si="59"/>
        <v>-79250</v>
      </c>
      <c r="BG317" s="33"/>
      <c r="BH317" s="16"/>
      <c r="BI317" s="16"/>
    </row>
    <row r="318" spans="1:61" ht="16.899999999999999">
      <c r="A318" s="36">
        <v>317</v>
      </c>
      <c r="B318" s="35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5"/>
      <c r="P318" s="33"/>
      <c r="Q318" s="33"/>
      <c r="R318" s="158"/>
      <c r="S318" s="158"/>
      <c r="T318" s="159">
        <f t="shared" si="55"/>
        <v>0</v>
      </c>
      <c r="U318" s="30"/>
      <c r="V318" s="30"/>
      <c r="W318" s="30"/>
      <c r="X318" s="30"/>
      <c r="Y318" s="238"/>
      <c r="Z318" s="242"/>
      <c r="AA318" s="33"/>
      <c r="AB318" s="160"/>
      <c r="AC318" s="161"/>
      <c r="AD318" s="162"/>
      <c r="AE318" s="163"/>
      <c r="AF318" s="23">
        <f t="shared" si="49"/>
        <v>0</v>
      </c>
      <c r="AG318" s="161">
        <f t="shared" si="53"/>
        <v>0</v>
      </c>
      <c r="AH318" s="164">
        <f t="shared" si="56"/>
        <v>0</v>
      </c>
      <c r="AI318" s="37"/>
      <c r="AJ318" s="37"/>
      <c r="AK318" s="165"/>
      <c r="AL318" s="161"/>
      <c r="AM318" s="166"/>
      <c r="AN318" s="161"/>
      <c r="AO318" s="166"/>
      <c r="AP318" s="161"/>
      <c r="AQ318" s="161"/>
      <c r="AR318" s="161"/>
      <c r="AS318" s="167">
        <v>35000</v>
      </c>
      <c r="AT318" s="167">
        <v>30000</v>
      </c>
      <c r="AU318" s="167"/>
      <c r="AV318" s="167"/>
      <c r="AW318" s="167"/>
      <c r="AX318" s="167">
        <f t="shared" si="54"/>
        <v>65000</v>
      </c>
      <c r="AY318" s="168">
        <f t="shared" si="50"/>
        <v>-65000</v>
      </c>
      <c r="AZ318" s="168">
        <f t="shared" si="51"/>
        <v>-65000</v>
      </c>
      <c r="BA318" s="168">
        <f t="shared" si="52"/>
        <v>0</v>
      </c>
      <c r="BB318" s="168">
        <f t="shared" si="57"/>
        <v>-32500</v>
      </c>
      <c r="BC318" s="168">
        <f t="shared" si="58"/>
        <v>-29250</v>
      </c>
      <c r="BD318" s="169">
        <v>50000</v>
      </c>
      <c r="BE318" s="169"/>
      <c r="BF318" s="168">
        <f t="shared" si="59"/>
        <v>-79250</v>
      </c>
      <c r="BG318" s="33"/>
      <c r="BH318" s="16"/>
      <c r="BI318" s="16"/>
    </row>
    <row r="319" spans="1:61" ht="16.899999999999999">
      <c r="A319" s="36">
        <v>318</v>
      </c>
      <c r="B319" s="35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5"/>
      <c r="P319" s="33"/>
      <c r="Q319" s="33"/>
      <c r="R319" s="158"/>
      <c r="S319" s="158"/>
      <c r="T319" s="159">
        <f t="shared" si="55"/>
        <v>0</v>
      </c>
      <c r="U319" s="30"/>
      <c r="V319" s="30"/>
      <c r="W319" s="30"/>
      <c r="X319" s="30"/>
      <c r="Y319" s="238"/>
      <c r="Z319" s="242"/>
      <c r="AA319" s="33"/>
      <c r="AB319" s="160"/>
      <c r="AC319" s="161"/>
      <c r="AD319" s="162"/>
      <c r="AE319" s="163"/>
      <c r="AF319" s="23">
        <f t="shared" si="49"/>
        <v>0</v>
      </c>
      <c r="AG319" s="161">
        <f t="shared" si="53"/>
        <v>0</v>
      </c>
      <c r="AH319" s="164">
        <f t="shared" si="56"/>
        <v>0</v>
      </c>
      <c r="AI319" s="23"/>
      <c r="AJ319" s="23"/>
      <c r="AK319" s="165"/>
      <c r="AL319" s="161"/>
      <c r="AM319" s="166"/>
      <c r="AN319" s="161"/>
      <c r="AO319" s="166"/>
      <c r="AP319" s="161"/>
      <c r="AQ319" s="161"/>
      <c r="AR319" s="161"/>
      <c r="AS319" s="167">
        <v>35000</v>
      </c>
      <c r="AT319" s="167">
        <v>30000</v>
      </c>
      <c r="AU319" s="167"/>
      <c r="AV319" s="167"/>
      <c r="AW319" s="167"/>
      <c r="AX319" s="167">
        <f t="shared" si="54"/>
        <v>65000</v>
      </c>
      <c r="AY319" s="168">
        <f t="shared" si="50"/>
        <v>-65000</v>
      </c>
      <c r="AZ319" s="168">
        <f t="shared" si="51"/>
        <v>-65000</v>
      </c>
      <c r="BA319" s="168">
        <f t="shared" si="52"/>
        <v>0</v>
      </c>
      <c r="BB319" s="168">
        <f t="shared" si="57"/>
        <v>-32500</v>
      </c>
      <c r="BC319" s="168">
        <f t="shared" si="58"/>
        <v>-29250</v>
      </c>
      <c r="BD319" s="169">
        <v>50000</v>
      </c>
      <c r="BE319" s="169"/>
      <c r="BF319" s="168">
        <f t="shared" si="59"/>
        <v>-79250</v>
      </c>
      <c r="BG319" s="33"/>
      <c r="BH319" s="16"/>
      <c r="BI319" s="16"/>
    </row>
    <row r="320" spans="1:61" ht="16.899999999999999">
      <c r="A320" s="36">
        <v>319</v>
      </c>
      <c r="B320" s="35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5"/>
      <c r="P320" s="33"/>
      <c r="Q320" s="33"/>
      <c r="R320" s="158"/>
      <c r="S320" s="158"/>
      <c r="T320" s="159">
        <f t="shared" si="55"/>
        <v>0</v>
      </c>
      <c r="U320" s="30"/>
      <c r="V320" s="30"/>
      <c r="W320" s="30"/>
      <c r="X320" s="30"/>
      <c r="Y320" s="238"/>
      <c r="Z320" s="242"/>
      <c r="AA320" s="33"/>
      <c r="AB320" s="160"/>
      <c r="AC320" s="161"/>
      <c r="AD320" s="162"/>
      <c r="AE320" s="163"/>
      <c r="AF320" s="23">
        <f t="shared" si="49"/>
        <v>0</v>
      </c>
      <c r="AG320" s="161">
        <f t="shared" si="53"/>
        <v>0</v>
      </c>
      <c r="AH320" s="164">
        <f t="shared" si="56"/>
        <v>0</v>
      </c>
      <c r="AI320" s="23"/>
      <c r="AJ320" s="23"/>
      <c r="AK320" s="165"/>
      <c r="AL320" s="161"/>
      <c r="AM320" s="166"/>
      <c r="AN320" s="161"/>
      <c r="AO320" s="166"/>
      <c r="AP320" s="161"/>
      <c r="AQ320" s="161"/>
      <c r="AR320" s="161"/>
      <c r="AS320" s="167">
        <v>35000</v>
      </c>
      <c r="AT320" s="167">
        <v>30000</v>
      </c>
      <c r="AU320" s="167"/>
      <c r="AV320" s="167"/>
      <c r="AW320" s="167"/>
      <c r="AX320" s="167">
        <f t="shared" si="54"/>
        <v>65000</v>
      </c>
      <c r="AY320" s="168">
        <f t="shared" si="50"/>
        <v>-65000</v>
      </c>
      <c r="AZ320" s="168">
        <f t="shared" si="51"/>
        <v>-65000</v>
      </c>
      <c r="BA320" s="168">
        <f t="shared" si="52"/>
        <v>0</v>
      </c>
      <c r="BB320" s="168">
        <f t="shared" si="57"/>
        <v>-32500</v>
      </c>
      <c r="BC320" s="168">
        <f t="shared" si="58"/>
        <v>-29250</v>
      </c>
      <c r="BD320" s="169">
        <v>50000</v>
      </c>
      <c r="BE320" s="169"/>
      <c r="BF320" s="168">
        <f t="shared" si="59"/>
        <v>-79250</v>
      </c>
      <c r="BG320" s="33"/>
      <c r="BH320" s="16"/>
      <c r="BI320" s="16"/>
    </row>
    <row r="321" spans="1:61" ht="16.5" customHeight="1">
      <c r="A321" s="36">
        <v>320</v>
      </c>
      <c r="B321" s="35"/>
      <c r="C321" s="33"/>
      <c r="D321" s="33"/>
      <c r="E321" s="33"/>
      <c r="F321" s="38"/>
      <c r="G321" s="38"/>
      <c r="H321" s="38"/>
      <c r="I321" s="38"/>
      <c r="J321" s="38"/>
      <c r="K321" s="38"/>
      <c r="L321" s="33"/>
      <c r="M321" s="33"/>
      <c r="N321" s="38"/>
      <c r="O321" s="33"/>
      <c r="P321" s="38"/>
      <c r="Q321" s="216"/>
      <c r="R321" s="158"/>
      <c r="S321" s="160"/>
      <c r="T321" s="159">
        <f t="shared" si="55"/>
        <v>0</v>
      </c>
      <c r="U321" s="30"/>
      <c r="V321" s="30"/>
      <c r="W321" s="30"/>
      <c r="X321" s="30"/>
      <c r="Y321" s="238"/>
      <c r="Z321" s="242"/>
      <c r="AA321" s="38"/>
      <c r="AB321" s="160"/>
      <c r="AC321" s="161"/>
      <c r="AD321" s="162"/>
      <c r="AE321" s="163"/>
      <c r="AF321" s="23">
        <f t="shared" ref="AF321:AF384" si="60">SUM(Y321,AB321:AE321)</f>
        <v>0</v>
      </c>
      <c r="AG321" s="161">
        <f t="shared" si="53"/>
        <v>0</v>
      </c>
      <c r="AH321" s="164">
        <f t="shared" si="56"/>
        <v>0</v>
      </c>
      <c r="AI321" s="37"/>
      <c r="AJ321" s="37"/>
      <c r="AK321" s="165"/>
      <c r="AL321" s="161"/>
      <c r="AM321" s="166"/>
      <c r="AN321" s="170"/>
      <c r="AO321" s="166"/>
      <c r="AP321" s="161"/>
      <c r="AQ321" s="161"/>
      <c r="AR321" s="161"/>
      <c r="AS321" s="167">
        <v>35000</v>
      </c>
      <c r="AT321" s="167">
        <v>30000</v>
      </c>
      <c r="AU321" s="167"/>
      <c r="AV321" s="167"/>
      <c r="AW321" s="171"/>
      <c r="AX321" s="167">
        <f t="shared" si="54"/>
        <v>65000</v>
      </c>
      <c r="AY321" s="168">
        <f t="shared" ref="AY321:AY384" si="61">SUM(AF321-AB321)*Z321-AX321</f>
        <v>-65000</v>
      </c>
      <c r="AZ321" s="168">
        <f t="shared" ref="AZ321:AZ384" si="62">SUM(AY321-T321)</f>
        <v>-65000</v>
      </c>
      <c r="BA321" s="168">
        <f t="shared" ref="BA321:BA384" si="63">SUM(R321*0.09)</f>
        <v>0</v>
      </c>
      <c r="BB321" s="168">
        <f t="shared" si="57"/>
        <v>-32500</v>
      </c>
      <c r="BC321" s="168">
        <f t="shared" si="58"/>
        <v>-29250</v>
      </c>
      <c r="BD321" s="169">
        <v>50000</v>
      </c>
      <c r="BE321" s="172"/>
      <c r="BF321" s="168">
        <f t="shared" si="59"/>
        <v>-79250</v>
      </c>
      <c r="BG321" s="33"/>
      <c r="BH321" s="16"/>
      <c r="BI321" s="16"/>
    </row>
    <row r="322" spans="1:61" ht="16.899999999999999">
      <c r="A322" s="36">
        <v>321</v>
      </c>
      <c r="B322" s="35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5"/>
      <c r="P322" s="33"/>
      <c r="Q322" s="33"/>
      <c r="R322" s="158"/>
      <c r="S322" s="158"/>
      <c r="T322" s="159">
        <f t="shared" si="55"/>
        <v>0</v>
      </c>
      <c r="U322" s="30"/>
      <c r="V322" s="30"/>
      <c r="W322" s="30"/>
      <c r="X322" s="30"/>
      <c r="Y322" s="238"/>
      <c r="Z322" s="242"/>
      <c r="AA322" s="33"/>
      <c r="AB322" s="160"/>
      <c r="AC322" s="161"/>
      <c r="AD322" s="162"/>
      <c r="AE322" s="163"/>
      <c r="AF322" s="23">
        <f t="shared" si="60"/>
        <v>0</v>
      </c>
      <c r="AG322" s="161">
        <f t="shared" ref="AG322:AG385" si="64">SUM(AL322+AN322+AP322+AQ322-AR322)</f>
        <v>0</v>
      </c>
      <c r="AH322" s="164">
        <f t="shared" si="56"/>
        <v>0</v>
      </c>
      <c r="AI322" s="23"/>
      <c r="AJ322" s="23"/>
      <c r="AK322" s="165"/>
      <c r="AL322" s="161"/>
      <c r="AM322" s="166"/>
      <c r="AN322" s="161"/>
      <c r="AO322" s="166"/>
      <c r="AP322" s="161"/>
      <c r="AQ322" s="161"/>
      <c r="AR322" s="161"/>
      <c r="AS322" s="167">
        <v>35000</v>
      </c>
      <c r="AT322" s="167">
        <v>30000</v>
      </c>
      <c r="AU322" s="167"/>
      <c r="AV322" s="167"/>
      <c r="AW322" s="167"/>
      <c r="AX322" s="167">
        <f t="shared" ref="AX322:AX385" si="65">SUM(AS322:AW322)</f>
        <v>65000</v>
      </c>
      <c r="AY322" s="168">
        <f t="shared" si="61"/>
        <v>-65000</v>
      </c>
      <c r="AZ322" s="168">
        <f t="shared" si="62"/>
        <v>-65000</v>
      </c>
      <c r="BA322" s="168">
        <f t="shared" si="63"/>
        <v>0</v>
      </c>
      <c r="BB322" s="168">
        <f t="shared" si="57"/>
        <v>-32500</v>
      </c>
      <c r="BC322" s="168">
        <f t="shared" si="58"/>
        <v>-29250</v>
      </c>
      <c r="BD322" s="169">
        <v>50000</v>
      </c>
      <c r="BE322" s="169"/>
      <c r="BF322" s="168">
        <f t="shared" si="59"/>
        <v>-79250</v>
      </c>
      <c r="BG322" s="33"/>
      <c r="BH322" s="16"/>
      <c r="BI322" s="16"/>
    </row>
    <row r="323" spans="1:61" ht="16.899999999999999">
      <c r="A323" s="36">
        <v>322</v>
      </c>
      <c r="B323" s="35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5"/>
      <c r="P323" s="33"/>
      <c r="Q323" s="33"/>
      <c r="R323" s="158"/>
      <c r="S323" s="158"/>
      <c r="T323" s="159">
        <f t="shared" si="55"/>
        <v>0</v>
      </c>
      <c r="U323" s="30"/>
      <c r="V323" s="30"/>
      <c r="W323" s="30"/>
      <c r="X323" s="30"/>
      <c r="Y323" s="238"/>
      <c r="Z323" s="242"/>
      <c r="AA323" s="33"/>
      <c r="AB323" s="160"/>
      <c r="AC323" s="161"/>
      <c r="AD323" s="162"/>
      <c r="AE323" s="163"/>
      <c r="AF323" s="23">
        <f t="shared" si="60"/>
        <v>0</v>
      </c>
      <c r="AG323" s="161">
        <f t="shared" si="64"/>
        <v>0</v>
      </c>
      <c r="AH323" s="164">
        <f t="shared" si="56"/>
        <v>0</v>
      </c>
      <c r="AI323" s="23"/>
      <c r="AJ323" s="23"/>
      <c r="AK323" s="165"/>
      <c r="AL323" s="161"/>
      <c r="AM323" s="166"/>
      <c r="AN323" s="161"/>
      <c r="AO323" s="166"/>
      <c r="AP323" s="161"/>
      <c r="AQ323" s="161"/>
      <c r="AR323" s="161"/>
      <c r="AS323" s="167">
        <v>35000</v>
      </c>
      <c r="AT323" s="167">
        <v>30000</v>
      </c>
      <c r="AU323" s="167"/>
      <c r="AV323" s="167"/>
      <c r="AW323" s="167"/>
      <c r="AX323" s="167">
        <f t="shared" si="65"/>
        <v>65000</v>
      </c>
      <c r="AY323" s="168">
        <f t="shared" si="61"/>
        <v>-65000</v>
      </c>
      <c r="AZ323" s="168">
        <f t="shared" si="62"/>
        <v>-65000</v>
      </c>
      <c r="BA323" s="168">
        <f t="shared" si="63"/>
        <v>0</v>
      </c>
      <c r="BB323" s="168">
        <f t="shared" si="57"/>
        <v>-32500</v>
      </c>
      <c r="BC323" s="168">
        <f t="shared" si="58"/>
        <v>-29250</v>
      </c>
      <c r="BD323" s="169">
        <v>50000</v>
      </c>
      <c r="BE323" s="169"/>
      <c r="BF323" s="168">
        <f t="shared" si="59"/>
        <v>-79250</v>
      </c>
      <c r="BG323" s="33"/>
      <c r="BH323" s="16"/>
      <c r="BI323" s="16"/>
    </row>
    <row r="324" spans="1:61" s="6" customFormat="1" ht="16.899999999999999">
      <c r="A324" s="36">
        <v>323</v>
      </c>
      <c r="B324" s="35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5"/>
      <c r="P324" s="33"/>
      <c r="Q324" s="33"/>
      <c r="R324" s="158"/>
      <c r="S324" s="158"/>
      <c r="T324" s="159">
        <f t="shared" si="55"/>
        <v>0</v>
      </c>
      <c r="U324" s="30"/>
      <c r="V324" s="30"/>
      <c r="W324" s="30"/>
      <c r="X324" s="30"/>
      <c r="Y324" s="238"/>
      <c r="Z324" s="242"/>
      <c r="AA324" s="33"/>
      <c r="AB324" s="160"/>
      <c r="AC324" s="161"/>
      <c r="AD324" s="162"/>
      <c r="AE324" s="163"/>
      <c r="AF324" s="23">
        <f t="shared" si="60"/>
        <v>0</v>
      </c>
      <c r="AG324" s="161">
        <f t="shared" si="64"/>
        <v>0</v>
      </c>
      <c r="AH324" s="164">
        <f t="shared" si="56"/>
        <v>0</v>
      </c>
      <c r="AI324" s="23"/>
      <c r="AJ324" s="23"/>
      <c r="AK324" s="165"/>
      <c r="AL324" s="161"/>
      <c r="AM324" s="166"/>
      <c r="AN324" s="161"/>
      <c r="AO324" s="166"/>
      <c r="AP324" s="161"/>
      <c r="AQ324" s="161"/>
      <c r="AR324" s="161"/>
      <c r="AS324" s="167">
        <v>35000</v>
      </c>
      <c r="AT324" s="167">
        <v>30000</v>
      </c>
      <c r="AU324" s="167"/>
      <c r="AV324" s="167"/>
      <c r="AW324" s="167"/>
      <c r="AX324" s="167">
        <f t="shared" si="65"/>
        <v>65000</v>
      </c>
      <c r="AY324" s="168">
        <f t="shared" si="61"/>
        <v>-65000</v>
      </c>
      <c r="AZ324" s="168">
        <f t="shared" si="62"/>
        <v>-65000</v>
      </c>
      <c r="BA324" s="168">
        <f t="shared" si="63"/>
        <v>0</v>
      </c>
      <c r="BB324" s="168">
        <f t="shared" si="57"/>
        <v>-32500</v>
      </c>
      <c r="BC324" s="168">
        <f t="shared" si="58"/>
        <v>-29250</v>
      </c>
      <c r="BD324" s="169">
        <v>50000</v>
      </c>
      <c r="BE324" s="169"/>
      <c r="BF324" s="168">
        <f t="shared" si="59"/>
        <v>-79250</v>
      </c>
      <c r="BG324" s="33"/>
      <c r="BH324" s="15"/>
      <c r="BI324" s="15"/>
    </row>
    <row r="325" spans="1:61" s="6" customFormat="1" ht="16.899999999999999">
      <c r="A325" s="36">
        <v>324</v>
      </c>
      <c r="B325" s="35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5"/>
      <c r="P325" s="33"/>
      <c r="Q325" s="33"/>
      <c r="R325" s="158"/>
      <c r="S325" s="158"/>
      <c r="T325" s="159">
        <f t="shared" si="55"/>
        <v>0</v>
      </c>
      <c r="U325" s="30"/>
      <c r="V325" s="30"/>
      <c r="W325" s="30"/>
      <c r="X325" s="30"/>
      <c r="Y325" s="238"/>
      <c r="Z325" s="242"/>
      <c r="AA325" s="33"/>
      <c r="AB325" s="160"/>
      <c r="AC325" s="161"/>
      <c r="AD325" s="162"/>
      <c r="AE325" s="163"/>
      <c r="AF325" s="23">
        <f t="shared" si="60"/>
        <v>0</v>
      </c>
      <c r="AG325" s="161">
        <f t="shared" si="64"/>
        <v>0</v>
      </c>
      <c r="AH325" s="164">
        <f t="shared" si="56"/>
        <v>0</v>
      </c>
      <c r="AI325" s="23"/>
      <c r="AJ325" s="23"/>
      <c r="AK325" s="165"/>
      <c r="AL325" s="161"/>
      <c r="AM325" s="166"/>
      <c r="AN325" s="161"/>
      <c r="AO325" s="166"/>
      <c r="AP325" s="161"/>
      <c r="AQ325" s="161"/>
      <c r="AR325" s="161"/>
      <c r="AS325" s="167">
        <v>35000</v>
      </c>
      <c r="AT325" s="167">
        <v>30000</v>
      </c>
      <c r="AU325" s="167"/>
      <c r="AV325" s="167"/>
      <c r="AW325" s="167"/>
      <c r="AX325" s="167">
        <f t="shared" si="65"/>
        <v>65000</v>
      </c>
      <c r="AY325" s="168">
        <f t="shared" si="61"/>
        <v>-65000</v>
      </c>
      <c r="AZ325" s="168">
        <f t="shared" si="62"/>
        <v>-65000</v>
      </c>
      <c r="BA325" s="168">
        <f t="shared" si="63"/>
        <v>0</v>
      </c>
      <c r="BB325" s="168">
        <f t="shared" si="57"/>
        <v>-32500</v>
      </c>
      <c r="BC325" s="168">
        <f t="shared" si="58"/>
        <v>-29250</v>
      </c>
      <c r="BD325" s="169">
        <v>50000</v>
      </c>
      <c r="BE325" s="169"/>
      <c r="BF325" s="168">
        <f t="shared" si="59"/>
        <v>-79250</v>
      </c>
      <c r="BG325" s="33"/>
      <c r="BH325" s="15"/>
      <c r="BI325" s="15"/>
    </row>
    <row r="326" spans="1:61" s="6" customFormat="1" ht="16.899999999999999">
      <c r="A326" s="36">
        <v>325</v>
      </c>
      <c r="B326" s="35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5"/>
      <c r="P326" s="33"/>
      <c r="Q326" s="33"/>
      <c r="R326" s="158"/>
      <c r="S326" s="158"/>
      <c r="T326" s="159">
        <f t="shared" si="55"/>
        <v>0</v>
      </c>
      <c r="U326" s="30"/>
      <c r="V326" s="30"/>
      <c r="W326" s="30"/>
      <c r="X326" s="30"/>
      <c r="Y326" s="238"/>
      <c r="Z326" s="242"/>
      <c r="AA326" s="33"/>
      <c r="AB326" s="160"/>
      <c r="AC326" s="161"/>
      <c r="AD326" s="162"/>
      <c r="AE326" s="163"/>
      <c r="AF326" s="23">
        <f t="shared" si="60"/>
        <v>0</v>
      </c>
      <c r="AG326" s="161">
        <f t="shared" si="64"/>
        <v>0</v>
      </c>
      <c r="AH326" s="164">
        <f t="shared" si="56"/>
        <v>0</v>
      </c>
      <c r="AI326" s="23"/>
      <c r="AJ326" s="23"/>
      <c r="AK326" s="165"/>
      <c r="AL326" s="161"/>
      <c r="AM326" s="166"/>
      <c r="AN326" s="161"/>
      <c r="AO326" s="166"/>
      <c r="AP326" s="161"/>
      <c r="AQ326" s="161"/>
      <c r="AR326" s="161"/>
      <c r="AS326" s="167">
        <v>35000</v>
      </c>
      <c r="AT326" s="167">
        <v>30000</v>
      </c>
      <c r="AU326" s="167"/>
      <c r="AV326" s="167"/>
      <c r="AW326" s="167"/>
      <c r="AX326" s="167">
        <f t="shared" si="65"/>
        <v>65000</v>
      </c>
      <c r="AY326" s="168">
        <f t="shared" si="61"/>
        <v>-65000</v>
      </c>
      <c r="AZ326" s="168">
        <f t="shared" si="62"/>
        <v>-65000</v>
      </c>
      <c r="BA326" s="168">
        <f t="shared" si="63"/>
        <v>0</v>
      </c>
      <c r="BB326" s="168">
        <f t="shared" si="57"/>
        <v>-32500</v>
      </c>
      <c r="BC326" s="168">
        <f t="shared" si="58"/>
        <v>-29250</v>
      </c>
      <c r="BD326" s="169">
        <v>50000</v>
      </c>
      <c r="BE326" s="169"/>
      <c r="BF326" s="168">
        <f t="shared" si="59"/>
        <v>-79250</v>
      </c>
      <c r="BG326" s="33"/>
      <c r="BH326" s="15"/>
      <c r="BI326" s="15"/>
    </row>
    <row r="327" spans="1:61" s="6" customFormat="1" ht="16.899999999999999">
      <c r="A327" s="36">
        <v>326</v>
      </c>
      <c r="B327" s="35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5"/>
      <c r="P327" s="33"/>
      <c r="Q327" s="33"/>
      <c r="R327" s="158"/>
      <c r="S327" s="158"/>
      <c r="T327" s="159">
        <f t="shared" si="55"/>
        <v>0</v>
      </c>
      <c r="U327" s="30"/>
      <c r="V327" s="30"/>
      <c r="W327" s="30"/>
      <c r="X327" s="30"/>
      <c r="Y327" s="238"/>
      <c r="Z327" s="242"/>
      <c r="AA327" s="33"/>
      <c r="AB327" s="160"/>
      <c r="AC327" s="161"/>
      <c r="AD327" s="162"/>
      <c r="AE327" s="163"/>
      <c r="AF327" s="23">
        <f t="shared" si="60"/>
        <v>0</v>
      </c>
      <c r="AG327" s="161">
        <f t="shared" si="64"/>
        <v>0</v>
      </c>
      <c r="AH327" s="164">
        <f t="shared" si="56"/>
        <v>0</v>
      </c>
      <c r="AI327" s="23"/>
      <c r="AJ327" s="23"/>
      <c r="AK327" s="165"/>
      <c r="AL327" s="161"/>
      <c r="AM327" s="166"/>
      <c r="AN327" s="161"/>
      <c r="AO327" s="166"/>
      <c r="AP327" s="161"/>
      <c r="AQ327" s="161"/>
      <c r="AR327" s="161"/>
      <c r="AS327" s="167">
        <v>35000</v>
      </c>
      <c r="AT327" s="167">
        <v>30000</v>
      </c>
      <c r="AU327" s="167"/>
      <c r="AV327" s="167"/>
      <c r="AW327" s="167"/>
      <c r="AX327" s="167">
        <f t="shared" si="65"/>
        <v>65000</v>
      </c>
      <c r="AY327" s="168">
        <f t="shared" si="61"/>
        <v>-65000</v>
      </c>
      <c r="AZ327" s="168">
        <f t="shared" si="62"/>
        <v>-65000</v>
      </c>
      <c r="BA327" s="168">
        <f t="shared" si="63"/>
        <v>0</v>
      </c>
      <c r="BB327" s="168">
        <f t="shared" si="57"/>
        <v>-32500</v>
      </c>
      <c r="BC327" s="168">
        <f t="shared" si="58"/>
        <v>-29250</v>
      </c>
      <c r="BD327" s="169">
        <v>50000</v>
      </c>
      <c r="BE327" s="169"/>
      <c r="BF327" s="168">
        <f t="shared" si="59"/>
        <v>-79250</v>
      </c>
      <c r="BG327" s="33"/>
      <c r="BH327" s="15"/>
      <c r="BI327" s="15"/>
    </row>
    <row r="328" spans="1:61" s="6" customFormat="1" ht="16.899999999999999">
      <c r="A328" s="36">
        <v>327</v>
      </c>
      <c r="B328" s="35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5"/>
      <c r="P328" s="33"/>
      <c r="Q328" s="33"/>
      <c r="R328" s="158"/>
      <c r="S328" s="158"/>
      <c r="T328" s="159">
        <f t="shared" si="55"/>
        <v>0</v>
      </c>
      <c r="U328" s="30"/>
      <c r="V328" s="30"/>
      <c r="W328" s="30"/>
      <c r="X328" s="30"/>
      <c r="Y328" s="238"/>
      <c r="Z328" s="242"/>
      <c r="AA328" s="33"/>
      <c r="AB328" s="160"/>
      <c r="AC328" s="161"/>
      <c r="AD328" s="162"/>
      <c r="AE328" s="163"/>
      <c r="AF328" s="23">
        <f t="shared" si="60"/>
        <v>0</v>
      </c>
      <c r="AG328" s="161">
        <f t="shared" si="64"/>
        <v>0</v>
      </c>
      <c r="AH328" s="164">
        <f t="shared" si="56"/>
        <v>0</v>
      </c>
      <c r="AI328" s="23"/>
      <c r="AJ328" s="23"/>
      <c r="AK328" s="165"/>
      <c r="AL328" s="161"/>
      <c r="AM328" s="166"/>
      <c r="AN328" s="161"/>
      <c r="AO328" s="166"/>
      <c r="AP328" s="161"/>
      <c r="AQ328" s="161"/>
      <c r="AR328" s="161"/>
      <c r="AS328" s="167">
        <v>35000</v>
      </c>
      <c r="AT328" s="167">
        <v>30000</v>
      </c>
      <c r="AU328" s="167"/>
      <c r="AV328" s="167"/>
      <c r="AW328" s="167"/>
      <c r="AX328" s="167">
        <f t="shared" si="65"/>
        <v>65000</v>
      </c>
      <c r="AY328" s="168">
        <f t="shared" si="61"/>
        <v>-65000</v>
      </c>
      <c r="AZ328" s="168">
        <f t="shared" si="62"/>
        <v>-65000</v>
      </c>
      <c r="BA328" s="168">
        <f t="shared" si="63"/>
        <v>0</v>
      </c>
      <c r="BB328" s="168">
        <f t="shared" si="57"/>
        <v>-32500</v>
      </c>
      <c r="BC328" s="168">
        <f t="shared" si="58"/>
        <v>-29250</v>
      </c>
      <c r="BD328" s="169">
        <v>50000</v>
      </c>
      <c r="BE328" s="169"/>
      <c r="BF328" s="168">
        <f t="shared" si="59"/>
        <v>-79250</v>
      </c>
      <c r="BG328" s="33"/>
      <c r="BH328" s="15"/>
      <c r="BI328" s="15"/>
    </row>
    <row r="329" spans="1:61" s="6" customFormat="1" ht="16.899999999999999">
      <c r="A329" s="36">
        <v>328</v>
      </c>
      <c r="B329" s="35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5"/>
      <c r="P329" s="33"/>
      <c r="Q329" s="33"/>
      <c r="R329" s="158"/>
      <c r="S329" s="158"/>
      <c r="T329" s="159">
        <f t="shared" si="55"/>
        <v>0</v>
      </c>
      <c r="U329" s="30"/>
      <c r="V329" s="30"/>
      <c r="W329" s="30"/>
      <c r="X329" s="30"/>
      <c r="Y329" s="238"/>
      <c r="Z329" s="242"/>
      <c r="AA329" s="33"/>
      <c r="AB329" s="160"/>
      <c r="AC329" s="161"/>
      <c r="AD329" s="162"/>
      <c r="AE329" s="163"/>
      <c r="AF329" s="23">
        <f t="shared" si="60"/>
        <v>0</v>
      </c>
      <c r="AG329" s="161">
        <f t="shared" si="64"/>
        <v>0</v>
      </c>
      <c r="AH329" s="164">
        <f t="shared" si="56"/>
        <v>0</v>
      </c>
      <c r="AI329" s="23"/>
      <c r="AJ329" s="23"/>
      <c r="AK329" s="165"/>
      <c r="AL329" s="161"/>
      <c r="AM329" s="166"/>
      <c r="AN329" s="161"/>
      <c r="AO329" s="166"/>
      <c r="AP329" s="161"/>
      <c r="AQ329" s="161"/>
      <c r="AR329" s="161"/>
      <c r="AS329" s="167">
        <v>35000</v>
      </c>
      <c r="AT329" s="167">
        <v>30000</v>
      </c>
      <c r="AU329" s="167"/>
      <c r="AV329" s="167"/>
      <c r="AW329" s="167"/>
      <c r="AX329" s="167">
        <f t="shared" si="65"/>
        <v>65000</v>
      </c>
      <c r="AY329" s="168">
        <f t="shared" si="61"/>
        <v>-65000</v>
      </c>
      <c r="AZ329" s="168">
        <f t="shared" si="62"/>
        <v>-65000</v>
      </c>
      <c r="BA329" s="168">
        <f t="shared" si="63"/>
        <v>0</v>
      </c>
      <c r="BB329" s="168">
        <f t="shared" si="57"/>
        <v>-32500</v>
      </c>
      <c r="BC329" s="168">
        <f t="shared" si="58"/>
        <v>-29250</v>
      </c>
      <c r="BD329" s="169">
        <v>50000</v>
      </c>
      <c r="BE329" s="169"/>
      <c r="BF329" s="168">
        <f t="shared" si="59"/>
        <v>-79250</v>
      </c>
      <c r="BG329" s="33"/>
      <c r="BH329" s="15"/>
      <c r="BI329" s="15"/>
    </row>
    <row r="330" spans="1:61" s="6" customFormat="1" ht="16.899999999999999">
      <c r="A330" s="36">
        <v>329</v>
      </c>
      <c r="B330" s="35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5"/>
      <c r="P330" s="33"/>
      <c r="Q330" s="33"/>
      <c r="R330" s="158"/>
      <c r="S330" s="158"/>
      <c r="T330" s="159">
        <f t="shared" si="55"/>
        <v>0</v>
      </c>
      <c r="U330" s="30"/>
      <c r="V330" s="30"/>
      <c r="W330" s="30"/>
      <c r="X330" s="30"/>
      <c r="Y330" s="238"/>
      <c r="Z330" s="242"/>
      <c r="AA330" s="33"/>
      <c r="AB330" s="160"/>
      <c r="AC330" s="161"/>
      <c r="AD330" s="162"/>
      <c r="AE330" s="163"/>
      <c r="AF330" s="23">
        <f t="shared" si="60"/>
        <v>0</v>
      </c>
      <c r="AG330" s="161">
        <f t="shared" si="64"/>
        <v>0</v>
      </c>
      <c r="AH330" s="164">
        <f t="shared" si="56"/>
        <v>0</v>
      </c>
      <c r="AI330" s="23"/>
      <c r="AJ330" s="23"/>
      <c r="AK330" s="165"/>
      <c r="AL330" s="161"/>
      <c r="AM330" s="166"/>
      <c r="AN330" s="161"/>
      <c r="AO330" s="166"/>
      <c r="AP330" s="161"/>
      <c r="AQ330" s="161"/>
      <c r="AR330" s="161"/>
      <c r="AS330" s="167">
        <v>35000</v>
      </c>
      <c r="AT330" s="167">
        <v>30000</v>
      </c>
      <c r="AU330" s="167"/>
      <c r="AV330" s="167"/>
      <c r="AW330" s="167"/>
      <c r="AX330" s="167">
        <f t="shared" si="65"/>
        <v>65000</v>
      </c>
      <c r="AY330" s="168">
        <f t="shared" si="61"/>
        <v>-65000</v>
      </c>
      <c r="AZ330" s="168">
        <f t="shared" si="62"/>
        <v>-65000</v>
      </c>
      <c r="BA330" s="168">
        <f t="shared" si="63"/>
        <v>0</v>
      </c>
      <c r="BB330" s="168">
        <f t="shared" si="57"/>
        <v>-32500</v>
      </c>
      <c r="BC330" s="168">
        <f t="shared" si="58"/>
        <v>-29250</v>
      </c>
      <c r="BD330" s="169">
        <v>50000</v>
      </c>
      <c r="BE330" s="169"/>
      <c r="BF330" s="168">
        <f t="shared" si="59"/>
        <v>-79250</v>
      </c>
      <c r="BG330" s="33"/>
      <c r="BH330" s="15"/>
      <c r="BI330" s="15"/>
    </row>
    <row r="331" spans="1:61" s="6" customFormat="1" ht="16.899999999999999">
      <c r="A331" s="36">
        <v>330</v>
      </c>
      <c r="B331" s="35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5"/>
      <c r="P331" s="33"/>
      <c r="Q331" s="33"/>
      <c r="R331" s="158"/>
      <c r="S331" s="158"/>
      <c r="T331" s="159">
        <f t="shared" si="55"/>
        <v>0</v>
      </c>
      <c r="U331" s="30"/>
      <c r="V331" s="30"/>
      <c r="W331" s="30"/>
      <c r="X331" s="30"/>
      <c r="Y331" s="238"/>
      <c r="Z331" s="242"/>
      <c r="AA331" s="33"/>
      <c r="AB331" s="160"/>
      <c r="AC331" s="161"/>
      <c r="AD331" s="162"/>
      <c r="AE331" s="163"/>
      <c r="AF331" s="23">
        <f t="shared" si="60"/>
        <v>0</v>
      </c>
      <c r="AG331" s="161">
        <f t="shared" si="64"/>
        <v>0</v>
      </c>
      <c r="AH331" s="164">
        <f t="shared" si="56"/>
        <v>0</v>
      </c>
      <c r="AI331" s="23"/>
      <c r="AJ331" s="23"/>
      <c r="AK331" s="165"/>
      <c r="AL331" s="161"/>
      <c r="AM331" s="166"/>
      <c r="AN331" s="161"/>
      <c r="AO331" s="166"/>
      <c r="AP331" s="161"/>
      <c r="AQ331" s="161"/>
      <c r="AR331" s="161"/>
      <c r="AS331" s="167">
        <v>35000</v>
      </c>
      <c r="AT331" s="167">
        <v>30000</v>
      </c>
      <c r="AU331" s="167"/>
      <c r="AV331" s="167"/>
      <c r="AW331" s="167"/>
      <c r="AX331" s="167">
        <f t="shared" si="65"/>
        <v>65000</v>
      </c>
      <c r="AY331" s="168">
        <f t="shared" si="61"/>
        <v>-65000</v>
      </c>
      <c r="AZ331" s="168">
        <f t="shared" si="62"/>
        <v>-65000</v>
      </c>
      <c r="BA331" s="168">
        <f t="shared" si="63"/>
        <v>0</v>
      </c>
      <c r="BB331" s="168">
        <f t="shared" si="57"/>
        <v>-32500</v>
      </c>
      <c r="BC331" s="168">
        <f t="shared" si="58"/>
        <v>-29250</v>
      </c>
      <c r="BD331" s="169">
        <v>50000</v>
      </c>
      <c r="BE331" s="169"/>
      <c r="BF331" s="168">
        <f t="shared" si="59"/>
        <v>-79250</v>
      </c>
      <c r="BG331" s="33"/>
      <c r="BH331" s="15"/>
      <c r="BI331" s="15"/>
    </row>
    <row r="332" spans="1:61" s="6" customFormat="1" ht="16.899999999999999">
      <c r="A332" s="36">
        <v>331</v>
      </c>
      <c r="B332" s="35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5"/>
      <c r="P332" s="33"/>
      <c r="Q332" s="33"/>
      <c r="R332" s="158"/>
      <c r="S332" s="158"/>
      <c r="T332" s="159">
        <f t="shared" si="55"/>
        <v>0</v>
      </c>
      <c r="U332" s="30"/>
      <c r="V332" s="30"/>
      <c r="W332" s="30"/>
      <c r="X332" s="30"/>
      <c r="Y332" s="238"/>
      <c r="Z332" s="242"/>
      <c r="AA332" s="33"/>
      <c r="AB332" s="160"/>
      <c r="AC332" s="161"/>
      <c r="AD332" s="162"/>
      <c r="AE332" s="163"/>
      <c r="AF332" s="23">
        <f t="shared" si="60"/>
        <v>0</v>
      </c>
      <c r="AG332" s="161">
        <f t="shared" si="64"/>
        <v>0</v>
      </c>
      <c r="AH332" s="164">
        <f t="shared" si="56"/>
        <v>0</v>
      </c>
      <c r="AI332" s="23"/>
      <c r="AJ332" s="23"/>
      <c r="AK332" s="165"/>
      <c r="AL332" s="161"/>
      <c r="AM332" s="166"/>
      <c r="AN332" s="161"/>
      <c r="AO332" s="166"/>
      <c r="AP332" s="161"/>
      <c r="AQ332" s="161"/>
      <c r="AR332" s="161"/>
      <c r="AS332" s="167">
        <v>35000</v>
      </c>
      <c r="AT332" s="167">
        <v>30000</v>
      </c>
      <c r="AU332" s="167"/>
      <c r="AV332" s="167"/>
      <c r="AW332" s="167"/>
      <c r="AX332" s="167">
        <f t="shared" si="65"/>
        <v>65000</v>
      </c>
      <c r="AY332" s="168">
        <f t="shared" si="61"/>
        <v>-65000</v>
      </c>
      <c r="AZ332" s="168">
        <f t="shared" si="62"/>
        <v>-65000</v>
      </c>
      <c r="BA332" s="168">
        <f t="shared" si="63"/>
        <v>0</v>
      </c>
      <c r="BB332" s="168">
        <f t="shared" si="57"/>
        <v>-32500</v>
      </c>
      <c r="BC332" s="168">
        <f t="shared" si="58"/>
        <v>-29250</v>
      </c>
      <c r="BD332" s="169">
        <v>50000</v>
      </c>
      <c r="BE332" s="169"/>
      <c r="BF332" s="168">
        <f t="shared" si="59"/>
        <v>-79250</v>
      </c>
      <c r="BG332" s="33"/>
      <c r="BH332" s="15"/>
      <c r="BI332" s="15"/>
    </row>
    <row r="333" spans="1:61" s="6" customFormat="1" ht="16.899999999999999">
      <c r="A333" s="36">
        <v>332</v>
      </c>
      <c r="B333" s="35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5"/>
      <c r="P333" s="33"/>
      <c r="Q333" s="33"/>
      <c r="R333" s="158"/>
      <c r="S333" s="158"/>
      <c r="T333" s="159">
        <f t="shared" si="55"/>
        <v>0</v>
      </c>
      <c r="U333" s="30"/>
      <c r="V333" s="30"/>
      <c r="W333" s="30"/>
      <c r="X333" s="30"/>
      <c r="Y333" s="238"/>
      <c r="Z333" s="242"/>
      <c r="AA333" s="33"/>
      <c r="AB333" s="160"/>
      <c r="AC333" s="161"/>
      <c r="AD333" s="162"/>
      <c r="AE333" s="163"/>
      <c r="AF333" s="23">
        <f t="shared" si="60"/>
        <v>0</v>
      </c>
      <c r="AG333" s="161">
        <f t="shared" si="64"/>
        <v>0</v>
      </c>
      <c r="AH333" s="164">
        <f t="shared" si="56"/>
        <v>0</v>
      </c>
      <c r="AI333" s="23"/>
      <c r="AJ333" s="23"/>
      <c r="AK333" s="165"/>
      <c r="AL333" s="161"/>
      <c r="AM333" s="166"/>
      <c r="AN333" s="161"/>
      <c r="AO333" s="166"/>
      <c r="AP333" s="161"/>
      <c r="AQ333" s="161"/>
      <c r="AR333" s="161"/>
      <c r="AS333" s="167">
        <v>35000</v>
      </c>
      <c r="AT333" s="167">
        <v>30000</v>
      </c>
      <c r="AU333" s="167"/>
      <c r="AV333" s="167"/>
      <c r="AW333" s="167"/>
      <c r="AX333" s="167">
        <f t="shared" si="65"/>
        <v>65000</v>
      </c>
      <c r="AY333" s="168">
        <f t="shared" si="61"/>
        <v>-65000</v>
      </c>
      <c r="AZ333" s="168">
        <f t="shared" si="62"/>
        <v>-65000</v>
      </c>
      <c r="BA333" s="168">
        <f t="shared" si="63"/>
        <v>0</v>
      </c>
      <c r="BB333" s="168">
        <f t="shared" si="57"/>
        <v>-32500</v>
      </c>
      <c r="BC333" s="168">
        <f t="shared" si="58"/>
        <v>-29250</v>
      </c>
      <c r="BD333" s="169">
        <v>50000</v>
      </c>
      <c r="BE333" s="169"/>
      <c r="BF333" s="168">
        <f t="shared" si="59"/>
        <v>-79250</v>
      </c>
      <c r="BG333" s="33"/>
      <c r="BH333" s="15"/>
      <c r="BI333" s="15"/>
    </row>
    <row r="334" spans="1:61" s="6" customFormat="1" ht="16.899999999999999">
      <c r="A334" s="36">
        <v>333</v>
      </c>
      <c r="B334" s="35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5"/>
      <c r="P334" s="33"/>
      <c r="Q334" s="33"/>
      <c r="R334" s="158"/>
      <c r="S334" s="158"/>
      <c r="T334" s="159">
        <f t="shared" si="55"/>
        <v>0</v>
      </c>
      <c r="U334" s="30"/>
      <c r="V334" s="30"/>
      <c r="W334" s="30"/>
      <c r="X334" s="30"/>
      <c r="Y334" s="238"/>
      <c r="Z334" s="242"/>
      <c r="AA334" s="33"/>
      <c r="AB334" s="160"/>
      <c r="AC334" s="161"/>
      <c r="AD334" s="162"/>
      <c r="AE334" s="163"/>
      <c r="AF334" s="23">
        <f t="shared" si="60"/>
        <v>0</v>
      </c>
      <c r="AG334" s="161">
        <f t="shared" si="64"/>
        <v>0</v>
      </c>
      <c r="AH334" s="164">
        <f t="shared" si="56"/>
        <v>0</v>
      </c>
      <c r="AI334" s="23"/>
      <c r="AJ334" s="23"/>
      <c r="AK334" s="165"/>
      <c r="AL334" s="161"/>
      <c r="AM334" s="166"/>
      <c r="AN334" s="161"/>
      <c r="AO334" s="166"/>
      <c r="AP334" s="161"/>
      <c r="AQ334" s="161"/>
      <c r="AR334" s="161"/>
      <c r="AS334" s="167">
        <v>35000</v>
      </c>
      <c r="AT334" s="167">
        <v>30000</v>
      </c>
      <c r="AU334" s="167"/>
      <c r="AV334" s="167"/>
      <c r="AW334" s="167"/>
      <c r="AX334" s="167">
        <f t="shared" si="65"/>
        <v>65000</v>
      </c>
      <c r="AY334" s="168">
        <f t="shared" si="61"/>
        <v>-65000</v>
      </c>
      <c r="AZ334" s="168">
        <f t="shared" si="62"/>
        <v>-65000</v>
      </c>
      <c r="BA334" s="168">
        <f t="shared" si="63"/>
        <v>0</v>
      </c>
      <c r="BB334" s="168">
        <f t="shared" si="57"/>
        <v>-32500</v>
      </c>
      <c r="BC334" s="168">
        <f t="shared" si="58"/>
        <v>-29250</v>
      </c>
      <c r="BD334" s="169">
        <v>50000</v>
      </c>
      <c r="BE334" s="169"/>
      <c r="BF334" s="168">
        <f t="shared" si="59"/>
        <v>-79250</v>
      </c>
      <c r="BG334" s="33"/>
      <c r="BH334" s="15"/>
      <c r="BI334" s="15"/>
    </row>
    <row r="335" spans="1:61" s="6" customFormat="1" ht="16.899999999999999">
      <c r="A335" s="36">
        <v>334</v>
      </c>
      <c r="B335" s="35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5"/>
      <c r="P335" s="33"/>
      <c r="Q335" s="33"/>
      <c r="R335" s="158"/>
      <c r="S335" s="158"/>
      <c r="T335" s="159">
        <f t="shared" si="55"/>
        <v>0</v>
      </c>
      <c r="U335" s="30"/>
      <c r="V335" s="30"/>
      <c r="W335" s="30"/>
      <c r="X335" s="30"/>
      <c r="Y335" s="238"/>
      <c r="Z335" s="242"/>
      <c r="AA335" s="33"/>
      <c r="AB335" s="160"/>
      <c r="AC335" s="161"/>
      <c r="AD335" s="162"/>
      <c r="AE335" s="163"/>
      <c r="AF335" s="23">
        <f t="shared" si="60"/>
        <v>0</v>
      </c>
      <c r="AG335" s="161">
        <f t="shared" si="64"/>
        <v>0</v>
      </c>
      <c r="AH335" s="164">
        <f t="shared" si="56"/>
        <v>0</v>
      </c>
      <c r="AI335" s="23"/>
      <c r="AJ335" s="23"/>
      <c r="AK335" s="165"/>
      <c r="AL335" s="161"/>
      <c r="AM335" s="166"/>
      <c r="AN335" s="161"/>
      <c r="AO335" s="166"/>
      <c r="AP335" s="161"/>
      <c r="AQ335" s="161"/>
      <c r="AR335" s="161"/>
      <c r="AS335" s="167">
        <v>35000</v>
      </c>
      <c r="AT335" s="167">
        <v>30000</v>
      </c>
      <c r="AU335" s="167"/>
      <c r="AV335" s="167"/>
      <c r="AW335" s="167"/>
      <c r="AX335" s="167">
        <f t="shared" si="65"/>
        <v>65000</v>
      </c>
      <c r="AY335" s="168">
        <f t="shared" si="61"/>
        <v>-65000</v>
      </c>
      <c r="AZ335" s="168">
        <f t="shared" si="62"/>
        <v>-65000</v>
      </c>
      <c r="BA335" s="168">
        <f t="shared" si="63"/>
        <v>0</v>
      </c>
      <c r="BB335" s="168">
        <f t="shared" si="57"/>
        <v>-32500</v>
      </c>
      <c r="BC335" s="168">
        <f t="shared" si="58"/>
        <v>-29250</v>
      </c>
      <c r="BD335" s="169">
        <v>50000</v>
      </c>
      <c r="BE335" s="169"/>
      <c r="BF335" s="168">
        <f t="shared" si="59"/>
        <v>-79250</v>
      </c>
      <c r="BG335" s="33"/>
      <c r="BH335" s="15"/>
      <c r="BI335" s="15"/>
    </row>
    <row r="336" spans="1:61" s="6" customFormat="1" ht="16.899999999999999">
      <c r="A336" s="36">
        <v>335</v>
      </c>
      <c r="B336" s="35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5"/>
      <c r="P336" s="33"/>
      <c r="Q336" s="33"/>
      <c r="R336" s="158"/>
      <c r="S336" s="158"/>
      <c r="T336" s="159">
        <f t="shared" si="55"/>
        <v>0</v>
      </c>
      <c r="U336" s="30"/>
      <c r="V336" s="30"/>
      <c r="W336" s="30"/>
      <c r="X336" s="30"/>
      <c r="Y336" s="238"/>
      <c r="Z336" s="242"/>
      <c r="AA336" s="33"/>
      <c r="AB336" s="160"/>
      <c r="AC336" s="161"/>
      <c r="AD336" s="162"/>
      <c r="AE336" s="163"/>
      <c r="AF336" s="23">
        <f t="shared" si="60"/>
        <v>0</v>
      </c>
      <c r="AG336" s="161">
        <f t="shared" si="64"/>
        <v>0</v>
      </c>
      <c r="AH336" s="164">
        <f t="shared" si="56"/>
        <v>0</v>
      </c>
      <c r="AI336" s="23"/>
      <c r="AJ336" s="23"/>
      <c r="AK336" s="165"/>
      <c r="AL336" s="161"/>
      <c r="AM336" s="166"/>
      <c r="AN336" s="161"/>
      <c r="AO336" s="166"/>
      <c r="AP336" s="161"/>
      <c r="AQ336" s="161"/>
      <c r="AR336" s="161"/>
      <c r="AS336" s="167">
        <v>35000</v>
      </c>
      <c r="AT336" s="167">
        <v>30000</v>
      </c>
      <c r="AU336" s="167"/>
      <c r="AV336" s="167"/>
      <c r="AW336" s="167"/>
      <c r="AX336" s="167">
        <f t="shared" si="65"/>
        <v>65000</v>
      </c>
      <c r="AY336" s="168">
        <f t="shared" si="61"/>
        <v>-65000</v>
      </c>
      <c r="AZ336" s="168">
        <f t="shared" si="62"/>
        <v>-65000</v>
      </c>
      <c r="BA336" s="168">
        <f t="shared" si="63"/>
        <v>0</v>
      </c>
      <c r="BB336" s="168">
        <f t="shared" si="57"/>
        <v>-32500</v>
      </c>
      <c r="BC336" s="168">
        <f t="shared" si="58"/>
        <v>-29250</v>
      </c>
      <c r="BD336" s="169">
        <v>50000</v>
      </c>
      <c r="BE336" s="169"/>
      <c r="BF336" s="168">
        <f t="shared" si="59"/>
        <v>-79250</v>
      </c>
      <c r="BG336" s="33"/>
      <c r="BH336" s="15"/>
      <c r="BI336" s="15"/>
    </row>
    <row r="337" spans="1:61" s="6" customFormat="1" ht="16.899999999999999">
      <c r="A337" s="36">
        <v>336</v>
      </c>
      <c r="B337" s="35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5"/>
      <c r="P337" s="33"/>
      <c r="Q337" s="33"/>
      <c r="R337" s="158"/>
      <c r="S337" s="158"/>
      <c r="T337" s="159">
        <f t="shared" si="55"/>
        <v>0</v>
      </c>
      <c r="U337" s="30"/>
      <c r="V337" s="30"/>
      <c r="W337" s="30"/>
      <c r="X337" s="30"/>
      <c r="Y337" s="238"/>
      <c r="Z337" s="242"/>
      <c r="AA337" s="33"/>
      <c r="AB337" s="160"/>
      <c r="AC337" s="161"/>
      <c r="AD337" s="162"/>
      <c r="AE337" s="163"/>
      <c r="AF337" s="23">
        <f t="shared" si="60"/>
        <v>0</v>
      </c>
      <c r="AG337" s="161">
        <f t="shared" si="64"/>
        <v>0</v>
      </c>
      <c r="AH337" s="164">
        <f t="shared" si="56"/>
        <v>0</v>
      </c>
      <c r="AI337" s="23"/>
      <c r="AJ337" s="23"/>
      <c r="AK337" s="165"/>
      <c r="AL337" s="161"/>
      <c r="AM337" s="166"/>
      <c r="AN337" s="161"/>
      <c r="AO337" s="166"/>
      <c r="AP337" s="161"/>
      <c r="AQ337" s="161"/>
      <c r="AR337" s="161"/>
      <c r="AS337" s="167">
        <v>35000</v>
      </c>
      <c r="AT337" s="167">
        <v>30000</v>
      </c>
      <c r="AU337" s="167"/>
      <c r="AV337" s="167"/>
      <c r="AW337" s="167"/>
      <c r="AX337" s="167">
        <f t="shared" si="65"/>
        <v>65000</v>
      </c>
      <c r="AY337" s="168">
        <f t="shared" si="61"/>
        <v>-65000</v>
      </c>
      <c r="AZ337" s="168">
        <f t="shared" si="62"/>
        <v>-65000</v>
      </c>
      <c r="BA337" s="168">
        <f t="shared" si="63"/>
        <v>0</v>
      </c>
      <c r="BB337" s="168">
        <f t="shared" si="57"/>
        <v>-32500</v>
      </c>
      <c r="BC337" s="168">
        <f t="shared" si="58"/>
        <v>-29250</v>
      </c>
      <c r="BD337" s="169">
        <v>50000</v>
      </c>
      <c r="BE337" s="169"/>
      <c r="BF337" s="168">
        <f t="shared" si="59"/>
        <v>-79250</v>
      </c>
      <c r="BG337" s="33"/>
      <c r="BH337" s="15"/>
      <c r="BI337" s="15"/>
    </row>
    <row r="338" spans="1:61" s="6" customFormat="1" ht="16.899999999999999">
      <c r="A338" s="36">
        <v>337</v>
      </c>
      <c r="B338" s="35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5"/>
      <c r="P338" s="33"/>
      <c r="Q338" s="33"/>
      <c r="R338" s="158"/>
      <c r="S338" s="158"/>
      <c r="T338" s="159">
        <f t="shared" si="55"/>
        <v>0</v>
      </c>
      <c r="U338" s="30"/>
      <c r="V338" s="30"/>
      <c r="W338" s="30"/>
      <c r="X338" s="30"/>
      <c r="Y338" s="238"/>
      <c r="Z338" s="242"/>
      <c r="AA338" s="33"/>
      <c r="AB338" s="160"/>
      <c r="AC338" s="161"/>
      <c r="AD338" s="162"/>
      <c r="AE338" s="163"/>
      <c r="AF338" s="23">
        <f t="shared" si="60"/>
        <v>0</v>
      </c>
      <c r="AG338" s="161">
        <f t="shared" si="64"/>
        <v>0</v>
      </c>
      <c r="AH338" s="164">
        <f t="shared" si="56"/>
        <v>0</v>
      </c>
      <c r="AI338" s="23"/>
      <c r="AJ338" s="23"/>
      <c r="AK338" s="165"/>
      <c r="AL338" s="161"/>
      <c r="AM338" s="166"/>
      <c r="AN338" s="161"/>
      <c r="AO338" s="166"/>
      <c r="AP338" s="161"/>
      <c r="AQ338" s="161"/>
      <c r="AR338" s="161"/>
      <c r="AS338" s="167">
        <v>35000</v>
      </c>
      <c r="AT338" s="167">
        <v>30000</v>
      </c>
      <c r="AU338" s="167"/>
      <c r="AV338" s="167"/>
      <c r="AW338" s="167"/>
      <c r="AX338" s="167">
        <f t="shared" si="65"/>
        <v>65000</v>
      </c>
      <c r="AY338" s="168">
        <f t="shared" si="61"/>
        <v>-65000</v>
      </c>
      <c r="AZ338" s="168">
        <f t="shared" si="62"/>
        <v>-65000</v>
      </c>
      <c r="BA338" s="168">
        <f t="shared" si="63"/>
        <v>0</v>
      </c>
      <c r="BB338" s="168">
        <f t="shared" si="57"/>
        <v>-32500</v>
      </c>
      <c r="BC338" s="168">
        <f t="shared" si="58"/>
        <v>-29250</v>
      </c>
      <c r="BD338" s="169">
        <v>50000</v>
      </c>
      <c r="BE338" s="169"/>
      <c r="BF338" s="168">
        <f t="shared" si="59"/>
        <v>-79250</v>
      </c>
      <c r="BG338" s="33"/>
      <c r="BH338" s="15"/>
      <c r="BI338" s="15"/>
    </row>
    <row r="339" spans="1:61" s="6" customFormat="1" ht="16.899999999999999">
      <c r="A339" s="36">
        <v>338</v>
      </c>
      <c r="B339" s="35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5"/>
      <c r="P339" s="33"/>
      <c r="Q339" s="33"/>
      <c r="R339" s="158"/>
      <c r="S339" s="158"/>
      <c r="T339" s="159">
        <f t="shared" si="55"/>
        <v>0</v>
      </c>
      <c r="U339" s="30"/>
      <c r="V339" s="30"/>
      <c r="W339" s="30"/>
      <c r="X339" s="30"/>
      <c r="Y339" s="238"/>
      <c r="Z339" s="242"/>
      <c r="AA339" s="33"/>
      <c r="AB339" s="160"/>
      <c r="AC339" s="161"/>
      <c r="AD339" s="162"/>
      <c r="AE339" s="163"/>
      <c r="AF339" s="23">
        <f t="shared" si="60"/>
        <v>0</v>
      </c>
      <c r="AG339" s="161">
        <f t="shared" si="64"/>
        <v>0</v>
      </c>
      <c r="AH339" s="164">
        <f t="shared" si="56"/>
        <v>0</v>
      </c>
      <c r="AI339" s="23"/>
      <c r="AJ339" s="23"/>
      <c r="AK339" s="165"/>
      <c r="AL339" s="161"/>
      <c r="AM339" s="166"/>
      <c r="AN339" s="161"/>
      <c r="AO339" s="166"/>
      <c r="AP339" s="161"/>
      <c r="AQ339" s="161"/>
      <c r="AR339" s="161"/>
      <c r="AS339" s="167">
        <v>35000</v>
      </c>
      <c r="AT339" s="167">
        <v>30000</v>
      </c>
      <c r="AU339" s="167"/>
      <c r="AV339" s="167"/>
      <c r="AW339" s="167"/>
      <c r="AX339" s="167">
        <f t="shared" si="65"/>
        <v>65000</v>
      </c>
      <c r="AY339" s="168">
        <f t="shared" si="61"/>
        <v>-65000</v>
      </c>
      <c r="AZ339" s="168">
        <f t="shared" si="62"/>
        <v>-65000</v>
      </c>
      <c r="BA339" s="168">
        <f t="shared" si="63"/>
        <v>0</v>
      </c>
      <c r="BB339" s="168">
        <f t="shared" si="57"/>
        <v>-32500</v>
      </c>
      <c r="BC339" s="168">
        <f t="shared" si="58"/>
        <v>-29250</v>
      </c>
      <c r="BD339" s="169">
        <v>50000</v>
      </c>
      <c r="BE339" s="169"/>
      <c r="BF339" s="168">
        <f t="shared" si="59"/>
        <v>-79250</v>
      </c>
      <c r="BG339" s="33"/>
      <c r="BH339" s="15"/>
      <c r="BI339" s="15"/>
    </row>
    <row r="340" spans="1:61" s="6" customFormat="1" ht="16.899999999999999">
      <c r="A340" s="36">
        <v>339</v>
      </c>
      <c r="B340" s="35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5"/>
      <c r="P340" s="33"/>
      <c r="Q340" s="33"/>
      <c r="R340" s="158"/>
      <c r="S340" s="158"/>
      <c r="T340" s="159">
        <f t="shared" si="55"/>
        <v>0</v>
      </c>
      <c r="U340" s="30"/>
      <c r="V340" s="30"/>
      <c r="W340" s="30"/>
      <c r="X340" s="30"/>
      <c r="Y340" s="238"/>
      <c r="Z340" s="242"/>
      <c r="AA340" s="33"/>
      <c r="AB340" s="160"/>
      <c r="AC340" s="161"/>
      <c r="AD340" s="162"/>
      <c r="AE340" s="163"/>
      <c r="AF340" s="23">
        <f t="shared" si="60"/>
        <v>0</v>
      </c>
      <c r="AG340" s="161">
        <f t="shared" si="64"/>
        <v>0</v>
      </c>
      <c r="AH340" s="164">
        <f t="shared" si="56"/>
        <v>0</v>
      </c>
      <c r="AI340" s="23"/>
      <c r="AJ340" s="23"/>
      <c r="AK340" s="165"/>
      <c r="AL340" s="161"/>
      <c r="AM340" s="166"/>
      <c r="AN340" s="161"/>
      <c r="AO340" s="166"/>
      <c r="AP340" s="161"/>
      <c r="AQ340" s="161"/>
      <c r="AR340" s="161"/>
      <c r="AS340" s="167">
        <v>35000</v>
      </c>
      <c r="AT340" s="167">
        <v>30000</v>
      </c>
      <c r="AU340" s="167"/>
      <c r="AV340" s="167"/>
      <c r="AW340" s="167"/>
      <c r="AX340" s="167">
        <f t="shared" si="65"/>
        <v>65000</v>
      </c>
      <c r="AY340" s="168">
        <f t="shared" si="61"/>
        <v>-65000</v>
      </c>
      <c r="AZ340" s="168">
        <f t="shared" si="62"/>
        <v>-65000</v>
      </c>
      <c r="BA340" s="168">
        <f t="shared" si="63"/>
        <v>0</v>
      </c>
      <c r="BB340" s="168">
        <f t="shared" si="57"/>
        <v>-32500</v>
      </c>
      <c r="BC340" s="168">
        <f t="shared" si="58"/>
        <v>-29250</v>
      </c>
      <c r="BD340" s="169">
        <v>50000</v>
      </c>
      <c r="BE340" s="169"/>
      <c r="BF340" s="168">
        <f t="shared" si="59"/>
        <v>-79250</v>
      </c>
      <c r="BG340" s="33"/>
      <c r="BH340" s="15"/>
      <c r="BI340" s="15"/>
    </row>
    <row r="341" spans="1:61" ht="16.899999999999999">
      <c r="A341" s="36">
        <v>340</v>
      </c>
      <c r="B341" s="35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5"/>
      <c r="P341" s="33"/>
      <c r="Q341" s="33"/>
      <c r="R341" s="158"/>
      <c r="S341" s="158"/>
      <c r="T341" s="159">
        <f t="shared" si="55"/>
        <v>0</v>
      </c>
      <c r="U341" s="30"/>
      <c r="V341" s="30"/>
      <c r="W341" s="30"/>
      <c r="X341" s="30"/>
      <c r="Y341" s="238"/>
      <c r="Z341" s="242"/>
      <c r="AA341" s="33"/>
      <c r="AB341" s="160"/>
      <c r="AC341" s="161"/>
      <c r="AD341" s="162"/>
      <c r="AE341" s="163"/>
      <c r="AF341" s="23">
        <f t="shared" si="60"/>
        <v>0</v>
      </c>
      <c r="AG341" s="161">
        <f t="shared" si="64"/>
        <v>0</v>
      </c>
      <c r="AH341" s="164">
        <f t="shared" si="56"/>
        <v>0</v>
      </c>
      <c r="AI341" s="23"/>
      <c r="AJ341" s="23"/>
      <c r="AK341" s="165"/>
      <c r="AL341" s="161"/>
      <c r="AM341" s="166"/>
      <c r="AN341" s="161"/>
      <c r="AO341" s="166"/>
      <c r="AP341" s="161"/>
      <c r="AQ341" s="161"/>
      <c r="AR341" s="161"/>
      <c r="AS341" s="167">
        <v>35000</v>
      </c>
      <c r="AT341" s="167">
        <v>30000</v>
      </c>
      <c r="AU341" s="167"/>
      <c r="AV341" s="167"/>
      <c r="AW341" s="167"/>
      <c r="AX341" s="167">
        <f t="shared" si="65"/>
        <v>65000</v>
      </c>
      <c r="AY341" s="168">
        <f t="shared" si="61"/>
        <v>-65000</v>
      </c>
      <c r="AZ341" s="168">
        <f t="shared" si="62"/>
        <v>-65000</v>
      </c>
      <c r="BA341" s="168">
        <f t="shared" si="63"/>
        <v>0</v>
      </c>
      <c r="BB341" s="168">
        <f t="shared" si="57"/>
        <v>-32500</v>
      </c>
      <c r="BC341" s="168">
        <f t="shared" si="58"/>
        <v>-29250</v>
      </c>
      <c r="BD341" s="169">
        <v>50000</v>
      </c>
      <c r="BE341" s="169"/>
      <c r="BF341" s="168">
        <f t="shared" si="59"/>
        <v>-79250</v>
      </c>
      <c r="BG341" s="33"/>
      <c r="BH341" s="16"/>
      <c r="BI341" s="16"/>
    </row>
    <row r="342" spans="1:61" ht="16.899999999999999">
      <c r="A342" s="36">
        <v>341</v>
      </c>
      <c r="B342" s="35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5"/>
      <c r="P342" s="33"/>
      <c r="Q342" s="33"/>
      <c r="R342" s="158"/>
      <c r="S342" s="158"/>
      <c r="T342" s="159">
        <f t="shared" si="55"/>
        <v>0</v>
      </c>
      <c r="U342" s="30"/>
      <c r="V342" s="30"/>
      <c r="W342" s="30"/>
      <c r="X342" s="30"/>
      <c r="Y342" s="238"/>
      <c r="Z342" s="242"/>
      <c r="AA342" s="33"/>
      <c r="AB342" s="160"/>
      <c r="AC342" s="161"/>
      <c r="AD342" s="162"/>
      <c r="AE342" s="163"/>
      <c r="AF342" s="23">
        <f t="shared" si="60"/>
        <v>0</v>
      </c>
      <c r="AG342" s="161">
        <f t="shared" si="64"/>
        <v>0</v>
      </c>
      <c r="AH342" s="164">
        <f t="shared" si="56"/>
        <v>0</v>
      </c>
      <c r="AI342" s="23"/>
      <c r="AJ342" s="23"/>
      <c r="AK342" s="165"/>
      <c r="AL342" s="161"/>
      <c r="AM342" s="166"/>
      <c r="AN342" s="161"/>
      <c r="AO342" s="166"/>
      <c r="AP342" s="161"/>
      <c r="AQ342" s="161"/>
      <c r="AR342" s="161"/>
      <c r="AS342" s="167">
        <v>35000</v>
      </c>
      <c r="AT342" s="167">
        <v>30000</v>
      </c>
      <c r="AU342" s="167"/>
      <c r="AV342" s="167"/>
      <c r="AW342" s="167"/>
      <c r="AX342" s="167">
        <f t="shared" si="65"/>
        <v>65000</v>
      </c>
      <c r="AY342" s="168">
        <f t="shared" si="61"/>
        <v>-65000</v>
      </c>
      <c r="AZ342" s="168">
        <f t="shared" si="62"/>
        <v>-65000</v>
      </c>
      <c r="BA342" s="168">
        <f t="shared" si="63"/>
        <v>0</v>
      </c>
      <c r="BB342" s="168">
        <f t="shared" si="57"/>
        <v>-32500</v>
      </c>
      <c r="BC342" s="168">
        <f t="shared" si="58"/>
        <v>-29250</v>
      </c>
      <c r="BD342" s="169">
        <v>50000</v>
      </c>
      <c r="BE342" s="169"/>
      <c r="BF342" s="168">
        <f t="shared" si="59"/>
        <v>-79250</v>
      </c>
      <c r="BG342" s="33"/>
      <c r="BH342" s="16"/>
      <c r="BI342" s="16"/>
    </row>
    <row r="343" spans="1:61" ht="16.899999999999999">
      <c r="A343" s="36">
        <v>342</v>
      </c>
      <c r="B343" s="35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5"/>
      <c r="P343" s="33"/>
      <c r="Q343" s="33"/>
      <c r="R343" s="158"/>
      <c r="S343" s="158"/>
      <c r="T343" s="159">
        <f t="shared" si="55"/>
        <v>0</v>
      </c>
      <c r="U343" s="30"/>
      <c r="V343" s="30"/>
      <c r="W343" s="30"/>
      <c r="X343" s="30"/>
      <c r="Y343" s="238"/>
      <c r="Z343" s="242"/>
      <c r="AA343" s="33"/>
      <c r="AB343" s="160"/>
      <c r="AC343" s="161"/>
      <c r="AD343" s="162"/>
      <c r="AE343" s="163"/>
      <c r="AF343" s="23">
        <f t="shared" si="60"/>
        <v>0</v>
      </c>
      <c r="AG343" s="161">
        <f t="shared" si="64"/>
        <v>0</v>
      </c>
      <c r="AH343" s="164">
        <f t="shared" si="56"/>
        <v>0</v>
      </c>
      <c r="AI343" s="23"/>
      <c r="AJ343" s="23"/>
      <c r="AK343" s="165"/>
      <c r="AL343" s="161"/>
      <c r="AM343" s="166"/>
      <c r="AN343" s="161"/>
      <c r="AO343" s="166"/>
      <c r="AP343" s="161"/>
      <c r="AQ343" s="161"/>
      <c r="AR343" s="161"/>
      <c r="AS343" s="167">
        <v>35000</v>
      </c>
      <c r="AT343" s="167">
        <v>30000</v>
      </c>
      <c r="AU343" s="167"/>
      <c r="AV343" s="167"/>
      <c r="AW343" s="167"/>
      <c r="AX343" s="167">
        <f t="shared" si="65"/>
        <v>65000</v>
      </c>
      <c r="AY343" s="168">
        <f t="shared" si="61"/>
        <v>-65000</v>
      </c>
      <c r="AZ343" s="168">
        <f t="shared" si="62"/>
        <v>-65000</v>
      </c>
      <c r="BA343" s="168">
        <f t="shared" si="63"/>
        <v>0</v>
      </c>
      <c r="BB343" s="168">
        <f t="shared" si="57"/>
        <v>-32500</v>
      </c>
      <c r="BC343" s="168">
        <f t="shared" si="58"/>
        <v>-29250</v>
      </c>
      <c r="BD343" s="169">
        <v>50000</v>
      </c>
      <c r="BE343" s="169"/>
      <c r="BF343" s="168">
        <f t="shared" si="59"/>
        <v>-79250</v>
      </c>
      <c r="BG343" s="33"/>
      <c r="BH343" s="16"/>
      <c r="BI343" s="16"/>
    </row>
    <row r="344" spans="1:61" ht="16.899999999999999">
      <c r="A344" s="36">
        <v>343</v>
      </c>
      <c r="B344" s="35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5"/>
      <c r="P344" s="33"/>
      <c r="Q344" s="33"/>
      <c r="R344" s="158"/>
      <c r="S344" s="158"/>
      <c r="T344" s="159">
        <f t="shared" si="55"/>
        <v>0</v>
      </c>
      <c r="U344" s="30"/>
      <c r="V344" s="30"/>
      <c r="W344" s="30"/>
      <c r="X344" s="30"/>
      <c r="Y344" s="238"/>
      <c r="Z344" s="242"/>
      <c r="AA344" s="33"/>
      <c r="AB344" s="160"/>
      <c r="AC344" s="161"/>
      <c r="AD344" s="162"/>
      <c r="AE344" s="163"/>
      <c r="AF344" s="23">
        <f t="shared" si="60"/>
        <v>0</v>
      </c>
      <c r="AG344" s="161">
        <f t="shared" si="64"/>
        <v>0</v>
      </c>
      <c r="AH344" s="164">
        <f t="shared" si="56"/>
        <v>0</v>
      </c>
      <c r="AI344" s="23"/>
      <c r="AJ344" s="23"/>
      <c r="AK344" s="165"/>
      <c r="AL344" s="161"/>
      <c r="AM344" s="166"/>
      <c r="AN344" s="161"/>
      <c r="AO344" s="166"/>
      <c r="AP344" s="161"/>
      <c r="AQ344" s="161"/>
      <c r="AR344" s="161"/>
      <c r="AS344" s="167">
        <v>35000</v>
      </c>
      <c r="AT344" s="167">
        <v>30000</v>
      </c>
      <c r="AU344" s="167"/>
      <c r="AV344" s="167"/>
      <c r="AW344" s="167"/>
      <c r="AX344" s="167">
        <f t="shared" si="65"/>
        <v>65000</v>
      </c>
      <c r="AY344" s="168">
        <f t="shared" si="61"/>
        <v>-65000</v>
      </c>
      <c r="AZ344" s="168">
        <f t="shared" si="62"/>
        <v>-65000</v>
      </c>
      <c r="BA344" s="168">
        <f t="shared" si="63"/>
        <v>0</v>
      </c>
      <c r="BB344" s="168">
        <f t="shared" si="57"/>
        <v>-32500</v>
      </c>
      <c r="BC344" s="168">
        <f t="shared" si="58"/>
        <v>-29250</v>
      </c>
      <c r="BD344" s="169">
        <v>50000</v>
      </c>
      <c r="BE344" s="169"/>
      <c r="BF344" s="168">
        <f t="shared" si="59"/>
        <v>-79250</v>
      </c>
      <c r="BG344" s="33"/>
      <c r="BH344" s="16"/>
      <c r="BI344" s="16"/>
    </row>
    <row r="345" spans="1:61" ht="16.899999999999999">
      <c r="A345" s="36">
        <v>344</v>
      </c>
      <c r="B345" s="35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5"/>
      <c r="P345" s="33"/>
      <c r="Q345" s="33"/>
      <c r="R345" s="158"/>
      <c r="S345" s="158"/>
      <c r="T345" s="159">
        <f t="shared" si="55"/>
        <v>0</v>
      </c>
      <c r="U345" s="30"/>
      <c r="V345" s="30"/>
      <c r="W345" s="30"/>
      <c r="X345" s="30"/>
      <c r="Y345" s="238"/>
      <c r="Z345" s="242"/>
      <c r="AA345" s="33"/>
      <c r="AB345" s="160"/>
      <c r="AC345" s="161"/>
      <c r="AD345" s="162"/>
      <c r="AE345" s="163"/>
      <c r="AF345" s="23">
        <f t="shared" si="60"/>
        <v>0</v>
      </c>
      <c r="AG345" s="161">
        <f t="shared" si="64"/>
        <v>0</v>
      </c>
      <c r="AH345" s="164">
        <f t="shared" si="56"/>
        <v>0</v>
      </c>
      <c r="AI345" s="23"/>
      <c r="AJ345" s="23"/>
      <c r="AK345" s="165"/>
      <c r="AL345" s="161"/>
      <c r="AM345" s="166"/>
      <c r="AN345" s="161"/>
      <c r="AO345" s="166"/>
      <c r="AP345" s="161"/>
      <c r="AQ345" s="161"/>
      <c r="AR345" s="161"/>
      <c r="AS345" s="167">
        <v>35000</v>
      </c>
      <c r="AT345" s="167">
        <v>30000</v>
      </c>
      <c r="AU345" s="167"/>
      <c r="AV345" s="167"/>
      <c r="AW345" s="167"/>
      <c r="AX345" s="167">
        <f t="shared" si="65"/>
        <v>65000</v>
      </c>
      <c r="AY345" s="168">
        <f t="shared" si="61"/>
        <v>-65000</v>
      </c>
      <c r="AZ345" s="168">
        <f t="shared" si="62"/>
        <v>-65000</v>
      </c>
      <c r="BA345" s="168">
        <f t="shared" si="63"/>
        <v>0</v>
      </c>
      <c r="BB345" s="168">
        <f t="shared" si="57"/>
        <v>-32500</v>
      </c>
      <c r="BC345" s="168">
        <f t="shared" si="58"/>
        <v>-29250</v>
      </c>
      <c r="BD345" s="169">
        <v>50000</v>
      </c>
      <c r="BE345" s="169"/>
      <c r="BF345" s="168">
        <f t="shared" si="59"/>
        <v>-79250</v>
      </c>
      <c r="BG345" s="33"/>
      <c r="BH345" s="16"/>
      <c r="BI345" s="16"/>
    </row>
    <row r="346" spans="1:61" ht="16.899999999999999">
      <c r="A346" s="36">
        <v>345</v>
      </c>
      <c r="B346" s="35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5"/>
      <c r="P346" s="33"/>
      <c r="Q346" s="33"/>
      <c r="R346" s="158"/>
      <c r="S346" s="158"/>
      <c r="T346" s="159">
        <f t="shared" si="55"/>
        <v>0</v>
      </c>
      <c r="U346" s="30"/>
      <c r="V346" s="30"/>
      <c r="W346" s="30"/>
      <c r="X346" s="30"/>
      <c r="Y346" s="238"/>
      <c r="Z346" s="242"/>
      <c r="AA346" s="33"/>
      <c r="AB346" s="160"/>
      <c r="AC346" s="161"/>
      <c r="AD346" s="162"/>
      <c r="AE346" s="163"/>
      <c r="AF346" s="23">
        <f t="shared" si="60"/>
        <v>0</v>
      </c>
      <c r="AG346" s="161">
        <f t="shared" si="64"/>
        <v>0</v>
      </c>
      <c r="AH346" s="164">
        <f t="shared" si="56"/>
        <v>0</v>
      </c>
      <c r="AI346" s="23"/>
      <c r="AJ346" s="23"/>
      <c r="AK346" s="166"/>
      <c r="AL346" s="161"/>
      <c r="AM346" s="166"/>
      <c r="AN346" s="161"/>
      <c r="AO346" s="166"/>
      <c r="AP346" s="161"/>
      <c r="AQ346" s="161"/>
      <c r="AR346" s="161"/>
      <c r="AS346" s="167">
        <v>35000</v>
      </c>
      <c r="AT346" s="167">
        <v>30000</v>
      </c>
      <c r="AU346" s="167"/>
      <c r="AV346" s="167"/>
      <c r="AW346" s="167"/>
      <c r="AX346" s="167">
        <f t="shared" si="65"/>
        <v>65000</v>
      </c>
      <c r="AY346" s="168">
        <f t="shared" si="61"/>
        <v>-65000</v>
      </c>
      <c r="AZ346" s="168">
        <f t="shared" si="62"/>
        <v>-65000</v>
      </c>
      <c r="BA346" s="168">
        <f t="shared" si="63"/>
        <v>0</v>
      </c>
      <c r="BB346" s="168">
        <f t="shared" si="57"/>
        <v>-32500</v>
      </c>
      <c r="BC346" s="168">
        <f t="shared" si="58"/>
        <v>-29250</v>
      </c>
      <c r="BD346" s="169">
        <v>50000</v>
      </c>
      <c r="BE346" s="169"/>
      <c r="BF346" s="168">
        <f t="shared" si="59"/>
        <v>-79250</v>
      </c>
      <c r="BG346" s="33"/>
      <c r="BH346" s="16"/>
      <c r="BI346" s="16"/>
    </row>
    <row r="347" spans="1:61" ht="16.899999999999999">
      <c r="A347" s="36">
        <v>346</v>
      </c>
      <c r="B347" s="35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5"/>
      <c r="P347" s="33"/>
      <c r="Q347" s="33"/>
      <c r="R347" s="158"/>
      <c r="S347" s="158"/>
      <c r="T347" s="159">
        <f t="shared" si="55"/>
        <v>0</v>
      </c>
      <c r="U347" s="30"/>
      <c r="V347" s="30"/>
      <c r="W347" s="30"/>
      <c r="X347" s="30"/>
      <c r="Y347" s="238"/>
      <c r="Z347" s="242"/>
      <c r="AA347" s="33"/>
      <c r="AB347" s="160"/>
      <c r="AC347" s="161"/>
      <c r="AD347" s="162"/>
      <c r="AE347" s="163"/>
      <c r="AF347" s="23">
        <f t="shared" si="60"/>
        <v>0</v>
      </c>
      <c r="AG347" s="161">
        <f t="shared" si="64"/>
        <v>0</v>
      </c>
      <c r="AH347" s="164">
        <f t="shared" si="56"/>
        <v>0</v>
      </c>
      <c r="AI347" s="23"/>
      <c r="AJ347" s="23"/>
      <c r="AK347" s="165"/>
      <c r="AL347" s="161"/>
      <c r="AM347" s="166"/>
      <c r="AN347" s="161"/>
      <c r="AO347" s="166"/>
      <c r="AP347" s="161"/>
      <c r="AQ347" s="161"/>
      <c r="AR347" s="161"/>
      <c r="AS347" s="167">
        <v>35000</v>
      </c>
      <c r="AT347" s="167">
        <v>30000</v>
      </c>
      <c r="AU347" s="167"/>
      <c r="AV347" s="167"/>
      <c r="AW347" s="167"/>
      <c r="AX347" s="167">
        <f t="shared" si="65"/>
        <v>65000</v>
      </c>
      <c r="AY347" s="168">
        <f t="shared" si="61"/>
        <v>-65000</v>
      </c>
      <c r="AZ347" s="168">
        <f t="shared" si="62"/>
        <v>-65000</v>
      </c>
      <c r="BA347" s="168">
        <f t="shared" si="63"/>
        <v>0</v>
      </c>
      <c r="BB347" s="168">
        <f t="shared" si="57"/>
        <v>-32500</v>
      </c>
      <c r="BC347" s="168">
        <f t="shared" si="58"/>
        <v>-29250</v>
      </c>
      <c r="BD347" s="169">
        <v>50000</v>
      </c>
      <c r="BE347" s="169"/>
      <c r="BF347" s="168">
        <f t="shared" si="59"/>
        <v>-79250</v>
      </c>
      <c r="BG347" s="33"/>
      <c r="BH347" s="16"/>
      <c r="BI347" s="16"/>
    </row>
    <row r="348" spans="1:61" ht="16.899999999999999">
      <c r="A348" s="36">
        <v>347</v>
      </c>
      <c r="B348" s="35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5"/>
      <c r="P348" s="33"/>
      <c r="Q348" s="33"/>
      <c r="R348" s="158"/>
      <c r="S348" s="158"/>
      <c r="T348" s="159">
        <f t="shared" ref="T348:T411" si="66">R348+S348</f>
        <v>0</v>
      </c>
      <c r="U348" s="30"/>
      <c r="V348" s="30"/>
      <c r="W348" s="30"/>
      <c r="X348" s="30"/>
      <c r="Y348" s="238"/>
      <c r="Z348" s="242"/>
      <c r="AA348" s="33"/>
      <c r="AB348" s="160"/>
      <c r="AC348" s="161"/>
      <c r="AD348" s="162"/>
      <c r="AE348" s="163"/>
      <c r="AF348" s="23">
        <f t="shared" si="60"/>
        <v>0</v>
      </c>
      <c r="AG348" s="161">
        <f t="shared" si="64"/>
        <v>0</v>
      </c>
      <c r="AH348" s="164">
        <f t="shared" ref="AH348:AH411" si="67">SUM(AG348-AF348)</f>
        <v>0</v>
      </c>
      <c r="AI348" s="23"/>
      <c r="AJ348" s="23"/>
      <c r="AK348" s="165"/>
      <c r="AL348" s="161"/>
      <c r="AM348" s="166"/>
      <c r="AN348" s="161"/>
      <c r="AO348" s="166"/>
      <c r="AP348" s="161"/>
      <c r="AQ348" s="161"/>
      <c r="AR348" s="161"/>
      <c r="AS348" s="167">
        <v>35000</v>
      </c>
      <c r="AT348" s="167">
        <v>30000</v>
      </c>
      <c r="AU348" s="167"/>
      <c r="AV348" s="167"/>
      <c r="AW348" s="167"/>
      <c r="AX348" s="167">
        <f t="shared" si="65"/>
        <v>65000</v>
      </c>
      <c r="AY348" s="168">
        <f t="shared" si="61"/>
        <v>-65000</v>
      </c>
      <c r="AZ348" s="168">
        <f t="shared" si="62"/>
        <v>-65000</v>
      </c>
      <c r="BA348" s="168">
        <f t="shared" si="63"/>
        <v>0</v>
      </c>
      <c r="BB348" s="168">
        <f t="shared" ref="BB348:BB411" si="68">SUM(AZ348:BA348)/2</f>
        <v>-32500</v>
      </c>
      <c r="BC348" s="168">
        <f t="shared" ref="BC348:BC411" si="69">BB348-(BB348*10%)</f>
        <v>-29250</v>
      </c>
      <c r="BD348" s="169">
        <v>50000</v>
      </c>
      <c r="BE348" s="169"/>
      <c r="BF348" s="168">
        <f t="shared" si="59"/>
        <v>-79250</v>
      </c>
      <c r="BG348" s="33"/>
      <c r="BH348" s="16"/>
      <c r="BI348" s="16"/>
    </row>
    <row r="349" spans="1:61" ht="16.899999999999999">
      <c r="A349" s="36">
        <v>348</v>
      </c>
      <c r="B349" s="35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5"/>
      <c r="P349" s="33"/>
      <c r="Q349" s="33"/>
      <c r="R349" s="158"/>
      <c r="S349" s="158"/>
      <c r="T349" s="159">
        <f t="shared" si="66"/>
        <v>0</v>
      </c>
      <c r="U349" s="30"/>
      <c r="V349" s="30"/>
      <c r="W349" s="30"/>
      <c r="X349" s="30"/>
      <c r="Y349" s="238"/>
      <c r="Z349" s="242"/>
      <c r="AA349" s="33"/>
      <c r="AB349" s="160"/>
      <c r="AC349" s="161"/>
      <c r="AD349" s="162"/>
      <c r="AE349" s="163"/>
      <c r="AF349" s="23">
        <f t="shared" si="60"/>
        <v>0</v>
      </c>
      <c r="AG349" s="161">
        <f t="shared" si="64"/>
        <v>0</v>
      </c>
      <c r="AH349" s="164">
        <f t="shared" si="67"/>
        <v>0</v>
      </c>
      <c r="AI349" s="23"/>
      <c r="AJ349" s="23"/>
      <c r="AK349" s="165"/>
      <c r="AL349" s="161"/>
      <c r="AM349" s="166"/>
      <c r="AN349" s="161"/>
      <c r="AO349" s="166"/>
      <c r="AP349" s="161"/>
      <c r="AQ349" s="161"/>
      <c r="AR349" s="161"/>
      <c r="AS349" s="167">
        <v>35000</v>
      </c>
      <c r="AT349" s="167">
        <v>30000</v>
      </c>
      <c r="AU349" s="167"/>
      <c r="AV349" s="167"/>
      <c r="AW349" s="167"/>
      <c r="AX349" s="167">
        <f t="shared" si="65"/>
        <v>65000</v>
      </c>
      <c r="AY349" s="168">
        <f t="shared" si="61"/>
        <v>-65000</v>
      </c>
      <c r="AZ349" s="168">
        <f t="shared" si="62"/>
        <v>-65000</v>
      </c>
      <c r="BA349" s="168">
        <f t="shared" si="63"/>
        <v>0</v>
      </c>
      <c r="BB349" s="168">
        <f t="shared" si="68"/>
        <v>-32500</v>
      </c>
      <c r="BC349" s="168">
        <f t="shared" si="69"/>
        <v>-29250</v>
      </c>
      <c r="BD349" s="169">
        <v>50000</v>
      </c>
      <c r="BE349" s="169"/>
      <c r="BF349" s="168">
        <f t="shared" si="59"/>
        <v>-79250</v>
      </c>
      <c r="BG349" s="33"/>
      <c r="BH349" s="16"/>
      <c r="BI349" s="16"/>
    </row>
    <row r="350" spans="1:61" ht="16.899999999999999">
      <c r="A350" s="36">
        <v>349</v>
      </c>
      <c r="B350" s="35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5"/>
      <c r="P350" s="33"/>
      <c r="Q350" s="33"/>
      <c r="R350" s="158"/>
      <c r="S350" s="158"/>
      <c r="T350" s="159">
        <f t="shared" si="66"/>
        <v>0</v>
      </c>
      <c r="U350" s="30"/>
      <c r="V350" s="30"/>
      <c r="W350" s="30"/>
      <c r="X350" s="30"/>
      <c r="Y350" s="238"/>
      <c r="Z350" s="242"/>
      <c r="AA350" s="33"/>
      <c r="AB350" s="160"/>
      <c r="AC350" s="161"/>
      <c r="AD350" s="162"/>
      <c r="AE350" s="163"/>
      <c r="AF350" s="23">
        <f t="shared" si="60"/>
        <v>0</v>
      </c>
      <c r="AG350" s="161">
        <f t="shared" si="64"/>
        <v>0</v>
      </c>
      <c r="AH350" s="164">
        <f t="shared" si="67"/>
        <v>0</v>
      </c>
      <c r="AI350" s="23"/>
      <c r="AJ350" s="23"/>
      <c r="AK350" s="165"/>
      <c r="AL350" s="161"/>
      <c r="AM350" s="166"/>
      <c r="AN350" s="161"/>
      <c r="AO350" s="166"/>
      <c r="AP350" s="161"/>
      <c r="AQ350" s="161"/>
      <c r="AR350" s="161"/>
      <c r="AS350" s="167">
        <v>35000</v>
      </c>
      <c r="AT350" s="167">
        <v>30000</v>
      </c>
      <c r="AU350" s="167"/>
      <c r="AV350" s="167"/>
      <c r="AW350" s="167"/>
      <c r="AX350" s="167">
        <f t="shared" si="65"/>
        <v>65000</v>
      </c>
      <c r="AY350" s="168">
        <f t="shared" si="61"/>
        <v>-65000</v>
      </c>
      <c r="AZ350" s="168">
        <f t="shared" si="62"/>
        <v>-65000</v>
      </c>
      <c r="BA350" s="168">
        <f t="shared" si="63"/>
        <v>0</v>
      </c>
      <c r="BB350" s="168">
        <f t="shared" si="68"/>
        <v>-32500</v>
      </c>
      <c r="BC350" s="168">
        <f t="shared" si="69"/>
        <v>-29250</v>
      </c>
      <c r="BD350" s="169">
        <v>50000</v>
      </c>
      <c r="BE350" s="169"/>
      <c r="BF350" s="168">
        <f t="shared" si="59"/>
        <v>-79250</v>
      </c>
      <c r="BG350" s="33"/>
      <c r="BH350" s="16"/>
      <c r="BI350" s="16"/>
    </row>
    <row r="351" spans="1:61" ht="16.899999999999999">
      <c r="A351" s="36">
        <v>350</v>
      </c>
      <c r="B351" s="35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5"/>
      <c r="P351" s="33"/>
      <c r="Q351" s="33"/>
      <c r="R351" s="158"/>
      <c r="S351" s="158"/>
      <c r="T351" s="159">
        <f t="shared" si="66"/>
        <v>0</v>
      </c>
      <c r="U351" s="30"/>
      <c r="V351" s="30"/>
      <c r="W351" s="30"/>
      <c r="X351" s="30"/>
      <c r="Y351" s="238"/>
      <c r="Z351" s="242"/>
      <c r="AA351" s="33"/>
      <c r="AB351" s="160"/>
      <c r="AC351" s="161"/>
      <c r="AD351" s="162"/>
      <c r="AE351" s="163"/>
      <c r="AF351" s="23">
        <f t="shared" si="60"/>
        <v>0</v>
      </c>
      <c r="AG351" s="161">
        <f t="shared" si="64"/>
        <v>0</v>
      </c>
      <c r="AH351" s="164">
        <f t="shared" si="67"/>
        <v>0</v>
      </c>
      <c r="AI351" s="23"/>
      <c r="AJ351" s="23"/>
      <c r="AK351" s="165"/>
      <c r="AL351" s="161"/>
      <c r="AM351" s="166"/>
      <c r="AN351" s="161"/>
      <c r="AO351" s="166"/>
      <c r="AP351" s="161"/>
      <c r="AQ351" s="161"/>
      <c r="AR351" s="161"/>
      <c r="AS351" s="167">
        <v>35000</v>
      </c>
      <c r="AT351" s="167">
        <v>30000</v>
      </c>
      <c r="AU351" s="167"/>
      <c r="AV351" s="167"/>
      <c r="AW351" s="167"/>
      <c r="AX351" s="167">
        <f t="shared" si="65"/>
        <v>65000</v>
      </c>
      <c r="AY351" s="168">
        <f t="shared" si="61"/>
        <v>-65000</v>
      </c>
      <c r="AZ351" s="168">
        <f t="shared" si="62"/>
        <v>-65000</v>
      </c>
      <c r="BA351" s="168">
        <f t="shared" si="63"/>
        <v>0</v>
      </c>
      <c r="BB351" s="168">
        <f t="shared" si="68"/>
        <v>-32500</v>
      </c>
      <c r="BC351" s="168">
        <f t="shared" si="69"/>
        <v>-29250</v>
      </c>
      <c r="BD351" s="169">
        <v>50000</v>
      </c>
      <c r="BE351" s="169"/>
      <c r="BF351" s="168">
        <f t="shared" si="59"/>
        <v>-79250</v>
      </c>
      <c r="BG351" s="33"/>
      <c r="BH351" s="16"/>
      <c r="BI351" s="16"/>
    </row>
    <row r="352" spans="1:61" ht="16.899999999999999">
      <c r="A352" s="36">
        <v>351</v>
      </c>
      <c r="B352" s="35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5"/>
      <c r="P352" s="33"/>
      <c r="Q352" s="33"/>
      <c r="R352" s="158"/>
      <c r="S352" s="158"/>
      <c r="T352" s="159">
        <f t="shared" si="66"/>
        <v>0</v>
      </c>
      <c r="U352" s="30"/>
      <c r="V352" s="30"/>
      <c r="W352" s="30"/>
      <c r="X352" s="30"/>
      <c r="Y352" s="238"/>
      <c r="Z352" s="242"/>
      <c r="AA352" s="33"/>
      <c r="AB352" s="160"/>
      <c r="AC352" s="161"/>
      <c r="AD352" s="162"/>
      <c r="AE352" s="163"/>
      <c r="AF352" s="23">
        <f t="shared" si="60"/>
        <v>0</v>
      </c>
      <c r="AG352" s="161">
        <f t="shared" si="64"/>
        <v>0</v>
      </c>
      <c r="AH352" s="164">
        <f t="shared" si="67"/>
        <v>0</v>
      </c>
      <c r="AI352" s="37"/>
      <c r="AJ352" s="37"/>
      <c r="AK352" s="165"/>
      <c r="AL352" s="161"/>
      <c r="AM352" s="166"/>
      <c r="AN352" s="161"/>
      <c r="AO352" s="166"/>
      <c r="AP352" s="161"/>
      <c r="AQ352" s="161"/>
      <c r="AR352" s="161"/>
      <c r="AS352" s="167">
        <v>35000</v>
      </c>
      <c r="AT352" s="167">
        <v>30000</v>
      </c>
      <c r="AU352" s="167"/>
      <c r="AV352" s="167"/>
      <c r="AW352" s="167"/>
      <c r="AX352" s="167">
        <f t="shared" si="65"/>
        <v>65000</v>
      </c>
      <c r="AY352" s="168">
        <f t="shared" si="61"/>
        <v>-65000</v>
      </c>
      <c r="AZ352" s="168">
        <f t="shared" si="62"/>
        <v>-65000</v>
      </c>
      <c r="BA352" s="168">
        <f t="shared" si="63"/>
        <v>0</v>
      </c>
      <c r="BB352" s="168">
        <f t="shared" si="68"/>
        <v>-32500</v>
      </c>
      <c r="BC352" s="168">
        <f t="shared" si="69"/>
        <v>-29250</v>
      </c>
      <c r="BD352" s="169">
        <v>50000</v>
      </c>
      <c r="BE352" s="169"/>
      <c r="BF352" s="168">
        <f t="shared" si="59"/>
        <v>-79250</v>
      </c>
      <c r="BG352" s="33"/>
      <c r="BH352" s="16"/>
      <c r="BI352" s="16"/>
    </row>
    <row r="353" spans="1:61" ht="16.899999999999999">
      <c r="A353" s="36">
        <v>352</v>
      </c>
      <c r="B353" s="35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5"/>
      <c r="P353" s="33"/>
      <c r="Q353" s="33"/>
      <c r="R353" s="158"/>
      <c r="S353" s="158"/>
      <c r="T353" s="159">
        <f t="shared" si="66"/>
        <v>0</v>
      </c>
      <c r="U353" s="30"/>
      <c r="V353" s="30"/>
      <c r="W353" s="30"/>
      <c r="X353" s="30"/>
      <c r="Y353" s="238"/>
      <c r="Z353" s="242"/>
      <c r="AA353" s="33"/>
      <c r="AB353" s="160"/>
      <c r="AC353" s="161"/>
      <c r="AD353" s="162"/>
      <c r="AE353" s="163"/>
      <c r="AF353" s="23">
        <f t="shared" si="60"/>
        <v>0</v>
      </c>
      <c r="AG353" s="161">
        <f t="shared" si="64"/>
        <v>0</v>
      </c>
      <c r="AH353" s="164">
        <f t="shared" si="67"/>
        <v>0</v>
      </c>
      <c r="AI353" s="23"/>
      <c r="AJ353" s="23"/>
      <c r="AK353" s="165"/>
      <c r="AL353" s="161"/>
      <c r="AM353" s="166"/>
      <c r="AN353" s="161"/>
      <c r="AO353" s="166"/>
      <c r="AP353" s="161"/>
      <c r="AQ353" s="161"/>
      <c r="AR353" s="161"/>
      <c r="AS353" s="167">
        <v>35000</v>
      </c>
      <c r="AT353" s="167">
        <v>30000</v>
      </c>
      <c r="AU353" s="167"/>
      <c r="AV353" s="167"/>
      <c r="AW353" s="167"/>
      <c r="AX353" s="167">
        <f t="shared" si="65"/>
        <v>65000</v>
      </c>
      <c r="AY353" s="168">
        <f t="shared" si="61"/>
        <v>-65000</v>
      </c>
      <c r="AZ353" s="168">
        <f t="shared" si="62"/>
        <v>-65000</v>
      </c>
      <c r="BA353" s="168">
        <f t="shared" si="63"/>
        <v>0</v>
      </c>
      <c r="BB353" s="168">
        <f t="shared" si="68"/>
        <v>-32500</v>
      </c>
      <c r="BC353" s="168">
        <f t="shared" si="69"/>
        <v>-29250</v>
      </c>
      <c r="BD353" s="169">
        <v>50000</v>
      </c>
      <c r="BE353" s="169"/>
      <c r="BF353" s="168">
        <f t="shared" si="59"/>
        <v>-79250</v>
      </c>
      <c r="BG353" s="33"/>
      <c r="BH353" s="16"/>
      <c r="BI353" s="16"/>
    </row>
    <row r="354" spans="1:61" ht="16.899999999999999">
      <c r="A354" s="36">
        <v>353</v>
      </c>
      <c r="B354" s="35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5"/>
      <c r="P354" s="33"/>
      <c r="Q354" s="33"/>
      <c r="R354" s="158"/>
      <c r="S354" s="158"/>
      <c r="T354" s="159">
        <f t="shared" si="66"/>
        <v>0</v>
      </c>
      <c r="U354" s="30"/>
      <c r="V354" s="30"/>
      <c r="W354" s="30"/>
      <c r="X354" s="30"/>
      <c r="Y354" s="238"/>
      <c r="Z354" s="242"/>
      <c r="AA354" s="33"/>
      <c r="AB354" s="160"/>
      <c r="AC354" s="161"/>
      <c r="AD354" s="162"/>
      <c r="AE354" s="163"/>
      <c r="AF354" s="23">
        <f t="shared" si="60"/>
        <v>0</v>
      </c>
      <c r="AG354" s="161">
        <f t="shared" si="64"/>
        <v>0</v>
      </c>
      <c r="AH354" s="164">
        <f t="shared" si="67"/>
        <v>0</v>
      </c>
      <c r="AI354" s="23"/>
      <c r="AJ354" s="23"/>
      <c r="AK354" s="165"/>
      <c r="AL354" s="161"/>
      <c r="AM354" s="166"/>
      <c r="AN354" s="161"/>
      <c r="AO354" s="166"/>
      <c r="AP354" s="161"/>
      <c r="AQ354" s="161"/>
      <c r="AR354" s="161"/>
      <c r="AS354" s="167">
        <v>35000</v>
      </c>
      <c r="AT354" s="167">
        <v>30000</v>
      </c>
      <c r="AU354" s="167"/>
      <c r="AV354" s="167"/>
      <c r="AW354" s="167"/>
      <c r="AX354" s="167">
        <f t="shared" si="65"/>
        <v>65000</v>
      </c>
      <c r="AY354" s="168">
        <f t="shared" si="61"/>
        <v>-65000</v>
      </c>
      <c r="AZ354" s="168">
        <f t="shared" si="62"/>
        <v>-65000</v>
      </c>
      <c r="BA354" s="168">
        <f t="shared" si="63"/>
        <v>0</v>
      </c>
      <c r="BB354" s="168">
        <f t="shared" si="68"/>
        <v>-32500</v>
      </c>
      <c r="BC354" s="168">
        <f t="shared" si="69"/>
        <v>-29250</v>
      </c>
      <c r="BD354" s="169">
        <v>50000</v>
      </c>
      <c r="BE354" s="169"/>
      <c r="BF354" s="168">
        <f t="shared" si="59"/>
        <v>-79250</v>
      </c>
      <c r="BG354" s="33"/>
      <c r="BH354" s="16"/>
      <c r="BI354" s="16"/>
    </row>
    <row r="355" spans="1:61" ht="16.899999999999999">
      <c r="A355" s="36">
        <v>354</v>
      </c>
      <c r="B355" s="35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5"/>
      <c r="P355" s="33"/>
      <c r="Q355" s="33"/>
      <c r="R355" s="158"/>
      <c r="S355" s="158"/>
      <c r="T355" s="159">
        <f t="shared" si="66"/>
        <v>0</v>
      </c>
      <c r="U355" s="30"/>
      <c r="V355" s="30"/>
      <c r="W355" s="30"/>
      <c r="X355" s="30"/>
      <c r="Y355" s="238"/>
      <c r="Z355" s="242"/>
      <c r="AA355" s="33"/>
      <c r="AB355" s="160"/>
      <c r="AC355" s="161"/>
      <c r="AD355" s="162"/>
      <c r="AE355" s="163"/>
      <c r="AF355" s="23">
        <f t="shared" si="60"/>
        <v>0</v>
      </c>
      <c r="AG355" s="161">
        <f t="shared" si="64"/>
        <v>0</v>
      </c>
      <c r="AH355" s="164">
        <f t="shared" si="67"/>
        <v>0</v>
      </c>
      <c r="AI355" s="23"/>
      <c r="AJ355" s="23"/>
      <c r="AK355" s="165"/>
      <c r="AL355" s="161"/>
      <c r="AM355" s="166"/>
      <c r="AN355" s="161"/>
      <c r="AO355" s="166"/>
      <c r="AP355" s="161"/>
      <c r="AQ355" s="161"/>
      <c r="AR355" s="161"/>
      <c r="AS355" s="167">
        <v>35000</v>
      </c>
      <c r="AT355" s="167">
        <v>30000</v>
      </c>
      <c r="AU355" s="167"/>
      <c r="AV355" s="167"/>
      <c r="AW355" s="167"/>
      <c r="AX355" s="167">
        <f t="shared" si="65"/>
        <v>65000</v>
      </c>
      <c r="AY355" s="168">
        <f t="shared" si="61"/>
        <v>-65000</v>
      </c>
      <c r="AZ355" s="168">
        <f t="shared" si="62"/>
        <v>-65000</v>
      </c>
      <c r="BA355" s="168">
        <f t="shared" si="63"/>
        <v>0</v>
      </c>
      <c r="BB355" s="168">
        <f t="shared" si="68"/>
        <v>-32500</v>
      </c>
      <c r="BC355" s="168">
        <f t="shared" si="69"/>
        <v>-29250</v>
      </c>
      <c r="BD355" s="169">
        <v>50000</v>
      </c>
      <c r="BE355" s="169"/>
      <c r="BF355" s="168">
        <f t="shared" si="59"/>
        <v>-79250</v>
      </c>
      <c r="BG355" s="33"/>
      <c r="BH355" s="16"/>
      <c r="BI355" s="16"/>
    </row>
    <row r="356" spans="1:61" ht="16.899999999999999">
      <c r="A356" s="36">
        <v>355</v>
      </c>
      <c r="B356" s="35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5"/>
      <c r="P356" s="33"/>
      <c r="Q356" s="33"/>
      <c r="R356" s="158"/>
      <c r="S356" s="158"/>
      <c r="T356" s="159">
        <f t="shared" si="66"/>
        <v>0</v>
      </c>
      <c r="U356" s="30"/>
      <c r="V356" s="30"/>
      <c r="W356" s="30"/>
      <c r="X356" s="30"/>
      <c r="Y356" s="238"/>
      <c r="Z356" s="242"/>
      <c r="AA356" s="33"/>
      <c r="AB356" s="160"/>
      <c r="AC356" s="161"/>
      <c r="AD356" s="162"/>
      <c r="AE356" s="163"/>
      <c r="AF356" s="23">
        <f t="shared" si="60"/>
        <v>0</v>
      </c>
      <c r="AG356" s="161">
        <f t="shared" si="64"/>
        <v>0</v>
      </c>
      <c r="AH356" s="164">
        <f t="shared" si="67"/>
        <v>0</v>
      </c>
      <c r="AI356" s="37"/>
      <c r="AJ356" s="37"/>
      <c r="AK356" s="165"/>
      <c r="AL356" s="161"/>
      <c r="AM356" s="166"/>
      <c r="AN356" s="161"/>
      <c r="AO356" s="166"/>
      <c r="AP356" s="161"/>
      <c r="AQ356" s="161"/>
      <c r="AR356" s="161"/>
      <c r="AS356" s="167">
        <v>35000</v>
      </c>
      <c r="AT356" s="167">
        <v>30000</v>
      </c>
      <c r="AU356" s="167"/>
      <c r="AV356" s="167"/>
      <c r="AW356" s="167"/>
      <c r="AX356" s="167">
        <f t="shared" si="65"/>
        <v>65000</v>
      </c>
      <c r="AY356" s="168">
        <f t="shared" si="61"/>
        <v>-65000</v>
      </c>
      <c r="AZ356" s="168">
        <f t="shared" si="62"/>
        <v>-65000</v>
      </c>
      <c r="BA356" s="168">
        <f t="shared" si="63"/>
        <v>0</v>
      </c>
      <c r="BB356" s="168">
        <f t="shared" si="68"/>
        <v>-32500</v>
      </c>
      <c r="BC356" s="168">
        <f t="shared" si="69"/>
        <v>-29250</v>
      </c>
      <c r="BD356" s="169">
        <v>50000</v>
      </c>
      <c r="BE356" s="169"/>
      <c r="BF356" s="168">
        <f t="shared" si="59"/>
        <v>-79250</v>
      </c>
      <c r="BG356" s="33"/>
      <c r="BH356" s="16"/>
      <c r="BI356" s="16"/>
    </row>
    <row r="357" spans="1:61" ht="16.899999999999999">
      <c r="A357" s="36">
        <v>356</v>
      </c>
      <c r="B357" s="35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5"/>
      <c r="P357" s="33"/>
      <c r="Q357" s="33"/>
      <c r="R357" s="158"/>
      <c r="S357" s="158"/>
      <c r="T357" s="159">
        <f t="shared" si="66"/>
        <v>0</v>
      </c>
      <c r="U357" s="30"/>
      <c r="V357" s="30"/>
      <c r="W357" s="30"/>
      <c r="X357" s="30"/>
      <c r="Y357" s="238"/>
      <c r="Z357" s="242"/>
      <c r="AA357" s="33"/>
      <c r="AB357" s="160"/>
      <c r="AC357" s="161"/>
      <c r="AD357" s="162"/>
      <c r="AE357" s="163"/>
      <c r="AF357" s="23">
        <f t="shared" si="60"/>
        <v>0</v>
      </c>
      <c r="AG357" s="161">
        <f t="shared" si="64"/>
        <v>0</v>
      </c>
      <c r="AH357" s="164">
        <f t="shared" si="67"/>
        <v>0</v>
      </c>
      <c r="AI357" s="23"/>
      <c r="AJ357" s="23"/>
      <c r="AK357" s="165"/>
      <c r="AL357" s="161"/>
      <c r="AM357" s="166"/>
      <c r="AN357" s="161"/>
      <c r="AO357" s="166"/>
      <c r="AP357" s="161"/>
      <c r="AQ357" s="161"/>
      <c r="AR357" s="161"/>
      <c r="AS357" s="167">
        <v>35000</v>
      </c>
      <c r="AT357" s="167">
        <v>30000</v>
      </c>
      <c r="AU357" s="167"/>
      <c r="AV357" s="167"/>
      <c r="AW357" s="167"/>
      <c r="AX357" s="167">
        <f t="shared" si="65"/>
        <v>65000</v>
      </c>
      <c r="AY357" s="168">
        <f t="shared" si="61"/>
        <v>-65000</v>
      </c>
      <c r="AZ357" s="168">
        <f t="shared" si="62"/>
        <v>-65000</v>
      </c>
      <c r="BA357" s="168">
        <f t="shared" si="63"/>
        <v>0</v>
      </c>
      <c r="BB357" s="168">
        <f t="shared" si="68"/>
        <v>-32500</v>
      </c>
      <c r="BC357" s="168">
        <f t="shared" si="69"/>
        <v>-29250</v>
      </c>
      <c r="BD357" s="169">
        <v>50000</v>
      </c>
      <c r="BE357" s="169"/>
      <c r="BF357" s="168">
        <f t="shared" si="59"/>
        <v>-79250</v>
      </c>
      <c r="BG357" s="33"/>
      <c r="BH357" s="16"/>
      <c r="BI357" s="16"/>
    </row>
    <row r="358" spans="1:61" ht="16.899999999999999">
      <c r="A358" s="36">
        <v>357</v>
      </c>
      <c r="B358" s="35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5"/>
      <c r="P358" s="33"/>
      <c r="Q358" s="33"/>
      <c r="R358" s="158"/>
      <c r="S358" s="158"/>
      <c r="T358" s="159">
        <f t="shared" si="66"/>
        <v>0</v>
      </c>
      <c r="U358" s="30"/>
      <c r="V358" s="30"/>
      <c r="W358" s="30"/>
      <c r="X358" s="30"/>
      <c r="Y358" s="238"/>
      <c r="Z358" s="242"/>
      <c r="AA358" s="33"/>
      <c r="AB358" s="160"/>
      <c r="AC358" s="161"/>
      <c r="AD358" s="162"/>
      <c r="AE358" s="163"/>
      <c r="AF358" s="23">
        <f t="shared" si="60"/>
        <v>0</v>
      </c>
      <c r="AG358" s="161">
        <f t="shared" si="64"/>
        <v>0</v>
      </c>
      <c r="AH358" s="164">
        <f t="shared" si="67"/>
        <v>0</v>
      </c>
      <c r="AI358" s="23"/>
      <c r="AJ358" s="23"/>
      <c r="AK358" s="165"/>
      <c r="AL358" s="161"/>
      <c r="AM358" s="166"/>
      <c r="AN358" s="161"/>
      <c r="AO358" s="166"/>
      <c r="AP358" s="161"/>
      <c r="AQ358" s="161"/>
      <c r="AR358" s="161"/>
      <c r="AS358" s="167">
        <v>35000</v>
      </c>
      <c r="AT358" s="167">
        <v>30000</v>
      </c>
      <c r="AU358" s="167"/>
      <c r="AV358" s="167"/>
      <c r="AW358" s="167"/>
      <c r="AX358" s="167">
        <f t="shared" si="65"/>
        <v>65000</v>
      </c>
      <c r="AY358" s="168">
        <f t="shared" si="61"/>
        <v>-65000</v>
      </c>
      <c r="AZ358" s="168">
        <f t="shared" si="62"/>
        <v>-65000</v>
      </c>
      <c r="BA358" s="168">
        <f t="shared" si="63"/>
        <v>0</v>
      </c>
      <c r="BB358" s="168">
        <f t="shared" si="68"/>
        <v>-32500</v>
      </c>
      <c r="BC358" s="168">
        <f t="shared" si="69"/>
        <v>-29250</v>
      </c>
      <c r="BD358" s="169">
        <v>50000</v>
      </c>
      <c r="BE358" s="169"/>
      <c r="BF358" s="168">
        <f t="shared" si="59"/>
        <v>-79250</v>
      </c>
      <c r="BG358" s="33"/>
      <c r="BH358" s="16"/>
      <c r="BI358" s="16"/>
    </row>
    <row r="359" spans="1:61" ht="16.5" customHeight="1">
      <c r="A359" s="36">
        <v>358</v>
      </c>
      <c r="B359" s="35"/>
      <c r="C359" s="33"/>
      <c r="D359" s="33"/>
      <c r="E359" s="33"/>
      <c r="F359" s="38"/>
      <c r="G359" s="38"/>
      <c r="H359" s="38"/>
      <c r="I359" s="38"/>
      <c r="J359" s="38"/>
      <c r="K359" s="38"/>
      <c r="L359" s="33"/>
      <c r="M359" s="33"/>
      <c r="N359" s="38"/>
      <c r="O359" s="33"/>
      <c r="P359" s="38"/>
      <c r="Q359" s="216"/>
      <c r="R359" s="158"/>
      <c r="S359" s="160"/>
      <c r="T359" s="159">
        <f t="shared" si="66"/>
        <v>0</v>
      </c>
      <c r="U359" s="30"/>
      <c r="V359" s="30"/>
      <c r="W359" s="30"/>
      <c r="X359" s="30"/>
      <c r="Y359" s="238"/>
      <c r="Z359" s="242"/>
      <c r="AA359" s="38"/>
      <c r="AB359" s="160"/>
      <c r="AC359" s="161"/>
      <c r="AD359" s="162"/>
      <c r="AE359" s="163"/>
      <c r="AF359" s="23">
        <f t="shared" si="60"/>
        <v>0</v>
      </c>
      <c r="AG359" s="161">
        <f t="shared" si="64"/>
        <v>0</v>
      </c>
      <c r="AH359" s="164">
        <f t="shared" si="67"/>
        <v>0</v>
      </c>
      <c r="AI359" s="37"/>
      <c r="AJ359" s="37"/>
      <c r="AK359" s="165"/>
      <c r="AL359" s="161"/>
      <c r="AM359" s="166"/>
      <c r="AN359" s="170"/>
      <c r="AO359" s="166"/>
      <c r="AP359" s="161"/>
      <c r="AQ359" s="161"/>
      <c r="AR359" s="161"/>
      <c r="AS359" s="167">
        <v>35000</v>
      </c>
      <c r="AT359" s="167">
        <v>30000</v>
      </c>
      <c r="AU359" s="167"/>
      <c r="AV359" s="167"/>
      <c r="AW359" s="171"/>
      <c r="AX359" s="167">
        <f t="shared" si="65"/>
        <v>65000</v>
      </c>
      <c r="AY359" s="168">
        <f t="shared" si="61"/>
        <v>-65000</v>
      </c>
      <c r="AZ359" s="168">
        <f t="shared" si="62"/>
        <v>-65000</v>
      </c>
      <c r="BA359" s="168">
        <f t="shared" si="63"/>
        <v>0</v>
      </c>
      <c r="BB359" s="168">
        <f t="shared" si="68"/>
        <v>-32500</v>
      </c>
      <c r="BC359" s="168">
        <f t="shared" si="69"/>
        <v>-29250</v>
      </c>
      <c r="BD359" s="169">
        <v>50000</v>
      </c>
      <c r="BE359" s="172"/>
      <c r="BF359" s="168">
        <f t="shared" si="59"/>
        <v>-79250</v>
      </c>
      <c r="BG359" s="33"/>
      <c r="BH359" s="16"/>
      <c r="BI359" s="16"/>
    </row>
    <row r="360" spans="1:61" ht="16.899999999999999">
      <c r="A360" s="36">
        <v>359</v>
      </c>
      <c r="B360" s="35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5"/>
      <c r="P360" s="33"/>
      <c r="Q360" s="33"/>
      <c r="R360" s="158"/>
      <c r="S360" s="158"/>
      <c r="T360" s="159">
        <f t="shared" si="66"/>
        <v>0</v>
      </c>
      <c r="U360" s="30"/>
      <c r="V360" s="30"/>
      <c r="W360" s="30"/>
      <c r="X360" s="30"/>
      <c r="Y360" s="238"/>
      <c r="Z360" s="242"/>
      <c r="AA360" s="33"/>
      <c r="AB360" s="160"/>
      <c r="AC360" s="161"/>
      <c r="AD360" s="162"/>
      <c r="AE360" s="163"/>
      <c r="AF360" s="23">
        <f t="shared" si="60"/>
        <v>0</v>
      </c>
      <c r="AG360" s="161">
        <f t="shared" si="64"/>
        <v>0</v>
      </c>
      <c r="AH360" s="164">
        <f t="shared" si="67"/>
        <v>0</v>
      </c>
      <c r="AI360" s="23"/>
      <c r="AJ360" s="23"/>
      <c r="AK360" s="165"/>
      <c r="AL360" s="161"/>
      <c r="AM360" s="166"/>
      <c r="AN360" s="161"/>
      <c r="AO360" s="166"/>
      <c r="AP360" s="161"/>
      <c r="AQ360" s="161"/>
      <c r="AR360" s="161"/>
      <c r="AS360" s="167">
        <v>35000</v>
      </c>
      <c r="AT360" s="167">
        <v>30000</v>
      </c>
      <c r="AU360" s="167"/>
      <c r="AV360" s="167"/>
      <c r="AW360" s="167"/>
      <c r="AX360" s="167">
        <f t="shared" si="65"/>
        <v>65000</v>
      </c>
      <c r="AY360" s="168">
        <f t="shared" si="61"/>
        <v>-65000</v>
      </c>
      <c r="AZ360" s="168">
        <f t="shared" si="62"/>
        <v>-65000</v>
      </c>
      <c r="BA360" s="168">
        <f t="shared" si="63"/>
        <v>0</v>
      </c>
      <c r="BB360" s="168">
        <f t="shared" si="68"/>
        <v>-32500</v>
      </c>
      <c r="BC360" s="168">
        <f t="shared" si="69"/>
        <v>-29250</v>
      </c>
      <c r="BD360" s="169">
        <v>50000</v>
      </c>
      <c r="BE360" s="169"/>
      <c r="BF360" s="168">
        <f t="shared" si="59"/>
        <v>-79250</v>
      </c>
      <c r="BG360" s="33"/>
      <c r="BH360" s="16"/>
      <c r="BI360" s="16"/>
    </row>
    <row r="361" spans="1:61" ht="16.899999999999999">
      <c r="A361" s="36">
        <v>360</v>
      </c>
      <c r="B361" s="35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5"/>
      <c r="P361" s="33"/>
      <c r="Q361" s="33"/>
      <c r="R361" s="158"/>
      <c r="S361" s="158"/>
      <c r="T361" s="159">
        <f t="shared" si="66"/>
        <v>0</v>
      </c>
      <c r="U361" s="30"/>
      <c r="V361" s="30"/>
      <c r="W361" s="30"/>
      <c r="X361" s="30"/>
      <c r="Y361" s="238"/>
      <c r="Z361" s="242"/>
      <c r="AA361" s="33"/>
      <c r="AB361" s="160"/>
      <c r="AC361" s="161"/>
      <c r="AD361" s="162"/>
      <c r="AE361" s="163"/>
      <c r="AF361" s="23">
        <f t="shared" si="60"/>
        <v>0</v>
      </c>
      <c r="AG361" s="161">
        <f t="shared" si="64"/>
        <v>0</v>
      </c>
      <c r="AH361" s="164">
        <f t="shared" si="67"/>
        <v>0</v>
      </c>
      <c r="AI361" s="23"/>
      <c r="AJ361" s="23"/>
      <c r="AK361" s="165"/>
      <c r="AL361" s="161"/>
      <c r="AM361" s="166"/>
      <c r="AN361" s="161"/>
      <c r="AO361" s="166"/>
      <c r="AP361" s="161"/>
      <c r="AQ361" s="161"/>
      <c r="AR361" s="161"/>
      <c r="AS361" s="167">
        <v>35000</v>
      </c>
      <c r="AT361" s="167">
        <v>30000</v>
      </c>
      <c r="AU361" s="167"/>
      <c r="AV361" s="167"/>
      <c r="AW361" s="167"/>
      <c r="AX361" s="167">
        <f t="shared" si="65"/>
        <v>65000</v>
      </c>
      <c r="AY361" s="168">
        <f t="shared" si="61"/>
        <v>-65000</v>
      </c>
      <c r="AZ361" s="168">
        <f t="shared" si="62"/>
        <v>-65000</v>
      </c>
      <c r="BA361" s="168">
        <f t="shared" si="63"/>
        <v>0</v>
      </c>
      <c r="BB361" s="168">
        <f t="shared" si="68"/>
        <v>-32500</v>
      </c>
      <c r="BC361" s="168">
        <f t="shared" si="69"/>
        <v>-29250</v>
      </c>
      <c r="BD361" s="169">
        <v>50000</v>
      </c>
      <c r="BE361" s="169"/>
      <c r="BF361" s="168">
        <f t="shared" si="59"/>
        <v>-79250</v>
      </c>
      <c r="BG361" s="33"/>
      <c r="BH361" s="16"/>
      <c r="BI361" s="16"/>
    </row>
    <row r="362" spans="1:61" s="6" customFormat="1" ht="16.899999999999999">
      <c r="A362" s="36">
        <v>361</v>
      </c>
      <c r="B362" s="35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5"/>
      <c r="P362" s="33"/>
      <c r="Q362" s="33"/>
      <c r="R362" s="158"/>
      <c r="S362" s="158"/>
      <c r="T362" s="159">
        <f t="shared" si="66"/>
        <v>0</v>
      </c>
      <c r="U362" s="30"/>
      <c r="V362" s="30"/>
      <c r="W362" s="30"/>
      <c r="X362" s="30"/>
      <c r="Y362" s="238"/>
      <c r="Z362" s="242"/>
      <c r="AA362" s="33"/>
      <c r="AB362" s="160"/>
      <c r="AC362" s="161"/>
      <c r="AD362" s="162"/>
      <c r="AE362" s="163"/>
      <c r="AF362" s="23">
        <f t="shared" si="60"/>
        <v>0</v>
      </c>
      <c r="AG362" s="161">
        <f t="shared" si="64"/>
        <v>0</v>
      </c>
      <c r="AH362" s="164">
        <f t="shared" si="67"/>
        <v>0</v>
      </c>
      <c r="AI362" s="23"/>
      <c r="AJ362" s="23"/>
      <c r="AK362" s="165"/>
      <c r="AL362" s="161"/>
      <c r="AM362" s="166"/>
      <c r="AN362" s="161"/>
      <c r="AO362" s="166"/>
      <c r="AP362" s="161"/>
      <c r="AQ362" s="161"/>
      <c r="AR362" s="161"/>
      <c r="AS362" s="167">
        <v>35000</v>
      </c>
      <c r="AT362" s="167">
        <v>30000</v>
      </c>
      <c r="AU362" s="167"/>
      <c r="AV362" s="167"/>
      <c r="AW362" s="167"/>
      <c r="AX362" s="167">
        <f t="shared" si="65"/>
        <v>65000</v>
      </c>
      <c r="AY362" s="168">
        <f t="shared" si="61"/>
        <v>-65000</v>
      </c>
      <c r="AZ362" s="168">
        <f t="shared" si="62"/>
        <v>-65000</v>
      </c>
      <c r="BA362" s="168">
        <f t="shared" si="63"/>
        <v>0</v>
      </c>
      <c r="BB362" s="168">
        <f t="shared" si="68"/>
        <v>-32500</v>
      </c>
      <c r="BC362" s="168">
        <f t="shared" si="69"/>
        <v>-29250</v>
      </c>
      <c r="BD362" s="169">
        <v>50000</v>
      </c>
      <c r="BE362" s="169"/>
      <c r="BF362" s="168">
        <f t="shared" si="59"/>
        <v>-79250</v>
      </c>
      <c r="BG362" s="33"/>
      <c r="BH362" s="15"/>
      <c r="BI362" s="15"/>
    </row>
    <row r="363" spans="1:61" s="6" customFormat="1" ht="16.899999999999999">
      <c r="A363" s="36">
        <v>362</v>
      </c>
      <c r="B363" s="35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5"/>
      <c r="P363" s="33"/>
      <c r="Q363" s="33"/>
      <c r="R363" s="158"/>
      <c r="S363" s="158"/>
      <c r="T363" s="159">
        <f t="shared" si="66"/>
        <v>0</v>
      </c>
      <c r="U363" s="30"/>
      <c r="V363" s="30"/>
      <c r="W363" s="30"/>
      <c r="X363" s="30"/>
      <c r="Y363" s="238"/>
      <c r="Z363" s="242"/>
      <c r="AA363" s="33"/>
      <c r="AB363" s="160"/>
      <c r="AC363" s="161"/>
      <c r="AD363" s="162"/>
      <c r="AE363" s="163"/>
      <c r="AF363" s="23">
        <f t="shared" si="60"/>
        <v>0</v>
      </c>
      <c r="AG363" s="161">
        <f t="shared" si="64"/>
        <v>0</v>
      </c>
      <c r="AH363" s="164">
        <f t="shared" si="67"/>
        <v>0</v>
      </c>
      <c r="AI363" s="23"/>
      <c r="AJ363" s="23"/>
      <c r="AK363" s="165"/>
      <c r="AL363" s="161"/>
      <c r="AM363" s="166"/>
      <c r="AN363" s="161"/>
      <c r="AO363" s="166"/>
      <c r="AP363" s="161"/>
      <c r="AQ363" s="161"/>
      <c r="AR363" s="161"/>
      <c r="AS363" s="167">
        <v>35000</v>
      </c>
      <c r="AT363" s="167">
        <v>30000</v>
      </c>
      <c r="AU363" s="167"/>
      <c r="AV363" s="167"/>
      <c r="AW363" s="167"/>
      <c r="AX363" s="167">
        <f t="shared" si="65"/>
        <v>65000</v>
      </c>
      <c r="AY363" s="168">
        <f t="shared" si="61"/>
        <v>-65000</v>
      </c>
      <c r="AZ363" s="168">
        <f t="shared" si="62"/>
        <v>-65000</v>
      </c>
      <c r="BA363" s="168">
        <f t="shared" si="63"/>
        <v>0</v>
      </c>
      <c r="BB363" s="168">
        <f t="shared" si="68"/>
        <v>-32500</v>
      </c>
      <c r="BC363" s="168">
        <f t="shared" si="69"/>
        <v>-29250</v>
      </c>
      <c r="BD363" s="169">
        <v>50000</v>
      </c>
      <c r="BE363" s="169"/>
      <c r="BF363" s="168">
        <f t="shared" si="59"/>
        <v>-79250</v>
      </c>
      <c r="BG363" s="33"/>
      <c r="BH363" s="15"/>
      <c r="BI363" s="15"/>
    </row>
    <row r="364" spans="1:61" s="6" customFormat="1" ht="16.899999999999999">
      <c r="A364" s="36">
        <v>363</v>
      </c>
      <c r="B364" s="35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5"/>
      <c r="P364" s="33"/>
      <c r="Q364" s="33"/>
      <c r="R364" s="158"/>
      <c r="S364" s="158"/>
      <c r="T364" s="159">
        <f t="shared" si="66"/>
        <v>0</v>
      </c>
      <c r="U364" s="30"/>
      <c r="V364" s="30"/>
      <c r="W364" s="30"/>
      <c r="X364" s="30"/>
      <c r="Y364" s="238"/>
      <c r="Z364" s="242"/>
      <c r="AA364" s="33"/>
      <c r="AB364" s="160"/>
      <c r="AC364" s="161"/>
      <c r="AD364" s="162"/>
      <c r="AE364" s="163"/>
      <c r="AF364" s="23">
        <f t="shared" si="60"/>
        <v>0</v>
      </c>
      <c r="AG364" s="161">
        <f t="shared" si="64"/>
        <v>0</v>
      </c>
      <c r="AH364" s="164">
        <f t="shared" si="67"/>
        <v>0</v>
      </c>
      <c r="AI364" s="23"/>
      <c r="AJ364" s="23"/>
      <c r="AK364" s="165"/>
      <c r="AL364" s="161"/>
      <c r="AM364" s="166"/>
      <c r="AN364" s="161"/>
      <c r="AO364" s="166"/>
      <c r="AP364" s="161"/>
      <c r="AQ364" s="161"/>
      <c r="AR364" s="161"/>
      <c r="AS364" s="167">
        <v>35000</v>
      </c>
      <c r="AT364" s="167">
        <v>30000</v>
      </c>
      <c r="AU364" s="167"/>
      <c r="AV364" s="167"/>
      <c r="AW364" s="167"/>
      <c r="AX364" s="167">
        <f t="shared" si="65"/>
        <v>65000</v>
      </c>
      <c r="AY364" s="168">
        <f t="shared" si="61"/>
        <v>-65000</v>
      </c>
      <c r="AZ364" s="168">
        <f t="shared" si="62"/>
        <v>-65000</v>
      </c>
      <c r="BA364" s="168">
        <f t="shared" si="63"/>
        <v>0</v>
      </c>
      <c r="BB364" s="168">
        <f t="shared" si="68"/>
        <v>-32500</v>
      </c>
      <c r="BC364" s="168">
        <f t="shared" si="69"/>
        <v>-29250</v>
      </c>
      <c r="BD364" s="169">
        <v>50000</v>
      </c>
      <c r="BE364" s="169"/>
      <c r="BF364" s="168">
        <f t="shared" si="59"/>
        <v>-79250</v>
      </c>
      <c r="BG364" s="33"/>
      <c r="BH364" s="15"/>
      <c r="BI364" s="15"/>
    </row>
    <row r="365" spans="1:61" s="6" customFormat="1" ht="16.899999999999999">
      <c r="A365" s="36">
        <v>364</v>
      </c>
      <c r="B365" s="35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5"/>
      <c r="P365" s="33"/>
      <c r="Q365" s="33"/>
      <c r="R365" s="158"/>
      <c r="S365" s="158"/>
      <c r="T365" s="159">
        <f t="shared" si="66"/>
        <v>0</v>
      </c>
      <c r="U365" s="30"/>
      <c r="V365" s="30"/>
      <c r="W365" s="30"/>
      <c r="X365" s="30"/>
      <c r="Y365" s="238"/>
      <c r="Z365" s="242"/>
      <c r="AA365" s="33"/>
      <c r="AB365" s="160"/>
      <c r="AC365" s="161"/>
      <c r="AD365" s="162"/>
      <c r="AE365" s="163"/>
      <c r="AF365" s="23">
        <f t="shared" si="60"/>
        <v>0</v>
      </c>
      <c r="AG365" s="161">
        <f t="shared" si="64"/>
        <v>0</v>
      </c>
      <c r="AH365" s="164">
        <f t="shared" si="67"/>
        <v>0</v>
      </c>
      <c r="AI365" s="23"/>
      <c r="AJ365" s="23"/>
      <c r="AK365" s="165"/>
      <c r="AL365" s="161"/>
      <c r="AM365" s="166"/>
      <c r="AN365" s="161"/>
      <c r="AO365" s="166"/>
      <c r="AP365" s="161"/>
      <c r="AQ365" s="161"/>
      <c r="AR365" s="161"/>
      <c r="AS365" s="167">
        <v>35000</v>
      </c>
      <c r="AT365" s="167">
        <v>30000</v>
      </c>
      <c r="AU365" s="167"/>
      <c r="AV365" s="167"/>
      <c r="AW365" s="167"/>
      <c r="AX365" s="167">
        <f t="shared" si="65"/>
        <v>65000</v>
      </c>
      <c r="AY365" s="168">
        <f t="shared" si="61"/>
        <v>-65000</v>
      </c>
      <c r="AZ365" s="168">
        <f t="shared" si="62"/>
        <v>-65000</v>
      </c>
      <c r="BA365" s="168">
        <f t="shared" si="63"/>
        <v>0</v>
      </c>
      <c r="BB365" s="168">
        <f t="shared" si="68"/>
        <v>-32500</v>
      </c>
      <c r="BC365" s="168">
        <f t="shared" si="69"/>
        <v>-29250</v>
      </c>
      <c r="BD365" s="169">
        <v>50000</v>
      </c>
      <c r="BE365" s="169"/>
      <c r="BF365" s="168">
        <f t="shared" si="59"/>
        <v>-79250</v>
      </c>
      <c r="BG365" s="33"/>
      <c r="BH365" s="15"/>
      <c r="BI365" s="15"/>
    </row>
    <row r="366" spans="1:61" s="6" customFormat="1" ht="16.899999999999999">
      <c r="A366" s="36">
        <v>365</v>
      </c>
      <c r="B366" s="35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5"/>
      <c r="P366" s="33"/>
      <c r="Q366" s="33"/>
      <c r="R366" s="158"/>
      <c r="S366" s="158"/>
      <c r="T366" s="159">
        <f t="shared" si="66"/>
        <v>0</v>
      </c>
      <c r="U366" s="30"/>
      <c r="V366" s="30"/>
      <c r="W366" s="30"/>
      <c r="X366" s="30"/>
      <c r="Y366" s="238"/>
      <c r="Z366" s="242"/>
      <c r="AA366" s="33"/>
      <c r="AB366" s="160"/>
      <c r="AC366" s="161"/>
      <c r="AD366" s="162"/>
      <c r="AE366" s="163"/>
      <c r="AF366" s="23">
        <f t="shared" si="60"/>
        <v>0</v>
      </c>
      <c r="AG366" s="161">
        <f t="shared" si="64"/>
        <v>0</v>
      </c>
      <c r="AH366" s="164">
        <f t="shared" si="67"/>
        <v>0</v>
      </c>
      <c r="AI366" s="23"/>
      <c r="AJ366" s="23"/>
      <c r="AK366" s="165"/>
      <c r="AL366" s="161"/>
      <c r="AM366" s="166"/>
      <c r="AN366" s="161"/>
      <c r="AO366" s="166"/>
      <c r="AP366" s="161"/>
      <c r="AQ366" s="161"/>
      <c r="AR366" s="161"/>
      <c r="AS366" s="167">
        <v>35000</v>
      </c>
      <c r="AT366" s="167">
        <v>30000</v>
      </c>
      <c r="AU366" s="167"/>
      <c r="AV366" s="167"/>
      <c r="AW366" s="167"/>
      <c r="AX366" s="167">
        <f t="shared" si="65"/>
        <v>65000</v>
      </c>
      <c r="AY366" s="168">
        <f t="shared" si="61"/>
        <v>-65000</v>
      </c>
      <c r="AZ366" s="168">
        <f t="shared" si="62"/>
        <v>-65000</v>
      </c>
      <c r="BA366" s="168">
        <f t="shared" si="63"/>
        <v>0</v>
      </c>
      <c r="BB366" s="168">
        <f t="shared" si="68"/>
        <v>-32500</v>
      </c>
      <c r="BC366" s="168">
        <f t="shared" si="69"/>
        <v>-29250</v>
      </c>
      <c r="BD366" s="169">
        <v>50000</v>
      </c>
      <c r="BE366" s="169"/>
      <c r="BF366" s="168">
        <f t="shared" si="59"/>
        <v>-79250</v>
      </c>
      <c r="BG366" s="33"/>
      <c r="BH366" s="15"/>
      <c r="BI366" s="15"/>
    </row>
    <row r="367" spans="1:61" s="6" customFormat="1" ht="16.899999999999999">
      <c r="A367" s="36">
        <v>366</v>
      </c>
      <c r="B367" s="35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5"/>
      <c r="P367" s="33"/>
      <c r="Q367" s="33"/>
      <c r="R367" s="158"/>
      <c r="S367" s="158"/>
      <c r="T367" s="159">
        <f t="shared" si="66"/>
        <v>0</v>
      </c>
      <c r="U367" s="30"/>
      <c r="V367" s="30"/>
      <c r="W367" s="30"/>
      <c r="X367" s="30"/>
      <c r="Y367" s="238"/>
      <c r="Z367" s="242"/>
      <c r="AA367" s="33"/>
      <c r="AB367" s="160"/>
      <c r="AC367" s="161"/>
      <c r="AD367" s="162"/>
      <c r="AE367" s="163"/>
      <c r="AF367" s="23">
        <f t="shared" si="60"/>
        <v>0</v>
      </c>
      <c r="AG367" s="161">
        <f t="shared" si="64"/>
        <v>0</v>
      </c>
      <c r="AH367" s="164">
        <f t="shared" si="67"/>
        <v>0</v>
      </c>
      <c r="AI367" s="23"/>
      <c r="AJ367" s="23"/>
      <c r="AK367" s="165"/>
      <c r="AL367" s="161"/>
      <c r="AM367" s="166"/>
      <c r="AN367" s="161"/>
      <c r="AO367" s="166"/>
      <c r="AP367" s="161"/>
      <c r="AQ367" s="161"/>
      <c r="AR367" s="161"/>
      <c r="AS367" s="167">
        <v>35000</v>
      </c>
      <c r="AT367" s="167">
        <v>30000</v>
      </c>
      <c r="AU367" s="167"/>
      <c r="AV367" s="167"/>
      <c r="AW367" s="167"/>
      <c r="AX367" s="167">
        <f t="shared" si="65"/>
        <v>65000</v>
      </c>
      <c r="AY367" s="168">
        <f t="shared" si="61"/>
        <v>-65000</v>
      </c>
      <c r="AZ367" s="168">
        <f t="shared" si="62"/>
        <v>-65000</v>
      </c>
      <c r="BA367" s="168">
        <f t="shared" si="63"/>
        <v>0</v>
      </c>
      <c r="BB367" s="168">
        <f t="shared" si="68"/>
        <v>-32500</v>
      </c>
      <c r="BC367" s="168">
        <f t="shared" si="69"/>
        <v>-29250</v>
      </c>
      <c r="BD367" s="169">
        <v>50000</v>
      </c>
      <c r="BE367" s="169"/>
      <c r="BF367" s="168">
        <f t="shared" si="59"/>
        <v>-79250</v>
      </c>
      <c r="BG367" s="33"/>
      <c r="BH367" s="15"/>
      <c r="BI367" s="15"/>
    </row>
    <row r="368" spans="1:61" s="6" customFormat="1" ht="16.899999999999999">
      <c r="A368" s="36">
        <v>367</v>
      </c>
      <c r="B368" s="35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5"/>
      <c r="P368" s="33"/>
      <c r="Q368" s="33"/>
      <c r="R368" s="158"/>
      <c r="S368" s="158"/>
      <c r="T368" s="159">
        <f t="shared" si="66"/>
        <v>0</v>
      </c>
      <c r="U368" s="30"/>
      <c r="V368" s="30"/>
      <c r="W368" s="30"/>
      <c r="X368" s="30"/>
      <c r="Y368" s="238"/>
      <c r="Z368" s="242"/>
      <c r="AA368" s="33"/>
      <c r="AB368" s="160"/>
      <c r="AC368" s="161"/>
      <c r="AD368" s="162"/>
      <c r="AE368" s="163"/>
      <c r="AF368" s="23">
        <f t="shared" si="60"/>
        <v>0</v>
      </c>
      <c r="AG368" s="161">
        <f t="shared" si="64"/>
        <v>0</v>
      </c>
      <c r="AH368" s="164">
        <f t="shared" si="67"/>
        <v>0</v>
      </c>
      <c r="AI368" s="23"/>
      <c r="AJ368" s="23"/>
      <c r="AK368" s="165"/>
      <c r="AL368" s="161"/>
      <c r="AM368" s="166"/>
      <c r="AN368" s="161"/>
      <c r="AO368" s="166"/>
      <c r="AP368" s="161"/>
      <c r="AQ368" s="161"/>
      <c r="AR368" s="161"/>
      <c r="AS368" s="167">
        <v>35000</v>
      </c>
      <c r="AT368" s="167">
        <v>30000</v>
      </c>
      <c r="AU368" s="167"/>
      <c r="AV368" s="167"/>
      <c r="AW368" s="167"/>
      <c r="AX368" s="167">
        <f t="shared" si="65"/>
        <v>65000</v>
      </c>
      <c r="AY368" s="168">
        <f t="shared" si="61"/>
        <v>-65000</v>
      </c>
      <c r="AZ368" s="168">
        <f t="shared" si="62"/>
        <v>-65000</v>
      </c>
      <c r="BA368" s="168">
        <f t="shared" si="63"/>
        <v>0</v>
      </c>
      <c r="BB368" s="168">
        <f t="shared" si="68"/>
        <v>-32500</v>
      </c>
      <c r="BC368" s="168">
        <f t="shared" si="69"/>
        <v>-29250</v>
      </c>
      <c r="BD368" s="169">
        <v>50000</v>
      </c>
      <c r="BE368" s="169"/>
      <c r="BF368" s="168">
        <f t="shared" si="59"/>
        <v>-79250</v>
      </c>
      <c r="BG368" s="33"/>
      <c r="BH368" s="15"/>
      <c r="BI368" s="15"/>
    </row>
    <row r="369" spans="1:61" s="6" customFormat="1" ht="16.899999999999999">
      <c r="A369" s="36">
        <v>368</v>
      </c>
      <c r="B369" s="35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5"/>
      <c r="P369" s="33"/>
      <c r="Q369" s="33"/>
      <c r="R369" s="158"/>
      <c r="S369" s="158"/>
      <c r="T369" s="159">
        <f t="shared" si="66"/>
        <v>0</v>
      </c>
      <c r="U369" s="30"/>
      <c r="V369" s="30"/>
      <c r="W369" s="30"/>
      <c r="X369" s="30"/>
      <c r="Y369" s="238"/>
      <c r="Z369" s="242"/>
      <c r="AA369" s="33"/>
      <c r="AB369" s="160"/>
      <c r="AC369" s="161"/>
      <c r="AD369" s="162"/>
      <c r="AE369" s="163"/>
      <c r="AF369" s="23">
        <f t="shared" si="60"/>
        <v>0</v>
      </c>
      <c r="AG369" s="161">
        <f t="shared" si="64"/>
        <v>0</v>
      </c>
      <c r="AH369" s="164">
        <f t="shared" si="67"/>
        <v>0</v>
      </c>
      <c r="AI369" s="23"/>
      <c r="AJ369" s="23"/>
      <c r="AK369" s="165"/>
      <c r="AL369" s="161"/>
      <c r="AM369" s="166"/>
      <c r="AN369" s="161"/>
      <c r="AO369" s="166"/>
      <c r="AP369" s="161"/>
      <c r="AQ369" s="161"/>
      <c r="AR369" s="161"/>
      <c r="AS369" s="167">
        <v>35000</v>
      </c>
      <c r="AT369" s="167">
        <v>30000</v>
      </c>
      <c r="AU369" s="167"/>
      <c r="AV369" s="167"/>
      <c r="AW369" s="167"/>
      <c r="AX369" s="167">
        <f t="shared" si="65"/>
        <v>65000</v>
      </c>
      <c r="AY369" s="168">
        <f t="shared" si="61"/>
        <v>-65000</v>
      </c>
      <c r="AZ369" s="168">
        <f t="shared" si="62"/>
        <v>-65000</v>
      </c>
      <c r="BA369" s="168">
        <f t="shared" si="63"/>
        <v>0</v>
      </c>
      <c r="BB369" s="168">
        <f t="shared" si="68"/>
        <v>-32500</v>
      </c>
      <c r="BC369" s="168">
        <f t="shared" si="69"/>
        <v>-29250</v>
      </c>
      <c r="BD369" s="169">
        <v>50000</v>
      </c>
      <c r="BE369" s="169"/>
      <c r="BF369" s="168">
        <f t="shared" si="59"/>
        <v>-79250</v>
      </c>
      <c r="BG369" s="33"/>
      <c r="BH369" s="15"/>
      <c r="BI369" s="15"/>
    </row>
    <row r="370" spans="1:61" s="6" customFormat="1" ht="16.899999999999999">
      <c r="A370" s="36">
        <v>369</v>
      </c>
      <c r="B370" s="35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5"/>
      <c r="P370" s="33"/>
      <c r="Q370" s="33"/>
      <c r="R370" s="158"/>
      <c r="S370" s="158"/>
      <c r="T370" s="159">
        <f t="shared" si="66"/>
        <v>0</v>
      </c>
      <c r="U370" s="30"/>
      <c r="V370" s="30"/>
      <c r="W370" s="30"/>
      <c r="X370" s="30"/>
      <c r="Y370" s="238"/>
      <c r="Z370" s="242"/>
      <c r="AA370" s="33"/>
      <c r="AB370" s="160"/>
      <c r="AC370" s="161"/>
      <c r="AD370" s="162"/>
      <c r="AE370" s="163"/>
      <c r="AF370" s="23">
        <f t="shared" si="60"/>
        <v>0</v>
      </c>
      <c r="AG370" s="161">
        <f t="shared" si="64"/>
        <v>0</v>
      </c>
      <c r="AH370" s="164">
        <f t="shared" si="67"/>
        <v>0</v>
      </c>
      <c r="AI370" s="23"/>
      <c r="AJ370" s="23"/>
      <c r="AK370" s="165"/>
      <c r="AL370" s="161"/>
      <c r="AM370" s="166"/>
      <c r="AN370" s="161"/>
      <c r="AO370" s="166"/>
      <c r="AP370" s="161"/>
      <c r="AQ370" s="161"/>
      <c r="AR370" s="161"/>
      <c r="AS370" s="167">
        <v>35000</v>
      </c>
      <c r="AT370" s="167">
        <v>30000</v>
      </c>
      <c r="AU370" s="167"/>
      <c r="AV370" s="167"/>
      <c r="AW370" s="167"/>
      <c r="AX370" s="167">
        <f t="shared" si="65"/>
        <v>65000</v>
      </c>
      <c r="AY370" s="168">
        <f t="shared" si="61"/>
        <v>-65000</v>
      </c>
      <c r="AZ370" s="168">
        <f t="shared" si="62"/>
        <v>-65000</v>
      </c>
      <c r="BA370" s="168">
        <f t="shared" si="63"/>
        <v>0</v>
      </c>
      <c r="BB370" s="168">
        <f t="shared" si="68"/>
        <v>-32500</v>
      </c>
      <c r="BC370" s="168">
        <f t="shared" si="69"/>
        <v>-29250</v>
      </c>
      <c r="BD370" s="169">
        <v>50000</v>
      </c>
      <c r="BE370" s="169"/>
      <c r="BF370" s="168">
        <f t="shared" si="59"/>
        <v>-79250</v>
      </c>
      <c r="BG370" s="33"/>
      <c r="BH370" s="15"/>
      <c r="BI370" s="15"/>
    </row>
    <row r="371" spans="1:61" s="6" customFormat="1" ht="16.899999999999999">
      <c r="A371" s="36">
        <v>370</v>
      </c>
      <c r="B371" s="35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5"/>
      <c r="P371" s="33"/>
      <c r="Q371" s="33"/>
      <c r="R371" s="158"/>
      <c r="S371" s="158"/>
      <c r="T371" s="159">
        <f t="shared" si="66"/>
        <v>0</v>
      </c>
      <c r="U371" s="30"/>
      <c r="V371" s="30"/>
      <c r="W371" s="30"/>
      <c r="X371" s="30"/>
      <c r="Y371" s="238"/>
      <c r="Z371" s="242"/>
      <c r="AA371" s="33"/>
      <c r="AB371" s="160"/>
      <c r="AC371" s="161"/>
      <c r="AD371" s="162"/>
      <c r="AE371" s="163"/>
      <c r="AF371" s="23">
        <f t="shared" si="60"/>
        <v>0</v>
      </c>
      <c r="AG371" s="161">
        <f t="shared" si="64"/>
        <v>0</v>
      </c>
      <c r="AH371" s="164">
        <f t="shared" si="67"/>
        <v>0</v>
      </c>
      <c r="AI371" s="23"/>
      <c r="AJ371" s="23"/>
      <c r="AK371" s="165"/>
      <c r="AL371" s="161"/>
      <c r="AM371" s="166"/>
      <c r="AN371" s="161"/>
      <c r="AO371" s="166"/>
      <c r="AP371" s="161"/>
      <c r="AQ371" s="161"/>
      <c r="AR371" s="161"/>
      <c r="AS371" s="167">
        <v>35000</v>
      </c>
      <c r="AT371" s="167">
        <v>30000</v>
      </c>
      <c r="AU371" s="167"/>
      <c r="AV371" s="167"/>
      <c r="AW371" s="167"/>
      <c r="AX371" s="167">
        <f t="shared" si="65"/>
        <v>65000</v>
      </c>
      <c r="AY371" s="168">
        <f t="shared" si="61"/>
        <v>-65000</v>
      </c>
      <c r="AZ371" s="168">
        <f t="shared" si="62"/>
        <v>-65000</v>
      </c>
      <c r="BA371" s="168">
        <f t="shared" si="63"/>
        <v>0</v>
      </c>
      <c r="BB371" s="168">
        <f t="shared" si="68"/>
        <v>-32500</v>
      </c>
      <c r="BC371" s="168">
        <f t="shared" si="69"/>
        <v>-29250</v>
      </c>
      <c r="BD371" s="169">
        <v>50000</v>
      </c>
      <c r="BE371" s="169"/>
      <c r="BF371" s="168">
        <f t="shared" si="59"/>
        <v>-79250</v>
      </c>
      <c r="BG371" s="33"/>
      <c r="BH371" s="15"/>
      <c r="BI371" s="15"/>
    </row>
    <row r="372" spans="1:61" s="6" customFormat="1" ht="16.899999999999999">
      <c r="A372" s="36">
        <v>371</v>
      </c>
      <c r="B372" s="35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5"/>
      <c r="P372" s="33"/>
      <c r="Q372" s="33"/>
      <c r="R372" s="158"/>
      <c r="S372" s="158"/>
      <c r="T372" s="159">
        <f t="shared" si="66"/>
        <v>0</v>
      </c>
      <c r="U372" s="30"/>
      <c r="V372" s="30"/>
      <c r="W372" s="30"/>
      <c r="X372" s="30"/>
      <c r="Y372" s="238"/>
      <c r="Z372" s="242"/>
      <c r="AA372" s="33"/>
      <c r="AB372" s="160"/>
      <c r="AC372" s="161"/>
      <c r="AD372" s="162"/>
      <c r="AE372" s="163"/>
      <c r="AF372" s="23">
        <f t="shared" si="60"/>
        <v>0</v>
      </c>
      <c r="AG372" s="161">
        <f t="shared" si="64"/>
        <v>0</v>
      </c>
      <c r="AH372" s="164">
        <f t="shared" si="67"/>
        <v>0</v>
      </c>
      <c r="AI372" s="23"/>
      <c r="AJ372" s="23"/>
      <c r="AK372" s="165"/>
      <c r="AL372" s="161"/>
      <c r="AM372" s="166"/>
      <c r="AN372" s="161"/>
      <c r="AO372" s="166"/>
      <c r="AP372" s="161"/>
      <c r="AQ372" s="161"/>
      <c r="AR372" s="161"/>
      <c r="AS372" s="167">
        <v>35000</v>
      </c>
      <c r="AT372" s="167">
        <v>30000</v>
      </c>
      <c r="AU372" s="167"/>
      <c r="AV372" s="167"/>
      <c r="AW372" s="167"/>
      <c r="AX372" s="167">
        <f t="shared" si="65"/>
        <v>65000</v>
      </c>
      <c r="AY372" s="168">
        <f t="shared" si="61"/>
        <v>-65000</v>
      </c>
      <c r="AZ372" s="168">
        <f t="shared" si="62"/>
        <v>-65000</v>
      </c>
      <c r="BA372" s="168">
        <f t="shared" si="63"/>
        <v>0</v>
      </c>
      <c r="BB372" s="168">
        <f t="shared" si="68"/>
        <v>-32500</v>
      </c>
      <c r="BC372" s="168">
        <f t="shared" si="69"/>
        <v>-29250</v>
      </c>
      <c r="BD372" s="169">
        <v>50000</v>
      </c>
      <c r="BE372" s="169"/>
      <c r="BF372" s="168">
        <f t="shared" si="59"/>
        <v>-79250</v>
      </c>
      <c r="BG372" s="33"/>
      <c r="BH372" s="15"/>
      <c r="BI372" s="15"/>
    </row>
    <row r="373" spans="1:61" s="6" customFormat="1" ht="16.899999999999999">
      <c r="A373" s="36">
        <v>372</v>
      </c>
      <c r="B373" s="35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5"/>
      <c r="P373" s="33"/>
      <c r="Q373" s="33"/>
      <c r="R373" s="158"/>
      <c r="S373" s="158"/>
      <c r="T373" s="159">
        <f t="shared" si="66"/>
        <v>0</v>
      </c>
      <c r="U373" s="30"/>
      <c r="V373" s="30"/>
      <c r="W373" s="30"/>
      <c r="X373" s="30"/>
      <c r="Y373" s="238"/>
      <c r="Z373" s="242"/>
      <c r="AA373" s="33"/>
      <c r="AB373" s="160"/>
      <c r="AC373" s="161"/>
      <c r="AD373" s="162"/>
      <c r="AE373" s="163"/>
      <c r="AF373" s="23">
        <f t="shared" si="60"/>
        <v>0</v>
      </c>
      <c r="AG373" s="161">
        <f t="shared" si="64"/>
        <v>0</v>
      </c>
      <c r="AH373" s="164">
        <f t="shared" si="67"/>
        <v>0</v>
      </c>
      <c r="AI373" s="23"/>
      <c r="AJ373" s="23"/>
      <c r="AK373" s="165"/>
      <c r="AL373" s="161"/>
      <c r="AM373" s="166"/>
      <c r="AN373" s="161"/>
      <c r="AO373" s="166"/>
      <c r="AP373" s="161"/>
      <c r="AQ373" s="161"/>
      <c r="AR373" s="161"/>
      <c r="AS373" s="167">
        <v>35000</v>
      </c>
      <c r="AT373" s="167">
        <v>30000</v>
      </c>
      <c r="AU373" s="167"/>
      <c r="AV373" s="167"/>
      <c r="AW373" s="167"/>
      <c r="AX373" s="167">
        <f t="shared" si="65"/>
        <v>65000</v>
      </c>
      <c r="AY373" s="168">
        <f t="shared" si="61"/>
        <v>-65000</v>
      </c>
      <c r="AZ373" s="168">
        <f t="shared" si="62"/>
        <v>-65000</v>
      </c>
      <c r="BA373" s="168">
        <f t="shared" si="63"/>
        <v>0</v>
      </c>
      <c r="BB373" s="168">
        <f t="shared" si="68"/>
        <v>-32500</v>
      </c>
      <c r="BC373" s="168">
        <f t="shared" si="69"/>
        <v>-29250</v>
      </c>
      <c r="BD373" s="169">
        <v>50000</v>
      </c>
      <c r="BE373" s="169"/>
      <c r="BF373" s="168">
        <f t="shared" ref="BF373:BF416" si="70">SUM(BC373-BD373-BE373)</f>
        <v>-79250</v>
      </c>
      <c r="BG373" s="33"/>
      <c r="BH373" s="15"/>
      <c r="BI373" s="15"/>
    </row>
    <row r="374" spans="1:61" s="6" customFormat="1" ht="16.899999999999999">
      <c r="A374" s="36">
        <v>373</v>
      </c>
      <c r="B374" s="35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5"/>
      <c r="P374" s="33"/>
      <c r="Q374" s="33"/>
      <c r="R374" s="158"/>
      <c r="S374" s="158"/>
      <c r="T374" s="159">
        <f t="shared" si="66"/>
        <v>0</v>
      </c>
      <c r="U374" s="30"/>
      <c r="V374" s="30"/>
      <c r="W374" s="30"/>
      <c r="X374" s="30"/>
      <c r="Y374" s="238"/>
      <c r="Z374" s="242"/>
      <c r="AA374" s="33"/>
      <c r="AB374" s="160"/>
      <c r="AC374" s="161"/>
      <c r="AD374" s="162"/>
      <c r="AE374" s="163"/>
      <c r="AF374" s="23">
        <f t="shared" si="60"/>
        <v>0</v>
      </c>
      <c r="AG374" s="161">
        <f t="shared" si="64"/>
        <v>0</v>
      </c>
      <c r="AH374" s="164">
        <f t="shared" si="67"/>
        <v>0</v>
      </c>
      <c r="AI374" s="23"/>
      <c r="AJ374" s="23"/>
      <c r="AK374" s="165"/>
      <c r="AL374" s="161"/>
      <c r="AM374" s="166"/>
      <c r="AN374" s="161"/>
      <c r="AO374" s="166"/>
      <c r="AP374" s="161"/>
      <c r="AQ374" s="161"/>
      <c r="AR374" s="161"/>
      <c r="AS374" s="167">
        <v>35000</v>
      </c>
      <c r="AT374" s="167">
        <v>30000</v>
      </c>
      <c r="AU374" s="167"/>
      <c r="AV374" s="167"/>
      <c r="AW374" s="167"/>
      <c r="AX374" s="167">
        <f t="shared" si="65"/>
        <v>65000</v>
      </c>
      <c r="AY374" s="168">
        <f t="shared" si="61"/>
        <v>-65000</v>
      </c>
      <c r="AZ374" s="168">
        <f t="shared" si="62"/>
        <v>-65000</v>
      </c>
      <c r="BA374" s="168">
        <f t="shared" si="63"/>
        <v>0</v>
      </c>
      <c r="BB374" s="168">
        <f t="shared" si="68"/>
        <v>-32500</v>
      </c>
      <c r="BC374" s="168">
        <f t="shared" si="69"/>
        <v>-29250</v>
      </c>
      <c r="BD374" s="169">
        <v>50000</v>
      </c>
      <c r="BE374" s="169"/>
      <c r="BF374" s="168">
        <f t="shared" si="70"/>
        <v>-79250</v>
      </c>
      <c r="BG374" s="33"/>
      <c r="BH374" s="15"/>
      <c r="BI374" s="15"/>
    </row>
    <row r="375" spans="1:61" s="6" customFormat="1" ht="16.899999999999999">
      <c r="A375" s="36">
        <v>374</v>
      </c>
      <c r="B375" s="35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5"/>
      <c r="P375" s="33"/>
      <c r="Q375" s="33"/>
      <c r="R375" s="158"/>
      <c r="S375" s="158"/>
      <c r="T375" s="159">
        <f t="shared" si="66"/>
        <v>0</v>
      </c>
      <c r="U375" s="30"/>
      <c r="V375" s="30"/>
      <c r="W375" s="30"/>
      <c r="X375" s="30"/>
      <c r="Y375" s="238"/>
      <c r="Z375" s="242"/>
      <c r="AA375" s="33"/>
      <c r="AB375" s="160"/>
      <c r="AC375" s="161"/>
      <c r="AD375" s="162"/>
      <c r="AE375" s="163"/>
      <c r="AF375" s="23">
        <f t="shared" si="60"/>
        <v>0</v>
      </c>
      <c r="AG375" s="161">
        <f t="shared" si="64"/>
        <v>0</v>
      </c>
      <c r="AH375" s="164">
        <f t="shared" si="67"/>
        <v>0</v>
      </c>
      <c r="AI375" s="23"/>
      <c r="AJ375" s="23"/>
      <c r="AK375" s="165"/>
      <c r="AL375" s="161"/>
      <c r="AM375" s="166"/>
      <c r="AN375" s="161"/>
      <c r="AO375" s="166"/>
      <c r="AP375" s="161"/>
      <c r="AQ375" s="161"/>
      <c r="AR375" s="161"/>
      <c r="AS375" s="167">
        <v>35000</v>
      </c>
      <c r="AT375" s="167">
        <v>30000</v>
      </c>
      <c r="AU375" s="167"/>
      <c r="AV375" s="167"/>
      <c r="AW375" s="167"/>
      <c r="AX375" s="167">
        <f t="shared" si="65"/>
        <v>65000</v>
      </c>
      <c r="AY375" s="168">
        <f t="shared" si="61"/>
        <v>-65000</v>
      </c>
      <c r="AZ375" s="168">
        <f t="shared" si="62"/>
        <v>-65000</v>
      </c>
      <c r="BA375" s="168">
        <f t="shared" si="63"/>
        <v>0</v>
      </c>
      <c r="BB375" s="168">
        <f t="shared" si="68"/>
        <v>-32500</v>
      </c>
      <c r="BC375" s="168">
        <f t="shared" si="69"/>
        <v>-29250</v>
      </c>
      <c r="BD375" s="169">
        <v>50000</v>
      </c>
      <c r="BE375" s="169"/>
      <c r="BF375" s="168">
        <f t="shared" si="70"/>
        <v>-79250</v>
      </c>
      <c r="BG375" s="33"/>
      <c r="BH375" s="15"/>
      <c r="BI375" s="15"/>
    </row>
    <row r="376" spans="1:61" s="6" customFormat="1" ht="16.899999999999999">
      <c r="A376" s="36">
        <v>375</v>
      </c>
      <c r="B376" s="35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5"/>
      <c r="P376" s="33"/>
      <c r="Q376" s="33"/>
      <c r="R376" s="158"/>
      <c r="S376" s="158"/>
      <c r="T376" s="159">
        <f t="shared" si="66"/>
        <v>0</v>
      </c>
      <c r="U376" s="30"/>
      <c r="V376" s="30"/>
      <c r="W376" s="30"/>
      <c r="X376" s="30"/>
      <c r="Y376" s="238"/>
      <c r="Z376" s="242"/>
      <c r="AA376" s="33"/>
      <c r="AB376" s="160"/>
      <c r="AC376" s="161"/>
      <c r="AD376" s="162"/>
      <c r="AE376" s="163"/>
      <c r="AF376" s="23">
        <f t="shared" si="60"/>
        <v>0</v>
      </c>
      <c r="AG376" s="161">
        <f t="shared" si="64"/>
        <v>0</v>
      </c>
      <c r="AH376" s="164">
        <f t="shared" si="67"/>
        <v>0</v>
      </c>
      <c r="AI376" s="23"/>
      <c r="AJ376" s="23"/>
      <c r="AK376" s="165"/>
      <c r="AL376" s="161"/>
      <c r="AM376" s="166"/>
      <c r="AN376" s="161"/>
      <c r="AO376" s="166"/>
      <c r="AP376" s="161"/>
      <c r="AQ376" s="161"/>
      <c r="AR376" s="161"/>
      <c r="AS376" s="167">
        <v>35000</v>
      </c>
      <c r="AT376" s="167">
        <v>30000</v>
      </c>
      <c r="AU376" s="167"/>
      <c r="AV376" s="167"/>
      <c r="AW376" s="167"/>
      <c r="AX376" s="167">
        <f t="shared" si="65"/>
        <v>65000</v>
      </c>
      <c r="AY376" s="168">
        <f t="shared" si="61"/>
        <v>-65000</v>
      </c>
      <c r="AZ376" s="168">
        <f t="shared" si="62"/>
        <v>-65000</v>
      </c>
      <c r="BA376" s="168">
        <f t="shared" si="63"/>
        <v>0</v>
      </c>
      <c r="BB376" s="168">
        <f t="shared" si="68"/>
        <v>-32500</v>
      </c>
      <c r="BC376" s="168">
        <f t="shared" si="69"/>
        <v>-29250</v>
      </c>
      <c r="BD376" s="169">
        <v>50000</v>
      </c>
      <c r="BE376" s="169"/>
      <c r="BF376" s="168">
        <f t="shared" si="70"/>
        <v>-79250</v>
      </c>
      <c r="BG376" s="33"/>
      <c r="BH376" s="15"/>
      <c r="BI376" s="15"/>
    </row>
    <row r="377" spans="1:61" s="6" customFormat="1" ht="16.899999999999999">
      <c r="A377" s="36">
        <v>376</v>
      </c>
      <c r="B377" s="35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5"/>
      <c r="P377" s="33"/>
      <c r="Q377" s="33"/>
      <c r="R377" s="158"/>
      <c r="S377" s="158"/>
      <c r="T377" s="159">
        <f t="shared" si="66"/>
        <v>0</v>
      </c>
      <c r="U377" s="30"/>
      <c r="V377" s="30"/>
      <c r="W377" s="30"/>
      <c r="X377" s="30"/>
      <c r="Y377" s="238"/>
      <c r="Z377" s="242"/>
      <c r="AA377" s="33"/>
      <c r="AB377" s="160"/>
      <c r="AC377" s="161"/>
      <c r="AD377" s="162"/>
      <c r="AE377" s="163"/>
      <c r="AF377" s="23">
        <f t="shared" si="60"/>
        <v>0</v>
      </c>
      <c r="AG377" s="161">
        <f t="shared" si="64"/>
        <v>0</v>
      </c>
      <c r="AH377" s="164">
        <f t="shared" si="67"/>
        <v>0</v>
      </c>
      <c r="AI377" s="23"/>
      <c r="AJ377" s="23"/>
      <c r="AK377" s="165"/>
      <c r="AL377" s="161"/>
      <c r="AM377" s="166"/>
      <c r="AN377" s="161"/>
      <c r="AO377" s="166"/>
      <c r="AP377" s="161"/>
      <c r="AQ377" s="161"/>
      <c r="AR377" s="161"/>
      <c r="AS377" s="167">
        <v>35000</v>
      </c>
      <c r="AT377" s="167">
        <v>30000</v>
      </c>
      <c r="AU377" s="167"/>
      <c r="AV377" s="167"/>
      <c r="AW377" s="167"/>
      <c r="AX377" s="167">
        <f t="shared" si="65"/>
        <v>65000</v>
      </c>
      <c r="AY377" s="168">
        <f t="shared" si="61"/>
        <v>-65000</v>
      </c>
      <c r="AZ377" s="168">
        <f t="shared" si="62"/>
        <v>-65000</v>
      </c>
      <c r="BA377" s="168">
        <f t="shared" si="63"/>
        <v>0</v>
      </c>
      <c r="BB377" s="168">
        <f t="shared" si="68"/>
        <v>-32500</v>
      </c>
      <c r="BC377" s="168">
        <f t="shared" si="69"/>
        <v>-29250</v>
      </c>
      <c r="BD377" s="169">
        <v>50000</v>
      </c>
      <c r="BE377" s="169"/>
      <c r="BF377" s="168">
        <f t="shared" si="70"/>
        <v>-79250</v>
      </c>
      <c r="BG377" s="33"/>
      <c r="BH377" s="15"/>
      <c r="BI377" s="15"/>
    </row>
    <row r="378" spans="1:61" s="6" customFormat="1" ht="16.899999999999999">
      <c r="A378" s="36">
        <v>377</v>
      </c>
      <c r="B378" s="35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5"/>
      <c r="P378" s="33"/>
      <c r="Q378" s="33"/>
      <c r="R378" s="158"/>
      <c r="S378" s="158"/>
      <c r="T378" s="159">
        <f t="shared" si="66"/>
        <v>0</v>
      </c>
      <c r="U378" s="30"/>
      <c r="V378" s="30"/>
      <c r="W378" s="30"/>
      <c r="X378" s="30"/>
      <c r="Y378" s="238"/>
      <c r="Z378" s="242"/>
      <c r="AA378" s="33"/>
      <c r="AB378" s="160"/>
      <c r="AC378" s="161"/>
      <c r="AD378" s="162"/>
      <c r="AE378" s="163"/>
      <c r="AF378" s="23">
        <f t="shared" si="60"/>
        <v>0</v>
      </c>
      <c r="AG378" s="161">
        <f t="shared" si="64"/>
        <v>0</v>
      </c>
      <c r="AH378" s="164">
        <f t="shared" si="67"/>
        <v>0</v>
      </c>
      <c r="AI378" s="23"/>
      <c r="AJ378" s="23"/>
      <c r="AK378" s="165"/>
      <c r="AL378" s="161"/>
      <c r="AM378" s="166"/>
      <c r="AN378" s="161"/>
      <c r="AO378" s="166"/>
      <c r="AP378" s="161"/>
      <c r="AQ378" s="161"/>
      <c r="AR378" s="161"/>
      <c r="AS378" s="167">
        <v>35000</v>
      </c>
      <c r="AT378" s="167">
        <v>30000</v>
      </c>
      <c r="AU378" s="167"/>
      <c r="AV378" s="167"/>
      <c r="AW378" s="167"/>
      <c r="AX378" s="167">
        <f t="shared" si="65"/>
        <v>65000</v>
      </c>
      <c r="AY378" s="168">
        <f t="shared" si="61"/>
        <v>-65000</v>
      </c>
      <c r="AZ378" s="168">
        <f t="shared" si="62"/>
        <v>-65000</v>
      </c>
      <c r="BA378" s="168">
        <f t="shared" si="63"/>
        <v>0</v>
      </c>
      <c r="BB378" s="168">
        <f t="shared" si="68"/>
        <v>-32500</v>
      </c>
      <c r="BC378" s="168">
        <f t="shared" si="69"/>
        <v>-29250</v>
      </c>
      <c r="BD378" s="169">
        <v>50000</v>
      </c>
      <c r="BE378" s="169"/>
      <c r="BF378" s="168">
        <f t="shared" si="70"/>
        <v>-79250</v>
      </c>
      <c r="BG378" s="33"/>
      <c r="BH378" s="15"/>
      <c r="BI378" s="15"/>
    </row>
    <row r="379" spans="1:61" s="6" customFormat="1" ht="16.899999999999999">
      <c r="A379" s="36">
        <v>378</v>
      </c>
      <c r="B379" s="35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5"/>
      <c r="P379" s="33"/>
      <c r="Q379" s="33"/>
      <c r="R379" s="158"/>
      <c r="S379" s="158"/>
      <c r="T379" s="159">
        <f t="shared" si="66"/>
        <v>0</v>
      </c>
      <c r="U379" s="30"/>
      <c r="V379" s="30"/>
      <c r="W379" s="30"/>
      <c r="X379" s="30"/>
      <c r="Y379" s="238"/>
      <c r="Z379" s="242"/>
      <c r="AA379" s="33"/>
      <c r="AB379" s="160"/>
      <c r="AC379" s="161"/>
      <c r="AD379" s="162"/>
      <c r="AE379" s="163"/>
      <c r="AF379" s="23">
        <f t="shared" si="60"/>
        <v>0</v>
      </c>
      <c r="AG379" s="161">
        <f t="shared" si="64"/>
        <v>0</v>
      </c>
      <c r="AH379" s="164">
        <f t="shared" si="67"/>
        <v>0</v>
      </c>
      <c r="AI379" s="23"/>
      <c r="AJ379" s="23"/>
      <c r="AK379" s="165"/>
      <c r="AL379" s="161"/>
      <c r="AM379" s="166"/>
      <c r="AN379" s="161"/>
      <c r="AO379" s="166"/>
      <c r="AP379" s="161"/>
      <c r="AQ379" s="161"/>
      <c r="AR379" s="161"/>
      <c r="AS379" s="167">
        <v>35000</v>
      </c>
      <c r="AT379" s="167">
        <v>30000</v>
      </c>
      <c r="AU379" s="167"/>
      <c r="AV379" s="167"/>
      <c r="AW379" s="167"/>
      <c r="AX379" s="167">
        <f t="shared" si="65"/>
        <v>65000</v>
      </c>
      <c r="AY379" s="168">
        <f t="shared" si="61"/>
        <v>-65000</v>
      </c>
      <c r="AZ379" s="168">
        <f t="shared" si="62"/>
        <v>-65000</v>
      </c>
      <c r="BA379" s="168">
        <f t="shared" si="63"/>
        <v>0</v>
      </c>
      <c r="BB379" s="168">
        <f t="shared" si="68"/>
        <v>-32500</v>
      </c>
      <c r="BC379" s="168">
        <f t="shared" si="69"/>
        <v>-29250</v>
      </c>
      <c r="BD379" s="169">
        <v>50000</v>
      </c>
      <c r="BE379" s="169"/>
      <c r="BF379" s="168">
        <f t="shared" si="70"/>
        <v>-79250</v>
      </c>
      <c r="BG379" s="33"/>
      <c r="BH379" s="15"/>
      <c r="BI379" s="15"/>
    </row>
    <row r="380" spans="1:61" s="6" customFormat="1" ht="16.899999999999999">
      <c r="A380" s="36">
        <v>379</v>
      </c>
      <c r="B380" s="35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5"/>
      <c r="P380" s="33"/>
      <c r="Q380" s="33"/>
      <c r="R380" s="158"/>
      <c r="S380" s="158"/>
      <c r="T380" s="159">
        <f t="shared" si="66"/>
        <v>0</v>
      </c>
      <c r="U380" s="30"/>
      <c r="V380" s="30"/>
      <c r="W380" s="30"/>
      <c r="X380" s="30"/>
      <c r="Y380" s="238"/>
      <c r="Z380" s="242"/>
      <c r="AA380" s="33"/>
      <c r="AB380" s="160"/>
      <c r="AC380" s="161"/>
      <c r="AD380" s="162"/>
      <c r="AE380" s="163"/>
      <c r="AF380" s="23">
        <f t="shared" si="60"/>
        <v>0</v>
      </c>
      <c r="AG380" s="161">
        <f t="shared" si="64"/>
        <v>0</v>
      </c>
      <c r="AH380" s="164">
        <f t="shared" si="67"/>
        <v>0</v>
      </c>
      <c r="AI380" s="23"/>
      <c r="AJ380" s="23"/>
      <c r="AK380" s="165"/>
      <c r="AL380" s="161"/>
      <c r="AM380" s="166"/>
      <c r="AN380" s="161"/>
      <c r="AO380" s="166"/>
      <c r="AP380" s="161"/>
      <c r="AQ380" s="161"/>
      <c r="AR380" s="161"/>
      <c r="AS380" s="167">
        <v>35000</v>
      </c>
      <c r="AT380" s="167">
        <v>30000</v>
      </c>
      <c r="AU380" s="167"/>
      <c r="AV380" s="167"/>
      <c r="AW380" s="167"/>
      <c r="AX380" s="167">
        <f t="shared" si="65"/>
        <v>65000</v>
      </c>
      <c r="AY380" s="168">
        <f t="shared" si="61"/>
        <v>-65000</v>
      </c>
      <c r="AZ380" s="168">
        <f t="shared" si="62"/>
        <v>-65000</v>
      </c>
      <c r="BA380" s="168">
        <f t="shared" si="63"/>
        <v>0</v>
      </c>
      <c r="BB380" s="168">
        <f t="shared" si="68"/>
        <v>-32500</v>
      </c>
      <c r="BC380" s="168">
        <f t="shared" si="69"/>
        <v>-29250</v>
      </c>
      <c r="BD380" s="169">
        <v>50000</v>
      </c>
      <c r="BE380" s="169"/>
      <c r="BF380" s="168">
        <f t="shared" si="70"/>
        <v>-79250</v>
      </c>
      <c r="BG380" s="33"/>
      <c r="BH380" s="15"/>
      <c r="BI380" s="15"/>
    </row>
    <row r="381" spans="1:61" s="6" customFormat="1" ht="16.899999999999999">
      <c r="A381" s="36">
        <v>380</v>
      </c>
      <c r="B381" s="35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5"/>
      <c r="P381" s="33"/>
      <c r="Q381" s="33"/>
      <c r="R381" s="158"/>
      <c r="S381" s="158"/>
      <c r="T381" s="159">
        <f t="shared" si="66"/>
        <v>0</v>
      </c>
      <c r="U381" s="30"/>
      <c r="V381" s="30"/>
      <c r="W381" s="30"/>
      <c r="X381" s="30"/>
      <c r="Y381" s="238"/>
      <c r="Z381" s="242"/>
      <c r="AA381" s="33"/>
      <c r="AB381" s="160"/>
      <c r="AC381" s="161"/>
      <c r="AD381" s="162"/>
      <c r="AE381" s="163"/>
      <c r="AF381" s="23">
        <f t="shared" si="60"/>
        <v>0</v>
      </c>
      <c r="AG381" s="161">
        <f t="shared" si="64"/>
        <v>0</v>
      </c>
      <c r="AH381" s="164">
        <f t="shared" si="67"/>
        <v>0</v>
      </c>
      <c r="AI381" s="23"/>
      <c r="AJ381" s="23"/>
      <c r="AK381" s="165"/>
      <c r="AL381" s="161"/>
      <c r="AM381" s="166"/>
      <c r="AN381" s="161"/>
      <c r="AO381" s="166"/>
      <c r="AP381" s="161"/>
      <c r="AQ381" s="161"/>
      <c r="AR381" s="161"/>
      <c r="AS381" s="167">
        <v>35000</v>
      </c>
      <c r="AT381" s="167">
        <v>30000</v>
      </c>
      <c r="AU381" s="167"/>
      <c r="AV381" s="167"/>
      <c r="AW381" s="167"/>
      <c r="AX381" s="167">
        <f t="shared" si="65"/>
        <v>65000</v>
      </c>
      <c r="AY381" s="168">
        <f t="shared" si="61"/>
        <v>-65000</v>
      </c>
      <c r="AZ381" s="168">
        <f t="shared" si="62"/>
        <v>-65000</v>
      </c>
      <c r="BA381" s="168">
        <f t="shared" si="63"/>
        <v>0</v>
      </c>
      <c r="BB381" s="168">
        <f t="shared" si="68"/>
        <v>-32500</v>
      </c>
      <c r="BC381" s="168">
        <f t="shared" si="69"/>
        <v>-29250</v>
      </c>
      <c r="BD381" s="169">
        <v>50000</v>
      </c>
      <c r="BE381" s="169"/>
      <c r="BF381" s="168">
        <f t="shared" si="70"/>
        <v>-79250</v>
      </c>
      <c r="BG381" s="33"/>
      <c r="BH381" s="15"/>
      <c r="BI381" s="15"/>
    </row>
    <row r="382" spans="1:61" s="6" customFormat="1" ht="16.899999999999999">
      <c r="A382" s="36">
        <v>381</v>
      </c>
      <c r="B382" s="35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5"/>
      <c r="P382" s="33"/>
      <c r="Q382" s="33"/>
      <c r="R382" s="158"/>
      <c r="S382" s="158"/>
      <c r="T382" s="159">
        <f t="shared" si="66"/>
        <v>0</v>
      </c>
      <c r="U382" s="30"/>
      <c r="V382" s="30"/>
      <c r="W382" s="30"/>
      <c r="X382" s="30"/>
      <c r="Y382" s="238"/>
      <c r="Z382" s="242"/>
      <c r="AA382" s="33"/>
      <c r="AB382" s="160"/>
      <c r="AC382" s="161"/>
      <c r="AD382" s="162"/>
      <c r="AE382" s="163"/>
      <c r="AF382" s="23">
        <f t="shared" si="60"/>
        <v>0</v>
      </c>
      <c r="AG382" s="161">
        <f t="shared" si="64"/>
        <v>0</v>
      </c>
      <c r="AH382" s="164">
        <f t="shared" si="67"/>
        <v>0</v>
      </c>
      <c r="AI382" s="23"/>
      <c r="AJ382" s="23"/>
      <c r="AK382" s="165"/>
      <c r="AL382" s="161"/>
      <c r="AM382" s="166"/>
      <c r="AN382" s="161"/>
      <c r="AO382" s="166"/>
      <c r="AP382" s="161"/>
      <c r="AQ382" s="161"/>
      <c r="AR382" s="161"/>
      <c r="AS382" s="167">
        <v>35000</v>
      </c>
      <c r="AT382" s="167">
        <v>30000</v>
      </c>
      <c r="AU382" s="167"/>
      <c r="AV382" s="167"/>
      <c r="AW382" s="167"/>
      <c r="AX382" s="167">
        <f t="shared" si="65"/>
        <v>65000</v>
      </c>
      <c r="AY382" s="168">
        <f t="shared" si="61"/>
        <v>-65000</v>
      </c>
      <c r="AZ382" s="168">
        <f t="shared" si="62"/>
        <v>-65000</v>
      </c>
      <c r="BA382" s="168">
        <f t="shared" si="63"/>
        <v>0</v>
      </c>
      <c r="BB382" s="168">
        <f t="shared" si="68"/>
        <v>-32500</v>
      </c>
      <c r="BC382" s="168">
        <f t="shared" si="69"/>
        <v>-29250</v>
      </c>
      <c r="BD382" s="169">
        <v>50000</v>
      </c>
      <c r="BE382" s="169"/>
      <c r="BF382" s="168">
        <f t="shared" si="70"/>
        <v>-79250</v>
      </c>
      <c r="BG382" s="33"/>
      <c r="BH382" s="15"/>
      <c r="BI382" s="15"/>
    </row>
    <row r="383" spans="1:61" s="6" customFormat="1" ht="16.899999999999999">
      <c r="A383" s="36">
        <v>382</v>
      </c>
      <c r="B383" s="35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5"/>
      <c r="P383" s="33"/>
      <c r="Q383" s="33"/>
      <c r="R383" s="158"/>
      <c r="S383" s="158"/>
      <c r="T383" s="159">
        <f t="shared" si="66"/>
        <v>0</v>
      </c>
      <c r="U383" s="30"/>
      <c r="V383" s="30"/>
      <c r="W383" s="30"/>
      <c r="X383" s="30"/>
      <c r="Y383" s="238"/>
      <c r="Z383" s="242"/>
      <c r="AA383" s="33"/>
      <c r="AB383" s="160"/>
      <c r="AC383" s="161"/>
      <c r="AD383" s="162"/>
      <c r="AE383" s="163"/>
      <c r="AF383" s="23">
        <f t="shared" si="60"/>
        <v>0</v>
      </c>
      <c r="AG383" s="161">
        <f t="shared" si="64"/>
        <v>0</v>
      </c>
      <c r="AH383" s="164">
        <f t="shared" si="67"/>
        <v>0</v>
      </c>
      <c r="AI383" s="23"/>
      <c r="AJ383" s="23"/>
      <c r="AK383" s="165"/>
      <c r="AL383" s="161"/>
      <c r="AM383" s="166"/>
      <c r="AN383" s="161"/>
      <c r="AO383" s="166"/>
      <c r="AP383" s="161"/>
      <c r="AQ383" s="161"/>
      <c r="AR383" s="161"/>
      <c r="AS383" s="167">
        <v>35000</v>
      </c>
      <c r="AT383" s="167">
        <v>30000</v>
      </c>
      <c r="AU383" s="167"/>
      <c r="AV383" s="167"/>
      <c r="AW383" s="167"/>
      <c r="AX383" s="167">
        <f t="shared" si="65"/>
        <v>65000</v>
      </c>
      <c r="AY383" s="168">
        <f t="shared" si="61"/>
        <v>-65000</v>
      </c>
      <c r="AZ383" s="168">
        <f t="shared" si="62"/>
        <v>-65000</v>
      </c>
      <c r="BA383" s="168">
        <f t="shared" si="63"/>
        <v>0</v>
      </c>
      <c r="BB383" s="168">
        <f t="shared" si="68"/>
        <v>-32500</v>
      </c>
      <c r="BC383" s="168">
        <f t="shared" si="69"/>
        <v>-29250</v>
      </c>
      <c r="BD383" s="169">
        <v>50000</v>
      </c>
      <c r="BE383" s="169"/>
      <c r="BF383" s="168">
        <f t="shared" si="70"/>
        <v>-79250</v>
      </c>
      <c r="BG383" s="33"/>
      <c r="BH383" s="15"/>
      <c r="BI383" s="15"/>
    </row>
    <row r="384" spans="1:61" s="6" customFormat="1" ht="16.899999999999999">
      <c r="A384" s="36">
        <v>383</v>
      </c>
      <c r="B384" s="35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5"/>
      <c r="P384" s="33"/>
      <c r="Q384" s="33"/>
      <c r="R384" s="158"/>
      <c r="S384" s="158"/>
      <c r="T384" s="159">
        <f t="shared" si="66"/>
        <v>0</v>
      </c>
      <c r="U384" s="30"/>
      <c r="V384" s="30"/>
      <c r="W384" s="30"/>
      <c r="X384" s="30"/>
      <c r="Y384" s="238"/>
      <c r="Z384" s="242"/>
      <c r="AA384" s="33"/>
      <c r="AB384" s="160"/>
      <c r="AC384" s="161"/>
      <c r="AD384" s="162"/>
      <c r="AE384" s="163"/>
      <c r="AF384" s="23">
        <f t="shared" si="60"/>
        <v>0</v>
      </c>
      <c r="AG384" s="161">
        <f t="shared" si="64"/>
        <v>0</v>
      </c>
      <c r="AH384" s="164">
        <f t="shared" si="67"/>
        <v>0</v>
      </c>
      <c r="AI384" s="23"/>
      <c r="AJ384" s="23"/>
      <c r="AK384" s="165"/>
      <c r="AL384" s="161"/>
      <c r="AM384" s="166"/>
      <c r="AN384" s="161"/>
      <c r="AO384" s="166"/>
      <c r="AP384" s="161"/>
      <c r="AQ384" s="161"/>
      <c r="AR384" s="161"/>
      <c r="AS384" s="167">
        <v>35000</v>
      </c>
      <c r="AT384" s="167">
        <v>30000</v>
      </c>
      <c r="AU384" s="167"/>
      <c r="AV384" s="167"/>
      <c r="AW384" s="167"/>
      <c r="AX384" s="167">
        <f t="shared" si="65"/>
        <v>65000</v>
      </c>
      <c r="AY384" s="168">
        <f t="shared" si="61"/>
        <v>-65000</v>
      </c>
      <c r="AZ384" s="168">
        <f t="shared" si="62"/>
        <v>-65000</v>
      </c>
      <c r="BA384" s="168">
        <f t="shared" si="63"/>
        <v>0</v>
      </c>
      <c r="BB384" s="168">
        <f t="shared" si="68"/>
        <v>-32500</v>
      </c>
      <c r="BC384" s="168">
        <f t="shared" si="69"/>
        <v>-29250</v>
      </c>
      <c r="BD384" s="169">
        <v>50000</v>
      </c>
      <c r="BE384" s="169"/>
      <c r="BF384" s="168">
        <f t="shared" si="70"/>
        <v>-79250</v>
      </c>
      <c r="BG384" s="33"/>
      <c r="BH384" s="15"/>
      <c r="BI384" s="15"/>
    </row>
    <row r="385" spans="1:61" s="6" customFormat="1" ht="16.899999999999999">
      <c r="A385" s="36">
        <v>384</v>
      </c>
      <c r="B385" s="35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5"/>
      <c r="P385" s="33"/>
      <c r="Q385" s="33"/>
      <c r="R385" s="158"/>
      <c r="S385" s="158"/>
      <c r="T385" s="159">
        <f t="shared" si="66"/>
        <v>0</v>
      </c>
      <c r="U385" s="30"/>
      <c r="V385" s="30"/>
      <c r="W385" s="30"/>
      <c r="X385" s="30"/>
      <c r="Y385" s="238"/>
      <c r="Z385" s="242"/>
      <c r="AA385" s="33"/>
      <c r="AB385" s="160"/>
      <c r="AC385" s="161"/>
      <c r="AD385" s="162"/>
      <c r="AE385" s="163"/>
      <c r="AF385" s="23">
        <f t="shared" ref="AF385:AF416" si="71">SUM(Y385,AB385:AE385)</f>
        <v>0</v>
      </c>
      <c r="AG385" s="161">
        <f t="shared" si="64"/>
        <v>0</v>
      </c>
      <c r="AH385" s="164">
        <f t="shared" si="67"/>
        <v>0</v>
      </c>
      <c r="AI385" s="23"/>
      <c r="AJ385" s="23"/>
      <c r="AK385" s="165"/>
      <c r="AL385" s="161"/>
      <c r="AM385" s="166"/>
      <c r="AN385" s="161"/>
      <c r="AO385" s="166"/>
      <c r="AP385" s="161"/>
      <c r="AQ385" s="161"/>
      <c r="AR385" s="161"/>
      <c r="AS385" s="167">
        <v>35000</v>
      </c>
      <c r="AT385" s="167">
        <v>30000</v>
      </c>
      <c r="AU385" s="167"/>
      <c r="AV385" s="167"/>
      <c r="AW385" s="167"/>
      <c r="AX385" s="167">
        <f t="shared" si="65"/>
        <v>65000</v>
      </c>
      <c r="AY385" s="168">
        <f t="shared" ref="AY385:AY416" si="72">SUM(AF385-AB385)*Z385-AX385</f>
        <v>-65000</v>
      </c>
      <c r="AZ385" s="168">
        <f t="shared" ref="AZ385:AZ416" si="73">SUM(AY385-T385)</f>
        <v>-65000</v>
      </c>
      <c r="BA385" s="168">
        <f t="shared" ref="BA385:BA416" si="74">SUM(R385*0.09)</f>
        <v>0</v>
      </c>
      <c r="BB385" s="168">
        <f t="shared" si="68"/>
        <v>-32500</v>
      </c>
      <c r="BC385" s="168">
        <f t="shared" si="69"/>
        <v>-29250</v>
      </c>
      <c r="BD385" s="169">
        <v>50000</v>
      </c>
      <c r="BE385" s="169"/>
      <c r="BF385" s="168">
        <f t="shared" si="70"/>
        <v>-79250</v>
      </c>
      <c r="BG385" s="33"/>
      <c r="BH385" s="15"/>
      <c r="BI385" s="15"/>
    </row>
    <row r="386" spans="1:61" s="6" customFormat="1" ht="16.899999999999999">
      <c r="A386" s="36">
        <v>385</v>
      </c>
      <c r="B386" s="35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5"/>
      <c r="P386" s="33"/>
      <c r="Q386" s="33"/>
      <c r="R386" s="158"/>
      <c r="S386" s="158"/>
      <c r="T386" s="159">
        <f t="shared" si="66"/>
        <v>0</v>
      </c>
      <c r="U386" s="30"/>
      <c r="V386" s="30"/>
      <c r="W386" s="30"/>
      <c r="X386" s="30"/>
      <c r="Y386" s="238"/>
      <c r="Z386" s="242"/>
      <c r="AA386" s="33"/>
      <c r="AB386" s="160"/>
      <c r="AC386" s="161"/>
      <c r="AD386" s="162"/>
      <c r="AE386" s="163"/>
      <c r="AF386" s="23">
        <f t="shared" si="71"/>
        <v>0</v>
      </c>
      <c r="AG386" s="161">
        <f t="shared" ref="AG386:AG416" si="75">SUM(AL386+AN386+AP386+AQ386-AR386)</f>
        <v>0</v>
      </c>
      <c r="AH386" s="164">
        <f t="shared" si="67"/>
        <v>0</v>
      </c>
      <c r="AI386" s="23"/>
      <c r="AJ386" s="23"/>
      <c r="AK386" s="165"/>
      <c r="AL386" s="161"/>
      <c r="AM386" s="166"/>
      <c r="AN386" s="161"/>
      <c r="AO386" s="166"/>
      <c r="AP386" s="161"/>
      <c r="AQ386" s="161"/>
      <c r="AR386" s="161"/>
      <c r="AS386" s="167">
        <v>35000</v>
      </c>
      <c r="AT386" s="167">
        <v>30000</v>
      </c>
      <c r="AU386" s="167"/>
      <c r="AV386" s="167"/>
      <c r="AW386" s="167"/>
      <c r="AX386" s="167">
        <f t="shared" ref="AX386:AX416" si="76">SUM(AS386:AW386)</f>
        <v>65000</v>
      </c>
      <c r="AY386" s="168">
        <f t="shared" si="72"/>
        <v>-65000</v>
      </c>
      <c r="AZ386" s="168">
        <f t="shared" si="73"/>
        <v>-65000</v>
      </c>
      <c r="BA386" s="168">
        <f t="shared" si="74"/>
        <v>0</v>
      </c>
      <c r="BB386" s="168">
        <f t="shared" si="68"/>
        <v>-32500</v>
      </c>
      <c r="BC386" s="168">
        <f t="shared" si="69"/>
        <v>-29250</v>
      </c>
      <c r="BD386" s="169">
        <v>50000</v>
      </c>
      <c r="BE386" s="169"/>
      <c r="BF386" s="168">
        <f t="shared" si="70"/>
        <v>-79250</v>
      </c>
      <c r="BG386" s="33"/>
      <c r="BH386" s="15"/>
      <c r="BI386" s="15"/>
    </row>
    <row r="387" spans="1:61" s="6" customFormat="1" ht="16.899999999999999">
      <c r="A387" s="36">
        <v>386</v>
      </c>
      <c r="B387" s="35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5"/>
      <c r="P387" s="33"/>
      <c r="Q387" s="33"/>
      <c r="R387" s="158"/>
      <c r="S387" s="158"/>
      <c r="T387" s="159">
        <f t="shared" si="66"/>
        <v>0</v>
      </c>
      <c r="U387" s="30"/>
      <c r="V387" s="30"/>
      <c r="W387" s="30"/>
      <c r="X387" s="30"/>
      <c r="Y387" s="238"/>
      <c r="Z387" s="242"/>
      <c r="AA387" s="33"/>
      <c r="AB387" s="160"/>
      <c r="AC387" s="161"/>
      <c r="AD387" s="162"/>
      <c r="AE387" s="163"/>
      <c r="AF387" s="23">
        <f t="shared" si="71"/>
        <v>0</v>
      </c>
      <c r="AG387" s="161">
        <f t="shared" si="75"/>
        <v>0</v>
      </c>
      <c r="AH387" s="164">
        <f t="shared" si="67"/>
        <v>0</v>
      </c>
      <c r="AI387" s="23"/>
      <c r="AJ387" s="23"/>
      <c r="AK387" s="165"/>
      <c r="AL387" s="161"/>
      <c r="AM387" s="166"/>
      <c r="AN387" s="161"/>
      <c r="AO387" s="166"/>
      <c r="AP387" s="161"/>
      <c r="AQ387" s="161"/>
      <c r="AR387" s="161"/>
      <c r="AS387" s="167">
        <v>35000</v>
      </c>
      <c r="AT387" s="167">
        <v>30000</v>
      </c>
      <c r="AU387" s="167"/>
      <c r="AV387" s="167"/>
      <c r="AW387" s="167"/>
      <c r="AX387" s="167">
        <f t="shared" si="76"/>
        <v>65000</v>
      </c>
      <c r="AY387" s="168">
        <f t="shared" si="72"/>
        <v>-65000</v>
      </c>
      <c r="AZ387" s="168">
        <f t="shared" si="73"/>
        <v>-65000</v>
      </c>
      <c r="BA387" s="168">
        <f t="shared" si="74"/>
        <v>0</v>
      </c>
      <c r="BB387" s="168">
        <f t="shared" si="68"/>
        <v>-32500</v>
      </c>
      <c r="BC387" s="168">
        <f t="shared" si="69"/>
        <v>-29250</v>
      </c>
      <c r="BD387" s="169">
        <v>50000</v>
      </c>
      <c r="BE387" s="169"/>
      <c r="BF387" s="168">
        <f t="shared" si="70"/>
        <v>-79250</v>
      </c>
      <c r="BG387" s="33"/>
      <c r="BH387" s="15"/>
      <c r="BI387" s="15"/>
    </row>
    <row r="388" spans="1:61" s="6" customFormat="1" ht="16.899999999999999">
      <c r="A388" s="36">
        <v>387</v>
      </c>
      <c r="B388" s="35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5"/>
      <c r="P388" s="33"/>
      <c r="Q388" s="33"/>
      <c r="R388" s="158"/>
      <c r="S388" s="158"/>
      <c r="T388" s="159">
        <f t="shared" si="66"/>
        <v>0</v>
      </c>
      <c r="U388" s="30"/>
      <c r="V388" s="30"/>
      <c r="W388" s="30"/>
      <c r="X388" s="30"/>
      <c r="Y388" s="238"/>
      <c r="Z388" s="242"/>
      <c r="AA388" s="33"/>
      <c r="AB388" s="160"/>
      <c r="AC388" s="161"/>
      <c r="AD388" s="162"/>
      <c r="AE388" s="163"/>
      <c r="AF388" s="23">
        <f t="shared" si="71"/>
        <v>0</v>
      </c>
      <c r="AG388" s="161">
        <f t="shared" si="75"/>
        <v>0</v>
      </c>
      <c r="AH388" s="164">
        <f t="shared" si="67"/>
        <v>0</v>
      </c>
      <c r="AI388" s="23"/>
      <c r="AJ388" s="23"/>
      <c r="AK388" s="165"/>
      <c r="AL388" s="161"/>
      <c r="AM388" s="166"/>
      <c r="AN388" s="161"/>
      <c r="AO388" s="166"/>
      <c r="AP388" s="161"/>
      <c r="AQ388" s="161"/>
      <c r="AR388" s="161"/>
      <c r="AS388" s="167">
        <v>35000</v>
      </c>
      <c r="AT388" s="167">
        <v>30000</v>
      </c>
      <c r="AU388" s="167"/>
      <c r="AV388" s="167"/>
      <c r="AW388" s="167"/>
      <c r="AX388" s="167">
        <f t="shared" si="76"/>
        <v>65000</v>
      </c>
      <c r="AY388" s="168">
        <f t="shared" si="72"/>
        <v>-65000</v>
      </c>
      <c r="AZ388" s="168">
        <f t="shared" si="73"/>
        <v>-65000</v>
      </c>
      <c r="BA388" s="168">
        <f t="shared" si="74"/>
        <v>0</v>
      </c>
      <c r="BB388" s="168">
        <f t="shared" si="68"/>
        <v>-32500</v>
      </c>
      <c r="BC388" s="168">
        <f t="shared" si="69"/>
        <v>-29250</v>
      </c>
      <c r="BD388" s="169">
        <v>50000</v>
      </c>
      <c r="BE388" s="169"/>
      <c r="BF388" s="168">
        <f t="shared" si="70"/>
        <v>-79250</v>
      </c>
      <c r="BG388" s="33"/>
      <c r="BH388" s="15"/>
      <c r="BI388" s="15"/>
    </row>
    <row r="389" spans="1:61" ht="16.899999999999999">
      <c r="A389" s="36">
        <v>388</v>
      </c>
      <c r="B389" s="35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5"/>
      <c r="P389" s="33"/>
      <c r="Q389" s="33"/>
      <c r="R389" s="158"/>
      <c r="S389" s="158"/>
      <c r="T389" s="159">
        <f t="shared" si="66"/>
        <v>0</v>
      </c>
      <c r="U389" s="30"/>
      <c r="V389" s="30"/>
      <c r="W389" s="30"/>
      <c r="X389" s="30"/>
      <c r="Y389" s="238"/>
      <c r="Z389" s="242"/>
      <c r="AA389" s="33"/>
      <c r="AB389" s="160"/>
      <c r="AC389" s="161"/>
      <c r="AD389" s="162"/>
      <c r="AE389" s="163"/>
      <c r="AF389" s="23">
        <f t="shared" si="71"/>
        <v>0</v>
      </c>
      <c r="AG389" s="161">
        <f t="shared" si="75"/>
        <v>0</v>
      </c>
      <c r="AH389" s="164">
        <f t="shared" si="67"/>
        <v>0</v>
      </c>
      <c r="AI389" s="23"/>
      <c r="AJ389" s="23"/>
      <c r="AK389" s="165"/>
      <c r="AL389" s="161"/>
      <c r="AM389" s="166"/>
      <c r="AN389" s="161"/>
      <c r="AO389" s="166"/>
      <c r="AP389" s="161"/>
      <c r="AQ389" s="161"/>
      <c r="AR389" s="161"/>
      <c r="AS389" s="167">
        <v>35000</v>
      </c>
      <c r="AT389" s="167">
        <v>30000</v>
      </c>
      <c r="AU389" s="167"/>
      <c r="AV389" s="167"/>
      <c r="AW389" s="167"/>
      <c r="AX389" s="167">
        <f t="shared" si="76"/>
        <v>65000</v>
      </c>
      <c r="AY389" s="168">
        <f t="shared" si="72"/>
        <v>-65000</v>
      </c>
      <c r="AZ389" s="168">
        <f t="shared" si="73"/>
        <v>-65000</v>
      </c>
      <c r="BA389" s="168">
        <f t="shared" si="74"/>
        <v>0</v>
      </c>
      <c r="BB389" s="168">
        <f t="shared" si="68"/>
        <v>-32500</v>
      </c>
      <c r="BC389" s="168">
        <f t="shared" si="69"/>
        <v>-29250</v>
      </c>
      <c r="BD389" s="169">
        <v>50000</v>
      </c>
      <c r="BE389" s="169"/>
      <c r="BF389" s="168">
        <f t="shared" si="70"/>
        <v>-79250</v>
      </c>
      <c r="BG389" s="33"/>
      <c r="BH389" s="16"/>
      <c r="BI389" s="16"/>
    </row>
    <row r="390" spans="1:61" ht="16.899999999999999">
      <c r="A390" s="36">
        <v>389</v>
      </c>
      <c r="B390" s="35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5"/>
      <c r="P390" s="33"/>
      <c r="Q390" s="33"/>
      <c r="R390" s="158"/>
      <c r="S390" s="158"/>
      <c r="T390" s="159">
        <f t="shared" si="66"/>
        <v>0</v>
      </c>
      <c r="U390" s="30"/>
      <c r="V390" s="30"/>
      <c r="W390" s="30"/>
      <c r="X390" s="30"/>
      <c r="Y390" s="238"/>
      <c r="Z390" s="242"/>
      <c r="AA390" s="33"/>
      <c r="AB390" s="160"/>
      <c r="AC390" s="161"/>
      <c r="AD390" s="162"/>
      <c r="AE390" s="163"/>
      <c r="AF390" s="23">
        <f t="shared" si="71"/>
        <v>0</v>
      </c>
      <c r="AG390" s="161">
        <f t="shared" si="75"/>
        <v>0</v>
      </c>
      <c r="AH390" s="164">
        <f t="shared" si="67"/>
        <v>0</v>
      </c>
      <c r="AI390" s="23"/>
      <c r="AJ390" s="23"/>
      <c r="AK390" s="165"/>
      <c r="AL390" s="161"/>
      <c r="AM390" s="166"/>
      <c r="AN390" s="161"/>
      <c r="AO390" s="166"/>
      <c r="AP390" s="161"/>
      <c r="AQ390" s="161"/>
      <c r="AR390" s="161"/>
      <c r="AS390" s="167">
        <v>35000</v>
      </c>
      <c r="AT390" s="167">
        <v>30000</v>
      </c>
      <c r="AU390" s="167"/>
      <c r="AV390" s="167"/>
      <c r="AW390" s="167"/>
      <c r="AX390" s="167">
        <f t="shared" si="76"/>
        <v>65000</v>
      </c>
      <c r="AY390" s="168">
        <f t="shared" si="72"/>
        <v>-65000</v>
      </c>
      <c r="AZ390" s="168">
        <f t="shared" si="73"/>
        <v>-65000</v>
      </c>
      <c r="BA390" s="168">
        <f t="shared" si="74"/>
        <v>0</v>
      </c>
      <c r="BB390" s="168">
        <f t="shared" si="68"/>
        <v>-32500</v>
      </c>
      <c r="BC390" s="168">
        <f t="shared" si="69"/>
        <v>-29250</v>
      </c>
      <c r="BD390" s="169">
        <v>50000</v>
      </c>
      <c r="BE390" s="169"/>
      <c r="BF390" s="168">
        <f t="shared" si="70"/>
        <v>-79250</v>
      </c>
      <c r="BG390" s="33"/>
      <c r="BH390" s="16"/>
      <c r="BI390" s="16"/>
    </row>
    <row r="391" spans="1:61" ht="16.899999999999999">
      <c r="A391" s="36">
        <v>390</v>
      </c>
      <c r="B391" s="35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5"/>
      <c r="P391" s="33"/>
      <c r="Q391" s="33"/>
      <c r="R391" s="158"/>
      <c r="S391" s="158"/>
      <c r="T391" s="159">
        <f t="shared" si="66"/>
        <v>0</v>
      </c>
      <c r="U391" s="30"/>
      <c r="V391" s="30"/>
      <c r="W391" s="30"/>
      <c r="X391" s="30"/>
      <c r="Y391" s="238"/>
      <c r="Z391" s="242"/>
      <c r="AA391" s="33"/>
      <c r="AB391" s="160"/>
      <c r="AC391" s="161"/>
      <c r="AD391" s="162"/>
      <c r="AE391" s="163"/>
      <c r="AF391" s="23">
        <f t="shared" si="71"/>
        <v>0</v>
      </c>
      <c r="AG391" s="161">
        <f t="shared" si="75"/>
        <v>0</v>
      </c>
      <c r="AH391" s="164">
        <f t="shared" si="67"/>
        <v>0</v>
      </c>
      <c r="AI391" s="23"/>
      <c r="AJ391" s="23"/>
      <c r="AK391" s="165"/>
      <c r="AL391" s="161"/>
      <c r="AM391" s="166"/>
      <c r="AN391" s="161"/>
      <c r="AO391" s="166"/>
      <c r="AP391" s="161"/>
      <c r="AQ391" s="161"/>
      <c r="AR391" s="161"/>
      <c r="AS391" s="167">
        <v>35000</v>
      </c>
      <c r="AT391" s="167">
        <v>30000</v>
      </c>
      <c r="AU391" s="167"/>
      <c r="AV391" s="167"/>
      <c r="AW391" s="167"/>
      <c r="AX391" s="167">
        <f t="shared" si="76"/>
        <v>65000</v>
      </c>
      <c r="AY391" s="168">
        <f t="shared" si="72"/>
        <v>-65000</v>
      </c>
      <c r="AZ391" s="168">
        <f t="shared" si="73"/>
        <v>-65000</v>
      </c>
      <c r="BA391" s="168">
        <f t="shared" si="74"/>
        <v>0</v>
      </c>
      <c r="BB391" s="168">
        <f t="shared" si="68"/>
        <v>-32500</v>
      </c>
      <c r="BC391" s="168">
        <f t="shared" si="69"/>
        <v>-29250</v>
      </c>
      <c r="BD391" s="169">
        <v>50000</v>
      </c>
      <c r="BE391" s="169"/>
      <c r="BF391" s="168">
        <f t="shared" si="70"/>
        <v>-79250</v>
      </c>
      <c r="BG391" s="33"/>
      <c r="BH391" s="16"/>
      <c r="BI391" s="16"/>
    </row>
    <row r="392" spans="1:61" ht="16.899999999999999">
      <c r="A392" s="36">
        <v>391</v>
      </c>
      <c r="B392" s="35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5"/>
      <c r="P392" s="33"/>
      <c r="Q392" s="33"/>
      <c r="R392" s="158"/>
      <c r="S392" s="158"/>
      <c r="T392" s="159">
        <f t="shared" si="66"/>
        <v>0</v>
      </c>
      <c r="U392" s="30"/>
      <c r="V392" s="30"/>
      <c r="W392" s="30"/>
      <c r="X392" s="30"/>
      <c r="Y392" s="238"/>
      <c r="Z392" s="242"/>
      <c r="AA392" s="33"/>
      <c r="AB392" s="160"/>
      <c r="AC392" s="161"/>
      <c r="AD392" s="162"/>
      <c r="AE392" s="163"/>
      <c r="AF392" s="23">
        <f t="shared" si="71"/>
        <v>0</v>
      </c>
      <c r="AG392" s="161">
        <f t="shared" si="75"/>
        <v>0</v>
      </c>
      <c r="AH392" s="164">
        <f t="shared" si="67"/>
        <v>0</v>
      </c>
      <c r="AI392" s="23"/>
      <c r="AJ392" s="23"/>
      <c r="AK392" s="165"/>
      <c r="AL392" s="161"/>
      <c r="AM392" s="166"/>
      <c r="AN392" s="161"/>
      <c r="AO392" s="166"/>
      <c r="AP392" s="161"/>
      <c r="AQ392" s="161"/>
      <c r="AR392" s="161"/>
      <c r="AS392" s="167">
        <v>35000</v>
      </c>
      <c r="AT392" s="167">
        <v>30000</v>
      </c>
      <c r="AU392" s="167"/>
      <c r="AV392" s="167"/>
      <c r="AW392" s="167"/>
      <c r="AX392" s="167">
        <f t="shared" si="76"/>
        <v>65000</v>
      </c>
      <c r="AY392" s="168">
        <f t="shared" si="72"/>
        <v>-65000</v>
      </c>
      <c r="AZ392" s="168">
        <f t="shared" si="73"/>
        <v>-65000</v>
      </c>
      <c r="BA392" s="168">
        <f t="shared" si="74"/>
        <v>0</v>
      </c>
      <c r="BB392" s="168">
        <f t="shared" si="68"/>
        <v>-32500</v>
      </c>
      <c r="BC392" s="168">
        <f t="shared" si="69"/>
        <v>-29250</v>
      </c>
      <c r="BD392" s="169">
        <v>50000</v>
      </c>
      <c r="BE392" s="169"/>
      <c r="BF392" s="168">
        <f t="shared" si="70"/>
        <v>-79250</v>
      </c>
      <c r="BG392" s="33"/>
      <c r="BH392" s="16"/>
      <c r="BI392" s="16"/>
    </row>
    <row r="393" spans="1:61" ht="16.899999999999999">
      <c r="A393" s="36">
        <v>392</v>
      </c>
      <c r="B393" s="35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5"/>
      <c r="P393" s="33"/>
      <c r="Q393" s="33"/>
      <c r="R393" s="158"/>
      <c r="S393" s="158"/>
      <c r="T393" s="159">
        <f t="shared" si="66"/>
        <v>0</v>
      </c>
      <c r="U393" s="30"/>
      <c r="V393" s="30"/>
      <c r="W393" s="30"/>
      <c r="X393" s="30"/>
      <c r="Y393" s="238"/>
      <c r="Z393" s="242"/>
      <c r="AA393" s="33"/>
      <c r="AB393" s="160"/>
      <c r="AC393" s="161"/>
      <c r="AD393" s="162"/>
      <c r="AE393" s="163"/>
      <c r="AF393" s="23">
        <f t="shared" si="71"/>
        <v>0</v>
      </c>
      <c r="AG393" s="161">
        <f t="shared" si="75"/>
        <v>0</v>
      </c>
      <c r="AH393" s="164">
        <f t="shared" si="67"/>
        <v>0</v>
      </c>
      <c r="AI393" s="23"/>
      <c r="AJ393" s="23"/>
      <c r="AK393" s="165"/>
      <c r="AL393" s="161"/>
      <c r="AM393" s="166"/>
      <c r="AN393" s="161"/>
      <c r="AO393" s="166"/>
      <c r="AP393" s="161"/>
      <c r="AQ393" s="161"/>
      <c r="AR393" s="161"/>
      <c r="AS393" s="167">
        <v>35000</v>
      </c>
      <c r="AT393" s="167">
        <v>30000</v>
      </c>
      <c r="AU393" s="167"/>
      <c r="AV393" s="167"/>
      <c r="AW393" s="167"/>
      <c r="AX393" s="167">
        <f t="shared" si="76"/>
        <v>65000</v>
      </c>
      <c r="AY393" s="168">
        <f t="shared" si="72"/>
        <v>-65000</v>
      </c>
      <c r="AZ393" s="168">
        <f t="shared" si="73"/>
        <v>-65000</v>
      </c>
      <c r="BA393" s="168">
        <f t="shared" si="74"/>
        <v>0</v>
      </c>
      <c r="BB393" s="168">
        <f t="shared" si="68"/>
        <v>-32500</v>
      </c>
      <c r="BC393" s="168">
        <f t="shared" si="69"/>
        <v>-29250</v>
      </c>
      <c r="BD393" s="169">
        <v>50000</v>
      </c>
      <c r="BE393" s="169"/>
      <c r="BF393" s="168">
        <f t="shared" si="70"/>
        <v>-79250</v>
      </c>
      <c r="BG393" s="33"/>
      <c r="BH393" s="16"/>
      <c r="BI393" s="16"/>
    </row>
    <row r="394" spans="1:61" ht="16.899999999999999">
      <c r="A394" s="36">
        <v>393</v>
      </c>
      <c r="B394" s="35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5"/>
      <c r="P394" s="33"/>
      <c r="Q394" s="33"/>
      <c r="R394" s="158"/>
      <c r="S394" s="158"/>
      <c r="T394" s="159">
        <f t="shared" si="66"/>
        <v>0</v>
      </c>
      <c r="U394" s="30"/>
      <c r="V394" s="30"/>
      <c r="W394" s="30"/>
      <c r="X394" s="30"/>
      <c r="Y394" s="238"/>
      <c r="Z394" s="242"/>
      <c r="AA394" s="33"/>
      <c r="AB394" s="160"/>
      <c r="AC394" s="161"/>
      <c r="AD394" s="162"/>
      <c r="AE394" s="163"/>
      <c r="AF394" s="23">
        <f t="shared" si="71"/>
        <v>0</v>
      </c>
      <c r="AG394" s="161">
        <f t="shared" si="75"/>
        <v>0</v>
      </c>
      <c r="AH394" s="164">
        <f t="shared" si="67"/>
        <v>0</v>
      </c>
      <c r="AI394" s="23"/>
      <c r="AJ394" s="23"/>
      <c r="AK394" s="166"/>
      <c r="AL394" s="161"/>
      <c r="AM394" s="166"/>
      <c r="AN394" s="161"/>
      <c r="AO394" s="166"/>
      <c r="AP394" s="161"/>
      <c r="AQ394" s="161"/>
      <c r="AR394" s="161"/>
      <c r="AS394" s="167">
        <v>35000</v>
      </c>
      <c r="AT394" s="167">
        <v>30000</v>
      </c>
      <c r="AU394" s="167"/>
      <c r="AV394" s="167"/>
      <c r="AW394" s="167"/>
      <c r="AX394" s="167">
        <f t="shared" si="76"/>
        <v>65000</v>
      </c>
      <c r="AY394" s="168">
        <f t="shared" si="72"/>
        <v>-65000</v>
      </c>
      <c r="AZ394" s="168">
        <f t="shared" si="73"/>
        <v>-65000</v>
      </c>
      <c r="BA394" s="168">
        <f t="shared" si="74"/>
        <v>0</v>
      </c>
      <c r="BB394" s="168">
        <f t="shared" si="68"/>
        <v>-32500</v>
      </c>
      <c r="BC394" s="168">
        <f t="shared" si="69"/>
        <v>-29250</v>
      </c>
      <c r="BD394" s="169">
        <v>50000</v>
      </c>
      <c r="BE394" s="169"/>
      <c r="BF394" s="168">
        <f t="shared" si="70"/>
        <v>-79250</v>
      </c>
      <c r="BG394" s="33"/>
      <c r="BH394" s="16"/>
      <c r="BI394" s="16"/>
    </row>
    <row r="395" spans="1:61" ht="16.899999999999999">
      <c r="A395" s="36">
        <v>394</v>
      </c>
      <c r="B395" s="35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5"/>
      <c r="P395" s="33"/>
      <c r="Q395" s="33"/>
      <c r="R395" s="158"/>
      <c r="S395" s="158"/>
      <c r="T395" s="159">
        <f t="shared" si="66"/>
        <v>0</v>
      </c>
      <c r="U395" s="30"/>
      <c r="V395" s="30"/>
      <c r="W395" s="30"/>
      <c r="X395" s="30"/>
      <c r="Y395" s="238"/>
      <c r="Z395" s="242"/>
      <c r="AA395" s="33"/>
      <c r="AB395" s="160"/>
      <c r="AC395" s="161"/>
      <c r="AD395" s="162"/>
      <c r="AE395" s="163"/>
      <c r="AF395" s="23">
        <f t="shared" si="71"/>
        <v>0</v>
      </c>
      <c r="AG395" s="161">
        <f t="shared" si="75"/>
        <v>0</v>
      </c>
      <c r="AH395" s="164">
        <f t="shared" si="67"/>
        <v>0</v>
      </c>
      <c r="AI395" s="23"/>
      <c r="AJ395" s="23"/>
      <c r="AK395" s="165"/>
      <c r="AL395" s="161"/>
      <c r="AM395" s="166"/>
      <c r="AN395" s="161"/>
      <c r="AO395" s="166"/>
      <c r="AP395" s="161"/>
      <c r="AQ395" s="161"/>
      <c r="AR395" s="161"/>
      <c r="AS395" s="167">
        <v>35000</v>
      </c>
      <c r="AT395" s="167">
        <v>30000</v>
      </c>
      <c r="AU395" s="167"/>
      <c r="AV395" s="167"/>
      <c r="AW395" s="167"/>
      <c r="AX395" s="167">
        <f t="shared" si="76"/>
        <v>65000</v>
      </c>
      <c r="AY395" s="168">
        <f t="shared" si="72"/>
        <v>-65000</v>
      </c>
      <c r="AZ395" s="168">
        <f t="shared" si="73"/>
        <v>-65000</v>
      </c>
      <c r="BA395" s="168">
        <f t="shared" si="74"/>
        <v>0</v>
      </c>
      <c r="BB395" s="168">
        <f t="shared" si="68"/>
        <v>-32500</v>
      </c>
      <c r="BC395" s="168">
        <f t="shared" si="69"/>
        <v>-29250</v>
      </c>
      <c r="BD395" s="169">
        <v>50000</v>
      </c>
      <c r="BE395" s="169"/>
      <c r="BF395" s="168">
        <f t="shared" si="70"/>
        <v>-79250</v>
      </c>
      <c r="BG395" s="33"/>
      <c r="BH395" s="16"/>
      <c r="BI395" s="16"/>
    </row>
    <row r="396" spans="1:61" ht="16.899999999999999">
      <c r="A396" s="36">
        <v>395</v>
      </c>
      <c r="B396" s="35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5"/>
      <c r="P396" s="33"/>
      <c r="Q396" s="33"/>
      <c r="R396" s="158"/>
      <c r="S396" s="158"/>
      <c r="T396" s="159">
        <f t="shared" si="66"/>
        <v>0</v>
      </c>
      <c r="U396" s="30"/>
      <c r="V396" s="30"/>
      <c r="W396" s="30"/>
      <c r="X396" s="30"/>
      <c r="Y396" s="238"/>
      <c r="Z396" s="242"/>
      <c r="AA396" s="33"/>
      <c r="AB396" s="160"/>
      <c r="AC396" s="161"/>
      <c r="AD396" s="162"/>
      <c r="AE396" s="163"/>
      <c r="AF396" s="23">
        <f t="shared" si="71"/>
        <v>0</v>
      </c>
      <c r="AG396" s="161">
        <f t="shared" si="75"/>
        <v>0</v>
      </c>
      <c r="AH396" s="164">
        <f t="shared" si="67"/>
        <v>0</v>
      </c>
      <c r="AI396" s="23"/>
      <c r="AJ396" s="23"/>
      <c r="AK396" s="165"/>
      <c r="AL396" s="161"/>
      <c r="AM396" s="166"/>
      <c r="AN396" s="161"/>
      <c r="AO396" s="166"/>
      <c r="AP396" s="161"/>
      <c r="AQ396" s="161"/>
      <c r="AR396" s="161"/>
      <c r="AS396" s="167">
        <v>35000</v>
      </c>
      <c r="AT396" s="167">
        <v>30000</v>
      </c>
      <c r="AU396" s="167"/>
      <c r="AV396" s="167"/>
      <c r="AW396" s="167"/>
      <c r="AX396" s="167">
        <f t="shared" si="76"/>
        <v>65000</v>
      </c>
      <c r="AY396" s="168">
        <f t="shared" si="72"/>
        <v>-65000</v>
      </c>
      <c r="AZ396" s="168">
        <f t="shared" si="73"/>
        <v>-65000</v>
      </c>
      <c r="BA396" s="168">
        <f t="shared" si="74"/>
        <v>0</v>
      </c>
      <c r="BB396" s="168">
        <f t="shared" si="68"/>
        <v>-32500</v>
      </c>
      <c r="BC396" s="168">
        <f t="shared" si="69"/>
        <v>-29250</v>
      </c>
      <c r="BD396" s="169">
        <v>50000</v>
      </c>
      <c r="BE396" s="169"/>
      <c r="BF396" s="168">
        <f t="shared" si="70"/>
        <v>-79250</v>
      </c>
      <c r="BG396" s="33"/>
      <c r="BH396" s="16"/>
      <c r="BI396" s="16"/>
    </row>
    <row r="397" spans="1:61" ht="16.899999999999999">
      <c r="A397" s="36">
        <v>396</v>
      </c>
      <c r="B397" s="35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5"/>
      <c r="P397" s="33"/>
      <c r="Q397" s="33"/>
      <c r="R397" s="158"/>
      <c r="S397" s="158"/>
      <c r="T397" s="159">
        <f t="shared" si="66"/>
        <v>0</v>
      </c>
      <c r="U397" s="30"/>
      <c r="V397" s="30"/>
      <c r="W397" s="30"/>
      <c r="X397" s="30"/>
      <c r="Y397" s="238"/>
      <c r="Z397" s="242"/>
      <c r="AA397" s="33"/>
      <c r="AB397" s="160"/>
      <c r="AC397" s="161"/>
      <c r="AD397" s="162"/>
      <c r="AE397" s="163"/>
      <c r="AF397" s="23">
        <f t="shared" si="71"/>
        <v>0</v>
      </c>
      <c r="AG397" s="161">
        <f t="shared" si="75"/>
        <v>0</v>
      </c>
      <c r="AH397" s="164">
        <f t="shared" si="67"/>
        <v>0</v>
      </c>
      <c r="AI397" s="23"/>
      <c r="AJ397" s="23"/>
      <c r="AK397" s="165"/>
      <c r="AL397" s="161"/>
      <c r="AM397" s="166"/>
      <c r="AN397" s="161"/>
      <c r="AO397" s="166"/>
      <c r="AP397" s="161"/>
      <c r="AQ397" s="161"/>
      <c r="AR397" s="161"/>
      <c r="AS397" s="167">
        <v>35000</v>
      </c>
      <c r="AT397" s="167">
        <v>30000</v>
      </c>
      <c r="AU397" s="167"/>
      <c r="AV397" s="167"/>
      <c r="AW397" s="167"/>
      <c r="AX397" s="167">
        <f t="shared" si="76"/>
        <v>65000</v>
      </c>
      <c r="AY397" s="168">
        <f t="shared" si="72"/>
        <v>-65000</v>
      </c>
      <c r="AZ397" s="168">
        <f t="shared" si="73"/>
        <v>-65000</v>
      </c>
      <c r="BA397" s="168">
        <f t="shared" si="74"/>
        <v>0</v>
      </c>
      <c r="BB397" s="168">
        <f t="shared" si="68"/>
        <v>-32500</v>
      </c>
      <c r="BC397" s="168">
        <f t="shared" si="69"/>
        <v>-29250</v>
      </c>
      <c r="BD397" s="169">
        <v>50000</v>
      </c>
      <c r="BE397" s="169"/>
      <c r="BF397" s="168">
        <f t="shared" si="70"/>
        <v>-79250</v>
      </c>
      <c r="BG397" s="33"/>
      <c r="BH397" s="16"/>
      <c r="BI397" s="16"/>
    </row>
    <row r="398" spans="1:61" ht="16.899999999999999">
      <c r="A398" s="36">
        <v>397</v>
      </c>
      <c r="B398" s="35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5"/>
      <c r="P398" s="33"/>
      <c r="Q398" s="33"/>
      <c r="R398" s="158"/>
      <c r="S398" s="158"/>
      <c r="T398" s="159">
        <f t="shared" si="66"/>
        <v>0</v>
      </c>
      <c r="U398" s="30"/>
      <c r="V398" s="30"/>
      <c r="W398" s="30"/>
      <c r="X398" s="30"/>
      <c r="Y398" s="238"/>
      <c r="Z398" s="242"/>
      <c r="AA398" s="33"/>
      <c r="AB398" s="160"/>
      <c r="AC398" s="161"/>
      <c r="AD398" s="162"/>
      <c r="AE398" s="163"/>
      <c r="AF398" s="23">
        <f t="shared" si="71"/>
        <v>0</v>
      </c>
      <c r="AG398" s="161">
        <f t="shared" si="75"/>
        <v>0</v>
      </c>
      <c r="AH398" s="164">
        <f t="shared" si="67"/>
        <v>0</v>
      </c>
      <c r="AI398" s="23"/>
      <c r="AJ398" s="23"/>
      <c r="AK398" s="165"/>
      <c r="AL398" s="161"/>
      <c r="AM398" s="166"/>
      <c r="AN398" s="161"/>
      <c r="AO398" s="166"/>
      <c r="AP398" s="161"/>
      <c r="AQ398" s="161"/>
      <c r="AR398" s="161"/>
      <c r="AS398" s="167">
        <v>35000</v>
      </c>
      <c r="AT398" s="167">
        <v>30000</v>
      </c>
      <c r="AU398" s="167"/>
      <c r="AV398" s="167"/>
      <c r="AW398" s="167"/>
      <c r="AX398" s="167">
        <f t="shared" si="76"/>
        <v>65000</v>
      </c>
      <c r="AY398" s="168">
        <f t="shared" si="72"/>
        <v>-65000</v>
      </c>
      <c r="AZ398" s="168">
        <f t="shared" si="73"/>
        <v>-65000</v>
      </c>
      <c r="BA398" s="168">
        <f t="shared" si="74"/>
        <v>0</v>
      </c>
      <c r="BB398" s="168">
        <f t="shared" si="68"/>
        <v>-32500</v>
      </c>
      <c r="BC398" s="168">
        <f t="shared" si="69"/>
        <v>-29250</v>
      </c>
      <c r="BD398" s="169">
        <v>50000</v>
      </c>
      <c r="BE398" s="169"/>
      <c r="BF398" s="168">
        <f t="shared" si="70"/>
        <v>-79250</v>
      </c>
      <c r="BG398" s="33"/>
      <c r="BH398" s="16"/>
      <c r="BI398" s="16"/>
    </row>
    <row r="399" spans="1:61" ht="16.899999999999999">
      <c r="A399" s="36">
        <v>398</v>
      </c>
      <c r="B399" s="35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5"/>
      <c r="P399" s="33"/>
      <c r="Q399" s="33"/>
      <c r="R399" s="158"/>
      <c r="S399" s="158"/>
      <c r="T399" s="159">
        <f t="shared" si="66"/>
        <v>0</v>
      </c>
      <c r="U399" s="30"/>
      <c r="V399" s="30"/>
      <c r="W399" s="30"/>
      <c r="X399" s="30"/>
      <c r="Y399" s="238"/>
      <c r="Z399" s="242"/>
      <c r="AA399" s="33"/>
      <c r="AB399" s="160"/>
      <c r="AC399" s="161"/>
      <c r="AD399" s="162"/>
      <c r="AE399" s="163"/>
      <c r="AF399" s="23">
        <f t="shared" si="71"/>
        <v>0</v>
      </c>
      <c r="AG399" s="161">
        <f t="shared" si="75"/>
        <v>0</v>
      </c>
      <c r="AH399" s="164">
        <f t="shared" si="67"/>
        <v>0</v>
      </c>
      <c r="AI399" s="23"/>
      <c r="AJ399" s="23"/>
      <c r="AK399" s="165"/>
      <c r="AL399" s="161"/>
      <c r="AM399" s="166"/>
      <c r="AN399" s="161"/>
      <c r="AO399" s="166"/>
      <c r="AP399" s="161"/>
      <c r="AQ399" s="161"/>
      <c r="AR399" s="161"/>
      <c r="AS399" s="167">
        <v>35000</v>
      </c>
      <c r="AT399" s="167">
        <v>30000</v>
      </c>
      <c r="AU399" s="167"/>
      <c r="AV399" s="167"/>
      <c r="AW399" s="167"/>
      <c r="AX399" s="167">
        <f t="shared" si="76"/>
        <v>65000</v>
      </c>
      <c r="AY399" s="168">
        <f t="shared" si="72"/>
        <v>-65000</v>
      </c>
      <c r="AZ399" s="168">
        <f t="shared" si="73"/>
        <v>-65000</v>
      </c>
      <c r="BA399" s="168">
        <f t="shared" si="74"/>
        <v>0</v>
      </c>
      <c r="BB399" s="168">
        <f t="shared" si="68"/>
        <v>-32500</v>
      </c>
      <c r="BC399" s="168">
        <f t="shared" si="69"/>
        <v>-29250</v>
      </c>
      <c r="BD399" s="169">
        <v>50000</v>
      </c>
      <c r="BE399" s="169"/>
      <c r="BF399" s="168">
        <f t="shared" si="70"/>
        <v>-79250</v>
      </c>
      <c r="BG399" s="33"/>
      <c r="BH399" s="16"/>
      <c r="BI399" s="16"/>
    </row>
    <row r="400" spans="1:61" ht="16.899999999999999">
      <c r="A400" s="36">
        <v>399</v>
      </c>
      <c r="B400" s="35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5"/>
      <c r="P400" s="33"/>
      <c r="Q400" s="33"/>
      <c r="R400" s="158"/>
      <c r="S400" s="158"/>
      <c r="T400" s="159">
        <f t="shared" si="66"/>
        <v>0</v>
      </c>
      <c r="U400" s="30"/>
      <c r="V400" s="30"/>
      <c r="W400" s="30"/>
      <c r="X400" s="30"/>
      <c r="Y400" s="238"/>
      <c r="Z400" s="242"/>
      <c r="AA400" s="33"/>
      <c r="AB400" s="160"/>
      <c r="AC400" s="161"/>
      <c r="AD400" s="162"/>
      <c r="AE400" s="163"/>
      <c r="AF400" s="23">
        <f t="shared" si="71"/>
        <v>0</v>
      </c>
      <c r="AG400" s="161">
        <f t="shared" si="75"/>
        <v>0</v>
      </c>
      <c r="AH400" s="164">
        <f t="shared" si="67"/>
        <v>0</v>
      </c>
      <c r="AI400" s="37"/>
      <c r="AJ400" s="37"/>
      <c r="AK400" s="165"/>
      <c r="AL400" s="161"/>
      <c r="AM400" s="166"/>
      <c r="AN400" s="161"/>
      <c r="AO400" s="166"/>
      <c r="AP400" s="161"/>
      <c r="AQ400" s="161"/>
      <c r="AR400" s="161"/>
      <c r="AS400" s="167">
        <v>35000</v>
      </c>
      <c r="AT400" s="167">
        <v>30000</v>
      </c>
      <c r="AU400" s="167"/>
      <c r="AV400" s="167"/>
      <c r="AW400" s="167"/>
      <c r="AX400" s="167">
        <f t="shared" si="76"/>
        <v>65000</v>
      </c>
      <c r="AY400" s="168">
        <f t="shared" si="72"/>
        <v>-65000</v>
      </c>
      <c r="AZ400" s="168">
        <f t="shared" si="73"/>
        <v>-65000</v>
      </c>
      <c r="BA400" s="168">
        <f t="shared" si="74"/>
        <v>0</v>
      </c>
      <c r="BB400" s="168">
        <f t="shared" si="68"/>
        <v>-32500</v>
      </c>
      <c r="BC400" s="168">
        <f t="shared" si="69"/>
        <v>-29250</v>
      </c>
      <c r="BD400" s="169">
        <v>50000</v>
      </c>
      <c r="BE400" s="169"/>
      <c r="BF400" s="168">
        <f t="shared" si="70"/>
        <v>-79250</v>
      </c>
      <c r="BG400" s="33"/>
      <c r="BH400" s="16"/>
      <c r="BI400" s="16"/>
    </row>
    <row r="401" spans="1:61" ht="16.899999999999999">
      <c r="A401" s="36">
        <v>400</v>
      </c>
      <c r="B401" s="35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5"/>
      <c r="P401" s="33"/>
      <c r="Q401" s="33"/>
      <c r="R401" s="158"/>
      <c r="S401" s="158"/>
      <c r="T401" s="159">
        <f t="shared" si="66"/>
        <v>0</v>
      </c>
      <c r="U401" s="30"/>
      <c r="V401" s="30"/>
      <c r="W401" s="30"/>
      <c r="X401" s="30"/>
      <c r="Y401" s="238"/>
      <c r="Z401" s="242"/>
      <c r="AA401" s="33"/>
      <c r="AB401" s="160"/>
      <c r="AC401" s="161"/>
      <c r="AD401" s="162"/>
      <c r="AE401" s="163"/>
      <c r="AF401" s="23">
        <f t="shared" si="71"/>
        <v>0</v>
      </c>
      <c r="AG401" s="161">
        <f t="shared" si="75"/>
        <v>0</v>
      </c>
      <c r="AH401" s="164">
        <f t="shared" si="67"/>
        <v>0</v>
      </c>
      <c r="AI401" s="23"/>
      <c r="AJ401" s="23"/>
      <c r="AK401" s="165"/>
      <c r="AL401" s="161"/>
      <c r="AM401" s="166"/>
      <c r="AN401" s="161"/>
      <c r="AO401" s="166"/>
      <c r="AP401" s="161"/>
      <c r="AQ401" s="161"/>
      <c r="AR401" s="161"/>
      <c r="AS401" s="167">
        <v>35000</v>
      </c>
      <c r="AT401" s="167">
        <v>30000</v>
      </c>
      <c r="AU401" s="167"/>
      <c r="AV401" s="167"/>
      <c r="AW401" s="167"/>
      <c r="AX401" s="167">
        <f t="shared" si="76"/>
        <v>65000</v>
      </c>
      <c r="AY401" s="168">
        <f t="shared" si="72"/>
        <v>-65000</v>
      </c>
      <c r="AZ401" s="168">
        <f t="shared" si="73"/>
        <v>-65000</v>
      </c>
      <c r="BA401" s="168">
        <f t="shared" si="74"/>
        <v>0</v>
      </c>
      <c r="BB401" s="168">
        <f t="shared" si="68"/>
        <v>-32500</v>
      </c>
      <c r="BC401" s="168">
        <f t="shared" si="69"/>
        <v>-29250</v>
      </c>
      <c r="BD401" s="169">
        <v>50000</v>
      </c>
      <c r="BE401" s="169"/>
      <c r="BF401" s="168">
        <f t="shared" si="70"/>
        <v>-79250</v>
      </c>
      <c r="BG401" s="33"/>
      <c r="BH401" s="16"/>
      <c r="BI401" s="16"/>
    </row>
    <row r="402" spans="1:61" ht="16.899999999999999">
      <c r="A402" s="36">
        <v>401</v>
      </c>
      <c r="B402" s="35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5"/>
      <c r="P402" s="33"/>
      <c r="Q402" s="33"/>
      <c r="R402" s="158"/>
      <c r="S402" s="158"/>
      <c r="T402" s="159">
        <f t="shared" si="66"/>
        <v>0</v>
      </c>
      <c r="U402" s="30"/>
      <c r="V402" s="30"/>
      <c r="W402" s="30"/>
      <c r="X402" s="30"/>
      <c r="Y402" s="238"/>
      <c r="Z402" s="242"/>
      <c r="AA402" s="33"/>
      <c r="AB402" s="160"/>
      <c r="AC402" s="161"/>
      <c r="AD402" s="162"/>
      <c r="AE402" s="163"/>
      <c r="AF402" s="23">
        <f t="shared" si="71"/>
        <v>0</v>
      </c>
      <c r="AG402" s="161">
        <f t="shared" si="75"/>
        <v>0</v>
      </c>
      <c r="AH402" s="164">
        <f t="shared" si="67"/>
        <v>0</v>
      </c>
      <c r="AI402" s="23"/>
      <c r="AJ402" s="23"/>
      <c r="AK402" s="165"/>
      <c r="AL402" s="161"/>
      <c r="AM402" s="166"/>
      <c r="AN402" s="161"/>
      <c r="AO402" s="166"/>
      <c r="AP402" s="161"/>
      <c r="AQ402" s="161"/>
      <c r="AR402" s="161"/>
      <c r="AS402" s="167">
        <v>35000</v>
      </c>
      <c r="AT402" s="167">
        <v>30000</v>
      </c>
      <c r="AU402" s="167"/>
      <c r="AV402" s="167"/>
      <c r="AW402" s="167"/>
      <c r="AX402" s="167">
        <f t="shared" si="76"/>
        <v>65000</v>
      </c>
      <c r="AY402" s="168">
        <f t="shared" si="72"/>
        <v>-65000</v>
      </c>
      <c r="AZ402" s="168">
        <f t="shared" si="73"/>
        <v>-65000</v>
      </c>
      <c r="BA402" s="168">
        <f t="shared" si="74"/>
        <v>0</v>
      </c>
      <c r="BB402" s="168">
        <f t="shared" si="68"/>
        <v>-32500</v>
      </c>
      <c r="BC402" s="168">
        <f t="shared" si="69"/>
        <v>-29250</v>
      </c>
      <c r="BD402" s="169">
        <v>50000</v>
      </c>
      <c r="BE402" s="169"/>
      <c r="BF402" s="168">
        <f t="shared" si="70"/>
        <v>-79250</v>
      </c>
      <c r="BG402" s="33"/>
      <c r="BH402" s="16"/>
      <c r="BI402" s="16"/>
    </row>
    <row r="403" spans="1:61" ht="16.899999999999999">
      <c r="A403" s="36">
        <v>402</v>
      </c>
      <c r="B403" s="35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5"/>
      <c r="P403" s="33"/>
      <c r="Q403" s="33"/>
      <c r="R403" s="158"/>
      <c r="S403" s="158"/>
      <c r="T403" s="159">
        <f t="shared" si="66"/>
        <v>0</v>
      </c>
      <c r="U403" s="30"/>
      <c r="V403" s="30"/>
      <c r="W403" s="30"/>
      <c r="X403" s="30"/>
      <c r="Y403" s="238"/>
      <c r="Z403" s="242"/>
      <c r="AA403" s="33"/>
      <c r="AB403" s="160"/>
      <c r="AC403" s="161"/>
      <c r="AD403" s="162"/>
      <c r="AE403" s="163"/>
      <c r="AF403" s="23">
        <f t="shared" si="71"/>
        <v>0</v>
      </c>
      <c r="AG403" s="161">
        <f t="shared" si="75"/>
        <v>0</v>
      </c>
      <c r="AH403" s="164">
        <f t="shared" si="67"/>
        <v>0</v>
      </c>
      <c r="AI403" s="23"/>
      <c r="AJ403" s="23"/>
      <c r="AK403" s="165"/>
      <c r="AL403" s="161"/>
      <c r="AM403" s="166"/>
      <c r="AN403" s="161"/>
      <c r="AO403" s="166"/>
      <c r="AP403" s="161"/>
      <c r="AQ403" s="161"/>
      <c r="AR403" s="161"/>
      <c r="AS403" s="167">
        <v>35000</v>
      </c>
      <c r="AT403" s="167">
        <v>30000</v>
      </c>
      <c r="AU403" s="167"/>
      <c r="AV403" s="167"/>
      <c r="AW403" s="167"/>
      <c r="AX403" s="167">
        <f t="shared" si="76"/>
        <v>65000</v>
      </c>
      <c r="AY403" s="168">
        <f t="shared" si="72"/>
        <v>-65000</v>
      </c>
      <c r="AZ403" s="168">
        <f t="shared" si="73"/>
        <v>-65000</v>
      </c>
      <c r="BA403" s="168">
        <f t="shared" si="74"/>
        <v>0</v>
      </c>
      <c r="BB403" s="168">
        <f t="shared" si="68"/>
        <v>-32500</v>
      </c>
      <c r="BC403" s="168">
        <f t="shared" si="69"/>
        <v>-29250</v>
      </c>
      <c r="BD403" s="169">
        <v>50000</v>
      </c>
      <c r="BE403" s="169"/>
      <c r="BF403" s="168">
        <f t="shared" si="70"/>
        <v>-79250</v>
      </c>
      <c r="BG403" s="33"/>
      <c r="BH403" s="16"/>
      <c r="BI403" s="16"/>
    </row>
    <row r="404" spans="1:61" ht="16.899999999999999">
      <c r="A404" s="36">
        <v>403</v>
      </c>
      <c r="B404" s="35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5"/>
      <c r="P404" s="33"/>
      <c r="Q404" s="33"/>
      <c r="R404" s="158"/>
      <c r="S404" s="158"/>
      <c r="T404" s="159">
        <f t="shared" si="66"/>
        <v>0</v>
      </c>
      <c r="U404" s="30"/>
      <c r="V404" s="30"/>
      <c r="W404" s="30"/>
      <c r="X404" s="30"/>
      <c r="Y404" s="238"/>
      <c r="Z404" s="242"/>
      <c r="AA404" s="33"/>
      <c r="AB404" s="160"/>
      <c r="AC404" s="161"/>
      <c r="AD404" s="162"/>
      <c r="AE404" s="163"/>
      <c r="AF404" s="23">
        <f t="shared" si="71"/>
        <v>0</v>
      </c>
      <c r="AG404" s="161">
        <f t="shared" si="75"/>
        <v>0</v>
      </c>
      <c r="AH404" s="164">
        <f t="shared" si="67"/>
        <v>0</v>
      </c>
      <c r="AI404" s="37"/>
      <c r="AJ404" s="37"/>
      <c r="AK404" s="165"/>
      <c r="AL404" s="161"/>
      <c r="AM404" s="166"/>
      <c r="AN404" s="161"/>
      <c r="AO404" s="166"/>
      <c r="AP404" s="161"/>
      <c r="AQ404" s="161"/>
      <c r="AR404" s="161"/>
      <c r="AS404" s="167">
        <v>35000</v>
      </c>
      <c r="AT404" s="167">
        <v>30000</v>
      </c>
      <c r="AU404" s="167"/>
      <c r="AV404" s="167"/>
      <c r="AW404" s="167"/>
      <c r="AX404" s="167">
        <f t="shared" si="76"/>
        <v>65000</v>
      </c>
      <c r="AY404" s="168">
        <f t="shared" si="72"/>
        <v>-65000</v>
      </c>
      <c r="AZ404" s="168">
        <f t="shared" si="73"/>
        <v>-65000</v>
      </c>
      <c r="BA404" s="168">
        <f t="shared" si="74"/>
        <v>0</v>
      </c>
      <c r="BB404" s="168">
        <f t="shared" si="68"/>
        <v>-32500</v>
      </c>
      <c r="BC404" s="168">
        <f t="shared" si="69"/>
        <v>-29250</v>
      </c>
      <c r="BD404" s="169">
        <v>50000</v>
      </c>
      <c r="BE404" s="169"/>
      <c r="BF404" s="168">
        <f t="shared" si="70"/>
        <v>-79250</v>
      </c>
      <c r="BG404" s="33"/>
      <c r="BH404" s="16"/>
      <c r="BI404" s="16"/>
    </row>
    <row r="405" spans="1:61" ht="16.899999999999999">
      <c r="A405" s="36">
        <v>404</v>
      </c>
      <c r="B405" s="35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5"/>
      <c r="P405" s="33"/>
      <c r="Q405" s="33"/>
      <c r="R405" s="158"/>
      <c r="S405" s="158"/>
      <c r="T405" s="159">
        <f t="shared" si="66"/>
        <v>0</v>
      </c>
      <c r="U405" s="30"/>
      <c r="V405" s="30"/>
      <c r="W405" s="30"/>
      <c r="X405" s="30"/>
      <c r="Y405" s="238"/>
      <c r="Z405" s="242"/>
      <c r="AA405" s="33"/>
      <c r="AB405" s="160"/>
      <c r="AC405" s="161"/>
      <c r="AD405" s="162"/>
      <c r="AE405" s="163"/>
      <c r="AF405" s="23">
        <f t="shared" si="71"/>
        <v>0</v>
      </c>
      <c r="AG405" s="161">
        <f t="shared" si="75"/>
        <v>0</v>
      </c>
      <c r="AH405" s="164">
        <f t="shared" si="67"/>
        <v>0</v>
      </c>
      <c r="AI405" s="23"/>
      <c r="AJ405" s="23"/>
      <c r="AK405" s="165"/>
      <c r="AL405" s="161"/>
      <c r="AM405" s="166"/>
      <c r="AN405" s="161"/>
      <c r="AO405" s="166"/>
      <c r="AP405" s="161"/>
      <c r="AQ405" s="161"/>
      <c r="AR405" s="161"/>
      <c r="AS405" s="167">
        <v>35000</v>
      </c>
      <c r="AT405" s="167">
        <v>30000</v>
      </c>
      <c r="AU405" s="167"/>
      <c r="AV405" s="167"/>
      <c r="AW405" s="167"/>
      <c r="AX405" s="167">
        <f t="shared" si="76"/>
        <v>65000</v>
      </c>
      <c r="AY405" s="168">
        <f t="shared" si="72"/>
        <v>-65000</v>
      </c>
      <c r="AZ405" s="168">
        <f t="shared" si="73"/>
        <v>-65000</v>
      </c>
      <c r="BA405" s="168">
        <f t="shared" si="74"/>
        <v>0</v>
      </c>
      <c r="BB405" s="168">
        <f t="shared" si="68"/>
        <v>-32500</v>
      </c>
      <c r="BC405" s="168">
        <f t="shared" si="69"/>
        <v>-29250</v>
      </c>
      <c r="BD405" s="169">
        <v>50000</v>
      </c>
      <c r="BE405" s="169"/>
      <c r="BF405" s="168">
        <f t="shared" si="70"/>
        <v>-79250</v>
      </c>
      <c r="BG405" s="33"/>
      <c r="BH405" s="16"/>
      <c r="BI405" s="16"/>
    </row>
    <row r="406" spans="1:61" ht="16.899999999999999">
      <c r="A406" s="36">
        <v>405</v>
      </c>
      <c r="B406" s="35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5"/>
      <c r="P406" s="33"/>
      <c r="Q406" s="33"/>
      <c r="R406" s="158"/>
      <c r="S406" s="158"/>
      <c r="T406" s="159">
        <f t="shared" si="66"/>
        <v>0</v>
      </c>
      <c r="U406" s="30"/>
      <c r="V406" s="30"/>
      <c r="W406" s="30"/>
      <c r="X406" s="30"/>
      <c r="Y406" s="238"/>
      <c r="Z406" s="242"/>
      <c r="AA406" s="33"/>
      <c r="AB406" s="160"/>
      <c r="AC406" s="161"/>
      <c r="AD406" s="162"/>
      <c r="AE406" s="163"/>
      <c r="AF406" s="23">
        <f t="shared" si="71"/>
        <v>0</v>
      </c>
      <c r="AG406" s="161">
        <f t="shared" si="75"/>
        <v>0</v>
      </c>
      <c r="AH406" s="164">
        <f t="shared" si="67"/>
        <v>0</v>
      </c>
      <c r="AI406" s="23"/>
      <c r="AJ406" s="23"/>
      <c r="AK406" s="165"/>
      <c r="AL406" s="161"/>
      <c r="AM406" s="166"/>
      <c r="AN406" s="161"/>
      <c r="AO406" s="166"/>
      <c r="AP406" s="161"/>
      <c r="AQ406" s="161"/>
      <c r="AR406" s="161"/>
      <c r="AS406" s="167">
        <v>35000</v>
      </c>
      <c r="AT406" s="167">
        <v>30000</v>
      </c>
      <c r="AU406" s="167"/>
      <c r="AV406" s="167"/>
      <c r="AW406" s="167"/>
      <c r="AX406" s="167">
        <f t="shared" si="76"/>
        <v>65000</v>
      </c>
      <c r="AY406" s="168">
        <f t="shared" si="72"/>
        <v>-65000</v>
      </c>
      <c r="AZ406" s="168">
        <f t="shared" si="73"/>
        <v>-65000</v>
      </c>
      <c r="BA406" s="168">
        <f t="shared" si="74"/>
        <v>0</v>
      </c>
      <c r="BB406" s="168">
        <f t="shared" si="68"/>
        <v>-32500</v>
      </c>
      <c r="BC406" s="168">
        <f t="shared" si="69"/>
        <v>-29250</v>
      </c>
      <c r="BD406" s="169">
        <v>50000</v>
      </c>
      <c r="BE406" s="169"/>
      <c r="BF406" s="168">
        <f t="shared" si="70"/>
        <v>-79250</v>
      </c>
      <c r="BG406" s="33"/>
      <c r="BH406" s="16"/>
      <c r="BI406" s="16"/>
    </row>
    <row r="407" spans="1:61" ht="16.5" customHeight="1">
      <c r="A407" s="36">
        <v>406</v>
      </c>
      <c r="B407" s="35"/>
      <c r="C407" s="33"/>
      <c r="D407" s="33"/>
      <c r="E407" s="33"/>
      <c r="F407" s="38"/>
      <c r="G407" s="38"/>
      <c r="H407" s="38"/>
      <c r="I407" s="38"/>
      <c r="J407" s="38"/>
      <c r="K407" s="38"/>
      <c r="L407" s="33"/>
      <c r="M407" s="33"/>
      <c r="N407" s="38"/>
      <c r="O407" s="33"/>
      <c r="P407" s="38"/>
      <c r="Q407" s="216"/>
      <c r="R407" s="158"/>
      <c r="S407" s="160"/>
      <c r="T407" s="159">
        <f t="shared" si="66"/>
        <v>0</v>
      </c>
      <c r="U407" s="30"/>
      <c r="V407" s="30"/>
      <c r="W407" s="30"/>
      <c r="X407" s="30"/>
      <c r="Y407" s="238"/>
      <c r="Z407" s="242"/>
      <c r="AA407" s="38"/>
      <c r="AB407" s="160"/>
      <c r="AC407" s="161"/>
      <c r="AD407" s="162"/>
      <c r="AE407" s="163"/>
      <c r="AF407" s="23">
        <f t="shared" si="71"/>
        <v>0</v>
      </c>
      <c r="AG407" s="161">
        <f t="shared" si="75"/>
        <v>0</v>
      </c>
      <c r="AH407" s="164">
        <f t="shared" si="67"/>
        <v>0</v>
      </c>
      <c r="AI407" s="37"/>
      <c r="AJ407" s="37"/>
      <c r="AK407" s="165"/>
      <c r="AL407" s="161"/>
      <c r="AM407" s="166"/>
      <c r="AN407" s="170"/>
      <c r="AO407" s="166"/>
      <c r="AP407" s="161"/>
      <c r="AQ407" s="161"/>
      <c r="AR407" s="161"/>
      <c r="AS407" s="167">
        <v>35000</v>
      </c>
      <c r="AT407" s="167">
        <v>30000</v>
      </c>
      <c r="AU407" s="167"/>
      <c r="AV407" s="167"/>
      <c r="AW407" s="171"/>
      <c r="AX407" s="167">
        <f t="shared" si="76"/>
        <v>65000</v>
      </c>
      <c r="AY407" s="168">
        <f t="shared" si="72"/>
        <v>-65000</v>
      </c>
      <c r="AZ407" s="168">
        <f t="shared" si="73"/>
        <v>-65000</v>
      </c>
      <c r="BA407" s="168">
        <f t="shared" si="74"/>
        <v>0</v>
      </c>
      <c r="BB407" s="168">
        <f t="shared" si="68"/>
        <v>-32500</v>
      </c>
      <c r="BC407" s="168">
        <f t="shared" si="69"/>
        <v>-29250</v>
      </c>
      <c r="BD407" s="169">
        <v>50000</v>
      </c>
      <c r="BE407" s="172"/>
      <c r="BF407" s="168">
        <f t="shared" si="70"/>
        <v>-79250</v>
      </c>
      <c r="BG407" s="33"/>
      <c r="BH407" s="16"/>
      <c r="BI407" s="16"/>
    </row>
    <row r="408" spans="1:61" ht="16.899999999999999">
      <c r="A408" s="36">
        <v>407</v>
      </c>
      <c r="B408" s="35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5"/>
      <c r="P408" s="33"/>
      <c r="Q408" s="33"/>
      <c r="R408" s="158"/>
      <c r="S408" s="158"/>
      <c r="T408" s="159">
        <f t="shared" si="66"/>
        <v>0</v>
      </c>
      <c r="U408" s="30"/>
      <c r="V408" s="30"/>
      <c r="W408" s="30"/>
      <c r="X408" s="30"/>
      <c r="Y408" s="238"/>
      <c r="Z408" s="242"/>
      <c r="AA408" s="33"/>
      <c r="AB408" s="160"/>
      <c r="AC408" s="161"/>
      <c r="AD408" s="162"/>
      <c r="AE408" s="163"/>
      <c r="AF408" s="23">
        <f t="shared" si="71"/>
        <v>0</v>
      </c>
      <c r="AG408" s="161">
        <f t="shared" si="75"/>
        <v>0</v>
      </c>
      <c r="AH408" s="164">
        <f t="shared" si="67"/>
        <v>0</v>
      </c>
      <c r="AI408" s="23"/>
      <c r="AJ408" s="23"/>
      <c r="AK408" s="165"/>
      <c r="AL408" s="161"/>
      <c r="AM408" s="166"/>
      <c r="AN408" s="161"/>
      <c r="AO408" s="166"/>
      <c r="AP408" s="161"/>
      <c r="AQ408" s="161"/>
      <c r="AR408" s="161"/>
      <c r="AS408" s="167">
        <v>35000</v>
      </c>
      <c r="AT408" s="167">
        <v>30000</v>
      </c>
      <c r="AU408" s="167"/>
      <c r="AV408" s="167"/>
      <c r="AW408" s="167"/>
      <c r="AX408" s="167">
        <f t="shared" si="76"/>
        <v>65000</v>
      </c>
      <c r="AY408" s="168">
        <f t="shared" si="72"/>
        <v>-65000</v>
      </c>
      <c r="AZ408" s="168">
        <f t="shared" si="73"/>
        <v>-65000</v>
      </c>
      <c r="BA408" s="168">
        <f t="shared" si="74"/>
        <v>0</v>
      </c>
      <c r="BB408" s="168">
        <f t="shared" si="68"/>
        <v>-32500</v>
      </c>
      <c r="BC408" s="168">
        <f t="shared" si="69"/>
        <v>-29250</v>
      </c>
      <c r="BD408" s="169">
        <v>50000</v>
      </c>
      <c r="BE408" s="169"/>
      <c r="BF408" s="168">
        <f t="shared" si="70"/>
        <v>-79250</v>
      </c>
      <c r="BG408" s="33"/>
      <c r="BH408" s="16"/>
      <c r="BI408" s="16"/>
    </row>
    <row r="409" spans="1:61" ht="16.899999999999999">
      <c r="A409" s="36">
        <v>408</v>
      </c>
      <c r="B409" s="35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5"/>
      <c r="P409" s="33"/>
      <c r="Q409" s="33"/>
      <c r="R409" s="158"/>
      <c r="S409" s="158"/>
      <c r="T409" s="159">
        <f t="shared" si="66"/>
        <v>0</v>
      </c>
      <c r="U409" s="30"/>
      <c r="V409" s="30"/>
      <c r="W409" s="30"/>
      <c r="X409" s="30"/>
      <c r="Y409" s="238"/>
      <c r="Z409" s="242"/>
      <c r="AA409" s="33"/>
      <c r="AB409" s="160"/>
      <c r="AC409" s="161"/>
      <c r="AD409" s="162"/>
      <c r="AE409" s="163"/>
      <c r="AF409" s="23">
        <f t="shared" si="71"/>
        <v>0</v>
      </c>
      <c r="AG409" s="161">
        <f t="shared" si="75"/>
        <v>0</v>
      </c>
      <c r="AH409" s="164">
        <f t="shared" si="67"/>
        <v>0</v>
      </c>
      <c r="AI409" s="23"/>
      <c r="AJ409" s="23"/>
      <c r="AK409" s="165"/>
      <c r="AL409" s="161"/>
      <c r="AM409" s="166"/>
      <c r="AN409" s="161"/>
      <c r="AO409" s="166"/>
      <c r="AP409" s="161"/>
      <c r="AQ409" s="161"/>
      <c r="AR409" s="161"/>
      <c r="AS409" s="167">
        <v>35000</v>
      </c>
      <c r="AT409" s="167">
        <v>30000</v>
      </c>
      <c r="AU409" s="167"/>
      <c r="AV409" s="167"/>
      <c r="AW409" s="167"/>
      <c r="AX409" s="167">
        <f t="shared" si="76"/>
        <v>65000</v>
      </c>
      <c r="AY409" s="168">
        <f t="shared" si="72"/>
        <v>-65000</v>
      </c>
      <c r="AZ409" s="168">
        <f t="shared" si="73"/>
        <v>-65000</v>
      </c>
      <c r="BA409" s="168">
        <f t="shared" si="74"/>
        <v>0</v>
      </c>
      <c r="BB409" s="168">
        <f t="shared" si="68"/>
        <v>-32500</v>
      </c>
      <c r="BC409" s="168">
        <f t="shared" si="69"/>
        <v>-29250</v>
      </c>
      <c r="BD409" s="169">
        <v>50000</v>
      </c>
      <c r="BE409" s="169"/>
      <c r="BF409" s="168">
        <f t="shared" si="70"/>
        <v>-79250</v>
      </c>
      <c r="BG409" s="33"/>
      <c r="BH409" s="16"/>
      <c r="BI409" s="16"/>
    </row>
    <row r="410" spans="1:61" s="6" customFormat="1" ht="16.899999999999999">
      <c r="A410" s="36">
        <v>409</v>
      </c>
      <c r="B410" s="35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5"/>
      <c r="P410" s="33"/>
      <c r="Q410" s="33"/>
      <c r="R410" s="158"/>
      <c r="S410" s="158"/>
      <c r="T410" s="159">
        <f t="shared" si="66"/>
        <v>0</v>
      </c>
      <c r="U410" s="30"/>
      <c r="V410" s="30"/>
      <c r="W410" s="30"/>
      <c r="X410" s="30"/>
      <c r="Y410" s="238"/>
      <c r="Z410" s="242"/>
      <c r="AA410" s="33"/>
      <c r="AB410" s="160"/>
      <c r="AC410" s="161"/>
      <c r="AD410" s="162"/>
      <c r="AE410" s="163"/>
      <c r="AF410" s="23">
        <f t="shared" si="71"/>
        <v>0</v>
      </c>
      <c r="AG410" s="161">
        <f t="shared" si="75"/>
        <v>0</v>
      </c>
      <c r="AH410" s="164">
        <f t="shared" si="67"/>
        <v>0</v>
      </c>
      <c r="AI410" s="23"/>
      <c r="AJ410" s="23"/>
      <c r="AK410" s="165"/>
      <c r="AL410" s="161"/>
      <c r="AM410" s="166"/>
      <c r="AN410" s="161"/>
      <c r="AO410" s="166"/>
      <c r="AP410" s="161"/>
      <c r="AQ410" s="161"/>
      <c r="AR410" s="161"/>
      <c r="AS410" s="167">
        <v>35000</v>
      </c>
      <c r="AT410" s="167">
        <v>30000</v>
      </c>
      <c r="AU410" s="167"/>
      <c r="AV410" s="167"/>
      <c r="AW410" s="167"/>
      <c r="AX410" s="167">
        <f t="shared" si="76"/>
        <v>65000</v>
      </c>
      <c r="AY410" s="168">
        <f t="shared" si="72"/>
        <v>-65000</v>
      </c>
      <c r="AZ410" s="168">
        <f t="shared" si="73"/>
        <v>-65000</v>
      </c>
      <c r="BA410" s="168">
        <f t="shared" si="74"/>
        <v>0</v>
      </c>
      <c r="BB410" s="168">
        <f t="shared" si="68"/>
        <v>-32500</v>
      </c>
      <c r="BC410" s="168">
        <f t="shared" si="69"/>
        <v>-29250</v>
      </c>
      <c r="BD410" s="169">
        <v>50000</v>
      </c>
      <c r="BE410" s="169"/>
      <c r="BF410" s="168">
        <f t="shared" si="70"/>
        <v>-79250</v>
      </c>
      <c r="BG410" s="33"/>
      <c r="BH410" s="15"/>
      <c r="BI410" s="15"/>
    </row>
    <row r="411" spans="1:61" s="6" customFormat="1" ht="16.899999999999999">
      <c r="A411" s="36">
        <v>410</v>
      </c>
      <c r="B411" s="35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5"/>
      <c r="P411" s="33"/>
      <c r="Q411" s="33"/>
      <c r="R411" s="158"/>
      <c r="S411" s="158"/>
      <c r="T411" s="159">
        <f t="shared" si="66"/>
        <v>0</v>
      </c>
      <c r="U411" s="30"/>
      <c r="V411" s="30"/>
      <c r="W411" s="30"/>
      <c r="X411" s="30"/>
      <c r="Y411" s="238"/>
      <c r="Z411" s="242"/>
      <c r="AA411" s="33"/>
      <c r="AB411" s="160"/>
      <c r="AC411" s="161"/>
      <c r="AD411" s="162"/>
      <c r="AE411" s="163"/>
      <c r="AF411" s="23">
        <f t="shared" si="71"/>
        <v>0</v>
      </c>
      <c r="AG411" s="161">
        <f t="shared" si="75"/>
        <v>0</v>
      </c>
      <c r="AH411" s="164">
        <f t="shared" si="67"/>
        <v>0</v>
      </c>
      <c r="AI411" s="23"/>
      <c r="AJ411" s="23"/>
      <c r="AK411" s="165"/>
      <c r="AL411" s="161"/>
      <c r="AM411" s="166"/>
      <c r="AN411" s="161"/>
      <c r="AO411" s="166"/>
      <c r="AP411" s="161"/>
      <c r="AQ411" s="161"/>
      <c r="AR411" s="161"/>
      <c r="AS411" s="167">
        <v>35000</v>
      </c>
      <c r="AT411" s="167">
        <v>30000</v>
      </c>
      <c r="AU411" s="167"/>
      <c r="AV411" s="167"/>
      <c r="AW411" s="167"/>
      <c r="AX411" s="167">
        <f t="shared" si="76"/>
        <v>65000</v>
      </c>
      <c r="AY411" s="168">
        <f t="shared" si="72"/>
        <v>-65000</v>
      </c>
      <c r="AZ411" s="168">
        <f t="shared" si="73"/>
        <v>-65000</v>
      </c>
      <c r="BA411" s="168">
        <f t="shared" si="74"/>
        <v>0</v>
      </c>
      <c r="BB411" s="168">
        <f t="shared" si="68"/>
        <v>-32500</v>
      </c>
      <c r="BC411" s="168">
        <f t="shared" si="69"/>
        <v>-29250</v>
      </c>
      <c r="BD411" s="169">
        <v>50000</v>
      </c>
      <c r="BE411" s="169"/>
      <c r="BF411" s="168">
        <f t="shared" si="70"/>
        <v>-79250</v>
      </c>
      <c r="BG411" s="33"/>
      <c r="BH411" s="15"/>
      <c r="BI411" s="15"/>
    </row>
    <row r="412" spans="1:61" s="6" customFormat="1" ht="16.899999999999999">
      <c r="A412" s="36">
        <v>411</v>
      </c>
      <c r="B412" s="35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5"/>
      <c r="P412" s="33"/>
      <c r="Q412" s="33"/>
      <c r="R412" s="158"/>
      <c r="S412" s="158"/>
      <c r="T412" s="159">
        <f>R412+S412</f>
        <v>0</v>
      </c>
      <c r="U412" s="30"/>
      <c r="V412" s="30"/>
      <c r="W412" s="30"/>
      <c r="X412" s="30"/>
      <c r="Y412" s="238"/>
      <c r="Z412" s="242"/>
      <c r="AA412" s="33"/>
      <c r="AB412" s="160"/>
      <c r="AC412" s="161"/>
      <c r="AD412" s="162"/>
      <c r="AE412" s="163"/>
      <c r="AF412" s="23">
        <f t="shared" si="71"/>
        <v>0</v>
      </c>
      <c r="AG412" s="161">
        <f t="shared" si="75"/>
        <v>0</v>
      </c>
      <c r="AH412" s="164">
        <f>SUM(AG412-AF412)</f>
        <v>0</v>
      </c>
      <c r="AI412" s="23"/>
      <c r="AJ412" s="23"/>
      <c r="AK412" s="165"/>
      <c r="AL412" s="161"/>
      <c r="AM412" s="166"/>
      <c r="AN412" s="161"/>
      <c r="AO412" s="166"/>
      <c r="AP412" s="161"/>
      <c r="AQ412" s="161"/>
      <c r="AR412" s="161"/>
      <c r="AS412" s="167">
        <v>35000</v>
      </c>
      <c r="AT412" s="167">
        <v>30000</v>
      </c>
      <c r="AU412" s="167"/>
      <c r="AV412" s="167"/>
      <c r="AW412" s="167"/>
      <c r="AX412" s="167">
        <f t="shared" si="76"/>
        <v>65000</v>
      </c>
      <c r="AY412" s="168">
        <f t="shared" si="72"/>
        <v>-65000</v>
      </c>
      <c r="AZ412" s="168">
        <f t="shared" si="73"/>
        <v>-65000</v>
      </c>
      <c r="BA412" s="168">
        <f t="shared" si="74"/>
        <v>0</v>
      </c>
      <c r="BB412" s="168">
        <f>SUM(AZ412:BA412)/2</f>
        <v>-32500</v>
      </c>
      <c r="BC412" s="168">
        <f>BB412-(BB412*10%)</f>
        <v>-29250</v>
      </c>
      <c r="BD412" s="169">
        <v>50000</v>
      </c>
      <c r="BE412" s="169"/>
      <c r="BF412" s="168">
        <f t="shared" si="70"/>
        <v>-79250</v>
      </c>
      <c r="BG412" s="33"/>
      <c r="BH412" s="15"/>
      <c r="BI412" s="15"/>
    </row>
    <row r="413" spans="1:61" s="6" customFormat="1" ht="16.899999999999999">
      <c r="A413" s="36">
        <v>412</v>
      </c>
      <c r="B413" s="35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5"/>
      <c r="P413" s="33"/>
      <c r="Q413" s="33"/>
      <c r="R413" s="158"/>
      <c r="S413" s="158"/>
      <c r="T413" s="159">
        <f>R413+S413</f>
        <v>0</v>
      </c>
      <c r="U413" s="30"/>
      <c r="V413" s="30"/>
      <c r="W413" s="30"/>
      <c r="X413" s="30"/>
      <c r="Y413" s="238"/>
      <c r="Z413" s="242"/>
      <c r="AA413" s="33"/>
      <c r="AB413" s="160"/>
      <c r="AC413" s="161"/>
      <c r="AD413" s="162"/>
      <c r="AE413" s="163"/>
      <c r="AF413" s="23">
        <f t="shared" si="71"/>
        <v>0</v>
      </c>
      <c r="AG413" s="161">
        <f t="shared" si="75"/>
        <v>0</v>
      </c>
      <c r="AH413" s="164">
        <f>SUM(AG413-AF413)</f>
        <v>0</v>
      </c>
      <c r="AI413" s="23"/>
      <c r="AJ413" s="23"/>
      <c r="AK413" s="165"/>
      <c r="AL413" s="161"/>
      <c r="AM413" s="166"/>
      <c r="AN413" s="161"/>
      <c r="AO413" s="166"/>
      <c r="AP413" s="161"/>
      <c r="AQ413" s="161"/>
      <c r="AR413" s="161"/>
      <c r="AS413" s="167">
        <v>35000</v>
      </c>
      <c r="AT413" s="167">
        <v>30000</v>
      </c>
      <c r="AU413" s="167"/>
      <c r="AV413" s="167"/>
      <c r="AW413" s="167"/>
      <c r="AX413" s="167">
        <f t="shared" si="76"/>
        <v>65000</v>
      </c>
      <c r="AY413" s="168">
        <f t="shared" si="72"/>
        <v>-65000</v>
      </c>
      <c r="AZ413" s="168">
        <f t="shared" si="73"/>
        <v>-65000</v>
      </c>
      <c r="BA413" s="168">
        <f t="shared" si="74"/>
        <v>0</v>
      </c>
      <c r="BB413" s="168">
        <f>SUM(AZ413:BA413)/2</f>
        <v>-32500</v>
      </c>
      <c r="BC413" s="168">
        <f>BB413-(BB413*10%)</f>
        <v>-29250</v>
      </c>
      <c r="BD413" s="169">
        <v>50000</v>
      </c>
      <c r="BE413" s="169"/>
      <c r="BF413" s="168">
        <f t="shared" si="70"/>
        <v>-79250</v>
      </c>
      <c r="BG413" s="33"/>
      <c r="BH413" s="15"/>
      <c r="BI413" s="15"/>
    </row>
    <row r="414" spans="1:61" s="6" customFormat="1" ht="16.899999999999999">
      <c r="A414" s="36">
        <v>413</v>
      </c>
      <c r="B414" s="35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5"/>
      <c r="P414" s="33"/>
      <c r="Q414" s="33"/>
      <c r="R414" s="158"/>
      <c r="S414" s="158"/>
      <c r="T414" s="159">
        <f>R414+S414</f>
        <v>0</v>
      </c>
      <c r="U414" s="30"/>
      <c r="V414" s="30"/>
      <c r="W414" s="30"/>
      <c r="X414" s="30"/>
      <c r="Y414" s="238"/>
      <c r="Z414" s="242"/>
      <c r="AA414" s="33"/>
      <c r="AB414" s="160"/>
      <c r="AC414" s="161"/>
      <c r="AD414" s="162"/>
      <c r="AE414" s="163"/>
      <c r="AF414" s="23">
        <f t="shared" si="71"/>
        <v>0</v>
      </c>
      <c r="AG414" s="161">
        <f t="shared" si="75"/>
        <v>0</v>
      </c>
      <c r="AH414" s="164">
        <f>SUM(AG414-AF414)</f>
        <v>0</v>
      </c>
      <c r="AI414" s="23"/>
      <c r="AJ414" s="23"/>
      <c r="AK414" s="165"/>
      <c r="AL414" s="161"/>
      <c r="AM414" s="166"/>
      <c r="AN414" s="161"/>
      <c r="AO414" s="166"/>
      <c r="AP414" s="161"/>
      <c r="AQ414" s="161"/>
      <c r="AR414" s="161"/>
      <c r="AS414" s="167">
        <v>35000</v>
      </c>
      <c r="AT414" s="167">
        <v>30000</v>
      </c>
      <c r="AU414" s="167"/>
      <c r="AV414" s="167"/>
      <c r="AW414" s="167"/>
      <c r="AX414" s="167">
        <f t="shared" si="76"/>
        <v>65000</v>
      </c>
      <c r="AY414" s="168">
        <f t="shared" si="72"/>
        <v>-65000</v>
      </c>
      <c r="AZ414" s="168">
        <f t="shared" si="73"/>
        <v>-65000</v>
      </c>
      <c r="BA414" s="168">
        <f t="shared" si="74"/>
        <v>0</v>
      </c>
      <c r="BB414" s="168">
        <f>SUM(AZ414:BA414)/2</f>
        <v>-32500</v>
      </c>
      <c r="BC414" s="168">
        <f>BB414-(BB414*10%)</f>
        <v>-29250</v>
      </c>
      <c r="BD414" s="169">
        <v>50000</v>
      </c>
      <c r="BE414" s="169"/>
      <c r="BF414" s="168">
        <f t="shared" si="70"/>
        <v>-79250</v>
      </c>
      <c r="BG414" s="33"/>
      <c r="BH414" s="15"/>
      <c r="BI414" s="15"/>
    </row>
    <row r="415" spans="1:61" s="6" customFormat="1" ht="16.899999999999999">
      <c r="A415" s="36">
        <v>414</v>
      </c>
      <c r="B415" s="35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5"/>
      <c r="P415" s="33"/>
      <c r="Q415" s="33"/>
      <c r="R415" s="158"/>
      <c r="S415" s="158"/>
      <c r="T415" s="159">
        <f>R415+S415</f>
        <v>0</v>
      </c>
      <c r="U415" s="30"/>
      <c r="V415" s="30"/>
      <c r="W415" s="30"/>
      <c r="X415" s="30"/>
      <c r="Y415" s="238"/>
      <c r="Z415" s="242"/>
      <c r="AA415" s="33"/>
      <c r="AB415" s="160"/>
      <c r="AC415" s="161"/>
      <c r="AD415" s="162"/>
      <c r="AE415" s="163"/>
      <c r="AF415" s="23">
        <f t="shared" si="71"/>
        <v>0</v>
      </c>
      <c r="AG415" s="161">
        <f t="shared" si="75"/>
        <v>0</v>
      </c>
      <c r="AH415" s="164">
        <f>SUM(AG415-AF415)</f>
        <v>0</v>
      </c>
      <c r="AI415" s="23"/>
      <c r="AJ415" s="23"/>
      <c r="AK415" s="165"/>
      <c r="AL415" s="161"/>
      <c r="AM415" s="166"/>
      <c r="AN415" s="161"/>
      <c r="AO415" s="166"/>
      <c r="AP415" s="161"/>
      <c r="AQ415" s="161"/>
      <c r="AR415" s="161"/>
      <c r="AS415" s="167">
        <v>35000</v>
      </c>
      <c r="AT415" s="167">
        <v>30000</v>
      </c>
      <c r="AU415" s="167"/>
      <c r="AV415" s="167"/>
      <c r="AW415" s="167"/>
      <c r="AX415" s="167">
        <f t="shared" si="76"/>
        <v>65000</v>
      </c>
      <c r="AY415" s="168">
        <f t="shared" si="72"/>
        <v>-65000</v>
      </c>
      <c r="AZ415" s="168">
        <f t="shared" si="73"/>
        <v>-65000</v>
      </c>
      <c r="BA415" s="168">
        <f t="shared" si="74"/>
        <v>0</v>
      </c>
      <c r="BB415" s="168">
        <f>SUM(AZ415:BA415)/2</f>
        <v>-32500</v>
      </c>
      <c r="BC415" s="168">
        <f>BB415-(BB415*10%)</f>
        <v>-29250</v>
      </c>
      <c r="BD415" s="169">
        <v>50000</v>
      </c>
      <c r="BE415" s="169"/>
      <c r="BF415" s="168">
        <f t="shared" si="70"/>
        <v>-79250</v>
      </c>
      <c r="BG415" s="33"/>
      <c r="BH415" s="15"/>
      <c r="BI415" s="15"/>
    </row>
    <row r="416" spans="1:61" s="6" customFormat="1" ht="16.899999999999999">
      <c r="A416" s="36">
        <v>415</v>
      </c>
      <c r="B416" s="35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5"/>
      <c r="P416" s="33"/>
      <c r="Q416" s="33"/>
      <c r="R416" s="158"/>
      <c r="S416" s="158"/>
      <c r="T416" s="159">
        <f>R416+S416</f>
        <v>0</v>
      </c>
      <c r="U416" s="30"/>
      <c r="V416" s="30"/>
      <c r="W416" s="30"/>
      <c r="X416" s="30"/>
      <c r="Y416" s="238"/>
      <c r="Z416" s="242"/>
      <c r="AA416" s="33"/>
      <c r="AB416" s="160"/>
      <c r="AC416" s="161"/>
      <c r="AD416" s="162"/>
      <c r="AE416" s="163"/>
      <c r="AF416" s="23">
        <f t="shared" si="71"/>
        <v>0</v>
      </c>
      <c r="AG416" s="161">
        <f t="shared" si="75"/>
        <v>0</v>
      </c>
      <c r="AH416" s="164">
        <f>SUM(AG416-AF416)</f>
        <v>0</v>
      </c>
      <c r="AI416" s="23"/>
      <c r="AJ416" s="23"/>
      <c r="AK416" s="165"/>
      <c r="AL416" s="161"/>
      <c r="AM416" s="166"/>
      <c r="AN416" s="161"/>
      <c r="AO416" s="166"/>
      <c r="AP416" s="161"/>
      <c r="AQ416" s="161"/>
      <c r="AR416" s="161"/>
      <c r="AS416" s="167">
        <v>35000</v>
      </c>
      <c r="AT416" s="167">
        <v>30000</v>
      </c>
      <c r="AU416" s="167"/>
      <c r="AV416" s="167"/>
      <c r="AW416" s="167"/>
      <c r="AX416" s="167">
        <f t="shared" si="76"/>
        <v>65000</v>
      </c>
      <c r="AY416" s="168">
        <f t="shared" si="72"/>
        <v>-65000</v>
      </c>
      <c r="AZ416" s="168">
        <f t="shared" si="73"/>
        <v>-65000</v>
      </c>
      <c r="BA416" s="168">
        <f t="shared" si="74"/>
        <v>0</v>
      </c>
      <c r="BB416" s="168">
        <f>SUM(AZ416:BA416)/2</f>
        <v>-32500</v>
      </c>
      <c r="BC416" s="168">
        <f>BB416-(BB416*10%)</f>
        <v>-29250</v>
      </c>
      <c r="BD416" s="169">
        <v>50000</v>
      </c>
      <c r="BE416" s="169"/>
      <c r="BF416" s="168">
        <f t="shared" si="70"/>
        <v>-79250</v>
      </c>
      <c r="BG416" s="33"/>
      <c r="BH416" s="15"/>
      <c r="BI416" s="15"/>
    </row>
    <row r="417" spans="1:59" ht="16.899999999999999">
      <c r="A417" s="36">
        <v>416</v>
      </c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Y417" s="239"/>
      <c r="Z417" s="243"/>
      <c r="AA417" s="101"/>
      <c r="AB417" s="101"/>
      <c r="AC417" s="174"/>
      <c r="AD417" s="174"/>
      <c r="AE417" s="101"/>
      <c r="AF417" s="175"/>
      <c r="AG417" s="174"/>
      <c r="AH417" s="174"/>
      <c r="AI417" s="173"/>
      <c r="AJ417" s="173"/>
      <c r="AK417" s="176"/>
      <c r="AL417" s="174"/>
      <c r="AM417" s="176"/>
      <c r="AN417" s="174"/>
      <c r="AO417" s="176"/>
      <c r="AP417" s="177"/>
      <c r="AQ417" s="174"/>
      <c r="AR417" s="174"/>
      <c r="AS417" s="173"/>
      <c r="AT417" s="173"/>
      <c r="AU417" s="173"/>
      <c r="AV417" s="173"/>
      <c r="AW417" s="173"/>
      <c r="AX417" s="173"/>
      <c r="AY417" s="173"/>
      <c r="AZ417" s="173"/>
      <c r="BA417" s="173"/>
      <c r="BB417" s="173"/>
      <c r="BC417" s="173"/>
      <c r="BD417" s="173"/>
      <c r="BE417" s="173"/>
      <c r="BF417" s="173"/>
      <c r="BG417" s="101"/>
    </row>
    <row r="418" spans="1:59" ht="16.899999999999999">
      <c r="A418" s="36">
        <v>417</v>
      </c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Y418" s="239"/>
      <c r="Z418" s="243"/>
      <c r="AA418" s="101"/>
      <c r="AB418" s="101"/>
      <c r="AC418" s="174"/>
      <c r="AD418" s="174"/>
      <c r="AE418" s="101"/>
      <c r="AF418" s="175"/>
      <c r="AG418" s="174"/>
      <c r="AH418" s="174"/>
      <c r="AI418" s="173"/>
      <c r="AJ418" s="173"/>
      <c r="AK418" s="176"/>
      <c r="AL418" s="174"/>
      <c r="AM418" s="176"/>
      <c r="AN418" s="174"/>
      <c r="AO418" s="176"/>
      <c r="AP418" s="174"/>
      <c r="AQ418" s="174"/>
      <c r="AR418" s="174"/>
      <c r="AS418" s="173"/>
      <c r="AT418" s="173"/>
      <c r="AU418" s="173"/>
      <c r="AV418" s="173"/>
      <c r="AW418" s="173"/>
      <c r="AX418" s="173"/>
      <c r="AY418" s="173"/>
      <c r="AZ418" s="173"/>
      <c r="BA418" s="173"/>
      <c r="BB418" s="173"/>
      <c r="BC418" s="173"/>
      <c r="BD418" s="173"/>
      <c r="BE418" s="173"/>
      <c r="BF418" s="173"/>
      <c r="BG418" s="101"/>
    </row>
    <row r="419" spans="1:59" ht="16.899999999999999">
      <c r="A419" s="36">
        <v>418</v>
      </c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Y419" s="239"/>
      <c r="Z419" s="243"/>
      <c r="AA419" s="101"/>
      <c r="AB419" s="101"/>
      <c r="AC419" s="174"/>
      <c r="AD419" s="174"/>
      <c r="AE419" s="101"/>
      <c r="AF419" s="175"/>
      <c r="AG419" s="174"/>
      <c r="AH419" s="174"/>
      <c r="AI419" s="173"/>
      <c r="AJ419" s="173"/>
      <c r="AK419" s="176"/>
      <c r="AL419" s="174"/>
      <c r="AM419" s="176"/>
      <c r="AN419" s="174"/>
      <c r="AO419" s="176"/>
      <c r="AP419" s="174"/>
      <c r="AQ419" s="174"/>
      <c r="AR419" s="174"/>
      <c r="AS419" s="173"/>
      <c r="AT419" s="173"/>
      <c r="AU419" s="173"/>
      <c r="AV419" s="173"/>
      <c r="AW419" s="173"/>
      <c r="AX419" s="173"/>
      <c r="AY419" s="173"/>
      <c r="AZ419" s="173"/>
      <c r="BA419" s="173"/>
      <c r="BB419" s="173"/>
      <c r="BC419" s="173"/>
      <c r="BD419" s="173"/>
      <c r="BE419" s="173"/>
      <c r="BF419" s="173"/>
      <c r="BG419" s="101"/>
    </row>
    <row r="420" spans="1:59" ht="16.899999999999999">
      <c r="A420" s="36">
        <v>419</v>
      </c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Y420" s="239"/>
      <c r="Z420" s="243"/>
      <c r="AA420" s="101"/>
      <c r="AB420" s="101"/>
      <c r="AC420" s="174"/>
      <c r="AD420" s="174"/>
      <c r="AE420" s="101"/>
      <c r="AF420" s="175"/>
      <c r="AG420" s="174"/>
      <c r="AH420" s="174"/>
      <c r="AI420" s="173"/>
      <c r="AJ420" s="173"/>
      <c r="AK420" s="176"/>
      <c r="AL420" s="174"/>
      <c r="AM420" s="176"/>
      <c r="AN420" s="174"/>
      <c r="AO420" s="176"/>
      <c r="AP420" s="174"/>
      <c r="AQ420" s="174"/>
      <c r="AR420" s="174"/>
      <c r="AS420" s="173"/>
      <c r="AT420" s="173"/>
      <c r="AU420" s="173"/>
      <c r="AV420" s="173"/>
      <c r="AW420" s="173"/>
      <c r="AX420" s="173"/>
      <c r="AY420" s="173"/>
      <c r="AZ420" s="173"/>
      <c r="BA420" s="173"/>
      <c r="BB420" s="173"/>
      <c r="BC420" s="173"/>
      <c r="BD420" s="173"/>
      <c r="BE420" s="173"/>
      <c r="BF420" s="173"/>
      <c r="BG420" s="101"/>
    </row>
    <row r="421" spans="1:59" ht="16.899999999999999">
      <c r="A421" s="36">
        <v>420</v>
      </c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Y421" s="239"/>
      <c r="Z421" s="243"/>
      <c r="AA421" s="101"/>
      <c r="AB421" s="101"/>
      <c r="AC421" s="174"/>
      <c r="AD421" s="174"/>
      <c r="AE421" s="101"/>
      <c r="AF421" s="175"/>
      <c r="AG421" s="174"/>
      <c r="AH421" s="174"/>
      <c r="AI421" s="173"/>
      <c r="AJ421" s="173"/>
      <c r="AK421" s="176"/>
      <c r="AL421" s="174"/>
      <c r="AM421" s="176"/>
      <c r="AN421" s="174"/>
      <c r="AO421" s="176"/>
      <c r="AP421" s="174"/>
      <c r="AQ421" s="174"/>
      <c r="AR421" s="174"/>
      <c r="AS421" s="173"/>
      <c r="AT421" s="173"/>
      <c r="AU421" s="173"/>
      <c r="AV421" s="173"/>
      <c r="AW421" s="173"/>
      <c r="AX421" s="173"/>
      <c r="AY421" s="173"/>
      <c r="AZ421" s="173"/>
      <c r="BA421" s="173"/>
      <c r="BB421" s="173"/>
      <c r="BC421" s="173"/>
      <c r="BD421" s="173"/>
      <c r="BE421" s="173"/>
      <c r="BF421" s="173"/>
      <c r="BG421" s="101"/>
    </row>
    <row r="422" spans="1:59" ht="16.899999999999999">
      <c r="A422" s="36">
        <v>421</v>
      </c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Y422" s="239"/>
      <c r="Z422" s="243"/>
      <c r="AA422" s="101"/>
      <c r="AB422" s="101"/>
      <c r="AC422" s="174"/>
      <c r="AD422" s="174"/>
      <c r="AE422" s="101"/>
      <c r="AF422" s="174"/>
      <c r="AG422" s="174"/>
      <c r="AH422" s="174"/>
      <c r="AI422" s="173"/>
      <c r="AJ422" s="173"/>
      <c r="AK422" s="176"/>
      <c r="AL422" s="174"/>
      <c r="AM422" s="176"/>
      <c r="AN422" s="174"/>
      <c r="AO422" s="176"/>
      <c r="AP422" s="174"/>
      <c r="AQ422" s="174"/>
      <c r="AR422" s="174"/>
      <c r="AS422" s="173"/>
      <c r="AT422" s="173"/>
      <c r="AU422" s="173"/>
      <c r="AV422" s="173"/>
      <c r="AW422" s="173"/>
      <c r="AX422" s="173"/>
      <c r="AY422" s="173"/>
      <c r="AZ422" s="173"/>
      <c r="BA422" s="173"/>
      <c r="BB422" s="173"/>
      <c r="BC422" s="173"/>
      <c r="BD422" s="173"/>
      <c r="BE422" s="173"/>
      <c r="BF422" s="173"/>
      <c r="BG422" s="101"/>
    </row>
    <row r="423" spans="1:59" ht="16.899999999999999">
      <c r="A423" s="36">
        <v>422</v>
      </c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Y423" s="239"/>
      <c r="Z423" s="243"/>
      <c r="AA423" s="101"/>
      <c r="AB423" s="101"/>
      <c r="AC423" s="174"/>
      <c r="AD423" s="174"/>
      <c r="AE423" s="101"/>
      <c r="AF423" s="174"/>
      <c r="AG423" s="174"/>
      <c r="AH423" s="174"/>
      <c r="AI423" s="173"/>
      <c r="AJ423" s="173"/>
      <c r="AK423" s="176"/>
      <c r="AL423" s="174"/>
      <c r="AM423" s="176"/>
      <c r="AN423" s="174"/>
      <c r="AO423" s="176"/>
      <c r="AP423" s="174"/>
      <c r="AQ423" s="174"/>
      <c r="AR423" s="174"/>
      <c r="AS423" s="173"/>
      <c r="AT423" s="173"/>
      <c r="AU423" s="173"/>
      <c r="AV423" s="173"/>
      <c r="AW423" s="173"/>
      <c r="AX423" s="173"/>
      <c r="AY423" s="173"/>
      <c r="AZ423" s="173"/>
      <c r="BA423" s="173"/>
      <c r="BB423" s="173"/>
      <c r="BC423" s="173"/>
      <c r="BD423" s="173"/>
      <c r="BE423" s="173"/>
      <c r="BF423" s="173"/>
      <c r="BG423" s="101"/>
    </row>
    <row r="424" spans="1:59" ht="16.899999999999999">
      <c r="A424" s="36">
        <v>423</v>
      </c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Y424" s="239"/>
      <c r="Z424" s="243"/>
      <c r="AA424" s="101"/>
      <c r="AB424" s="101"/>
      <c r="AC424" s="174"/>
      <c r="AD424" s="174"/>
      <c r="AE424" s="101"/>
      <c r="AF424" s="174"/>
      <c r="AG424" s="174"/>
      <c r="AH424" s="174"/>
      <c r="AI424" s="173"/>
      <c r="AJ424" s="173"/>
      <c r="AK424" s="176"/>
      <c r="AL424" s="174"/>
      <c r="AM424" s="176"/>
      <c r="AN424" s="174"/>
      <c r="AO424" s="176"/>
      <c r="AP424" s="174"/>
      <c r="AQ424" s="174"/>
      <c r="AR424" s="174"/>
      <c r="AS424" s="173"/>
      <c r="AT424" s="173"/>
      <c r="AU424" s="173"/>
      <c r="AV424" s="173"/>
      <c r="AW424" s="173"/>
      <c r="AX424" s="173"/>
      <c r="AY424" s="173"/>
      <c r="AZ424" s="173"/>
      <c r="BA424" s="173"/>
      <c r="BB424" s="173"/>
      <c r="BC424" s="173"/>
      <c r="BD424" s="173"/>
      <c r="BE424" s="173"/>
      <c r="BF424" s="173"/>
      <c r="BG424" s="101"/>
    </row>
    <row r="425" spans="1:59" ht="16.899999999999999">
      <c r="A425" s="36">
        <v>424</v>
      </c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Y425" s="239"/>
      <c r="Z425" s="243"/>
      <c r="AA425" s="101"/>
      <c r="AB425" s="101"/>
      <c r="AC425" s="174"/>
      <c r="AD425" s="174"/>
      <c r="AE425" s="101"/>
      <c r="AF425" s="174"/>
      <c r="AG425" s="174"/>
      <c r="AH425" s="174"/>
      <c r="AI425" s="173"/>
      <c r="AJ425" s="173"/>
      <c r="AK425" s="176"/>
      <c r="AL425" s="174"/>
      <c r="AM425" s="176"/>
      <c r="AN425" s="174"/>
      <c r="AO425" s="176"/>
      <c r="AP425" s="174"/>
      <c r="AQ425" s="174"/>
      <c r="AR425" s="174"/>
      <c r="AS425" s="173"/>
      <c r="AT425" s="173"/>
      <c r="AU425" s="173"/>
      <c r="AV425" s="173"/>
      <c r="AW425" s="173"/>
      <c r="AX425" s="173"/>
      <c r="AY425" s="173"/>
      <c r="AZ425" s="173"/>
      <c r="BA425" s="173"/>
      <c r="BB425" s="173"/>
      <c r="BC425" s="173"/>
      <c r="BD425" s="173"/>
      <c r="BE425" s="173"/>
      <c r="BF425" s="173"/>
      <c r="BG425" s="101"/>
    </row>
    <row r="426" spans="1:59" ht="16.899999999999999">
      <c r="A426" s="36">
        <v>425</v>
      </c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Y426" s="239"/>
      <c r="Z426" s="243"/>
      <c r="AA426" s="101"/>
      <c r="AB426" s="101"/>
      <c r="AC426" s="174"/>
      <c r="AD426" s="174"/>
      <c r="AE426" s="101"/>
      <c r="AF426" s="174"/>
      <c r="AG426" s="174"/>
      <c r="AH426" s="174"/>
      <c r="AI426" s="173"/>
      <c r="AJ426" s="173"/>
      <c r="AK426" s="176"/>
      <c r="AL426" s="174"/>
      <c r="AM426" s="176"/>
      <c r="AN426" s="174"/>
      <c r="AO426" s="176"/>
      <c r="AP426" s="174"/>
      <c r="AQ426" s="174"/>
      <c r="AR426" s="174"/>
      <c r="AS426" s="173"/>
      <c r="AT426" s="173"/>
      <c r="AU426" s="173"/>
      <c r="AV426" s="173"/>
      <c r="AW426" s="173"/>
      <c r="AX426" s="173"/>
      <c r="AY426" s="173"/>
      <c r="AZ426" s="173"/>
      <c r="BA426" s="173"/>
      <c r="BB426" s="173"/>
      <c r="BC426" s="173"/>
      <c r="BD426" s="173"/>
      <c r="BE426" s="173"/>
      <c r="BF426" s="173"/>
      <c r="BG426" s="101"/>
    </row>
    <row r="427" spans="1:59" ht="16.899999999999999">
      <c r="A427" s="36">
        <v>426</v>
      </c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Y427" s="239"/>
      <c r="Z427" s="243"/>
      <c r="AA427" s="101"/>
      <c r="AB427" s="101"/>
      <c r="AC427" s="174"/>
      <c r="AD427" s="174"/>
      <c r="AE427" s="101"/>
      <c r="AF427" s="174"/>
      <c r="AG427" s="174"/>
      <c r="AH427" s="174"/>
      <c r="AI427" s="173"/>
      <c r="AJ427" s="173"/>
      <c r="AK427" s="176"/>
      <c r="AL427" s="174"/>
      <c r="AM427" s="176"/>
      <c r="AN427" s="174"/>
      <c r="AO427" s="176"/>
      <c r="AP427" s="174"/>
      <c r="AQ427" s="174"/>
      <c r="AR427" s="174"/>
      <c r="AS427" s="173"/>
      <c r="AT427" s="173"/>
      <c r="AU427" s="173"/>
      <c r="AV427" s="173"/>
      <c r="AW427" s="173"/>
      <c r="AX427" s="173"/>
      <c r="AY427" s="173"/>
      <c r="AZ427" s="173"/>
      <c r="BA427" s="173"/>
      <c r="BB427" s="173"/>
      <c r="BC427" s="173"/>
      <c r="BD427" s="173"/>
      <c r="BE427" s="173"/>
      <c r="BF427" s="173"/>
      <c r="BG427" s="101"/>
    </row>
    <row r="428" spans="1:59" ht="16.899999999999999">
      <c r="A428" s="36">
        <v>427</v>
      </c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Y428" s="239"/>
      <c r="Z428" s="243"/>
      <c r="AA428" s="101"/>
      <c r="AB428" s="101"/>
      <c r="AC428" s="174"/>
      <c r="AD428" s="174"/>
      <c r="AE428" s="101"/>
      <c r="AF428" s="174"/>
      <c r="AG428" s="174"/>
      <c r="AH428" s="174"/>
      <c r="AI428" s="173"/>
      <c r="AJ428" s="173"/>
      <c r="AK428" s="176"/>
      <c r="AL428" s="174"/>
      <c r="AM428" s="176"/>
      <c r="AN428" s="174"/>
      <c r="AO428" s="176"/>
      <c r="AP428" s="174"/>
      <c r="AQ428" s="174"/>
      <c r="AR428" s="174"/>
      <c r="AS428" s="173"/>
      <c r="AT428" s="173"/>
      <c r="AU428" s="173"/>
      <c r="AV428" s="173"/>
      <c r="AW428" s="173"/>
      <c r="AX428" s="173"/>
      <c r="AY428" s="173"/>
      <c r="AZ428" s="173"/>
      <c r="BA428" s="173"/>
      <c r="BB428" s="173"/>
      <c r="BC428" s="173"/>
      <c r="BD428" s="173"/>
      <c r="BE428" s="173"/>
      <c r="BF428" s="173"/>
      <c r="BG428" s="101"/>
    </row>
    <row r="429" spans="1:59" ht="16.899999999999999">
      <c r="A429" s="36">
        <v>428</v>
      </c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Y429" s="239"/>
      <c r="Z429" s="243"/>
      <c r="AA429" s="101"/>
      <c r="AB429" s="101"/>
      <c r="AC429" s="174"/>
      <c r="AD429" s="174"/>
      <c r="AE429" s="101"/>
      <c r="AF429" s="174"/>
      <c r="AG429" s="174"/>
      <c r="AH429" s="174"/>
      <c r="AI429" s="173"/>
      <c r="AJ429" s="173"/>
      <c r="AK429" s="176"/>
      <c r="AL429" s="174"/>
      <c r="AM429" s="176"/>
      <c r="AN429" s="174"/>
      <c r="AO429" s="176"/>
      <c r="AP429" s="174"/>
      <c r="AQ429" s="174"/>
      <c r="AR429" s="174"/>
      <c r="AS429" s="173"/>
      <c r="AT429" s="173"/>
      <c r="AU429" s="173"/>
      <c r="AV429" s="173"/>
      <c r="AW429" s="173"/>
      <c r="AX429" s="173"/>
      <c r="AY429" s="173"/>
      <c r="AZ429" s="173"/>
      <c r="BA429" s="173"/>
      <c r="BB429" s="173"/>
      <c r="BC429" s="173"/>
      <c r="BD429" s="173"/>
      <c r="BE429" s="173"/>
      <c r="BF429" s="173"/>
      <c r="BG429" s="101"/>
    </row>
    <row r="430" spans="1:59" ht="16.899999999999999">
      <c r="A430" s="36">
        <v>429</v>
      </c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Y430" s="239"/>
      <c r="Z430" s="243"/>
      <c r="AA430" s="101"/>
      <c r="AB430" s="101"/>
      <c r="AC430" s="174"/>
      <c r="AD430" s="174"/>
      <c r="AE430" s="101"/>
      <c r="AF430" s="174"/>
      <c r="AG430" s="174"/>
      <c r="AH430" s="174"/>
      <c r="AI430" s="173"/>
      <c r="AJ430" s="173"/>
      <c r="AK430" s="176"/>
      <c r="AL430" s="174"/>
      <c r="AM430" s="176"/>
      <c r="AN430" s="174"/>
      <c r="AO430" s="176"/>
      <c r="AP430" s="174"/>
      <c r="AQ430" s="174"/>
      <c r="AR430" s="174"/>
      <c r="AS430" s="173"/>
      <c r="AT430" s="173"/>
      <c r="AU430" s="173"/>
      <c r="AV430" s="173"/>
      <c r="AW430" s="173"/>
      <c r="AX430" s="173"/>
      <c r="AY430" s="173"/>
      <c r="AZ430" s="173"/>
      <c r="BA430" s="173"/>
      <c r="BB430" s="173"/>
      <c r="BC430" s="173"/>
      <c r="BD430" s="173"/>
      <c r="BE430" s="173"/>
      <c r="BF430" s="173"/>
      <c r="BG430" s="101"/>
    </row>
    <row r="431" spans="1:59" ht="16.899999999999999">
      <c r="A431" s="36">
        <v>430</v>
      </c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Y431" s="239"/>
      <c r="Z431" s="243"/>
      <c r="AA431" s="101"/>
      <c r="AB431" s="101"/>
      <c r="AC431" s="174"/>
      <c r="AD431" s="174"/>
      <c r="AE431" s="101"/>
      <c r="AF431" s="174"/>
      <c r="AG431" s="174"/>
      <c r="AH431" s="174"/>
      <c r="AI431" s="173"/>
      <c r="AJ431" s="173"/>
      <c r="AK431" s="176"/>
      <c r="AL431" s="174"/>
      <c r="AM431" s="176"/>
      <c r="AN431" s="174"/>
      <c r="AO431" s="176"/>
      <c r="AP431" s="174"/>
      <c r="AQ431" s="174"/>
      <c r="AR431" s="174"/>
      <c r="AS431" s="173"/>
      <c r="AT431" s="173"/>
      <c r="AU431" s="173"/>
      <c r="AV431" s="173"/>
      <c r="AW431" s="173"/>
      <c r="AX431" s="173"/>
      <c r="AY431" s="173"/>
      <c r="AZ431" s="173"/>
      <c r="BA431" s="173"/>
      <c r="BB431" s="173"/>
      <c r="BC431" s="173"/>
      <c r="BD431" s="173"/>
      <c r="BE431" s="173"/>
      <c r="BF431" s="173"/>
      <c r="BG431" s="101"/>
    </row>
    <row r="432" spans="1:59" ht="16.899999999999999">
      <c r="A432" s="36">
        <v>431</v>
      </c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Y432" s="239"/>
      <c r="Z432" s="243"/>
      <c r="AA432" s="101"/>
      <c r="AB432" s="101"/>
      <c r="AC432" s="174"/>
      <c r="AD432" s="174"/>
      <c r="AE432" s="101"/>
      <c r="AF432" s="174"/>
      <c r="AG432" s="174"/>
      <c r="AH432" s="174"/>
      <c r="AI432" s="173"/>
      <c r="AJ432" s="173"/>
      <c r="AK432" s="176"/>
      <c r="AL432" s="174"/>
      <c r="AM432" s="176"/>
      <c r="AN432" s="174"/>
      <c r="AO432" s="176"/>
      <c r="AP432" s="174"/>
      <c r="AQ432" s="174"/>
      <c r="AR432" s="174"/>
      <c r="AS432" s="173"/>
      <c r="AT432" s="173"/>
      <c r="AU432" s="173"/>
      <c r="AV432" s="173"/>
      <c r="AW432" s="173"/>
      <c r="AX432" s="173"/>
      <c r="AY432" s="173"/>
      <c r="AZ432" s="173"/>
      <c r="BA432" s="173"/>
      <c r="BB432" s="173"/>
      <c r="BC432" s="173"/>
      <c r="BD432" s="173"/>
      <c r="BE432" s="173"/>
      <c r="BF432" s="173"/>
      <c r="BG432" s="101"/>
    </row>
    <row r="433" spans="1:59" ht="16.899999999999999">
      <c r="A433" s="36">
        <v>432</v>
      </c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Y433" s="239"/>
      <c r="Z433" s="243"/>
      <c r="AA433" s="101"/>
      <c r="AB433" s="101"/>
      <c r="AC433" s="174"/>
      <c r="AD433" s="174"/>
      <c r="AE433" s="101"/>
      <c r="AF433" s="174"/>
      <c r="AG433" s="174"/>
      <c r="AH433" s="174"/>
      <c r="AI433" s="173"/>
      <c r="AJ433" s="173"/>
      <c r="AK433" s="176"/>
      <c r="AL433" s="174"/>
      <c r="AM433" s="176"/>
      <c r="AN433" s="174"/>
      <c r="AO433" s="176"/>
      <c r="AP433" s="174"/>
      <c r="AQ433" s="174"/>
      <c r="AR433" s="174"/>
      <c r="AS433" s="173"/>
      <c r="AT433" s="173"/>
      <c r="AU433" s="173"/>
      <c r="AV433" s="173"/>
      <c r="AW433" s="173"/>
      <c r="AX433" s="173"/>
      <c r="AY433" s="173"/>
      <c r="AZ433" s="173"/>
      <c r="BA433" s="173"/>
      <c r="BB433" s="173"/>
      <c r="BC433" s="173"/>
      <c r="BD433" s="173"/>
      <c r="BE433" s="173"/>
      <c r="BF433" s="173"/>
      <c r="BG433" s="101"/>
    </row>
    <row r="434" spans="1:59" ht="16.899999999999999">
      <c r="A434" s="36">
        <v>433</v>
      </c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Y434" s="239"/>
      <c r="Z434" s="243"/>
      <c r="AA434" s="101"/>
      <c r="AB434" s="101"/>
      <c r="AC434" s="174"/>
      <c r="AD434" s="174"/>
      <c r="AE434" s="101"/>
      <c r="AF434" s="174"/>
      <c r="AG434" s="174"/>
      <c r="AH434" s="174"/>
      <c r="AI434" s="173"/>
      <c r="AJ434" s="173"/>
      <c r="AK434" s="176"/>
      <c r="AL434" s="174"/>
      <c r="AM434" s="176"/>
      <c r="AN434" s="174"/>
      <c r="AO434" s="176"/>
      <c r="AP434" s="174"/>
      <c r="AQ434" s="174"/>
      <c r="AR434" s="174"/>
      <c r="AS434" s="173"/>
      <c r="AT434" s="173"/>
      <c r="AU434" s="173"/>
      <c r="AV434" s="173"/>
      <c r="AW434" s="173"/>
      <c r="AX434" s="173"/>
      <c r="AY434" s="173"/>
      <c r="AZ434" s="173"/>
      <c r="BA434" s="173"/>
      <c r="BB434" s="173"/>
      <c r="BC434" s="173"/>
      <c r="BD434" s="173"/>
      <c r="BE434" s="173"/>
      <c r="BF434" s="173"/>
      <c r="BG434" s="101"/>
    </row>
    <row r="435" spans="1:59" ht="16.899999999999999">
      <c r="A435" s="36">
        <v>434</v>
      </c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Y435" s="239"/>
      <c r="Z435" s="243"/>
      <c r="AA435" s="101"/>
      <c r="AB435" s="101"/>
      <c r="AC435" s="174"/>
      <c r="AD435" s="174"/>
      <c r="AE435" s="101"/>
      <c r="AF435" s="174"/>
      <c r="AG435" s="174"/>
      <c r="AH435" s="174"/>
      <c r="AI435" s="173"/>
      <c r="AJ435" s="173"/>
      <c r="AK435" s="176"/>
      <c r="AL435" s="174"/>
      <c r="AM435" s="176"/>
      <c r="AN435" s="174"/>
      <c r="AO435" s="176"/>
      <c r="AP435" s="174"/>
      <c r="AQ435" s="174"/>
      <c r="AR435" s="174"/>
      <c r="AS435" s="173"/>
      <c r="AT435" s="173"/>
      <c r="AU435" s="173"/>
      <c r="AV435" s="173"/>
      <c r="AW435" s="173"/>
      <c r="AX435" s="173"/>
      <c r="AY435" s="173"/>
      <c r="AZ435" s="173"/>
      <c r="BA435" s="173"/>
      <c r="BB435" s="173"/>
      <c r="BC435" s="173"/>
      <c r="BD435" s="173"/>
      <c r="BE435" s="173"/>
      <c r="BF435" s="173"/>
      <c r="BG435" s="101"/>
    </row>
    <row r="436" spans="1:59" ht="16.899999999999999">
      <c r="A436" s="36">
        <v>435</v>
      </c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Y436" s="239"/>
      <c r="Z436" s="243"/>
      <c r="AA436" s="101"/>
      <c r="AB436" s="101"/>
      <c r="AC436" s="174"/>
      <c r="AD436" s="174"/>
      <c r="AE436" s="101"/>
      <c r="AF436" s="174"/>
      <c r="AG436" s="174"/>
      <c r="AH436" s="174"/>
      <c r="AI436" s="173"/>
      <c r="AJ436" s="173"/>
      <c r="AK436" s="176"/>
      <c r="AL436" s="174"/>
      <c r="AM436" s="176"/>
      <c r="AN436" s="174"/>
      <c r="AO436" s="176"/>
      <c r="AP436" s="174"/>
      <c r="AQ436" s="174"/>
      <c r="AR436" s="174"/>
      <c r="AS436" s="173"/>
      <c r="AT436" s="173"/>
      <c r="AU436" s="173"/>
      <c r="AV436" s="173"/>
      <c r="AW436" s="173"/>
      <c r="AX436" s="173"/>
      <c r="AY436" s="173"/>
      <c r="AZ436" s="173"/>
      <c r="BA436" s="173"/>
      <c r="BB436" s="173"/>
      <c r="BC436" s="173"/>
      <c r="BD436" s="173"/>
      <c r="BE436" s="173"/>
      <c r="BF436" s="173"/>
      <c r="BG436" s="101"/>
    </row>
    <row r="437" spans="1:59" ht="16.899999999999999">
      <c r="A437" s="36">
        <v>436</v>
      </c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Y437" s="239"/>
      <c r="Z437" s="243"/>
      <c r="AA437" s="101"/>
      <c r="AB437" s="101"/>
      <c r="AC437" s="174"/>
      <c r="AD437" s="174"/>
      <c r="AE437" s="101"/>
      <c r="AF437" s="174"/>
      <c r="AG437" s="174"/>
      <c r="AH437" s="174"/>
      <c r="AI437" s="173"/>
      <c r="AJ437" s="173"/>
      <c r="AK437" s="176"/>
      <c r="AL437" s="174"/>
      <c r="AM437" s="176"/>
      <c r="AN437" s="174"/>
      <c r="AO437" s="176"/>
      <c r="AP437" s="174"/>
      <c r="AQ437" s="174"/>
      <c r="AR437" s="174"/>
      <c r="AS437" s="173"/>
      <c r="AT437" s="173"/>
      <c r="AU437" s="173"/>
      <c r="AV437" s="173"/>
      <c r="AW437" s="173"/>
      <c r="AX437" s="173"/>
      <c r="AY437" s="173"/>
      <c r="AZ437" s="173"/>
      <c r="BA437" s="173"/>
      <c r="BB437" s="173"/>
      <c r="BC437" s="173"/>
      <c r="BD437" s="173"/>
      <c r="BE437" s="173"/>
      <c r="BF437" s="173"/>
      <c r="BG437" s="101"/>
    </row>
    <row r="438" spans="1:59" ht="16.899999999999999">
      <c r="A438" s="36">
        <v>437</v>
      </c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Y438" s="239"/>
      <c r="Z438" s="243"/>
      <c r="AA438" s="101"/>
      <c r="AB438" s="101"/>
      <c r="AC438" s="174"/>
      <c r="AD438" s="174"/>
      <c r="AE438" s="101"/>
      <c r="AF438" s="174"/>
      <c r="AG438" s="174"/>
      <c r="AH438" s="174"/>
      <c r="AI438" s="173"/>
      <c r="AJ438" s="173"/>
      <c r="AK438" s="176"/>
      <c r="AL438" s="174"/>
      <c r="AM438" s="176"/>
      <c r="AN438" s="174"/>
      <c r="AO438" s="176"/>
      <c r="AP438" s="174"/>
      <c r="AQ438" s="174"/>
      <c r="AR438" s="174"/>
      <c r="AS438" s="173"/>
      <c r="AT438" s="173"/>
      <c r="AU438" s="173"/>
      <c r="AV438" s="173"/>
      <c r="AW438" s="173"/>
      <c r="AX438" s="173"/>
      <c r="AY438" s="173"/>
      <c r="AZ438" s="173"/>
      <c r="BA438" s="173"/>
      <c r="BB438" s="173"/>
      <c r="BC438" s="173"/>
      <c r="BD438" s="173"/>
      <c r="BE438" s="173"/>
      <c r="BF438" s="173"/>
      <c r="BG438" s="101"/>
    </row>
    <row r="439" spans="1:59" ht="16.899999999999999">
      <c r="A439" s="36">
        <v>438</v>
      </c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Y439" s="239"/>
      <c r="Z439" s="243"/>
      <c r="AA439" s="101"/>
      <c r="AB439" s="101"/>
      <c r="AC439" s="174"/>
      <c r="AD439" s="174"/>
      <c r="AE439" s="101"/>
      <c r="AF439" s="174"/>
      <c r="AG439" s="174"/>
      <c r="AH439" s="174"/>
      <c r="AI439" s="173"/>
      <c r="AJ439" s="173"/>
      <c r="AK439" s="176"/>
      <c r="AL439" s="174"/>
      <c r="AM439" s="176"/>
      <c r="AN439" s="174"/>
      <c r="AO439" s="176"/>
      <c r="AP439" s="174"/>
      <c r="AQ439" s="174"/>
      <c r="AR439" s="174"/>
      <c r="AS439" s="173"/>
      <c r="AT439" s="173"/>
      <c r="AU439" s="173"/>
      <c r="AV439" s="173"/>
      <c r="AW439" s="173"/>
      <c r="AX439" s="173"/>
      <c r="AY439" s="173"/>
      <c r="AZ439" s="173"/>
      <c r="BA439" s="173"/>
      <c r="BB439" s="173"/>
      <c r="BC439" s="173"/>
      <c r="BD439" s="173"/>
      <c r="BE439" s="173"/>
      <c r="BF439" s="173"/>
      <c r="BG439" s="101"/>
    </row>
    <row r="440" spans="1:59" ht="16.899999999999999">
      <c r="A440" s="36">
        <v>439</v>
      </c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Y440" s="239"/>
      <c r="Z440" s="243"/>
      <c r="AA440" s="101"/>
      <c r="AB440" s="101"/>
      <c r="AC440" s="174"/>
      <c r="AD440" s="174"/>
      <c r="AE440" s="101"/>
      <c r="AF440" s="174"/>
      <c r="AG440" s="174"/>
      <c r="AH440" s="174"/>
      <c r="AI440" s="173"/>
      <c r="AJ440" s="173"/>
      <c r="AK440" s="176"/>
      <c r="AL440" s="174"/>
      <c r="AM440" s="176"/>
      <c r="AN440" s="174"/>
      <c r="AO440" s="176"/>
      <c r="AP440" s="174"/>
      <c r="AQ440" s="174"/>
      <c r="AR440" s="174"/>
      <c r="AS440" s="173"/>
      <c r="AT440" s="173"/>
      <c r="AU440" s="173"/>
      <c r="AV440" s="173"/>
      <c r="AW440" s="173"/>
      <c r="AX440" s="173"/>
      <c r="AY440" s="173"/>
      <c r="AZ440" s="173"/>
      <c r="BA440" s="173"/>
      <c r="BB440" s="173"/>
      <c r="BC440" s="173"/>
      <c r="BD440" s="173"/>
      <c r="BE440" s="173"/>
      <c r="BF440" s="173"/>
      <c r="BG440" s="101"/>
    </row>
    <row r="441" spans="1:59" ht="16.899999999999999">
      <c r="A441" s="36">
        <v>440</v>
      </c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Y441" s="239"/>
      <c r="Z441" s="243"/>
      <c r="AA441" s="101"/>
      <c r="AB441" s="101"/>
      <c r="AC441" s="174"/>
      <c r="AD441" s="174"/>
      <c r="AE441" s="101"/>
      <c r="AF441" s="174"/>
      <c r="AG441" s="174"/>
      <c r="AH441" s="174"/>
      <c r="AI441" s="173"/>
      <c r="AJ441" s="173"/>
      <c r="AK441" s="176"/>
      <c r="AL441" s="174"/>
      <c r="AM441" s="176"/>
      <c r="AN441" s="174"/>
      <c r="AO441" s="176"/>
      <c r="AP441" s="174"/>
      <c r="AQ441" s="174"/>
      <c r="AR441" s="174"/>
      <c r="AS441" s="173"/>
      <c r="AT441" s="173"/>
      <c r="AU441" s="173"/>
      <c r="AV441" s="173"/>
      <c r="AW441" s="173"/>
      <c r="AX441" s="173"/>
      <c r="AY441" s="173"/>
      <c r="AZ441" s="173"/>
      <c r="BA441" s="173"/>
      <c r="BB441" s="173"/>
      <c r="BC441" s="173"/>
      <c r="BD441" s="173"/>
      <c r="BE441" s="173"/>
      <c r="BF441" s="173"/>
      <c r="BG441" s="101"/>
    </row>
    <row r="442" spans="1:59" ht="16.899999999999999">
      <c r="A442" s="36">
        <v>441</v>
      </c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Y442" s="239"/>
      <c r="Z442" s="243"/>
      <c r="AA442" s="101"/>
      <c r="AB442" s="101"/>
      <c r="AC442" s="174"/>
      <c r="AD442" s="174"/>
      <c r="AE442" s="101"/>
      <c r="AF442" s="174"/>
      <c r="AG442" s="174"/>
      <c r="AH442" s="174"/>
      <c r="AI442" s="173"/>
      <c r="AJ442" s="173"/>
      <c r="AK442" s="176"/>
      <c r="AL442" s="174"/>
      <c r="AM442" s="176"/>
      <c r="AN442" s="174"/>
      <c r="AO442" s="176"/>
      <c r="AP442" s="174"/>
      <c r="AQ442" s="174"/>
      <c r="AR442" s="174"/>
      <c r="AS442" s="173"/>
      <c r="AT442" s="173"/>
      <c r="AU442" s="173"/>
      <c r="AV442" s="173"/>
      <c r="AW442" s="173"/>
      <c r="AX442" s="173"/>
      <c r="AY442" s="173"/>
      <c r="AZ442" s="173"/>
      <c r="BA442" s="173"/>
      <c r="BB442" s="173"/>
      <c r="BC442" s="173"/>
      <c r="BD442" s="173"/>
      <c r="BE442" s="173"/>
      <c r="BF442" s="173"/>
      <c r="BG442" s="101"/>
    </row>
    <row r="443" spans="1:59" ht="16.899999999999999">
      <c r="A443" s="36">
        <v>442</v>
      </c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Y443" s="239"/>
      <c r="Z443" s="243"/>
      <c r="AA443" s="101"/>
      <c r="AB443" s="101"/>
      <c r="AC443" s="174"/>
      <c r="AD443" s="174"/>
      <c r="AE443" s="101"/>
      <c r="AF443" s="174"/>
      <c r="AG443" s="174"/>
      <c r="AH443" s="174"/>
      <c r="AI443" s="173"/>
      <c r="AJ443" s="173"/>
      <c r="AK443" s="176"/>
      <c r="AL443" s="174"/>
      <c r="AM443" s="176"/>
      <c r="AN443" s="174"/>
      <c r="AO443" s="176"/>
      <c r="AP443" s="174"/>
      <c r="AQ443" s="174"/>
      <c r="AR443" s="174"/>
      <c r="AS443" s="173"/>
      <c r="AT443" s="173"/>
      <c r="AU443" s="173"/>
      <c r="AV443" s="173"/>
      <c r="AW443" s="173"/>
      <c r="AX443" s="173"/>
      <c r="AY443" s="173"/>
      <c r="AZ443" s="173"/>
      <c r="BA443" s="173"/>
      <c r="BB443" s="173"/>
      <c r="BC443" s="173"/>
      <c r="BD443" s="173"/>
      <c r="BE443" s="173"/>
      <c r="BF443" s="173"/>
      <c r="BG443" s="101"/>
    </row>
    <row r="444" spans="1:59" ht="16.899999999999999">
      <c r="A444" s="36">
        <v>443</v>
      </c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Y444" s="239"/>
      <c r="Z444" s="243"/>
      <c r="AA444" s="101"/>
      <c r="AB444" s="101"/>
      <c r="AC444" s="174"/>
      <c r="AD444" s="174"/>
      <c r="AE444" s="101"/>
      <c r="AF444" s="174"/>
      <c r="AG444" s="174"/>
      <c r="AH444" s="174"/>
      <c r="AI444" s="173"/>
      <c r="AJ444" s="173"/>
      <c r="AK444" s="176"/>
      <c r="AL444" s="174"/>
      <c r="AM444" s="176"/>
      <c r="AN444" s="174"/>
      <c r="AO444" s="176"/>
      <c r="AP444" s="174"/>
      <c r="AQ444" s="174"/>
      <c r="AR444" s="174"/>
      <c r="AS444" s="173"/>
      <c r="AT444" s="173"/>
      <c r="AU444" s="173"/>
      <c r="AV444" s="173"/>
      <c r="AW444" s="173"/>
      <c r="AX444" s="173"/>
      <c r="AY444" s="173"/>
      <c r="AZ444" s="173"/>
      <c r="BA444" s="173"/>
      <c r="BB444" s="173"/>
      <c r="BC444" s="173"/>
      <c r="BD444" s="173"/>
      <c r="BE444" s="173"/>
      <c r="BF444" s="173"/>
      <c r="BG444" s="101"/>
    </row>
    <row r="445" spans="1:59" ht="16.899999999999999">
      <c r="A445" s="36">
        <v>444</v>
      </c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Y445" s="239"/>
      <c r="Z445" s="243"/>
      <c r="AA445" s="101"/>
      <c r="AB445" s="101"/>
      <c r="AC445" s="174"/>
      <c r="AD445" s="174"/>
      <c r="AE445" s="101"/>
      <c r="AF445" s="174"/>
      <c r="AG445" s="174"/>
      <c r="AH445" s="174"/>
      <c r="AI445" s="173"/>
      <c r="AJ445" s="173"/>
      <c r="AK445" s="176"/>
      <c r="AL445" s="174"/>
      <c r="AM445" s="176"/>
      <c r="AN445" s="174"/>
      <c r="AO445" s="176"/>
      <c r="AP445" s="174"/>
      <c r="AQ445" s="174"/>
      <c r="AR445" s="174"/>
      <c r="AS445" s="173"/>
      <c r="AT445" s="173"/>
      <c r="AU445" s="173"/>
      <c r="AV445" s="173"/>
      <c r="AW445" s="173"/>
      <c r="AX445" s="173"/>
      <c r="AY445" s="173"/>
      <c r="AZ445" s="173"/>
      <c r="BA445" s="173"/>
      <c r="BB445" s="173"/>
      <c r="BC445" s="173"/>
      <c r="BD445" s="173"/>
      <c r="BE445" s="173"/>
      <c r="BF445" s="173"/>
      <c r="BG445" s="101"/>
    </row>
    <row r="446" spans="1:59" ht="16.899999999999999">
      <c r="A446" s="36">
        <v>446</v>
      </c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Y446" s="239"/>
      <c r="Z446" s="243"/>
      <c r="AA446" s="101"/>
      <c r="AB446" s="101"/>
      <c r="AC446" s="174"/>
      <c r="AD446" s="174"/>
      <c r="AE446" s="101"/>
      <c r="AF446" s="174"/>
      <c r="AG446" s="174"/>
      <c r="AH446" s="174"/>
      <c r="AI446" s="173"/>
      <c r="AJ446" s="173"/>
      <c r="AK446" s="176"/>
      <c r="AL446" s="174"/>
      <c r="AM446" s="176"/>
      <c r="AN446" s="174"/>
      <c r="AO446" s="176"/>
      <c r="AP446" s="174"/>
      <c r="AQ446" s="174"/>
      <c r="AR446" s="174"/>
      <c r="AS446" s="173"/>
      <c r="AT446" s="173"/>
      <c r="AU446" s="173"/>
      <c r="AV446" s="173"/>
      <c r="AW446" s="173"/>
      <c r="AX446" s="173"/>
      <c r="AY446" s="173"/>
      <c r="AZ446" s="173"/>
      <c r="BA446" s="173"/>
      <c r="BB446" s="173"/>
      <c r="BC446" s="173"/>
      <c r="BD446" s="173"/>
      <c r="BE446" s="173"/>
      <c r="BF446" s="173"/>
      <c r="BG446" s="101"/>
    </row>
    <row r="447" spans="1:59" ht="16.899999999999999">
      <c r="A447" s="36">
        <v>447</v>
      </c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Y447" s="239"/>
      <c r="Z447" s="243"/>
      <c r="AA447" s="101"/>
      <c r="AB447" s="101"/>
      <c r="AC447" s="174"/>
      <c r="AD447" s="174"/>
      <c r="AE447" s="101"/>
      <c r="AF447" s="174"/>
      <c r="AG447" s="174"/>
      <c r="AH447" s="174"/>
      <c r="AI447" s="173"/>
      <c r="AJ447" s="173"/>
      <c r="AK447" s="176"/>
      <c r="AL447" s="174"/>
      <c r="AM447" s="176"/>
      <c r="AN447" s="174"/>
      <c r="AO447" s="176"/>
      <c r="AP447" s="174"/>
      <c r="AQ447" s="174"/>
      <c r="AR447" s="174"/>
      <c r="AS447" s="173"/>
      <c r="AT447" s="173"/>
      <c r="AU447" s="173"/>
      <c r="AV447" s="173"/>
      <c r="AW447" s="173"/>
      <c r="AX447" s="173"/>
      <c r="AY447" s="173"/>
      <c r="AZ447" s="173"/>
      <c r="BA447" s="173"/>
      <c r="BB447" s="173"/>
      <c r="BC447" s="173"/>
      <c r="BD447" s="173"/>
      <c r="BE447" s="173"/>
      <c r="BF447" s="173"/>
      <c r="BG447" s="101"/>
    </row>
    <row r="448" spans="1:59" ht="16.899999999999999">
      <c r="A448" s="36">
        <v>448</v>
      </c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Y448" s="239"/>
      <c r="Z448" s="243"/>
      <c r="AA448" s="101"/>
      <c r="AB448" s="101"/>
      <c r="AC448" s="174"/>
      <c r="AD448" s="174"/>
      <c r="AE448" s="101"/>
      <c r="AF448" s="174"/>
      <c r="AG448" s="174"/>
      <c r="AH448" s="174"/>
      <c r="AI448" s="173"/>
      <c r="AJ448" s="173"/>
      <c r="AK448" s="176"/>
      <c r="AL448" s="174"/>
      <c r="AM448" s="176"/>
      <c r="AN448" s="174"/>
      <c r="AO448" s="176"/>
      <c r="AP448" s="174"/>
      <c r="AQ448" s="174"/>
      <c r="AR448" s="174"/>
      <c r="AS448" s="173"/>
      <c r="AT448" s="173"/>
      <c r="AU448" s="173"/>
      <c r="AV448" s="173"/>
      <c r="AW448" s="173"/>
      <c r="AX448" s="173"/>
      <c r="AY448" s="173"/>
      <c r="AZ448" s="173"/>
      <c r="BA448" s="173"/>
      <c r="BB448" s="173"/>
      <c r="BC448" s="173"/>
      <c r="BD448" s="173"/>
      <c r="BE448" s="173"/>
      <c r="BF448" s="173"/>
      <c r="BG448" s="101"/>
    </row>
    <row r="449" spans="1:59" ht="16.899999999999999">
      <c r="A449" s="36">
        <v>449</v>
      </c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Y449" s="239"/>
      <c r="Z449" s="243"/>
      <c r="AA449" s="101"/>
      <c r="AB449" s="101"/>
      <c r="AC449" s="174"/>
      <c r="AD449" s="174"/>
      <c r="AE449" s="101"/>
      <c r="AF449" s="174"/>
      <c r="AG449" s="174"/>
      <c r="AH449" s="174"/>
      <c r="AI449" s="173"/>
      <c r="AJ449" s="173"/>
      <c r="AK449" s="176"/>
      <c r="AL449" s="174"/>
      <c r="AM449" s="176"/>
      <c r="AN449" s="174"/>
      <c r="AO449" s="176"/>
      <c r="AP449" s="174"/>
      <c r="AQ449" s="174"/>
      <c r="AR449" s="174"/>
      <c r="AS449" s="173"/>
      <c r="AT449" s="173"/>
      <c r="AU449" s="173"/>
      <c r="AV449" s="173"/>
      <c r="AW449" s="173"/>
      <c r="AX449" s="173"/>
      <c r="AY449" s="173"/>
      <c r="AZ449" s="173"/>
      <c r="BA449" s="173"/>
      <c r="BB449" s="173"/>
      <c r="BC449" s="173"/>
      <c r="BD449" s="173"/>
      <c r="BE449" s="173"/>
      <c r="BF449" s="173"/>
      <c r="BG449" s="101"/>
    </row>
    <row r="450" spans="1:59" ht="16.899999999999999">
      <c r="A450" s="36">
        <v>450</v>
      </c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Y450" s="239"/>
      <c r="Z450" s="243"/>
      <c r="AA450" s="101"/>
      <c r="AB450" s="101"/>
      <c r="AC450" s="174"/>
      <c r="AD450" s="174"/>
      <c r="AE450" s="101"/>
      <c r="AF450" s="174"/>
      <c r="AG450" s="174"/>
      <c r="AH450" s="174"/>
      <c r="AI450" s="173"/>
      <c r="AJ450" s="173"/>
      <c r="AK450" s="176"/>
      <c r="AL450" s="174"/>
      <c r="AM450" s="176"/>
      <c r="AN450" s="174"/>
      <c r="AO450" s="176"/>
      <c r="AP450" s="174"/>
      <c r="AQ450" s="174"/>
      <c r="AR450" s="174"/>
      <c r="AS450" s="173"/>
      <c r="AT450" s="173"/>
      <c r="AU450" s="173"/>
      <c r="AV450" s="173"/>
      <c r="AW450" s="173"/>
      <c r="AX450" s="173"/>
      <c r="AY450" s="173"/>
      <c r="AZ450" s="173"/>
      <c r="BA450" s="173"/>
      <c r="BB450" s="173"/>
      <c r="BC450" s="173"/>
      <c r="BD450" s="173"/>
      <c r="BE450" s="173"/>
      <c r="BF450" s="173"/>
      <c r="BG450" s="101"/>
    </row>
    <row r="451" spans="1:59" ht="16.899999999999999">
      <c r="A451" s="36">
        <v>450</v>
      </c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Y451" s="239"/>
      <c r="Z451" s="243"/>
      <c r="AA451" s="101"/>
      <c r="AB451" s="101"/>
      <c r="AC451" s="174"/>
      <c r="AD451" s="174"/>
      <c r="AE451" s="101"/>
      <c r="AF451" s="174"/>
      <c r="AG451" s="174"/>
      <c r="AH451" s="174"/>
      <c r="AI451" s="173"/>
      <c r="AJ451" s="173"/>
      <c r="AK451" s="176"/>
      <c r="AL451" s="174"/>
      <c r="AM451" s="176"/>
      <c r="AN451" s="174"/>
      <c r="AO451" s="176"/>
      <c r="AP451" s="174"/>
      <c r="AQ451" s="174"/>
      <c r="AR451" s="174"/>
      <c r="AS451" s="173"/>
      <c r="AT451" s="173"/>
      <c r="AU451" s="173"/>
      <c r="AV451" s="173"/>
      <c r="AW451" s="173"/>
      <c r="AX451" s="173"/>
      <c r="AY451" s="173"/>
      <c r="AZ451" s="173"/>
      <c r="BA451" s="173"/>
      <c r="BB451" s="173"/>
      <c r="BC451" s="173"/>
      <c r="BD451" s="173"/>
      <c r="BE451" s="173"/>
      <c r="BF451" s="173"/>
      <c r="BG451" s="101"/>
    </row>
    <row r="452" spans="1:59" ht="16.899999999999999">
      <c r="Z452" s="244"/>
      <c r="AC452" s="10"/>
      <c r="AD452" s="10"/>
      <c r="AF452" s="10"/>
      <c r="AG452" s="10"/>
      <c r="AH452" s="10"/>
      <c r="AI452" s="9"/>
      <c r="AJ452" s="9"/>
      <c r="AK452" s="11"/>
      <c r="AL452" s="10"/>
      <c r="AM452" s="11"/>
      <c r="AN452" s="10"/>
      <c r="AO452" s="11"/>
      <c r="AP452" s="10"/>
      <c r="AQ452" s="10"/>
      <c r="AR452" s="10"/>
      <c r="AS452" s="9"/>
      <c r="AT452" s="9"/>
      <c r="AU452" s="9"/>
      <c r="AV452" s="9"/>
      <c r="AW452" s="9"/>
      <c r="AX452" s="9"/>
      <c r="AY452" s="8"/>
      <c r="AZ452" s="8"/>
      <c r="BA452" s="8"/>
      <c r="BB452" s="8"/>
      <c r="BC452" s="8"/>
      <c r="BD452" s="8"/>
      <c r="BE452" s="8"/>
      <c r="BF452" s="8"/>
    </row>
    <row r="453" spans="1:59" ht="16.899999999999999">
      <c r="Z453" s="244"/>
      <c r="AC453" s="10"/>
      <c r="AD453" s="10"/>
      <c r="AF453" s="10"/>
      <c r="AG453" s="10"/>
      <c r="AH453" s="10"/>
      <c r="AI453" s="9"/>
      <c r="AJ453" s="9"/>
      <c r="AK453" s="11"/>
      <c r="AL453" s="10"/>
      <c r="AM453" s="11"/>
      <c r="AN453" s="10"/>
      <c r="AO453" s="11"/>
      <c r="AP453" s="10"/>
      <c r="AQ453" s="10"/>
      <c r="AR453" s="10"/>
      <c r="AS453" s="9"/>
      <c r="AT453" s="9"/>
      <c r="AU453" s="9"/>
      <c r="AV453" s="9"/>
      <c r="AW453" s="9"/>
      <c r="AX453" s="9"/>
      <c r="AY453" s="8"/>
      <c r="AZ453" s="8"/>
      <c r="BA453" s="8"/>
      <c r="BB453" s="8"/>
      <c r="BC453" s="8"/>
      <c r="BD453" s="8"/>
      <c r="BE453" s="8"/>
      <c r="BF453" s="8"/>
    </row>
    <row r="454" spans="1:59" ht="16.899999999999999">
      <c r="Z454" s="244"/>
      <c r="AC454" s="10"/>
      <c r="AD454" s="10"/>
      <c r="AF454" s="10"/>
      <c r="AG454" s="10"/>
      <c r="AH454" s="10"/>
      <c r="AI454" s="9"/>
      <c r="AJ454" s="9"/>
      <c r="AK454" s="11"/>
      <c r="AL454" s="10"/>
      <c r="AM454" s="11"/>
      <c r="AN454" s="10"/>
      <c r="AO454" s="11"/>
      <c r="AP454" s="10"/>
      <c r="AQ454" s="10"/>
      <c r="AR454" s="10"/>
      <c r="AS454" s="9"/>
      <c r="AT454" s="9"/>
      <c r="AU454" s="9"/>
      <c r="AV454" s="9"/>
      <c r="AW454" s="9"/>
      <c r="AX454" s="9"/>
      <c r="AY454" s="8"/>
      <c r="AZ454" s="8"/>
      <c r="BA454" s="8"/>
      <c r="BB454" s="8"/>
      <c r="BC454" s="8"/>
      <c r="BD454" s="8"/>
      <c r="BE454" s="8"/>
      <c r="BF454" s="8"/>
    </row>
    <row r="455" spans="1:59" ht="16.899999999999999">
      <c r="Z455" s="244"/>
      <c r="AC455" s="10"/>
      <c r="AD455" s="10"/>
      <c r="AF455" s="10"/>
      <c r="AG455" s="10"/>
      <c r="AH455" s="10"/>
      <c r="AI455" s="9"/>
      <c r="AJ455" s="9"/>
      <c r="AK455" s="11"/>
      <c r="AL455" s="10"/>
      <c r="AM455" s="11"/>
      <c r="AN455" s="10"/>
      <c r="AO455" s="11"/>
      <c r="AP455" s="10"/>
      <c r="AQ455" s="10"/>
      <c r="AR455" s="10"/>
      <c r="AS455" s="9"/>
      <c r="AT455" s="9"/>
      <c r="AU455" s="9"/>
      <c r="AV455" s="9"/>
      <c r="AW455" s="9"/>
      <c r="AX455" s="9"/>
      <c r="AY455" s="8"/>
      <c r="AZ455" s="8"/>
      <c r="BA455" s="8"/>
      <c r="BB455" s="8"/>
      <c r="BC455" s="8"/>
      <c r="BD455" s="8"/>
      <c r="BE455" s="8"/>
      <c r="BF455" s="8"/>
    </row>
    <row r="456" spans="1:59" ht="16.899999999999999">
      <c r="Z456" s="244"/>
      <c r="AC456" s="10"/>
      <c r="AD456" s="10"/>
      <c r="AF456" s="10"/>
      <c r="AG456" s="10"/>
      <c r="AH456" s="10"/>
      <c r="AI456" s="9"/>
      <c r="AJ456" s="9"/>
      <c r="AK456" s="11"/>
      <c r="AL456" s="10"/>
      <c r="AM456" s="11"/>
      <c r="AN456" s="10"/>
      <c r="AO456" s="11"/>
      <c r="AP456" s="10"/>
      <c r="AQ456" s="10"/>
      <c r="AR456" s="10"/>
      <c r="AS456" s="9"/>
      <c r="AT456" s="9"/>
      <c r="AU456" s="9"/>
      <c r="AV456" s="9"/>
      <c r="AW456" s="9"/>
      <c r="AX456" s="9"/>
      <c r="AY456" s="8"/>
      <c r="AZ456" s="8"/>
      <c r="BA456" s="8"/>
      <c r="BB456" s="8"/>
      <c r="BC456" s="8"/>
      <c r="BD456" s="8"/>
      <c r="BE456" s="8"/>
      <c r="BF456" s="8"/>
    </row>
    <row r="457" spans="1:59" ht="16.899999999999999">
      <c r="Z457" s="244"/>
      <c r="AC457" s="10"/>
      <c r="AD457" s="10"/>
      <c r="AF457" s="10"/>
      <c r="AG457" s="10"/>
      <c r="AH457" s="10"/>
      <c r="AI457" s="9"/>
      <c r="AJ457" s="9"/>
      <c r="AK457" s="11"/>
      <c r="AL457" s="10"/>
      <c r="AM457" s="11"/>
      <c r="AN457" s="10"/>
      <c r="AO457" s="11"/>
      <c r="AP457" s="10"/>
      <c r="AQ457" s="10"/>
      <c r="AR457" s="10"/>
      <c r="AS457" s="9"/>
      <c r="AT457" s="9"/>
      <c r="AU457" s="9"/>
      <c r="AV457" s="9"/>
      <c r="AW457" s="9"/>
      <c r="AX457" s="9"/>
      <c r="AY457" s="8"/>
      <c r="AZ457" s="8"/>
      <c r="BA457" s="8"/>
      <c r="BB457" s="8"/>
      <c r="BC457" s="8"/>
      <c r="BD457" s="8"/>
      <c r="BE457" s="8"/>
      <c r="BF457" s="8"/>
    </row>
    <row r="458" spans="1:59" ht="16.899999999999999">
      <c r="Z458" s="244"/>
      <c r="AC458" s="10"/>
      <c r="AD458" s="10"/>
      <c r="AF458" s="10"/>
      <c r="AG458" s="10"/>
      <c r="AH458" s="10"/>
      <c r="AI458" s="9"/>
      <c r="AJ458" s="9"/>
      <c r="AK458" s="11"/>
      <c r="AL458" s="10"/>
      <c r="AM458" s="11"/>
      <c r="AN458" s="10"/>
      <c r="AO458" s="11"/>
      <c r="AP458" s="10"/>
      <c r="AQ458" s="10"/>
      <c r="AR458" s="10"/>
      <c r="AS458" s="9"/>
      <c r="AT458" s="9"/>
      <c r="AU458" s="9"/>
      <c r="AV458" s="9"/>
      <c r="AW458" s="9"/>
      <c r="AX458" s="9"/>
      <c r="AY458" s="8"/>
      <c r="AZ458" s="8"/>
      <c r="BA458" s="8"/>
      <c r="BB458" s="8"/>
      <c r="BC458" s="8"/>
      <c r="BD458" s="8"/>
      <c r="BE458" s="8"/>
      <c r="BF458" s="8"/>
    </row>
    <row r="459" spans="1:59" ht="16.899999999999999">
      <c r="Z459" s="244"/>
      <c r="AC459" s="10"/>
      <c r="AD459" s="10"/>
      <c r="AF459" s="10"/>
      <c r="AG459" s="10"/>
      <c r="AH459" s="10"/>
      <c r="AI459" s="9"/>
      <c r="AJ459" s="9"/>
      <c r="AK459" s="11"/>
      <c r="AL459" s="10"/>
      <c r="AM459" s="11"/>
      <c r="AN459" s="10"/>
      <c r="AO459" s="11"/>
      <c r="AP459" s="10"/>
      <c r="AQ459" s="10"/>
      <c r="AR459" s="10"/>
      <c r="AS459" s="9"/>
      <c r="AT459" s="9"/>
      <c r="AU459" s="9"/>
      <c r="AV459" s="9"/>
      <c r="AW459" s="9"/>
      <c r="AX459" s="9"/>
      <c r="AY459" s="8"/>
      <c r="AZ459" s="8"/>
      <c r="BA459" s="8"/>
      <c r="BB459" s="8"/>
      <c r="BC459" s="8"/>
      <c r="BD459" s="8"/>
      <c r="BE459" s="8"/>
      <c r="BF459" s="8"/>
    </row>
    <row r="460" spans="1:59" ht="16.899999999999999">
      <c r="Z460" s="244"/>
      <c r="AC460" s="10"/>
      <c r="AD460" s="10"/>
      <c r="AF460" s="10"/>
      <c r="AG460" s="10"/>
      <c r="AH460" s="10"/>
      <c r="AI460" s="9"/>
      <c r="AJ460" s="9"/>
      <c r="AK460" s="11"/>
      <c r="AL460" s="10"/>
      <c r="AM460" s="11"/>
      <c r="AN460" s="10"/>
      <c r="AO460" s="11"/>
      <c r="AP460" s="10"/>
      <c r="AQ460" s="10"/>
      <c r="AR460" s="10"/>
      <c r="AS460" s="9"/>
      <c r="AT460" s="9"/>
      <c r="AU460" s="9"/>
      <c r="AV460" s="9"/>
      <c r="AW460" s="9"/>
      <c r="AX460" s="9"/>
      <c r="AY460" s="8"/>
      <c r="AZ460" s="8"/>
      <c r="BA460" s="8"/>
      <c r="BB460" s="8"/>
      <c r="BC460" s="8"/>
      <c r="BD460" s="8"/>
      <c r="BE460" s="8"/>
      <c r="BF460" s="8"/>
    </row>
    <row r="461" spans="1:59" ht="16.899999999999999">
      <c r="Z461" s="244"/>
      <c r="AC461" s="10"/>
      <c r="AD461" s="10"/>
      <c r="AF461" s="10"/>
      <c r="AG461" s="10"/>
      <c r="AH461" s="10"/>
      <c r="AI461" s="9"/>
      <c r="AJ461" s="9"/>
      <c r="AK461" s="11"/>
      <c r="AL461" s="10"/>
      <c r="AM461" s="11"/>
      <c r="AN461" s="10"/>
      <c r="AO461" s="11"/>
      <c r="AP461" s="10"/>
      <c r="AQ461" s="10"/>
      <c r="AR461" s="10"/>
      <c r="AS461" s="9"/>
      <c r="AT461" s="9"/>
      <c r="AU461" s="9"/>
      <c r="AV461" s="9"/>
      <c r="AW461" s="9"/>
      <c r="AX461" s="9"/>
      <c r="AY461" s="8"/>
      <c r="AZ461" s="8"/>
      <c r="BA461" s="8"/>
      <c r="BB461" s="8"/>
      <c r="BC461" s="8"/>
      <c r="BD461" s="8"/>
      <c r="BE461" s="8"/>
      <c r="BF461" s="8"/>
    </row>
    <row r="462" spans="1:59" ht="16.899999999999999">
      <c r="Z462" s="244"/>
      <c r="AC462" s="10"/>
      <c r="AD462" s="10"/>
      <c r="AF462" s="10"/>
      <c r="AG462" s="10"/>
      <c r="AH462" s="10"/>
      <c r="AI462" s="9"/>
      <c r="AJ462" s="9"/>
      <c r="AK462" s="11"/>
      <c r="AL462" s="10"/>
      <c r="AM462" s="11"/>
      <c r="AN462" s="10"/>
      <c r="AO462" s="11"/>
      <c r="AP462" s="10"/>
      <c r="AQ462" s="10"/>
      <c r="AR462" s="10"/>
      <c r="AS462" s="9"/>
      <c r="AT462" s="9"/>
      <c r="AU462" s="9"/>
      <c r="AV462" s="9"/>
      <c r="AW462" s="9"/>
      <c r="AX462" s="9"/>
      <c r="AY462" s="8"/>
      <c r="AZ462" s="8"/>
      <c r="BA462" s="8"/>
      <c r="BB462" s="8"/>
      <c r="BC462" s="8"/>
      <c r="BD462" s="8"/>
      <c r="BE462" s="8"/>
      <c r="BF462" s="8"/>
    </row>
    <row r="463" spans="1:59" ht="16.899999999999999">
      <c r="Z463" s="244"/>
      <c r="AC463" s="10"/>
      <c r="AD463" s="10"/>
      <c r="AF463" s="10"/>
      <c r="AG463" s="10"/>
      <c r="AH463" s="10"/>
      <c r="AI463" s="9"/>
      <c r="AJ463" s="9"/>
      <c r="AK463" s="11"/>
      <c r="AL463" s="10"/>
      <c r="AM463" s="11"/>
      <c r="AN463" s="10"/>
      <c r="AO463" s="11"/>
      <c r="AP463" s="10"/>
      <c r="AQ463" s="10"/>
      <c r="AR463" s="10"/>
      <c r="AS463" s="9"/>
      <c r="AT463" s="9"/>
      <c r="AU463" s="9"/>
      <c r="AV463" s="9"/>
      <c r="AW463" s="9"/>
      <c r="AX463" s="9"/>
      <c r="AY463" s="8"/>
      <c r="AZ463" s="8"/>
      <c r="BA463" s="8"/>
      <c r="BB463" s="8"/>
      <c r="BC463" s="8"/>
      <c r="BD463" s="8"/>
      <c r="BE463" s="8"/>
      <c r="BF463" s="8"/>
    </row>
    <row r="464" spans="1:59" ht="16.899999999999999">
      <c r="Z464" s="244"/>
      <c r="AC464" s="10"/>
      <c r="AD464" s="10"/>
      <c r="AF464" s="10"/>
      <c r="AG464" s="10"/>
      <c r="AH464" s="10"/>
      <c r="AI464" s="9"/>
      <c r="AJ464" s="9"/>
      <c r="AK464" s="11"/>
      <c r="AL464" s="10"/>
      <c r="AM464" s="11"/>
      <c r="AN464" s="10"/>
      <c r="AO464" s="11"/>
      <c r="AP464" s="10"/>
      <c r="AQ464" s="10"/>
      <c r="AR464" s="10"/>
      <c r="AS464" s="9"/>
      <c r="AT464" s="9"/>
      <c r="AU464" s="9"/>
      <c r="AV464" s="9"/>
      <c r="AW464" s="9"/>
      <c r="AX464" s="9"/>
      <c r="AY464" s="8"/>
      <c r="AZ464" s="8"/>
      <c r="BA464" s="8"/>
      <c r="BB464" s="8"/>
      <c r="BC464" s="8"/>
      <c r="BD464" s="8"/>
      <c r="BE464" s="8"/>
      <c r="BF464" s="8"/>
    </row>
    <row r="465" spans="26:58" ht="16.899999999999999">
      <c r="Z465" s="244"/>
      <c r="AC465" s="10"/>
      <c r="AD465" s="10"/>
      <c r="AF465" s="10"/>
      <c r="AG465" s="10"/>
      <c r="AH465" s="10"/>
      <c r="AI465" s="9"/>
      <c r="AJ465" s="9"/>
      <c r="AK465" s="11"/>
      <c r="AL465" s="10"/>
      <c r="AM465" s="11"/>
      <c r="AN465" s="10"/>
      <c r="AO465" s="11"/>
      <c r="AP465" s="10"/>
      <c r="AQ465" s="10"/>
      <c r="AR465" s="10"/>
      <c r="AS465" s="9"/>
      <c r="AT465" s="9"/>
      <c r="AU465" s="9"/>
      <c r="AV465" s="9"/>
      <c r="AW465" s="9"/>
      <c r="AX465" s="9"/>
      <c r="AY465" s="8"/>
      <c r="AZ465" s="8"/>
      <c r="BA465" s="8"/>
      <c r="BB465" s="8"/>
      <c r="BC465" s="8"/>
      <c r="BD465" s="8"/>
      <c r="BE465" s="8"/>
      <c r="BF465" s="8"/>
    </row>
    <row r="466" spans="26:58" ht="16.899999999999999">
      <c r="Z466" s="244"/>
      <c r="AC466" s="10"/>
      <c r="AD466" s="10"/>
      <c r="AF466" s="10"/>
      <c r="AG466" s="10"/>
      <c r="AH466" s="10"/>
      <c r="AI466" s="9"/>
      <c r="AJ466" s="9"/>
      <c r="AK466" s="11"/>
      <c r="AL466" s="10"/>
      <c r="AM466" s="11"/>
      <c r="AN466" s="10"/>
      <c r="AO466" s="11"/>
      <c r="AP466" s="10"/>
      <c r="AQ466" s="10"/>
      <c r="AR466" s="10"/>
      <c r="AS466" s="9"/>
      <c r="AT466" s="9"/>
      <c r="AU466" s="9"/>
      <c r="AV466" s="9"/>
      <c r="AW466" s="9"/>
      <c r="AX466" s="9"/>
      <c r="AY466" s="8"/>
      <c r="AZ466" s="8"/>
      <c r="BA466" s="8"/>
      <c r="BB466" s="8"/>
      <c r="BC466" s="8"/>
      <c r="BD466" s="8"/>
      <c r="BE466" s="8"/>
      <c r="BF466" s="8"/>
    </row>
    <row r="467" spans="26:58" ht="16.899999999999999">
      <c r="Z467" s="244"/>
      <c r="AC467" s="10"/>
      <c r="AD467" s="10"/>
      <c r="AF467" s="10"/>
      <c r="AG467" s="10"/>
      <c r="AH467" s="10"/>
      <c r="AI467" s="9"/>
      <c r="AJ467" s="9"/>
      <c r="AK467" s="11"/>
      <c r="AL467" s="10"/>
      <c r="AM467" s="11"/>
      <c r="AN467" s="10"/>
      <c r="AO467" s="11"/>
      <c r="AP467" s="10"/>
      <c r="AQ467" s="10"/>
      <c r="AR467" s="10"/>
      <c r="AS467" s="9"/>
      <c r="AT467" s="9"/>
      <c r="AU467" s="9"/>
      <c r="AV467" s="9"/>
      <c r="AW467" s="9"/>
      <c r="AX467" s="9"/>
      <c r="AY467" s="8"/>
      <c r="AZ467" s="8"/>
      <c r="BA467" s="8"/>
      <c r="BB467" s="8"/>
      <c r="BC467" s="8"/>
      <c r="BD467" s="8"/>
      <c r="BE467" s="8"/>
      <c r="BF467" s="8"/>
    </row>
    <row r="468" spans="26:58" ht="16.899999999999999">
      <c r="Z468" s="244"/>
      <c r="AC468" s="10"/>
      <c r="AD468" s="10"/>
      <c r="AF468" s="10"/>
      <c r="AG468" s="10"/>
      <c r="AH468" s="10"/>
      <c r="AI468" s="9"/>
      <c r="AJ468" s="9"/>
      <c r="AK468" s="11"/>
      <c r="AL468" s="10"/>
      <c r="AM468" s="11"/>
      <c r="AN468" s="10"/>
      <c r="AO468" s="11"/>
      <c r="AP468" s="10"/>
      <c r="AQ468" s="10"/>
      <c r="AR468" s="10"/>
      <c r="AS468" s="9"/>
      <c r="AT468" s="9"/>
      <c r="AU468" s="9"/>
      <c r="AV468" s="9"/>
      <c r="AW468" s="9"/>
      <c r="AX468" s="9"/>
      <c r="AY468" s="8"/>
      <c r="AZ468" s="8"/>
      <c r="BA468" s="8"/>
      <c r="BB468" s="8"/>
      <c r="BC468" s="8"/>
      <c r="BD468" s="8"/>
      <c r="BE468" s="8"/>
      <c r="BF468" s="8"/>
    </row>
    <row r="469" spans="26:58" ht="16.899999999999999">
      <c r="Z469" s="244"/>
      <c r="AC469" s="10"/>
      <c r="AD469" s="10"/>
      <c r="AF469" s="10"/>
      <c r="AG469" s="10"/>
      <c r="AH469" s="10"/>
      <c r="AI469" s="9"/>
      <c r="AJ469" s="9"/>
      <c r="AK469" s="11"/>
      <c r="AL469" s="10"/>
      <c r="AM469" s="11"/>
      <c r="AN469" s="10"/>
      <c r="AO469" s="11"/>
      <c r="AP469" s="10"/>
      <c r="AQ469" s="10"/>
      <c r="AR469" s="10"/>
      <c r="AS469" s="9"/>
      <c r="AT469" s="9"/>
      <c r="AU469" s="9"/>
      <c r="AV469" s="9"/>
      <c r="AW469" s="9"/>
      <c r="AX469" s="9"/>
      <c r="AY469" s="8"/>
      <c r="AZ469" s="8"/>
      <c r="BA469" s="8"/>
      <c r="BB469" s="8"/>
      <c r="BC469" s="8"/>
      <c r="BD469" s="8"/>
      <c r="BE469" s="8"/>
      <c r="BF469" s="8"/>
    </row>
    <row r="470" spans="26:58" ht="16.899999999999999">
      <c r="Z470" s="244"/>
      <c r="AC470" s="10"/>
      <c r="AD470" s="10"/>
      <c r="AF470" s="10"/>
      <c r="AG470" s="10"/>
      <c r="AH470" s="10"/>
      <c r="AI470" s="9"/>
      <c r="AJ470" s="9"/>
      <c r="AK470" s="11"/>
      <c r="AL470" s="10"/>
      <c r="AM470" s="11"/>
      <c r="AN470" s="10"/>
      <c r="AO470" s="11"/>
      <c r="AP470" s="10"/>
      <c r="AQ470" s="10"/>
      <c r="AR470" s="10"/>
      <c r="AS470" s="9"/>
      <c r="AT470" s="9"/>
      <c r="AU470" s="9"/>
      <c r="AV470" s="9"/>
      <c r="AW470" s="9"/>
      <c r="AX470" s="9"/>
      <c r="AY470" s="8"/>
      <c r="AZ470" s="8"/>
      <c r="BA470" s="8"/>
      <c r="BB470" s="8"/>
      <c r="BC470" s="8"/>
      <c r="BD470" s="8"/>
      <c r="BE470" s="8"/>
      <c r="BF470" s="8"/>
    </row>
    <row r="471" spans="26:58" ht="16.899999999999999">
      <c r="Z471" s="244"/>
      <c r="AC471" s="10"/>
      <c r="AD471" s="10"/>
      <c r="AF471" s="10"/>
      <c r="AG471" s="10"/>
      <c r="AH471" s="10"/>
      <c r="AI471" s="9"/>
      <c r="AJ471" s="9"/>
      <c r="AK471" s="11"/>
      <c r="AL471" s="10"/>
      <c r="AM471" s="11"/>
      <c r="AN471" s="10"/>
      <c r="AO471" s="11"/>
      <c r="AP471" s="10"/>
      <c r="AQ471" s="10"/>
      <c r="AR471" s="10"/>
      <c r="AS471" s="9"/>
      <c r="AT471" s="9"/>
      <c r="AU471" s="9"/>
      <c r="AV471" s="9"/>
      <c r="AW471" s="9"/>
      <c r="AX471" s="9"/>
      <c r="AY471" s="8"/>
      <c r="AZ471" s="8"/>
      <c r="BA471" s="8"/>
      <c r="BB471" s="8"/>
      <c r="BC471" s="8"/>
      <c r="BD471" s="8"/>
      <c r="BE471" s="8"/>
      <c r="BF471" s="8"/>
    </row>
    <row r="472" spans="26:58" ht="16.899999999999999">
      <c r="Z472" s="244"/>
      <c r="AC472" s="10"/>
      <c r="AD472" s="10"/>
      <c r="AF472" s="10"/>
      <c r="AG472" s="10"/>
      <c r="AH472" s="10"/>
      <c r="AI472" s="9"/>
      <c r="AJ472" s="9"/>
      <c r="AK472" s="11"/>
      <c r="AL472" s="10"/>
      <c r="AM472" s="11"/>
      <c r="AN472" s="10"/>
      <c r="AO472" s="11"/>
      <c r="AP472" s="10"/>
      <c r="AQ472" s="10"/>
      <c r="AR472" s="10"/>
      <c r="AS472" s="9"/>
      <c r="AT472" s="9"/>
      <c r="AU472" s="9"/>
      <c r="AV472" s="9"/>
      <c r="AW472" s="9"/>
      <c r="AX472" s="9"/>
      <c r="AY472" s="8"/>
      <c r="AZ472" s="8"/>
      <c r="BA472" s="8"/>
      <c r="BB472" s="8"/>
      <c r="BC472" s="8"/>
      <c r="BD472" s="8"/>
      <c r="BE472" s="8"/>
      <c r="BF472" s="8"/>
    </row>
    <row r="473" spans="26:58" ht="16.899999999999999">
      <c r="Z473" s="244"/>
      <c r="AC473" s="10"/>
      <c r="AD473" s="10"/>
      <c r="AF473" s="10"/>
      <c r="AG473" s="10"/>
      <c r="AH473" s="10"/>
      <c r="AI473" s="9"/>
      <c r="AJ473" s="9"/>
      <c r="AK473" s="11"/>
      <c r="AL473" s="10"/>
      <c r="AM473" s="11"/>
      <c r="AN473" s="10"/>
      <c r="AO473" s="11"/>
      <c r="AP473" s="10"/>
      <c r="AQ473" s="10"/>
      <c r="AR473" s="10"/>
      <c r="AS473" s="9"/>
      <c r="AT473" s="9"/>
      <c r="AU473" s="9"/>
      <c r="AV473" s="9"/>
      <c r="AW473" s="9"/>
      <c r="AX473" s="9"/>
      <c r="AY473" s="8"/>
      <c r="AZ473" s="8"/>
      <c r="BA473" s="8"/>
      <c r="BB473" s="8"/>
      <c r="BC473" s="8"/>
      <c r="BD473" s="8"/>
      <c r="BE473" s="8"/>
      <c r="BF473" s="8"/>
    </row>
    <row r="474" spans="26:58" ht="16.899999999999999">
      <c r="Z474" s="244"/>
      <c r="AC474" s="10"/>
      <c r="AD474" s="10"/>
      <c r="AF474" s="10"/>
      <c r="AG474" s="10"/>
      <c r="AH474" s="10"/>
      <c r="AI474" s="9"/>
      <c r="AJ474" s="9"/>
      <c r="AK474" s="11"/>
      <c r="AL474" s="10"/>
      <c r="AM474" s="11"/>
      <c r="AN474" s="10"/>
      <c r="AO474" s="11"/>
      <c r="AP474" s="10"/>
      <c r="AQ474" s="10"/>
      <c r="AR474" s="10"/>
      <c r="AS474" s="9"/>
      <c r="AT474" s="9"/>
      <c r="AU474" s="9"/>
      <c r="AV474" s="9"/>
      <c r="AW474" s="9"/>
      <c r="AX474" s="9"/>
      <c r="AY474" s="8"/>
      <c r="AZ474" s="8"/>
      <c r="BA474" s="8"/>
      <c r="BB474" s="8"/>
      <c r="BC474" s="8"/>
      <c r="BD474" s="8"/>
      <c r="BE474" s="8"/>
      <c r="BF474" s="8"/>
    </row>
    <row r="475" spans="26:58" ht="16.899999999999999">
      <c r="Z475" s="244"/>
      <c r="AC475" s="10"/>
      <c r="AD475" s="10"/>
      <c r="AF475" s="10"/>
      <c r="AG475" s="10"/>
      <c r="AH475" s="10"/>
      <c r="AI475" s="9"/>
      <c r="AJ475" s="9"/>
      <c r="AK475" s="11"/>
      <c r="AL475" s="10"/>
      <c r="AM475" s="11"/>
      <c r="AN475" s="10"/>
      <c r="AO475" s="11"/>
      <c r="AP475" s="10"/>
      <c r="AQ475" s="10"/>
      <c r="AR475" s="10"/>
      <c r="AS475" s="9"/>
      <c r="AT475" s="9"/>
      <c r="AU475" s="9"/>
      <c r="AV475" s="9"/>
      <c r="AW475" s="9"/>
      <c r="AX475" s="9"/>
      <c r="AY475" s="8"/>
      <c r="AZ475" s="8"/>
      <c r="BA475" s="8"/>
      <c r="BB475" s="8"/>
      <c r="BC475" s="8"/>
      <c r="BD475" s="8"/>
      <c r="BE475" s="8"/>
      <c r="BF475" s="8"/>
    </row>
    <row r="476" spans="26:58" ht="16.899999999999999">
      <c r="Z476" s="244"/>
      <c r="AC476" s="10"/>
      <c r="AD476" s="10"/>
      <c r="AF476" s="10"/>
      <c r="AG476" s="10"/>
      <c r="AH476" s="10"/>
      <c r="AI476" s="9"/>
      <c r="AJ476" s="9"/>
      <c r="AK476" s="11"/>
      <c r="AL476" s="10"/>
      <c r="AM476" s="11"/>
      <c r="AN476" s="10"/>
      <c r="AO476" s="11"/>
      <c r="AP476" s="10"/>
      <c r="AQ476" s="10"/>
      <c r="AR476" s="10"/>
      <c r="AS476" s="9"/>
      <c r="AT476" s="9"/>
      <c r="AU476" s="9"/>
      <c r="AV476" s="9"/>
      <c r="AW476" s="9"/>
      <c r="AX476" s="9"/>
      <c r="AY476" s="8"/>
      <c r="AZ476" s="8"/>
      <c r="BA476" s="8"/>
      <c r="BB476" s="8"/>
      <c r="BC476" s="8"/>
      <c r="BD476" s="8"/>
      <c r="BE476" s="8"/>
      <c r="BF476" s="8"/>
    </row>
    <row r="477" spans="26:58" ht="16.899999999999999">
      <c r="Z477" s="244"/>
      <c r="AC477" s="10"/>
      <c r="AD477" s="10"/>
      <c r="AF477" s="10"/>
      <c r="AG477" s="10"/>
      <c r="AH477" s="10"/>
      <c r="AI477" s="9"/>
      <c r="AJ477" s="9"/>
      <c r="AK477" s="11"/>
      <c r="AL477" s="10"/>
      <c r="AM477" s="11"/>
      <c r="AN477" s="10"/>
      <c r="AO477" s="11"/>
      <c r="AP477" s="10"/>
      <c r="AQ477" s="10"/>
      <c r="AR477" s="10"/>
      <c r="AS477" s="9"/>
      <c r="AT477" s="9"/>
      <c r="AU477" s="9"/>
      <c r="AV477" s="9"/>
      <c r="AW477" s="9"/>
      <c r="AX477" s="9"/>
      <c r="AY477" s="8"/>
      <c r="AZ477" s="8"/>
      <c r="BA477" s="8"/>
      <c r="BB477" s="8"/>
      <c r="BC477" s="8"/>
      <c r="BD477" s="8"/>
      <c r="BE477" s="8"/>
      <c r="BF477" s="8"/>
    </row>
    <row r="478" spans="26:58" ht="16.899999999999999">
      <c r="Z478" s="244"/>
      <c r="AC478" s="10"/>
      <c r="AD478" s="10"/>
      <c r="AF478" s="10"/>
      <c r="AG478" s="10"/>
      <c r="AH478" s="10"/>
      <c r="AI478" s="9"/>
      <c r="AJ478" s="9"/>
      <c r="AK478" s="11"/>
      <c r="AL478" s="10"/>
      <c r="AM478" s="11"/>
      <c r="AN478" s="10"/>
      <c r="AO478" s="11"/>
      <c r="AP478" s="10"/>
      <c r="AQ478" s="10"/>
      <c r="AR478" s="10"/>
      <c r="AS478" s="9"/>
      <c r="AT478" s="9"/>
      <c r="AU478" s="9"/>
      <c r="AV478" s="9"/>
      <c r="AW478" s="9"/>
      <c r="AX478" s="9"/>
      <c r="AY478" s="8"/>
      <c r="AZ478" s="8"/>
      <c r="BA478" s="8"/>
      <c r="BB478" s="8"/>
      <c r="BC478" s="8"/>
      <c r="BD478" s="8"/>
      <c r="BE478" s="8"/>
      <c r="BF478" s="8"/>
    </row>
    <row r="479" spans="26:58" ht="16.899999999999999">
      <c r="Z479" s="244"/>
      <c r="AC479" s="10"/>
      <c r="AD479" s="10"/>
      <c r="AF479" s="10"/>
      <c r="AG479" s="10"/>
      <c r="AH479" s="10"/>
      <c r="AI479" s="9"/>
      <c r="AJ479" s="9"/>
      <c r="AK479" s="11"/>
      <c r="AL479" s="10"/>
      <c r="AM479" s="11"/>
      <c r="AN479" s="10"/>
      <c r="AO479" s="11"/>
      <c r="AP479" s="10"/>
      <c r="AQ479" s="10"/>
      <c r="AR479" s="10"/>
      <c r="AS479" s="9"/>
      <c r="AT479" s="9"/>
      <c r="AU479" s="9"/>
      <c r="AV479" s="9"/>
      <c r="AW479" s="9"/>
      <c r="AX479" s="9"/>
      <c r="AY479" s="8"/>
      <c r="AZ479" s="8"/>
      <c r="BA479" s="8"/>
      <c r="BB479" s="8"/>
      <c r="BC479" s="8"/>
      <c r="BD479" s="8"/>
      <c r="BE479" s="8"/>
      <c r="BF479" s="8"/>
    </row>
    <row r="480" spans="26:58" ht="16.899999999999999">
      <c r="Z480" s="244"/>
      <c r="AC480" s="10"/>
      <c r="AD480" s="10"/>
      <c r="AF480" s="10"/>
      <c r="AG480" s="10"/>
      <c r="AH480" s="10"/>
      <c r="AI480" s="9"/>
      <c r="AJ480" s="9"/>
      <c r="AK480" s="11"/>
      <c r="AL480" s="10"/>
      <c r="AM480" s="11"/>
      <c r="AN480" s="10"/>
      <c r="AO480" s="11"/>
      <c r="AP480" s="10"/>
      <c r="AQ480" s="10"/>
      <c r="AR480" s="10"/>
      <c r="AS480" s="9"/>
      <c r="AT480" s="9"/>
      <c r="AU480" s="9"/>
      <c r="AV480" s="9"/>
      <c r="AW480" s="9"/>
      <c r="AX480" s="9"/>
      <c r="AY480" s="8"/>
      <c r="AZ480" s="8"/>
      <c r="BA480" s="8"/>
      <c r="BB480" s="8"/>
      <c r="BC480" s="8"/>
      <c r="BD480" s="8"/>
      <c r="BE480" s="8"/>
      <c r="BF480" s="8"/>
    </row>
    <row r="481" spans="26:58" ht="16.899999999999999">
      <c r="Z481" s="244"/>
      <c r="AC481" s="10"/>
      <c r="AD481" s="10"/>
      <c r="AF481" s="10"/>
      <c r="AG481" s="10"/>
      <c r="AH481" s="10"/>
      <c r="AI481" s="9"/>
      <c r="AJ481" s="9"/>
      <c r="AK481" s="11"/>
      <c r="AL481" s="10"/>
      <c r="AM481" s="11"/>
      <c r="AN481" s="10"/>
      <c r="AO481" s="11"/>
      <c r="AP481" s="10"/>
      <c r="AQ481" s="10"/>
      <c r="AR481" s="10"/>
      <c r="AS481" s="9"/>
      <c r="AT481" s="9"/>
      <c r="AU481" s="9"/>
      <c r="AV481" s="9"/>
      <c r="AW481" s="9"/>
      <c r="AX481" s="9"/>
      <c r="AY481" s="8"/>
      <c r="AZ481" s="8"/>
      <c r="BA481" s="8"/>
      <c r="BB481" s="8"/>
      <c r="BC481" s="8"/>
      <c r="BD481" s="8"/>
      <c r="BE481" s="8"/>
      <c r="BF481" s="8"/>
    </row>
    <row r="482" spans="26:58" ht="16.899999999999999">
      <c r="Z482" s="244"/>
      <c r="AC482" s="10"/>
      <c r="AD482" s="10"/>
      <c r="AF482" s="10"/>
      <c r="AG482" s="10"/>
      <c r="AH482" s="10"/>
      <c r="AI482" s="9"/>
      <c r="AJ482" s="9"/>
      <c r="AK482" s="11"/>
      <c r="AL482" s="10"/>
      <c r="AM482" s="11"/>
      <c r="AN482" s="10"/>
      <c r="AO482" s="11"/>
      <c r="AP482" s="10"/>
      <c r="AQ482" s="10"/>
      <c r="AR482" s="10"/>
      <c r="AS482" s="9"/>
      <c r="AT482" s="9"/>
      <c r="AU482" s="9"/>
      <c r="AV482" s="9"/>
      <c r="AW482" s="9"/>
      <c r="AX482" s="9"/>
      <c r="AY482" s="8"/>
      <c r="AZ482" s="8"/>
      <c r="BA482" s="8"/>
      <c r="BB482" s="8"/>
      <c r="BC482" s="8"/>
      <c r="BD482" s="8"/>
      <c r="BE482" s="8"/>
      <c r="BF482" s="8"/>
    </row>
    <row r="483" spans="26:58" ht="16.899999999999999">
      <c r="Z483" s="244"/>
      <c r="AC483" s="10"/>
      <c r="AD483" s="10"/>
      <c r="AF483" s="10"/>
      <c r="AG483" s="10"/>
      <c r="AH483" s="10"/>
      <c r="AI483" s="9"/>
      <c r="AJ483" s="9"/>
      <c r="AK483" s="11"/>
      <c r="AL483" s="10"/>
      <c r="AM483" s="11"/>
      <c r="AN483" s="10"/>
      <c r="AO483" s="11"/>
      <c r="AP483" s="10"/>
      <c r="AQ483" s="10"/>
      <c r="AR483" s="10"/>
      <c r="AS483" s="9"/>
      <c r="AT483" s="9"/>
      <c r="AU483" s="9"/>
      <c r="AV483" s="9"/>
      <c r="AW483" s="9"/>
      <c r="AX483" s="9"/>
      <c r="AY483" s="8"/>
      <c r="AZ483" s="8"/>
      <c r="BA483" s="8"/>
      <c r="BB483" s="8"/>
      <c r="BC483" s="8"/>
      <c r="BD483" s="8"/>
      <c r="BE483" s="8"/>
      <c r="BF483" s="8"/>
    </row>
    <row r="484" spans="26:58" ht="16.899999999999999">
      <c r="Z484" s="244"/>
      <c r="AC484" s="10"/>
      <c r="AD484" s="10"/>
      <c r="AF484" s="10"/>
      <c r="AG484" s="10"/>
      <c r="AH484" s="10"/>
      <c r="AI484" s="9"/>
      <c r="AJ484" s="9"/>
      <c r="AK484" s="11"/>
      <c r="AL484" s="10"/>
      <c r="AM484" s="11"/>
      <c r="AN484" s="10"/>
      <c r="AO484" s="11"/>
      <c r="AP484" s="10"/>
      <c r="AQ484" s="10"/>
      <c r="AR484" s="10"/>
      <c r="AS484" s="9"/>
      <c r="AT484" s="9"/>
      <c r="AU484" s="9"/>
      <c r="AV484" s="9"/>
      <c r="AW484" s="9"/>
      <c r="AX484" s="9"/>
      <c r="AY484" s="8"/>
      <c r="AZ484" s="8"/>
      <c r="BA484" s="8"/>
      <c r="BB484" s="8"/>
      <c r="BC484" s="8"/>
      <c r="BD484" s="8"/>
      <c r="BE484" s="8"/>
      <c r="BF484" s="8"/>
    </row>
    <row r="485" spans="26:58" ht="16.899999999999999">
      <c r="Z485" s="244"/>
      <c r="AC485" s="10"/>
      <c r="AD485" s="10"/>
      <c r="AF485" s="10"/>
      <c r="AG485" s="10"/>
      <c r="AH485" s="10"/>
      <c r="AI485" s="9"/>
      <c r="AJ485" s="9"/>
      <c r="AK485" s="11"/>
      <c r="AL485" s="10"/>
      <c r="AM485" s="11"/>
      <c r="AN485" s="10"/>
      <c r="AO485" s="11"/>
      <c r="AP485" s="10"/>
      <c r="AQ485" s="10"/>
      <c r="AR485" s="10"/>
      <c r="AS485" s="9"/>
      <c r="AT485" s="9"/>
      <c r="AU485" s="9"/>
      <c r="AV485" s="9"/>
      <c r="AW485" s="9"/>
      <c r="AX485" s="9"/>
      <c r="AY485" s="8"/>
      <c r="AZ485" s="8"/>
      <c r="BA485" s="8"/>
      <c r="BB485" s="8"/>
      <c r="BC485" s="8"/>
      <c r="BD485" s="8"/>
      <c r="BE485" s="8"/>
      <c r="BF485" s="8"/>
    </row>
    <row r="486" spans="26:58" ht="16.899999999999999">
      <c r="Z486" s="244"/>
      <c r="AC486" s="10"/>
      <c r="AD486" s="10"/>
      <c r="AF486" s="10"/>
      <c r="AG486" s="10"/>
      <c r="AH486" s="10"/>
      <c r="AI486" s="9"/>
      <c r="AJ486" s="9"/>
      <c r="AK486" s="11"/>
      <c r="AL486" s="10"/>
      <c r="AM486" s="11"/>
      <c r="AN486" s="10"/>
      <c r="AO486" s="11"/>
      <c r="AP486" s="10"/>
      <c r="AQ486" s="10"/>
      <c r="AR486" s="10"/>
      <c r="AS486" s="9"/>
      <c r="AT486" s="9"/>
      <c r="AU486" s="9"/>
      <c r="AV486" s="9"/>
      <c r="AW486" s="9"/>
      <c r="AX486" s="9"/>
      <c r="AY486" s="8"/>
      <c r="AZ486" s="8"/>
      <c r="BA486" s="8"/>
      <c r="BB486" s="8"/>
      <c r="BC486" s="8"/>
      <c r="BD486" s="8"/>
      <c r="BE486" s="8"/>
      <c r="BF486" s="8"/>
    </row>
    <row r="487" spans="26:58" ht="16.899999999999999">
      <c r="Z487" s="244"/>
      <c r="AC487" s="10"/>
      <c r="AD487" s="10"/>
      <c r="AF487" s="10"/>
      <c r="AG487" s="10"/>
      <c r="AH487" s="10"/>
      <c r="AI487" s="9"/>
      <c r="AJ487" s="9"/>
      <c r="AK487" s="11"/>
      <c r="AL487" s="10"/>
      <c r="AM487" s="11"/>
      <c r="AN487" s="10"/>
      <c r="AO487" s="11"/>
      <c r="AP487" s="10"/>
      <c r="AQ487" s="10"/>
      <c r="AR487" s="10"/>
      <c r="AS487" s="9"/>
      <c r="AT487" s="9"/>
      <c r="AU487" s="9"/>
      <c r="AV487" s="9"/>
      <c r="AW487" s="9"/>
      <c r="AX487" s="9"/>
      <c r="AY487" s="8"/>
      <c r="AZ487" s="8"/>
      <c r="BA487" s="8"/>
      <c r="BB487" s="8"/>
      <c r="BC487" s="8"/>
      <c r="BD487" s="8"/>
      <c r="BE487" s="8"/>
      <c r="BF487" s="8"/>
    </row>
    <row r="488" spans="26:58" ht="16.899999999999999">
      <c r="Z488" s="244"/>
      <c r="AC488" s="10"/>
      <c r="AD488" s="10"/>
      <c r="AF488" s="10"/>
      <c r="AG488" s="10"/>
      <c r="AH488" s="10"/>
      <c r="AI488" s="9"/>
      <c r="AJ488" s="9"/>
      <c r="AK488" s="11"/>
      <c r="AL488" s="10"/>
      <c r="AM488" s="11"/>
      <c r="AN488" s="10"/>
      <c r="AO488" s="11"/>
      <c r="AP488" s="10"/>
      <c r="AQ488" s="10"/>
      <c r="AR488" s="10"/>
      <c r="AS488" s="9"/>
      <c r="AT488" s="9"/>
      <c r="AU488" s="9"/>
      <c r="AV488" s="9"/>
      <c r="AW488" s="9"/>
      <c r="AX488" s="9"/>
      <c r="AY488" s="8"/>
      <c r="AZ488" s="8"/>
      <c r="BA488" s="8"/>
      <c r="BB488" s="8"/>
      <c r="BC488" s="8"/>
      <c r="BD488" s="8"/>
      <c r="BE488" s="8"/>
      <c r="BF488" s="8"/>
    </row>
    <row r="489" spans="26:58" ht="16.899999999999999">
      <c r="Z489" s="244"/>
      <c r="AC489" s="10"/>
      <c r="AD489" s="10"/>
      <c r="AF489" s="10"/>
      <c r="AG489" s="10"/>
      <c r="AH489" s="10"/>
      <c r="AI489" s="9"/>
      <c r="AJ489" s="9"/>
      <c r="AK489" s="11"/>
      <c r="AL489" s="10"/>
      <c r="AM489" s="11"/>
      <c r="AN489" s="10"/>
      <c r="AO489" s="11"/>
      <c r="AP489" s="10"/>
      <c r="AQ489" s="10"/>
      <c r="AR489" s="10"/>
      <c r="AS489" s="9"/>
      <c r="AT489" s="9"/>
      <c r="AU489" s="9"/>
      <c r="AV489" s="9"/>
      <c r="AW489" s="9"/>
      <c r="AX489" s="9"/>
      <c r="AY489" s="8"/>
      <c r="AZ489" s="8"/>
      <c r="BA489" s="8"/>
      <c r="BB489" s="8"/>
      <c r="BC489" s="8"/>
      <c r="BD489" s="8"/>
      <c r="BE489" s="8"/>
      <c r="BF489" s="8"/>
    </row>
    <row r="490" spans="26:58" ht="16.899999999999999">
      <c r="Z490" s="244"/>
      <c r="AC490" s="10"/>
      <c r="AD490" s="10"/>
      <c r="AF490" s="10"/>
      <c r="AG490" s="10"/>
      <c r="AH490" s="10"/>
      <c r="AI490" s="9"/>
      <c r="AJ490" s="9"/>
      <c r="AK490" s="11"/>
      <c r="AL490" s="10"/>
      <c r="AM490" s="11"/>
      <c r="AN490" s="10"/>
      <c r="AO490" s="11"/>
      <c r="AP490" s="10"/>
      <c r="AQ490" s="10"/>
      <c r="AR490" s="10"/>
      <c r="AS490" s="9"/>
      <c r="AT490" s="9"/>
      <c r="AU490" s="9"/>
      <c r="AV490" s="9"/>
      <c r="AW490" s="9"/>
      <c r="AX490" s="9"/>
      <c r="AY490" s="8"/>
      <c r="AZ490" s="8"/>
      <c r="BA490" s="8"/>
      <c r="BB490" s="8"/>
      <c r="BC490" s="8"/>
      <c r="BD490" s="8"/>
      <c r="BE490" s="8"/>
      <c r="BF490" s="8"/>
    </row>
    <row r="491" spans="26:58" ht="16.899999999999999">
      <c r="Z491" s="244"/>
      <c r="AC491" s="10"/>
      <c r="AD491" s="10"/>
      <c r="AF491" s="10"/>
      <c r="AG491" s="10"/>
      <c r="AH491" s="10"/>
      <c r="AI491" s="9"/>
      <c r="AJ491" s="9"/>
      <c r="AK491" s="11"/>
      <c r="AL491" s="10"/>
      <c r="AM491" s="11"/>
      <c r="AN491" s="10"/>
      <c r="AO491" s="11"/>
      <c r="AP491" s="10"/>
      <c r="AQ491" s="10"/>
      <c r="AR491" s="10"/>
      <c r="AS491" s="9"/>
      <c r="AT491" s="9"/>
      <c r="AU491" s="9"/>
      <c r="AV491" s="9"/>
      <c r="AW491" s="9"/>
      <c r="AX491" s="9"/>
      <c r="AY491" s="8"/>
      <c r="AZ491" s="8"/>
      <c r="BA491" s="8"/>
      <c r="BB491" s="8"/>
      <c r="BC491" s="8"/>
      <c r="BD491" s="8"/>
      <c r="BE491" s="8"/>
      <c r="BF491" s="8"/>
    </row>
    <row r="492" spans="26:58" ht="16.899999999999999">
      <c r="Z492" s="244"/>
      <c r="AC492" s="10"/>
      <c r="AD492" s="10"/>
      <c r="AF492" s="10"/>
      <c r="AG492" s="10"/>
      <c r="AH492" s="10"/>
      <c r="AI492" s="9"/>
      <c r="AJ492" s="9"/>
      <c r="AK492" s="11"/>
      <c r="AL492" s="10"/>
      <c r="AM492" s="11"/>
      <c r="AN492" s="10"/>
      <c r="AO492" s="11"/>
      <c r="AP492" s="10"/>
      <c r="AQ492" s="10"/>
      <c r="AR492" s="10"/>
      <c r="AS492" s="9"/>
      <c r="AT492" s="9"/>
      <c r="AU492" s="9"/>
      <c r="AV492" s="9"/>
      <c r="AW492" s="9"/>
      <c r="AX492" s="9"/>
      <c r="AY492" s="8"/>
      <c r="AZ492" s="8"/>
      <c r="BA492" s="8"/>
      <c r="BB492" s="8"/>
      <c r="BC492" s="8"/>
      <c r="BD492" s="8"/>
      <c r="BE492" s="8"/>
      <c r="BF492" s="8"/>
    </row>
    <row r="493" spans="26:58" ht="16.899999999999999">
      <c r="Z493" s="244"/>
      <c r="AC493" s="10"/>
      <c r="AD493" s="10"/>
      <c r="AF493" s="10"/>
      <c r="AG493" s="10"/>
      <c r="AH493" s="10"/>
      <c r="AI493" s="9"/>
      <c r="AJ493" s="9"/>
      <c r="AK493" s="11"/>
      <c r="AL493" s="10"/>
      <c r="AM493" s="11"/>
      <c r="AN493" s="10"/>
      <c r="AO493" s="11"/>
      <c r="AP493" s="10"/>
      <c r="AQ493" s="10"/>
      <c r="AR493" s="10"/>
      <c r="AS493" s="9"/>
      <c r="AT493" s="9"/>
      <c r="AU493" s="9"/>
      <c r="AV493" s="9"/>
      <c r="AW493" s="9"/>
      <c r="AX493" s="9"/>
      <c r="AY493" s="8"/>
      <c r="AZ493" s="8"/>
      <c r="BA493" s="8"/>
      <c r="BB493" s="8"/>
      <c r="BC493" s="8"/>
      <c r="BD493" s="8"/>
      <c r="BE493" s="8"/>
      <c r="BF493" s="8"/>
    </row>
    <row r="494" spans="26:58" ht="16.899999999999999">
      <c r="Z494" s="244"/>
      <c r="AC494" s="10"/>
      <c r="AD494" s="10"/>
      <c r="AF494" s="10"/>
      <c r="AG494" s="10"/>
      <c r="AH494" s="10"/>
      <c r="AI494" s="9"/>
      <c r="AJ494" s="9"/>
      <c r="AK494" s="11"/>
      <c r="AL494" s="10"/>
      <c r="AM494" s="11"/>
      <c r="AN494" s="10"/>
      <c r="AO494" s="11"/>
      <c r="AP494" s="10"/>
      <c r="AQ494" s="10"/>
      <c r="AR494" s="10"/>
      <c r="AS494" s="9"/>
      <c r="AT494" s="9"/>
      <c r="AU494" s="9"/>
      <c r="AV494" s="9"/>
      <c r="AW494" s="9"/>
      <c r="AX494" s="9"/>
      <c r="AY494" s="8"/>
      <c r="AZ494" s="8"/>
      <c r="BA494" s="8"/>
      <c r="BB494" s="8"/>
      <c r="BC494" s="8"/>
      <c r="BD494" s="8"/>
      <c r="BE494" s="8"/>
      <c r="BF494" s="8"/>
    </row>
    <row r="495" spans="26:58" ht="16.899999999999999">
      <c r="Z495" s="244"/>
      <c r="AC495" s="10"/>
      <c r="AD495" s="10"/>
      <c r="AF495" s="10"/>
      <c r="AG495" s="10"/>
      <c r="AH495" s="10"/>
      <c r="AI495" s="9"/>
      <c r="AJ495" s="9"/>
      <c r="AK495" s="11"/>
      <c r="AL495" s="10"/>
      <c r="AM495" s="11"/>
      <c r="AN495" s="10"/>
      <c r="AO495" s="11"/>
      <c r="AP495" s="10"/>
      <c r="AQ495" s="10"/>
      <c r="AR495" s="10"/>
      <c r="AS495" s="9"/>
      <c r="AT495" s="9"/>
      <c r="AU495" s="9"/>
      <c r="AV495" s="9"/>
      <c r="AW495" s="9"/>
      <c r="AX495" s="9"/>
      <c r="AY495" s="8"/>
      <c r="AZ495" s="8"/>
      <c r="BA495" s="8"/>
      <c r="BB495" s="8"/>
      <c r="BC495" s="8"/>
      <c r="BD495" s="8"/>
      <c r="BE495" s="8"/>
      <c r="BF495" s="8"/>
    </row>
    <row r="496" spans="26:58" ht="16.899999999999999">
      <c r="Z496" s="244"/>
      <c r="AC496" s="10"/>
      <c r="AD496" s="10"/>
      <c r="AF496" s="10"/>
      <c r="AG496" s="10"/>
      <c r="AH496" s="10"/>
      <c r="AI496" s="9"/>
      <c r="AJ496" s="9"/>
      <c r="AK496" s="11"/>
      <c r="AL496" s="10"/>
      <c r="AM496" s="11"/>
      <c r="AN496" s="10"/>
      <c r="AO496" s="11"/>
      <c r="AP496" s="10"/>
      <c r="AQ496" s="10"/>
      <c r="AR496" s="10"/>
      <c r="AS496" s="9"/>
      <c r="AT496" s="9"/>
      <c r="AU496" s="9"/>
      <c r="AV496" s="9"/>
      <c r="AW496" s="9"/>
      <c r="AX496" s="9"/>
      <c r="AY496" s="8"/>
      <c r="AZ496" s="8"/>
      <c r="BA496" s="8"/>
      <c r="BB496" s="8"/>
      <c r="BC496" s="8"/>
      <c r="BD496" s="8"/>
      <c r="BE496" s="8"/>
      <c r="BF496" s="8"/>
    </row>
    <row r="497" spans="26:58" ht="16.899999999999999">
      <c r="Z497" s="244"/>
      <c r="AC497" s="10"/>
      <c r="AD497" s="10"/>
      <c r="AF497" s="10"/>
      <c r="AG497" s="10"/>
      <c r="AH497" s="10"/>
      <c r="AI497" s="9"/>
      <c r="AJ497" s="9"/>
      <c r="AK497" s="11"/>
      <c r="AL497" s="10"/>
      <c r="AM497" s="11"/>
      <c r="AN497" s="10"/>
      <c r="AO497" s="11"/>
      <c r="AP497" s="10"/>
      <c r="AQ497" s="10"/>
      <c r="AR497" s="10"/>
      <c r="AS497" s="9"/>
      <c r="AT497" s="9"/>
      <c r="AU497" s="9"/>
      <c r="AV497" s="9"/>
      <c r="AW497" s="9"/>
      <c r="AX497" s="9"/>
      <c r="AY497" s="8"/>
      <c r="AZ497" s="8"/>
      <c r="BA497" s="8"/>
      <c r="BB497" s="8"/>
      <c r="BC497" s="8"/>
      <c r="BD497" s="8"/>
      <c r="BE497" s="8"/>
      <c r="BF497" s="8"/>
    </row>
    <row r="498" spans="26:58" ht="16.899999999999999">
      <c r="Z498" s="244"/>
      <c r="AC498" s="10"/>
      <c r="AD498" s="10"/>
      <c r="AF498" s="10"/>
      <c r="AG498" s="10"/>
      <c r="AH498" s="10"/>
      <c r="AI498" s="9"/>
      <c r="AJ498" s="9"/>
      <c r="AK498" s="11"/>
      <c r="AL498" s="10"/>
      <c r="AM498" s="11"/>
      <c r="AN498" s="10"/>
      <c r="AO498" s="11"/>
      <c r="AP498" s="10"/>
      <c r="AQ498" s="10"/>
      <c r="AR498" s="10"/>
      <c r="AS498" s="9"/>
      <c r="AT498" s="9"/>
      <c r="AU498" s="9"/>
      <c r="AV498" s="9"/>
      <c r="AW498" s="9"/>
      <c r="AX498" s="9"/>
      <c r="AY498" s="8"/>
      <c r="AZ498" s="8"/>
      <c r="BA498" s="8"/>
      <c r="BB498" s="8"/>
      <c r="BC498" s="8"/>
      <c r="BD498" s="8"/>
      <c r="BE498" s="8"/>
      <c r="BF498" s="8"/>
    </row>
    <row r="499" spans="26:58" ht="16.899999999999999">
      <c r="Z499" s="244"/>
      <c r="AC499" s="10"/>
      <c r="AD499" s="10"/>
      <c r="AF499" s="10"/>
      <c r="AG499" s="10"/>
      <c r="AH499" s="10"/>
      <c r="AI499" s="9"/>
      <c r="AJ499" s="9"/>
      <c r="AK499" s="11"/>
      <c r="AL499" s="10"/>
      <c r="AM499" s="11"/>
      <c r="AN499" s="10"/>
      <c r="AO499" s="11"/>
      <c r="AP499" s="10"/>
      <c r="AQ499" s="10"/>
      <c r="AR499" s="10"/>
      <c r="AS499" s="9"/>
      <c r="AT499" s="9"/>
      <c r="AU499" s="9"/>
      <c r="AV499" s="9"/>
      <c r="AW499" s="9"/>
      <c r="AX499" s="9"/>
      <c r="AY499" s="8"/>
      <c r="AZ499" s="8"/>
      <c r="BA499" s="8"/>
      <c r="BB499" s="8"/>
      <c r="BC499" s="8"/>
      <c r="BD499" s="8"/>
      <c r="BE499" s="8"/>
      <c r="BF499" s="8"/>
    </row>
    <row r="500" spans="26:58" ht="16.899999999999999">
      <c r="Z500" s="244"/>
      <c r="AC500" s="10"/>
      <c r="AD500" s="10"/>
      <c r="AF500" s="10"/>
      <c r="AG500" s="10"/>
      <c r="AH500" s="10"/>
      <c r="AI500" s="9"/>
      <c r="AJ500" s="9"/>
      <c r="AK500" s="11"/>
      <c r="AL500" s="10"/>
      <c r="AM500" s="11"/>
      <c r="AN500" s="10"/>
      <c r="AO500" s="11"/>
      <c r="AP500" s="10"/>
      <c r="AQ500" s="10"/>
      <c r="AR500" s="10"/>
      <c r="AS500" s="9"/>
      <c r="AT500" s="9"/>
      <c r="AU500" s="9"/>
      <c r="AV500" s="9"/>
      <c r="AW500" s="9"/>
      <c r="AX500" s="9"/>
      <c r="AY500" s="8"/>
      <c r="AZ500" s="8"/>
      <c r="BA500" s="8"/>
      <c r="BB500" s="8"/>
      <c r="BC500" s="8"/>
      <c r="BD500" s="8"/>
      <c r="BE500" s="8"/>
      <c r="BF500" s="8"/>
    </row>
    <row r="501" spans="26:58" ht="16.899999999999999">
      <c r="Z501" s="244"/>
      <c r="AC501" s="10"/>
      <c r="AD501" s="10"/>
      <c r="AF501" s="10"/>
      <c r="AG501" s="10"/>
      <c r="AH501" s="10"/>
      <c r="AI501" s="9"/>
      <c r="AJ501" s="9"/>
      <c r="AK501" s="11"/>
      <c r="AL501" s="10"/>
      <c r="AM501" s="11"/>
      <c r="AN501" s="10"/>
      <c r="AO501" s="11"/>
      <c r="AP501" s="10"/>
      <c r="AQ501" s="10"/>
      <c r="AR501" s="10"/>
      <c r="AS501" s="9"/>
      <c r="AT501" s="9"/>
      <c r="AU501" s="9"/>
      <c r="AV501" s="9"/>
      <c r="AW501" s="9"/>
      <c r="AX501" s="9"/>
      <c r="AY501" s="8"/>
      <c r="AZ501" s="8"/>
      <c r="BA501" s="8"/>
      <c r="BB501" s="8"/>
      <c r="BC501" s="8"/>
      <c r="BD501" s="8"/>
      <c r="BE501" s="8"/>
      <c r="BF501" s="8"/>
    </row>
    <row r="502" spans="26:58" ht="16.899999999999999">
      <c r="Z502" s="244"/>
      <c r="AC502" s="10"/>
      <c r="AD502" s="10"/>
      <c r="AF502" s="10"/>
      <c r="AG502" s="10"/>
      <c r="AH502" s="10"/>
      <c r="AI502" s="9"/>
      <c r="AJ502" s="9"/>
      <c r="AK502" s="11"/>
      <c r="AL502" s="10"/>
      <c r="AM502" s="11"/>
      <c r="AN502" s="10"/>
      <c r="AO502" s="11"/>
      <c r="AP502" s="10"/>
      <c r="AQ502" s="10"/>
      <c r="AR502" s="10"/>
      <c r="AS502" s="9"/>
      <c r="AT502" s="9"/>
      <c r="AU502" s="9"/>
      <c r="AV502" s="9"/>
      <c r="AW502" s="9"/>
      <c r="AX502" s="9"/>
      <c r="AY502" s="8"/>
      <c r="AZ502" s="8"/>
      <c r="BA502" s="8"/>
      <c r="BB502" s="8"/>
      <c r="BC502" s="8"/>
      <c r="BD502" s="8"/>
      <c r="BE502" s="8"/>
      <c r="BF502" s="8"/>
    </row>
    <row r="503" spans="26:58" ht="16.899999999999999">
      <c r="Z503" s="244"/>
      <c r="AC503" s="10"/>
      <c r="AD503" s="10"/>
      <c r="AF503" s="10"/>
      <c r="AG503" s="10"/>
      <c r="AH503" s="10"/>
      <c r="AI503" s="9"/>
      <c r="AJ503" s="9"/>
      <c r="AK503" s="11"/>
      <c r="AL503" s="10"/>
      <c r="AM503" s="11"/>
      <c r="AN503" s="10"/>
      <c r="AO503" s="11"/>
      <c r="AP503" s="10"/>
      <c r="AQ503" s="10"/>
      <c r="AR503" s="10"/>
      <c r="AS503" s="9"/>
      <c r="AT503" s="9"/>
      <c r="AU503" s="9"/>
      <c r="AV503" s="9"/>
      <c r="AW503" s="9"/>
      <c r="AX503" s="9"/>
      <c r="AY503" s="8"/>
      <c r="AZ503" s="8"/>
      <c r="BA503" s="8"/>
      <c r="BB503" s="8"/>
      <c r="BC503" s="8"/>
      <c r="BD503" s="8"/>
      <c r="BE503" s="8"/>
      <c r="BF503" s="8"/>
    </row>
    <row r="504" spans="26:58" ht="16.899999999999999">
      <c r="Z504" s="244"/>
      <c r="AC504" s="10"/>
      <c r="AD504" s="10"/>
      <c r="AF504" s="10"/>
      <c r="AG504" s="10"/>
      <c r="AH504" s="10"/>
      <c r="AI504" s="9"/>
      <c r="AJ504" s="9"/>
      <c r="AK504" s="11"/>
      <c r="AL504" s="10"/>
      <c r="AM504" s="11"/>
      <c r="AN504" s="10"/>
      <c r="AO504" s="11"/>
      <c r="AP504" s="10"/>
      <c r="AQ504" s="10"/>
      <c r="AR504" s="10"/>
      <c r="AS504" s="9"/>
      <c r="AT504" s="9"/>
      <c r="AU504" s="9"/>
      <c r="AV504" s="9"/>
      <c r="AW504" s="9"/>
      <c r="AX504" s="9"/>
      <c r="AY504" s="8"/>
      <c r="AZ504" s="8"/>
      <c r="BA504" s="8"/>
      <c r="BB504" s="8"/>
      <c r="BC504" s="8"/>
      <c r="BD504" s="8"/>
      <c r="BE504" s="8"/>
      <c r="BF504" s="8"/>
    </row>
    <row r="505" spans="26:58" ht="16.899999999999999">
      <c r="Z505" s="244"/>
      <c r="AC505" s="10"/>
      <c r="AD505" s="10"/>
      <c r="AF505" s="10"/>
      <c r="AG505" s="10"/>
      <c r="AH505" s="10"/>
      <c r="AI505" s="9"/>
      <c r="AJ505" s="9"/>
      <c r="AK505" s="11"/>
      <c r="AL505" s="10"/>
      <c r="AM505" s="11"/>
      <c r="AN505" s="10"/>
      <c r="AO505" s="11"/>
      <c r="AP505" s="10"/>
      <c r="AQ505" s="10"/>
      <c r="AR505" s="10"/>
      <c r="AS505" s="9"/>
      <c r="AT505" s="9"/>
      <c r="AU505" s="9"/>
      <c r="AV505" s="9"/>
      <c r="AW505" s="9"/>
      <c r="AX505" s="9"/>
      <c r="AY505" s="8"/>
      <c r="AZ505" s="8"/>
      <c r="BA505" s="8"/>
      <c r="BB505" s="8"/>
      <c r="BC505" s="8"/>
      <c r="BD505" s="8"/>
      <c r="BE505" s="8"/>
      <c r="BF505" s="8"/>
    </row>
    <row r="506" spans="26:58" ht="16.899999999999999">
      <c r="Z506" s="244"/>
      <c r="AC506" s="10"/>
      <c r="AD506" s="10"/>
      <c r="AF506" s="10"/>
      <c r="AG506" s="10"/>
      <c r="AH506" s="10"/>
      <c r="AI506" s="9"/>
      <c r="AJ506" s="9"/>
      <c r="AK506" s="11"/>
      <c r="AL506" s="10"/>
      <c r="AM506" s="11"/>
      <c r="AN506" s="10"/>
      <c r="AO506" s="11"/>
      <c r="AP506" s="10"/>
      <c r="AQ506" s="10"/>
      <c r="AR506" s="10"/>
      <c r="AS506" s="9"/>
      <c r="AT506" s="9"/>
      <c r="AU506" s="9"/>
      <c r="AV506" s="9"/>
      <c r="AW506" s="9"/>
      <c r="AX506" s="9"/>
      <c r="AY506" s="8"/>
      <c r="AZ506" s="8"/>
      <c r="BA506" s="8"/>
      <c r="BB506" s="8"/>
      <c r="BC506" s="8"/>
      <c r="BD506" s="8"/>
      <c r="BE506" s="8"/>
      <c r="BF506" s="8"/>
    </row>
    <row r="507" spans="26:58" ht="16.899999999999999">
      <c r="Z507" s="244"/>
      <c r="AC507" s="10"/>
      <c r="AD507" s="10"/>
      <c r="AF507" s="10"/>
      <c r="AG507" s="10"/>
      <c r="AH507" s="10"/>
      <c r="AI507" s="9"/>
      <c r="AJ507" s="9"/>
      <c r="AK507" s="11"/>
      <c r="AL507" s="10"/>
      <c r="AM507" s="11"/>
      <c r="AN507" s="10"/>
      <c r="AO507" s="11"/>
      <c r="AP507" s="10"/>
      <c r="AQ507" s="10"/>
      <c r="AR507" s="10"/>
      <c r="AS507" s="9"/>
      <c r="AT507" s="9"/>
      <c r="AU507" s="9"/>
      <c r="AV507" s="9"/>
      <c r="AW507" s="9"/>
      <c r="AX507" s="9"/>
      <c r="AY507" s="8"/>
      <c r="AZ507" s="8"/>
      <c r="BA507" s="8"/>
      <c r="BB507" s="8"/>
      <c r="BC507" s="8"/>
      <c r="BD507" s="8"/>
      <c r="BE507" s="8"/>
      <c r="BF507" s="8"/>
    </row>
    <row r="508" spans="26:58" ht="16.899999999999999">
      <c r="Z508" s="244"/>
      <c r="AC508" s="10"/>
      <c r="AD508" s="10"/>
      <c r="AF508" s="10"/>
      <c r="AG508" s="10"/>
      <c r="AH508" s="10"/>
      <c r="AI508" s="9"/>
      <c r="AJ508" s="9"/>
      <c r="AK508" s="11"/>
      <c r="AL508" s="10"/>
      <c r="AM508" s="11"/>
      <c r="AN508" s="10"/>
      <c r="AO508" s="11"/>
      <c r="AP508" s="10"/>
      <c r="AQ508" s="10"/>
      <c r="AR508" s="10"/>
      <c r="AS508" s="9"/>
      <c r="AT508" s="9"/>
      <c r="AU508" s="9"/>
      <c r="AV508" s="9"/>
      <c r="AW508" s="9"/>
      <c r="AX508" s="9"/>
      <c r="AY508" s="8"/>
      <c r="AZ508" s="8"/>
      <c r="BA508" s="8"/>
      <c r="BB508" s="8"/>
      <c r="BC508" s="8"/>
      <c r="BD508" s="8"/>
      <c r="BE508" s="8"/>
      <c r="BF508" s="8"/>
    </row>
    <row r="509" spans="26:58" ht="16.899999999999999">
      <c r="Z509" s="244"/>
      <c r="AC509" s="10"/>
      <c r="AD509" s="10"/>
      <c r="AF509" s="10"/>
      <c r="AG509" s="10"/>
      <c r="AH509" s="10"/>
      <c r="AI509" s="9"/>
      <c r="AJ509" s="9"/>
      <c r="AK509" s="11"/>
      <c r="AL509" s="10"/>
      <c r="AM509" s="11"/>
      <c r="AN509" s="10"/>
      <c r="AO509" s="11"/>
      <c r="AP509" s="10"/>
      <c r="AQ509" s="10"/>
      <c r="AR509" s="10"/>
      <c r="AS509" s="9"/>
      <c r="AT509" s="9"/>
      <c r="AU509" s="9"/>
      <c r="AV509" s="9"/>
      <c r="AW509" s="9"/>
      <c r="AX509" s="9"/>
      <c r="AY509" s="8"/>
      <c r="AZ509" s="8"/>
      <c r="BA509" s="8"/>
      <c r="BB509" s="8"/>
      <c r="BC509" s="8"/>
      <c r="BD509" s="8"/>
      <c r="BE509" s="8"/>
      <c r="BF509" s="8"/>
    </row>
    <row r="510" spans="26:58" ht="16.899999999999999">
      <c r="Z510" s="244"/>
      <c r="AC510" s="10"/>
      <c r="AD510" s="10"/>
      <c r="AF510" s="10"/>
      <c r="AG510" s="10"/>
      <c r="AH510" s="10"/>
      <c r="AI510" s="9"/>
      <c r="AJ510" s="9"/>
      <c r="AK510" s="11"/>
      <c r="AL510" s="10"/>
      <c r="AM510" s="11"/>
      <c r="AN510" s="10"/>
      <c r="AO510" s="11"/>
      <c r="AP510" s="10"/>
      <c r="AQ510" s="10"/>
      <c r="AR510" s="10"/>
      <c r="AS510" s="9"/>
      <c r="AT510" s="9"/>
      <c r="AU510" s="9"/>
      <c r="AV510" s="9"/>
      <c r="AW510" s="9"/>
      <c r="AX510" s="9"/>
      <c r="AY510" s="8"/>
      <c r="AZ510" s="8"/>
      <c r="BA510" s="8"/>
      <c r="BB510" s="8"/>
      <c r="BC510" s="8"/>
      <c r="BD510" s="8"/>
      <c r="BE510" s="8"/>
      <c r="BF510" s="8"/>
    </row>
    <row r="511" spans="26:58" ht="16.899999999999999">
      <c r="Z511" s="244"/>
      <c r="AC511" s="10"/>
      <c r="AD511" s="10"/>
      <c r="AF511" s="10"/>
      <c r="AG511" s="10"/>
      <c r="AH511" s="10"/>
      <c r="AI511" s="9"/>
      <c r="AJ511" s="9"/>
      <c r="AK511" s="11"/>
      <c r="AL511" s="10"/>
      <c r="AM511" s="11"/>
      <c r="AN511" s="10"/>
      <c r="AO511" s="11"/>
      <c r="AP511" s="10"/>
      <c r="AQ511" s="10"/>
      <c r="AR511" s="10"/>
      <c r="AS511" s="9"/>
      <c r="AT511" s="9"/>
      <c r="AU511" s="9"/>
      <c r="AV511" s="9"/>
      <c r="AW511" s="9"/>
      <c r="AX511" s="9"/>
      <c r="AY511" s="8"/>
      <c r="AZ511" s="8"/>
      <c r="BA511" s="8"/>
      <c r="BB511" s="8"/>
      <c r="BC511" s="8"/>
      <c r="BD511" s="8"/>
      <c r="BE511" s="8"/>
      <c r="BF511" s="8"/>
    </row>
    <row r="512" spans="26:58" ht="16.899999999999999">
      <c r="Z512" s="244"/>
      <c r="AC512" s="10"/>
      <c r="AD512" s="10"/>
      <c r="AF512" s="10"/>
      <c r="AG512" s="10"/>
      <c r="AH512" s="10"/>
      <c r="AI512" s="9"/>
      <c r="AJ512" s="9"/>
      <c r="AK512" s="11"/>
      <c r="AL512" s="10"/>
      <c r="AM512" s="11"/>
      <c r="AN512" s="10"/>
      <c r="AO512" s="11"/>
      <c r="AP512" s="10"/>
      <c r="AQ512" s="10"/>
      <c r="AR512" s="10"/>
      <c r="AS512" s="9"/>
      <c r="AT512" s="9"/>
      <c r="AU512" s="9"/>
      <c r="AV512" s="9"/>
      <c r="AW512" s="9"/>
      <c r="AX512" s="9"/>
      <c r="AY512" s="8"/>
      <c r="AZ512" s="8"/>
      <c r="BA512" s="8"/>
      <c r="BB512" s="8"/>
      <c r="BC512" s="8"/>
      <c r="BD512" s="8"/>
      <c r="BE512" s="8"/>
      <c r="BF512" s="8"/>
    </row>
    <row r="513" spans="26:58" ht="16.899999999999999">
      <c r="Z513" s="244"/>
      <c r="AC513" s="10"/>
      <c r="AD513" s="10"/>
      <c r="AF513" s="10"/>
      <c r="AG513" s="10"/>
      <c r="AH513" s="10"/>
      <c r="AI513" s="9"/>
      <c r="AJ513" s="9"/>
      <c r="AK513" s="11"/>
      <c r="AL513" s="10"/>
      <c r="AM513" s="11"/>
      <c r="AN513" s="10"/>
      <c r="AO513" s="11"/>
      <c r="AP513" s="10"/>
      <c r="AQ513" s="10"/>
      <c r="AR513" s="10"/>
      <c r="AS513" s="9"/>
      <c r="AT513" s="9"/>
      <c r="AU513" s="9"/>
      <c r="AV513" s="9"/>
      <c r="AW513" s="9"/>
      <c r="AX513" s="9"/>
      <c r="AY513" s="8"/>
      <c r="AZ513" s="8"/>
      <c r="BA513" s="8"/>
      <c r="BB513" s="8"/>
      <c r="BC513" s="8"/>
      <c r="BD513" s="8"/>
      <c r="BE513" s="8"/>
      <c r="BF513" s="8"/>
    </row>
    <row r="514" spans="26:58" ht="16.899999999999999">
      <c r="Z514" s="244"/>
      <c r="AC514" s="10"/>
      <c r="AD514" s="10"/>
      <c r="AF514" s="10"/>
      <c r="AG514" s="10"/>
      <c r="AH514" s="10"/>
      <c r="AI514" s="9"/>
      <c r="AJ514" s="9"/>
      <c r="AK514" s="11"/>
      <c r="AL514" s="10"/>
      <c r="AM514" s="11"/>
      <c r="AN514" s="10"/>
      <c r="AO514" s="11"/>
      <c r="AP514" s="10"/>
      <c r="AQ514" s="10"/>
      <c r="AR514" s="10"/>
      <c r="AS514" s="9"/>
      <c r="AT514" s="9"/>
      <c r="AU514" s="9"/>
      <c r="AV514" s="9"/>
      <c r="AW514" s="9"/>
      <c r="AX514" s="9"/>
      <c r="AY514" s="8"/>
      <c r="AZ514" s="8"/>
      <c r="BA514" s="8"/>
      <c r="BB514" s="8"/>
      <c r="BC514" s="8"/>
      <c r="BD514" s="8"/>
      <c r="BE514" s="8"/>
      <c r="BF514" s="8"/>
    </row>
    <row r="515" spans="26:58" ht="16.899999999999999">
      <c r="Z515" s="244"/>
      <c r="AC515" s="10"/>
      <c r="AD515" s="10"/>
      <c r="AF515" s="10"/>
      <c r="AG515" s="10"/>
      <c r="AH515" s="10"/>
      <c r="AI515" s="9"/>
      <c r="AJ515" s="9"/>
      <c r="AK515" s="11"/>
      <c r="AL515" s="10"/>
      <c r="AM515" s="11"/>
      <c r="AN515" s="10"/>
      <c r="AO515" s="11"/>
      <c r="AP515" s="10"/>
      <c r="AQ515" s="10"/>
      <c r="AR515" s="10"/>
      <c r="AS515" s="9"/>
      <c r="AT515" s="9"/>
      <c r="AU515" s="9"/>
      <c r="AV515" s="9"/>
      <c r="AW515" s="9"/>
      <c r="AX515" s="9"/>
      <c r="AY515" s="8"/>
      <c r="AZ515" s="8"/>
      <c r="BA515" s="8"/>
      <c r="BB515" s="8"/>
      <c r="BC515" s="8"/>
      <c r="BD515" s="8"/>
      <c r="BE515" s="8"/>
      <c r="BF515" s="8"/>
    </row>
    <row r="516" spans="26:58" ht="16.899999999999999">
      <c r="Z516" s="244"/>
      <c r="AC516" s="10"/>
      <c r="AD516" s="10"/>
      <c r="AF516" s="10"/>
      <c r="AG516" s="10"/>
      <c r="AH516" s="10"/>
      <c r="AI516" s="9"/>
      <c r="AJ516" s="9"/>
      <c r="AK516" s="11"/>
      <c r="AL516" s="10"/>
      <c r="AM516" s="11"/>
      <c r="AN516" s="10"/>
      <c r="AO516" s="11"/>
      <c r="AP516" s="10"/>
      <c r="AQ516" s="10"/>
      <c r="AR516" s="10"/>
      <c r="AS516" s="9"/>
      <c r="AT516" s="9"/>
      <c r="AU516" s="9"/>
      <c r="AV516" s="9"/>
      <c r="AW516" s="9"/>
      <c r="AX516" s="9"/>
      <c r="AY516" s="8"/>
      <c r="AZ516" s="8"/>
      <c r="BA516" s="8"/>
      <c r="BB516" s="8"/>
      <c r="BC516" s="8"/>
      <c r="BD516" s="8"/>
      <c r="BE516" s="8"/>
      <c r="BF516" s="8"/>
    </row>
    <row r="517" spans="26:58" ht="16.899999999999999">
      <c r="Z517" s="244"/>
      <c r="AC517" s="10"/>
      <c r="AD517" s="10"/>
      <c r="AF517" s="10"/>
      <c r="AG517" s="10"/>
      <c r="AH517" s="10"/>
      <c r="AI517" s="9"/>
      <c r="AJ517" s="9"/>
      <c r="AK517" s="11"/>
      <c r="AL517" s="10"/>
      <c r="AM517" s="11"/>
      <c r="AN517" s="10"/>
      <c r="AO517" s="11"/>
      <c r="AP517" s="10"/>
      <c r="AQ517" s="10"/>
      <c r="AR517" s="10"/>
      <c r="AS517" s="9"/>
      <c r="AT517" s="9"/>
      <c r="AU517" s="9"/>
      <c r="AV517" s="9"/>
      <c r="AW517" s="9"/>
      <c r="AX517" s="9"/>
      <c r="AY517" s="8"/>
      <c r="AZ517" s="8"/>
      <c r="BA517" s="8"/>
      <c r="BB517" s="8"/>
      <c r="BC517" s="8"/>
      <c r="BD517" s="8"/>
      <c r="BE517" s="8"/>
      <c r="BF517" s="8"/>
    </row>
    <row r="518" spans="26:58" ht="16.899999999999999">
      <c r="Z518" s="244"/>
      <c r="AC518" s="10"/>
      <c r="AD518" s="10"/>
      <c r="AF518" s="10"/>
      <c r="AG518" s="10"/>
      <c r="AH518" s="10"/>
      <c r="AI518" s="9"/>
      <c r="AJ518" s="9"/>
      <c r="AK518" s="11"/>
      <c r="AL518" s="10"/>
      <c r="AM518" s="11"/>
      <c r="AN518" s="10"/>
      <c r="AO518" s="11"/>
      <c r="AP518" s="10"/>
      <c r="AQ518" s="10"/>
      <c r="AR518" s="10"/>
      <c r="AS518" s="9"/>
      <c r="AT518" s="9"/>
      <c r="AU518" s="9"/>
      <c r="AV518" s="9"/>
      <c r="AW518" s="9"/>
      <c r="AX518" s="9"/>
      <c r="AY518" s="8"/>
      <c r="AZ518" s="8"/>
      <c r="BA518" s="8"/>
      <c r="BB518" s="8"/>
      <c r="BC518" s="8"/>
      <c r="BD518" s="8"/>
      <c r="BE518" s="8"/>
      <c r="BF518" s="8"/>
    </row>
    <row r="519" spans="26:58" ht="16.899999999999999">
      <c r="Z519" s="244"/>
      <c r="AC519" s="10"/>
      <c r="AD519" s="10"/>
      <c r="AF519" s="10"/>
      <c r="AG519" s="10"/>
      <c r="AH519" s="10"/>
      <c r="AI519" s="9"/>
      <c r="AJ519" s="9"/>
      <c r="AK519" s="11"/>
      <c r="AL519" s="10"/>
      <c r="AM519" s="11"/>
      <c r="AN519" s="10"/>
      <c r="AO519" s="11"/>
      <c r="AP519" s="10"/>
      <c r="AQ519" s="10"/>
      <c r="AR519" s="10"/>
      <c r="AS519" s="9"/>
      <c r="AT519" s="9"/>
      <c r="AU519" s="9"/>
      <c r="AV519" s="9"/>
      <c r="AW519" s="9"/>
      <c r="AX519" s="9"/>
      <c r="AY519" s="8"/>
      <c r="AZ519" s="8"/>
      <c r="BA519" s="8"/>
      <c r="BB519" s="8"/>
      <c r="BC519" s="8"/>
      <c r="BD519" s="8"/>
      <c r="BE519" s="8"/>
      <c r="BF519" s="8"/>
    </row>
    <row r="520" spans="26:58" ht="16.899999999999999">
      <c r="Z520" s="244"/>
      <c r="AC520" s="10"/>
      <c r="AD520" s="10"/>
      <c r="AF520" s="10"/>
      <c r="AG520" s="10"/>
      <c r="AH520" s="10"/>
      <c r="AI520" s="9"/>
      <c r="AJ520" s="9"/>
      <c r="AK520" s="11"/>
      <c r="AL520" s="10"/>
      <c r="AM520" s="11"/>
      <c r="AN520" s="10"/>
      <c r="AO520" s="11"/>
      <c r="AP520" s="10"/>
      <c r="AQ520" s="10"/>
      <c r="AR520" s="10"/>
      <c r="AS520" s="9"/>
      <c r="AT520" s="9"/>
      <c r="AU520" s="9"/>
      <c r="AV520" s="9"/>
      <c r="AW520" s="9"/>
      <c r="AX520" s="9"/>
      <c r="AY520" s="8"/>
      <c r="AZ520" s="8"/>
      <c r="BA520" s="8"/>
      <c r="BB520" s="8"/>
      <c r="BC520" s="8"/>
      <c r="BD520" s="8"/>
      <c r="BE520" s="8"/>
      <c r="BF520" s="8"/>
    </row>
    <row r="521" spans="26:58" ht="16.899999999999999">
      <c r="Z521" s="244"/>
      <c r="AC521" s="10"/>
      <c r="AD521" s="10"/>
      <c r="AF521" s="10"/>
      <c r="AG521" s="10"/>
      <c r="AH521" s="10"/>
      <c r="AI521" s="9"/>
      <c r="AJ521" s="9"/>
      <c r="AK521" s="11"/>
      <c r="AL521" s="10"/>
      <c r="AM521" s="11"/>
      <c r="AN521" s="10"/>
      <c r="AO521" s="11"/>
      <c r="AP521" s="10"/>
      <c r="AQ521" s="10"/>
      <c r="AR521" s="10"/>
      <c r="AS521" s="9"/>
      <c r="AT521" s="9"/>
      <c r="AU521" s="9"/>
      <c r="AV521" s="9"/>
      <c r="AW521" s="9"/>
      <c r="AX521" s="9"/>
      <c r="AY521" s="8"/>
      <c r="AZ521" s="8"/>
      <c r="BA521" s="8"/>
      <c r="BB521" s="8"/>
      <c r="BC521" s="8"/>
      <c r="BD521" s="8"/>
      <c r="BE521" s="8"/>
      <c r="BF521" s="8"/>
    </row>
    <row r="522" spans="26:58" ht="16.899999999999999">
      <c r="Z522" s="244"/>
      <c r="AC522" s="10"/>
      <c r="AD522" s="10"/>
      <c r="AF522" s="10"/>
      <c r="AG522" s="10"/>
      <c r="AH522" s="10"/>
      <c r="AI522" s="9"/>
      <c r="AJ522" s="9"/>
      <c r="AK522" s="11"/>
      <c r="AL522" s="10"/>
      <c r="AM522" s="11"/>
      <c r="AN522" s="10"/>
      <c r="AO522" s="11"/>
      <c r="AP522" s="10"/>
      <c r="AQ522" s="10"/>
      <c r="AR522" s="10"/>
      <c r="AS522" s="9"/>
      <c r="AT522" s="9"/>
      <c r="AU522" s="9"/>
      <c r="AV522" s="9"/>
      <c r="AW522" s="9"/>
      <c r="AX522" s="9"/>
      <c r="AY522" s="8"/>
      <c r="AZ522" s="8"/>
      <c r="BA522" s="8"/>
      <c r="BB522" s="8"/>
      <c r="BC522" s="8"/>
      <c r="BD522" s="8"/>
      <c r="BE522" s="8"/>
      <c r="BF522" s="8"/>
    </row>
    <row r="523" spans="26:58" ht="16.899999999999999">
      <c r="Z523" s="244"/>
      <c r="AC523" s="10"/>
      <c r="AD523" s="10"/>
      <c r="AF523" s="10"/>
      <c r="AG523" s="10"/>
      <c r="AH523" s="10"/>
      <c r="AI523" s="9"/>
      <c r="AJ523" s="9"/>
      <c r="AK523" s="11"/>
      <c r="AL523" s="10"/>
      <c r="AM523" s="11"/>
      <c r="AN523" s="10"/>
      <c r="AO523" s="11"/>
      <c r="AP523" s="10"/>
      <c r="AQ523" s="10"/>
      <c r="AR523" s="10"/>
      <c r="AS523" s="9"/>
      <c r="AT523" s="9"/>
      <c r="AU523" s="9"/>
      <c r="AV523" s="9"/>
      <c r="AW523" s="9"/>
      <c r="AX523" s="9"/>
      <c r="AY523" s="8"/>
      <c r="AZ523" s="8"/>
      <c r="BA523" s="8"/>
      <c r="BB523" s="8"/>
      <c r="BC523" s="8"/>
      <c r="BD523" s="8"/>
      <c r="BE523" s="8"/>
      <c r="BF523" s="8"/>
    </row>
    <row r="524" spans="26:58" ht="16.899999999999999">
      <c r="Z524" s="244"/>
      <c r="AC524" s="10"/>
      <c r="AD524" s="10"/>
      <c r="AF524" s="10"/>
      <c r="AG524" s="10"/>
      <c r="AH524" s="10"/>
      <c r="AI524" s="9"/>
      <c r="AJ524" s="9"/>
      <c r="AK524" s="11"/>
      <c r="AL524" s="10"/>
      <c r="AM524" s="11"/>
      <c r="AN524" s="10"/>
      <c r="AO524" s="11"/>
      <c r="AP524" s="10"/>
      <c r="AQ524" s="10"/>
      <c r="AR524" s="10"/>
      <c r="AS524" s="9"/>
      <c r="AT524" s="9"/>
      <c r="AU524" s="9"/>
      <c r="AV524" s="9"/>
      <c r="AW524" s="9"/>
      <c r="AX524" s="9"/>
      <c r="AY524" s="8"/>
      <c r="AZ524" s="8"/>
      <c r="BA524" s="8"/>
      <c r="BB524" s="8"/>
      <c r="BC524" s="8"/>
      <c r="BD524" s="8"/>
      <c r="BE524" s="8"/>
      <c r="BF524" s="8"/>
    </row>
    <row r="525" spans="26:58" ht="16.899999999999999">
      <c r="Z525" s="244"/>
      <c r="AC525" s="10"/>
      <c r="AD525" s="10"/>
      <c r="AF525" s="10"/>
      <c r="AG525" s="10"/>
      <c r="AH525" s="10"/>
      <c r="AI525" s="9"/>
      <c r="AJ525" s="9"/>
      <c r="AK525" s="11"/>
      <c r="AL525" s="10"/>
      <c r="AM525" s="11"/>
      <c r="AN525" s="10"/>
      <c r="AO525" s="11"/>
      <c r="AP525" s="10"/>
      <c r="AQ525" s="10"/>
      <c r="AR525" s="10"/>
      <c r="AS525" s="9"/>
      <c r="AT525" s="9"/>
      <c r="AU525" s="9"/>
      <c r="AV525" s="9"/>
      <c r="AW525" s="9"/>
      <c r="AX525" s="9"/>
      <c r="AY525" s="8"/>
      <c r="AZ525" s="8"/>
      <c r="BA525" s="8"/>
      <c r="BB525" s="8"/>
      <c r="BC525" s="8"/>
      <c r="BD525" s="8"/>
      <c r="BE525" s="8"/>
      <c r="BF525" s="8"/>
    </row>
    <row r="526" spans="26:58" ht="16.899999999999999">
      <c r="Z526" s="244"/>
      <c r="AC526" s="10"/>
      <c r="AD526" s="10"/>
      <c r="AF526" s="10"/>
      <c r="AG526" s="10"/>
      <c r="AH526" s="10"/>
      <c r="AI526" s="9"/>
      <c r="AJ526" s="9"/>
      <c r="AK526" s="11"/>
      <c r="AL526" s="10"/>
      <c r="AM526" s="11"/>
      <c r="AN526" s="10"/>
      <c r="AO526" s="11"/>
      <c r="AP526" s="10"/>
      <c r="AQ526" s="10"/>
      <c r="AR526" s="10"/>
      <c r="AS526" s="9"/>
      <c r="AT526" s="9"/>
      <c r="AU526" s="9"/>
      <c r="AV526" s="9"/>
      <c r="AW526" s="9"/>
      <c r="AX526" s="9"/>
      <c r="AY526" s="8"/>
      <c r="AZ526" s="8"/>
      <c r="BA526" s="8"/>
      <c r="BB526" s="8"/>
      <c r="BC526" s="8"/>
      <c r="BD526" s="8"/>
      <c r="BE526" s="8"/>
      <c r="BF526" s="8"/>
    </row>
    <row r="527" spans="26:58" ht="16.899999999999999">
      <c r="Z527" s="244"/>
      <c r="AC527" s="10"/>
      <c r="AD527" s="10"/>
      <c r="AF527" s="10"/>
      <c r="AG527" s="10"/>
      <c r="AH527" s="10"/>
      <c r="AI527" s="9"/>
      <c r="AJ527" s="9"/>
      <c r="AK527" s="11"/>
      <c r="AL527" s="10"/>
      <c r="AM527" s="11"/>
      <c r="AN527" s="10"/>
      <c r="AO527" s="11"/>
      <c r="AP527" s="10"/>
      <c r="AQ527" s="10"/>
      <c r="AR527" s="10"/>
      <c r="AS527" s="9"/>
      <c r="AT527" s="9"/>
      <c r="AU527" s="9"/>
      <c r="AV527" s="9"/>
      <c r="AW527" s="9"/>
      <c r="AX527" s="9"/>
      <c r="AY527" s="8"/>
      <c r="AZ527" s="8"/>
      <c r="BA527" s="8"/>
      <c r="BB527" s="8"/>
      <c r="BC527" s="8"/>
      <c r="BD527" s="8"/>
      <c r="BE527" s="8"/>
      <c r="BF527" s="8"/>
    </row>
    <row r="528" spans="26:58" ht="16.899999999999999">
      <c r="Z528" s="244"/>
      <c r="AC528" s="10"/>
      <c r="AD528" s="10"/>
      <c r="AF528" s="10"/>
      <c r="AG528" s="10"/>
      <c r="AH528" s="10"/>
      <c r="AI528" s="9"/>
      <c r="AJ528" s="9"/>
      <c r="AK528" s="11"/>
      <c r="AL528" s="10"/>
      <c r="AM528" s="11"/>
      <c r="AN528" s="10"/>
      <c r="AO528" s="11"/>
      <c r="AP528" s="10"/>
      <c r="AQ528" s="10"/>
      <c r="AR528" s="10"/>
      <c r="AS528" s="9"/>
      <c r="AT528" s="9"/>
      <c r="AU528" s="9"/>
      <c r="AV528" s="9"/>
      <c r="AW528" s="9"/>
      <c r="AX528" s="9"/>
      <c r="AY528" s="8"/>
      <c r="AZ528" s="8"/>
      <c r="BA528" s="8"/>
      <c r="BB528" s="8"/>
      <c r="BC528" s="8"/>
      <c r="BD528" s="8"/>
      <c r="BE528" s="8"/>
      <c r="BF528" s="8"/>
    </row>
    <row r="529" spans="26:58" ht="16.899999999999999">
      <c r="Z529" s="244"/>
      <c r="AC529" s="10"/>
      <c r="AD529" s="10"/>
      <c r="AF529" s="10"/>
      <c r="AG529" s="10"/>
      <c r="AH529" s="10"/>
      <c r="AI529" s="9"/>
      <c r="AJ529" s="9"/>
      <c r="AK529" s="11"/>
      <c r="AL529" s="10"/>
      <c r="AM529" s="11"/>
      <c r="AN529" s="10"/>
      <c r="AO529" s="11"/>
      <c r="AP529" s="10"/>
      <c r="AQ529" s="10"/>
      <c r="AR529" s="10"/>
      <c r="AS529" s="9"/>
      <c r="AT529" s="9"/>
      <c r="AU529" s="9"/>
      <c r="AV529" s="9"/>
      <c r="AW529" s="9"/>
      <c r="AX529" s="9"/>
      <c r="AY529" s="8"/>
      <c r="AZ529" s="8"/>
      <c r="BA529" s="8"/>
      <c r="BB529" s="8"/>
      <c r="BC529" s="8"/>
      <c r="BD529" s="8"/>
      <c r="BE529" s="8"/>
      <c r="BF529" s="8"/>
    </row>
    <row r="530" spans="26:58" ht="16.899999999999999">
      <c r="Z530" s="244"/>
      <c r="AC530" s="10"/>
      <c r="AD530" s="10"/>
      <c r="AF530" s="10"/>
      <c r="AG530" s="10"/>
      <c r="AH530" s="10"/>
      <c r="AI530" s="9"/>
      <c r="AJ530" s="9"/>
      <c r="AK530" s="11"/>
      <c r="AL530" s="10"/>
      <c r="AM530" s="11"/>
      <c r="AN530" s="10"/>
      <c r="AO530" s="11"/>
      <c r="AP530" s="10"/>
      <c r="AQ530" s="10"/>
      <c r="AR530" s="10"/>
      <c r="AS530" s="9"/>
      <c r="AT530" s="9"/>
      <c r="AU530" s="9"/>
      <c r="AV530" s="9"/>
      <c r="AW530" s="9"/>
      <c r="AX530" s="9"/>
      <c r="AY530" s="8"/>
      <c r="AZ530" s="8"/>
      <c r="BA530" s="8"/>
      <c r="BB530" s="8"/>
      <c r="BC530" s="8"/>
      <c r="BD530" s="8"/>
      <c r="BE530" s="8"/>
      <c r="BF530" s="8"/>
    </row>
    <row r="531" spans="26:58" ht="16.899999999999999">
      <c r="Z531" s="244"/>
      <c r="AC531" s="10"/>
      <c r="AD531" s="10"/>
      <c r="AF531" s="10"/>
      <c r="AG531" s="10"/>
      <c r="AH531" s="10"/>
      <c r="AI531" s="9"/>
      <c r="AJ531" s="9"/>
      <c r="AK531" s="11"/>
      <c r="AL531" s="10"/>
      <c r="AM531" s="11"/>
      <c r="AN531" s="10"/>
      <c r="AO531" s="11"/>
      <c r="AP531" s="10"/>
      <c r="AQ531" s="10"/>
      <c r="AR531" s="10"/>
      <c r="AS531" s="9"/>
      <c r="AT531" s="9"/>
      <c r="AU531" s="9"/>
      <c r="AV531" s="9"/>
      <c r="AW531" s="9"/>
      <c r="AX531" s="9"/>
      <c r="AY531" s="8"/>
      <c r="AZ531" s="8"/>
      <c r="BA531" s="8"/>
      <c r="BB531" s="8"/>
      <c r="BC531" s="8"/>
      <c r="BD531" s="8"/>
      <c r="BE531" s="8"/>
      <c r="BF531" s="8"/>
    </row>
    <row r="532" spans="26:58" ht="16.899999999999999">
      <c r="Z532" s="244"/>
      <c r="AC532" s="10"/>
      <c r="AD532" s="10"/>
      <c r="AF532" s="10"/>
      <c r="AG532" s="10"/>
      <c r="AH532" s="10"/>
      <c r="AI532" s="9"/>
      <c r="AJ532" s="9"/>
      <c r="AK532" s="11"/>
      <c r="AL532" s="10"/>
      <c r="AM532" s="11"/>
      <c r="AN532" s="10"/>
      <c r="AO532" s="11"/>
      <c r="AP532" s="10"/>
      <c r="AQ532" s="10"/>
      <c r="AR532" s="10"/>
      <c r="AS532" s="9"/>
      <c r="AT532" s="9"/>
      <c r="AU532" s="9"/>
      <c r="AV532" s="9"/>
      <c r="AW532" s="9"/>
      <c r="AX532" s="9"/>
      <c r="AY532" s="8"/>
      <c r="AZ532" s="8"/>
      <c r="BA532" s="8"/>
      <c r="BB532" s="8"/>
      <c r="BC532" s="8"/>
      <c r="BD532" s="8"/>
      <c r="BE532" s="8"/>
      <c r="BF532" s="8"/>
    </row>
    <row r="533" spans="26:58" ht="16.899999999999999">
      <c r="Z533" s="244"/>
      <c r="AC533" s="10"/>
      <c r="AD533" s="10"/>
      <c r="AF533" s="10"/>
      <c r="AG533" s="10"/>
      <c r="AH533" s="10"/>
      <c r="AI533" s="9"/>
      <c r="AJ533" s="9"/>
      <c r="AK533" s="11"/>
      <c r="AL533" s="10"/>
      <c r="AM533" s="11"/>
      <c r="AN533" s="10"/>
      <c r="AO533" s="11"/>
      <c r="AP533" s="10"/>
      <c r="AQ533" s="10"/>
      <c r="AR533" s="10"/>
      <c r="AS533" s="9"/>
      <c r="AT533" s="9"/>
      <c r="AU533" s="9"/>
      <c r="AV533" s="9"/>
      <c r="AW533" s="9"/>
      <c r="AX533" s="9"/>
      <c r="AY533" s="8"/>
      <c r="AZ533" s="8"/>
      <c r="BA533" s="8"/>
      <c r="BB533" s="8"/>
      <c r="BC533" s="8"/>
      <c r="BD533" s="8"/>
      <c r="BE533" s="8"/>
      <c r="BF533" s="8"/>
    </row>
    <row r="534" spans="26:58" ht="16.899999999999999">
      <c r="Z534" s="244"/>
      <c r="AC534" s="10"/>
      <c r="AD534" s="10"/>
      <c r="AF534" s="10"/>
      <c r="AG534" s="10"/>
      <c r="AH534" s="10"/>
      <c r="AI534" s="9"/>
      <c r="AJ534" s="9"/>
      <c r="AK534" s="11"/>
      <c r="AL534" s="10"/>
      <c r="AM534" s="11"/>
      <c r="AN534" s="10"/>
      <c r="AO534" s="11"/>
      <c r="AP534" s="10"/>
      <c r="AQ534" s="10"/>
      <c r="AR534" s="10"/>
      <c r="AS534" s="9"/>
      <c r="AT534" s="9"/>
      <c r="AU534" s="9"/>
      <c r="AV534" s="9"/>
      <c r="AW534" s="9"/>
      <c r="AX534" s="9"/>
      <c r="AY534" s="8"/>
      <c r="AZ534" s="8"/>
      <c r="BA534" s="8"/>
      <c r="BB534" s="8"/>
      <c r="BC534" s="8"/>
      <c r="BD534" s="8"/>
      <c r="BE534" s="8"/>
      <c r="BF534" s="8"/>
    </row>
    <row r="535" spans="26:58" ht="16.899999999999999">
      <c r="Z535" s="244"/>
      <c r="AC535" s="10"/>
      <c r="AD535" s="10"/>
      <c r="AF535" s="10"/>
      <c r="AG535" s="10"/>
      <c r="AH535" s="10"/>
      <c r="AI535" s="9"/>
      <c r="AJ535" s="9"/>
      <c r="AK535" s="11"/>
      <c r="AL535" s="10"/>
      <c r="AM535" s="11"/>
      <c r="AN535" s="10"/>
      <c r="AO535" s="11"/>
      <c r="AP535" s="10"/>
      <c r="AQ535" s="10"/>
      <c r="AR535" s="10"/>
      <c r="AS535" s="9"/>
      <c r="AT535" s="9"/>
      <c r="AU535" s="9"/>
      <c r="AV535" s="9"/>
      <c r="AW535" s="9"/>
      <c r="AX535" s="9"/>
      <c r="AY535" s="8"/>
      <c r="AZ535" s="8"/>
      <c r="BA535" s="8"/>
      <c r="BB535" s="8"/>
      <c r="BC535" s="8"/>
      <c r="BD535" s="8"/>
      <c r="BE535" s="8"/>
      <c r="BF535" s="8"/>
    </row>
    <row r="536" spans="26:58" ht="16.899999999999999">
      <c r="Z536" s="244"/>
      <c r="AC536" s="10"/>
      <c r="AD536" s="10"/>
      <c r="AF536" s="10"/>
      <c r="AG536" s="10"/>
      <c r="AH536" s="10"/>
      <c r="AI536" s="9"/>
      <c r="AJ536" s="9"/>
      <c r="AK536" s="11"/>
      <c r="AL536" s="10"/>
      <c r="AM536" s="11"/>
      <c r="AN536" s="10"/>
      <c r="AO536" s="11"/>
      <c r="AP536" s="10"/>
      <c r="AQ536" s="10"/>
      <c r="AR536" s="10"/>
      <c r="AS536" s="9"/>
      <c r="AT536" s="9"/>
      <c r="AU536" s="9"/>
      <c r="AV536" s="9"/>
      <c r="AW536" s="9"/>
      <c r="AX536" s="9"/>
      <c r="AY536" s="8"/>
      <c r="AZ536" s="8"/>
      <c r="BA536" s="8"/>
      <c r="BB536" s="8"/>
      <c r="BC536" s="8"/>
      <c r="BD536" s="8"/>
      <c r="BE536" s="8"/>
      <c r="BF536" s="8"/>
    </row>
    <row r="537" spans="26:58" ht="16.899999999999999">
      <c r="Z537" s="244"/>
      <c r="AC537" s="10"/>
      <c r="AD537" s="10"/>
      <c r="AF537" s="10"/>
      <c r="AG537" s="10"/>
      <c r="AH537" s="10"/>
      <c r="AI537" s="9"/>
      <c r="AJ537" s="9"/>
      <c r="AK537" s="11"/>
      <c r="AL537" s="10"/>
      <c r="AM537" s="11"/>
      <c r="AN537" s="10"/>
      <c r="AO537" s="11"/>
      <c r="AP537" s="10"/>
      <c r="AQ537" s="10"/>
      <c r="AR537" s="10"/>
      <c r="AS537" s="9"/>
      <c r="AT537" s="9"/>
      <c r="AU537" s="9"/>
      <c r="AV537" s="9"/>
      <c r="AW537" s="9"/>
      <c r="AX537" s="9"/>
      <c r="AY537" s="8"/>
      <c r="AZ537" s="8"/>
      <c r="BA537" s="8"/>
      <c r="BB537" s="8"/>
      <c r="BC537" s="8"/>
      <c r="BD537" s="8"/>
      <c r="BE537" s="8"/>
      <c r="BF537" s="8"/>
    </row>
    <row r="538" spans="26:58" ht="16.899999999999999">
      <c r="Z538" s="244"/>
      <c r="AC538" s="10"/>
      <c r="AD538" s="10"/>
      <c r="AF538" s="10"/>
      <c r="AG538" s="10"/>
      <c r="AH538" s="10"/>
      <c r="AI538" s="9"/>
      <c r="AJ538" s="9"/>
      <c r="AK538" s="11"/>
      <c r="AL538" s="10"/>
      <c r="AM538" s="11"/>
      <c r="AN538" s="10"/>
      <c r="AO538" s="11"/>
      <c r="AP538" s="10"/>
      <c r="AQ538" s="10"/>
      <c r="AR538" s="10"/>
      <c r="AS538" s="9"/>
      <c r="AT538" s="9"/>
      <c r="AU538" s="9"/>
      <c r="AV538" s="9"/>
      <c r="AW538" s="9"/>
      <c r="AX538" s="9"/>
      <c r="AY538" s="8"/>
      <c r="AZ538" s="8"/>
      <c r="BA538" s="8"/>
      <c r="BB538" s="8"/>
      <c r="BC538" s="8"/>
      <c r="BD538" s="8"/>
      <c r="BE538" s="8"/>
      <c r="BF538" s="8"/>
    </row>
    <row r="539" spans="26:58" ht="16.899999999999999">
      <c r="Z539" s="244"/>
      <c r="AC539" s="10"/>
      <c r="AD539" s="10"/>
      <c r="AF539" s="10"/>
      <c r="AG539" s="10"/>
      <c r="AH539" s="10"/>
      <c r="AI539" s="9"/>
      <c r="AJ539" s="9"/>
      <c r="AK539" s="11"/>
      <c r="AL539" s="10"/>
      <c r="AM539" s="11"/>
      <c r="AN539" s="10"/>
      <c r="AO539" s="11"/>
      <c r="AP539" s="10"/>
      <c r="AQ539" s="10"/>
      <c r="AR539" s="10"/>
      <c r="AS539" s="9"/>
      <c r="AT539" s="9"/>
      <c r="AU539" s="9"/>
      <c r="AV539" s="9"/>
      <c r="AW539" s="9"/>
      <c r="AX539" s="9"/>
      <c r="AY539" s="8"/>
      <c r="AZ539" s="8"/>
      <c r="BA539" s="8"/>
      <c r="BB539" s="8"/>
      <c r="BC539" s="8"/>
      <c r="BD539" s="8"/>
      <c r="BE539" s="8"/>
      <c r="BF539" s="8"/>
    </row>
    <row r="540" spans="26:58" ht="16.899999999999999">
      <c r="Z540" s="244"/>
      <c r="AC540" s="10"/>
      <c r="AD540" s="10"/>
      <c r="AF540" s="10"/>
      <c r="AG540" s="10"/>
      <c r="AH540" s="10"/>
      <c r="AI540" s="9"/>
      <c r="AJ540" s="9"/>
      <c r="AK540" s="11"/>
      <c r="AL540" s="10"/>
      <c r="AM540" s="11"/>
      <c r="AN540" s="10"/>
      <c r="AO540" s="11"/>
      <c r="AP540" s="10"/>
      <c r="AQ540" s="10"/>
      <c r="AR540" s="10"/>
      <c r="AS540" s="9"/>
      <c r="AT540" s="9"/>
      <c r="AU540" s="9"/>
      <c r="AV540" s="9"/>
      <c r="AW540" s="9"/>
      <c r="AX540" s="9"/>
      <c r="AY540" s="8"/>
      <c r="AZ540" s="8"/>
      <c r="BA540" s="8"/>
      <c r="BB540" s="8"/>
      <c r="BC540" s="8"/>
      <c r="BD540" s="8"/>
      <c r="BE540" s="8"/>
      <c r="BF540" s="8"/>
    </row>
    <row r="541" spans="26:58" ht="16.899999999999999">
      <c r="Z541" s="244"/>
      <c r="AC541" s="10"/>
      <c r="AD541" s="10"/>
      <c r="AF541" s="10"/>
      <c r="AG541" s="10"/>
      <c r="AH541" s="10"/>
      <c r="AI541" s="9"/>
      <c r="AJ541" s="9"/>
      <c r="AK541" s="11"/>
      <c r="AL541" s="10"/>
      <c r="AM541" s="11"/>
      <c r="AN541" s="10"/>
      <c r="AO541" s="11"/>
      <c r="AP541" s="10"/>
      <c r="AQ541" s="10"/>
      <c r="AR541" s="10"/>
      <c r="AS541" s="9"/>
      <c r="AT541" s="9"/>
      <c r="AU541" s="9"/>
      <c r="AV541" s="9"/>
      <c r="AW541" s="9"/>
      <c r="AX541" s="9"/>
      <c r="AY541" s="8"/>
      <c r="AZ541" s="8"/>
      <c r="BA541" s="8"/>
      <c r="BB541" s="8"/>
      <c r="BC541" s="8"/>
      <c r="BD541" s="8"/>
      <c r="BE541" s="8"/>
      <c r="BF541" s="8"/>
    </row>
    <row r="542" spans="26:58" ht="16.899999999999999">
      <c r="Z542" s="244"/>
      <c r="AC542" s="10"/>
      <c r="AD542" s="10"/>
      <c r="AF542" s="10"/>
      <c r="AG542" s="10"/>
      <c r="AH542" s="10"/>
      <c r="AI542" s="9"/>
      <c r="AJ542" s="9"/>
      <c r="AK542" s="11"/>
      <c r="AL542" s="10"/>
      <c r="AM542" s="11"/>
      <c r="AN542" s="10"/>
      <c r="AO542" s="11"/>
      <c r="AP542" s="10"/>
      <c r="AQ542" s="10"/>
      <c r="AR542" s="10"/>
      <c r="AS542" s="9"/>
      <c r="AT542" s="9"/>
      <c r="AU542" s="9"/>
      <c r="AV542" s="9"/>
      <c r="AW542" s="9"/>
      <c r="AX542" s="9"/>
      <c r="AY542" s="8"/>
      <c r="AZ542" s="8"/>
      <c r="BA542" s="8"/>
      <c r="BB542" s="8"/>
      <c r="BC542" s="8"/>
      <c r="BD542" s="8"/>
      <c r="BE542" s="8"/>
      <c r="BF542" s="8"/>
    </row>
    <row r="543" spans="26:58" ht="16.899999999999999">
      <c r="Z543" s="244"/>
      <c r="AC543" s="10"/>
      <c r="AD543" s="10"/>
      <c r="AF543" s="10"/>
      <c r="AG543" s="10"/>
      <c r="AH543" s="10"/>
      <c r="AI543" s="9"/>
      <c r="AJ543" s="9"/>
      <c r="AK543" s="11"/>
      <c r="AL543" s="10"/>
      <c r="AM543" s="11"/>
      <c r="AN543" s="10"/>
      <c r="AO543" s="11"/>
      <c r="AP543" s="10"/>
      <c r="AQ543" s="10"/>
      <c r="AR543" s="10"/>
      <c r="AS543" s="9"/>
      <c r="AT543" s="9"/>
      <c r="AU543" s="9"/>
      <c r="AV543" s="9"/>
      <c r="AW543" s="9"/>
      <c r="AX543" s="9"/>
      <c r="AY543" s="8"/>
      <c r="AZ543" s="8"/>
      <c r="BA543" s="8"/>
      <c r="BB543" s="8"/>
      <c r="BC543" s="8"/>
      <c r="BD543" s="8"/>
      <c r="BE543" s="8"/>
      <c r="BF543" s="8"/>
    </row>
    <row r="544" spans="26:58" ht="16.899999999999999">
      <c r="Z544" s="244"/>
      <c r="AC544" s="10"/>
      <c r="AD544" s="10"/>
      <c r="AF544" s="10"/>
      <c r="AG544" s="10"/>
      <c r="AH544" s="10"/>
      <c r="AI544" s="9"/>
      <c r="AJ544" s="9"/>
      <c r="AK544" s="11"/>
      <c r="AL544" s="10"/>
      <c r="AM544" s="11"/>
      <c r="AN544" s="10"/>
      <c r="AO544" s="11"/>
      <c r="AP544" s="10"/>
      <c r="AQ544" s="10"/>
      <c r="AR544" s="10"/>
      <c r="AS544" s="9"/>
      <c r="AT544" s="9"/>
      <c r="AU544" s="9"/>
      <c r="AV544" s="9"/>
      <c r="AW544" s="9"/>
      <c r="AX544" s="9"/>
      <c r="AY544" s="8"/>
      <c r="AZ544" s="8"/>
      <c r="BA544" s="8"/>
      <c r="BB544" s="8"/>
      <c r="BC544" s="8"/>
      <c r="BD544" s="8"/>
      <c r="BE544" s="8"/>
      <c r="BF544" s="8"/>
    </row>
    <row r="545" spans="26:58" ht="16.899999999999999">
      <c r="Z545" s="244"/>
      <c r="AC545" s="10"/>
      <c r="AD545" s="10"/>
      <c r="AF545" s="10"/>
      <c r="AG545" s="10"/>
      <c r="AH545" s="10"/>
      <c r="AI545" s="9"/>
      <c r="AJ545" s="9"/>
      <c r="AK545" s="11"/>
      <c r="AL545" s="10"/>
      <c r="AM545" s="11"/>
      <c r="AN545" s="10"/>
      <c r="AO545" s="11"/>
      <c r="AP545" s="10"/>
      <c r="AQ545" s="10"/>
      <c r="AR545" s="10"/>
      <c r="AS545" s="9"/>
      <c r="AT545" s="9"/>
      <c r="AU545" s="9"/>
      <c r="AV545" s="9"/>
      <c r="AW545" s="9"/>
      <c r="AX545" s="9"/>
      <c r="AY545" s="8"/>
      <c r="AZ545" s="8"/>
      <c r="BA545" s="8"/>
      <c r="BB545" s="8"/>
      <c r="BC545" s="8"/>
      <c r="BD545" s="8"/>
      <c r="BE545" s="8"/>
      <c r="BF545" s="8"/>
    </row>
    <row r="546" spans="26:58" ht="16.899999999999999">
      <c r="Z546" s="244"/>
      <c r="AC546" s="10"/>
      <c r="AD546" s="10"/>
      <c r="AF546" s="10"/>
      <c r="AG546" s="10"/>
      <c r="AH546" s="10"/>
      <c r="AI546" s="9"/>
      <c r="AJ546" s="9"/>
      <c r="AK546" s="11"/>
      <c r="AL546" s="10"/>
      <c r="AM546" s="11"/>
      <c r="AN546" s="10"/>
      <c r="AO546" s="11"/>
      <c r="AP546" s="10"/>
      <c r="AQ546" s="10"/>
      <c r="AR546" s="10"/>
      <c r="AS546" s="9"/>
      <c r="AT546" s="9"/>
      <c r="AU546" s="9"/>
      <c r="AV546" s="9"/>
      <c r="AW546" s="9"/>
      <c r="AX546" s="9"/>
      <c r="AY546" s="8"/>
      <c r="AZ546" s="8"/>
      <c r="BA546" s="8"/>
      <c r="BB546" s="8"/>
      <c r="BC546" s="8"/>
      <c r="BD546" s="8"/>
      <c r="BE546" s="8"/>
      <c r="BF546" s="8"/>
    </row>
    <row r="547" spans="26:58" ht="16.899999999999999">
      <c r="Z547" s="244"/>
      <c r="AC547" s="10"/>
      <c r="AD547" s="10"/>
      <c r="AF547" s="10"/>
      <c r="AG547" s="10"/>
      <c r="AH547" s="10"/>
      <c r="AI547" s="9"/>
      <c r="AJ547" s="9"/>
      <c r="AK547" s="11"/>
      <c r="AL547" s="10"/>
      <c r="AM547" s="11"/>
      <c r="AN547" s="10"/>
      <c r="AO547" s="11"/>
      <c r="AP547" s="10"/>
      <c r="AQ547" s="10"/>
      <c r="AR547" s="10"/>
      <c r="AS547" s="9"/>
      <c r="AT547" s="9"/>
      <c r="AU547" s="9"/>
      <c r="AV547" s="9"/>
      <c r="AW547" s="9"/>
      <c r="AX547" s="9"/>
      <c r="AY547" s="8"/>
      <c r="AZ547" s="8"/>
      <c r="BA547" s="8"/>
      <c r="BB547" s="8"/>
      <c r="BC547" s="8"/>
      <c r="BD547" s="8"/>
      <c r="BE547" s="8"/>
      <c r="BF547" s="8"/>
    </row>
    <row r="548" spans="26:58" ht="16.899999999999999">
      <c r="Z548" s="244"/>
      <c r="AC548" s="10"/>
      <c r="AD548" s="10"/>
      <c r="AF548" s="10"/>
      <c r="AG548" s="10"/>
      <c r="AH548" s="10"/>
      <c r="AI548" s="9"/>
      <c r="AJ548" s="9"/>
      <c r="AK548" s="11"/>
      <c r="AL548" s="10"/>
      <c r="AM548" s="11"/>
      <c r="AN548" s="10"/>
      <c r="AO548" s="11"/>
      <c r="AP548" s="10"/>
      <c r="AQ548" s="10"/>
      <c r="AR548" s="10"/>
      <c r="AS548" s="9"/>
      <c r="AT548" s="9"/>
      <c r="AU548" s="9"/>
      <c r="AV548" s="9"/>
      <c r="AW548" s="9"/>
      <c r="AX548" s="9"/>
      <c r="AY548" s="8"/>
      <c r="AZ548" s="8"/>
      <c r="BA548" s="8"/>
      <c r="BB548" s="8"/>
      <c r="BC548" s="8"/>
      <c r="BD548" s="8"/>
      <c r="BE548" s="8"/>
      <c r="BF548" s="8"/>
    </row>
    <row r="549" spans="26:58" ht="16.899999999999999">
      <c r="Z549" s="244"/>
      <c r="AC549" s="10"/>
      <c r="AD549" s="10"/>
      <c r="AF549" s="10"/>
      <c r="AG549" s="10"/>
      <c r="AH549" s="10"/>
      <c r="AI549" s="9"/>
      <c r="AJ549" s="9"/>
      <c r="AK549" s="11"/>
      <c r="AL549" s="10"/>
      <c r="AM549" s="11"/>
      <c r="AN549" s="10"/>
      <c r="AO549" s="11"/>
      <c r="AP549" s="10"/>
      <c r="AQ549" s="10"/>
      <c r="AR549" s="10"/>
      <c r="AS549" s="9"/>
      <c r="AT549" s="9"/>
      <c r="AU549" s="9"/>
      <c r="AV549" s="9"/>
      <c r="AW549" s="9"/>
      <c r="AX549" s="9"/>
      <c r="AY549" s="8"/>
      <c r="AZ549" s="8"/>
      <c r="BA549" s="8"/>
      <c r="BB549" s="8"/>
      <c r="BC549" s="8"/>
      <c r="BD549" s="8"/>
      <c r="BE549" s="8"/>
      <c r="BF549" s="8"/>
    </row>
    <row r="550" spans="26:58" ht="16.899999999999999">
      <c r="Z550" s="244"/>
      <c r="AC550" s="10"/>
      <c r="AD550" s="10"/>
      <c r="AF550" s="10"/>
      <c r="AG550" s="10"/>
      <c r="AH550" s="10"/>
      <c r="AI550" s="9"/>
      <c r="AJ550" s="9"/>
      <c r="AK550" s="11"/>
      <c r="AL550" s="10"/>
      <c r="AM550" s="11"/>
      <c r="AN550" s="10"/>
      <c r="AO550" s="11"/>
      <c r="AP550" s="10"/>
      <c r="AQ550" s="10"/>
      <c r="AR550" s="10"/>
      <c r="AS550" s="9"/>
      <c r="AT550" s="9"/>
      <c r="AU550" s="9"/>
      <c r="AV550" s="9"/>
      <c r="AW550" s="9"/>
      <c r="AX550" s="9"/>
      <c r="AY550" s="8"/>
      <c r="AZ550" s="8"/>
      <c r="BA550" s="8"/>
      <c r="BB550" s="8"/>
      <c r="BC550" s="8"/>
      <c r="BD550" s="8"/>
      <c r="BE550" s="8"/>
      <c r="BF550" s="8"/>
    </row>
    <row r="551" spans="26:58" ht="16.899999999999999">
      <c r="Z551" s="244"/>
      <c r="AC551" s="10"/>
      <c r="AD551" s="10"/>
      <c r="AF551" s="10"/>
      <c r="AG551" s="10"/>
      <c r="AH551" s="10"/>
      <c r="AI551" s="9"/>
      <c r="AJ551" s="9"/>
      <c r="AK551" s="11"/>
      <c r="AL551" s="10"/>
      <c r="AM551" s="11"/>
      <c r="AN551" s="10"/>
      <c r="AO551" s="11"/>
      <c r="AP551" s="10"/>
      <c r="AQ551" s="10"/>
      <c r="AR551" s="10"/>
      <c r="AS551" s="9"/>
      <c r="AT551" s="9"/>
      <c r="AU551" s="9"/>
      <c r="AV551" s="9"/>
      <c r="AW551" s="9"/>
      <c r="AX551" s="9"/>
      <c r="AY551" s="8"/>
      <c r="AZ551" s="8"/>
      <c r="BA551" s="8"/>
      <c r="BB551" s="8"/>
      <c r="BC551" s="8"/>
      <c r="BD551" s="8"/>
      <c r="BE551" s="8"/>
      <c r="BF551" s="8"/>
    </row>
    <row r="552" spans="26:58" ht="16.899999999999999">
      <c r="Z552" s="244"/>
      <c r="AC552" s="10"/>
      <c r="AD552" s="10"/>
      <c r="AF552" s="10"/>
      <c r="AG552" s="10"/>
      <c r="AH552" s="10"/>
      <c r="AI552" s="9"/>
      <c r="AJ552" s="9"/>
      <c r="AK552" s="11"/>
      <c r="AL552" s="10"/>
      <c r="AM552" s="11"/>
      <c r="AN552" s="10"/>
      <c r="AO552" s="11"/>
      <c r="AP552" s="10"/>
      <c r="AQ552" s="10"/>
      <c r="AR552" s="10"/>
      <c r="AS552" s="9"/>
      <c r="AT552" s="9"/>
      <c r="AU552" s="9"/>
      <c r="AV552" s="9"/>
      <c r="AW552" s="9"/>
      <c r="AX552" s="9"/>
      <c r="AY552" s="8"/>
      <c r="AZ552" s="8"/>
      <c r="BA552" s="8"/>
      <c r="BB552" s="8"/>
      <c r="BC552" s="8"/>
      <c r="BD552" s="8"/>
      <c r="BE552" s="8"/>
      <c r="BF552" s="8"/>
    </row>
    <row r="553" spans="26:58" ht="16.899999999999999">
      <c r="Z553" s="244"/>
      <c r="AC553" s="10"/>
      <c r="AD553" s="10"/>
      <c r="AF553" s="10"/>
      <c r="AG553" s="10"/>
      <c r="AH553" s="10"/>
      <c r="AI553" s="9"/>
      <c r="AJ553" s="9"/>
      <c r="AK553" s="11"/>
      <c r="AL553" s="10"/>
      <c r="AM553" s="11"/>
      <c r="AN553" s="10"/>
      <c r="AO553" s="11"/>
      <c r="AP553" s="10"/>
      <c r="AQ553" s="10"/>
      <c r="AR553" s="10"/>
      <c r="AS553" s="9"/>
      <c r="AT553" s="9"/>
      <c r="AU553" s="9"/>
      <c r="AV553" s="9"/>
      <c r="AW553" s="9"/>
      <c r="AX553" s="9"/>
      <c r="AY553" s="8"/>
      <c r="AZ553" s="8"/>
      <c r="BA553" s="8"/>
      <c r="BB553" s="8"/>
      <c r="BC553" s="8"/>
      <c r="BD553" s="8"/>
      <c r="BE553" s="8"/>
      <c r="BF553" s="8"/>
    </row>
    <row r="554" spans="26:58" ht="16.899999999999999">
      <c r="Z554" s="244"/>
      <c r="AC554" s="10"/>
      <c r="AD554" s="10"/>
      <c r="AF554" s="10"/>
      <c r="AG554" s="10"/>
      <c r="AH554" s="10"/>
      <c r="AI554" s="9"/>
      <c r="AJ554" s="9"/>
      <c r="AK554" s="11"/>
      <c r="AL554" s="10"/>
      <c r="AM554" s="11"/>
      <c r="AN554" s="10"/>
      <c r="AO554" s="11"/>
      <c r="AP554" s="10"/>
      <c r="AQ554" s="10"/>
      <c r="AR554" s="10"/>
      <c r="AS554" s="9"/>
      <c r="AT554" s="9"/>
      <c r="AU554" s="9"/>
      <c r="AV554" s="9"/>
      <c r="AW554" s="9"/>
      <c r="AX554" s="9"/>
      <c r="AY554" s="8"/>
      <c r="AZ554" s="8"/>
      <c r="BA554" s="8"/>
      <c r="BB554" s="8"/>
      <c r="BC554" s="8"/>
      <c r="BD554" s="8"/>
      <c r="BE554" s="8"/>
      <c r="BF554" s="8"/>
    </row>
    <row r="555" spans="26:58" ht="16.899999999999999">
      <c r="Z555" s="244"/>
      <c r="AC555" s="10"/>
      <c r="AD555" s="10"/>
      <c r="AF555" s="10"/>
      <c r="AG555" s="10"/>
      <c r="AH555" s="10"/>
      <c r="AI555" s="9"/>
      <c r="AJ555" s="9"/>
      <c r="AK555" s="11"/>
      <c r="AL555" s="10"/>
      <c r="AM555" s="11"/>
      <c r="AN555" s="10"/>
      <c r="AO555" s="11"/>
      <c r="AP555" s="10"/>
      <c r="AQ555" s="10"/>
      <c r="AR555" s="10"/>
      <c r="AS555" s="9"/>
      <c r="AT555" s="9"/>
      <c r="AU555" s="9"/>
      <c r="AV555" s="9"/>
      <c r="AW555" s="9"/>
      <c r="AX555" s="9"/>
      <c r="AY555" s="8"/>
      <c r="AZ555" s="8"/>
      <c r="BA555" s="8"/>
      <c r="BB555" s="8"/>
      <c r="BC555" s="8"/>
      <c r="BD555" s="8"/>
      <c r="BE555" s="8"/>
      <c r="BF555" s="8"/>
    </row>
    <row r="556" spans="26:58" ht="16.899999999999999">
      <c r="Z556" s="244"/>
      <c r="AC556" s="10"/>
      <c r="AD556" s="10"/>
      <c r="AF556" s="10"/>
      <c r="AG556" s="10"/>
      <c r="AH556" s="10"/>
      <c r="AI556" s="9"/>
      <c r="AJ556" s="9"/>
      <c r="AK556" s="11"/>
      <c r="AL556" s="10"/>
      <c r="AM556" s="11"/>
      <c r="AN556" s="10"/>
      <c r="AO556" s="11"/>
      <c r="AP556" s="10"/>
      <c r="AQ556" s="10"/>
      <c r="AR556" s="10"/>
      <c r="AS556" s="9"/>
      <c r="AT556" s="9"/>
      <c r="AU556" s="9"/>
      <c r="AV556" s="9"/>
      <c r="AW556" s="9"/>
      <c r="AX556" s="9"/>
      <c r="AY556" s="8"/>
      <c r="AZ556" s="8"/>
      <c r="BA556" s="8"/>
      <c r="BB556" s="8"/>
      <c r="BC556" s="8"/>
      <c r="BD556" s="8"/>
      <c r="BE556" s="8"/>
      <c r="BF556" s="8"/>
    </row>
    <row r="557" spans="26:58" ht="16.899999999999999">
      <c r="Z557" s="244"/>
      <c r="AC557" s="10"/>
      <c r="AD557" s="10"/>
      <c r="AF557" s="10"/>
      <c r="AG557" s="10"/>
      <c r="AH557" s="10"/>
      <c r="AI557" s="9"/>
      <c r="AJ557" s="9"/>
      <c r="AK557" s="11"/>
      <c r="AL557" s="10"/>
      <c r="AM557" s="11"/>
      <c r="AN557" s="10"/>
      <c r="AO557" s="11"/>
      <c r="AP557" s="10"/>
      <c r="AQ557" s="10"/>
      <c r="AR557" s="10"/>
      <c r="AS557" s="9"/>
      <c r="AT557" s="9"/>
      <c r="AU557" s="9"/>
      <c r="AV557" s="9"/>
      <c r="AW557" s="9"/>
      <c r="AX557" s="9"/>
      <c r="AY557" s="8"/>
      <c r="AZ557" s="8"/>
      <c r="BA557" s="8"/>
      <c r="BB557" s="8"/>
      <c r="BC557" s="8"/>
      <c r="BD557" s="8"/>
      <c r="BE557" s="8"/>
      <c r="BF557" s="8"/>
    </row>
    <row r="558" spans="26:58" ht="16.899999999999999">
      <c r="Z558" s="244"/>
      <c r="AC558" s="10"/>
      <c r="AD558" s="10"/>
      <c r="AF558" s="10"/>
      <c r="AG558" s="10"/>
      <c r="AH558" s="10"/>
      <c r="AI558" s="9"/>
      <c r="AJ558" s="9"/>
      <c r="AK558" s="11"/>
      <c r="AL558" s="10"/>
      <c r="AM558" s="11"/>
      <c r="AN558" s="10"/>
      <c r="AO558" s="11"/>
      <c r="AP558" s="10"/>
      <c r="AQ558" s="10"/>
      <c r="AR558" s="10"/>
      <c r="AS558" s="9"/>
      <c r="AT558" s="9"/>
      <c r="AU558" s="9"/>
      <c r="AV558" s="9"/>
      <c r="AW558" s="9"/>
      <c r="AX558" s="9"/>
      <c r="AY558" s="8"/>
      <c r="AZ558" s="8"/>
      <c r="BA558" s="8"/>
      <c r="BB558" s="8"/>
      <c r="BC558" s="8"/>
      <c r="BD558" s="8"/>
      <c r="BE558" s="8"/>
      <c r="BF558" s="8"/>
    </row>
    <row r="559" spans="26:58" ht="16.899999999999999">
      <c r="Z559" s="244"/>
      <c r="AC559" s="10"/>
      <c r="AD559" s="10"/>
      <c r="AF559" s="10"/>
      <c r="AG559" s="10"/>
      <c r="AH559" s="10"/>
      <c r="AI559" s="9"/>
      <c r="AJ559" s="9"/>
      <c r="AK559" s="11"/>
      <c r="AL559" s="10"/>
      <c r="AM559" s="11"/>
      <c r="AN559" s="10"/>
      <c r="AO559" s="11"/>
      <c r="AP559" s="10"/>
      <c r="AQ559" s="10"/>
      <c r="AR559" s="10"/>
      <c r="AS559" s="9"/>
      <c r="AT559" s="9"/>
      <c r="AU559" s="9"/>
      <c r="AV559" s="9"/>
      <c r="AW559" s="9"/>
      <c r="AX559" s="9"/>
      <c r="AY559" s="8"/>
      <c r="AZ559" s="8"/>
      <c r="BA559" s="8"/>
      <c r="BB559" s="8"/>
      <c r="BC559" s="8"/>
      <c r="BD559" s="8"/>
      <c r="BE559" s="8"/>
      <c r="BF559" s="8"/>
    </row>
    <row r="560" spans="26:58" ht="16.899999999999999">
      <c r="Z560" s="244"/>
      <c r="AC560" s="10"/>
      <c r="AD560" s="10"/>
      <c r="AF560" s="10"/>
      <c r="AG560" s="10"/>
      <c r="AH560" s="10"/>
      <c r="AI560" s="9"/>
      <c r="AJ560" s="9"/>
      <c r="AK560" s="11"/>
      <c r="AL560" s="10"/>
      <c r="AM560" s="11"/>
      <c r="AN560" s="10"/>
      <c r="AO560" s="11"/>
      <c r="AP560" s="10"/>
      <c r="AQ560" s="10"/>
      <c r="AR560" s="10"/>
      <c r="AS560" s="9"/>
      <c r="AT560" s="9"/>
      <c r="AU560" s="9"/>
      <c r="AV560" s="9"/>
      <c r="AW560" s="9"/>
      <c r="AX560" s="9"/>
      <c r="AY560" s="8"/>
      <c r="AZ560" s="8"/>
      <c r="BA560" s="8"/>
      <c r="BB560" s="8"/>
      <c r="BC560" s="8"/>
      <c r="BD560" s="8"/>
      <c r="BE560" s="8"/>
      <c r="BF560" s="8"/>
    </row>
    <row r="561" spans="26:58" ht="16.899999999999999">
      <c r="Z561" s="244"/>
      <c r="AC561" s="10"/>
      <c r="AD561" s="10"/>
      <c r="AF561" s="10"/>
      <c r="AG561" s="10"/>
      <c r="AH561" s="10"/>
      <c r="AI561" s="9"/>
      <c r="AJ561" s="9"/>
      <c r="AK561" s="11"/>
      <c r="AL561" s="10"/>
      <c r="AM561" s="11"/>
      <c r="AN561" s="10"/>
      <c r="AO561" s="11"/>
      <c r="AP561" s="10"/>
      <c r="AQ561" s="10"/>
      <c r="AR561" s="10"/>
      <c r="AS561" s="9"/>
      <c r="AT561" s="9"/>
      <c r="AU561" s="9"/>
      <c r="AV561" s="9"/>
      <c r="AW561" s="9"/>
      <c r="AX561" s="9"/>
      <c r="AY561" s="8"/>
      <c r="AZ561" s="8"/>
      <c r="BA561" s="8"/>
      <c r="BB561" s="8"/>
      <c r="BC561" s="8"/>
      <c r="BD561" s="8"/>
      <c r="BE561" s="8"/>
      <c r="BF561" s="8"/>
    </row>
    <row r="562" spans="26:58" ht="16.899999999999999">
      <c r="Z562" s="244"/>
      <c r="AC562" s="10"/>
      <c r="AD562" s="10"/>
      <c r="AF562" s="10"/>
      <c r="AG562" s="10"/>
      <c r="AH562" s="10"/>
      <c r="AI562" s="9"/>
      <c r="AJ562" s="9"/>
      <c r="AK562" s="11"/>
      <c r="AL562" s="10"/>
      <c r="AM562" s="11"/>
      <c r="AN562" s="10"/>
      <c r="AO562" s="11"/>
      <c r="AP562" s="10"/>
      <c r="AQ562" s="10"/>
      <c r="AR562" s="10"/>
      <c r="AS562" s="9"/>
      <c r="AT562" s="9"/>
      <c r="AU562" s="9"/>
      <c r="AV562" s="9"/>
      <c r="AW562" s="9"/>
      <c r="AX562" s="9"/>
      <c r="AY562" s="8"/>
      <c r="AZ562" s="8"/>
      <c r="BA562" s="8"/>
      <c r="BB562" s="8"/>
      <c r="BC562" s="8"/>
      <c r="BD562" s="8"/>
      <c r="BE562" s="8"/>
      <c r="BF562" s="8"/>
    </row>
    <row r="563" spans="26:58" ht="16.899999999999999">
      <c r="Z563" s="244"/>
      <c r="AC563" s="10"/>
      <c r="AD563" s="10"/>
      <c r="AF563" s="10"/>
      <c r="AG563" s="10"/>
      <c r="AH563" s="10"/>
      <c r="AI563" s="9"/>
      <c r="AJ563" s="9"/>
      <c r="AK563" s="11"/>
      <c r="AL563" s="10"/>
      <c r="AM563" s="11"/>
      <c r="AN563" s="10"/>
      <c r="AO563" s="11"/>
      <c r="AP563" s="10"/>
      <c r="AQ563" s="10"/>
      <c r="AR563" s="10"/>
      <c r="AS563" s="9"/>
      <c r="AT563" s="9"/>
      <c r="AU563" s="9"/>
      <c r="AV563" s="9"/>
      <c r="AW563" s="9"/>
      <c r="AX563" s="9"/>
      <c r="AY563" s="8"/>
      <c r="AZ563" s="8"/>
      <c r="BA563" s="8"/>
      <c r="BB563" s="8"/>
      <c r="BC563" s="8"/>
      <c r="BD563" s="8"/>
      <c r="BE563" s="8"/>
      <c r="BF563" s="8"/>
    </row>
    <row r="564" spans="26:58" ht="16.899999999999999">
      <c r="Z564" s="244"/>
      <c r="AC564" s="10"/>
      <c r="AD564" s="10"/>
      <c r="AF564" s="10"/>
      <c r="AG564" s="10"/>
      <c r="AH564" s="10"/>
      <c r="AI564" s="9"/>
      <c r="AJ564" s="9"/>
      <c r="AK564" s="11"/>
      <c r="AL564" s="10"/>
      <c r="AM564" s="11"/>
      <c r="AN564" s="10"/>
      <c r="AO564" s="11"/>
      <c r="AP564" s="10"/>
      <c r="AQ564" s="10"/>
      <c r="AR564" s="10"/>
      <c r="AS564" s="9"/>
      <c r="AT564" s="9"/>
      <c r="AU564" s="9"/>
      <c r="AV564" s="9"/>
      <c r="AW564" s="9"/>
      <c r="AX564" s="9"/>
      <c r="AY564" s="8"/>
      <c r="AZ564" s="8"/>
      <c r="BA564" s="8"/>
      <c r="BB564" s="8"/>
      <c r="BC564" s="8"/>
      <c r="BD564" s="8"/>
      <c r="BE564" s="8"/>
      <c r="BF564" s="8"/>
    </row>
    <row r="565" spans="26:58" ht="16.899999999999999">
      <c r="Z565" s="244"/>
      <c r="AC565" s="10"/>
      <c r="AD565" s="10"/>
      <c r="AF565" s="10"/>
      <c r="AG565" s="10"/>
      <c r="AH565" s="10"/>
      <c r="AI565" s="9"/>
      <c r="AJ565" s="9"/>
      <c r="AK565" s="11"/>
      <c r="AL565" s="10"/>
      <c r="AM565" s="11"/>
      <c r="AN565" s="10"/>
      <c r="AO565" s="11"/>
      <c r="AP565" s="10"/>
      <c r="AQ565" s="10"/>
      <c r="AR565" s="10"/>
      <c r="AS565" s="9"/>
      <c r="AT565" s="9"/>
      <c r="AU565" s="9"/>
      <c r="AV565" s="9"/>
      <c r="AW565" s="9"/>
      <c r="AX565" s="9"/>
      <c r="AY565" s="8"/>
      <c r="AZ565" s="8"/>
      <c r="BA565" s="8"/>
      <c r="BB565" s="8"/>
      <c r="BC565" s="8"/>
      <c r="BD565" s="8"/>
      <c r="BE565" s="8"/>
      <c r="BF565" s="8"/>
    </row>
    <row r="566" spans="26:58" ht="16.899999999999999">
      <c r="Z566" s="244"/>
      <c r="AC566" s="10"/>
      <c r="AD566" s="10"/>
      <c r="AF566" s="10"/>
      <c r="AG566" s="10"/>
      <c r="AH566" s="10"/>
      <c r="AI566" s="9"/>
      <c r="AJ566" s="9"/>
      <c r="AK566" s="11"/>
      <c r="AL566" s="10"/>
      <c r="AM566" s="11"/>
      <c r="AN566" s="10"/>
      <c r="AO566" s="11"/>
      <c r="AP566" s="10"/>
      <c r="AQ566" s="10"/>
      <c r="AR566" s="10"/>
      <c r="AS566" s="9"/>
      <c r="AT566" s="9"/>
      <c r="AU566" s="9"/>
      <c r="AV566" s="9"/>
      <c r="AW566" s="9"/>
      <c r="AX566" s="9"/>
      <c r="AY566" s="8"/>
      <c r="AZ566" s="8"/>
      <c r="BA566" s="8"/>
      <c r="BB566" s="8"/>
      <c r="BC566" s="8"/>
      <c r="BD566" s="8"/>
      <c r="BE566" s="8"/>
      <c r="BF566" s="8"/>
    </row>
    <row r="567" spans="26:58" ht="16.899999999999999">
      <c r="Z567" s="244"/>
      <c r="AC567" s="10"/>
      <c r="AD567" s="10"/>
      <c r="AF567" s="10"/>
      <c r="AG567" s="10"/>
      <c r="AH567" s="10"/>
      <c r="AI567" s="9"/>
      <c r="AJ567" s="9"/>
      <c r="AK567" s="11"/>
      <c r="AL567" s="10"/>
      <c r="AM567" s="11"/>
      <c r="AN567" s="10"/>
      <c r="AO567" s="11"/>
      <c r="AP567" s="10"/>
      <c r="AQ567" s="10"/>
      <c r="AR567" s="10"/>
      <c r="AS567" s="9"/>
      <c r="AT567" s="9"/>
      <c r="AU567" s="9"/>
      <c r="AV567" s="9"/>
      <c r="AW567" s="9"/>
      <c r="AX567" s="9"/>
      <c r="AY567" s="8"/>
      <c r="AZ567" s="8"/>
      <c r="BA567" s="8"/>
      <c r="BB567" s="8"/>
      <c r="BC567" s="8"/>
      <c r="BD567" s="8"/>
      <c r="BE567" s="8"/>
      <c r="BF567" s="8"/>
    </row>
    <row r="568" spans="26:58" ht="16.899999999999999">
      <c r="Z568" s="244"/>
      <c r="AC568" s="10"/>
      <c r="AD568" s="10"/>
      <c r="AF568" s="10"/>
      <c r="AG568" s="10"/>
      <c r="AH568" s="10"/>
      <c r="AI568" s="9"/>
      <c r="AJ568" s="9"/>
      <c r="AK568" s="11"/>
      <c r="AL568" s="10"/>
      <c r="AM568" s="11"/>
      <c r="AN568" s="10"/>
      <c r="AO568" s="11"/>
      <c r="AP568" s="10"/>
      <c r="AQ568" s="10"/>
      <c r="AR568" s="10"/>
      <c r="AS568" s="9"/>
      <c r="AT568" s="9"/>
      <c r="AU568" s="9"/>
      <c r="AV568" s="9"/>
      <c r="AW568" s="9"/>
      <c r="AX568" s="9"/>
      <c r="AY568" s="8"/>
      <c r="AZ568" s="8"/>
      <c r="BA568" s="8"/>
      <c r="BB568" s="8"/>
      <c r="BC568" s="8"/>
      <c r="BD568" s="8"/>
      <c r="BE568" s="8"/>
      <c r="BF568" s="8"/>
    </row>
    <row r="569" spans="26:58" ht="16.899999999999999">
      <c r="Z569" s="244"/>
      <c r="AC569" s="10"/>
      <c r="AD569" s="10"/>
      <c r="AF569" s="10"/>
      <c r="AG569" s="10"/>
      <c r="AH569" s="10"/>
      <c r="AI569" s="9"/>
      <c r="AJ569" s="9"/>
      <c r="AK569" s="11"/>
      <c r="AL569" s="10"/>
      <c r="AM569" s="11"/>
      <c r="AN569" s="10"/>
      <c r="AO569" s="11"/>
      <c r="AP569" s="10"/>
      <c r="AQ569" s="10"/>
      <c r="AR569" s="10"/>
      <c r="AS569" s="9"/>
      <c r="AT569" s="9"/>
      <c r="AU569" s="9"/>
      <c r="AV569" s="9"/>
      <c r="AW569" s="9"/>
      <c r="AX569" s="9"/>
      <c r="AY569" s="8"/>
      <c r="AZ569" s="8"/>
      <c r="BA569" s="8"/>
      <c r="BB569" s="8"/>
      <c r="BC569" s="8"/>
      <c r="BD569" s="8"/>
      <c r="BE569" s="8"/>
      <c r="BF569" s="8"/>
    </row>
    <row r="570" spans="26:58" ht="16.899999999999999">
      <c r="Z570" s="244"/>
      <c r="AC570" s="10"/>
      <c r="AD570" s="10"/>
      <c r="AF570" s="10"/>
      <c r="AG570" s="10"/>
      <c r="AH570" s="10"/>
      <c r="AI570" s="9"/>
      <c r="AJ570" s="9"/>
      <c r="AK570" s="11"/>
      <c r="AL570" s="10"/>
      <c r="AM570" s="11"/>
      <c r="AN570" s="10"/>
      <c r="AO570" s="11"/>
      <c r="AP570" s="10"/>
      <c r="AQ570" s="10"/>
      <c r="AR570" s="10"/>
      <c r="AS570" s="9"/>
      <c r="AT570" s="9"/>
      <c r="AU570" s="9"/>
      <c r="AV570" s="9"/>
      <c r="AW570" s="9"/>
      <c r="AX570" s="9"/>
      <c r="AY570" s="8"/>
      <c r="AZ570" s="8"/>
      <c r="BA570" s="8"/>
      <c r="BB570" s="8"/>
      <c r="BC570" s="8"/>
      <c r="BD570" s="8"/>
      <c r="BE570" s="8"/>
      <c r="BF570" s="8"/>
    </row>
    <row r="571" spans="26:58" ht="16.899999999999999">
      <c r="Z571" s="244"/>
      <c r="AC571" s="10"/>
      <c r="AD571" s="10"/>
      <c r="AF571" s="10"/>
      <c r="AG571" s="10"/>
      <c r="AH571" s="10"/>
      <c r="AI571" s="9"/>
      <c r="AJ571" s="9"/>
      <c r="AK571" s="11"/>
      <c r="AL571" s="10"/>
      <c r="AM571" s="11"/>
      <c r="AN571" s="10"/>
      <c r="AO571" s="11"/>
      <c r="AP571" s="10"/>
      <c r="AQ571" s="10"/>
      <c r="AR571" s="10"/>
      <c r="AS571" s="9"/>
      <c r="AT571" s="9"/>
      <c r="AU571" s="9"/>
      <c r="AV571" s="9"/>
      <c r="AW571" s="9"/>
      <c r="AX571" s="9"/>
      <c r="AY571" s="8"/>
      <c r="AZ571" s="8"/>
      <c r="BA571" s="8"/>
      <c r="BB571" s="8"/>
      <c r="BC571" s="8"/>
      <c r="BD571" s="8"/>
      <c r="BE571" s="8"/>
      <c r="BF571" s="8"/>
    </row>
    <row r="572" spans="26:58" ht="16.899999999999999">
      <c r="Z572" s="244"/>
      <c r="AC572" s="10"/>
      <c r="AD572" s="10"/>
      <c r="AF572" s="10"/>
      <c r="AG572" s="10"/>
      <c r="AH572" s="10"/>
      <c r="AI572" s="9"/>
      <c r="AJ572" s="9"/>
      <c r="AK572" s="11"/>
      <c r="AL572" s="10"/>
      <c r="AM572" s="11"/>
      <c r="AN572" s="10"/>
      <c r="AO572" s="11"/>
      <c r="AP572" s="10"/>
      <c r="AQ572" s="10"/>
      <c r="AR572" s="10"/>
      <c r="AS572" s="9"/>
      <c r="AT572" s="9"/>
      <c r="AU572" s="9"/>
      <c r="AV572" s="9"/>
      <c r="AW572" s="9"/>
      <c r="AX572" s="9"/>
      <c r="AY572" s="8"/>
      <c r="AZ572" s="8"/>
      <c r="BA572" s="8"/>
      <c r="BB572" s="8"/>
      <c r="BC572" s="8"/>
      <c r="BD572" s="8"/>
      <c r="BE572" s="8"/>
      <c r="BF572" s="8"/>
    </row>
    <row r="573" spans="26:58" ht="16.899999999999999">
      <c r="Z573" s="244"/>
      <c r="AC573" s="10"/>
      <c r="AD573" s="10"/>
      <c r="AF573" s="10"/>
      <c r="AG573" s="10"/>
      <c r="AH573" s="10"/>
      <c r="AI573" s="9"/>
      <c r="AJ573" s="9"/>
      <c r="AK573" s="11"/>
      <c r="AL573" s="10"/>
      <c r="AM573" s="11"/>
      <c r="AN573" s="10"/>
      <c r="AO573" s="11"/>
      <c r="AP573" s="10"/>
      <c r="AQ573" s="10"/>
      <c r="AR573" s="10"/>
      <c r="AS573" s="9"/>
      <c r="AT573" s="9"/>
      <c r="AU573" s="9"/>
      <c r="AV573" s="9"/>
      <c r="AW573" s="9"/>
      <c r="AX573" s="9"/>
      <c r="AY573" s="8"/>
      <c r="AZ573" s="8"/>
      <c r="BA573" s="8"/>
      <c r="BB573" s="8"/>
      <c r="BC573" s="8"/>
      <c r="BD573" s="8"/>
      <c r="BE573" s="8"/>
      <c r="BF573" s="8"/>
    </row>
    <row r="574" spans="26:58" ht="16.899999999999999">
      <c r="Z574" s="244"/>
      <c r="AC574" s="10"/>
      <c r="AD574" s="10"/>
      <c r="AF574" s="10"/>
      <c r="AG574" s="10"/>
      <c r="AH574" s="10"/>
      <c r="AI574" s="9"/>
      <c r="AJ574" s="9"/>
      <c r="AK574" s="11"/>
      <c r="AL574" s="10"/>
      <c r="AM574" s="11"/>
      <c r="AN574" s="10"/>
      <c r="AO574" s="11"/>
      <c r="AP574" s="10"/>
      <c r="AQ574" s="10"/>
      <c r="AR574" s="10"/>
      <c r="AS574" s="9"/>
      <c r="AT574" s="9"/>
      <c r="AU574" s="9"/>
      <c r="AV574" s="9"/>
      <c r="AW574" s="9"/>
      <c r="AX574" s="9"/>
      <c r="AY574" s="8"/>
      <c r="AZ574" s="8"/>
      <c r="BA574" s="8"/>
      <c r="BB574" s="8"/>
      <c r="BC574" s="8"/>
      <c r="BD574" s="8"/>
      <c r="BE574" s="8"/>
      <c r="BF574" s="8"/>
    </row>
    <row r="575" spans="26:58" ht="16.899999999999999">
      <c r="Z575" s="244"/>
      <c r="AC575" s="10"/>
      <c r="AD575" s="10"/>
      <c r="AF575" s="10"/>
      <c r="AG575" s="10"/>
      <c r="AH575" s="10"/>
      <c r="AI575" s="9"/>
      <c r="AJ575" s="9"/>
      <c r="AK575" s="11"/>
      <c r="AL575" s="10"/>
      <c r="AM575" s="11"/>
      <c r="AN575" s="10"/>
      <c r="AO575" s="11"/>
      <c r="AP575" s="10"/>
      <c r="AQ575" s="10"/>
      <c r="AR575" s="10"/>
      <c r="AS575" s="9"/>
      <c r="AT575" s="9"/>
      <c r="AU575" s="9"/>
      <c r="AV575" s="9"/>
      <c r="AW575" s="9"/>
      <c r="AX575" s="9"/>
      <c r="AY575" s="8"/>
      <c r="AZ575" s="8"/>
      <c r="BA575" s="8"/>
      <c r="BB575" s="8"/>
      <c r="BC575" s="8"/>
      <c r="BD575" s="8"/>
      <c r="BE575" s="8"/>
      <c r="BF575" s="8"/>
    </row>
    <row r="576" spans="26:58" ht="16.899999999999999">
      <c r="Z576" s="244"/>
      <c r="AC576" s="10"/>
      <c r="AD576" s="10"/>
      <c r="AF576" s="10"/>
      <c r="AG576" s="10"/>
      <c r="AH576" s="10"/>
      <c r="AI576" s="9"/>
      <c r="AJ576" s="9"/>
      <c r="AK576" s="11"/>
      <c r="AL576" s="10"/>
      <c r="AM576" s="11"/>
      <c r="AN576" s="10"/>
      <c r="AO576" s="11"/>
      <c r="AP576" s="10"/>
      <c r="AQ576" s="10"/>
      <c r="AR576" s="10"/>
      <c r="AS576" s="9"/>
      <c r="AT576" s="9"/>
      <c r="AU576" s="9"/>
      <c r="AV576" s="9"/>
      <c r="AW576" s="9"/>
      <c r="AX576" s="9"/>
      <c r="AY576" s="8"/>
      <c r="AZ576" s="8"/>
      <c r="BA576" s="8"/>
      <c r="BB576" s="8"/>
      <c r="BC576" s="8"/>
      <c r="BD576" s="8"/>
      <c r="BE576" s="8"/>
      <c r="BF576" s="8"/>
    </row>
    <row r="577" spans="26:58" ht="16.899999999999999">
      <c r="Z577" s="244"/>
      <c r="AC577" s="10"/>
      <c r="AD577" s="10"/>
      <c r="AF577" s="10"/>
      <c r="AG577" s="10"/>
      <c r="AH577" s="10"/>
      <c r="AI577" s="9"/>
      <c r="AJ577" s="9"/>
      <c r="AK577" s="11"/>
      <c r="AL577" s="10"/>
      <c r="AM577" s="11"/>
      <c r="AN577" s="10"/>
      <c r="AO577" s="11"/>
      <c r="AP577" s="10"/>
      <c r="AQ577" s="10"/>
      <c r="AR577" s="10"/>
      <c r="AS577" s="9"/>
      <c r="AT577" s="9"/>
      <c r="AU577" s="9"/>
      <c r="AV577" s="9"/>
      <c r="AW577" s="9"/>
      <c r="AX577" s="9"/>
      <c r="AY577" s="8"/>
      <c r="AZ577" s="8"/>
      <c r="BA577" s="8"/>
      <c r="BB577" s="8"/>
      <c r="BC577" s="8"/>
      <c r="BD577" s="8"/>
      <c r="BE577" s="8"/>
      <c r="BF577" s="8"/>
    </row>
    <row r="578" spans="26:58" ht="16.899999999999999">
      <c r="Z578" s="244"/>
      <c r="AC578" s="10"/>
      <c r="AD578" s="10"/>
      <c r="AF578" s="10"/>
      <c r="AG578" s="10"/>
      <c r="AH578" s="10"/>
      <c r="AI578" s="9"/>
      <c r="AJ578" s="9"/>
      <c r="AK578" s="11"/>
      <c r="AL578" s="10"/>
      <c r="AM578" s="11"/>
      <c r="AN578" s="10"/>
      <c r="AO578" s="11"/>
      <c r="AP578" s="10"/>
      <c r="AQ578" s="10"/>
      <c r="AR578" s="10"/>
      <c r="AS578" s="9"/>
      <c r="AT578" s="9"/>
      <c r="AU578" s="9"/>
      <c r="AV578" s="9"/>
      <c r="AW578" s="9"/>
      <c r="AX578" s="9"/>
      <c r="AY578" s="8"/>
      <c r="AZ578" s="8"/>
      <c r="BA578" s="8"/>
      <c r="BB578" s="8"/>
      <c r="BC578" s="8"/>
      <c r="BD578" s="8"/>
      <c r="BE578" s="8"/>
      <c r="BF578" s="8"/>
    </row>
    <row r="579" spans="26:58" ht="16.899999999999999">
      <c r="Z579" s="244"/>
      <c r="AC579" s="10"/>
      <c r="AD579" s="10"/>
      <c r="AF579" s="10"/>
      <c r="AG579" s="10"/>
      <c r="AH579" s="10"/>
      <c r="AI579" s="9"/>
      <c r="AJ579" s="9"/>
      <c r="AK579" s="11"/>
      <c r="AL579" s="10"/>
      <c r="AM579" s="11"/>
      <c r="AN579" s="10"/>
      <c r="AO579" s="11"/>
      <c r="AP579" s="10"/>
      <c r="AQ579" s="10"/>
      <c r="AR579" s="10"/>
      <c r="AS579" s="9"/>
      <c r="AT579" s="9"/>
      <c r="AU579" s="9"/>
      <c r="AV579" s="9"/>
      <c r="AW579" s="9"/>
      <c r="AX579" s="9"/>
      <c r="AY579" s="8"/>
      <c r="AZ579" s="8"/>
      <c r="BA579" s="8"/>
      <c r="BB579" s="8"/>
      <c r="BC579" s="8"/>
      <c r="BD579" s="8"/>
      <c r="BE579" s="8"/>
      <c r="BF579" s="8"/>
    </row>
    <row r="580" spans="26:58" ht="16.899999999999999">
      <c r="Z580" s="244"/>
      <c r="AC580" s="10"/>
      <c r="AD580" s="10"/>
      <c r="AF580" s="10"/>
      <c r="AG580" s="10"/>
      <c r="AH580" s="10"/>
      <c r="AI580" s="9"/>
      <c r="AJ580" s="9"/>
      <c r="AK580" s="11"/>
      <c r="AL580" s="10"/>
      <c r="AM580" s="11"/>
      <c r="AN580" s="10"/>
      <c r="AO580" s="11"/>
      <c r="AP580" s="10"/>
      <c r="AQ580" s="10"/>
      <c r="AR580" s="10"/>
      <c r="AS580" s="9"/>
      <c r="AT580" s="9"/>
      <c r="AU580" s="9"/>
      <c r="AV580" s="9"/>
      <c r="AW580" s="9"/>
      <c r="AX580" s="9"/>
      <c r="AY580" s="8"/>
      <c r="AZ580" s="8"/>
      <c r="BA580" s="8"/>
      <c r="BB580" s="8"/>
      <c r="BC580" s="8"/>
      <c r="BD580" s="8"/>
      <c r="BE580" s="8"/>
      <c r="BF580" s="8"/>
    </row>
    <row r="581" spans="26:58" ht="16.899999999999999">
      <c r="Z581" s="244"/>
      <c r="AC581" s="10"/>
      <c r="AD581" s="10"/>
      <c r="AF581" s="10"/>
      <c r="AG581" s="10"/>
      <c r="AH581" s="10"/>
      <c r="AI581" s="9"/>
      <c r="AJ581" s="9"/>
      <c r="AK581" s="11"/>
      <c r="AL581" s="10"/>
      <c r="AM581" s="11"/>
      <c r="AN581" s="10"/>
      <c r="AO581" s="11"/>
      <c r="AP581" s="10"/>
      <c r="AQ581" s="10"/>
      <c r="AR581" s="10"/>
      <c r="AS581" s="9"/>
      <c r="AT581" s="9"/>
      <c r="AU581" s="9"/>
      <c r="AV581" s="9"/>
      <c r="AW581" s="9"/>
      <c r="AX581" s="9"/>
      <c r="AY581" s="8"/>
      <c r="AZ581" s="8"/>
      <c r="BA581" s="8"/>
      <c r="BB581" s="8"/>
      <c r="BC581" s="8"/>
      <c r="BD581" s="8"/>
      <c r="BE581" s="8"/>
      <c r="BF581" s="8"/>
    </row>
    <row r="582" spans="26:58" ht="16.899999999999999">
      <c r="Z582" s="244"/>
      <c r="AC582" s="10"/>
      <c r="AD582" s="10"/>
      <c r="AF582" s="10"/>
      <c r="AG582" s="10"/>
      <c r="AH582" s="10"/>
      <c r="AI582" s="9"/>
      <c r="AJ582" s="9"/>
      <c r="AK582" s="11"/>
      <c r="AL582" s="10"/>
      <c r="AM582" s="11"/>
      <c r="AN582" s="10"/>
      <c r="AO582" s="11"/>
      <c r="AP582" s="10"/>
      <c r="AQ582" s="10"/>
      <c r="AR582" s="10"/>
      <c r="AS582" s="9"/>
      <c r="AT582" s="9"/>
      <c r="AU582" s="9"/>
      <c r="AV582" s="9"/>
      <c r="AW582" s="9"/>
      <c r="AX582" s="9"/>
      <c r="AY582" s="8"/>
      <c r="AZ582" s="8"/>
      <c r="BA582" s="8"/>
      <c r="BB582" s="8"/>
      <c r="BC582" s="8"/>
      <c r="BD582" s="8"/>
      <c r="BE582" s="8"/>
      <c r="BF582" s="8"/>
    </row>
    <row r="583" spans="26:58" ht="16.899999999999999">
      <c r="Z583" s="244"/>
      <c r="AC583" s="10"/>
      <c r="AD583" s="10"/>
      <c r="AF583" s="10"/>
      <c r="AG583" s="10"/>
      <c r="AH583" s="10"/>
      <c r="AI583" s="9"/>
      <c r="AJ583" s="9"/>
      <c r="AK583" s="11"/>
      <c r="AL583" s="10"/>
      <c r="AM583" s="11"/>
      <c r="AN583" s="10"/>
      <c r="AO583" s="11"/>
      <c r="AP583" s="10"/>
      <c r="AQ583" s="10"/>
      <c r="AR583" s="10"/>
      <c r="AS583" s="9"/>
      <c r="AT583" s="9"/>
      <c r="AU583" s="9"/>
      <c r="AV583" s="9"/>
      <c r="AW583" s="9"/>
      <c r="AX583" s="9"/>
      <c r="AY583" s="8"/>
      <c r="AZ583" s="8"/>
      <c r="BA583" s="8"/>
      <c r="BB583" s="8"/>
      <c r="BC583" s="8"/>
      <c r="BD583" s="8"/>
      <c r="BE583" s="8"/>
      <c r="BF583" s="8"/>
    </row>
    <row r="584" spans="26:58" ht="16.899999999999999">
      <c r="Z584" s="244"/>
      <c r="AC584" s="10"/>
      <c r="AD584" s="10"/>
      <c r="AF584" s="10"/>
      <c r="AG584" s="10"/>
      <c r="AH584" s="10"/>
      <c r="AI584" s="9"/>
      <c r="AJ584" s="9"/>
      <c r="AK584" s="11"/>
      <c r="AL584" s="10"/>
      <c r="AM584" s="11"/>
      <c r="AN584" s="10"/>
      <c r="AO584" s="11"/>
      <c r="AP584" s="10"/>
      <c r="AQ584" s="10"/>
      <c r="AR584" s="10"/>
      <c r="AS584" s="9"/>
      <c r="AT584" s="9"/>
      <c r="AU584" s="9"/>
      <c r="AV584" s="9"/>
      <c r="AW584" s="9"/>
      <c r="AX584" s="9"/>
      <c r="AY584" s="8"/>
      <c r="AZ584" s="8"/>
      <c r="BA584" s="8"/>
      <c r="BB584" s="8"/>
      <c r="BC584" s="8"/>
      <c r="BD584" s="8"/>
      <c r="BE584" s="8"/>
      <c r="BF584" s="8"/>
    </row>
    <row r="585" spans="26:58" ht="16.899999999999999">
      <c r="Z585" s="244"/>
      <c r="AC585" s="10"/>
      <c r="AD585" s="10"/>
      <c r="AF585" s="10"/>
      <c r="AG585" s="10"/>
      <c r="AH585" s="10"/>
      <c r="AI585" s="9"/>
      <c r="AJ585" s="9"/>
      <c r="AK585" s="11"/>
      <c r="AL585" s="10"/>
      <c r="AM585" s="11"/>
      <c r="AN585" s="10"/>
      <c r="AO585" s="11"/>
      <c r="AP585" s="10"/>
      <c r="AQ585" s="10"/>
      <c r="AR585" s="10"/>
      <c r="AS585" s="9"/>
      <c r="AT585" s="9"/>
      <c r="AU585" s="9"/>
      <c r="AV585" s="9"/>
      <c r="AW585" s="9"/>
      <c r="AX585" s="9"/>
      <c r="AY585" s="8"/>
      <c r="AZ585" s="8"/>
      <c r="BA585" s="8"/>
      <c r="BB585" s="8"/>
      <c r="BC585" s="8"/>
      <c r="BD585" s="8"/>
      <c r="BE585" s="8"/>
      <c r="BF585" s="8"/>
    </row>
    <row r="586" spans="26:58" ht="16.899999999999999">
      <c r="Z586" s="244"/>
      <c r="AC586" s="10"/>
      <c r="AD586" s="10"/>
      <c r="AF586" s="10"/>
      <c r="AG586" s="10"/>
      <c r="AH586" s="10"/>
      <c r="AI586" s="9"/>
      <c r="AJ586" s="9"/>
      <c r="AK586" s="11"/>
      <c r="AL586" s="10"/>
      <c r="AM586" s="11"/>
      <c r="AN586" s="10"/>
      <c r="AO586" s="11"/>
      <c r="AP586" s="10"/>
      <c r="AQ586" s="10"/>
      <c r="AR586" s="10"/>
      <c r="AS586" s="9"/>
      <c r="AT586" s="9"/>
      <c r="AU586" s="9"/>
      <c r="AV586" s="9"/>
      <c r="AW586" s="9"/>
      <c r="AX586" s="9"/>
      <c r="AY586" s="8"/>
      <c r="AZ586" s="8"/>
      <c r="BA586" s="8"/>
      <c r="BB586" s="8"/>
      <c r="BC586" s="8"/>
      <c r="BD586" s="8"/>
      <c r="BE586" s="8"/>
      <c r="BF586" s="8"/>
    </row>
    <row r="587" spans="26:58" ht="16.899999999999999">
      <c r="Z587" s="244"/>
      <c r="AC587" s="10"/>
      <c r="AD587" s="10"/>
      <c r="AF587" s="10"/>
      <c r="AG587" s="10"/>
      <c r="AH587" s="10"/>
      <c r="AI587" s="9"/>
      <c r="AJ587" s="9"/>
      <c r="AK587" s="11"/>
      <c r="AL587" s="10"/>
      <c r="AM587" s="11"/>
      <c r="AN587" s="10"/>
      <c r="AO587" s="11"/>
      <c r="AP587" s="10"/>
      <c r="AQ587" s="10"/>
      <c r="AR587" s="10"/>
      <c r="AS587" s="9"/>
      <c r="AT587" s="9"/>
      <c r="AU587" s="9"/>
      <c r="AV587" s="9"/>
      <c r="AW587" s="9"/>
      <c r="AX587" s="9"/>
      <c r="AY587" s="8"/>
      <c r="AZ587" s="8"/>
      <c r="BA587" s="8"/>
      <c r="BB587" s="8"/>
      <c r="BC587" s="8"/>
      <c r="BD587" s="8"/>
      <c r="BE587" s="8"/>
      <c r="BF587" s="8"/>
    </row>
    <row r="588" spans="26:58" ht="16.899999999999999">
      <c r="Z588" s="244"/>
      <c r="AC588" s="10"/>
      <c r="AD588" s="10"/>
      <c r="AF588" s="10"/>
      <c r="AG588" s="10"/>
      <c r="AH588" s="10"/>
      <c r="AI588" s="9"/>
      <c r="AJ588" s="9"/>
      <c r="AK588" s="11"/>
      <c r="AL588" s="10"/>
      <c r="AM588" s="11"/>
      <c r="AN588" s="10"/>
      <c r="AO588" s="11"/>
      <c r="AP588" s="10"/>
      <c r="AQ588" s="10"/>
      <c r="AR588" s="10"/>
      <c r="AS588" s="9"/>
      <c r="AT588" s="9"/>
      <c r="AU588" s="9"/>
      <c r="AV588" s="9"/>
      <c r="AW588" s="9"/>
      <c r="AX588" s="9"/>
      <c r="AY588" s="8"/>
      <c r="AZ588" s="8"/>
      <c r="BA588" s="8"/>
      <c r="BB588" s="8"/>
      <c r="BC588" s="8"/>
      <c r="BD588" s="8"/>
      <c r="BE588" s="8"/>
      <c r="BF588" s="8"/>
    </row>
    <row r="589" spans="26:58" ht="16.899999999999999">
      <c r="Z589" s="244"/>
      <c r="AC589" s="10"/>
      <c r="AD589" s="10"/>
      <c r="AF589" s="10"/>
      <c r="AG589" s="10"/>
      <c r="AH589" s="10"/>
      <c r="AI589" s="9"/>
      <c r="AJ589" s="9"/>
      <c r="AK589" s="11"/>
      <c r="AL589" s="10"/>
      <c r="AM589" s="11"/>
      <c r="AN589" s="10"/>
      <c r="AO589" s="11"/>
      <c r="AP589" s="10"/>
      <c r="AQ589" s="10"/>
      <c r="AR589" s="10"/>
      <c r="AS589" s="9"/>
      <c r="AT589" s="9"/>
      <c r="AU589" s="9"/>
      <c r="AV589" s="9"/>
      <c r="AW589" s="9"/>
      <c r="AX589" s="9"/>
      <c r="AY589" s="8"/>
      <c r="AZ589" s="8"/>
      <c r="BA589" s="8"/>
      <c r="BB589" s="8"/>
      <c r="BC589" s="8"/>
      <c r="BD589" s="8"/>
      <c r="BE589" s="8"/>
      <c r="BF589" s="8"/>
    </row>
    <row r="590" spans="26:58" ht="16.899999999999999">
      <c r="Z590" s="244"/>
      <c r="AC590" s="10"/>
      <c r="AD590" s="10"/>
      <c r="AF590" s="10"/>
      <c r="AG590" s="10"/>
      <c r="AH590" s="10"/>
      <c r="AI590" s="9"/>
      <c r="AJ590" s="9"/>
      <c r="AK590" s="11"/>
      <c r="AL590" s="10"/>
      <c r="AM590" s="11"/>
      <c r="AN590" s="10"/>
      <c r="AO590" s="11"/>
      <c r="AP590" s="10"/>
      <c r="AQ590" s="10"/>
      <c r="AR590" s="10"/>
      <c r="AS590" s="9"/>
      <c r="AT590" s="9"/>
      <c r="AU590" s="9"/>
      <c r="AV590" s="9"/>
      <c r="AW590" s="9"/>
      <c r="AX590" s="9"/>
      <c r="AY590" s="8"/>
      <c r="AZ590" s="8"/>
      <c r="BA590" s="8"/>
      <c r="BB590" s="8"/>
      <c r="BC590" s="8"/>
      <c r="BD590" s="8"/>
      <c r="BE590" s="8"/>
      <c r="BF590" s="8"/>
    </row>
    <row r="591" spans="26:58" ht="16.899999999999999">
      <c r="Z591" s="244"/>
      <c r="AC591" s="10"/>
      <c r="AD591" s="10"/>
      <c r="AF591" s="10"/>
      <c r="AG591" s="10"/>
      <c r="AH591" s="10"/>
      <c r="AI591" s="9"/>
      <c r="AJ591" s="9"/>
      <c r="AK591" s="11"/>
      <c r="AL591" s="10"/>
      <c r="AM591" s="11"/>
      <c r="AN591" s="10"/>
      <c r="AO591" s="11"/>
      <c r="AP591" s="10"/>
      <c r="AQ591" s="10"/>
      <c r="AR591" s="10"/>
      <c r="AS591" s="9"/>
      <c r="AT591" s="9"/>
      <c r="AU591" s="9"/>
      <c r="AV591" s="9"/>
      <c r="AW591" s="9"/>
      <c r="AX591" s="9"/>
      <c r="AY591" s="8"/>
      <c r="AZ591" s="8"/>
      <c r="BA591" s="8"/>
      <c r="BB591" s="8"/>
      <c r="BC591" s="8"/>
      <c r="BD591" s="8"/>
      <c r="BE591" s="8"/>
      <c r="BF591" s="8"/>
    </row>
    <row r="592" spans="26:58" ht="16.899999999999999">
      <c r="Z592" s="244"/>
      <c r="AC592" s="10"/>
      <c r="AD592" s="10"/>
      <c r="AF592" s="10"/>
      <c r="AG592" s="10"/>
      <c r="AH592" s="10"/>
      <c r="AI592" s="9"/>
      <c r="AJ592" s="9"/>
      <c r="AK592" s="11"/>
      <c r="AL592" s="10"/>
      <c r="AM592" s="11"/>
      <c r="AN592" s="10"/>
      <c r="AO592" s="11"/>
      <c r="AP592" s="10"/>
      <c r="AQ592" s="10"/>
      <c r="AR592" s="10"/>
      <c r="AS592" s="9"/>
      <c r="AT592" s="9"/>
      <c r="AU592" s="9"/>
      <c r="AV592" s="9"/>
      <c r="AW592" s="9"/>
      <c r="AX592" s="9"/>
      <c r="AY592" s="8"/>
      <c r="AZ592" s="8"/>
      <c r="BA592" s="8"/>
      <c r="BB592" s="8"/>
      <c r="BC592" s="8"/>
      <c r="BD592" s="8"/>
      <c r="BE592" s="8"/>
      <c r="BF592" s="8"/>
    </row>
    <row r="593" spans="26:58" ht="16.899999999999999">
      <c r="Z593" s="244"/>
      <c r="AC593" s="10"/>
      <c r="AD593" s="10"/>
      <c r="AF593" s="10"/>
      <c r="AG593" s="10"/>
      <c r="AH593" s="10"/>
      <c r="AI593" s="9"/>
      <c r="AJ593" s="9"/>
      <c r="AK593" s="11"/>
      <c r="AL593" s="10"/>
      <c r="AM593" s="11"/>
      <c r="AN593" s="10"/>
      <c r="AO593" s="11"/>
      <c r="AP593" s="10"/>
      <c r="AQ593" s="10"/>
      <c r="AR593" s="10"/>
      <c r="AS593" s="9"/>
      <c r="AT593" s="9"/>
      <c r="AU593" s="9"/>
      <c r="AV593" s="9"/>
      <c r="AW593" s="9"/>
      <c r="AX593" s="9"/>
      <c r="AY593" s="8"/>
      <c r="AZ593" s="8"/>
      <c r="BA593" s="8"/>
      <c r="BB593" s="8"/>
      <c r="BC593" s="8"/>
      <c r="BD593" s="8"/>
      <c r="BE593" s="8"/>
      <c r="BF593" s="8"/>
    </row>
    <row r="594" spans="26:58" ht="16.899999999999999">
      <c r="Z594" s="244"/>
      <c r="AC594" s="10"/>
      <c r="AD594" s="10"/>
      <c r="AF594" s="10"/>
      <c r="AG594" s="10"/>
      <c r="AH594" s="10"/>
      <c r="AI594" s="9"/>
      <c r="AJ594" s="9"/>
      <c r="AK594" s="11"/>
      <c r="AL594" s="10"/>
      <c r="AM594" s="11"/>
      <c r="AN594" s="10"/>
      <c r="AO594" s="11"/>
      <c r="AP594" s="10"/>
      <c r="AQ594" s="10"/>
      <c r="AR594" s="10"/>
      <c r="AS594" s="9"/>
      <c r="AT594" s="9"/>
      <c r="AU594" s="9"/>
      <c r="AV594" s="9"/>
      <c r="AW594" s="9"/>
      <c r="AX594" s="9"/>
      <c r="AY594" s="8"/>
      <c r="AZ594" s="8"/>
      <c r="BA594" s="8"/>
      <c r="BB594" s="8"/>
      <c r="BC594" s="8"/>
      <c r="BD594" s="8"/>
      <c r="BE594" s="8"/>
      <c r="BF594" s="8"/>
    </row>
    <row r="595" spans="26:58" ht="16.899999999999999">
      <c r="Z595" s="244"/>
      <c r="AC595" s="10"/>
      <c r="AD595" s="10"/>
      <c r="AF595" s="10"/>
      <c r="AG595" s="10"/>
      <c r="AH595" s="10"/>
      <c r="AI595" s="9"/>
      <c r="AJ595" s="9"/>
      <c r="AK595" s="11"/>
      <c r="AL595" s="10"/>
      <c r="AM595" s="11"/>
      <c r="AN595" s="10"/>
      <c r="AO595" s="11"/>
      <c r="AP595" s="10"/>
      <c r="AQ595" s="10"/>
      <c r="AR595" s="10"/>
      <c r="AS595" s="9"/>
      <c r="AT595" s="9"/>
      <c r="AU595" s="9"/>
      <c r="AV595" s="9"/>
      <c r="AW595" s="9"/>
      <c r="AX595" s="9"/>
      <c r="AY595" s="8"/>
      <c r="AZ595" s="8"/>
      <c r="BA595" s="8"/>
      <c r="BB595" s="8"/>
      <c r="BC595" s="8"/>
      <c r="BD595" s="8"/>
      <c r="BE595" s="8"/>
      <c r="BF595" s="8"/>
    </row>
    <row r="596" spans="26:58" ht="16.899999999999999">
      <c r="Z596" s="244"/>
      <c r="AC596" s="10"/>
      <c r="AD596" s="10"/>
      <c r="AF596" s="10"/>
      <c r="AG596" s="10"/>
      <c r="AH596" s="10"/>
      <c r="AI596" s="9"/>
      <c r="AJ596" s="9"/>
      <c r="AK596" s="11"/>
      <c r="AL596" s="10"/>
      <c r="AM596" s="11"/>
      <c r="AN596" s="10"/>
      <c r="AO596" s="11"/>
      <c r="AP596" s="10"/>
      <c r="AQ596" s="10"/>
      <c r="AR596" s="10"/>
      <c r="AS596" s="9"/>
      <c r="AT596" s="9"/>
      <c r="AU596" s="9"/>
      <c r="AV596" s="9"/>
      <c r="AW596" s="9"/>
      <c r="AX596" s="9"/>
      <c r="AY596" s="8"/>
      <c r="AZ596" s="8"/>
      <c r="BA596" s="8"/>
      <c r="BB596" s="8"/>
      <c r="BC596" s="8"/>
      <c r="BD596" s="8"/>
      <c r="BE596" s="8"/>
      <c r="BF596" s="8"/>
    </row>
    <row r="597" spans="26:58" ht="16.899999999999999">
      <c r="Z597" s="244"/>
      <c r="AC597" s="10"/>
      <c r="AD597" s="10"/>
      <c r="AF597" s="10"/>
      <c r="AG597" s="10"/>
      <c r="AH597" s="10"/>
      <c r="AI597" s="9"/>
      <c r="AJ597" s="9"/>
      <c r="AK597" s="11"/>
      <c r="AL597" s="10"/>
      <c r="AM597" s="11"/>
      <c r="AN597" s="10"/>
      <c r="AO597" s="11"/>
      <c r="AP597" s="10"/>
      <c r="AQ597" s="10"/>
      <c r="AR597" s="10"/>
      <c r="AS597" s="9"/>
      <c r="AT597" s="9"/>
      <c r="AU597" s="9"/>
      <c r="AV597" s="9"/>
      <c r="AW597" s="9"/>
      <c r="AX597" s="9"/>
      <c r="AY597" s="8"/>
      <c r="AZ597" s="8"/>
      <c r="BA597" s="8"/>
      <c r="BB597" s="8"/>
      <c r="BC597" s="8"/>
      <c r="BD597" s="8"/>
      <c r="BE597" s="8"/>
      <c r="BF597" s="8"/>
    </row>
    <row r="598" spans="26:58" ht="16.899999999999999">
      <c r="Z598" s="244"/>
      <c r="AC598" s="10"/>
      <c r="AD598" s="10"/>
      <c r="AF598" s="10"/>
      <c r="AG598" s="10"/>
      <c r="AH598" s="10"/>
      <c r="AI598" s="9"/>
      <c r="AJ598" s="9"/>
      <c r="AK598" s="11"/>
      <c r="AL598" s="10"/>
      <c r="AM598" s="11"/>
      <c r="AN598" s="10"/>
      <c r="AO598" s="11"/>
      <c r="AP598" s="10"/>
      <c r="AQ598" s="10"/>
      <c r="AR598" s="10"/>
      <c r="AS598" s="9"/>
      <c r="AT598" s="9"/>
      <c r="AU598" s="9"/>
      <c r="AV598" s="9"/>
      <c r="AW598" s="9"/>
      <c r="AX598" s="9"/>
      <c r="AY598" s="8"/>
      <c r="AZ598" s="8"/>
      <c r="BA598" s="8"/>
      <c r="BB598" s="8"/>
      <c r="BC598" s="8"/>
      <c r="BD598" s="8"/>
      <c r="BE598" s="8"/>
      <c r="BF598" s="8"/>
    </row>
    <row r="599" spans="26:58" ht="16.899999999999999">
      <c r="Z599" s="244"/>
      <c r="AC599" s="10"/>
      <c r="AD599" s="10"/>
      <c r="AF599" s="10"/>
      <c r="AG599" s="10"/>
      <c r="AH599" s="10"/>
      <c r="AI599" s="9"/>
      <c r="AJ599" s="9"/>
      <c r="AK599" s="11"/>
      <c r="AL599" s="10"/>
      <c r="AM599" s="11"/>
      <c r="AN599" s="10"/>
      <c r="AO599" s="11"/>
      <c r="AP599" s="10"/>
      <c r="AQ599" s="10"/>
      <c r="AR599" s="10"/>
      <c r="AS599" s="9"/>
      <c r="AT599" s="9"/>
      <c r="AU599" s="9"/>
      <c r="AV599" s="9"/>
      <c r="AW599" s="9"/>
      <c r="AX599" s="9"/>
      <c r="AY599" s="8"/>
      <c r="AZ599" s="8"/>
      <c r="BA599" s="8"/>
      <c r="BB599" s="8"/>
      <c r="BC599" s="8"/>
      <c r="BD599" s="8"/>
      <c r="BE599" s="8"/>
      <c r="BF599" s="8"/>
    </row>
    <row r="600" spans="26:58" ht="16.899999999999999">
      <c r="Z600" s="244"/>
      <c r="AC600" s="10"/>
      <c r="AD600" s="10"/>
      <c r="AF600" s="10"/>
      <c r="AG600" s="10"/>
      <c r="AH600" s="10"/>
      <c r="AI600" s="9"/>
      <c r="AJ600" s="9"/>
      <c r="AK600" s="11"/>
      <c r="AL600" s="10"/>
      <c r="AM600" s="11"/>
      <c r="AN600" s="10"/>
      <c r="AO600" s="11"/>
      <c r="AP600" s="10"/>
      <c r="AQ600" s="10"/>
      <c r="AR600" s="10"/>
      <c r="AS600" s="9"/>
      <c r="AT600" s="9"/>
      <c r="AU600" s="9"/>
      <c r="AV600" s="9"/>
      <c r="AW600" s="9"/>
      <c r="AX600" s="9"/>
      <c r="AY600" s="8"/>
      <c r="AZ600" s="8"/>
      <c r="BA600" s="8"/>
      <c r="BB600" s="8"/>
      <c r="BC600" s="8"/>
      <c r="BD600" s="8"/>
      <c r="BE600" s="8"/>
      <c r="BF600" s="8"/>
    </row>
    <row r="601" spans="26:58" ht="16.899999999999999">
      <c r="Z601" s="244"/>
      <c r="AC601" s="10"/>
      <c r="AD601" s="10"/>
      <c r="AF601" s="10"/>
      <c r="AG601" s="10"/>
      <c r="AH601" s="10"/>
      <c r="AI601" s="9"/>
      <c r="AJ601" s="9"/>
      <c r="AK601" s="11"/>
      <c r="AL601" s="10"/>
      <c r="AM601" s="11"/>
      <c r="AN601" s="10"/>
      <c r="AO601" s="11"/>
      <c r="AP601" s="10"/>
      <c r="AQ601" s="10"/>
      <c r="AR601" s="10"/>
      <c r="AS601" s="9"/>
      <c r="AT601" s="9"/>
      <c r="AU601" s="9"/>
      <c r="AV601" s="9"/>
      <c r="AW601" s="9"/>
      <c r="AX601" s="9"/>
      <c r="AY601" s="8"/>
      <c r="AZ601" s="8"/>
      <c r="BA601" s="8"/>
      <c r="BB601" s="8"/>
      <c r="BC601" s="8"/>
      <c r="BD601" s="8"/>
      <c r="BE601" s="8"/>
      <c r="BF601" s="8"/>
    </row>
    <row r="602" spans="26:58" ht="16.899999999999999">
      <c r="Z602" s="244"/>
      <c r="AC602" s="10"/>
      <c r="AD602" s="10"/>
      <c r="AF602" s="10"/>
      <c r="AG602" s="10"/>
      <c r="AH602" s="10"/>
      <c r="AI602" s="9"/>
      <c r="AJ602" s="9"/>
      <c r="AK602" s="11"/>
      <c r="AL602" s="10"/>
      <c r="AM602" s="11"/>
      <c r="AN602" s="10"/>
      <c r="AO602" s="11"/>
      <c r="AP602" s="10"/>
      <c r="AQ602" s="10"/>
      <c r="AR602" s="10"/>
      <c r="AS602" s="9"/>
      <c r="AT602" s="9"/>
      <c r="AU602" s="9"/>
      <c r="AV602" s="9"/>
      <c r="AW602" s="9"/>
      <c r="AX602" s="9"/>
      <c r="AY602" s="8"/>
      <c r="AZ602" s="8"/>
      <c r="BA602" s="8"/>
      <c r="BB602" s="8"/>
      <c r="BC602" s="8"/>
      <c r="BD602" s="8"/>
      <c r="BE602" s="8"/>
      <c r="BF602" s="8"/>
    </row>
    <row r="603" spans="26:58" ht="16.899999999999999">
      <c r="Z603" s="244"/>
      <c r="AC603" s="10"/>
      <c r="AD603" s="10"/>
      <c r="AF603" s="10"/>
      <c r="AG603" s="10"/>
      <c r="AH603" s="10"/>
      <c r="AI603" s="9"/>
      <c r="AJ603" s="9"/>
      <c r="AK603" s="11"/>
      <c r="AL603" s="10"/>
      <c r="AM603" s="11"/>
      <c r="AN603" s="10"/>
      <c r="AO603" s="11"/>
      <c r="AP603" s="10"/>
      <c r="AQ603" s="10"/>
      <c r="AR603" s="10"/>
      <c r="AS603" s="9"/>
      <c r="AT603" s="9"/>
      <c r="AU603" s="9"/>
      <c r="AV603" s="9"/>
      <c r="AW603" s="9"/>
      <c r="AX603" s="9"/>
      <c r="AY603" s="8"/>
      <c r="AZ603" s="8"/>
      <c r="BA603" s="8"/>
      <c r="BB603" s="8"/>
      <c r="BC603" s="8"/>
      <c r="BD603" s="8"/>
      <c r="BE603" s="8"/>
      <c r="BF603" s="8"/>
    </row>
    <row r="604" spans="26:58" ht="16.899999999999999">
      <c r="Z604" s="244"/>
      <c r="AC604" s="10"/>
      <c r="AD604" s="10"/>
      <c r="AF604" s="10"/>
      <c r="AG604" s="10"/>
      <c r="AH604" s="10"/>
      <c r="AI604" s="9"/>
      <c r="AJ604" s="9"/>
      <c r="AK604" s="11"/>
      <c r="AL604" s="10"/>
      <c r="AM604" s="11"/>
      <c r="AN604" s="10"/>
      <c r="AO604" s="11"/>
      <c r="AP604" s="10"/>
      <c r="AQ604" s="10"/>
      <c r="AR604" s="10"/>
      <c r="AS604" s="9"/>
      <c r="AT604" s="9"/>
      <c r="AU604" s="9"/>
      <c r="AV604" s="9"/>
      <c r="AW604" s="9"/>
      <c r="AX604" s="9"/>
      <c r="AY604" s="8"/>
      <c r="AZ604" s="8"/>
      <c r="BA604" s="8"/>
      <c r="BB604" s="8"/>
      <c r="BC604" s="8"/>
      <c r="BD604" s="8"/>
      <c r="BE604" s="8"/>
      <c r="BF604" s="8"/>
    </row>
    <row r="605" spans="26:58" ht="16.899999999999999">
      <c r="Z605" s="244"/>
      <c r="AC605" s="10"/>
      <c r="AD605" s="10"/>
      <c r="AF605" s="10"/>
      <c r="AG605" s="10"/>
      <c r="AH605" s="10"/>
      <c r="AI605" s="9"/>
      <c r="AJ605" s="9"/>
      <c r="AK605" s="11"/>
      <c r="AL605" s="10"/>
      <c r="AM605" s="11"/>
      <c r="AN605" s="10"/>
      <c r="AO605" s="11"/>
      <c r="AP605" s="10"/>
      <c r="AQ605" s="10"/>
      <c r="AR605" s="10"/>
      <c r="AS605" s="9"/>
      <c r="AT605" s="9"/>
      <c r="AU605" s="9"/>
      <c r="AV605" s="9"/>
      <c r="AW605" s="9"/>
      <c r="AX605" s="9"/>
      <c r="AY605" s="8"/>
      <c r="AZ605" s="8"/>
      <c r="BA605" s="8"/>
      <c r="BB605" s="8"/>
      <c r="BC605" s="8"/>
      <c r="BD605" s="8"/>
      <c r="BE605" s="8"/>
      <c r="BF605" s="8"/>
    </row>
    <row r="606" spans="26:58" ht="16.899999999999999">
      <c r="Z606" s="244"/>
      <c r="AC606" s="10"/>
      <c r="AD606" s="10"/>
      <c r="AF606" s="10"/>
      <c r="AG606" s="10"/>
      <c r="AH606" s="10"/>
      <c r="AI606" s="9"/>
      <c r="AJ606" s="9"/>
      <c r="AK606" s="11"/>
      <c r="AL606" s="10"/>
      <c r="AM606" s="11"/>
      <c r="AN606" s="10"/>
      <c r="AO606" s="11"/>
      <c r="AP606" s="10"/>
      <c r="AQ606" s="10"/>
      <c r="AR606" s="10"/>
      <c r="AS606" s="9"/>
      <c r="AT606" s="9"/>
      <c r="AU606" s="9"/>
      <c r="AV606" s="9"/>
      <c r="AW606" s="9"/>
      <c r="AX606" s="9"/>
      <c r="AY606" s="8"/>
      <c r="AZ606" s="8"/>
      <c r="BA606" s="8"/>
      <c r="BB606" s="8"/>
      <c r="BC606" s="8"/>
      <c r="BD606" s="8"/>
      <c r="BE606" s="8"/>
      <c r="BF606" s="8"/>
    </row>
    <row r="607" spans="26:58" ht="16.899999999999999">
      <c r="Z607" s="244"/>
      <c r="AC607" s="10"/>
      <c r="AD607" s="10"/>
      <c r="AF607" s="10"/>
      <c r="AG607" s="10"/>
      <c r="AH607" s="10"/>
      <c r="AI607" s="9"/>
      <c r="AJ607" s="9"/>
      <c r="AK607" s="11"/>
      <c r="AL607" s="10"/>
      <c r="AM607" s="11"/>
      <c r="AN607" s="10"/>
      <c r="AO607" s="11"/>
      <c r="AP607" s="10"/>
      <c r="AQ607" s="10"/>
      <c r="AR607" s="10"/>
      <c r="AS607" s="9"/>
      <c r="AT607" s="9"/>
      <c r="AU607" s="9"/>
      <c r="AV607" s="9"/>
      <c r="AW607" s="9"/>
      <c r="AX607" s="9"/>
      <c r="AY607" s="8"/>
      <c r="AZ607" s="8"/>
      <c r="BA607" s="8"/>
      <c r="BB607" s="8"/>
      <c r="BC607" s="8"/>
      <c r="BD607" s="8"/>
      <c r="BE607" s="8"/>
      <c r="BF607" s="8"/>
    </row>
    <row r="608" spans="26:58" ht="16.899999999999999">
      <c r="Z608" s="244"/>
      <c r="AC608" s="10"/>
      <c r="AD608" s="10"/>
      <c r="AF608" s="10"/>
      <c r="AG608" s="10"/>
      <c r="AH608" s="10"/>
      <c r="AI608" s="9"/>
      <c r="AJ608" s="9"/>
      <c r="AK608" s="11"/>
      <c r="AL608" s="10"/>
      <c r="AM608" s="11"/>
      <c r="AN608" s="10"/>
      <c r="AO608" s="11"/>
      <c r="AP608" s="10"/>
      <c r="AQ608" s="10"/>
      <c r="AR608" s="10"/>
      <c r="AS608" s="9"/>
      <c r="AT608" s="9"/>
      <c r="AU608" s="9"/>
      <c r="AV608" s="9"/>
      <c r="AW608" s="9"/>
      <c r="AX608" s="9"/>
      <c r="AY608" s="8"/>
      <c r="AZ608" s="8"/>
      <c r="BA608" s="8"/>
      <c r="BB608" s="8"/>
      <c r="BC608" s="8"/>
      <c r="BD608" s="8"/>
      <c r="BE608" s="8"/>
      <c r="BF608" s="8"/>
    </row>
    <row r="609" spans="26:58" ht="16.899999999999999">
      <c r="Z609" s="244"/>
      <c r="AC609" s="10"/>
      <c r="AD609" s="10"/>
      <c r="AF609" s="10"/>
      <c r="AG609" s="10"/>
      <c r="AH609" s="10"/>
      <c r="AI609" s="9"/>
      <c r="AJ609" s="9"/>
      <c r="AK609" s="11"/>
      <c r="AL609" s="10"/>
      <c r="AM609" s="11"/>
      <c r="AN609" s="10"/>
      <c r="AO609" s="11"/>
      <c r="AP609" s="10"/>
      <c r="AQ609" s="10"/>
      <c r="AR609" s="10"/>
      <c r="AS609" s="9"/>
      <c r="AT609" s="9"/>
      <c r="AU609" s="9"/>
      <c r="AV609" s="9"/>
      <c r="AW609" s="9"/>
      <c r="AX609" s="9"/>
      <c r="AY609" s="8"/>
      <c r="AZ609" s="8"/>
      <c r="BA609" s="8"/>
      <c r="BB609" s="8"/>
      <c r="BC609" s="8"/>
      <c r="BD609" s="8"/>
      <c r="BE609" s="8"/>
      <c r="BF609" s="8"/>
    </row>
    <row r="610" spans="26:58" ht="16.899999999999999">
      <c r="Z610" s="244"/>
      <c r="AC610" s="10"/>
      <c r="AD610" s="10"/>
      <c r="AF610" s="10"/>
      <c r="AG610" s="10"/>
      <c r="AH610" s="10"/>
      <c r="AI610" s="9"/>
      <c r="AJ610" s="9"/>
      <c r="AK610" s="11"/>
      <c r="AL610" s="10"/>
      <c r="AM610" s="11"/>
      <c r="AN610" s="10"/>
      <c r="AO610" s="11"/>
      <c r="AP610" s="10"/>
      <c r="AQ610" s="10"/>
      <c r="AR610" s="10"/>
      <c r="AS610" s="9"/>
      <c r="AT610" s="9"/>
      <c r="AU610" s="9"/>
      <c r="AV610" s="9"/>
      <c r="AW610" s="9"/>
      <c r="AX610" s="9"/>
      <c r="AY610" s="8"/>
      <c r="AZ610" s="8"/>
      <c r="BA610" s="8"/>
      <c r="BB610" s="8"/>
      <c r="BC610" s="8"/>
      <c r="BD610" s="8"/>
      <c r="BE610" s="8"/>
      <c r="BF610" s="8"/>
    </row>
    <row r="611" spans="26:58" ht="16.899999999999999">
      <c r="Z611" s="244"/>
      <c r="AC611" s="10"/>
      <c r="AD611" s="10"/>
      <c r="AF611" s="10"/>
      <c r="AG611" s="10"/>
      <c r="AH611" s="10"/>
      <c r="AI611" s="9"/>
      <c r="AJ611" s="9"/>
      <c r="AK611" s="11"/>
      <c r="AL611" s="10"/>
      <c r="AM611" s="11"/>
      <c r="AN611" s="10"/>
      <c r="AO611" s="11"/>
      <c r="AP611" s="10"/>
      <c r="AQ611" s="10"/>
      <c r="AR611" s="10"/>
      <c r="AS611" s="9"/>
      <c r="AT611" s="9"/>
      <c r="AU611" s="9"/>
      <c r="AV611" s="9"/>
      <c r="AW611" s="9"/>
      <c r="AX611" s="9"/>
      <c r="AY611" s="8"/>
      <c r="AZ611" s="8"/>
      <c r="BA611" s="8"/>
      <c r="BB611" s="8"/>
      <c r="BC611" s="8"/>
      <c r="BD611" s="8"/>
      <c r="BE611" s="8"/>
      <c r="BF611" s="8"/>
    </row>
    <row r="612" spans="26:58" ht="16.899999999999999">
      <c r="Z612" s="244"/>
      <c r="AC612" s="10"/>
      <c r="AD612" s="10"/>
      <c r="AF612" s="10"/>
      <c r="AG612" s="10"/>
      <c r="AH612" s="10"/>
      <c r="AI612" s="9"/>
      <c r="AJ612" s="9"/>
      <c r="AK612" s="11"/>
      <c r="AL612" s="10"/>
      <c r="AM612" s="11"/>
      <c r="AN612" s="10"/>
      <c r="AO612" s="11"/>
      <c r="AP612" s="10"/>
      <c r="AQ612" s="10"/>
      <c r="AR612" s="10"/>
      <c r="AS612" s="9"/>
      <c r="AT612" s="9"/>
      <c r="AU612" s="9"/>
      <c r="AV612" s="9"/>
      <c r="AW612" s="9"/>
      <c r="AX612" s="9"/>
      <c r="AY612" s="8"/>
      <c r="AZ612" s="8"/>
      <c r="BA612" s="8"/>
      <c r="BB612" s="8"/>
      <c r="BC612" s="8"/>
      <c r="BD612" s="8"/>
      <c r="BE612" s="8"/>
      <c r="BF612" s="8"/>
    </row>
    <row r="613" spans="26:58" ht="16.899999999999999">
      <c r="Z613" s="244"/>
      <c r="AC613" s="10"/>
      <c r="AD613" s="10"/>
      <c r="AF613" s="10"/>
      <c r="AG613" s="10"/>
      <c r="AH613" s="10"/>
      <c r="AI613" s="9"/>
      <c r="AJ613" s="9"/>
      <c r="AK613" s="11"/>
      <c r="AL613" s="10"/>
      <c r="AM613" s="11"/>
      <c r="AN613" s="10"/>
      <c r="AO613" s="11"/>
      <c r="AP613" s="10"/>
      <c r="AQ613" s="10"/>
      <c r="AR613" s="10"/>
      <c r="AS613" s="9"/>
      <c r="AT613" s="9"/>
      <c r="AU613" s="9"/>
      <c r="AV613" s="9"/>
      <c r="AW613" s="9"/>
      <c r="AX613" s="9"/>
      <c r="AY613" s="8"/>
      <c r="AZ613" s="8"/>
      <c r="BA613" s="8"/>
      <c r="BB613" s="8"/>
      <c r="BC613" s="8"/>
      <c r="BD613" s="8"/>
      <c r="BE613" s="8"/>
      <c r="BF613" s="8"/>
    </row>
    <row r="614" spans="26:58" ht="16.899999999999999">
      <c r="Z614" s="244"/>
      <c r="AC614" s="10"/>
      <c r="AD614" s="10"/>
      <c r="AF614" s="10"/>
      <c r="AG614" s="10"/>
      <c r="AH614" s="10"/>
      <c r="AI614" s="9"/>
      <c r="AJ614" s="9"/>
      <c r="AK614" s="11"/>
      <c r="AL614" s="10"/>
      <c r="AM614" s="11"/>
      <c r="AN614" s="10"/>
      <c r="AO614" s="11"/>
      <c r="AP614" s="10"/>
      <c r="AQ614" s="10"/>
      <c r="AR614" s="10"/>
      <c r="AS614" s="9"/>
      <c r="AT614" s="9"/>
      <c r="AU614" s="9"/>
      <c r="AV614" s="9"/>
      <c r="AW614" s="9"/>
      <c r="AX614" s="9"/>
      <c r="AY614" s="8"/>
      <c r="AZ614" s="8"/>
      <c r="BA614" s="8"/>
      <c r="BB614" s="8"/>
      <c r="BC614" s="8"/>
      <c r="BD614" s="8"/>
      <c r="BE614" s="8"/>
      <c r="BF614" s="8"/>
    </row>
    <row r="615" spans="26:58" ht="16.899999999999999">
      <c r="Z615" s="244"/>
      <c r="AC615" s="10"/>
      <c r="AD615" s="10"/>
      <c r="AF615" s="10"/>
      <c r="AG615" s="10"/>
      <c r="AH615" s="10"/>
      <c r="AI615" s="9"/>
      <c r="AJ615" s="9"/>
      <c r="AK615" s="11"/>
      <c r="AL615" s="10"/>
      <c r="AM615" s="11"/>
      <c r="AN615" s="10"/>
      <c r="AO615" s="11"/>
      <c r="AP615" s="10"/>
      <c r="AQ615" s="10"/>
      <c r="AR615" s="10"/>
      <c r="AS615" s="9"/>
      <c r="AT615" s="9"/>
      <c r="AU615" s="9"/>
      <c r="AV615" s="9"/>
      <c r="AW615" s="9"/>
      <c r="AX615" s="9"/>
      <c r="AY615" s="8"/>
      <c r="AZ615" s="8"/>
      <c r="BA615" s="8"/>
      <c r="BB615" s="8"/>
      <c r="BC615" s="8"/>
      <c r="BD615" s="8"/>
      <c r="BE615" s="8"/>
      <c r="BF615" s="8"/>
    </row>
    <row r="616" spans="26:58" ht="16.899999999999999">
      <c r="Z616" s="244"/>
      <c r="AC616" s="10"/>
      <c r="AD616" s="10"/>
      <c r="AF616" s="10"/>
      <c r="AG616" s="10"/>
      <c r="AH616" s="10"/>
      <c r="AI616" s="9"/>
      <c r="AJ616" s="9"/>
      <c r="AK616" s="11"/>
      <c r="AL616" s="10"/>
      <c r="AM616" s="11"/>
      <c r="AN616" s="10"/>
      <c r="AO616" s="11"/>
      <c r="AP616" s="10"/>
      <c r="AQ616" s="10"/>
      <c r="AR616" s="10"/>
      <c r="AS616" s="9"/>
      <c r="AT616" s="9"/>
      <c r="AU616" s="9"/>
      <c r="AV616" s="9"/>
      <c r="AW616" s="9"/>
      <c r="AX616" s="9"/>
      <c r="AY616" s="8"/>
      <c r="AZ616" s="8"/>
      <c r="BA616" s="8"/>
      <c r="BB616" s="8"/>
      <c r="BC616" s="8"/>
      <c r="BD616" s="8"/>
      <c r="BE616" s="8"/>
      <c r="BF616" s="8"/>
    </row>
    <row r="617" spans="26:58" ht="16.899999999999999">
      <c r="Z617" s="244"/>
      <c r="AC617" s="10"/>
      <c r="AD617" s="10"/>
      <c r="AF617" s="10"/>
      <c r="AG617" s="10"/>
      <c r="AH617" s="10"/>
      <c r="AI617" s="9"/>
      <c r="AJ617" s="9"/>
      <c r="AK617" s="11"/>
      <c r="AL617" s="10"/>
      <c r="AM617" s="11"/>
      <c r="AN617" s="10"/>
      <c r="AO617" s="11"/>
      <c r="AP617" s="10"/>
      <c r="AQ617" s="10"/>
      <c r="AR617" s="10"/>
      <c r="AS617" s="9"/>
      <c r="AT617" s="9"/>
      <c r="AU617" s="9"/>
      <c r="AV617" s="9"/>
      <c r="AW617" s="9"/>
      <c r="AX617" s="9"/>
      <c r="AY617" s="8"/>
      <c r="AZ617" s="8"/>
      <c r="BA617" s="8"/>
      <c r="BB617" s="8"/>
      <c r="BC617" s="8"/>
      <c r="BD617" s="8"/>
      <c r="BE617" s="8"/>
      <c r="BF617" s="8"/>
    </row>
    <row r="618" spans="26:58" ht="16.899999999999999">
      <c r="Z618" s="244"/>
      <c r="AC618" s="10"/>
      <c r="AD618" s="10"/>
      <c r="AF618" s="10"/>
      <c r="AG618" s="10"/>
      <c r="AH618" s="10"/>
      <c r="AI618" s="9"/>
      <c r="AJ618" s="9"/>
      <c r="AK618" s="11"/>
      <c r="AL618" s="10"/>
      <c r="AM618" s="11"/>
      <c r="AN618" s="10"/>
      <c r="AO618" s="11"/>
      <c r="AP618" s="10"/>
      <c r="AQ618" s="10"/>
      <c r="AR618" s="10"/>
      <c r="AS618" s="9"/>
      <c r="AT618" s="9"/>
      <c r="AU618" s="9"/>
      <c r="AV618" s="9"/>
      <c r="AW618" s="9"/>
      <c r="AX618" s="9"/>
      <c r="AY618" s="8"/>
      <c r="AZ618" s="8"/>
      <c r="BA618" s="8"/>
      <c r="BB618" s="8"/>
      <c r="BC618" s="8"/>
      <c r="BD618" s="8"/>
      <c r="BE618" s="8"/>
      <c r="BF618" s="8"/>
    </row>
    <row r="619" spans="26:58" ht="16.899999999999999">
      <c r="Z619" s="244"/>
      <c r="AC619" s="10"/>
      <c r="AD619" s="10"/>
      <c r="AF619" s="10"/>
      <c r="AG619" s="10"/>
      <c r="AH619" s="10"/>
      <c r="AI619" s="9"/>
      <c r="AJ619" s="9"/>
      <c r="AK619" s="11"/>
      <c r="AL619" s="10"/>
      <c r="AM619" s="11"/>
      <c r="AN619" s="10"/>
      <c r="AO619" s="11"/>
      <c r="AP619" s="10"/>
      <c r="AQ619" s="10"/>
      <c r="AR619" s="10"/>
      <c r="AS619" s="9"/>
      <c r="AT619" s="9"/>
      <c r="AU619" s="9"/>
      <c r="AV619" s="9"/>
      <c r="AW619" s="9"/>
      <c r="AX619" s="9"/>
      <c r="AY619" s="8"/>
      <c r="AZ619" s="8"/>
      <c r="BA619" s="8"/>
      <c r="BB619" s="8"/>
      <c r="BC619" s="8"/>
      <c r="BD619" s="8"/>
      <c r="BE619" s="8"/>
      <c r="BF619" s="8"/>
    </row>
    <row r="620" spans="26:58" ht="16.899999999999999">
      <c r="Z620" s="244"/>
      <c r="AC620" s="10"/>
      <c r="AD620" s="10"/>
      <c r="AF620" s="10"/>
      <c r="AG620" s="10"/>
      <c r="AH620" s="10"/>
      <c r="AI620" s="9"/>
      <c r="AJ620" s="9"/>
      <c r="AK620" s="11"/>
      <c r="AL620" s="10"/>
      <c r="AM620" s="11"/>
      <c r="AN620" s="10"/>
      <c r="AO620" s="11"/>
      <c r="AP620" s="10"/>
      <c r="AQ620" s="10"/>
      <c r="AR620" s="10"/>
      <c r="AS620" s="9"/>
      <c r="AT620" s="9"/>
      <c r="AU620" s="9"/>
      <c r="AV620" s="9"/>
      <c r="AW620" s="9"/>
      <c r="AX620" s="9"/>
      <c r="AY620" s="8"/>
      <c r="AZ620" s="8"/>
      <c r="BA620" s="8"/>
      <c r="BB620" s="8"/>
      <c r="BC620" s="8"/>
      <c r="BD620" s="8"/>
      <c r="BE620" s="8"/>
      <c r="BF620" s="8"/>
    </row>
    <row r="621" spans="26:58" ht="16.899999999999999">
      <c r="Z621" s="244"/>
      <c r="AC621" s="10"/>
      <c r="AD621" s="10"/>
      <c r="AF621" s="10"/>
      <c r="AG621" s="10"/>
      <c r="AH621" s="10"/>
      <c r="AI621" s="9"/>
      <c r="AJ621" s="9"/>
      <c r="AK621" s="11"/>
      <c r="AL621" s="10"/>
      <c r="AM621" s="11"/>
      <c r="AN621" s="10"/>
      <c r="AO621" s="11"/>
      <c r="AP621" s="10"/>
      <c r="AQ621" s="10"/>
      <c r="AR621" s="10"/>
      <c r="AS621" s="9"/>
      <c r="AT621" s="9"/>
      <c r="AU621" s="9"/>
      <c r="AV621" s="9"/>
      <c r="AW621" s="9"/>
      <c r="AX621" s="9"/>
      <c r="AY621" s="8"/>
      <c r="AZ621" s="8"/>
      <c r="BA621" s="8"/>
      <c r="BB621" s="8"/>
      <c r="BC621" s="8"/>
      <c r="BD621" s="8"/>
      <c r="BE621" s="8"/>
      <c r="BF621" s="8"/>
    </row>
    <row r="622" spans="26:58" ht="16.899999999999999">
      <c r="Z622" s="244"/>
      <c r="AC622" s="10"/>
      <c r="AD622" s="10"/>
      <c r="AF622" s="10"/>
      <c r="AG622" s="10"/>
      <c r="AH622" s="10"/>
      <c r="AI622" s="9"/>
      <c r="AJ622" s="9"/>
      <c r="AK622" s="11"/>
      <c r="AL622" s="10"/>
      <c r="AM622" s="11"/>
      <c r="AN622" s="10"/>
      <c r="AO622" s="11"/>
      <c r="AP622" s="10"/>
      <c r="AQ622" s="10"/>
      <c r="AR622" s="10"/>
      <c r="AS622" s="9"/>
      <c r="AT622" s="9"/>
      <c r="AU622" s="9"/>
      <c r="AV622" s="9"/>
      <c r="AW622" s="9"/>
      <c r="AX622" s="9"/>
      <c r="AY622" s="8"/>
      <c r="AZ622" s="8"/>
      <c r="BA622" s="8"/>
      <c r="BB622" s="8"/>
      <c r="BC622" s="8"/>
      <c r="BD622" s="8"/>
      <c r="BE622" s="8"/>
      <c r="BF622" s="8"/>
    </row>
    <row r="623" spans="26:58" ht="16.899999999999999">
      <c r="Z623" s="244"/>
      <c r="AC623" s="10"/>
      <c r="AD623" s="10"/>
      <c r="AF623" s="10"/>
      <c r="AG623" s="10"/>
      <c r="AH623" s="10"/>
      <c r="AI623" s="9"/>
      <c r="AJ623" s="9"/>
      <c r="AK623" s="11"/>
      <c r="AL623" s="10"/>
      <c r="AM623" s="11"/>
      <c r="AN623" s="10"/>
      <c r="AO623" s="11"/>
      <c r="AP623" s="10"/>
      <c r="AQ623" s="10"/>
      <c r="AR623" s="10"/>
      <c r="AS623" s="9"/>
      <c r="AT623" s="9"/>
      <c r="AU623" s="9"/>
      <c r="AV623" s="9"/>
      <c r="AW623" s="9"/>
      <c r="AX623" s="9"/>
      <c r="AY623" s="8"/>
      <c r="AZ623" s="8"/>
      <c r="BA623" s="8"/>
      <c r="BB623" s="8"/>
      <c r="BC623" s="8"/>
      <c r="BD623" s="8"/>
      <c r="BE623" s="8"/>
      <c r="BF623" s="8"/>
    </row>
    <row r="624" spans="26:58" ht="16.899999999999999">
      <c r="Z624" s="244"/>
      <c r="AC624" s="10"/>
      <c r="AD624" s="10"/>
      <c r="AF624" s="10"/>
      <c r="AG624" s="10"/>
      <c r="AH624" s="10"/>
      <c r="AI624" s="9"/>
      <c r="AJ624" s="9"/>
      <c r="AK624" s="11"/>
      <c r="AL624" s="10"/>
      <c r="AM624" s="11"/>
      <c r="AN624" s="10"/>
      <c r="AO624" s="11"/>
      <c r="AP624" s="10"/>
      <c r="AQ624" s="10"/>
      <c r="AR624" s="10"/>
      <c r="AS624" s="9"/>
      <c r="AT624" s="9"/>
      <c r="AU624" s="9"/>
      <c r="AV624" s="9"/>
      <c r="AW624" s="9"/>
      <c r="AX624" s="9"/>
      <c r="AY624" s="8"/>
      <c r="AZ624" s="8"/>
      <c r="BA624" s="8"/>
      <c r="BB624" s="8"/>
      <c r="BC624" s="8"/>
      <c r="BD624" s="8"/>
      <c r="BE624" s="8"/>
      <c r="BF624" s="8"/>
    </row>
    <row r="625" spans="26:58" ht="16.899999999999999">
      <c r="Z625" s="244"/>
      <c r="AC625" s="10"/>
      <c r="AD625" s="10"/>
      <c r="AF625" s="10"/>
      <c r="AG625" s="10"/>
      <c r="AH625" s="10"/>
      <c r="AI625" s="9"/>
      <c r="AJ625" s="9"/>
      <c r="AK625" s="11"/>
      <c r="AL625" s="10"/>
      <c r="AM625" s="11"/>
      <c r="AN625" s="10"/>
      <c r="AO625" s="11"/>
      <c r="AP625" s="10"/>
      <c r="AQ625" s="10"/>
      <c r="AR625" s="10"/>
      <c r="AS625" s="9"/>
      <c r="AT625" s="9"/>
      <c r="AU625" s="9"/>
      <c r="AV625" s="9"/>
      <c r="AW625" s="9"/>
      <c r="AX625" s="9"/>
      <c r="AY625" s="8"/>
      <c r="AZ625" s="8"/>
      <c r="BA625" s="8"/>
      <c r="BB625" s="8"/>
      <c r="BC625" s="8"/>
      <c r="BD625" s="8"/>
      <c r="BE625" s="8"/>
      <c r="BF625" s="8"/>
    </row>
    <row r="626" spans="26:58" ht="16.899999999999999">
      <c r="Z626" s="244"/>
      <c r="AC626" s="10"/>
      <c r="AD626" s="10"/>
      <c r="AF626" s="10"/>
      <c r="AG626" s="10"/>
      <c r="AH626" s="10"/>
      <c r="AI626" s="9"/>
      <c r="AJ626" s="9"/>
      <c r="AK626" s="11"/>
      <c r="AL626" s="10"/>
      <c r="AM626" s="11"/>
      <c r="AN626" s="10"/>
      <c r="AO626" s="11"/>
      <c r="AP626" s="10"/>
      <c r="AQ626" s="10"/>
      <c r="AR626" s="10"/>
      <c r="AS626" s="9"/>
      <c r="AT626" s="9"/>
      <c r="AU626" s="9"/>
      <c r="AV626" s="9"/>
      <c r="AW626" s="9"/>
      <c r="AX626" s="9"/>
      <c r="AY626" s="8"/>
      <c r="AZ626" s="8"/>
      <c r="BA626" s="8"/>
      <c r="BB626" s="8"/>
      <c r="BC626" s="8"/>
      <c r="BD626" s="8"/>
      <c r="BE626" s="8"/>
      <c r="BF626" s="8"/>
    </row>
    <row r="627" spans="26:58" ht="16.899999999999999">
      <c r="Z627" s="244"/>
      <c r="AC627" s="10"/>
      <c r="AD627" s="10"/>
      <c r="AF627" s="10"/>
      <c r="AG627" s="10"/>
      <c r="AH627" s="10"/>
      <c r="AI627" s="9"/>
      <c r="AJ627" s="9"/>
      <c r="AK627" s="11"/>
      <c r="AL627" s="10"/>
      <c r="AM627" s="11"/>
      <c r="AN627" s="10"/>
      <c r="AO627" s="11"/>
      <c r="AP627" s="10"/>
      <c r="AQ627" s="10"/>
      <c r="AR627" s="10"/>
      <c r="AS627" s="9"/>
      <c r="AT627" s="9"/>
      <c r="AU627" s="9"/>
      <c r="AV627" s="9"/>
      <c r="AW627" s="9"/>
      <c r="AX627" s="9"/>
      <c r="AY627" s="8"/>
      <c r="AZ627" s="8"/>
      <c r="BA627" s="8"/>
      <c r="BB627" s="8"/>
      <c r="BC627" s="8"/>
      <c r="BD627" s="8"/>
      <c r="BE627" s="8"/>
      <c r="BF627" s="8"/>
    </row>
    <row r="628" spans="26:58" ht="16.899999999999999">
      <c r="Z628" s="244"/>
      <c r="AC628" s="10"/>
      <c r="AD628" s="10"/>
      <c r="AF628" s="10"/>
      <c r="AG628" s="10"/>
      <c r="AH628" s="10"/>
      <c r="AI628" s="9"/>
      <c r="AJ628" s="9"/>
      <c r="AK628" s="11"/>
      <c r="AL628" s="10"/>
      <c r="AM628" s="11"/>
      <c r="AN628" s="10"/>
      <c r="AO628" s="11"/>
      <c r="AP628" s="10"/>
      <c r="AQ628" s="10"/>
      <c r="AR628" s="10"/>
      <c r="AS628" s="9"/>
      <c r="AT628" s="9"/>
      <c r="AU628" s="9"/>
      <c r="AV628" s="9"/>
      <c r="AW628" s="9"/>
      <c r="AX628" s="9"/>
      <c r="AY628" s="8"/>
      <c r="AZ628" s="8"/>
      <c r="BA628" s="8"/>
      <c r="BB628" s="8"/>
      <c r="BC628" s="8"/>
      <c r="BD628" s="8"/>
      <c r="BE628" s="8"/>
      <c r="BF628" s="8"/>
    </row>
    <row r="629" spans="26:58" ht="16.899999999999999">
      <c r="Z629" s="244"/>
      <c r="AC629" s="10"/>
      <c r="AD629" s="10"/>
      <c r="AF629" s="10"/>
      <c r="AG629" s="10"/>
      <c r="AH629" s="10"/>
      <c r="AI629" s="9"/>
      <c r="AJ629" s="9"/>
      <c r="AK629" s="11"/>
      <c r="AL629" s="10"/>
      <c r="AM629" s="11"/>
      <c r="AN629" s="10"/>
      <c r="AO629" s="11"/>
      <c r="AP629" s="10"/>
      <c r="AQ629" s="10"/>
      <c r="AR629" s="10"/>
      <c r="AS629" s="9"/>
      <c r="AT629" s="9"/>
      <c r="AU629" s="9"/>
      <c r="AV629" s="9"/>
      <c r="AW629" s="9"/>
      <c r="AX629" s="9"/>
      <c r="AY629" s="8"/>
      <c r="AZ629" s="8"/>
      <c r="BA629" s="8"/>
      <c r="BB629" s="8"/>
      <c r="BC629" s="8"/>
      <c r="BD629" s="8"/>
      <c r="BE629" s="8"/>
      <c r="BF629" s="8"/>
    </row>
    <row r="630" spans="26:58" ht="16.899999999999999">
      <c r="Z630" s="244"/>
      <c r="AC630" s="10"/>
      <c r="AD630" s="10"/>
      <c r="AF630" s="10"/>
      <c r="AG630" s="10"/>
      <c r="AH630" s="10"/>
      <c r="AI630" s="9"/>
      <c r="AJ630" s="9"/>
      <c r="AK630" s="11"/>
      <c r="AL630" s="10"/>
      <c r="AM630" s="11"/>
      <c r="AN630" s="10"/>
      <c r="AO630" s="11"/>
      <c r="AP630" s="10"/>
      <c r="AQ630" s="10"/>
      <c r="AR630" s="10"/>
      <c r="AS630" s="9"/>
      <c r="AT630" s="9"/>
      <c r="AU630" s="9"/>
      <c r="AV630" s="9"/>
      <c r="AW630" s="9"/>
      <c r="AX630" s="9"/>
      <c r="AY630" s="8"/>
      <c r="AZ630" s="8"/>
      <c r="BA630" s="8"/>
      <c r="BB630" s="8"/>
      <c r="BC630" s="8"/>
      <c r="BD630" s="8"/>
      <c r="BE630" s="8"/>
      <c r="BF630" s="8"/>
    </row>
    <row r="631" spans="26:58" ht="16.899999999999999">
      <c r="Z631" s="244"/>
      <c r="AC631" s="10"/>
      <c r="AD631" s="10"/>
      <c r="AF631" s="10"/>
      <c r="AG631" s="10"/>
      <c r="AH631" s="10"/>
      <c r="AI631" s="9"/>
      <c r="AJ631" s="9"/>
      <c r="AK631" s="11"/>
      <c r="AL631" s="10"/>
      <c r="AM631" s="11"/>
      <c r="AN631" s="10"/>
      <c r="AO631" s="11"/>
      <c r="AP631" s="10"/>
      <c r="AQ631" s="10"/>
      <c r="AR631" s="10"/>
      <c r="AS631" s="9"/>
      <c r="AT631" s="9"/>
      <c r="AU631" s="9"/>
      <c r="AV631" s="9"/>
      <c r="AW631" s="9"/>
      <c r="AX631" s="9"/>
      <c r="AY631" s="8"/>
      <c r="AZ631" s="8"/>
      <c r="BA631" s="8"/>
      <c r="BB631" s="8"/>
      <c r="BC631" s="8"/>
      <c r="BD631" s="8"/>
      <c r="BE631" s="8"/>
      <c r="BF631" s="8"/>
    </row>
    <row r="632" spans="26:58" ht="16.899999999999999">
      <c r="Z632" s="244"/>
      <c r="AC632" s="10"/>
      <c r="AD632" s="10"/>
      <c r="AF632" s="10"/>
      <c r="AG632" s="10"/>
      <c r="AH632" s="10"/>
      <c r="AI632" s="9"/>
      <c r="AJ632" s="9"/>
      <c r="AK632" s="11"/>
      <c r="AL632" s="10"/>
      <c r="AM632" s="11"/>
      <c r="AN632" s="10"/>
      <c r="AO632" s="11"/>
      <c r="AP632" s="10"/>
      <c r="AQ632" s="10"/>
      <c r="AR632" s="10"/>
      <c r="AS632" s="9"/>
      <c r="AT632" s="9"/>
      <c r="AU632" s="9"/>
      <c r="AV632" s="9"/>
      <c r="AW632" s="9"/>
      <c r="AX632" s="9"/>
      <c r="AY632" s="8"/>
      <c r="AZ632" s="8"/>
      <c r="BA632" s="8"/>
      <c r="BB632" s="8"/>
      <c r="BC632" s="8"/>
      <c r="BD632" s="8"/>
      <c r="BE632" s="8"/>
      <c r="BF632" s="8"/>
    </row>
    <row r="633" spans="26:58" ht="16.899999999999999">
      <c r="Z633" s="244"/>
      <c r="AC633" s="10"/>
      <c r="AD633" s="10"/>
      <c r="AF633" s="10"/>
      <c r="AG633" s="10"/>
      <c r="AH633" s="10"/>
      <c r="AI633" s="9"/>
      <c r="AJ633" s="9"/>
      <c r="AK633" s="11"/>
      <c r="AL633" s="10"/>
      <c r="AM633" s="11"/>
      <c r="AN633" s="10"/>
      <c r="AO633" s="11"/>
      <c r="AP633" s="10"/>
      <c r="AQ633" s="10"/>
      <c r="AR633" s="10"/>
      <c r="AS633" s="9"/>
      <c r="AT633" s="9"/>
      <c r="AU633" s="9"/>
      <c r="AV633" s="9"/>
      <c r="AW633" s="9"/>
      <c r="AX633" s="9"/>
      <c r="AY633" s="8"/>
      <c r="AZ633" s="8"/>
      <c r="BA633" s="8"/>
      <c r="BB633" s="8"/>
      <c r="BC633" s="8"/>
      <c r="BD633" s="8"/>
      <c r="BE633" s="8"/>
      <c r="BF633" s="8"/>
    </row>
    <row r="634" spans="26:58" ht="16.899999999999999">
      <c r="Z634" s="244"/>
      <c r="AC634" s="10"/>
      <c r="AD634" s="10"/>
      <c r="AF634" s="10"/>
      <c r="AG634" s="10"/>
      <c r="AH634" s="10"/>
      <c r="AI634" s="9"/>
      <c r="AJ634" s="9"/>
      <c r="AK634" s="11"/>
      <c r="AL634" s="10"/>
      <c r="AM634" s="11"/>
      <c r="AN634" s="10"/>
      <c r="AO634" s="11"/>
      <c r="AP634" s="10"/>
      <c r="AQ634" s="10"/>
      <c r="AR634" s="10"/>
      <c r="AS634" s="9"/>
      <c r="AT634" s="9"/>
      <c r="AU634" s="9"/>
      <c r="AV634" s="9"/>
      <c r="AW634" s="9"/>
      <c r="AX634" s="9"/>
      <c r="AY634" s="8"/>
      <c r="AZ634" s="8"/>
      <c r="BA634" s="8"/>
      <c r="BB634" s="8"/>
      <c r="BC634" s="8"/>
      <c r="BD634" s="8"/>
      <c r="BE634" s="8"/>
      <c r="BF634" s="8"/>
    </row>
    <row r="635" spans="26:58" ht="16.899999999999999">
      <c r="Z635" s="244"/>
      <c r="AC635" s="10"/>
      <c r="AD635" s="10"/>
      <c r="AF635" s="10"/>
      <c r="AG635" s="10"/>
      <c r="AH635" s="10"/>
      <c r="AI635" s="9"/>
      <c r="AJ635" s="9"/>
      <c r="AK635" s="11"/>
      <c r="AL635" s="10"/>
      <c r="AM635" s="11"/>
      <c r="AN635" s="10"/>
      <c r="AO635" s="11"/>
      <c r="AP635" s="10"/>
      <c r="AQ635" s="10"/>
      <c r="AR635" s="10"/>
      <c r="AS635" s="9"/>
      <c r="AT635" s="9"/>
      <c r="AU635" s="9"/>
      <c r="AV635" s="9"/>
      <c r="AW635" s="9"/>
      <c r="AX635" s="9"/>
      <c r="AY635" s="8"/>
      <c r="AZ635" s="8"/>
      <c r="BA635" s="8"/>
      <c r="BB635" s="8"/>
      <c r="BC635" s="8"/>
      <c r="BD635" s="8"/>
      <c r="BE635" s="8"/>
      <c r="BF635" s="8"/>
    </row>
    <row r="636" spans="26:58" ht="16.899999999999999">
      <c r="Z636" s="244"/>
      <c r="AC636" s="10"/>
      <c r="AD636" s="10"/>
      <c r="AF636" s="10"/>
      <c r="AG636" s="10"/>
      <c r="AH636" s="10"/>
      <c r="AI636" s="9"/>
      <c r="AJ636" s="9"/>
      <c r="AK636" s="11"/>
      <c r="AL636" s="10"/>
      <c r="AM636" s="11"/>
      <c r="AN636" s="10"/>
      <c r="AO636" s="11"/>
      <c r="AP636" s="10"/>
      <c r="AQ636" s="10"/>
      <c r="AR636" s="10"/>
      <c r="AS636" s="9"/>
      <c r="AT636" s="9"/>
      <c r="AU636" s="9"/>
      <c r="AV636" s="9"/>
      <c r="AW636" s="9"/>
      <c r="AX636" s="9"/>
      <c r="AY636" s="8"/>
      <c r="AZ636" s="8"/>
      <c r="BA636" s="8"/>
      <c r="BB636" s="8"/>
      <c r="BC636" s="8"/>
      <c r="BD636" s="8"/>
      <c r="BE636" s="8"/>
      <c r="BF636" s="8"/>
    </row>
    <row r="637" spans="26:58" ht="16.899999999999999">
      <c r="Z637" s="244"/>
      <c r="AC637" s="10"/>
      <c r="AD637" s="10"/>
      <c r="AF637" s="10"/>
      <c r="AG637" s="10"/>
      <c r="AH637" s="10"/>
      <c r="AI637" s="9"/>
      <c r="AJ637" s="9"/>
      <c r="AK637" s="11"/>
      <c r="AL637" s="10"/>
      <c r="AM637" s="11"/>
      <c r="AN637" s="10"/>
      <c r="AO637" s="11"/>
      <c r="AP637" s="10"/>
      <c r="AQ637" s="10"/>
      <c r="AR637" s="10"/>
      <c r="AS637" s="9"/>
      <c r="AT637" s="9"/>
      <c r="AU637" s="9"/>
      <c r="AV637" s="9"/>
      <c r="AW637" s="9"/>
      <c r="AX637" s="9"/>
      <c r="AY637" s="8"/>
      <c r="AZ637" s="8"/>
      <c r="BA637" s="8"/>
      <c r="BB637" s="8"/>
      <c r="BC637" s="8"/>
      <c r="BD637" s="8"/>
      <c r="BE637" s="8"/>
      <c r="BF637" s="8"/>
    </row>
    <row r="638" spans="26:58" ht="16.899999999999999">
      <c r="Z638" s="244"/>
      <c r="AC638" s="10"/>
      <c r="AD638" s="10"/>
      <c r="AF638" s="10"/>
      <c r="AG638" s="10"/>
      <c r="AH638" s="10"/>
      <c r="AI638" s="9"/>
      <c r="AJ638" s="9"/>
      <c r="AK638" s="11"/>
      <c r="AL638" s="10"/>
      <c r="AM638" s="11"/>
      <c r="AN638" s="10"/>
      <c r="AO638" s="11"/>
      <c r="AP638" s="10"/>
      <c r="AQ638" s="10"/>
      <c r="AR638" s="10"/>
      <c r="AS638" s="9"/>
      <c r="AT638" s="9"/>
      <c r="AU638" s="9"/>
      <c r="AV638" s="9"/>
      <c r="AW638" s="9"/>
      <c r="AX638" s="9"/>
      <c r="AY638" s="8"/>
      <c r="AZ638" s="8"/>
      <c r="BA638" s="8"/>
      <c r="BB638" s="8"/>
      <c r="BC638" s="8"/>
      <c r="BD638" s="8"/>
      <c r="BE638" s="8"/>
      <c r="BF638" s="8"/>
    </row>
    <row r="639" spans="26:58" ht="16.899999999999999">
      <c r="Z639" s="244"/>
      <c r="AC639" s="10"/>
      <c r="AD639" s="10"/>
      <c r="AF639" s="10"/>
      <c r="AG639" s="10"/>
      <c r="AH639" s="10"/>
      <c r="AI639" s="9"/>
      <c r="AJ639" s="9"/>
      <c r="AK639" s="11"/>
      <c r="AL639" s="10"/>
      <c r="AM639" s="11"/>
      <c r="AN639" s="10"/>
      <c r="AO639" s="11"/>
      <c r="AP639" s="10"/>
      <c r="AQ639" s="10"/>
      <c r="AR639" s="10"/>
      <c r="AS639" s="9"/>
      <c r="AT639" s="9"/>
      <c r="AU639" s="9"/>
      <c r="AV639" s="9"/>
      <c r="AW639" s="9"/>
      <c r="AX639" s="9"/>
      <c r="AY639" s="8"/>
      <c r="AZ639" s="8"/>
      <c r="BA639" s="8"/>
      <c r="BB639" s="8"/>
      <c r="BC639" s="8"/>
      <c r="BD639" s="8"/>
      <c r="BE639" s="8"/>
      <c r="BF639" s="8"/>
    </row>
    <row r="640" spans="26:58" ht="16.899999999999999">
      <c r="Z640" s="244"/>
      <c r="AC640" s="10"/>
      <c r="AD640" s="10"/>
      <c r="AF640" s="10"/>
      <c r="AG640" s="10"/>
      <c r="AH640" s="10"/>
      <c r="AI640" s="9"/>
      <c r="AJ640" s="9"/>
      <c r="AK640" s="11"/>
      <c r="AL640" s="10"/>
      <c r="AM640" s="11"/>
      <c r="AN640" s="10"/>
      <c r="AO640" s="11"/>
      <c r="AP640" s="10"/>
      <c r="AQ640" s="10"/>
      <c r="AR640" s="10"/>
      <c r="AS640" s="9"/>
      <c r="AT640" s="9"/>
      <c r="AU640" s="9"/>
      <c r="AV640" s="9"/>
      <c r="AW640" s="9"/>
      <c r="AX640" s="9"/>
      <c r="AY640" s="8"/>
      <c r="AZ640" s="8"/>
      <c r="BA640" s="8"/>
      <c r="BB640" s="8"/>
      <c r="BC640" s="8"/>
      <c r="BD640" s="8"/>
      <c r="BE640" s="8"/>
      <c r="BF640" s="8"/>
    </row>
    <row r="641" spans="26:58" ht="16.899999999999999">
      <c r="Z641" s="244"/>
      <c r="AC641" s="10"/>
      <c r="AD641" s="10"/>
      <c r="AF641" s="10"/>
      <c r="AG641" s="10"/>
      <c r="AH641" s="10"/>
      <c r="AI641" s="9"/>
      <c r="AJ641" s="9"/>
      <c r="AK641" s="11"/>
      <c r="AL641" s="10"/>
      <c r="AM641" s="11"/>
      <c r="AN641" s="10"/>
      <c r="AO641" s="11"/>
      <c r="AP641" s="10"/>
      <c r="AQ641" s="10"/>
      <c r="AR641" s="10"/>
      <c r="AS641" s="9"/>
      <c r="AT641" s="9"/>
      <c r="AU641" s="9"/>
      <c r="AV641" s="9"/>
      <c r="AW641" s="9"/>
      <c r="AX641" s="9"/>
      <c r="AY641" s="8"/>
      <c r="AZ641" s="8"/>
      <c r="BA641" s="8"/>
      <c r="BB641" s="8"/>
      <c r="BC641" s="8"/>
      <c r="BD641" s="8"/>
      <c r="BE641" s="8"/>
      <c r="BF641" s="8"/>
    </row>
    <row r="642" spans="26:58" ht="16.899999999999999">
      <c r="Z642" s="244"/>
      <c r="AC642" s="10"/>
      <c r="AD642" s="10"/>
      <c r="AF642" s="10"/>
      <c r="AG642" s="10"/>
      <c r="AH642" s="10"/>
      <c r="AI642" s="9"/>
      <c r="AJ642" s="9"/>
      <c r="AK642" s="11"/>
      <c r="AL642" s="10"/>
      <c r="AM642" s="11"/>
      <c r="AN642" s="10"/>
      <c r="AO642" s="11"/>
      <c r="AP642" s="10"/>
      <c r="AQ642" s="10"/>
      <c r="AR642" s="10"/>
      <c r="AS642" s="9"/>
      <c r="AT642" s="9"/>
      <c r="AU642" s="9"/>
      <c r="AV642" s="9"/>
      <c r="AW642" s="9"/>
      <c r="AX642" s="9"/>
      <c r="AY642" s="8"/>
      <c r="AZ642" s="8"/>
      <c r="BA642" s="8"/>
      <c r="BB642" s="8"/>
      <c r="BC642" s="8"/>
      <c r="BD642" s="8"/>
      <c r="BE642" s="8"/>
      <c r="BF642" s="8"/>
    </row>
    <row r="643" spans="26:58" ht="16.899999999999999">
      <c r="Z643" s="244"/>
      <c r="AC643" s="10"/>
      <c r="AD643" s="10"/>
      <c r="AF643" s="10"/>
      <c r="AG643" s="10"/>
      <c r="AH643" s="10"/>
      <c r="AI643" s="9"/>
      <c r="AJ643" s="9"/>
      <c r="AK643" s="11"/>
      <c r="AL643" s="10"/>
      <c r="AM643" s="11"/>
      <c r="AN643" s="10"/>
      <c r="AO643" s="11"/>
      <c r="AP643" s="10"/>
      <c r="AQ643" s="10"/>
      <c r="AR643" s="10"/>
      <c r="AS643" s="9"/>
      <c r="AT643" s="9"/>
      <c r="AU643" s="9"/>
      <c r="AV643" s="9"/>
      <c r="AW643" s="9"/>
      <c r="AX643" s="9"/>
      <c r="AY643" s="8"/>
      <c r="AZ643" s="8"/>
      <c r="BA643" s="8"/>
      <c r="BB643" s="8"/>
      <c r="BC643" s="8"/>
      <c r="BD643" s="8"/>
      <c r="BE643" s="8"/>
      <c r="BF643" s="8"/>
    </row>
    <row r="644" spans="26:58" ht="16.899999999999999">
      <c r="Z644" s="244"/>
      <c r="AC644" s="10"/>
      <c r="AD644" s="10"/>
      <c r="AF644" s="10"/>
      <c r="AG644" s="10"/>
      <c r="AH644" s="10"/>
      <c r="AI644" s="9"/>
      <c r="AJ644" s="9"/>
      <c r="AK644" s="11"/>
      <c r="AL644" s="10"/>
      <c r="AM644" s="11"/>
      <c r="AN644" s="10"/>
      <c r="AO644" s="11"/>
      <c r="AP644" s="10"/>
      <c r="AQ644" s="10"/>
      <c r="AR644" s="10"/>
      <c r="AS644" s="9"/>
      <c r="AT644" s="9"/>
      <c r="AU644" s="9"/>
      <c r="AV644" s="9"/>
      <c r="AW644" s="9"/>
      <c r="AX644" s="9"/>
      <c r="AY644" s="8"/>
      <c r="AZ644" s="8"/>
      <c r="BA644" s="8"/>
      <c r="BB644" s="8"/>
      <c r="BC644" s="8"/>
      <c r="BD644" s="8"/>
      <c r="BE644" s="8"/>
      <c r="BF644" s="8"/>
    </row>
    <row r="645" spans="26:58" ht="16.899999999999999">
      <c r="Z645" s="244"/>
      <c r="AC645" s="10"/>
      <c r="AD645" s="10"/>
      <c r="AF645" s="10"/>
      <c r="AG645" s="10"/>
      <c r="AH645" s="10"/>
      <c r="AI645" s="9"/>
      <c r="AJ645" s="9"/>
      <c r="AK645" s="11"/>
      <c r="AL645" s="10"/>
      <c r="AM645" s="11"/>
      <c r="AN645" s="10"/>
      <c r="AO645" s="11"/>
      <c r="AP645" s="10"/>
      <c r="AQ645" s="10"/>
      <c r="AR645" s="10"/>
      <c r="AS645" s="9"/>
      <c r="AT645" s="9"/>
      <c r="AU645" s="9"/>
      <c r="AV645" s="9"/>
      <c r="AW645" s="9"/>
      <c r="AX645" s="9"/>
      <c r="AY645" s="8"/>
      <c r="AZ645" s="8"/>
      <c r="BA645" s="8"/>
      <c r="BB645" s="8"/>
      <c r="BC645" s="8"/>
      <c r="BD645" s="8"/>
      <c r="BE645" s="8"/>
      <c r="BF645" s="8"/>
    </row>
    <row r="646" spans="26:58" ht="16.899999999999999">
      <c r="Z646" s="244"/>
      <c r="AC646" s="10"/>
      <c r="AD646" s="10"/>
      <c r="AF646" s="10"/>
      <c r="AG646" s="10"/>
      <c r="AH646" s="10"/>
      <c r="AI646" s="9"/>
      <c r="AJ646" s="9"/>
      <c r="AK646" s="11"/>
      <c r="AL646" s="10"/>
      <c r="AM646" s="11"/>
      <c r="AN646" s="10"/>
      <c r="AO646" s="11"/>
      <c r="AP646" s="10"/>
      <c r="AQ646" s="10"/>
      <c r="AR646" s="10"/>
      <c r="AS646" s="9"/>
      <c r="AT646" s="9"/>
      <c r="AU646" s="9"/>
      <c r="AV646" s="9"/>
      <c r="AW646" s="9"/>
      <c r="AX646" s="9"/>
      <c r="AY646" s="8"/>
      <c r="AZ646" s="8"/>
      <c r="BA646" s="8"/>
      <c r="BB646" s="8"/>
      <c r="BC646" s="8"/>
      <c r="BD646" s="8"/>
      <c r="BE646" s="8"/>
      <c r="BF646" s="8"/>
    </row>
    <row r="647" spans="26:58" ht="16.899999999999999">
      <c r="Z647" s="244"/>
      <c r="AC647" s="10"/>
      <c r="AD647" s="10"/>
      <c r="AF647" s="10"/>
      <c r="AG647" s="10"/>
      <c r="AH647" s="10"/>
      <c r="AI647" s="9"/>
      <c r="AJ647" s="9"/>
      <c r="AK647" s="11"/>
      <c r="AL647" s="10"/>
      <c r="AM647" s="11"/>
      <c r="AN647" s="10"/>
      <c r="AO647" s="11"/>
      <c r="AP647" s="10"/>
      <c r="AQ647" s="10"/>
      <c r="AR647" s="10"/>
      <c r="AS647" s="9"/>
      <c r="AT647" s="9"/>
      <c r="AU647" s="9"/>
      <c r="AV647" s="9"/>
      <c r="AW647" s="9"/>
      <c r="AX647" s="9"/>
      <c r="AY647" s="8"/>
      <c r="AZ647" s="8"/>
      <c r="BA647" s="8"/>
      <c r="BB647" s="8"/>
      <c r="BC647" s="8"/>
      <c r="BD647" s="8"/>
      <c r="BE647" s="8"/>
      <c r="BF647" s="8"/>
    </row>
    <row r="648" spans="26:58" ht="16.899999999999999">
      <c r="Z648" s="244"/>
      <c r="AC648" s="10"/>
      <c r="AD648" s="10"/>
      <c r="AF648" s="10"/>
      <c r="AG648" s="10"/>
      <c r="AH648" s="10"/>
      <c r="AI648" s="9"/>
      <c r="AJ648" s="9"/>
      <c r="AK648" s="11"/>
      <c r="AL648" s="10"/>
      <c r="AM648" s="11"/>
      <c r="AN648" s="10"/>
      <c r="AO648" s="11"/>
      <c r="AP648" s="10"/>
      <c r="AQ648" s="10"/>
      <c r="AR648" s="10"/>
      <c r="AS648" s="9"/>
      <c r="AT648" s="9"/>
      <c r="AU648" s="9"/>
      <c r="AV648" s="9"/>
      <c r="AW648" s="9"/>
      <c r="AX648" s="9"/>
      <c r="AY648" s="8"/>
      <c r="AZ648" s="8"/>
      <c r="BA648" s="8"/>
      <c r="BB648" s="8"/>
      <c r="BC648" s="8"/>
      <c r="BD648" s="8"/>
      <c r="BE648" s="8"/>
      <c r="BF648" s="8"/>
    </row>
    <row r="649" spans="26:58" ht="16.899999999999999">
      <c r="Z649" s="244"/>
      <c r="AC649" s="10"/>
      <c r="AD649" s="10"/>
      <c r="AF649" s="10"/>
      <c r="AG649" s="10"/>
      <c r="AH649" s="10"/>
      <c r="AI649" s="9"/>
      <c r="AJ649" s="9"/>
      <c r="AK649" s="11"/>
      <c r="AL649" s="10"/>
      <c r="AM649" s="11"/>
      <c r="AN649" s="10"/>
      <c r="AO649" s="11"/>
      <c r="AP649" s="10"/>
      <c r="AQ649" s="10"/>
      <c r="AR649" s="10"/>
      <c r="AS649" s="9"/>
      <c r="AT649" s="9"/>
      <c r="AU649" s="9"/>
      <c r="AV649" s="9"/>
      <c r="AW649" s="9"/>
      <c r="AX649" s="9"/>
      <c r="AY649" s="8"/>
      <c r="AZ649" s="8"/>
      <c r="BA649" s="8"/>
      <c r="BB649" s="8"/>
      <c r="BC649" s="8"/>
      <c r="BD649" s="8"/>
      <c r="BE649" s="8"/>
      <c r="BF649" s="8"/>
    </row>
    <row r="650" spans="26:58" ht="16.899999999999999">
      <c r="Z650" s="244"/>
      <c r="AC650" s="10"/>
      <c r="AD650" s="10"/>
      <c r="AF650" s="10"/>
      <c r="AG650" s="10"/>
      <c r="AH650" s="10"/>
      <c r="AI650" s="9"/>
      <c r="AJ650" s="9"/>
      <c r="AK650" s="11"/>
      <c r="AL650" s="10"/>
      <c r="AM650" s="11"/>
      <c r="AN650" s="10"/>
      <c r="AO650" s="11"/>
      <c r="AP650" s="10"/>
      <c r="AQ650" s="10"/>
      <c r="AR650" s="10"/>
      <c r="AS650" s="9"/>
      <c r="AT650" s="9"/>
      <c r="AU650" s="9"/>
      <c r="AV650" s="9"/>
      <c r="AW650" s="9"/>
      <c r="AX650" s="9"/>
      <c r="AY650" s="8"/>
      <c r="AZ650" s="8"/>
      <c r="BA650" s="8"/>
      <c r="BB650" s="8"/>
      <c r="BC650" s="8"/>
      <c r="BD650" s="8"/>
      <c r="BE650" s="8"/>
      <c r="BF650" s="8"/>
    </row>
    <row r="651" spans="26:58" ht="16.899999999999999">
      <c r="Z651" s="244"/>
      <c r="AC651" s="10"/>
      <c r="AD651" s="10"/>
      <c r="AF651" s="10"/>
      <c r="AG651" s="10"/>
      <c r="AH651" s="10"/>
      <c r="AI651" s="9"/>
      <c r="AJ651" s="9"/>
      <c r="AK651" s="11"/>
      <c r="AL651" s="10"/>
      <c r="AM651" s="11"/>
      <c r="AN651" s="10"/>
      <c r="AO651" s="11"/>
      <c r="AP651" s="10"/>
      <c r="AQ651" s="10"/>
      <c r="AR651" s="10"/>
      <c r="AS651" s="9"/>
      <c r="AT651" s="9"/>
      <c r="AU651" s="9"/>
      <c r="AV651" s="9"/>
      <c r="AW651" s="9"/>
      <c r="AX651" s="9"/>
      <c r="AY651" s="8"/>
      <c r="AZ651" s="8"/>
      <c r="BA651" s="8"/>
      <c r="BB651" s="8"/>
      <c r="BC651" s="8"/>
      <c r="BD651" s="8"/>
      <c r="BE651" s="8"/>
      <c r="BF651" s="8"/>
    </row>
    <row r="652" spans="26:58" ht="16.899999999999999">
      <c r="Z652" s="244"/>
      <c r="AC652" s="10"/>
      <c r="AD652" s="10"/>
      <c r="AF652" s="10"/>
      <c r="AG652" s="10"/>
      <c r="AH652" s="10"/>
      <c r="AI652" s="9"/>
      <c r="AJ652" s="9"/>
      <c r="AK652" s="11"/>
      <c r="AL652" s="10"/>
      <c r="AM652" s="11"/>
      <c r="AN652" s="10"/>
      <c r="AO652" s="11"/>
      <c r="AP652" s="10"/>
      <c r="AQ652" s="10"/>
      <c r="AR652" s="10"/>
      <c r="AS652" s="9"/>
      <c r="AT652" s="9"/>
      <c r="AU652" s="9"/>
      <c r="AV652" s="9"/>
      <c r="AW652" s="9"/>
      <c r="AX652" s="9"/>
      <c r="AY652" s="8"/>
      <c r="AZ652" s="8"/>
      <c r="BA652" s="8"/>
      <c r="BB652" s="8"/>
      <c r="BC652" s="8"/>
      <c r="BD652" s="8"/>
      <c r="BE652" s="8"/>
      <c r="BF652" s="8"/>
    </row>
    <row r="653" spans="26:58" ht="16.899999999999999">
      <c r="Z653" s="244"/>
      <c r="AC653" s="10"/>
      <c r="AD653" s="10"/>
      <c r="AF653" s="10"/>
      <c r="AG653" s="10"/>
      <c r="AH653" s="10"/>
      <c r="AI653" s="9"/>
      <c r="AJ653" s="9"/>
      <c r="AK653" s="11"/>
      <c r="AL653" s="10"/>
      <c r="AM653" s="11"/>
      <c r="AN653" s="10"/>
      <c r="AO653" s="11"/>
      <c r="AP653" s="10"/>
      <c r="AQ653" s="10"/>
      <c r="AR653" s="10"/>
      <c r="AS653" s="9"/>
      <c r="AT653" s="9"/>
      <c r="AU653" s="9"/>
      <c r="AV653" s="9"/>
      <c r="AW653" s="9"/>
      <c r="AX653" s="9"/>
      <c r="AY653" s="8"/>
      <c r="AZ653" s="8"/>
      <c r="BA653" s="8"/>
      <c r="BB653" s="8"/>
      <c r="BC653" s="8"/>
      <c r="BD653" s="8"/>
      <c r="BE653" s="8"/>
      <c r="BF653" s="8"/>
    </row>
    <row r="654" spans="26:58" ht="16.899999999999999">
      <c r="Z654" s="244"/>
      <c r="AC654" s="10"/>
      <c r="AD654" s="10"/>
      <c r="AF654" s="10"/>
      <c r="AG654" s="10"/>
      <c r="AH654" s="10"/>
      <c r="AI654" s="9"/>
      <c r="AJ654" s="9"/>
      <c r="AK654" s="11"/>
      <c r="AL654" s="10"/>
      <c r="AM654" s="11"/>
      <c r="AN654" s="10"/>
      <c r="AO654" s="11"/>
      <c r="AP654" s="10"/>
      <c r="AQ654" s="10"/>
      <c r="AR654" s="10"/>
      <c r="AS654" s="9"/>
      <c r="AT654" s="9"/>
      <c r="AU654" s="9"/>
      <c r="AV654" s="9"/>
      <c r="AW654" s="9"/>
      <c r="AX654" s="9"/>
      <c r="AY654" s="8"/>
      <c r="AZ654" s="8"/>
      <c r="BA654" s="8"/>
      <c r="BB654" s="8"/>
      <c r="BC654" s="8"/>
      <c r="BD654" s="8"/>
      <c r="BE654" s="8"/>
      <c r="BF654" s="8"/>
    </row>
    <row r="655" spans="26:58" ht="16.899999999999999">
      <c r="Z655" s="244"/>
      <c r="AC655" s="10"/>
      <c r="AD655" s="10"/>
      <c r="AF655" s="10"/>
      <c r="AG655" s="10"/>
      <c r="AH655" s="10"/>
      <c r="AI655" s="9"/>
      <c r="AJ655" s="9"/>
      <c r="AK655" s="11"/>
      <c r="AL655" s="10"/>
      <c r="AM655" s="11"/>
      <c r="AN655" s="10"/>
      <c r="AO655" s="11"/>
      <c r="AP655" s="10"/>
      <c r="AQ655" s="10"/>
      <c r="AR655" s="10"/>
      <c r="AS655" s="9"/>
      <c r="AT655" s="9"/>
      <c r="AU655" s="9"/>
      <c r="AV655" s="9"/>
      <c r="AW655" s="9"/>
      <c r="AX655" s="9"/>
      <c r="AY655" s="8"/>
      <c r="AZ655" s="8"/>
      <c r="BA655" s="8"/>
      <c r="BB655" s="8"/>
      <c r="BC655" s="8"/>
      <c r="BD655" s="8"/>
      <c r="BE655" s="8"/>
      <c r="BF655" s="8"/>
    </row>
    <row r="656" spans="26:58" ht="16.899999999999999">
      <c r="Z656" s="244"/>
      <c r="AC656" s="10"/>
      <c r="AD656" s="10"/>
      <c r="AF656" s="10"/>
      <c r="AG656" s="10"/>
      <c r="AH656" s="10"/>
      <c r="AI656" s="9"/>
      <c r="AJ656" s="9"/>
      <c r="AK656" s="11"/>
      <c r="AL656" s="10"/>
      <c r="AM656" s="11"/>
      <c r="AN656" s="10"/>
      <c r="AO656" s="11"/>
      <c r="AP656" s="10"/>
      <c r="AQ656" s="10"/>
      <c r="AR656" s="10"/>
      <c r="AS656" s="9"/>
      <c r="AT656" s="9"/>
      <c r="AU656" s="9"/>
      <c r="AV656" s="9"/>
      <c r="AW656" s="9"/>
      <c r="AX656" s="9"/>
      <c r="AY656" s="8"/>
      <c r="AZ656" s="8"/>
      <c r="BA656" s="8"/>
      <c r="BB656" s="8"/>
      <c r="BC656" s="8"/>
      <c r="BD656" s="8"/>
      <c r="BE656" s="8"/>
      <c r="BF656" s="8"/>
    </row>
    <row r="657" spans="26:58" ht="16.899999999999999">
      <c r="Z657" s="244"/>
      <c r="AC657" s="10"/>
      <c r="AD657" s="10"/>
      <c r="AF657" s="10"/>
      <c r="AG657" s="10"/>
      <c r="AH657" s="10"/>
      <c r="AI657" s="9"/>
      <c r="AJ657" s="9"/>
      <c r="AK657" s="11"/>
      <c r="AL657" s="10"/>
      <c r="AM657" s="11"/>
      <c r="AN657" s="10"/>
      <c r="AO657" s="11"/>
      <c r="AP657" s="10"/>
      <c r="AQ657" s="10"/>
      <c r="AR657" s="10"/>
      <c r="AS657" s="9"/>
      <c r="AT657" s="9"/>
      <c r="AU657" s="9"/>
      <c r="AV657" s="9"/>
      <c r="AW657" s="9"/>
      <c r="AX657" s="9"/>
      <c r="AY657" s="8"/>
      <c r="AZ657" s="8"/>
      <c r="BA657" s="8"/>
      <c r="BB657" s="8"/>
      <c r="BC657" s="8"/>
      <c r="BD657" s="8"/>
      <c r="BE657" s="8"/>
      <c r="BF657" s="8"/>
    </row>
    <row r="658" spans="26:58" ht="16.899999999999999">
      <c r="Z658" s="244"/>
      <c r="AC658" s="10"/>
      <c r="AD658" s="10"/>
      <c r="AF658" s="10"/>
      <c r="AG658" s="10"/>
      <c r="AH658" s="10"/>
      <c r="AI658" s="9"/>
      <c r="AJ658" s="9"/>
      <c r="AK658" s="11"/>
      <c r="AL658" s="10"/>
      <c r="AM658" s="11"/>
      <c r="AN658" s="10"/>
      <c r="AO658" s="11"/>
      <c r="AP658" s="10"/>
      <c r="AQ658" s="10"/>
      <c r="AR658" s="10"/>
      <c r="AS658" s="9"/>
      <c r="AT658" s="9"/>
      <c r="AU658" s="9"/>
      <c r="AV658" s="9"/>
      <c r="AW658" s="9"/>
      <c r="AX658" s="9"/>
      <c r="AY658" s="8"/>
      <c r="AZ658" s="8"/>
      <c r="BA658" s="8"/>
      <c r="BB658" s="8"/>
      <c r="BC658" s="8"/>
      <c r="BD658" s="8"/>
      <c r="BE658" s="8"/>
      <c r="BF658" s="8"/>
    </row>
    <row r="659" spans="26:58" ht="16.899999999999999">
      <c r="Z659" s="244"/>
      <c r="AC659" s="10"/>
      <c r="AD659" s="10"/>
      <c r="AF659" s="10"/>
      <c r="AG659" s="10"/>
      <c r="AH659" s="10"/>
      <c r="AI659" s="9"/>
      <c r="AJ659" s="9"/>
      <c r="AK659" s="11"/>
      <c r="AL659" s="10"/>
      <c r="AM659" s="11"/>
      <c r="AN659" s="10"/>
      <c r="AO659" s="11"/>
      <c r="AP659" s="10"/>
      <c r="AQ659" s="10"/>
      <c r="AR659" s="10"/>
      <c r="AS659" s="9"/>
      <c r="AT659" s="9"/>
      <c r="AU659" s="9"/>
      <c r="AV659" s="9"/>
      <c r="AW659" s="9"/>
      <c r="AX659" s="9"/>
      <c r="AY659" s="8"/>
      <c r="AZ659" s="8"/>
      <c r="BA659" s="8"/>
      <c r="BB659" s="8"/>
      <c r="BC659" s="8"/>
      <c r="BD659" s="8"/>
      <c r="BE659" s="8"/>
      <c r="BF659" s="8"/>
    </row>
    <row r="660" spans="26:58" ht="16.899999999999999">
      <c r="Z660" s="244"/>
      <c r="AC660" s="10"/>
      <c r="AD660" s="10"/>
      <c r="AF660" s="10"/>
      <c r="AG660" s="10"/>
      <c r="AH660" s="10"/>
      <c r="AI660" s="9"/>
      <c r="AJ660" s="9"/>
      <c r="AK660" s="11"/>
      <c r="AL660" s="10"/>
      <c r="AM660" s="11"/>
      <c r="AN660" s="10"/>
      <c r="AO660" s="11"/>
      <c r="AP660" s="10"/>
      <c r="AQ660" s="10"/>
      <c r="AR660" s="10"/>
      <c r="AS660" s="9"/>
      <c r="AT660" s="9"/>
      <c r="AU660" s="9"/>
      <c r="AV660" s="9"/>
      <c r="AW660" s="9"/>
      <c r="AX660" s="9"/>
      <c r="AY660" s="8"/>
      <c r="AZ660" s="8"/>
      <c r="BA660" s="8"/>
      <c r="BB660" s="8"/>
      <c r="BC660" s="8"/>
      <c r="BD660" s="8"/>
      <c r="BE660" s="8"/>
      <c r="BF660" s="8"/>
    </row>
    <row r="661" spans="26:58" ht="16.899999999999999">
      <c r="Z661" s="244"/>
      <c r="AC661" s="10"/>
      <c r="AD661" s="10"/>
      <c r="AF661" s="10"/>
      <c r="AG661" s="10"/>
      <c r="AH661" s="10"/>
      <c r="AI661" s="9"/>
      <c r="AJ661" s="9"/>
      <c r="AK661" s="11"/>
      <c r="AL661" s="10"/>
      <c r="AM661" s="11"/>
      <c r="AN661" s="10"/>
      <c r="AO661" s="11"/>
      <c r="AP661" s="10"/>
      <c r="AQ661" s="10"/>
      <c r="AR661" s="10"/>
      <c r="AS661" s="9"/>
      <c r="AT661" s="9"/>
      <c r="AU661" s="9"/>
      <c r="AV661" s="9"/>
      <c r="AW661" s="9"/>
      <c r="AX661" s="9"/>
      <c r="AY661" s="8"/>
      <c r="AZ661" s="8"/>
      <c r="BA661" s="8"/>
      <c r="BB661" s="8"/>
      <c r="BC661" s="8"/>
      <c r="BD661" s="8"/>
      <c r="BE661" s="8"/>
      <c r="BF661" s="8"/>
    </row>
    <row r="662" spans="26:58" ht="16.899999999999999">
      <c r="Z662" s="244"/>
      <c r="AC662" s="10"/>
      <c r="AD662" s="10"/>
      <c r="AF662" s="10"/>
      <c r="AG662" s="10"/>
      <c r="AH662" s="10"/>
      <c r="AI662" s="9"/>
      <c r="AJ662" s="9"/>
      <c r="AK662" s="11"/>
      <c r="AL662" s="10"/>
      <c r="AM662" s="11"/>
      <c r="AN662" s="10"/>
      <c r="AO662" s="11"/>
      <c r="AP662" s="10"/>
      <c r="AQ662" s="10"/>
      <c r="AR662" s="10"/>
      <c r="AS662" s="9"/>
      <c r="AT662" s="9"/>
      <c r="AU662" s="9"/>
      <c r="AV662" s="9"/>
      <c r="AW662" s="9"/>
      <c r="AX662" s="9"/>
      <c r="AY662" s="8"/>
      <c r="AZ662" s="8"/>
      <c r="BA662" s="8"/>
      <c r="BB662" s="8"/>
      <c r="BC662" s="8"/>
      <c r="BD662" s="8"/>
      <c r="BE662" s="8"/>
      <c r="BF662" s="8"/>
    </row>
    <row r="663" spans="26:58" ht="16.899999999999999">
      <c r="Z663" s="244"/>
      <c r="AC663" s="10"/>
      <c r="AD663" s="10"/>
      <c r="AF663" s="10"/>
      <c r="AG663" s="10"/>
      <c r="AH663" s="10"/>
      <c r="AI663" s="9"/>
      <c r="AJ663" s="9"/>
      <c r="AK663" s="11"/>
      <c r="AL663" s="10"/>
      <c r="AM663" s="11"/>
      <c r="AN663" s="10"/>
      <c r="AO663" s="11"/>
      <c r="AP663" s="10"/>
      <c r="AQ663" s="10"/>
      <c r="AR663" s="10"/>
      <c r="AS663" s="9"/>
      <c r="AT663" s="9"/>
      <c r="AU663" s="9"/>
      <c r="AV663" s="9"/>
      <c r="AW663" s="9"/>
      <c r="AX663" s="9"/>
      <c r="AY663" s="8"/>
      <c r="AZ663" s="8"/>
      <c r="BA663" s="8"/>
      <c r="BB663" s="8"/>
      <c r="BC663" s="8"/>
      <c r="BD663" s="8"/>
      <c r="BE663" s="8"/>
      <c r="BF663" s="8"/>
    </row>
    <row r="664" spans="26:58" ht="16.899999999999999">
      <c r="Z664" s="244"/>
      <c r="AC664" s="10"/>
      <c r="AD664" s="10"/>
      <c r="AF664" s="10"/>
      <c r="AG664" s="10"/>
      <c r="AH664" s="10"/>
      <c r="AI664" s="9"/>
      <c r="AJ664" s="9"/>
      <c r="AK664" s="11"/>
      <c r="AL664" s="10"/>
      <c r="AM664" s="11"/>
      <c r="AN664" s="10"/>
      <c r="AO664" s="11"/>
      <c r="AP664" s="10"/>
      <c r="AQ664" s="10"/>
      <c r="AR664" s="10"/>
      <c r="AS664" s="9"/>
      <c r="AT664" s="9"/>
      <c r="AU664" s="9"/>
      <c r="AV664" s="9"/>
      <c r="AW664" s="9"/>
      <c r="AX664" s="9"/>
      <c r="AY664" s="8"/>
      <c r="AZ664" s="8"/>
      <c r="BA664" s="8"/>
      <c r="BB664" s="8"/>
      <c r="BC664" s="8"/>
      <c r="BD664" s="8"/>
      <c r="BE664" s="8"/>
      <c r="BF664" s="8"/>
    </row>
    <row r="665" spans="26:58" ht="16.899999999999999">
      <c r="Z665" s="244"/>
      <c r="AC665" s="10"/>
      <c r="AD665" s="10"/>
      <c r="AF665" s="10"/>
      <c r="AG665" s="10"/>
      <c r="AH665" s="10"/>
      <c r="AI665" s="9"/>
      <c r="AJ665" s="9"/>
      <c r="AK665" s="11"/>
      <c r="AL665" s="10"/>
      <c r="AM665" s="11"/>
      <c r="AN665" s="10"/>
      <c r="AO665" s="11"/>
      <c r="AP665" s="10"/>
      <c r="AQ665" s="10"/>
      <c r="AR665" s="10"/>
      <c r="AS665" s="9"/>
      <c r="AT665" s="9"/>
      <c r="AU665" s="9"/>
      <c r="AV665" s="9"/>
      <c r="AW665" s="9"/>
      <c r="AX665" s="9"/>
      <c r="AY665" s="8"/>
      <c r="AZ665" s="8"/>
      <c r="BA665" s="8"/>
      <c r="BB665" s="8"/>
      <c r="BC665" s="8"/>
      <c r="BD665" s="8"/>
      <c r="BE665" s="8"/>
      <c r="BF665" s="8"/>
    </row>
    <row r="666" spans="26:58" ht="16.899999999999999">
      <c r="Z666" s="244"/>
      <c r="AC666" s="10"/>
      <c r="AD666" s="10"/>
      <c r="AF666" s="10"/>
      <c r="AG666" s="10"/>
      <c r="AH666" s="10"/>
      <c r="AI666" s="9"/>
      <c r="AJ666" s="9"/>
      <c r="AK666" s="11"/>
      <c r="AL666" s="10"/>
      <c r="AM666" s="11"/>
      <c r="AN666" s="10"/>
      <c r="AO666" s="11"/>
      <c r="AP666" s="10"/>
      <c r="AQ666" s="10"/>
      <c r="AR666" s="10"/>
      <c r="AS666" s="9"/>
      <c r="AT666" s="9"/>
      <c r="AU666" s="9"/>
      <c r="AV666" s="9"/>
      <c r="AW666" s="9"/>
      <c r="AX666" s="9"/>
      <c r="AY666" s="8"/>
      <c r="AZ666" s="8"/>
      <c r="BA666" s="8"/>
      <c r="BB666" s="8"/>
      <c r="BC666" s="8"/>
      <c r="BD666" s="8"/>
      <c r="BE666" s="8"/>
      <c r="BF666" s="8"/>
    </row>
    <row r="667" spans="26:58" ht="16.899999999999999">
      <c r="Z667" s="244"/>
      <c r="AC667" s="10"/>
      <c r="AD667" s="10"/>
      <c r="AF667" s="10"/>
      <c r="AG667" s="10"/>
      <c r="AH667" s="10"/>
      <c r="AI667" s="9"/>
      <c r="AJ667" s="9"/>
      <c r="AK667" s="11"/>
      <c r="AL667" s="10"/>
      <c r="AM667" s="11"/>
      <c r="AN667" s="10"/>
      <c r="AO667" s="11"/>
      <c r="AP667" s="10"/>
      <c r="AQ667" s="10"/>
      <c r="AR667" s="10"/>
      <c r="AS667" s="9"/>
      <c r="AT667" s="9"/>
      <c r="AU667" s="9"/>
      <c r="AV667" s="9"/>
      <c r="AW667" s="9"/>
      <c r="AX667" s="9"/>
      <c r="AY667" s="8"/>
      <c r="AZ667" s="8"/>
      <c r="BA667" s="8"/>
      <c r="BB667" s="8"/>
      <c r="BC667" s="8"/>
      <c r="BD667" s="8"/>
      <c r="BE667" s="8"/>
      <c r="BF667" s="8"/>
    </row>
    <row r="668" spans="26:58" ht="16.899999999999999">
      <c r="Z668" s="244"/>
      <c r="AC668" s="10"/>
      <c r="AD668" s="10"/>
      <c r="AF668" s="10"/>
      <c r="AG668" s="10"/>
      <c r="AH668" s="10"/>
      <c r="AI668" s="9"/>
      <c r="AJ668" s="9"/>
      <c r="AK668" s="11"/>
      <c r="AL668" s="10"/>
      <c r="AM668" s="11"/>
      <c r="AN668" s="10"/>
      <c r="AO668" s="11"/>
      <c r="AP668" s="10"/>
      <c r="AQ668" s="10"/>
      <c r="AR668" s="10"/>
      <c r="AS668" s="9"/>
      <c r="AT668" s="9"/>
      <c r="AU668" s="9"/>
      <c r="AV668" s="9"/>
      <c r="AW668" s="9"/>
      <c r="AX668" s="9"/>
      <c r="AY668" s="8"/>
      <c r="AZ668" s="8"/>
      <c r="BA668" s="8"/>
      <c r="BB668" s="8"/>
      <c r="BC668" s="8"/>
      <c r="BD668" s="8"/>
      <c r="BE668" s="8"/>
      <c r="BF668" s="8"/>
    </row>
    <row r="669" spans="26:58" ht="16.899999999999999">
      <c r="Z669" s="244"/>
      <c r="AC669" s="10"/>
      <c r="AD669" s="10"/>
      <c r="AF669" s="10"/>
      <c r="AG669" s="10"/>
      <c r="AH669" s="10"/>
      <c r="AI669" s="9"/>
      <c r="AJ669" s="9"/>
      <c r="AK669" s="11"/>
      <c r="AL669" s="10"/>
      <c r="AM669" s="11"/>
      <c r="AN669" s="10"/>
      <c r="AO669" s="11"/>
      <c r="AP669" s="10"/>
      <c r="AQ669" s="10"/>
      <c r="AR669" s="10"/>
      <c r="AS669" s="9"/>
      <c r="AT669" s="9"/>
      <c r="AU669" s="9"/>
      <c r="AV669" s="9"/>
      <c r="AW669" s="9"/>
      <c r="AX669" s="9"/>
      <c r="AY669" s="8"/>
      <c r="AZ669" s="8"/>
      <c r="BA669" s="8"/>
      <c r="BB669" s="8"/>
      <c r="BC669" s="8"/>
      <c r="BD669" s="8"/>
      <c r="BE669" s="8"/>
      <c r="BF669" s="8"/>
    </row>
    <row r="670" spans="26:58" ht="16.899999999999999">
      <c r="Z670" s="244"/>
      <c r="AC670" s="10"/>
      <c r="AD670" s="10"/>
      <c r="AF670" s="10"/>
      <c r="AG670" s="10"/>
      <c r="AH670" s="10"/>
      <c r="AI670" s="9"/>
      <c r="AJ670" s="9"/>
      <c r="AK670" s="11"/>
      <c r="AL670" s="10"/>
      <c r="AM670" s="11"/>
      <c r="AN670" s="10"/>
      <c r="AO670" s="11"/>
      <c r="AP670" s="10"/>
      <c r="AQ670" s="10"/>
      <c r="AR670" s="10"/>
      <c r="AS670" s="9"/>
      <c r="AT670" s="9"/>
      <c r="AU670" s="9"/>
      <c r="AV670" s="9"/>
      <c r="AW670" s="9"/>
      <c r="AX670" s="9"/>
      <c r="AY670" s="8"/>
      <c r="AZ670" s="8"/>
      <c r="BA670" s="8"/>
      <c r="BB670" s="8"/>
      <c r="BC670" s="8"/>
      <c r="BD670" s="8"/>
      <c r="BE670" s="8"/>
      <c r="BF670" s="8"/>
    </row>
    <row r="671" spans="26:58" ht="16.899999999999999">
      <c r="Z671" s="244"/>
      <c r="AC671" s="10"/>
      <c r="AD671" s="10"/>
      <c r="AF671" s="10"/>
      <c r="AG671" s="10"/>
      <c r="AH671" s="10"/>
      <c r="AI671" s="9"/>
      <c r="AJ671" s="9"/>
      <c r="AK671" s="11"/>
      <c r="AL671" s="10"/>
      <c r="AM671" s="11"/>
      <c r="AN671" s="10"/>
      <c r="AO671" s="11"/>
      <c r="AP671" s="10"/>
      <c r="AQ671" s="10"/>
      <c r="AR671" s="10"/>
      <c r="AS671" s="9"/>
      <c r="AT671" s="9"/>
      <c r="AU671" s="9"/>
      <c r="AV671" s="9"/>
      <c r="AW671" s="9"/>
      <c r="AX671" s="9"/>
      <c r="AY671" s="8"/>
      <c r="AZ671" s="8"/>
      <c r="BA671" s="8"/>
      <c r="BB671" s="8"/>
      <c r="BC671" s="8"/>
      <c r="BD671" s="8"/>
      <c r="BE671" s="8"/>
      <c r="BF671" s="8"/>
    </row>
    <row r="672" spans="26:58" ht="16.899999999999999">
      <c r="Z672" s="244"/>
      <c r="AC672" s="10"/>
      <c r="AD672" s="10"/>
      <c r="AF672" s="10"/>
      <c r="AG672" s="10"/>
      <c r="AH672" s="10"/>
      <c r="AI672" s="9"/>
      <c r="AJ672" s="9"/>
      <c r="AK672" s="11"/>
      <c r="AL672" s="10"/>
      <c r="AM672" s="11"/>
      <c r="AN672" s="10"/>
      <c r="AO672" s="11"/>
      <c r="AP672" s="10"/>
      <c r="AQ672" s="10"/>
      <c r="AR672" s="10"/>
      <c r="AS672" s="9"/>
      <c r="AT672" s="9"/>
      <c r="AU672" s="9"/>
      <c r="AV672" s="9"/>
      <c r="AW672" s="9"/>
      <c r="AX672" s="9"/>
      <c r="AY672" s="8"/>
      <c r="AZ672" s="8"/>
      <c r="BA672" s="8"/>
      <c r="BB672" s="8"/>
      <c r="BC672" s="8"/>
      <c r="BD672" s="8"/>
      <c r="BE672" s="8"/>
      <c r="BF672" s="8"/>
    </row>
    <row r="673" spans="26:58" ht="16.899999999999999">
      <c r="Z673" s="244"/>
      <c r="AC673" s="10"/>
      <c r="AD673" s="10"/>
      <c r="AF673" s="10"/>
      <c r="AG673" s="10"/>
      <c r="AH673" s="10"/>
      <c r="AI673" s="9"/>
      <c r="AJ673" s="9"/>
      <c r="AK673" s="11"/>
      <c r="AL673" s="10"/>
      <c r="AM673" s="11"/>
      <c r="AN673" s="10"/>
      <c r="AO673" s="11"/>
      <c r="AP673" s="10"/>
      <c r="AQ673" s="10"/>
      <c r="AR673" s="10"/>
      <c r="AS673" s="9"/>
      <c r="AT673" s="9"/>
      <c r="AU673" s="9"/>
      <c r="AV673" s="9"/>
      <c r="AW673" s="9"/>
      <c r="AX673" s="9"/>
      <c r="AY673" s="8"/>
      <c r="AZ673" s="8"/>
      <c r="BA673" s="8"/>
      <c r="BB673" s="8"/>
      <c r="BC673" s="8"/>
      <c r="BD673" s="8"/>
      <c r="BE673" s="8"/>
      <c r="BF673" s="8"/>
    </row>
    <row r="674" spans="26:58" ht="16.899999999999999">
      <c r="Z674" s="244"/>
      <c r="AC674" s="10"/>
      <c r="AD674" s="10"/>
      <c r="AF674" s="10"/>
      <c r="AG674" s="10"/>
      <c r="AH674" s="10"/>
      <c r="AI674" s="9"/>
      <c r="AJ674" s="9"/>
      <c r="AK674" s="11"/>
      <c r="AL674" s="10"/>
      <c r="AM674" s="11"/>
      <c r="AN674" s="10"/>
      <c r="AO674" s="11"/>
      <c r="AP674" s="10"/>
      <c r="AQ674" s="10"/>
      <c r="AR674" s="10"/>
      <c r="AS674" s="9"/>
      <c r="AT674" s="9"/>
      <c r="AU674" s="9"/>
      <c r="AV674" s="9"/>
      <c r="AW674" s="9"/>
      <c r="AX674" s="9"/>
      <c r="AY674" s="8"/>
      <c r="AZ674" s="8"/>
      <c r="BA674" s="8"/>
      <c r="BB674" s="8"/>
      <c r="BC674" s="8"/>
      <c r="BD674" s="8"/>
      <c r="BE674" s="8"/>
      <c r="BF674" s="8"/>
    </row>
    <row r="675" spans="26:58" ht="16.899999999999999">
      <c r="Z675" s="244"/>
      <c r="AC675" s="10"/>
      <c r="AD675" s="10"/>
      <c r="AF675" s="10"/>
      <c r="AG675" s="10"/>
      <c r="AH675" s="10"/>
      <c r="AI675" s="9"/>
      <c r="AJ675" s="9"/>
      <c r="AK675" s="11"/>
      <c r="AL675" s="10"/>
      <c r="AM675" s="11"/>
      <c r="AN675" s="10"/>
      <c r="AO675" s="11"/>
      <c r="AP675" s="10"/>
      <c r="AQ675" s="10"/>
      <c r="AR675" s="10"/>
      <c r="AS675" s="9"/>
      <c r="AT675" s="9"/>
      <c r="AU675" s="9"/>
      <c r="AV675" s="9"/>
      <c r="AW675" s="9"/>
      <c r="AX675" s="9"/>
      <c r="AY675" s="8"/>
      <c r="AZ675" s="8"/>
      <c r="BA675" s="8"/>
      <c r="BB675" s="8"/>
      <c r="BC675" s="8"/>
      <c r="BD675" s="8"/>
      <c r="BE675" s="8"/>
      <c r="BF675" s="8"/>
    </row>
    <row r="676" spans="26:58" ht="16.899999999999999">
      <c r="Z676" s="244"/>
      <c r="AC676" s="10"/>
      <c r="AD676" s="10"/>
      <c r="AF676" s="10"/>
      <c r="AG676" s="10"/>
      <c r="AH676" s="10"/>
      <c r="AI676" s="9"/>
      <c r="AJ676" s="9"/>
      <c r="AK676" s="11"/>
      <c r="AL676" s="10"/>
      <c r="AM676" s="11"/>
      <c r="AN676" s="10"/>
      <c r="AO676" s="11"/>
      <c r="AP676" s="10"/>
      <c r="AQ676" s="10"/>
      <c r="AR676" s="10"/>
      <c r="AS676" s="9"/>
      <c r="AT676" s="9"/>
      <c r="AU676" s="9"/>
      <c r="AV676" s="9"/>
      <c r="AW676" s="9"/>
      <c r="AX676" s="9"/>
      <c r="AY676" s="8"/>
      <c r="AZ676" s="8"/>
      <c r="BA676" s="8"/>
      <c r="BB676" s="8"/>
      <c r="BC676" s="8"/>
      <c r="BD676" s="8"/>
      <c r="BE676" s="8"/>
      <c r="BF676" s="8"/>
    </row>
    <row r="677" spans="26:58" ht="16.899999999999999">
      <c r="Z677" s="244"/>
      <c r="AC677" s="10"/>
      <c r="AD677" s="10"/>
      <c r="AF677" s="10"/>
      <c r="AG677" s="10"/>
      <c r="AH677" s="10"/>
      <c r="AI677" s="9"/>
      <c r="AJ677" s="9"/>
      <c r="AK677" s="11"/>
      <c r="AL677" s="10"/>
      <c r="AM677" s="11"/>
      <c r="AN677" s="10"/>
      <c r="AO677" s="11"/>
      <c r="AP677" s="10"/>
      <c r="AQ677" s="10"/>
      <c r="AR677" s="10"/>
      <c r="AS677" s="9"/>
      <c r="AT677" s="9"/>
      <c r="AU677" s="9"/>
      <c r="AV677" s="9"/>
      <c r="AW677" s="9"/>
      <c r="AX677" s="9"/>
      <c r="AY677" s="8"/>
      <c r="AZ677" s="8"/>
      <c r="BA677" s="8"/>
      <c r="BB677" s="8"/>
      <c r="BC677" s="8"/>
      <c r="BD677" s="8"/>
      <c r="BE677" s="8"/>
      <c r="BF677" s="8"/>
    </row>
    <row r="678" spans="26:58" ht="16.899999999999999">
      <c r="Z678" s="244"/>
      <c r="AC678" s="10"/>
      <c r="AD678" s="10"/>
      <c r="AF678" s="10"/>
      <c r="AG678" s="10"/>
      <c r="AH678" s="10"/>
      <c r="AI678" s="9"/>
      <c r="AJ678" s="9"/>
      <c r="AK678" s="11"/>
      <c r="AL678" s="10"/>
      <c r="AM678" s="11"/>
      <c r="AN678" s="10"/>
      <c r="AO678" s="11"/>
      <c r="AP678" s="10"/>
      <c r="AQ678" s="10"/>
      <c r="AR678" s="10"/>
      <c r="AS678" s="9"/>
      <c r="AT678" s="9"/>
      <c r="AU678" s="9"/>
      <c r="AV678" s="9"/>
      <c r="AW678" s="9"/>
      <c r="AX678" s="9"/>
      <c r="AY678" s="8"/>
      <c r="AZ678" s="8"/>
      <c r="BA678" s="8"/>
      <c r="BB678" s="8"/>
      <c r="BC678" s="8"/>
      <c r="BD678" s="8"/>
      <c r="BE678" s="8"/>
      <c r="BF678" s="8"/>
    </row>
    <row r="679" spans="26:58" ht="16.899999999999999">
      <c r="Z679" s="244"/>
      <c r="AC679" s="10"/>
      <c r="AD679" s="10"/>
      <c r="AF679" s="10"/>
      <c r="AG679" s="10"/>
      <c r="AH679" s="10"/>
      <c r="AI679" s="9"/>
      <c r="AJ679" s="9"/>
      <c r="AK679" s="11"/>
      <c r="AL679" s="10"/>
      <c r="AM679" s="11"/>
      <c r="AN679" s="10"/>
      <c r="AO679" s="11"/>
      <c r="AP679" s="10"/>
      <c r="AQ679" s="10"/>
      <c r="AR679" s="10"/>
      <c r="AS679" s="9"/>
      <c r="AT679" s="9"/>
      <c r="AU679" s="9"/>
      <c r="AV679" s="9"/>
      <c r="AW679" s="9"/>
      <c r="AX679" s="9"/>
      <c r="AY679" s="8"/>
      <c r="AZ679" s="8"/>
      <c r="BA679" s="8"/>
      <c r="BB679" s="8"/>
      <c r="BC679" s="8"/>
      <c r="BD679" s="8"/>
      <c r="BE679" s="8"/>
      <c r="BF679" s="8"/>
    </row>
    <row r="680" spans="26:58" ht="16.899999999999999">
      <c r="Z680" s="244"/>
      <c r="AC680" s="10"/>
      <c r="AD680" s="10"/>
      <c r="AF680" s="10"/>
      <c r="AG680" s="10"/>
      <c r="AH680" s="10"/>
      <c r="AI680" s="9"/>
      <c r="AJ680" s="9"/>
      <c r="AK680" s="11"/>
      <c r="AL680" s="10"/>
      <c r="AM680" s="11"/>
      <c r="AN680" s="10"/>
      <c r="AO680" s="11"/>
      <c r="AP680" s="10"/>
      <c r="AQ680" s="10"/>
      <c r="AR680" s="10"/>
      <c r="AS680" s="9"/>
      <c r="AT680" s="9"/>
      <c r="AU680" s="9"/>
      <c r="AV680" s="9"/>
      <c r="AW680" s="9"/>
      <c r="AX680" s="9"/>
      <c r="AY680" s="8"/>
      <c r="AZ680" s="8"/>
      <c r="BA680" s="8"/>
      <c r="BB680" s="8"/>
      <c r="BC680" s="8"/>
      <c r="BD680" s="8"/>
      <c r="BE680" s="8"/>
      <c r="BF680" s="8"/>
    </row>
    <row r="681" spans="26:58" ht="16.899999999999999">
      <c r="Z681" s="244"/>
      <c r="AC681" s="10"/>
      <c r="AD681" s="10"/>
      <c r="AF681" s="10"/>
      <c r="AG681" s="10"/>
      <c r="AH681" s="10"/>
      <c r="AI681" s="9"/>
      <c r="AJ681" s="9"/>
      <c r="AK681" s="11"/>
      <c r="AL681" s="10"/>
      <c r="AM681" s="11"/>
      <c r="AN681" s="10"/>
      <c r="AO681" s="11"/>
      <c r="AP681" s="10"/>
      <c r="AQ681" s="10"/>
      <c r="AR681" s="10"/>
      <c r="AS681" s="9"/>
      <c r="AT681" s="9"/>
      <c r="AU681" s="9"/>
      <c r="AV681" s="9"/>
      <c r="AW681" s="9"/>
      <c r="AX681" s="9"/>
      <c r="AY681" s="8"/>
      <c r="AZ681" s="8"/>
      <c r="BA681" s="8"/>
      <c r="BB681" s="8"/>
      <c r="BC681" s="8"/>
      <c r="BD681" s="8"/>
      <c r="BE681" s="8"/>
      <c r="BF681" s="8"/>
    </row>
    <row r="682" spans="26:58" ht="16.899999999999999">
      <c r="Z682" s="244"/>
      <c r="AC682" s="10"/>
      <c r="AD682" s="10"/>
      <c r="AF682" s="10"/>
      <c r="AG682" s="10"/>
      <c r="AH682" s="10"/>
      <c r="AI682" s="9"/>
      <c r="AJ682" s="9"/>
      <c r="AK682" s="11"/>
      <c r="AL682" s="10"/>
      <c r="AM682" s="11"/>
      <c r="AN682" s="10"/>
      <c r="AO682" s="11"/>
      <c r="AP682" s="10"/>
      <c r="AQ682" s="10"/>
      <c r="AR682" s="10"/>
      <c r="AS682" s="9"/>
      <c r="AT682" s="9"/>
      <c r="AU682" s="9"/>
      <c r="AV682" s="9"/>
      <c r="AW682" s="9"/>
      <c r="AX682" s="9"/>
      <c r="AY682" s="8"/>
      <c r="AZ682" s="8"/>
      <c r="BA682" s="8"/>
      <c r="BB682" s="8"/>
      <c r="BC682" s="8"/>
      <c r="BD682" s="8"/>
      <c r="BE682" s="8"/>
      <c r="BF682" s="8"/>
    </row>
    <row r="683" spans="26:58" ht="16.899999999999999">
      <c r="Z683" s="244"/>
      <c r="AC683" s="10"/>
      <c r="AD683" s="10"/>
      <c r="AF683" s="10"/>
      <c r="AG683" s="10"/>
      <c r="AH683" s="10"/>
      <c r="AI683" s="9"/>
      <c r="AJ683" s="9"/>
      <c r="AK683" s="11"/>
      <c r="AL683" s="10"/>
      <c r="AM683" s="11"/>
      <c r="AN683" s="10"/>
      <c r="AO683" s="11"/>
      <c r="AP683" s="10"/>
      <c r="AQ683" s="10"/>
      <c r="AR683" s="10"/>
      <c r="AS683" s="9"/>
      <c r="AT683" s="9"/>
      <c r="AU683" s="9"/>
      <c r="AV683" s="9"/>
      <c r="AW683" s="9"/>
      <c r="AX683" s="9"/>
      <c r="AY683" s="8"/>
      <c r="AZ683" s="8"/>
      <c r="BA683" s="8"/>
      <c r="BB683" s="8"/>
      <c r="BC683" s="8"/>
      <c r="BD683" s="8"/>
      <c r="BE683" s="8"/>
      <c r="BF683" s="8"/>
    </row>
    <row r="684" spans="26:58" ht="16.899999999999999">
      <c r="Z684" s="244"/>
      <c r="AC684" s="10"/>
      <c r="AD684" s="10"/>
      <c r="AF684" s="10"/>
      <c r="AG684" s="10"/>
      <c r="AH684" s="10"/>
      <c r="AI684" s="9"/>
      <c r="AJ684" s="9"/>
      <c r="AK684" s="11"/>
      <c r="AL684" s="10"/>
      <c r="AM684" s="11"/>
      <c r="AN684" s="10"/>
      <c r="AO684" s="11"/>
      <c r="AP684" s="10"/>
      <c r="AQ684" s="10"/>
      <c r="AR684" s="10"/>
      <c r="AS684" s="9"/>
      <c r="AT684" s="9"/>
      <c r="AU684" s="9"/>
      <c r="AV684" s="9"/>
      <c r="AW684" s="9"/>
      <c r="AX684" s="9"/>
      <c r="AY684" s="8"/>
      <c r="AZ684" s="8"/>
      <c r="BA684" s="8"/>
      <c r="BB684" s="8"/>
      <c r="BC684" s="8"/>
      <c r="BD684" s="8"/>
      <c r="BE684" s="8"/>
      <c r="BF684" s="8"/>
    </row>
    <row r="685" spans="26:58" ht="16.899999999999999">
      <c r="Z685" s="244"/>
      <c r="AC685" s="10"/>
      <c r="AD685" s="10"/>
      <c r="AF685" s="10"/>
      <c r="AG685" s="10"/>
      <c r="AH685" s="10"/>
      <c r="AI685" s="9"/>
      <c r="AJ685" s="9"/>
      <c r="AK685" s="11"/>
      <c r="AL685" s="10"/>
      <c r="AM685" s="11"/>
      <c r="AN685" s="10"/>
      <c r="AO685" s="11"/>
      <c r="AP685" s="10"/>
      <c r="AQ685" s="10"/>
      <c r="AR685" s="10"/>
      <c r="AS685" s="9"/>
      <c r="AT685" s="9"/>
      <c r="AU685" s="9"/>
      <c r="AV685" s="9"/>
      <c r="AW685" s="9"/>
      <c r="AX685" s="9"/>
      <c r="AY685" s="8"/>
      <c r="AZ685" s="8"/>
      <c r="BA685" s="8"/>
      <c r="BB685" s="8"/>
      <c r="BC685" s="8"/>
      <c r="BD685" s="8"/>
      <c r="BE685" s="8"/>
      <c r="BF685" s="8"/>
    </row>
    <row r="686" spans="26:58" ht="16.899999999999999">
      <c r="Z686" s="244"/>
      <c r="AC686" s="10"/>
      <c r="AD686" s="10"/>
      <c r="AF686" s="10"/>
      <c r="AG686" s="10"/>
      <c r="AH686" s="10"/>
      <c r="AI686" s="9"/>
      <c r="AJ686" s="9"/>
      <c r="AK686" s="11"/>
      <c r="AL686" s="10"/>
      <c r="AM686" s="11"/>
      <c r="AN686" s="10"/>
      <c r="AO686" s="11"/>
      <c r="AP686" s="10"/>
      <c r="AQ686" s="10"/>
      <c r="AR686" s="10"/>
      <c r="AS686" s="9"/>
      <c r="AT686" s="9"/>
      <c r="AU686" s="9"/>
      <c r="AV686" s="9"/>
      <c r="AW686" s="9"/>
      <c r="AX686" s="9"/>
      <c r="AY686" s="8"/>
      <c r="AZ686" s="8"/>
      <c r="BA686" s="8"/>
      <c r="BB686" s="8"/>
      <c r="BC686" s="8"/>
      <c r="BD686" s="8"/>
      <c r="BE686" s="8"/>
      <c r="BF686" s="8"/>
    </row>
    <row r="687" spans="26:58" ht="16.899999999999999">
      <c r="Z687" s="244"/>
      <c r="AC687" s="10"/>
      <c r="AD687" s="10"/>
      <c r="AF687" s="10"/>
      <c r="AG687" s="10"/>
      <c r="AH687" s="10"/>
      <c r="AI687" s="9"/>
      <c r="AJ687" s="9"/>
      <c r="AK687" s="11"/>
      <c r="AL687" s="10"/>
      <c r="AM687" s="11"/>
      <c r="AN687" s="10"/>
      <c r="AO687" s="11"/>
      <c r="AP687" s="10"/>
      <c r="AQ687" s="10"/>
      <c r="AR687" s="10"/>
      <c r="AS687" s="9"/>
      <c r="AT687" s="9"/>
      <c r="AU687" s="9"/>
      <c r="AV687" s="9"/>
      <c r="AW687" s="9"/>
      <c r="AX687" s="9"/>
      <c r="AY687" s="8"/>
      <c r="AZ687" s="8"/>
      <c r="BA687" s="8"/>
      <c r="BB687" s="8"/>
      <c r="BC687" s="8"/>
      <c r="BD687" s="8"/>
      <c r="BE687" s="8"/>
      <c r="BF687" s="8"/>
    </row>
    <row r="688" spans="26:58" ht="16.899999999999999">
      <c r="Z688" s="244"/>
      <c r="AC688" s="10"/>
      <c r="AD688" s="10"/>
      <c r="AF688" s="10"/>
      <c r="AG688" s="10"/>
      <c r="AH688" s="10"/>
      <c r="AI688" s="9"/>
      <c r="AJ688" s="9"/>
      <c r="AK688" s="11"/>
      <c r="AL688" s="10"/>
      <c r="AM688" s="11"/>
      <c r="AN688" s="10"/>
      <c r="AO688" s="11"/>
      <c r="AP688" s="10"/>
      <c r="AQ688" s="10"/>
      <c r="AR688" s="10"/>
      <c r="AS688" s="9"/>
      <c r="AT688" s="9"/>
      <c r="AU688" s="9"/>
      <c r="AV688" s="9"/>
      <c r="AW688" s="9"/>
      <c r="AX688" s="9"/>
      <c r="AY688" s="8"/>
      <c r="AZ688" s="8"/>
      <c r="BA688" s="8"/>
      <c r="BB688" s="8"/>
      <c r="BC688" s="8"/>
      <c r="BD688" s="8"/>
      <c r="BE688" s="8"/>
      <c r="BF688" s="8"/>
    </row>
    <row r="689" spans="26:58" ht="16.899999999999999">
      <c r="Z689" s="244"/>
      <c r="AC689" s="10"/>
      <c r="AD689" s="10"/>
      <c r="AF689" s="10"/>
      <c r="AG689" s="10"/>
      <c r="AH689" s="10"/>
      <c r="AI689" s="9"/>
      <c r="AJ689" s="9"/>
      <c r="AK689" s="11"/>
      <c r="AL689" s="10"/>
      <c r="AM689" s="11"/>
      <c r="AN689" s="10"/>
      <c r="AO689" s="11"/>
      <c r="AP689" s="10"/>
      <c r="AQ689" s="10"/>
      <c r="AR689" s="10"/>
      <c r="AS689" s="9"/>
      <c r="AT689" s="9"/>
      <c r="AU689" s="9"/>
      <c r="AV689" s="9"/>
      <c r="AW689" s="9"/>
      <c r="AX689" s="9"/>
      <c r="AY689" s="8"/>
      <c r="AZ689" s="8"/>
      <c r="BA689" s="8"/>
      <c r="BB689" s="8"/>
      <c r="BC689" s="8"/>
      <c r="BD689" s="8"/>
      <c r="BE689" s="8"/>
      <c r="BF689" s="8"/>
    </row>
    <row r="690" spans="26:58" ht="16.899999999999999">
      <c r="Z690" s="244"/>
      <c r="AC690" s="10"/>
      <c r="AD690" s="10"/>
      <c r="AF690" s="10"/>
      <c r="AG690" s="10"/>
      <c r="AH690" s="10"/>
      <c r="AI690" s="9"/>
      <c r="AJ690" s="9"/>
      <c r="AK690" s="11"/>
      <c r="AL690" s="10"/>
      <c r="AM690" s="11"/>
      <c r="AN690" s="10"/>
      <c r="AO690" s="11"/>
      <c r="AP690" s="10"/>
      <c r="AQ690" s="10"/>
      <c r="AR690" s="10"/>
      <c r="AS690" s="9"/>
      <c r="AT690" s="9"/>
      <c r="AU690" s="9"/>
      <c r="AV690" s="9"/>
      <c r="AW690" s="9"/>
      <c r="AX690" s="9"/>
      <c r="AY690" s="8"/>
      <c r="AZ690" s="8"/>
      <c r="BA690" s="8"/>
      <c r="BB690" s="8"/>
      <c r="BC690" s="8"/>
      <c r="BD690" s="8"/>
      <c r="BE690" s="8"/>
      <c r="BF690" s="8"/>
    </row>
    <row r="691" spans="26:58" ht="16.899999999999999">
      <c r="Z691" s="244"/>
      <c r="AC691" s="10"/>
      <c r="AD691" s="10"/>
      <c r="AF691" s="10"/>
      <c r="AG691" s="10"/>
      <c r="AH691" s="10"/>
      <c r="AI691" s="9"/>
      <c r="AJ691" s="9"/>
      <c r="AK691" s="11"/>
      <c r="AL691" s="10"/>
      <c r="AM691" s="11"/>
      <c r="AN691" s="10"/>
      <c r="AO691" s="11"/>
      <c r="AP691" s="10"/>
      <c r="AQ691" s="10"/>
      <c r="AR691" s="10"/>
      <c r="AS691" s="9"/>
      <c r="AT691" s="9"/>
      <c r="AU691" s="9"/>
      <c r="AV691" s="9"/>
      <c r="AW691" s="9"/>
      <c r="AX691" s="9"/>
      <c r="AY691" s="8"/>
      <c r="AZ691" s="8"/>
      <c r="BA691" s="8"/>
      <c r="BB691" s="8"/>
      <c r="BC691" s="8"/>
      <c r="BD691" s="8"/>
      <c r="BE691" s="8"/>
      <c r="BF691" s="8"/>
    </row>
    <row r="692" spans="26:58" ht="16.899999999999999">
      <c r="Z692" s="244"/>
      <c r="AC692" s="10"/>
      <c r="AD692" s="10"/>
      <c r="AF692" s="10"/>
      <c r="AG692" s="10"/>
      <c r="AH692" s="10"/>
      <c r="AI692" s="9"/>
      <c r="AJ692" s="9"/>
      <c r="AK692" s="11"/>
      <c r="AL692" s="10"/>
      <c r="AM692" s="11"/>
      <c r="AN692" s="10"/>
      <c r="AO692" s="11"/>
      <c r="AP692" s="10"/>
      <c r="AQ692" s="10"/>
      <c r="AR692" s="10"/>
      <c r="AS692" s="9"/>
      <c r="AT692" s="9"/>
      <c r="AU692" s="9"/>
      <c r="AV692" s="9"/>
      <c r="AW692" s="9"/>
      <c r="AX692" s="9"/>
      <c r="AY692" s="8"/>
      <c r="AZ692" s="8"/>
      <c r="BA692" s="8"/>
      <c r="BB692" s="8"/>
      <c r="BC692" s="8"/>
      <c r="BD692" s="8"/>
      <c r="BE692" s="8"/>
      <c r="BF692" s="8"/>
    </row>
    <row r="693" spans="26:58" ht="16.899999999999999">
      <c r="Z693" s="244"/>
      <c r="AC693" s="10"/>
      <c r="AD693" s="10"/>
      <c r="AF693" s="10"/>
      <c r="AG693" s="10"/>
      <c r="AH693" s="10"/>
      <c r="AI693" s="9"/>
      <c r="AJ693" s="9"/>
      <c r="AK693" s="11"/>
      <c r="AL693" s="10"/>
      <c r="AM693" s="11"/>
      <c r="AN693" s="10"/>
      <c r="AO693" s="11"/>
      <c r="AP693" s="10"/>
      <c r="AQ693" s="10"/>
      <c r="AR693" s="10"/>
      <c r="AS693" s="9"/>
      <c r="AT693" s="9"/>
      <c r="AU693" s="9"/>
      <c r="AV693" s="9"/>
      <c r="AW693" s="9"/>
      <c r="AX693" s="9"/>
      <c r="AY693" s="8"/>
      <c r="AZ693" s="8"/>
      <c r="BA693" s="8"/>
      <c r="BB693" s="8"/>
      <c r="BC693" s="8"/>
      <c r="BD693" s="8"/>
      <c r="BE693" s="8"/>
      <c r="BF693" s="8"/>
    </row>
    <row r="694" spans="26:58" ht="16.899999999999999">
      <c r="Z694" s="244"/>
      <c r="AC694" s="10"/>
      <c r="AD694" s="10"/>
      <c r="AF694" s="10"/>
      <c r="AG694" s="10"/>
      <c r="AH694" s="10"/>
      <c r="AI694" s="9"/>
      <c r="AJ694" s="9"/>
      <c r="AK694" s="11"/>
      <c r="AL694" s="10"/>
      <c r="AM694" s="11"/>
      <c r="AN694" s="10"/>
      <c r="AO694" s="11"/>
      <c r="AP694" s="10"/>
      <c r="AQ694" s="10"/>
      <c r="AR694" s="10"/>
      <c r="AS694" s="9"/>
      <c r="AT694" s="9"/>
      <c r="AU694" s="9"/>
      <c r="AV694" s="9"/>
      <c r="AW694" s="9"/>
      <c r="AX694" s="9"/>
      <c r="AY694" s="8"/>
      <c r="AZ694" s="8"/>
      <c r="BA694" s="8"/>
      <c r="BB694" s="8"/>
      <c r="BC694" s="8"/>
      <c r="BD694" s="8"/>
      <c r="BE694" s="8"/>
      <c r="BF694" s="8"/>
    </row>
    <row r="695" spans="26:58" ht="16.899999999999999">
      <c r="Z695" s="244"/>
      <c r="AC695" s="10"/>
      <c r="AD695" s="10"/>
      <c r="AF695" s="10"/>
      <c r="AG695" s="10"/>
      <c r="AH695" s="10"/>
      <c r="AI695" s="9"/>
      <c r="AJ695" s="9"/>
      <c r="AK695" s="11"/>
      <c r="AL695" s="10"/>
      <c r="AM695" s="11"/>
      <c r="AN695" s="10"/>
      <c r="AO695" s="11"/>
      <c r="AP695" s="10"/>
      <c r="AQ695" s="10"/>
      <c r="AR695" s="10"/>
      <c r="AS695" s="9"/>
      <c r="AT695" s="9"/>
      <c r="AU695" s="9"/>
      <c r="AV695" s="9"/>
      <c r="AW695" s="9"/>
      <c r="AX695" s="9"/>
      <c r="AY695" s="8"/>
      <c r="AZ695" s="8"/>
      <c r="BA695" s="8"/>
      <c r="BB695" s="8"/>
      <c r="BC695" s="8"/>
      <c r="BD695" s="8"/>
      <c r="BE695" s="8"/>
      <c r="BF695" s="8"/>
    </row>
    <row r="696" spans="26:58" ht="16.899999999999999">
      <c r="Z696" s="244"/>
      <c r="AC696" s="10"/>
      <c r="AD696" s="10"/>
      <c r="AF696" s="10"/>
      <c r="AG696" s="10"/>
      <c r="AH696" s="10"/>
      <c r="AI696" s="9"/>
      <c r="AJ696" s="9"/>
      <c r="AK696" s="11"/>
      <c r="AL696" s="10"/>
      <c r="AM696" s="11"/>
      <c r="AN696" s="10"/>
      <c r="AO696" s="11"/>
      <c r="AP696" s="10"/>
      <c r="AQ696" s="10"/>
      <c r="AR696" s="10"/>
      <c r="AS696" s="9"/>
      <c r="AT696" s="9"/>
      <c r="AU696" s="9"/>
      <c r="AV696" s="9"/>
      <c r="AW696" s="9"/>
      <c r="AX696" s="9"/>
      <c r="AY696" s="8"/>
      <c r="AZ696" s="8"/>
      <c r="BA696" s="8"/>
      <c r="BB696" s="8"/>
      <c r="BC696" s="8"/>
      <c r="BD696" s="8"/>
      <c r="BE696" s="8"/>
      <c r="BF696" s="8"/>
    </row>
    <row r="697" spans="26:58" ht="16.899999999999999">
      <c r="Z697" s="244"/>
      <c r="AC697" s="10"/>
      <c r="AD697" s="10"/>
      <c r="AF697" s="10"/>
      <c r="AG697" s="10"/>
      <c r="AH697" s="10"/>
      <c r="AI697" s="9"/>
      <c r="AJ697" s="9"/>
      <c r="AK697" s="11"/>
      <c r="AL697" s="10"/>
      <c r="AM697" s="11"/>
      <c r="AN697" s="10"/>
      <c r="AO697" s="11"/>
      <c r="AP697" s="10"/>
      <c r="AQ697" s="10"/>
      <c r="AR697" s="10"/>
      <c r="AS697" s="9"/>
      <c r="AT697" s="9"/>
      <c r="AU697" s="9"/>
      <c r="AV697" s="9"/>
      <c r="AW697" s="9"/>
      <c r="AX697" s="9"/>
      <c r="AY697" s="8"/>
      <c r="AZ697" s="8"/>
      <c r="BA697" s="8"/>
      <c r="BB697" s="8"/>
      <c r="BC697" s="8"/>
      <c r="BD697" s="8"/>
      <c r="BE697" s="8"/>
      <c r="BF697" s="8"/>
    </row>
    <row r="698" spans="26:58" ht="16.899999999999999">
      <c r="Z698" s="244"/>
      <c r="AC698" s="10"/>
      <c r="AD698" s="10"/>
      <c r="AF698" s="10"/>
      <c r="AG698" s="10"/>
      <c r="AH698" s="10"/>
      <c r="AI698" s="9"/>
      <c r="AJ698" s="9"/>
      <c r="AK698" s="11"/>
      <c r="AL698" s="10"/>
      <c r="AM698" s="11"/>
      <c r="AN698" s="10"/>
      <c r="AO698" s="11"/>
      <c r="AP698" s="10"/>
      <c r="AQ698" s="10"/>
      <c r="AR698" s="10"/>
      <c r="AS698" s="9"/>
      <c r="AT698" s="9"/>
      <c r="AU698" s="9"/>
      <c r="AV698" s="9"/>
      <c r="AW698" s="9"/>
      <c r="AX698" s="9"/>
      <c r="AY698" s="8"/>
      <c r="AZ698" s="8"/>
      <c r="BA698" s="8"/>
      <c r="BB698" s="8"/>
      <c r="BC698" s="8"/>
      <c r="BD698" s="8"/>
      <c r="BE698" s="8"/>
      <c r="BF698" s="8"/>
    </row>
    <row r="699" spans="26:58" ht="16.899999999999999">
      <c r="Z699" s="244"/>
      <c r="AC699" s="10"/>
      <c r="AD699" s="10"/>
      <c r="AF699" s="10"/>
      <c r="AG699" s="10"/>
      <c r="AH699" s="10"/>
      <c r="AI699" s="9"/>
      <c r="AJ699" s="9"/>
      <c r="AK699" s="11"/>
      <c r="AL699" s="10"/>
      <c r="AM699" s="11"/>
      <c r="AN699" s="10"/>
      <c r="AO699" s="11"/>
      <c r="AP699" s="10"/>
      <c r="AQ699" s="10"/>
      <c r="AR699" s="10"/>
      <c r="AS699" s="9"/>
      <c r="AT699" s="9"/>
      <c r="AU699" s="9"/>
      <c r="AV699" s="9"/>
      <c r="AW699" s="9"/>
      <c r="AX699" s="9"/>
      <c r="AY699" s="8"/>
      <c r="AZ699" s="8"/>
      <c r="BA699" s="8"/>
      <c r="BB699" s="8"/>
      <c r="BC699" s="8"/>
      <c r="BD699" s="8"/>
      <c r="BE699" s="8"/>
      <c r="BF699" s="8"/>
    </row>
    <row r="700" spans="26:58" ht="16.899999999999999">
      <c r="Z700" s="244"/>
      <c r="AC700" s="10"/>
      <c r="AD700" s="10"/>
      <c r="AF700" s="10"/>
      <c r="AG700" s="10"/>
      <c r="AH700" s="10"/>
      <c r="AI700" s="9"/>
      <c r="AJ700" s="9"/>
      <c r="AK700" s="11"/>
      <c r="AL700" s="10"/>
      <c r="AM700" s="11"/>
      <c r="AN700" s="10"/>
      <c r="AO700" s="11"/>
      <c r="AP700" s="10"/>
      <c r="AQ700" s="10"/>
      <c r="AR700" s="10"/>
      <c r="AS700" s="9"/>
      <c r="AT700" s="9"/>
      <c r="AU700" s="9"/>
      <c r="AV700" s="9"/>
      <c r="AW700" s="9"/>
      <c r="AX700" s="9"/>
      <c r="AY700" s="8"/>
      <c r="AZ700" s="8"/>
      <c r="BA700" s="8"/>
      <c r="BB700" s="8"/>
      <c r="BC700" s="8"/>
      <c r="BD700" s="8"/>
      <c r="BE700" s="8"/>
      <c r="BF700" s="8"/>
    </row>
    <row r="701" spans="26:58" ht="16.899999999999999">
      <c r="Z701" s="244"/>
      <c r="AC701" s="10"/>
      <c r="AD701" s="10"/>
      <c r="AF701" s="10"/>
      <c r="AG701" s="10"/>
      <c r="AH701" s="10"/>
      <c r="AI701" s="9"/>
      <c r="AJ701" s="9"/>
      <c r="AK701" s="11"/>
      <c r="AL701" s="10"/>
      <c r="AM701" s="11"/>
      <c r="AN701" s="10"/>
      <c r="AO701" s="11"/>
      <c r="AP701" s="10"/>
      <c r="AQ701" s="10"/>
      <c r="AR701" s="10"/>
      <c r="AS701" s="9"/>
      <c r="AT701" s="9"/>
      <c r="AU701" s="9"/>
      <c r="AV701" s="9"/>
      <c r="AW701" s="9"/>
      <c r="AX701" s="9"/>
      <c r="AY701" s="8"/>
      <c r="AZ701" s="8"/>
      <c r="BA701" s="8"/>
      <c r="BB701" s="8"/>
      <c r="BC701" s="8"/>
      <c r="BD701" s="8"/>
      <c r="BE701" s="8"/>
      <c r="BF701" s="8"/>
    </row>
    <row r="702" spans="26:58" ht="16.899999999999999">
      <c r="Z702" s="244"/>
      <c r="AC702" s="10"/>
      <c r="AD702" s="10"/>
      <c r="AF702" s="10"/>
      <c r="AG702" s="10"/>
      <c r="AH702" s="10"/>
      <c r="AI702" s="9"/>
      <c r="AJ702" s="9"/>
      <c r="AK702" s="11"/>
      <c r="AL702" s="10"/>
      <c r="AM702" s="11"/>
      <c r="AN702" s="10"/>
      <c r="AO702" s="11"/>
      <c r="AP702" s="10"/>
      <c r="AQ702" s="10"/>
      <c r="AR702" s="10"/>
      <c r="AS702" s="9"/>
      <c r="AT702" s="9"/>
      <c r="AU702" s="9"/>
      <c r="AV702" s="9"/>
      <c r="AW702" s="9"/>
      <c r="AX702" s="9"/>
      <c r="AY702" s="8"/>
      <c r="AZ702" s="8"/>
      <c r="BA702" s="8"/>
      <c r="BB702" s="8"/>
      <c r="BC702" s="8"/>
      <c r="BD702" s="8"/>
      <c r="BE702" s="8"/>
      <c r="BF702" s="8"/>
    </row>
    <row r="703" spans="26:58" ht="16.899999999999999">
      <c r="Z703" s="244"/>
      <c r="AC703" s="10"/>
      <c r="AD703" s="10"/>
      <c r="AF703" s="10"/>
      <c r="AG703" s="10"/>
      <c r="AH703" s="10"/>
      <c r="AI703" s="9"/>
      <c r="AJ703" s="9"/>
      <c r="AK703" s="11"/>
      <c r="AL703" s="10"/>
      <c r="AM703" s="11"/>
      <c r="AN703" s="10"/>
      <c r="AO703" s="11"/>
      <c r="AP703" s="10"/>
      <c r="AQ703" s="10"/>
      <c r="AR703" s="10"/>
      <c r="AS703" s="9"/>
      <c r="AT703" s="9"/>
      <c r="AU703" s="9"/>
      <c r="AV703" s="9"/>
      <c r="AW703" s="9"/>
      <c r="AX703" s="9"/>
      <c r="AY703" s="8"/>
      <c r="AZ703" s="8"/>
      <c r="BA703" s="8"/>
      <c r="BB703" s="8"/>
      <c r="BC703" s="8"/>
      <c r="BD703" s="8"/>
      <c r="BE703" s="8"/>
      <c r="BF703" s="8"/>
    </row>
    <row r="704" spans="26:58" ht="16.899999999999999">
      <c r="Z704" s="244"/>
      <c r="AC704" s="10"/>
      <c r="AD704" s="10"/>
      <c r="AF704" s="10"/>
      <c r="AG704" s="10"/>
      <c r="AH704" s="10"/>
      <c r="AI704" s="9"/>
      <c r="AJ704" s="9"/>
      <c r="AK704" s="11"/>
      <c r="AL704" s="10"/>
      <c r="AM704" s="11"/>
      <c r="AN704" s="10"/>
      <c r="AO704" s="11"/>
      <c r="AP704" s="10"/>
      <c r="AQ704" s="10"/>
      <c r="AR704" s="10"/>
      <c r="AS704" s="9"/>
      <c r="AT704" s="9"/>
      <c r="AU704" s="9"/>
      <c r="AV704" s="9"/>
      <c r="AW704" s="9"/>
      <c r="AX704" s="9"/>
      <c r="AY704" s="8"/>
      <c r="AZ704" s="8"/>
      <c r="BA704" s="8"/>
      <c r="BB704" s="8"/>
      <c r="BC704" s="8"/>
      <c r="BD704" s="8"/>
      <c r="BE704" s="8"/>
      <c r="BF704" s="8"/>
    </row>
    <row r="705" spans="26:58" ht="16.899999999999999">
      <c r="Z705" s="244"/>
      <c r="AC705" s="10"/>
      <c r="AD705" s="10"/>
      <c r="AF705" s="10"/>
      <c r="AG705" s="10"/>
      <c r="AH705" s="10"/>
      <c r="AI705" s="9"/>
      <c r="AJ705" s="9"/>
      <c r="AK705" s="11"/>
      <c r="AL705" s="10"/>
      <c r="AM705" s="11"/>
      <c r="AN705" s="10"/>
      <c r="AO705" s="11"/>
      <c r="AP705" s="10"/>
      <c r="AQ705" s="10"/>
      <c r="AR705" s="10"/>
      <c r="AS705" s="9"/>
      <c r="AT705" s="9"/>
      <c r="AU705" s="9"/>
      <c r="AV705" s="9"/>
      <c r="AW705" s="9"/>
      <c r="AX705" s="9"/>
      <c r="AY705" s="8"/>
      <c r="AZ705" s="8"/>
      <c r="BA705" s="8"/>
      <c r="BB705" s="8"/>
      <c r="BC705" s="8"/>
      <c r="BD705" s="8"/>
      <c r="BE705" s="8"/>
      <c r="BF705" s="8"/>
    </row>
    <row r="706" spans="26:58" ht="16.899999999999999">
      <c r="Z706" s="244"/>
      <c r="AC706" s="10"/>
      <c r="AD706" s="10"/>
      <c r="AF706" s="10"/>
      <c r="AG706" s="10"/>
      <c r="AH706" s="10"/>
      <c r="AI706" s="9"/>
      <c r="AJ706" s="9"/>
      <c r="AK706" s="11"/>
      <c r="AL706" s="10"/>
      <c r="AM706" s="11"/>
      <c r="AN706" s="10"/>
      <c r="AO706" s="11"/>
      <c r="AP706" s="10"/>
      <c r="AQ706" s="10"/>
      <c r="AR706" s="10"/>
      <c r="AS706" s="9"/>
      <c r="AT706" s="9"/>
      <c r="AU706" s="9"/>
      <c r="AV706" s="9"/>
      <c r="AW706" s="9"/>
      <c r="AX706" s="9"/>
      <c r="AY706" s="8"/>
      <c r="AZ706" s="8"/>
      <c r="BA706" s="8"/>
      <c r="BB706" s="8"/>
      <c r="BC706" s="8"/>
      <c r="BD706" s="8"/>
      <c r="BE706" s="8"/>
      <c r="BF706" s="8"/>
    </row>
    <row r="707" spans="26:58" ht="16.899999999999999">
      <c r="Z707" s="244"/>
      <c r="AC707" s="10"/>
      <c r="AD707" s="10"/>
      <c r="AF707" s="10"/>
      <c r="AG707" s="10"/>
      <c r="AH707" s="10"/>
      <c r="AI707" s="9"/>
      <c r="AJ707" s="9"/>
      <c r="AK707" s="11"/>
      <c r="AL707" s="10"/>
      <c r="AM707" s="11"/>
      <c r="AN707" s="10"/>
      <c r="AO707" s="11"/>
      <c r="AP707" s="10"/>
      <c r="AQ707" s="10"/>
      <c r="AR707" s="10"/>
      <c r="AS707" s="9"/>
      <c r="AT707" s="9"/>
      <c r="AU707" s="9"/>
      <c r="AV707" s="9"/>
      <c r="AW707" s="9"/>
      <c r="AX707" s="9"/>
      <c r="AY707" s="8"/>
      <c r="AZ707" s="8"/>
      <c r="BA707" s="8"/>
      <c r="BB707" s="8"/>
      <c r="BC707" s="8"/>
      <c r="BD707" s="8"/>
      <c r="BE707" s="8"/>
      <c r="BF707" s="8"/>
    </row>
    <row r="708" spans="26:58" ht="16.899999999999999">
      <c r="Z708" s="244"/>
      <c r="AC708" s="10"/>
      <c r="AD708" s="10"/>
      <c r="AF708" s="10"/>
      <c r="AG708" s="10"/>
      <c r="AH708" s="10"/>
      <c r="AI708" s="9"/>
      <c r="AJ708" s="9"/>
      <c r="AK708" s="11"/>
      <c r="AL708" s="10"/>
      <c r="AM708" s="11"/>
      <c r="AN708" s="10"/>
      <c r="AO708" s="11"/>
      <c r="AP708" s="10"/>
      <c r="AQ708" s="10"/>
      <c r="AR708" s="10"/>
      <c r="AS708" s="9"/>
      <c r="AT708" s="9"/>
      <c r="AU708" s="9"/>
      <c r="AV708" s="9"/>
      <c r="AW708" s="9"/>
      <c r="AX708" s="9"/>
      <c r="AY708" s="8"/>
      <c r="AZ708" s="8"/>
      <c r="BA708" s="8"/>
      <c r="BB708" s="8"/>
      <c r="BC708" s="8"/>
      <c r="BD708" s="8"/>
      <c r="BE708" s="8"/>
      <c r="BF708" s="8"/>
    </row>
    <row r="709" spans="26:58" ht="16.899999999999999">
      <c r="Z709" s="244"/>
      <c r="AC709" s="10"/>
      <c r="AD709" s="10"/>
      <c r="AF709" s="10"/>
      <c r="AG709" s="10"/>
      <c r="AH709" s="10"/>
      <c r="AI709" s="9"/>
      <c r="AJ709" s="9"/>
      <c r="AK709" s="11"/>
      <c r="AL709" s="10"/>
      <c r="AM709" s="11"/>
      <c r="AN709" s="10"/>
      <c r="AO709" s="11"/>
      <c r="AP709" s="10"/>
      <c r="AQ709" s="10"/>
      <c r="AR709" s="10"/>
      <c r="AS709" s="9"/>
      <c r="AT709" s="9"/>
      <c r="AU709" s="9"/>
      <c r="AV709" s="9"/>
      <c r="AW709" s="9"/>
      <c r="AX709" s="9"/>
      <c r="AY709" s="8"/>
      <c r="AZ709" s="8"/>
      <c r="BA709" s="8"/>
      <c r="BB709" s="8"/>
      <c r="BC709" s="8"/>
      <c r="BD709" s="8"/>
      <c r="BE709" s="8"/>
      <c r="BF709" s="8"/>
    </row>
    <row r="710" spans="26:58" ht="16.899999999999999">
      <c r="Z710" s="244"/>
      <c r="AC710" s="10"/>
      <c r="AD710" s="10"/>
      <c r="AF710" s="10"/>
      <c r="AG710" s="10"/>
      <c r="AH710" s="10"/>
      <c r="AI710" s="9"/>
      <c r="AJ710" s="9"/>
      <c r="AK710" s="11"/>
      <c r="AL710" s="10"/>
      <c r="AM710" s="11"/>
      <c r="AN710" s="10"/>
      <c r="AO710" s="11"/>
      <c r="AP710" s="10"/>
      <c r="AQ710" s="10"/>
      <c r="AR710" s="10"/>
      <c r="AS710" s="9"/>
      <c r="AT710" s="9"/>
      <c r="AU710" s="9"/>
      <c r="AV710" s="9"/>
      <c r="AW710" s="9"/>
      <c r="AX710" s="9"/>
      <c r="AY710" s="8"/>
      <c r="AZ710" s="8"/>
      <c r="BA710" s="8"/>
      <c r="BB710" s="8"/>
      <c r="BC710" s="8"/>
      <c r="BD710" s="8"/>
      <c r="BE710" s="8"/>
      <c r="BF710" s="8"/>
    </row>
    <row r="711" spans="26:58" ht="16.899999999999999">
      <c r="Z711" s="244"/>
      <c r="AC711" s="10"/>
      <c r="AD711" s="10"/>
      <c r="AF711" s="10"/>
      <c r="AG711" s="10"/>
      <c r="AH711" s="10"/>
      <c r="AI711" s="9"/>
      <c r="AJ711" s="9"/>
      <c r="AK711" s="11"/>
      <c r="AL711" s="10"/>
      <c r="AM711" s="11"/>
      <c r="AN711" s="10"/>
      <c r="AO711" s="11"/>
      <c r="AP711" s="10"/>
      <c r="AQ711" s="10"/>
      <c r="AR711" s="10"/>
      <c r="AS711" s="9"/>
      <c r="AT711" s="9"/>
      <c r="AU711" s="9"/>
      <c r="AV711" s="9"/>
      <c r="AW711" s="9"/>
      <c r="AX711" s="9"/>
      <c r="AY711" s="8"/>
      <c r="AZ711" s="8"/>
      <c r="BA711" s="8"/>
      <c r="BB711" s="8"/>
      <c r="BC711" s="8"/>
      <c r="BD711" s="8"/>
      <c r="BE711" s="8"/>
      <c r="BF711" s="8"/>
    </row>
    <row r="712" spans="26:58" ht="16.899999999999999">
      <c r="Z712" s="244"/>
      <c r="AC712" s="10"/>
      <c r="AD712" s="10"/>
      <c r="AF712" s="10"/>
      <c r="AG712" s="10"/>
      <c r="AH712" s="10"/>
      <c r="AI712" s="9"/>
      <c r="AJ712" s="9"/>
      <c r="AK712" s="11"/>
      <c r="AL712" s="10"/>
      <c r="AM712" s="11"/>
      <c r="AN712" s="10"/>
      <c r="AO712" s="11"/>
      <c r="AP712" s="10"/>
      <c r="AQ712" s="10"/>
      <c r="AR712" s="10"/>
      <c r="AS712" s="9"/>
      <c r="AT712" s="9"/>
      <c r="AU712" s="9"/>
      <c r="AV712" s="9"/>
      <c r="AW712" s="9"/>
      <c r="AX712" s="9"/>
      <c r="AY712" s="8"/>
      <c r="AZ712" s="8"/>
      <c r="BA712" s="8"/>
      <c r="BB712" s="8"/>
      <c r="BC712" s="8"/>
      <c r="BD712" s="8"/>
      <c r="BE712" s="8"/>
      <c r="BF712" s="8"/>
    </row>
    <row r="713" spans="26:58" ht="16.899999999999999">
      <c r="Z713" s="244"/>
      <c r="AC713" s="10"/>
      <c r="AD713" s="10"/>
      <c r="AF713" s="10"/>
      <c r="AG713" s="10"/>
      <c r="AH713" s="10"/>
      <c r="AI713" s="9"/>
      <c r="AJ713" s="9"/>
      <c r="AK713" s="11"/>
      <c r="AL713" s="10"/>
      <c r="AM713" s="11"/>
      <c r="AN713" s="10"/>
      <c r="AO713" s="11"/>
      <c r="AP713" s="10"/>
      <c r="AQ713" s="10"/>
      <c r="AR713" s="10"/>
      <c r="AS713" s="9"/>
      <c r="AT713" s="9"/>
      <c r="AU713" s="9"/>
      <c r="AV713" s="9"/>
      <c r="AW713" s="9"/>
      <c r="AX713" s="9"/>
      <c r="AY713" s="8"/>
      <c r="AZ713" s="8"/>
      <c r="BA713" s="8"/>
      <c r="BB713" s="8"/>
      <c r="BC713" s="8"/>
      <c r="BD713" s="8"/>
      <c r="BE713" s="8"/>
      <c r="BF713" s="8"/>
    </row>
    <row r="714" spans="26:58" ht="16.899999999999999">
      <c r="Z714" s="244"/>
      <c r="AC714" s="10"/>
      <c r="AD714" s="10"/>
      <c r="AF714" s="10"/>
      <c r="AG714" s="10"/>
      <c r="AH714" s="10"/>
      <c r="AI714" s="9"/>
      <c r="AJ714" s="9"/>
      <c r="AK714" s="11"/>
      <c r="AL714" s="10"/>
      <c r="AM714" s="11"/>
      <c r="AN714" s="10"/>
      <c r="AO714" s="11"/>
      <c r="AP714" s="10"/>
      <c r="AQ714" s="10"/>
      <c r="AR714" s="10"/>
      <c r="AS714" s="9"/>
      <c r="AT714" s="9"/>
      <c r="AU714" s="9"/>
      <c r="AV714" s="9"/>
      <c r="AW714" s="9"/>
      <c r="AX714" s="9"/>
      <c r="AY714" s="8"/>
      <c r="AZ714" s="8"/>
      <c r="BA714" s="8"/>
      <c r="BB714" s="8"/>
      <c r="BC714" s="8"/>
      <c r="BD714" s="8"/>
      <c r="BE714" s="8"/>
      <c r="BF714" s="8"/>
    </row>
    <row r="715" spans="26:58" ht="16.899999999999999">
      <c r="Z715" s="244"/>
      <c r="AC715" s="10"/>
      <c r="AD715" s="10"/>
      <c r="AF715" s="10"/>
      <c r="AG715" s="10"/>
      <c r="AH715" s="10"/>
      <c r="AI715" s="9"/>
      <c r="AJ715" s="9"/>
      <c r="AK715" s="11"/>
      <c r="AL715" s="10"/>
      <c r="AM715" s="11"/>
      <c r="AN715" s="10"/>
      <c r="AO715" s="11"/>
      <c r="AP715" s="10"/>
      <c r="AQ715" s="10"/>
      <c r="AR715" s="10"/>
      <c r="AS715" s="9"/>
      <c r="AT715" s="9"/>
      <c r="AU715" s="9"/>
      <c r="AV715" s="9"/>
      <c r="AW715" s="9"/>
      <c r="AX715" s="9"/>
      <c r="AY715" s="8"/>
      <c r="AZ715" s="8"/>
      <c r="BA715" s="8"/>
      <c r="BB715" s="8"/>
      <c r="BC715" s="8"/>
      <c r="BD715" s="8"/>
      <c r="BE715" s="8"/>
      <c r="BF715" s="8"/>
    </row>
    <row r="716" spans="26:58" ht="16.899999999999999">
      <c r="Z716" s="244"/>
      <c r="AC716" s="10"/>
      <c r="AD716" s="10"/>
      <c r="AF716" s="10"/>
      <c r="AG716" s="10"/>
      <c r="AH716" s="10"/>
      <c r="AI716" s="9"/>
      <c r="AJ716" s="9"/>
      <c r="AK716" s="11"/>
      <c r="AL716" s="10"/>
      <c r="AM716" s="11"/>
      <c r="AN716" s="10"/>
      <c r="AO716" s="11"/>
      <c r="AP716" s="10"/>
      <c r="AQ716" s="10"/>
      <c r="AR716" s="10"/>
      <c r="AS716" s="9"/>
      <c r="AT716" s="9"/>
      <c r="AU716" s="9"/>
      <c r="AV716" s="9"/>
      <c r="AW716" s="9"/>
      <c r="AX716" s="9"/>
      <c r="AY716" s="8"/>
      <c r="AZ716" s="8"/>
      <c r="BA716" s="8"/>
      <c r="BB716" s="8"/>
      <c r="BC716" s="8"/>
      <c r="BD716" s="8"/>
      <c r="BE716" s="8"/>
      <c r="BF716" s="8"/>
    </row>
    <row r="717" spans="26:58" ht="16.899999999999999">
      <c r="Z717" s="244"/>
      <c r="AC717" s="10"/>
      <c r="AD717" s="10"/>
      <c r="AF717" s="10"/>
      <c r="AG717" s="10"/>
      <c r="AH717" s="10"/>
      <c r="AI717" s="9"/>
      <c r="AJ717" s="9"/>
      <c r="AK717" s="11"/>
      <c r="AL717" s="10"/>
      <c r="AM717" s="11"/>
      <c r="AN717" s="10"/>
      <c r="AO717" s="11"/>
      <c r="AP717" s="10"/>
      <c r="AQ717" s="10"/>
      <c r="AR717" s="10"/>
      <c r="AS717" s="9"/>
      <c r="AT717" s="9"/>
      <c r="AU717" s="9"/>
      <c r="AV717" s="9"/>
      <c r="AW717" s="9"/>
      <c r="AX717" s="9"/>
      <c r="AY717" s="8"/>
      <c r="AZ717" s="8"/>
      <c r="BA717" s="8"/>
      <c r="BB717" s="8"/>
      <c r="BC717" s="8"/>
      <c r="BD717" s="8"/>
      <c r="BE717" s="8"/>
      <c r="BF717" s="8"/>
    </row>
    <row r="718" spans="26:58" ht="16.899999999999999">
      <c r="Z718" s="244"/>
      <c r="AC718" s="10"/>
      <c r="AD718" s="10"/>
      <c r="AF718" s="10"/>
      <c r="AG718" s="10"/>
      <c r="AH718" s="10"/>
      <c r="AI718" s="9"/>
      <c r="AJ718" s="9"/>
      <c r="AK718" s="11"/>
      <c r="AL718" s="10"/>
      <c r="AM718" s="11"/>
      <c r="AN718" s="10"/>
      <c r="AO718" s="11"/>
      <c r="AP718" s="10"/>
      <c r="AQ718" s="10"/>
      <c r="AR718" s="10"/>
      <c r="AS718" s="9"/>
      <c r="AT718" s="9"/>
      <c r="AU718" s="9"/>
      <c r="AV718" s="9"/>
      <c r="AW718" s="9"/>
      <c r="AX718" s="9"/>
      <c r="AY718" s="8"/>
      <c r="AZ718" s="8"/>
      <c r="BA718" s="8"/>
      <c r="BB718" s="8"/>
      <c r="BC718" s="8"/>
      <c r="BD718" s="8"/>
      <c r="BE718" s="8"/>
      <c r="BF718" s="8"/>
    </row>
    <row r="719" spans="26:58" ht="16.899999999999999">
      <c r="Z719" s="244"/>
      <c r="AC719" s="10"/>
      <c r="AD719" s="10"/>
      <c r="AF719" s="10"/>
      <c r="AG719" s="10"/>
      <c r="AH719" s="10"/>
      <c r="AI719" s="9"/>
      <c r="AJ719" s="9"/>
      <c r="AK719" s="11"/>
      <c r="AL719" s="10"/>
      <c r="AM719" s="11"/>
      <c r="AN719" s="10"/>
      <c r="AO719" s="11"/>
      <c r="AP719" s="10"/>
      <c r="AQ719" s="10"/>
      <c r="AR719" s="10"/>
      <c r="AS719" s="9"/>
      <c r="AT719" s="9"/>
      <c r="AU719" s="9"/>
      <c r="AV719" s="9"/>
      <c r="AW719" s="9"/>
      <c r="AX719" s="9"/>
      <c r="AY719" s="8"/>
      <c r="AZ719" s="8"/>
      <c r="BA719" s="8"/>
      <c r="BB719" s="8"/>
      <c r="BC719" s="8"/>
      <c r="BD719" s="8"/>
      <c r="BE719" s="8"/>
      <c r="BF719" s="8"/>
    </row>
    <row r="720" spans="26:58" ht="16.899999999999999">
      <c r="Z720" s="244"/>
      <c r="AC720" s="10"/>
      <c r="AD720" s="10"/>
      <c r="AF720" s="10"/>
      <c r="AG720" s="10"/>
      <c r="AH720" s="10"/>
      <c r="AI720" s="9"/>
      <c r="AJ720" s="9"/>
      <c r="AK720" s="11"/>
      <c r="AL720" s="10"/>
      <c r="AM720" s="11"/>
      <c r="AN720" s="10"/>
      <c r="AO720" s="11"/>
      <c r="AP720" s="10"/>
      <c r="AQ720" s="10"/>
      <c r="AR720" s="10"/>
      <c r="AS720" s="9"/>
      <c r="AT720" s="9"/>
      <c r="AU720" s="9"/>
      <c r="AV720" s="9"/>
      <c r="AW720" s="9"/>
      <c r="AX720" s="9"/>
      <c r="AY720" s="8"/>
      <c r="AZ720" s="8"/>
      <c r="BA720" s="8"/>
      <c r="BB720" s="8"/>
      <c r="BC720" s="8"/>
      <c r="BD720" s="8"/>
      <c r="BE720" s="8"/>
      <c r="BF720" s="8"/>
    </row>
    <row r="721" spans="26:58" ht="16.899999999999999">
      <c r="Z721" s="244"/>
      <c r="AC721" s="10"/>
      <c r="AD721" s="10"/>
      <c r="AF721" s="10"/>
      <c r="AG721" s="10"/>
      <c r="AH721" s="10"/>
      <c r="AI721" s="9"/>
      <c r="AJ721" s="9"/>
      <c r="AK721" s="11"/>
      <c r="AL721" s="10"/>
      <c r="AM721" s="11"/>
      <c r="AN721" s="10"/>
      <c r="AO721" s="11"/>
      <c r="AP721" s="10"/>
      <c r="AQ721" s="10"/>
      <c r="AR721" s="10"/>
      <c r="AS721" s="9"/>
      <c r="AT721" s="9"/>
      <c r="AU721" s="9"/>
      <c r="AV721" s="9"/>
      <c r="AW721" s="9"/>
      <c r="AX721" s="9"/>
      <c r="AY721" s="8"/>
      <c r="AZ721" s="8"/>
      <c r="BA721" s="8"/>
      <c r="BB721" s="8"/>
      <c r="BC721" s="8"/>
      <c r="BD721" s="8"/>
      <c r="BE721" s="8"/>
      <c r="BF721" s="8"/>
    </row>
    <row r="722" spans="26:58" ht="16.899999999999999">
      <c r="Z722" s="244"/>
      <c r="AC722" s="10"/>
      <c r="AD722" s="10"/>
      <c r="AF722" s="10"/>
      <c r="AG722" s="10"/>
      <c r="AH722" s="10"/>
      <c r="AI722" s="9"/>
      <c r="AJ722" s="9"/>
      <c r="AK722" s="11"/>
      <c r="AL722" s="10"/>
      <c r="AM722" s="11"/>
      <c r="AN722" s="10"/>
      <c r="AO722" s="11"/>
      <c r="AP722" s="10"/>
      <c r="AQ722" s="10"/>
      <c r="AR722" s="10"/>
      <c r="AS722" s="9"/>
      <c r="AT722" s="9"/>
      <c r="AU722" s="9"/>
      <c r="AV722" s="9"/>
      <c r="AW722" s="9"/>
      <c r="AX722" s="9"/>
      <c r="AY722" s="8"/>
      <c r="AZ722" s="8"/>
      <c r="BA722" s="8"/>
      <c r="BB722" s="8"/>
      <c r="BC722" s="8"/>
      <c r="BD722" s="8"/>
      <c r="BE722" s="8"/>
      <c r="BF722" s="8"/>
    </row>
    <row r="723" spans="26:58" ht="16.899999999999999">
      <c r="Z723" s="244"/>
      <c r="AC723" s="10"/>
      <c r="AD723" s="10"/>
      <c r="AF723" s="10"/>
      <c r="AG723" s="10"/>
      <c r="AH723" s="10"/>
      <c r="AI723" s="9"/>
      <c r="AJ723" s="9"/>
      <c r="AK723" s="11"/>
      <c r="AL723" s="10"/>
      <c r="AM723" s="11"/>
      <c r="AN723" s="10"/>
      <c r="AO723" s="11"/>
      <c r="AP723" s="10"/>
      <c r="AQ723" s="10"/>
      <c r="AR723" s="10"/>
      <c r="AS723" s="9"/>
      <c r="AT723" s="9"/>
      <c r="AU723" s="9"/>
      <c r="AV723" s="9"/>
      <c r="AW723" s="9"/>
      <c r="AX723" s="9"/>
      <c r="AY723" s="8"/>
      <c r="AZ723" s="8"/>
      <c r="BA723" s="8"/>
      <c r="BB723" s="8"/>
      <c r="BC723" s="8"/>
      <c r="BD723" s="8"/>
      <c r="BE723" s="8"/>
      <c r="BF723" s="8"/>
    </row>
    <row r="724" spans="26:58" ht="16.899999999999999">
      <c r="Z724" s="244"/>
      <c r="AC724" s="10"/>
      <c r="AD724" s="10"/>
      <c r="AF724" s="10"/>
      <c r="AG724" s="10"/>
      <c r="AH724" s="10"/>
      <c r="AI724" s="9"/>
      <c r="AJ724" s="9"/>
      <c r="AK724" s="11"/>
      <c r="AL724" s="10"/>
      <c r="AM724" s="11"/>
      <c r="AN724" s="10"/>
      <c r="AO724" s="11"/>
      <c r="AP724" s="10"/>
      <c r="AQ724" s="10"/>
      <c r="AR724" s="10"/>
      <c r="AS724" s="9"/>
      <c r="AT724" s="9"/>
      <c r="AU724" s="9"/>
      <c r="AV724" s="9"/>
      <c r="AW724" s="9"/>
      <c r="AX724" s="9"/>
      <c r="AY724" s="8"/>
      <c r="AZ724" s="8"/>
      <c r="BA724" s="8"/>
      <c r="BB724" s="8"/>
      <c r="BC724" s="8"/>
      <c r="BD724" s="8"/>
      <c r="BE724" s="8"/>
      <c r="BF724" s="8"/>
    </row>
    <row r="725" spans="26:58" ht="16.899999999999999">
      <c r="Z725" s="244"/>
      <c r="AC725" s="10"/>
      <c r="AD725" s="10"/>
      <c r="AF725" s="10"/>
      <c r="AG725" s="10"/>
      <c r="AH725" s="10"/>
      <c r="AI725" s="9"/>
      <c r="AJ725" s="9"/>
      <c r="AK725" s="11"/>
      <c r="AL725" s="10"/>
      <c r="AM725" s="11"/>
      <c r="AN725" s="10"/>
      <c r="AO725" s="11"/>
      <c r="AP725" s="10"/>
      <c r="AQ725" s="10"/>
      <c r="AR725" s="10"/>
      <c r="AS725" s="9"/>
      <c r="AT725" s="9"/>
      <c r="AU725" s="9"/>
      <c r="AV725" s="9"/>
      <c r="AW725" s="9"/>
      <c r="AX725" s="9"/>
      <c r="AY725" s="8"/>
      <c r="AZ725" s="8"/>
      <c r="BA725" s="8"/>
      <c r="BB725" s="8"/>
      <c r="BC725" s="8"/>
      <c r="BD725" s="8"/>
      <c r="BE725" s="8"/>
      <c r="BF725" s="8"/>
    </row>
    <row r="726" spans="26:58" ht="16.899999999999999">
      <c r="Z726" s="244"/>
      <c r="AC726" s="10"/>
      <c r="AD726" s="10"/>
      <c r="AF726" s="10"/>
      <c r="AG726" s="10"/>
      <c r="AH726" s="10"/>
      <c r="AI726" s="9"/>
      <c r="AJ726" s="9"/>
      <c r="AK726" s="11"/>
      <c r="AL726" s="10"/>
      <c r="AM726" s="11"/>
      <c r="AN726" s="10"/>
      <c r="AO726" s="11"/>
      <c r="AP726" s="10"/>
      <c r="AQ726" s="10"/>
      <c r="AR726" s="10"/>
      <c r="AS726" s="9"/>
      <c r="AT726" s="9"/>
      <c r="AU726" s="9"/>
      <c r="AV726" s="9"/>
      <c r="AW726" s="9"/>
      <c r="AX726" s="9"/>
      <c r="AY726" s="8"/>
      <c r="AZ726" s="8"/>
      <c r="BA726" s="8"/>
      <c r="BB726" s="8"/>
      <c r="BC726" s="8"/>
      <c r="BD726" s="8"/>
      <c r="BE726" s="8"/>
      <c r="BF726" s="8"/>
    </row>
    <row r="727" spans="26:58" ht="16.899999999999999">
      <c r="Z727" s="244"/>
      <c r="AC727" s="10"/>
      <c r="AD727" s="10"/>
      <c r="AF727" s="10"/>
      <c r="AG727" s="10"/>
      <c r="AH727" s="10"/>
      <c r="AI727" s="9"/>
      <c r="AJ727" s="9"/>
      <c r="AK727" s="11"/>
      <c r="AL727" s="10"/>
      <c r="AM727" s="11"/>
      <c r="AN727" s="10"/>
      <c r="AO727" s="11"/>
      <c r="AP727" s="10"/>
      <c r="AQ727" s="10"/>
      <c r="AR727" s="10"/>
      <c r="AS727" s="9"/>
      <c r="AT727" s="9"/>
      <c r="AU727" s="9"/>
      <c r="AV727" s="9"/>
      <c r="AW727" s="9"/>
      <c r="AX727" s="9"/>
      <c r="AY727" s="8"/>
      <c r="AZ727" s="8"/>
      <c r="BA727" s="8"/>
      <c r="BB727" s="8"/>
      <c r="BC727" s="8"/>
      <c r="BD727" s="8"/>
      <c r="BE727" s="8"/>
      <c r="BF727" s="8"/>
    </row>
    <row r="728" spans="26:58" ht="16.899999999999999">
      <c r="Z728" s="244"/>
      <c r="AC728" s="10"/>
      <c r="AD728" s="10"/>
      <c r="AF728" s="10"/>
      <c r="AG728" s="10"/>
      <c r="AH728" s="10"/>
      <c r="AI728" s="9"/>
      <c r="AJ728" s="9"/>
      <c r="AK728" s="11"/>
      <c r="AL728" s="10"/>
      <c r="AM728" s="11"/>
      <c r="AN728" s="10"/>
      <c r="AO728" s="11"/>
      <c r="AP728" s="10"/>
      <c r="AQ728" s="10"/>
      <c r="AR728" s="10"/>
      <c r="AS728" s="9"/>
      <c r="AT728" s="9"/>
      <c r="AU728" s="9"/>
      <c r="AV728" s="9"/>
      <c r="AW728" s="9"/>
      <c r="AX728" s="9"/>
      <c r="AY728" s="8"/>
      <c r="AZ728" s="8"/>
      <c r="BA728" s="8"/>
      <c r="BB728" s="8"/>
      <c r="BC728" s="8"/>
      <c r="BD728" s="8"/>
      <c r="BE728" s="8"/>
      <c r="BF728" s="8"/>
    </row>
    <row r="729" spans="26:58" ht="16.899999999999999">
      <c r="Z729" s="244"/>
      <c r="AC729" s="10"/>
      <c r="AD729" s="10"/>
      <c r="AF729" s="10"/>
      <c r="AG729" s="10"/>
      <c r="AH729" s="10"/>
      <c r="AI729" s="9"/>
      <c r="AJ729" s="9"/>
      <c r="AK729" s="11"/>
      <c r="AL729" s="10"/>
      <c r="AM729" s="11"/>
      <c r="AN729" s="10"/>
      <c r="AO729" s="11"/>
      <c r="AP729" s="10"/>
      <c r="AQ729" s="10"/>
      <c r="AR729" s="10"/>
      <c r="AS729" s="9"/>
      <c r="AT729" s="9"/>
      <c r="AU729" s="9"/>
      <c r="AV729" s="9"/>
      <c r="AW729" s="9"/>
      <c r="AX729" s="9"/>
      <c r="AY729" s="8"/>
      <c r="AZ729" s="8"/>
      <c r="BA729" s="8"/>
      <c r="BB729" s="8"/>
      <c r="BC729" s="8"/>
      <c r="BD729" s="8"/>
      <c r="BE729" s="8"/>
      <c r="BF729" s="8"/>
    </row>
    <row r="730" spans="26:58" ht="16.899999999999999">
      <c r="Z730" s="244"/>
      <c r="AC730" s="10"/>
      <c r="AD730" s="10"/>
      <c r="AF730" s="10"/>
      <c r="AG730" s="10"/>
      <c r="AH730" s="10"/>
      <c r="AI730" s="9"/>
      <c r="AJ730" s="9"/>
      <c r="AK730" s="11"/>
      <c r="AL730" s="10"/>
      <c r="AM730" s="11"/>
      <c r="AN730" s="10"/>
      <c r="AO730" s="11"/>
      <c r="AP730" s="10"/>
      <c r="AQ730" s="10"/>
      <c r="AR730" s="10"/>
      <c r="AS730" s="9"/>
      <c r="AT730" s="9"/>
      <c r="AU730" s="9"/>
      <c r="AV730" s="9"/>
      <c r="AW730" s="9"/>
      <c r="AX730" s="9"/>
      <c r="AY730" s="8"/>
      <c r="AZ730" s="8"/>
      <c r="BA730" s="8"/>
      <c r="BB730" s="8"/>
      <c r="BC730" s="8"/>
      <c r="BD730" s="8"/>
      <c r="BE730" s="8"/>
      <c r="BF730" s="8"/>
    </row>
    <row r="731" spans="26:58" ht="16.899999999999999">
      <c r="Z731" s="244"/>
      <c r="AC731" s="10"/>
      <c r="AD731" s="10"/>
      <c r="AF731" s="10"/>
      <c r="AG731" s="10"/>
      <c r="AH731" s="10"/>
      <c r="AI731" s="9"/>
      <c r="AJ731" s="9"/>
      <c r="AK731" s="11"/>
      <c r="AL731" s="10"/>
      <c r="AM731" s="11"/>
      <c r="AN731" s="10"/>
      <c r="AO731" s="11"/>
      <c r="AP731" s="10"/>
      <c r="AQ731" s="10"/>
      <c r="AR731" s="10"/>
      <c r="AS731" s="9"/>
      <c r="AT731" s="9"/>
      <c r="AU731" s="9"/>
      <c r="AV731" s="9"/>
      <c r="AW731" s="9"/>
      <c r="AX731" s="9"/>
      <c r="AY731" s="8"/>
      <c r="AZ731" s="8"/>
      <c r="BA731" s="8"/>
      <c r="BB731" s="8"/>
      <c r="BC731" s="8"/>
      <c r="BD731" s="8"/>
      <c r="BE731" s="8"/>
      <c r="BF731" s="8"/>
    </row>
    <row r="732" spans="26:58" ht="16.899999999999999">
      <c r="Z732" s="244"/>
      <c r="AC732" s="10"/>
      <c r="AD732" s="10"/>
      <c r="AF732" s="10"/>
      <c r="AG732" s="10"/>
      <c r="AH732" s="10"/>
      <c r="AI732" s="9"/>
      <c r="AJ732" s="9"/>
      <c r="AK732" s="11"/>
      <c r="AL732" s="10"/>
      <c r="AM732" s="11"/>
      <c r="AN732" s="10"/>
      <c r="AO732" s="11"/>
      <c r="AP732" s="10"/>
      <c r="AQ732" s="10"/>
      <c r="AR732" s="10"/>
      <c r="AS732" s="9"/>
      <c r="AT732" s="9"/>
      <c r="AU732" s="9"/>
      <c r="AV732" s="9"/>
      <c r="AW732" s="9"/>
      <c r="AX732" s="9"/>
      <c r="AY732" s="8"/>
      <c r="AZ732" s="8"/>
      <c r="BA732" s="8"/>
      <c r="BB732" s="8"/>
      <c r="BC732" s="8"/>
      <c r="BD732" s="8"/>
      <c r="BE732" s="8"/>
      <c r="BF732" s="8"/>
    </row>
    <row r="733" spans="26:58" ht="16.899999999999999">
      <c r="Z733" s="244"/>
      <c r="AC733" s="10"/>
      <c r="AD733" s="10"/>
      <c r="AF733" s="10"/>
      <c r="AG733" s="10"/>
      <c r="AH733" s="10"/>
      <c r="AI733" s="9"/>
      <c r="AJ733" s="9"/>
      <c r="AK733" s="11"/>
      <c r="AL733" s="10"/>
      <c r="AM733" s="11"/>
      <c r="AN733" s="10"/>
      <c r="AO733" s="11"/>
      <c r="AP733" s="10"/>
      <c r="AQ733" s="10"/>
      <c r="AR733" s="10"/>
      <c r="AS733" s="9"/>
      <c r="AT733" s="9"/>
      <c r="AU733" s="9"/>
      <c r="AV733" s="9"/>
      <c r="AW733" s="9"/>
      <c r="AX733" s="9"/>
      <c r="AY733" s="8"/>
      <c r="AZ733" s="8"/>
      <c r="BA733" s="8"/>
      <c r="BB733" s="8"/>
      <c r="BC733" s="8"/>
      <c r="BD733" s="8"/>
      <c r="BE733" s="8"/>
      <c r="BF733" s="8"/>
    </row>
    <row r="734" spans="26:58" ht="16.899999999999999">
      <c r="Z734" s="244"/>
      <c r="AC734" s="10"/>
      <c r="AD734" s="10"/>
      <c r="AF734" s="10"/>
      <c r="AG734" s="10"/>
      <c r="AH734" s="10"/>
      <c r="AI734" s="9"/>
      <c r="AJ734" s="9"/>
      <c r="AK734" s="11"/>
      <c r="AL734" s="10"/>
      <c r="AM734" s="11"/>
      <c r="AN734" s="10"/>
      <c r="AO734" s="11"/>
      <c r="AP734" s="10"/>
      <c r="AQ734" s="10"/>
      <c r="AR734" s="10"/>
      <c r="AS734" s="9"/>
      <c r="AT734" s="9"/>
      <c r="AU734" s="9"/>
      <c r="AV734" s="9"/>
      <c r="AW734" s="9"/>
      <c r="AX734" s="9"/>
      <c r="AY734" s="8"/>
      <c r="AZ734" s="8"/>
      <c r="BA734" s="8"/>
      <c r="BB734" s="8"/>
      <c r="BC734" s="8"/>
      <c r="BD734" s="8"/>
      <c r="BE734" s="8"/>
      <c r="BF734" s="8"/>
    </row>
    <row r="735" spans="26:58" ht="16.899999999999999">
      <c r="Z735" s="244"/>
      <c r="AC735" s="10"/>
      <c r="AD735" s="10"/>
      <c r="AF735" s="10"/>
      <c r="AG735" s="10"/>
      <c r="AH735" s="10"/>
      <c r="AI735" s="9"/>
      <c r="AJ735" s="9"/>
      <c r="AK735" s="11"/>
      <c r="AL735" s="10"/>
      <c r="AM735" s="11"/>
      <c r="AN735" s="10"/>
      <c r="AO735" s="11"/>
      <c r="AP735" s="10"/>
      <c r="AQ735" s="10"/>
      <c r="AR735" s="10"/>
      <c r="AS735" s="9"/>
      <c r="AT735" s="9"/>
      <c r="AU735" s="9"/>
      <c r="AV735" s="9"/>
      <c r="AW735" s="9"/>
      <c r="AX735" s="9"/>
      <c r="AY735" s="8"/>
      <c r="AZ735" s="8"/>
      <c r="BA735" s="8"/>
      <c r="BB735" s="8"/>
      <c r="BC735" s="8"/>
      <c r="BD735" s="8"/>
      <c r="BE735" s="8"/>
      <c r="BF735" s="8"/>
    </row>
    <row r="736" spans="26:58" ht="16.899999999999999">
      <c r="Z736" s="244"/>
      <c r="AC736" s="10"/>
      <c r="AD736" s="10"/>
      <c r="AF736" s="10"/>
      <c r="AG736" s="10"/>
      <c r="AH736" s="10"/>
      <c r="AI736" s="9"/>
      <c r="AJ736" s="9"/>
      <c r="AK736" s="11"/>
      <c r="AL736" s="10"/>
      <c r="AM736" s="11"/>
      <c r="AN736" s="10"/>
      <c r="AO736" s="11"/>
      <c r="AP736" s="10"/>
      <c r="AQ736" s="10"/>
      <c r="AR736" s="10"/>
      <c r="AS736" s="9"/>
      <c r="AT736" s="9"/>
      <c r="AU736" s="9"/>
      <c r="AV736" s="9"/>
      <c r="AW736" s="9"/>
      <c r="AX736" s="9"/>
      <c r="AY736" s="8"/>
      <c r="AZ736" s="8"/>
      <c r="BA736" s="8"/>
      <c r="BB736" s="8"/>
      <c r="BC736" s="8"/>
      <c r="BD736" s="8"/>
      <c r="BE736" s="8"/>
      <c r="BF736" s="8"/>
    </row>
    <row r="737" spans="26:58" ht="16.899999999999999">
      <c r="Z737" s="244"/>
      <c r="AC737" s="10"/>
      <c r="AD737" s="10"/>
      <c r="AF737" s="10"/>
      <c r="AG737" s="10"/>
      <c r="AH737" s="10"/>
      <c r="AI737" s="9"/>
      <c r="AJ737" s="9"/>
      <c r="AK737" s="11"/>
      <c r="AL737" s="10"/>
      <c r="AM737" s="11"/>
      <c r="AN737" s="10"/>
      <c r="AO737" s="11"/>
      <c r="AP737" s="10"/>
      <c r="AQ737" s="10"/>
      <c r="AR737" s="10"/>
      <c r="AS737" s="9"/>
      <c r="AT737" s="9"/>
      <c r="AU737" s="9"/>
      <c r="AV737" s="9"/>
      <c r="AW737" s="9"/>
      <c r="AX737" s="9"/>
      <c r="AY737" s="8"/>
      <c r="AZ737" s="8"/>
      <c r="BA737" s="8"/>
      <c r="BB737" s="8"/>
      <c r="BC737" s="8"/>
      <c r="BD737" s="8"/>
      <c r="BE737" s="8"/>
      <c r="BF737" s="8"/>
    </row>
    <row r="738" spans="26:58" ht="16.899999999999999">
      <c r="Z738" s="244"/>
      <c r="AC738" s="10"/>
      <c r="AD738" s="10"/>
      <c r="AF738" s="10"/>
      <c r="AG738" s="10"/>
      <c r="AH738" s="10"/>
      <c r="AI738" s="9"/>
      <c r="AJ738" s="9"/>
      <c r="AK738" s="11"/>
      <c r="AL738" s="10"/>
      <c r="AM738" s="11"/>
      <c r="AN738" s="10"/>
      <c r="AO738" s="11"/>
      <c r="AP738" s="10"/>
      <c r="AQ738" s="10"/>
      <c r="AR738" s="10"/>
      <c r="AS738" s="9"/>
      <c r="AT738" s="9"/>
      <c r="AU738" s="9"/>
      <c r="AV738" s="9"/>
      <c r="AW738" s="9"/>
      <c r="AX738" s="9"/>
      <c r="AY738" s="8"/>
      <c r="AZ738" s="8"/>
      <c r="BA738" s="8"/>
      <c r="BB738" s="8"/>
      <c r="BC738" s="8"/>
      <c r="BD738" s="8"/>
      <c r="BE738" s="8"/>
      <c r="BF738" s="8"/>
    </row>
    <row r="739" spans="26:58" ht="16.899999999999999">
      <c r="Z739" s="244"/>
      <c r="AC739" s="10"/>
      <c r="AD739" s="10"/>
      <c r="AF739" s="10"/>
      <c r="AG739" s="10"/>
      <c r="AH739" s="10"/>
      <c r="AI739" s="9"/>
      <c r="AJ739" s="9"/>
      <c r="AK739" s="11"/>
      <c r="AL739" s="10"/>
      <c r="AM739" s="11"/>
      <c r="AN739" s="10"/>
      <c r="AO739" s="11"/>
      <c r="AP739" s="10"/>
      <c r="AQ739" s="10"/>
      <c r="AR739" s="10"/>
      <c r="AS739" s="9"/>
      <c r="AT739" s="9"/>
      <c r="AU739" s="9"/>
      <c r="AV739" s="9"/>
      <c r="AW739" s="9"/>
      <c r="AX739" s="9"/>
      <c r="AY739" s="8"/>
      <c r="AZ739" s="8"/>
      <c r="BA739" s="8"/>
      <c r="BB739" s="8"/>
      <c r="BC739" s="8"/>
      <c r="BD739" s="8"/>
      <c r="BE739" s="8"/>
      <c r="BF739" s="8"/>
    </row>
    <row r="740" spans="26:58" ht="16.899999999999999">
      <c r="Z740" s="244"/>
      <c r="AC740" s="10"/>
      <c r="AD740" s="10"/>
      <c r="AF740" s="10"/>
      <c r="AG740" s="10"/>
      <c r="AH740" s="10"/>
      <c r="AI740" s="9"/>
      <c r="AJ740" s="9"/>
      <c r="AK740" s="11"/>
      <c r="AL740" s="10"/>
      <c r="AM740" s="11"/>
      <c r="AN740" s="10"/>
      <c r="AO740" s="11"/>
      <c r="AP740" s="10"/>
      <c r="AQ740" s="10"/>
      <c r="AR740" s="10"/>
      <c r="AS740" s="9"/>
      <c r="AT740" s="9"/>
      <c r="AU740" s="9"/>
      <c r="AV740" s="9"/>
      <c r="AW740" s="9"/>
      <c r="AX740" s="9"/>
      <c r="AY740" s="8"/>
      <c r="AZ740" s="8"/>
      <c r="BA740" s="8"/>
      <c r="BB740" s="8"/>
      <c r="BC740" s="8"/>
      <c r="BD740" s="8"/>
      <c r="BE740" s="8"/>
      <c r="BF740" s="8"/>
    </row>
    <row r="741" spans="26:58" ht="16.899999999999999">
      <c r="Z741" s="244"/>
      <c r="AC741" s="10"/>
      <c r="AD741" s="10"/>
      <c r="AF741" s="10"/>
      <c r="AG741" s="10"/>
      <c r="AH741" s="10"/>
      <c r="AI741" s="9"/>
      <c r="AJ741" s="9"/>
      <c r="AK741" s="11"/>
      <c r="AL741" s="10"/>
      <c r="AM741" s="11"/>
      <c r="AN741" s="10"/>
      <c r="AO741" s="11"/>
      <c r="AP741" s="10"/>
      <c r="AQ741" s="10"/>
      <c r="AR741" s="10"/>
      <c r="AS741" s="9"/>
      <c r="AT741" s="9"/>
      <c r="AU741" s="9"/>
      <c r="AV741" s="9"/>
      <c r="AW741" s="9"/>
      <c r="AX741" s="9"/>
      <c r="AY741" s="8"/>
      <c r="AZ741" s="8"/>
      <c r="BA741" s="8"/>
      <c r="BB741" s="8"/>
      <c r="BC741" s="8"/>
      <c r="BD741" s="8"/>
      <c r="BE741" s="8"/>
      <c r="BF741" s="8"/>
    </row>
    <row r="742" spans="26:58" ht="16.899999999999999">
      <c r="Z742" s="244"/>
      <c r="AC742" s="10"/>
      <c r="AD742" s="10"/>
      <c r="AF742" s="10"/>
      <c r="AG742" s="10"/>
      <c r="AH742" s="10"/>
      <c r="AI742" s="9"/>
      <c r="AJ742" s="9"/>
      <c r="AK742" s="11"/>
      <c r="AL742" s="10"/>
      <c r="AM742" s="11"/>
      <c r="AN742" s="10"/>
      <c r="AO742" s="11"/>
      <c r="AP742" s="10"/>
      <c r="AQ742" s="10"/>
      <c r="AR742" s="10"/>
      <c r="AS742" s="9"/>
      <c r="AT742" s="9"/>
      <c r="AU742" s="9"/>
      <c r="AV742" s="9"/>
      <c r="AW742" s="9"/>
      <c r="AX742" s="9"/>
      <c r="AY742" s="8"/>
      <c r="AZ742" s="8"/>
      <c r="BA742" s="8"/>
      <c r="BB742" s="8"/>
      <c r="BC742" s="8"/>
      <c r="BD742" s="8"/>
      <c r="BE742" s="8"/>
      <c r="BF742" s="8"/>
    </row>
    <row r="743" spans="26:58" ht="16.899999999999999">
      <c r="Z743" s="244"/>
      <c r="AC743" s="10"/>
      <c r="AD743" s="10"/>
      <c r="AF743" s="10"/>
      <c r="AG743" s="10"/>
      <c r="AH743" s="10"/>
      <c r="AI743" s="9"/>
      <c r="AJ743" s="9"/>
      <c r="AK743" s="11"/>
      <c r="AL743" s="10"/>
      <c r="AM743" s="11"/>
      <c r="AN743" s="10"/>
      <c r="AO743" s="11"/>
      <c r="AP743" s="10"/>
      <c r="AQ743" s="10"/>
      <c r="AR743" s="10"/>
      <c r="AS743" s="9"/>
      <c r="AT743" s="9"/>
      <c r="AU743" s="9"/>
      <c r="AV743" s="9"/>
      <c r="AW743" s="9"/>
      <c r="AX743" s="9"/>
      <c r="AY743" s="8"/>
      <c r="AZ743" s="8"/>
      <c r="BA743" s="8"/>
      <c r="BB743" s="8"/>
      <c r="BC743" s="8"/>
      <c r="BD743" s="8"/>
      <c r="BE743" s="8"/>
      <c r="BF743" s="8"/>
    </row>
    <row r="744" spans="26:58" ht="16.899999999999999">
      <c r="Z744" s="244"/>
      <c r="AC744" s="10"/>
      <c r="AD744" s="10"/>
      <c r="AF744" s="10"/>
      <c r="AG744" s="10"/>
      <c r="AH744" s="10"/>
      <c r="AI744" s="9"/>
      <c r="AJ744" s="9"/>
      <c r="AK744" s="11"/>
      <c r="AL744" s="10"/>
      <c r="AM744" s="11"/>
      <c r="AN744" s="10"/>
      <c r="AO744" s="11"/>
      <c r="AP744" s="10"/>
      <c r="AQ744" s="10"/>
      <c r="AR744" s="10"/>
      <c r="AS744" s="9"/>
      <c r="AT744" s="9"/>
      <c r="AU744" s="9"/>
      <c r="AV744" s="9"/>
      <c r="AW744" s="9"/>
      <c r="AX744" s="9"/>
      <c r="AY744" s="8"/>
      <c r="AZ744" s="8"/>
      <c r="BA744" s="8"/>
      <c r="BB744" s="8"/>
      <c r="BC744" s="8"/>
      <c r="BD744" s="8"/>
      <c r="BE744" s="8"/>
      <c r="BF744" s="8"/>
    </row>
    <row r="745" spans="26:58" ht="16.899999999999999">
      <c r="Z745" s="244"/>
      <c r="AC745" s="10"/>
      <c r="AD745" s="10"/>
      <c r="AF745" s="10"/>
      <c r="AG745" s="10"/>
      <c r="AH745" s="10"/>
      <c r="AI745" s="9"/>
      <c r="AJ745" s="9"/>
      <c r="AK745" s="11"/>
      <c r="AL745" s="10"/>
      <c r="AM745" s="11"/>
      <c r="AN745" s="10"/>
      <c r="AO745" s="11"/>
      <c r="AP745" s="10"/>
      <c r="AQ745" s="10"/>
      <c r="AR745" s="10"/>
      <c r="AS745" s="9"/>
      <c r="AT745" s="9"/>
      <c r="AU745" s="9"/>
      <c r="AV745" s="9"/>
      <c r="AW745" s="9"/>
      <c r="AX745" s="9"/>
      <c r="AY745" s="8"/>
      <c r="AZ745" s="8"/>
      <c r="BA745" s="8"/>
      <c r="BB745" s="8"/>
      <c r="BC745" s="8"/>
      <c r="BD745" s="8"/>
      <c r="BE745" s="8"/>
      <c r="BF745" s="8"/>
    </row>
    <row r="746" spans="26:58" ht="16.899999999999999">
      <c r="Z746" s="244"/>
      <c r="AC746" s="10"/>
      <c r="AD746" s="10"/>
      <c r="AF746" s="10"/>
      <c r="AG746" s="10"/>
      <c r="AH746" s="10"/>
      <c r="AI746" s="9"/>
      <c r="AJ746" s="9"/>
      <c r="AK746" s="11"/>
      <c r="AL746" s="10"/>
      <c r="AM746" s="11"/>
      <c r="AN746" s="10"/>
      <c r="AO746" s="11"/>
      <c r="AP746" s="10"/>
      <c r="AQ746" s="10"/>
      <c r="AR746" s="10"/>
      <c r="AS746" s="9"/>
      <c r="AT746" s="9"/>
      <c r="AU746" s="9"/>
      <c r="AV746" s="9"/>
      <c r="AW746" s="9"/>
      <c r="AX746" s="9"/>
      <c r="AY746" s="8"/>
      <c r="AZ746" s="8"/>
      <c r="BA746" s="8"/>
      <c r="BB746" s="8"/>
      <c r="BC746" s="8"/>
      <c r="BD746" s="8"/>
      <c r="BE746" s="8"/>
      <c r="BF746" s="8"/>
    </row>
    <row r="747" spans="26:58" ht="16.899999999999999">
      <c r="Z747" s="244"/>
      <c r="AC747" s="10"/>
      <c r="AD747" s="10"/>
      <c r="AF747" s="10"/>
      <c r="AG747" s="10"/>
      <c r="AH747" s="10"/>
      <c r="AI747" s="9"/>
      <c r="AJ747" s="9"/>
      <c r="AK747" s="11"/>
      <c r="AL747" s="10"/>
      <c r="AM747" s="11"/>
      <c r="AN747" s="10"/>
      <c r="AO747" s="11"/>
      <c r="AP747" s="10"/>
      <c r="AQ747" s="10"/>
      <c r="AR747" s="10"/>
      <c r="AS747" s="9"/>
      <c r="AT747" s="9"/>
      <c r="AU747" s="9"/>
      <c r="AV747" s="9"/>
      <c r="AW747" s="9"/>
      <c r="AX747" s="9"/>
      <c r="AY747" s="8"/>
      <c r="AZ747" s="8"/>
      <c r="BA747" s="8"/>
      <c r="BB747" s="8"/>
      <c r="BC747" s="8"/>
      <c r="BD747" s="8"/>
      <c r="BE747" s="8"/>
      <c r="BF747" s="8"/>
    </row>
    <row r="748" spans="26:58" ht="16.899999999999999">
      <c r="Z748" s="244"/>
      <c r="AC748" s="10"/>
      <c r="AD748" s="10"/>
      <c r="AF748" s="10"/>
      <c r="AG748" s="10"/>
      <c r="AH748" s="10"/>
      <c r="AI748" s="9"/>
      <c r="AJ748" s="9"/>
      <c r="AK748" s="11"/>
      <c r="AL748" s="10"/>
      <c r="AM748" s="11"/>
      <c r="AN748" s="10"/>
      <c r="AO748" s="11"/>
      <c r="AP748" s="10"/>
      <c r="AQ748" s="10"/>
      <c r="AR748" s="10"/>
      <c r="AS748" s="9"/>
      <c r="AT748" s="9"/>
      <c r="AU748" s="9"/>
      <c r="AV748" s="9"/>
      <c r="AW748" s="9"/>
      <c r="AX748" s="9"/>
      <c r="AY748" s="8"/>
      <c r="AZ748" s="8"/>
      <c r="BA748" s="8"/>
      <c r="BB748" s="8"/>
      <c r="BC748" s="8"/>
      <c r="BD748" s="8"/>
      <c r="BE748" s="8"/>
      <c r="BF748" s="8"/>
    </row>
    <row r="749" spans="26:58" ht="16.899999999999999">
      <c r="Z749" s="244"/>
      <c r="AC749" s="10"/>
      <c r="AD749" s="10"/>
      <c r="AF749" s="10"/>
      <c r="AG749" s="10"/>
      <c r="AH749" s="10"/>
      <c r="AI749" s="9"/>
      <c r="AJ749" s="9"/>
      <c r="AK749" s="11"/>
      <c r="AL749" s="10"/>
      <c r="AM749" s="11"/>
      <c r="AN749" s="10"/>
      <c r="AO749" s="11"/>
      <c r="AP749" s="10"/>
      <c r="AQ749" s="10"/>
      <c r="AR749" s="10"/>
      <c r="AS749" s="9"/>
      <c r="AT749" s="9"/>
      <c r="AU749" s="9"/>
      <c r="AV749" s="9"/>
      <c r="AW749" s="9"/>
      <c r="AX749" s="9"/>
      <c r="AY749" s="8"/>
      <c r="AZ749" s="8"/>
      <c r="BA749" s="8"/>
      <c r="BB749" s="8"/>
      <c r="BC749" s="8"/>
      <c r="BD749" s="8"/>
      <c r="BE749" s="8"/>
      <c r="BF749" s="8"/>
    </row>
    <row r="750" spans="26:58" ht="16.899999999999999">
      <c r="Z750" s="244"/>
      <c r="AC750" s="10"/>
      <c r="AD750" s="10"/>
      <c r="AF750" s="10"/>
      <c r="AG750" s="10"/>
      <c r="AH750" s="10"/>
      <c r="AI750" s="9"/>
      <c r="AJ750" s="9"/>
      <c r="AK750" s="11"/>
      <c r="AL750" s="10"/>
      <c r="AM750" s="11"/>
      <c r="AN750" s="10"/>
      <c r="AO750" s="11"/>
      <c r="AP750" s="10"/>
      <c r="AQ750" s="10"/>
      <c r="AR750" s="10"/>
      <c r="AS750" s="9"/>
      <c r="AT750" s="9"/>
      <c r="AU750" s="9"/>
      <c r="AV750" s="9"/>
      <c r="AW750" s="9"/>
      <c r="AX750" s="9"/>
      <c r="AY750" s="8"/>
      <c r="AZ750" s="8"/>
      <c r="BA750" s="8"/>
      <c r="BB750" s="8"/>
      <c r="BC750" s="8"/>
      <c r="BD750" s="8"/>
      <c r="BE750" s="8"/>
      <c r="BF750" s="8"/>
    </row>
    <row r="751" spans="26:58" ht="16.899999999999999">
      <c r="Z751" s="244"/>
      <c r="AC751" s="10"/>
      <c r="AD751" s="10"/>
      <c r="AF751" s="10"/>
      <c r="AG751" s="10"/>
      <c r="AH751" s="10"/>
      <c r="AI751" s="9"/>
      <c r="AJ751" s="9"/>
      <c r="AK751" s="11"/>
      <c r="AL751" s="10"/>
      <c r="AM751" s="11"/>
      <c r="AN751" s="10"/>
      <c r="AO751" s="11"/>
      <c r="AP751" s="10"/>
      <c r="AQ751" s="10"/>
      <c r="AR751" s="10"/>
      <c r="AS751" s="9"/>
      <c r="AT751" s="9"/>
      <c r="AU751" s="9"/>
      <c r="AV751" s="9"/>
      <c r="AW751" s="9"/>
      <c r="AX751" s="9"/>
      <c r="AY751" s="8"/>
      <c r="AZ751" s="8"/>
      <c r="BA751" s="8"/>
      <c r="BB751" s="8"/>
      <c r="BC751" s="8"/>
      <c r="BD751" s="8"/>
      <c r="BE751" s="8"/>
      <c r="BF751" s="8"/>
    </row>
    <row r="752" spans="26:58" ht="16.899999999999999">
      <c r="Z752" s="244"/>
      <c r="AC752" s="10"/>
      <c r="AD752" s="10"/>
      <c r="AF752" s="10"/>
      <c r="AG752" s="10"/>
      <c r="AH752" s="10"/>
      <c r="AI752" s="9"/>
      <c r="AJ752" s="9"/>
      <c r="AK752" s="11"/>
      <c r="AL752" s="10"/>
      <c r="AM752" s="11"/>
      <c r="AN752" s="10"/>
      <c r="AO752" s="11"/>
      <c r="AP752" s="10"/>
      <c r="AQ752" s="10"/>
      <c r="AR752" s="10"/>
      <c r="AS752" s="9"/>
      <c r="AT752" s="9"/>
      <c r="AU752" s="9"/>
      <c r="AV752" s="9"/>
      <c r="AW752" s="9"/>
      <c r="AX752" s="9"/>
      <c r="AY752" s="8"/>
      <c r="AZ752" s="8"/>
      <c r="BA752" s="8"/>
      <c r="BB752" s="8"/>
      <c r="BC752" s="8"/>
      <c r="BD752" s="8"/>
      <c r="BE752" s="8"/>
      <c r="BF752" s="8"/>
    </row>
    <row r="753" spans="26:58" ht="16.899999999999999">
      <c r="Z753" s="244"/>
      <c r="AC753" s="10"/>
      <c r="AD753" s="10"/>
      <c r="AF753" s="10"/>
      <c r="AG753" s="10"/>
      <c r="AH753" s="10"/>
      <c r="AI753" s="9"/>
      <c r="AJ753" s="9"/>
      <c r="AK753" s="11"/>
      <c r="AL753" s="10"/>
      <c r="AM753" s="11"/>
      <c r="AN753" s="10"/>
      <c r="AO753" s="11"/>
      <c r="AP753" s="10"/>
      <c r="AQ753" s="10"/>
      <c r="AR753" s="10"/>
      <c r="AS753" s="9"/>
      <c r="AT753" s="9"/>
      <c r="AU753" s="9"/>
      <c r="AV753" s="9"/>
      <c r="AW753" s="9"/>
      <c r="AX753" s="9"/>
      <c r="AY753" s="8"/>
      <c r="AZ753" s="8"/>
      <c r="BA753" s="8"/>
      <c r="BB753" s="8"/>
      <c r="BC753" s="8"/>
      <c r="BD753" s="8"/>
      <c r="BE753" s="8"/>
      <c r="BF753" s="8"/>
    </row>
    <row r="754" spans="26:58" ht="16.899999999999999">
      <c r="Z754" s="244"/>
      <c r="AC754" s="10"/>
      <c r="AD754" s="10"/>
      <c r="AF754" s="10"/>
      <c r="AG754" s="10"/>
      <c r="AH754" s="10"/>
      <c r="AI754" s="9"/>
      <c r="AJ754" s="9"/>
      <c r="AK754" s="11"/>
      <c r="AL754" s="10"/>
      <c r="AM754" s="11"/>
      <c r="AN754" s="10"/>
      <c r="AO754" s="11"/>
      <c r="AP754" s="10"/>
      <c r="AQ754" s="10"/>
      <c r="AR754" s="10"/>
      <c r="AS754" s="9"/>
      <c r="AT754" s="9"/>
      <c r="AU754" s="9"/>
      <c r="AV754" s="9"/>
      <c r="AW754" s="9"/>
      <c r="AX754" s="9"/>
      <c r="AY754" s="8"/>
      <c r="AZ754" s="8"/>
      <c r="BA754" s="8"/>
      <c r="BB754" s="8"/>
      <c r="BC754" s="8"/>
      <c r="BD754" s="8"/>
      <c r="BE754" s="8"/>
      <c r="BF754" s="8"/>
    </row>
    <row r="755" spans="26:58" ht="16.899999999999999">
      <c r="Z755" s="244"/>
      <c r="AC755" s="10"/>
      <c r="AD755" s="10"/>
      <c r="AF755" s="10"/>
      <c r="AG755" s="10"/>
      <c r="AH755" s="10"/>
      <c r="AI755" s="9"/>
      <c r="AJ755" s="9"/>
      <c r="AK755" s="11"/>
      <c r="AL755" s="10"/>
      <c r="AM755" s="11"/>
      <c r="AN755" s="10"/>
      <c r="AO755" s="11"/>
      <c r="AP755" s="10"/>
      <c r="AQ755" s="10"/>
      <c r="AR755" s="10"/>
      <c r="AS755" s="9"/>
      <c r="AT755" s="9"/>
      <c r="AU755" s="9"/>
      <c r="AV755" s="9"/>
      <c r="AW755" s="9"/>
      <c r="AX755" s="9"/>
      <c r="AY755" s="8"/>
      <c r="AZ755" s="8"/>
      <c r="BA755" s="8"/>
      <c r="BB755" s="8"/>
      <c r="BC755" s="8"/>
      <c r="BD755" s="8"/>
      <c r="BE755" s="8"/>
      <c r="BF755" s="8"/>
    </row>
    <row r="756" spans="26:58" ht="16.899999999999999">
      <c r="Z756" s="244"/>
      <c r="AC756" s="10"/>
      <c r="AD756" s="10"/>
      <c r="AF756" s="10"/>
      <c r="AG756" s="10"/>
      <c r="AH756" s="10"/>
      <c r="AI756" s="9"/>
      <c r="AJ756" s="9"/>
      <c r="AK756" s="11"/>
      <c r="AL756" s="10"/>
      <c r="AM756" s="11"/>
      <c r="AN756" s="10"/>
      <c r="AO756" s="11"/>
      <c r="AP756" s="10"/>
      <c r="AQ756" s="10"/>
      <c r="AR756" s="10"/>
      <c r="AS756" s="9"/>
      <c r="AT756" s="9"/>
      <c r="AU756" s="9"/>
      <c r="AV756" s="9"/>
      <c r="AW756" s="9"/>
      <c r="AX756" s="9"/>
      <c r="AY756" s="8"/>
      <c r="AZ756" s="8"/>
      <c r="BA756" s="8"/>
      <c r="BB756" s="8"/>
      <c r="BC756" s="8"/>
      <c r="BD756" s="8"/>
      <c r="BE756" s="8"/>
      <c r="BF756" s="8"/>
    </row>
    <row r="757" spans="26:58" ht="16.899999999999999">
      <c r="Z757" s="244"/>
      <c r="AC757" s="10"/>
      <c r="AD757" s="10"/>
      <c r="AF757" s="10"/>
      <c r="AG757" s="10"/>
      <c r="AH757" s="10"/>
      <c r="AI757" s="9"/>
      <c r="AJ757" s="9"/>
      <c r="AK757" s="11"/>
      <c r="AL757" s="10"/>
      <c r="AM757" s="11"/>
      <c r="AN757" s="10"/>
      <c r="AO757" s="11"/>
      <c r="AP757" s="10"/>
      <c r="AQ757" s="10"/>
      <c r="AR757" s="10"/>
      <c r="AS757" s="9"/>
      <c r="AT757" s="9"/>
      <c r="AU757" s="9"/>
      <c r="AV757" s="9"/>
      <c r="AW757" s="9"/>
      <c r="AX757" s="9"/>
      <c r="AY757" s="8"/>
      <c r="AZ757" s="8"/>
      <c r="BA757" s="8"/>
      <c r="BB757" s="8"/>
      <c r="BC757" s="8"/>
      <c r="BD757" s="8"/>
      <c r="BE757" s="8"/>
      <c r="BF757" s="8"/>
    </row>
    <row r="758" spans="26:58" ht="16.899999999999999">
      <c r="Z758" s="244"/>
      <c r="AC758" s="10"/>
      <c r="AD758" s="10"/>
      <c r="AF758" s="10"/>
      <c r="AG758" s="10"/>
      <c r="AH758" s="10"/>
      <c r="AI758" s="9"/>
      <c r="AJ758" s="9"/>
      <c r="AK758" s="11"/>
      <c r="AL758" s="10"/>
      <c r="AM758" s="11"/>
      <c r="AN758" s="10"/>
      <c r="AO758" s="11"/>
      <c r="AP758" s="10"/>
      <c r="AQ758" s="10"/>
      <c r="AR758" s="10"/>
      <c r="AS758" s="9"/>
      <c r="AT758" s="9"/>
      <c r="AU758" s="9"/>
      <c r="AV758" s="9"/>
      <c r="AW758" s="9"/>
      <c r="AX758" s="9"/>
      <c r="AY758" s="8"/>
      <c r="AZ758" s="8"/>
      <c r="BA758" s="8"/>
      <c r="BB758" s="8"/>
      <c r="BC758" s="8"/>
      <c r="BD758" s="8"/>
      <c r="BE758" s="8"/>
      <c r="BF758" s="8"/>
    </row>
    <row r="759" spans="26:58" ht="16.899999999999999">
      <c r="Z759" s="244"/>
      <c r="AC759" s="10"/>
      <c r="AD759" s="10"/>
      <c r="AF759" s="10"/>
      <c r="AG759" s="10"/>
      <c r="AH759" s="10"/>
      <c r="AI759" s="9"/>
      <c r="AJ759" s="9"/>
      <c r="AK759" s="11"/>
      <c r="AL759" s="10"/>
      <c r="AM759" s="11"/>
      <c r="AN759" s="10"/>
      <c r="AO759" s="11"/>
      <c r="AP759" s="10"/>
      <c r="AQ759" s="10"/>
      <c r="AR759" s="10"/>
      <c r="AS759" s="9"/>
      <c r="AT759" s="9"/>
      <c r="AU759" s="9"/>
      <c r="AV759" s="9"/>
      <c r="AW759" s="9"/>
      <c r="AX759" s="9"/>
      <c r="AY759" s="8"/>
      <c r="AZ759" s="8"/>
      <c r="BA759" s="8"/>
      <c r="BB759" s="8"/>
      <c r="BC759" s="8"/>
      <c r="BD759" s="8"/>
      <c r="BE759" s="8"/>
      <c r="BF759" s="8"/>
    </row>
    <row r="760" spans="26:58" ht="16.899999999999999">
      <c r="Z760" s="244"/>
      <c r="AC760" s="10"/>
      <c r="AD760" s="10"/>
      <c r="AF760" s="10"/>
      <c r="AG760" s="10"/>
      <c r="AH760" s="10"/>
      <c r="AI760" s="9"/>
      <c r="AJ760" s="9"/>
      <c r="AK760" s="11"/>
      <c r="AL760" s="10"/>
      <c r="AM760" s="11"/>
      <c r="AN760" s="10"/>
      <c r="AO760" s="11"/>
      <c r="AP760" s="10"/>
      <c r="AQ760" s="10"/>
      <c r="AR760" s="10"/>
      <c r="AS760" s="9"/>
      <c r="AT760" s="9"/>
      <c r="AU760" s="9"/>
      <c r="AV760" s="9"/>
      <c r="AW760" s="9"/>
      <c r="AX760" s="9"/>
      <c r="AY760" s="8"/>
      <c r="AZ760" s="8"/>
      <c r="BA760" s="8"/>
      <c r="BB760" s="8"/>
      <c r="BC760" s="8"/>
      <c r="BD760" s="8"/>
      <c r="BE760" s="8"/>
      <c r="BF760" s="8"/>
    </row>
    <row r="761" spans="26:58" ht="16.899999999999999">
      <c r="Z761" s="244"/>
      <c r="AC761" s="10"/>
      <c r="AD761" s="10"/>
      <c r="AF761" s="10"/>
      <c r="AG761" s="10"/>
      <c r="AH761" s="10"/>
      <c r="AI761" s="9"/>
      <c r="AJ761" s="9"/>
      <c r="AK761" s="11"/>
      <c r="AL761" s="10"/>
      <c r="AM761" s="11"/>
      <c r="AN761" s="10"/>
      <c r="AO761" s="11"/>
      <c r="AP761" s="10"/>
      <c r="AQ761" s="10"/>
      <c r="AR761" s="10"/>
      <c r="AS761" s="9"/>
      <c r="AT761" s="9"/>
      <c r="AU761" s="9"/>
      <c r="AV761" s="9"/>
      <c r="AW761" s="9"/>
      <c r="AX761" s="9"/>
      <c r="AY761" s="8"/>
      <c r="AZ761" s="8"/>
      <c r="BA761" s="8"/>
      <c r="BB761" s="8"/>
      <c r="BC761" s="8"/>
      <c r="BD761" s="8"/>
      <c r="BE761" s="8"/>
      <c r="BF761" s="8"/>
    </row>
    <row r="762" spans="26:58" ht="16.899999999999999">
      <c r="Z762" s="244"/>
      <c r="AC762" s="10"/>
      <c r="AD762" s="10"/>
      <c r="AF762" s="10"/>
      <c r="AG762" s="10"/>
      <c r="AH762" s="10"/>
      <c r="AI762" s="9"/>
      <c r="AJ762" s="9"/>
      <c r="AK762" s="11"/>
      <c r="AL762" s="10"/>
      <c r="AM762" s="11"/>
      <c r="AN762" s="10"/>
      <c r="AO762" s="11"/>
      <c r="AP762" s="10"/>
      <c r="AQ762" s="10"/>
      <c r="AR762" s="10"/>
      <c r="AS762" s="9"/>
      <c r="AT762" s="9"/>
      <c r="AU762" s="9"/>
      <c r="AV762" s="9"/>
      <c r="AW762" s="9"/>
      <c r="AX762" s="9"/>
      <c r="AY762" s="8"/>
      <c r="AZ762" s="8"/>
      <c r="BA762" s="8"/>
      <c r="BB762" s="8"/>
      <c r="BC762" s="8"/>
      <c r="BD762" s="8"/>
      <c r="BE762" s="8"/>
      <c r="BF762" s="8"/>
    </row>
    <row r="763" spans="26:58" ht="16.899999999999999">
      <c r="Z763" s="244"/>
      <c r="AC763" s="10"/>
      <c r="AD763" s="10"/>
      <c r="AF763" s="10"/>
      <c r="AG763" s="10"/>
      <c r="AH763" s="10"/>
      <c r="AI763" s="9"/>
      <c r="AJ763" s="9"/>
      <c r="AK763" s="11"/>
      <c r="AL763" s="10"/>
      <c r="AM763" s="11"/>
      <c r="AN763" s="10"/>
      <c r="AO763" s="11"/>
      <c r="AP763" s="10"/>
      <c r="AQ763" s="10"/>
      <c r="AR763" s="10"/>
      <c r="AS763" s="9"/>
      <c r="AT763" s="9"/>
      <c r="AU763" s="9"/>
      <c r="AV763" s="9"/>
      <c r="AW763" s="9"/>
      <c r="AX763" s="9"/>
      <c r="AY763" s="8"/>
      <c r="AZ763" s="8"/>
      <c r="BA763" s="8"/>
      <c r="BB763" s="8"/>
      <c r="BC763" s="8"/>
      <c r="BD763" s="8"/>
      <c r="BE763" s="8"/>
      <c r="BF763" s="8"/>
    </row>
    <row r="764" spans="26:58" ht="16.899999999999999">
      <c r="Z764" s="244"/>
      <c r="AC764" s="10"/>
      <c r="AD764" s="10"/>
      <c r="AF764" s="10"/>
      <c r="AG764" s="10"/>
      <c r="AH764" s="10"/>
      <c r="AI764" s="9"/>
      <c r="AJ764" s="9"/>
      <c r="AK764" s="11"/>
      <c r="AL764" s="10"/>
      <c r="AM764" s="11"/>
      <c r="AN764" s="10"/>
      <c r="AO764" s="11"/>
      <c r="AP764" s="10"/>
      <c r="AQ764" s="10"/>
      <c r="AR764" s="10"/>
      <c r="AS764" s="9"/>
      <c r="AT764" s="9"/>
      <c r="AU764" s="9"/>
      <c r="AV764" s="9"/>
      <c r="AW764" s="9"/>
      <c r="AX764" s="9"/>
      <c r="AY764" s="8"/>
      <c r="AZ764" s="8"/>
      <c r="BA764" s="8"/>
      <c r="BB764" s="8"/>
      <c r="BC764" s="8"/>
      <c r="BD764" s="8"/>
      <c r="BE764" s="8"/>
      <c r="BF764" s="8"/>
    </row>
    <row r="765" spans="26:58" ht="16.899999999999999">
      <c r="Z765" s="244"/>
      <c r="AC765" s="10"/>
      <c r="AD765" s="10"/>
      <c r="AF765" s="10"/>
      <c r="AG765" s="10"/>
      <c r="AH765" s="10"/>
      <c r="AI765" s="9"/>
      <c r="AJ765" s="9"/>
      <c r="AK765" s="11"/>
      <c r="AL765" s="10"/>
      <c r="AM765" s="11"/>
      <c r="AN765" s="10"/>
      <c r="AO765" s="11"/>
      <c r="AP765" s="10"/>
      <c r="AQ765" s="10"/>
      <c r="AR765" s="10"/>
      <c r="AS765" s="9"/>
      <c r="AT765" s="9"/>
      <c r="AU765" s="9"/>
      <c r="AV765" s="9"/>
      <c r="AW765" s="9"/>
      <c r="AX765" s="9"/>
      <c r="AY765" s="8"/>
      <c r="AZ765" s="8"/>
      <c r="BA765" s="8"/>
      <c r="BB765" s="8"/>
      <c r="BC765" s="8"/>
      <c r="BD765" s="8"/>
      <c r="BE765" s="8"/>
      <c r="BF765" s="8"/>
    </row>
    <row r="766" spans="26:58" ht="16.899999999999999">
      <c r="Z766" s="244"/>
      <c r="AC766" s="10"/>
      <c r="AD766" s="10"/>
      <c r="AF766" s="10"/>
      <c r="AG766" s="10"/>
      <c r="AH766" s="10"/>
      <c r="AI766" s="9"/>
      <c r="AJ766" s="9"/>
      <c r="AK766" s="11"/>
      <c r="AL766" s="10"/>
      <c r="AM766" s="11"/>
      <c r="AN766" s="10"/>
      <c r="AO766" s="11"/>
      <c r="AP766" s="10"/>
      <c r="AQ766" s="10"/>
      <c r="AR766" s="10"/>
      <c r="AS766" s="9"/>
      <c r="AT766" s="9"/>
      <c r="AU766" s="9"/>
      <c r="AV766" s="9"/>
      <c r="AW766" s="9"/>
      <c r="AX766" s="9"/>
      <c r="AY766" s="8"/>
      <c r="AZ766" s="8"/>
      <c r="BA766" s="8"/>
      <c r="BB766" s="8"/>
      <c r="BC766" s="8"/>
      <c r="BD766" s="8"/>
      <c r="BE766" s="8"/>
      <c r="BF766" s="8"/>
    </row>
    <row r="767" spans="26:58" ht="16.899999999999999">
      <c r="Z767" s="244"/>
      <c r="AC767" s="10"/>
      <c r="AD767" s="10"/>
      <c r="AF767" s="10"/>
      <c r="AG767" s="10"/>
      <c r="AH767" s="10"/>
      <c r="AI767" s="9"/>
      <c r="AJ767" s="9"/>
      <c r="AK767" s="11"/>
      <c r="AL767" s="10"/>
      <c r="AM767" s="11"/>
      <c r="AN767" s="10"/>
      <c r="AO767" s="11"/>
      <c r="AP767" s="10"/>
      <c r="AQ767" s="10"/>
      <c r="AR767" s="10"/>
      <c r="AS767" s="9"/>
      <c r="AT767" s="9"/>
      <c r="AU767" s="9"/>
      <c r="AV767" s="9"/>
      <c r="AW767" s="9"/>
      <c r="AX767" s="9"/>
      <c r="AY767" s="8"/>
      <c r="AZ767" s="8"/>
      <c r="BA767" s="8"/>
      <c r="BB767" s="8"/>
      <c r="BC767" s="8"/>
      <c r="BD767" s="8"/>
      <c r="BE767" s="8"/>
      <c r="BF767" s="8"/>
    </row>
    <row r="768" spans="26:58" ht="16.899999999999999">
      <c r="Z768" s="244"/>
      <c r="AC768" s="10"/>
      <c r="AD768" s="10"/>
      <c r="AF768" s="10"/>
      <c r="AG768" s="10"/>
      <c r="AH768" s="10"/>
      <c r="AI768" s="9"/>
      <c r="AJ768" s="9"/>
      <c r="AK768" s="11"/>
      <c r="AL768" s="10"/>
      <c r="AM768" s="11"/>
      <c r="AN768" s="10"/>
      <c r="AO768" s="11"/>
      <c r="AP768" s="10"/>
      <c r="AQ768" s="10"/>
      <c r="AR768" s="10"/>
      <c r="AS768" s="9"/>
      <c r="AT768" s="9"/>
      <c r="AU768" s="9"/>
      <c r="AV768" s="9"/>
      <c r="AW768" s="9"/>
      <c r="AX768" s="9"/>
      <c r="AY768" s="8"/>
      <c r="AZ768" s="8"/>
      <c r="BA768" s="8"/>
      <c r="BB768" s="8"/>
      <c r="BC768" s="8"/>
      <c r="BD768" s="8"/>
      <c r="BE768" s="8"/>
      <c r="BF768" s="8"/>
    </row>
    <row r="769" spans="26:58" ht="16.899999999999999">
      <c r="Z769" s="244"/>
      <c r="AC769" s="10"/>
      <c r="AD769" s="10"/>
      <c r="AF769" s="10"/>
      <c r="AG769" s="10"/>
      <c r="AH769" s="10"/>
      <c r="AI769" s="9"/>
      <c r="AJ769" s="9"/>
      <c r="AK769" s="11"/>
      <c r="AL769" s="10"/>
      <c r="AM769" s="11"/>
      <c r="AN769" s="10"/>
      <c r="AO769" s="11"/>
      <c r="AP769" s="10"/>
      <c r="AQ769" s="10"/>
      <c r="AR769" s="10"/>
      <c r="AS769" s="9"/>
      <c r="AT769" s="9"/>
      <c r="AU769" s="9"/>
      <c r="AV769" s="9"/>
      <c r="AW769" s="9"/>
      <c r="AX769" s="9"/>
      <c r="AY769" s="8"/>
      <c r="AZ769" s="8"/>
      <c r="BA769" s="8"/>
      <c r="BB769" s="8"/>
      <c r="BC769" s="8"/>
      <c r="BD769" s="8"/>
      <c r="BE769" s="8"/>
      <c r="BF769" s="8"/>
    </row>
    <row r="770" spans="26:58" ht="16.899999999999999">
      <c r="Z770" s="244"/>
      <c r="AC770" s="10"/>
      <c r="AD770" s="10"/>
      <c r="AF770" s="10"/>
      <c r="AG770" s="10"/>
      <c r="AH770" s="10"/>
      <c r="AI770" s="9"/>
      <c r="AJ770" s="9"/>
      <c r="AK770" s="11"/>
      <c r="AL770" s="10"/>
      <c r="AM770" s="11"/>
      <c r="AN770" s="10"/>
      <c r="AO770" s="11"/>
      <c r="AP770" s="10"/>
      <c r="AQ770" s="10"/>
      <c r="AR770" s="10"/>
      <c r="AS770" s="9"/>
      <c r="AT770" s="9"/>
      <c r="AU770" s="9"/>
      <c r="AV770" s="9"/>
      <c r="AW770" s="9"/>
      <c r="AX770" s="9"/>
      <c r="AY770" s="8"/>
      <c r="AZ770" s="8"/>
      <c r="BA770" s="8"/>
      <c r="BB770" s="8"/>
      <c r="BC770" s="8"/>
      <c r="BD770" s="8"/>
      <c r="BE770" s="8"/>
      <c r="BF770" s="8"/>
    </row>
    <row r="771" spans="26:58" ht="16.899999999999999">
      <c r="Z771" s="244"/>
      <c r="AC771" s="10"/>
      <c r="AD771" s="10"/>
      <c r="AF771" s="10"/>
      <c r="AG771" s="10"/>
      <c r="AH771" s="10"/>
      <c r="AI771" s="9"/>
      <c r="AJ771" s="9"/>
      <c r="AK771" s="11"/>
      <c r="AL771" s="10"/>
      <c r="AM771" s="11"/>
      <c r="AN771" s="10"/>
      <c r="AO771" s="11"/>
      <c r="AP771" s="10"/>
      <c r="AQ771" s="10"/>
      <c r="AR771" s="10"/>
      <c r="AS771" s="9"/>
      <c r="AT771" s="9"/>
      <c r="AU771" s="9"/>
      <c r="AV771" s="9"/>
      <c r="AW771" s="9"/>
      <c r="AX771" s="9"/>
      <c r="AY771" s="8"/>
      <c r="AZ771" s="8"/>
      <c r="BA771" s="8"/>
      <c r="BB771" s="8"/>
      <c r="BC771" s="8"/>
      <c r="BD771" s="8"/>
      <c r="BE771" s="8"/>
      <c r="BF771" s="8"/>
    </row>
    <row r="772" spans="26:58" ht="16.899999999999999">
      <c r="Z772" s="244"/>
      <c r="AC772" s="10"/>
      <c r="AD772" s="10"/>
      <c r="AF772" s="10"/>
      <c r="AG772" s="10"/>
      <c r="AH772" s="10"/>
      <c r="AI772" s="9"/>
      <c r="AJ772" s="9"/>
      <c r="AK772" s="11"/>
      <c r="AL772" s="10"/>
      <c r="AM772" s="11"/>
      <c r="AN772" s="10"/>
      <c r="AO772" s="11"/>
      <c r="AP772" s="10"/>
      <c r="AQ772" s="10"/>
      <c r="AR772" s="10"/>
      <c r="AS772" s="9"/>
      <c r="AT772" s="9"/>
      <c r="AU772" s="9"/>
      <c r="AV772" s="9"/>
      <c r="AW772" s="9"/>
      <c r="AX772" s="9"/>
      <c r="AY772" s="8"/>
      <c r="AZ772" s="8"/>
      <c r="BA772" s="8"/>
      <c r="BB772" s="8"/>
      <c r="BC772" s="8"/>
      <c r="BD772" s="8"/>
      <c r="BE772" s="8"/>
      <c r="BF772" s="8"/>
    </row>
    <row r="773" spans="26:58" ht="16.899999999999999">
      <c r="Z773" s="244"/>
      <c r="AC773" s="10"/>
      <c r="AD773" s="10"/>
      <c r="AF773" s="10"/>
      <c r="AG773" s="10"/>
      <c r="AH773" s="10"/>
      <c r="AI773" s="9"/>
      <c r="AJ773" s="9"/>
      <c r="AK773" s="11"/>
      <c r="AL773" s="10"/>
      <c r="AM773" s="11"/>
      <c r="AN773" s="10"/>
      <c r="AO773" s="11"/>
      <c r="AP773" s="10"/>
      <c r="AQ773" s="10"/>
      <c r="AR773" s="10"/>
      <c r="AS773" s="9"/>
      <c r="AT773" s="9"/>
      <c r="AU773" s="9"/>
      <c r="AV773" s="9"/>
      <c r="AW773" s="9"/>
      <c r="AX773" s="9"/>
      <c r="AY773" s="8"/>
      <c r="AZ773" s="8"/>
      <c r="BA773" s="8"/>
      <c r="BB773" s="8"/>
      <c r="BC773" s="8"/>
      <c r="BD773" s="8"/>
      <c r="BE773" s="8"/>
      <c r="BF773" s="8"/>
    </row>
    <row r="774" spans="26:58" ht="16.899999999999999">
      <c r="Z774" s="244"/>
      <c r="AC774" s="10"/>
      <c r="AD774" s="10"/>
      <c r="AF774" s="10"/>
      <c r="AG774" s="10"/>
      <c r="AH774" s="10"/>
      <c r="AI774" s="9"/>
      <c r="AJ774" s="9"/>
      <c r="AK774" s="11"/>
      <c r="AL774" s="10"/>
      <c r="AM774" s="11"/>
      <c r="AN774" s="10"/>
      <c r="AO774" s="11"/>
      <c r="AP774" s="10"/>
      <c r="AQ774" s="10"/>
      <c r="AR774" s="10"/>
      <c r="AS774" s="9"/>
      <c r="AT774" s="9"/>
      <c r="AU774" s="9"/>
      <c r="AV774" s="9"/>
      <c r="AW774" s="9"/>
      <c r="AX774" s="9"/>
      <c r="AY774" s="8"/>
      <c r="AZ774" s="8"/>
      <c r="BA774" s="8"/>
      <c r="BB774" s="8"/>
      <c r="BC774" s="8"/>
      <c r="BD774" s="8"/>
      <c r="BE774" s="8"/>
      <c r="BF774" s="8"/>
    </row>
    <row r="775" spans="26:58" ht="16.899999999999999">
      <c r="Z775" s="244"/>
      <c r="AC775" s="10"/>
      <c r="AD775" s="10"/>
      <c r="AF775" s="10"/>
      <c r="AG775" s="10"/>
      <c r="AH775" s="10"/>
      <c r="AI775" s="9"/>
      <c r="AJ775" s="9"/>
      <c r="AK775" s="11"/>
      <c r="AL775" s="10"/>
      <c r="AM775" s="11"/>
      <c r="AN775" s="10"/>
      <c r="AO775" s="11"/>
      <c r="AP775" s="10"/>
      <c r="AQ775" s="10"/>
      <c r="AR775" s="10"/>
      <c r="AS775" s="9"/>
      <c r="AT775" s="9"/>
      <c r="AU775" s="9"/>
      <c r="AV775" s="9"/>
      <c r="AW775" s="9"/>
      <c r="AX775" s="9"/>
      <c r="AY775" s="8"/>
      <c r="AZ775" s="8"/>
      <c r="BA775" s="8"/>
      <c r="BB775" s="8"/>
      <c r="BC775" s="8"/>
      <c r="BD775" s="8"/>
      <c r="BE775" s="8"/>
      <c r="BF775" s="8"/>
    </row>
    <row r="776" spans="26:58" ht="16.899999999999999">
      <c r="Z776" s="244"/>
      <c r="AC776" s="10"/>
      <c r="AD776" s="10"/>
      <c r="AF776" s="10"/>
      <c r="AG776" s="10"/>
      <c r="AH776" s="10"/>
      <c r="AI776" s="9"/>
      <c r="AJ776" s="9"/>
      <c r="AK776" s="11"/>
      <c r="AL776" s="10"/>
      <c r="AM776" s="11"/>
      <c r="AN776" s="10"/>
      <c r="AO776" s="11"/>
      <c r="AP776" s="10"/>
      <c r="AQ776" s="10"/>
      <c r="AR776" s="10"/>
      <c r="AS776" s="9"/>
      <c r="AT776" s="9"/>
      <c r="AU776" s="9"/>
      <c r="AV776" s="9"/>
      <c r="AW776" s="9"/>
      <c r="AX776" s="9"/>
      <c r="AY776" s="8"/>
      <c r="AZ776" s="8"/>
      <c r="BA776" s="8"/>
      <c r="BB776" s="8"/>
      <c r="BC776" s="8"/>
      <c r="BD776" s="8"/>
      <c r="BE776" s="8"/>
      <c r="BF776" s="8"/>
    </row>
    <row r="777" spans="26:58" ht="16.899999999999999">
      <c r="Z777" s="244"/>
      <c r="AC777" s="10"/>
      <c r="AD777" s="10"/>
      <c r="AF777" s="10"/>
      <c r="AG777" s="10"/>
      <c r="AH777" s="10"/>
      <c r="AI777" s="9"/>
      <c r="AJ777" s="9"/>
      <c r="AK777" s="11"/>
      <c r="AL777" s="10"/>
      <c r="AM777" s="11"/>
      <c r="AN777" s="10"/>
      <c r="AO777" s="11"/>
      <c r="AP777" s="10"/>
      <c r="AQ777" s="10"/>
      <c r="AR777" s="10"/>
      <c r="AS777" s="9"/>
      <c r="AT777" s="9"/>
      <c r="AU777" s="9"/>
      <c r="AV777" s="9"/>
      <c r="AW777" s="9"/>
      <c r="AX777" s="9"/>
      <c r="AY777" s="8"/>
      <c r="AZ777" s="8"/>
      <c r="BA777" s="8"/>
      <c r="BB777" s="8"/>
      <c r="BC777" s="8"/>
      <c r="BD777" s="8"/>
      <c r="BE777" s="8"/>
      <c r="BF777" s="8"/>
    </row>
    <row r="778" spans="26:58" ht="16.899999999999999">
      <c r="Z778" s="244"/>
      <c r="AC778" s="10"/>
      <c r="AD778" s="10"/>
      <c r="AF778" s="10"/>
      <c r="AG778" s="10"/>
      <c r="AH778" s="10"/>
      <c r="AI778" s="9"/>
      <c r="AJ778" s="9"/>
      <c r="AK778" s="11"/>
      <c r="AL778" s="10"/>
      <c r="AM778" s="11"/>
      <c r="AN778" s="10"/>
      <c r="AO778" s="11"/>
      <c r="AP778" s="10"/>
      <c r="AQ778" s="10"/>
      <c r="AR778" s="10"/>
      <c r="AS778" s="9"/>
      <c r="AT778" s="9"/>
      <c r="AU778" s="9"/>
      <c r="AV778" s="9"/>
      <c r="AW778" s="9"/>
      <c r="AX778" s="9"/>
      <c r="AY778" s="8"/>
      <c r="AZ778" s="8"/>
      <c r="BA778" s="8"/>
      <c r="BB778" s="8"/>
      <c r="BC778" s="8"/>
      <c r="BD778" s="8"/>
      <c r="BE778" s="8"/>
      <c r="BF778" s="8"/>
    </row>
    <row r="779" spans="26:58" ht="16.899999999999999">
      <c r="Z779" s="244"/>
      <c r="AC779" s="10"/>
      <c r="AD779" s="10"/>
      <c r="AF779" s="10"/>
      <c r="AG779" s="10"/>
      <c r="AH779" s="10"/>
      <c r="AI779" s="9"/>
      <c r="AJ779" s="9"/>
      <c r="AK779" s="11"/>
      <c r="AL779" s="10"/>
      <c r="AM779" s="11"/>
      <c r="AN779" s="10"/>
      <c r="AO779" s="11"/>
      <c r="AP779" s="10"/>
      <c r="AQ779" s="10"/>
      <c r="AR779" s="10"/>
      <c r="AS779" s="9"/>
      <c r="AT779" s="9"/>
      <c r="AU779" s="9"/>
      <c r="AV779" s="9"/>
      <c r="AW779" s="9"/>
      <c r="AX779" s="9"/>
      <c r="AY779" s="8"/>
      <c r="AZ779" s="8"/>
      <c r="BA779" s="8"/>
      <c r="BB779" s="8"/>
      <c r="BC779" s="8"/>
      <c r="BD779" s="8"/>
      <c r="BE779" s="8"/>
      <c r="BF779" s="8"/>
    </row>
    <row r="780" spans="26:58" ht="16.899999999999999">
      <c r="Z780" s="244"/>
      <c r="AC780" s="10"/>
      <c r="AD780" s="10"/>
      <c r="AF780" s="10"/>
      <c r="AG780" s="10"/>
      <c r="AH780" s="10"/>
      <c r="AI780" s="9"/>
      <c r="AJ780" s="9"/>
      <c r="AK780" s="11"/>
      <c r="AL780" s="10"/>
      <c r="AM780" s="11"/>
      <c r="AN780" s="10"/>
      <c r="AO780" s="11"/>
      <c r="AP780" s="10"/>
      <c r="AQ780" s="10"/>
      <c r="AR780" s="10"/>
      <c r="AS780" s="9"/>
      <c r="AT780" s="9"/>
      <c r="AU780" s="9"/>
      <c r="AV780" s="9"/>
      <c r="AW780" s="9"/>
      <c r="AX780" s="9"/>
      <c r="AY780" s="8"/>
      <c r="AZ780" s="8"/>
      <c r="BA780" s="8"/>
      <c r="BB780" s="8"/>
      <c r="BC780" s="8"/>
      <c r="BD780" s="8"/>
      <c r="BE780" s="8"/>
      <c r="BF780" s="8"/>
    </row>
    <row r="781" spans="26:58" ht="16.899999999999999">
      <c r="Z781" s="244"/>
      <c r="AC781" s="10"/>
      <c r="AD781" s="10"/>
      <c r="AF781" s="10"/>
      <c r="AG781" s="10"/>
      <c r="AH781" s="10"/>
      <c r="AI781" s="9"/>
      <c r="AJ781" s="9"/>
      <c r="AK781" s="11"/>
      <c r="AL781" s="10"/>
      <c r="AM781" s="11"/>
      <c r="AN781" s="10"/>
      <c r="AO781" s="11"/>
      <c r="AP781" s="10"/>
      <c r="AQ781" s="10"/>
      <c r="AR781" s="10"/>
      <c r="AS781" s="9"/>
      <c r="AT781" s="9"/>
      <c r="AU781" s="9"/>
      <c r="AV781" s="9"/>
      <c r="AW781" s="9"/>
      <c r="AX781" s="9"/>
      <c r="AY781" s="8"/>
      <c r="AZ781" s="8"/>
      <c r="BA781" s="8"/>
      <c r="BB781" s="8"/>
      <c r="BC781" s="8"/>
      <c r="BD781" s="8"/>
      <c r="BE781" s="8"/>
      <c r="BF781" s="8"/>
    </row>
    <row r="782" spans="26:58" ht="16.899999999999999">
      <c r="Z782" s="244"/>
      <c r="AC782" s="10"/>
      <c r="AD782" s="10"/>
      <c r="AF782" s="10"/>
      <c r="AG782" s="10"/>
      <c r="AH782" s="10"/>
      <c r="AI782" s="9"/>
      <c r="AJ782" s="9"/>
      <c r="AK782" s="11"/>
      <c r="AL782" s="10"/>
      <c r="AM782" s="11"/>
      <c r="AN782" s="10"/>
      <c r="AO782" s="11"/>
      <c r="AP782" s="10"/>
      <c r="AQ782" s="10"/>
      <c r="AR782" s="10"/>
      <c r="AS782" s="9"/>
      <c r="AT782" s="9"/>
      <c r="AU782" s="9"/>
      <c r="AV782" s="9"/>
      <c r="AW782" s="9"/>
      <c r="AX782" s="9"/>
      <c r="AY782" s="8"/>
      <c r="AZ782" s="8"/>
      <c r="BA782" s="8"/>
      <c r="BB782" s="8"/>
      <c r="BC782" s="8"/>
      <c r="BD782" s="8"/>
      <c r="BE782" s="8"/>
      <c r="BF782" s="8"/>
    </row>
    <row r="783" spans="26:58" ht="16.899999999999999">
      <c r="Z783" s="244"/>
      <c r="AC783" s="10"/>
      <c r="AD783" s="10"/>
      <c r="AF783" s="10"/>
      <c r="AG783" s="10"/>
      <c r="AH783" s="10"/>
      <c r="AI783" s="9"/>
      <c r="AJ783" s="9"/>
      <c r="AK783" s="11"/>
      <c r="AL783" s="10"/>
      <c r="AM783" s="11"/>
      <c r="AN783" s="10"/>
      <c r="AO783" s="11"/>
      <c r="AP783" s="10"/>
      <c r="AQ783" s="10"/>
      <c r="AR783" s="10"/>
      <c r="AS783" s="9"/>
      <c r="AT783" s="9"/>
      <c r="AU783" s="9"/>
      <c r="AV783" s="9"/>
      <c r="AW783" s="9"/>
      <c r="AX783" s="9"/>
      <c r="AY783" s="8"/>
      <c r="AZ783" s="8"/>
      <c r="BA783" s="8"/>
      <c r="BB783" s="8"/>
      <c r="BC783" s="8"/>
      <c r="BD783" s="8"/>
      <c r="BE783" s="8"/>
      <c r="BF783" s="8"/>
    </row>
    <row r="784" spans="26:58" ht="16.899999999999999">
      <c r="Z784" s="244"/>
      <c r="AC784" s="10"/>
      <c r="AD784" s="10"/>
      <c r="AF784" s="10"/>
      <c r="AG784" s="10"/>
      <c r="AH784" s="10"/>
      <c r="AI784" s="9"/>
      <c r="AJ784" s="9"/>
      <c r="AK784" s="11"/>
      <c r="AL784" s="10"/>
      <c r="AM784" s="11"/>
      <c r="AN784" s="10"/>
      <c r="AO784" s="11"/>
      <c r="AP784" s="10"/>
      <c r="AQ784" s="10"/>
      <c r="AR784" s="10"/>
      <c r="AS784" s="9"/>
      <c r="AT784" s="9"/>
      <c r="AU784" s="9"/>
      <c r="AV784" s="9"/>
      <c r="AW784" s="9"/>
      <c r="AX784" s="9"/>
      <c r="AY784" s="8"/>
      <c r="AZ784" s="8"/>
      <c r="BA784" s="8"/>
      <c r="BB784" s="8"/>
      <c r="BC784" s="8"/>
      <c r="BD784" s="8"/>
      <c r="BE784" s="8"/>
      <c r="BF784" s="8"/>
    </row>
    <row r="785" spans="26:58" ht="16.899999999999999">
      <c r="Z785" s="244"/>
      <c r="AC785" s="10"/>
      <c r="AD785" s="10"/>
      <c r="AF785" s="10"/>
      <c r="AG785" s="10"/>
      <c r="AH785" s="10"/>
      <c r="AI785" s="9"/>
      <c r="AJ785" s="9"/>
      <c r="AK785" s="11"/>
      <c r="AL785" s="10"/>
      <c r="AM785" s="11"/>
      <c r="AN785" s="10"/>
      <c r="AO785" s="11"/>
      <c r="AP785" s="10"/>
      <c r="AQ785" s="10"/>
      <c r="AR785" s="10"/>
      <c r="AS785" s="9"/>
      <c r="AT785" s="9"/>
      <c r="AU785" s="9"/>
      <c r="AV785" s="9"/>
      <c r="AW785" s="9"/>
      <c r="AX785" s="9"/>
      <c r="AY785" s="8"/>
      <c r="AZ785" s="8"/>
      <c r="BA785" s="8"/>
      <c r="BB785" s="8"/>
      <c r="BC785" s="8"/>
      <c r="BD785" s="8"/>
      <c r="BE785" s="8"/>
      <c r="BF785" s="8"/>
    </row>
    <row r="786" spans="26:58" ht="16.899999999999999">
      <c r="Z786" s="244"/>
      <c r="AC786" s="10"/>
      <c r="AD786" s="10"/>
      <c r="AF786" s="10"/>
      <c r="AG786" s="10"/>
      <c r="AH786" s="10"/>
      <c r="AI786" s="9"/>
      <c r="AJ786" s="9"/>
      <c r="AK786" s="11"/>
      <c r="AL786" s="10"/>
      <c r="AM786" s="11"/>
      <c r="AN786" s="10"/>
      <c r="AO786" s="11"/>
      <c r="AP786" s="10"/>
      <c r="AQ786" s="10"/>
      <c r="AR786" s="10"/>
      <c r="AS786" s="9"/>
      <c r="AT786" s="9"/>
      <c r="AU786" s="9"/>
      <c r="AV786" s="9"/>
      <c r="AW786" s="9"/>
      <c r="AX786" s="9"/>
      <c r="AY786" s="8"/>
      <c r="AZ786" s="8"/>
      <c r="BA786" s="8"/>
      <c r="BB786" s="8"/>
      <c r="BC786" s="8"/>
      <c r="BD786" s="8"/>
      <c r="BE786" s="8"/>
      <c r="BF786" s="8"/>
    </row>
    <row r="787" spans="26:58" ht="16.899999999999999">
      <c r="Z787" s="244"/>
      <c r="AC787" s="10"/>
      <c r="AD787" s="10"/>
      <c r="AF787" s="10"/>
      <c r="AG787" s="10"/>
      <c r="AH787" s="10"/>
      <c r="AI787" s="9"/>
      <c r="AJ787" s="9"/>
      <c r="AK787" s="11"/>
      <c r="AL787" s="10"/>
      <c r="AM787" s="11"/>
      <c r="AN787" s="10"/>
      <c r="AO787" s="11"/>
      <c r="AP787" s="10"/>
      <c r="AQ787" s="10"/>
      <c r="AR787" s="10"/>
      <c r="AS787" s="9"/>
      <c r="AT787" s="9"/>
      <c r="AU787" s="9"/>
      <c r="AV787" s="9"/>
      <c r="AW787" s="9"/>
      <c r="AX787" s="9"/>
      <c r="AY787" s="8"/>
      <c r="AZ787" s="8"/>
      <c r="BA787" s="8"/>
      <c r="BB787" s="8"/>
      <c r="BC787" s="8"/>
      <c r="BD787" s="8"/>
      <c r="BE787" s="8"/>
      <c r="BF787" s="8"/>
    </row>
    <row r="788" spans="26:58" ht="16.899999999999999">
      <c r="Z788" s="244"/>
      <c r="AC788" s="10"/>
      <c r="AD788" s="10"/>
      <c r="AF788" s="10"/>
      <c r="AG788" s="10"/>
      <c r="AH788" s="10"/>
      <c r="AI788" s="9"/>
      <c r="AJ788" s="9"/>
      <c r="AK788" s="11"/>
      <c r="AL788" s="10"/>
      <c r="AM788" s="11"/>
      <c r="AN788" s="10"/>
      <c r="AO788" s="11"/>
      <c r="AP788" s="10"/>
      <c r="AQ788" s="10"/>
      <c r="AR788" s="10"/>
      <c r="AS788" s="9"/>
      <c r="AT788" s="9"/>
      <c r="AU788" s="9"/>
      <c r="AV788" s="9"/>
      <c r="AW788" s="9"/>
      <c r="AX788" s="9"/>
      <c r="AY788" s="8"/>
      <c r="AZ788" s="8"/>
      <c r="BA788" s="8"/>
      <c r="BB788" s="8"/>
      <c r="BC788" s="8"/>
      <c r="BD788" s="8"/>
      <c r="BE788" s="8"/>
      <c r="BF788" s="8"/>
    </row>
    <row r="789" spans="26:58" ht="16.899999999999999">
      <c r="Z789" s="244"/>
      <c r="AC789" s="10"/>
      <c r="AD789" s="10"/>
      <c r="AF789" s="10"/>
      <c r="AG789" s="10"/>
      <c r="AH789" s="10"/>
      <c r="AI789" s="9"/>
      <c r="AJ789" s="9"/>
      <c r="AK789" s="11"/>
      <c r="AL789" s="10"/>
      <c r="AM789" s="11"/>
      <c r="AN789" s="10"/>
      <c r="AO789" s="11"/>
      <c r="AP789" s="10"/>
      <c r="AQ789" s="10"/>
      <c r="AR789" s="10"/>
      <c r="AS789" s="9"/>
      <c r="AT789" s="9"/>
      <c r="AU789" s="9"/>
      <c r="AV789" s="9"/>
      <c r="AW789" s="9"/>
      <c r="AX789" s="9"/>
      <c r="AY789" s="8"/>
      <c r="AZ789" s="8"/>
      <c r="BA789" s="8"/>
      <c r="BB789" s="8"/>
      <c r="BC789" s="8"/>
      <c r="BD789" s="8"/>
      <c r="BE789" s="8"/>
      <c r="BF789" s="8"/>
    </row>
    <row r="790" spans="26:58" ht="16.899999999999999">
      <c r="Z790" s="244"/>
      <c r="AC790" s="10"/>
      <c r="AD790" s="10"/>
      <c r="AF790" s="10"/>
      <c r="AG790" s="10"/>
      <c r="AH790" s="10"/>
      <c r="AI790" s="9"/>
      <c r="AJ790" s="9"/>
      <c r="AK790" s="11"/>
      <c r="AL790" s="10"/>
      <c r="AM790" s="11"/>
      <c r="AN790" s="10"/>
      <c r="AO790" s="11"/>
      <c r="AP790" s="10"/>
      <c r="AQ790" s="10"/>
      <c r="AR790" s="10"/>
      <c r="AS790" s="9"/>
      <c r="AT790" s="9"/>
      <c r="AU790" s="9"/>
      <c r="AV790" s="9"/>
      <c r="AW790" s="9"/>
      <c r="AX790" s="9"/>
      <c r="AY790" s="8"/>
      <c r="AZ790" s="8"/>
      <c r="BA790" s="8"/>
      <c r="BB790" s="8"/>
      <c r="BC790" s="8"/>
      <c r="BD790" s="8"/>
      <c r="BE790" s="8"/>
      <c r="BF790" s="8"/>
    </row>
    <row r="791" spans="26:58" ht="16.899999999999999">
      <c r="Z791" s="244"/>
      <c r="AC791" s="10"/>
      <c r="AD791" s="10"/>
      <c r="AF791" s="10"/>
      <c r="AG791" s="10"/>
      <c r="AH791" s="10"/>
      <c r="AI791" s="9"/>
      <c r="AJ791" s="9"/>
      <c r="AK791" s="11"/>
      <c r="AL791" s="10"/>
      <c r="AM791" s="11"/>
      <c r="AN791" s="10"/>
      <c r="AO791" s="11"/>
      <c r="AP791" s="10"/>
      <c r="AQ791" s="10"/>
      <c r="AR791" s="10"/>
      <c r="AS791" s="9"/>
      <c r="AT791" s="9"/>
      <c r="AU791" s="9"/>
      <c r="AV791" s="9"/>
      <c r="AW791" s="9"/>
      <c r="AX791" s="9"/>
      <c r="AY791" s="8"/>
      <c r="AZ791" s="8"/>
      <c r="BA791" s="8"/>
      <c r="BB791" s="8"/>
      <c r="BC791" s="8"/>
      <c r="BD791" s="8"/>
      <c r="BE791" s="8"/>
      <c r="BF791" s="8"/>
    </row>
    <row r="792" spans="26:58" ht="16.899999999999999">
      <c r="Z792" s="244"/>
      <c r="AC792" s="10"/>
      <c r="AD792" s="10"/>
      <c r="AF792" s="10"/>
      <c r="AG792" s="10"/>
      <c r="AH792" s="10"/>
      <c r="AI792" s="9"/>
      <c r="AJ792" s="9"/>
      <c r="AK792" s="11"/>
      <c r="AL792" s="10"/>
      <c r="AM792" s="11"/>
      <c r="AN792" s="10"/>
      <c r="AO792" s="11"/>
      <c r="AP792" s="10"/>
      <c r="AQ792" s="10"/>
      <c r="AR792" s="10"/>
      <c r="AS792" s="9"/>
      <c r="AT792" s="9"/>
      <c r="AU792" s="9"/>
      <c r="AV792" s="9"/>
      <c r="AW792" s="9"/>
      <c r="AX792" s="9"/>
      <c r="AY792" s="8"/>
      <c r="AZ792" s="8"/>
      <c r="BA792" s="8"/>
      <c r="BB792" s="8"/>
      <c r="BC792" s="8"/>
      <c r="BD792" s="8"/>
      <c r="BE792" s="8"/>
      <c r="BF792" s="8"/>
    </row>
    <row r="793" spans="26:58" ht="16.899999999999999">
      <c r="Z793" s="244"/>
      <c r="AC793" s="10"/>
      <c r="AD793" s="10"/>
      <c r="AF793" s="10"/>
      <c r="AG793" s="10"/>
      <c r="AH793" s="10"/>
      <c r="AI793" s="9"/>
      <c r="AJ793" s="9"/>
      <c r="AK793" s="11"/>
      <c r="AL793" s="10"/>
      <c r="AM793" s="11"/>
      <c r="AN793" s="10"/>
      <c r="AO793" s="11"/>
      <c r="AP793" s="10"/>
      <c r="AQ793" s="10"/>
      <c r="AR793" s="10"/>
      <c r="AS793" s="9"/>
      <c r="AT793" s="9"/>
      <c r="AU793" s="9"/>
      <c r="AV793" s="9"/>
      <c r="AW793" s="9"/>
      <c r="AX793" s="9"/>
      <c r="AY793" s="8"/>
      <c r="AZ793" s="8"/>
      <c r="BA793" s="8"/>
      <c r="BB793" s="8"/>
      <c r="BC793" s="8"/>
      <c r="BD793" s="8"/>
      <c r="BE793" s="8"/>
      <c r="BF793" s="8"/>
    </row>
    <row r="794" spans="26:58" ht="16.899999999999999">
      <c r="Z794" s="244"/>
      <c r="AC794" s="10"/>
      <c r="AD794" s="10"/>
      <c r="AF794" s="10"/>
      <c r="AG794" s="10"/>
      <c r="AH794" s="10"/>
      <c r="AI794" s="9"/>
      <c r="AJ794" s="9"/>
      <c r="AK794" s="11"/>
      <c r="AL794" s="10"/>
      <c r="AM794" s="11"/>
      <c r="AN794" s="10"/>
      <c r="AO794" s="11"/>
      <c r="AP794" s="10"/>
      <c r="AQ794" s="10"/>
      <c r="AR794" s="10"/>
      <c r="AS794" s="9"/>
      <c r="AT794" s="9"/>
      <c r="AU794" s="9"/>
      <c r="AV794" s="9"/>
      <c r="AW794" s="9"/>
      <c r="AX794" s="9"/>
      <c r="AY794" s="8"/>
      <c r="AZ794" s="8"/>
      <c r="BA794" s="8"/>
      <c r="BB794" s="8"/>
      <c r="BC794" s="8"/>
      <c r="BD794" s="8"/>
      <c r="BE794" s="8"/>
      <c r="BF794" s="8"/>
    </row>
    <row r="795" spans="26:58" ht="16.899999999999999">
      <c r="Z795" s="244"/>
      <c r="AC795" s="10"/>
      <c r="AD795" s="10"/>
      <c r="AF795" s="10"/>
      <c r="AG795" s="10"/>
      <c r="AH795" s="10"/>
      <c r="AI795" s="9"/>
      <c r="AJ795" s="9"/>
      <c r="AK795" s="11"/>
      <c r="AL795" s="10"/>
      <c r="AM795" s="11"/>
      <c r="AN795" s="10"/>
      <c r="AO795" s="11"/>
      <c r="AP795" s="10"/>
      <c r="AQ795" s="10"/>
      <c r="AR795" s="10"/>
      <c r="AS795" s="9"/>
      <c r="AT795" s="9"/>
      <c r="AU795" s="9"/>
      <c r="AV795" s="9"/>
      <c r="AW795" s="9"/>
      <c r="AX795" s="9"/>
      <c r="AY795" s="8"/>
      <c r="AZ795" s="8"/>
      <c r="BA795" s="8"/>
      <c r="BB795" s="8"/>
      <c r="BC795" s="8"/>
      <c r="BD795" s="8"/>
      <c r="BE795" s="8"/>
      <c r="BF795" s="8"/>
    </row>
    <row r="796" spans="26:58" ht="16.899999999999999">
      <c r="Z796" s="244"/>
      <c r="AC796" s="10"/>
      <c r="AD796" s="10"/>
      <c r="AF796" s="10"/>
      <c r="AG796" s="10"/>
      <c r="AH796" s="10"/>
      <c r="AI796" s="9"/>
      <c r="AJ796" s="9"/>
      <c r="AK796" s="11"/>
      <c r="AL796" s="10"/>
      <c r="AM796" s="11"/>
      <c r="AN796" s="10"/>
      <c r="AO796" s="11"/>
      <c r="AP796" s="10"/>
      <c r="AQ796" s="10"/>
      <c r="AR796" s="10"/>
      <c r="AS796" s="9"/>
      <c r="AT796" s="9"/>
      <c r="AU796" s="9"/>
      <c r="AV796" s="9"/>
      <c r="AW796" s="9"/>
      <c r="AX796" s="9"/>
      <c r="AY796" s="8"/>
      <c r="AZ796" s="8"/>
      <c r="BA796" s="8"/>
      <c r="BB796" s="8"/>
      <c r="BC796" s="8"/>
      <c r="BD796" s="8"/>
      <c r="BE796" s="8"/>
      <c r="BF796" s="8"/>
    </row>
    <row r="797" spans="26:58" ht="16.899999999999999">
      <c r="Z797" s="244"/>
      <c r="AC797" s="10"/>
      <c r="AD797" s="10"/>
      <c r="AF797" s="10"/>
      <c r="AG797" s="10"/>
      <c r="AH797" s="10"/>
      <c r="AI797" s="9"/>
      <c r="AJ797" s="9"/>
      <c r="AK797" s="11"/>
      <c r="AL797" s="10"/>
      <c r="AM797" s="11"/>
      <c r="AN797" s="10"/>
      <c r="AO797" s="11"/>
      <c r="AP797" s="10"/>
      <c r="AQ797" s="10"/>
      <c r="AR797" s="10"/>
      <c r="AS797" s="9"/>
      <c r="AT797" s="9"/>
      <c r="AU797" s="9"/>
      <c r="AV797" s="9"/>
      <c r="AW797" s="9"/>
      <c r="AX797" s="9"/>
      <c r="AY797" s="8"/>
      <c r="AZ797" s="8"/>
      <c r="BA797" s="8"/>
      <c r="BB797" s="8"/>
      <c r="BC797" s="8"/>
      <c r="BD797" s="8"/>
      <c r="BE797" s="8"/>
      <c r="BF797" s="8"/>
    </row>
    <row r="798" spans="26:58" ht="16.899999999999999">
      <c r="Z798" s="244"/>
      <c r="AC798" s="10"/>
      <c r="AD798" s="10"/>
      <c r="AF798" s="10"/>
      <c r="AG798" s="10"/>
      <c r="AH798" s="10"/>
      <c r="AI798" s="9"/>
      <c r="AJ798" s="9"/>
      <c r="AK798" s="11"/>
      <c r="AL798" s="10"/>
      <c r="AM798" s="11"/>
      <c r="AN798" s="10"/>
      <c r="AO798" s="11"/>
      <c r="AP798" s="10"/>
      <c r="AQ798" s="10"/>
      <c r="AR798" s="10"/>
      <c r="AS798" s="9"/>
      <c r="AT798" s="9"/>
      <c r="AU798" s="9"/>
      <c r="AV798" s="9"/>
      <c r="AW798" s="9"/>
      <c r="AX798" s="9"/>
      <c r="AY798" s="8"/>
      <c r="AZ798" s="8"/>
      <c r="BA798" s="8"/>
      <c r="BB798" s="8"/>
      <c r="BC798" s="8"/>
      <c r="BD798" s="8"/>
      <c r="BE798" s="8"/>
      <c r="BF798" s="8"/>
    </row>
    <row r="799" spans="26:58" ht="16.899999999999999">
      <c r="Z799" s="244"/>
      <c r="AC799" s="10"/>
      <c r="AD799" s="10"/>
      <c r="AF799" s="10"/>
      <c r="AG799" s="10"/>
      <c r="AH799" s="10"/>
      <c r="AI799" s="9"/>
      <c r="AJ799" s="9"/>
      <c r="AK799" s="11"/>
      <c r="AL799" s="10"/>
      <c r="AM799" s="11"/>
      <c r="AN799" s="10"/>
      <c r="AO799" s="11"/>
      <c r="AP799" s="10"/>
      <c r="AQ799" s="10"/>
      <c r="AR799" s="10"/>
      <c r="AS799" s="9"/>
      <c r="AT799" s="9"/>
      <c r="AU799" s="9"/>
      <c r="AV799" s="9"/>
      <c r="AW799" s="9"/>
      <c r="AX799" s="9"/>
      <c r="AY799" s="8"/>
      <c r="AZ799" s="8"/>
      <c r="BA799" s="8"/>
      <c r="BB799" s="8"/>
      <c r="BC799" s="8"/>
      <c r="BD799" s="8"/>
      <c r="BE799" s="8"/>
      <c r="BF799" s="8"/>
    </row>
    <row r="800" spans="26:58" ht="16.899999999999999">
      <c r="Z800" s="244"/>
      <c r="AC800" s="10"/>
      <c r="AD800" s="10"/>
      <c r="AF800" s="10"/>
      <c r="AG800" s="10"/>
      <c r="AH800" s="10"/>
      <c r="AI800" s="9"/>
      <c r="AJ800" s="9"/>
      <c r="AK800" s="11"/>
      <c r="AL800" s="10"/>
      <c r="AM800" s="11"/>
      <c r="AN800" s="10"/>
      <c r="AO800" s="11"/>
      <c r="AP800" s="10"/>
      <c r="AQ800" s="10"/>
      <c r="AR800" s="10"/>
      <c r="AS800" s="9"/>
      <c r="AT800" s="9"/>
      <c r="AU800" s="9"/>
      <c r="AV800" s="9"/>
      <c r="AW800" s="9"/>
      <c r="AX800" s="9"/>
      <c r="AY800" s="8"/>
      <c r="AZ800" s="8"/>
      <c r="BA800" s="8"/>
      <c r="BB800" s="8"/>
      <c r="BC800" s="8"/>
      <c r="BD800" s="8"/>
      <c r="BE800" s="8"/>
      <c r="BF800" s="8"/>
    </row>
    <row r="801" spans="26:58" ht="16.899999999999999">
      <c r="Z801" s="244"/>
      <c r="AC801" s="10"/>
      <c r="AD801" s="10"/>
      <c r="AF801" s="10"/>
      <c r="AG801" s="10"/>
      <c r="AH801" s="10"/>
      <c r="AI801" s="9"/>
      <c r="AJ801" s="9"/>
      <c r="AK801" s="11"/>
      <c r="AL801" s="10"/>
      <c r="AM801" s="11"/>
      <c r="AN801" s="10"/>
      <c r="AO801" s="11"/>
      <c r="AP801" s="10"/>
      <c r="AQ801" s="10"/>
      <c r="AR801" s="10"/>
      <c r="AS801" s="9"/>
      <c r="AT801" s="9"/>
      <c r="AU801" s="9"/>
      <c r="AV801" s="9"/>
      <c r="AW801" s="9"/>
      <c r="AX801" s="9"/>
      <c r="AY801" s="8"/>
      <c r="AZ801" s="8"/>
      <c r="BA801" s="8"/>
      <c r="BB801" s="8"/>
      <c r="BC801" s="8"/>
      <c r="BD801" s="8"/>
      <c r="BE801" s="8"/>
      <c r="BF801" s="8"/>
    </row>
    <row r="802" spans="26:58" ht="16.899999999999999">
      <c r="Z802" s="244"/>
      <c r="AC802" s="10"/>
      <c r="AD802" s="10"/>
      <c r="AF802" s="10"/>
      <c r="AG802" s="10"/>
      <c r="AH802" s="10"/>
      <c r="AI802" s="9"/>
      <c r="AJ802" s="9"/>
      <c r="AK802" s="11"/>
      <c r="AL802" s="10"/>
      <c r="AM802" s="11"/>
      <c r="AN802" s="10"/>
      <c r="AO802" s="11"/>
      <c r="AP802" s="10"/>
      <c r="AQ802" s="10"/>
      <c r="AR802" s="10"/>
      <c r="AS802" s="9"/>
      <c r="AT802" s="9"/>
      <c r="AU802" s="9"/>
      <c r="AV802" s="9"/>
      <c r="AW802" s="9"/>
      <c r="AX802" s="9"/>
      <c r="AY802" s="8"/>
      <c r="AZ802" s="8"/>
      <c r="BA802" s="8"/>
      <c r="BB802" s="8"/>
      <c r="BC802" s="8"/>
      <c r="BD802" s="8"/>
      <c r="BE802" s="8"/>
      <c r="BF802" s="8"/>
    </row>
    <row r="803" spans="26:58" ht="16.899999999999999">
      <c r="Z803" s="244"/>
      <c r="AC803" s="10"/>
      <c r="AD803" s="10"/>
      <c r="AF803" s="10"/>
      <c r="AG803" s="10"/>
      <c r="AH803" s="10"/>
      <c r="AI803" s="9"/>
      <c r="AJ803" s="9"/>
      <c r="AK803" s="11"/>
      <c r="AL803" s="10"/>
      <c r="AM803" s="11"/>
      <c r="AN803" s="10"/>
      <c r="AO803" s="11"/>
      <c r="AP803" s="10"/>
      <c r="AQ803" s="10"/>
      <c r="AR803" s="10"/>
      <c r="AS803" s="9"/>
      <c r="AT803" s="9"/>
      <c r="AU803" s="9"/>
      <c r="AV803" s="9"/>
      <c r="AW803" s="9"/>
      <c r="AX803" s="9"/>
      <c r="AY803" s="8"/>
      <c r="AZ803" s="8"/>
      <c r="BA803" s="8"/>
      <c r="BB803" s="8"/>
      <c r="BC803" s="8"/>
      <c r="BD803" s="8"/>
      <c r="BE803" s="8"/>
      <c r="BF803" s="8"/>
    </row>
    <row r="804" spans="26:58" ht="16.899999999999999">
      <c r="Z804" s="244"/>
      <c r="AC804" s="10"/>
      <c r="AD804" s="10"/>
      <c r="AF804" s="10"/>
      <c r="AG804" s="10"/>
      <c r="AH804" s="10"/>
      <c r="AI804" s="9"/>
      <c r="AJ804" s="9"/>
      <c r="AK804" s="11"/>
      <c r="AL804" s="10"/>
      <c r="AM804" s="11"/>
      <c r="AN804" s="10"/>
      <c r="AO804" s="11"/>
      <c r="AP804" s="10"/>
      <c r="AQ804" s="10"/>
      <c r="AR804" s="10"/>
      <c r="AS804" s="9"/>
      <c r="AT804" s="9"/>
      <c r="AU804" s="9"/>
      <c r="AV804" s="9"/>
      <c r="AW804" s="9"/>
      <c r="AX804" s="9"/>
      <c r="AY804" s="8"/>
      <c r="AZ804" s="8"/>
      <c r="BA804" s="8"/>
      <c r="BB804" s="8"/>
      <c r="BC804" s="8"/>
      <c r="BD804" s="8"/>
      <c r="BE804" s="8"/>
      <c r="BF804" s="8"/>
    </row>
    <row r="805" spans="26:58" ht="16.899999999999999">
      <c r="Z805" s="244"/>
      <c r="AC805" s="10"/>
      <c r="AD805" s="10"/>
      <c r="AF805" s="10"/>
      <c r="AG805" s="10"/>
      <c r="AH805" s="10"/>
      <c r="AI805" s="9"/>
      <c r="AJ805" s="9"/>
      <c r="AK805" s="11"/>
      <c r="AL805" s="10"/>
      <c r="AM805" s="11"/>
      <c r="AN805" s="10"/>
      <c r="AO805" s="11"/>
      <c r="AP805" s="10"/>
      <c r="AQ805" s="10"/>
      <c r="AR805" s="10"/>
      <c r="AS805" s="9"/>
      <c r="AT805" s="9"/>
      <c r="AU805" s="9"/>
      <c r="AV805" s="9"/>
      <c r="AW805" s="9"/>
      <c r="AX805" s="9"/>
      <c r="AY805" s="8"/>
      <c r="AZ805" s="8"/>
      <c r="BA805" s="8"/>
      <c r="BB805" s="8"/>
      <c r="BC805" s="8"/>
      <c r="BD805" s="8"/>
      <c r="BE805" s="8"/>
      <c r="BF805" s="8"/>
    </row>
    <row r="806" spans="26:58" ht="16.899999999999999">
      <c r="Z806" s="244"/>
      <c r="AC806" s="10"/>
      <c r="AD806" s="10"/>
      <c r="AF806" s="10"/>
      <c r="AG806" s="10"/>
      <c r="AH806" s="10"/>
      <c r="AI806" s="9"/>
      <c r="AJ806" s="9"/>
      <c r="AK806" s="11"/>
      <c r="AL806" s="10"/>
      <c r="AM806" s="11"/>
      <c r="AN806" s="10"/>
      <c r="AO806" s="11"/>
      <c r="AP806" s="10"/>
      <c r="AQ806" s="10"/>
      <c r="AR806" s="10"/>
      <c r="AS806" s="9"/>
      <c r="AT806" s="9"/>
      <c r="AU806" s="9"/>
      <c r="AV806" s="9"/>
      <c r="AW806" s="9"/>
      <c r="AX806" s="9"/>
      <c r="AY806" s="8"/>
      <c r="AZ806" s="8"/>
      <c r="BA806" s="8"/>
      <c r="BB806" s="8"/>
      <c r="BC806" s="8"/>
      <c r="BD806" s="8"/>
      <c r="BE806" s="8"/>
      <c r="BF806" s="8"/>
    </row>
    <row r="807" spans="26:58" ht="16.899999999999999">
      <c r="Z807" s="244"/>
      <c r="AC807" s="10"/>
      <c r="AD807" s="10"/>
      <c r="AF807" s="10"/>
      <c r="AG807" s="10"/>
      <c r="AH807" s="10"/>
      <c r="AI807" s="9"/>
      <c r="AJ807" s="9"/>
      <c r="AK807" s="11"/>
      <c r="AL807" s="10"/>
      <c r="AM807" s="11"/>
      <c r="AN807" s="10"/>
      <c r="AO807" s="11"/>
      <c r="AP807" s="10"/>
      <c r="AQ807" s="10"/>
      <c r="AR807" s="10"/>
      <c r="AS807" s="9"/>
      <c r="AT807" s="9"/>
      <c r="AU807" s="9"/>
      <c r="AV807" s="9"/>
      <c r="AW807" s="9"/>
      <c r="AX807" s="9"/>
      <c r="AY807" s="8"/>
      <c r="AZ807" s="8"/>
      <c r="BA807" s="8"/>
      <c r="BB807" s="8"/>
      <c r="BC807" s="8"/>
      <c r="BD807" s="8"/>
      <c r="BE807" s="8"/>
      <c r="BF807" s="8"/>
    </row>
    <row r="808" spans="26:58" ht="16.899999999999999">
      <c r="Z808" s="244"/>
      <c r="AC808" s="10"/>
      <c r="AD808" s="10"/>
      <c r="AF808" s="10"/>
      <c r="AG808" s="10"/>
      <c r="AH808" s="10"/>
      <c r="AI808" s="9"/>
      <c r="AJ808" s="9"/>
      <c r="AK808" s="11"/>
      <c r="AL808" s="10"/>
      <c r="AM808" s="11"/>
      <c r="AN808" s="10"/>
      <c r="AO808" s="11"/>
      <c r="AP808" s="10"/>
      <c r="AQ808" s="10"/>
      <c r="AR808" s="10"/>
      <c r="AS808" s="9"/>
      <c r="AT808" s="9"/>
      <c r="AU808" s="9"/>
      <c r="AV808" s="9"/>
      <c r="AW808" s="9"/>
      <c r="AX808" s="9"/>
      <c r="AY808" s="8"/>
      <c r="AZ808" s="8"/>
      <c r="BA808" s="8"/>
      <c r="BB808" s="8"/>
      <c r="BC808" s="8"/>
      <c r="BD808" s="8"/>
      <c r="BE808" s="8"/>
      <c r="BF808" s="8"/>
    </row>
    <row r="809" spans="26:58" ht="16.899999999999999">
      <c r="Z809" s="244"/>
      <c r="AC809" s="10"/>
      <c r="AD809" s="10"/>
      <c r="AF809" s="10"/>
      <c r="AG809" s="10"/>
      <c r="AH809" s="10"/>
      <c r="AI809" s="9"/>
      <c r="AJ809" s="9"/>
      <c r="AK809" s="11"/>
      <c r="AL809" s="10"/>
      <c r="AM809" s="11"/>
      <c r="AN809" s="10"/>
      <c r="AO809" s="11"/>
      <c r="AP809" s="10"/>
      <c r="AQ809" s="10"/>
      <c r="AR809" s="10"/>
      <c r="AS809" s="9"/>
      <c r="AT809" s="9"/>
      <c r="AU809" s="9"/>
      <c r="AV809" s="9"/>
      <c r="AW809" s="9"/>
      <c r="AX809" s="9"/>
      <c r="AY809" s="8"/>
      <c r="AZ809" s="8"/>
      <c r="BA809" s="8"/>
      <c r="BB809" s="8"/>
      <c r="BC809" s="8"/>
      <c r="BD809" s="8"/>
      <c r="BE809" s="8"/>
      <c r="BF809" s="8"/>
    </row>
    <row r="810" spans="26:58" ht="16.899999999999999">
      <c r="Z810" s="244"/>
      <c r="AC810" s="10"/>
      <c r="AD810" s="10"/>
      <c r="AF810" s="10"/>
      <c r="AG810" s="10"/>
      <c r="AH810" s="10"/>
      <c r="AI810" s="9"/>
      <c r="AJ810" s="9"/>
      <c r="AK810" s="11"/>
      <c r="AL810" s="10"/>
      <c r="AM810" s="11"/>
      <c r="AN810" s="10"/>
      <c r="AO810" s="11"/>
      <c r="AP810" s="10"/>
      <c r="AQ810" s="10"/>
      <c r="AR810" s="10"/>
      <c r="AS810" s="9"/>
      <c r="AT810" s="9"/>
      <c r="AU810" s="9"/>
      <c r="AV810" s="9"/>
      <c r="AW810" s="9"/>
      <c r="AX810" s="9"/>
      <c r="AY810" s="8"/>
      <c r="AZ810" s="8"/>
      <c r="BA810" s="8"/>
      <c r="BB810" s="8"/>
      <c r="BC810" s="8"/>
      <c r="BD810" s="8"/>
      <c r="BE810" s="8"/>
      <c r="BF810" s="8"/>
    </row>
    <row r="811" spans="26:58" ht="16.899999999999999">
      <c r="Z811" s="244"/>
      <c r="AC811" s="10"/>
      <c r="AD811" s="10"/>
      <c r="AF811" s="10"/>
      <c r="AG811" s="10"/>
      <c r="AH811" s="10"/>
      <c r="AI811" s="9"/>
      <c r="AJ811" s="9"/>
      <c r="AK811" s="11"/>
      <c r="AL811" s="10"/>
      <c r="AM811" s="11"/>
      <c r="AN811" s="10"/>
      <c r="AO811" s="11"/>
      <c r="AP811" s="10"/>
      <c r="AQ811" s="10"/>
      <c r="AR811" s="10"/>
      <c r="AS811" s="9"/>
      <c r="AT811" s="9"/>
      <c r="AU811" s="9"/>
      <c r="AV811" s="9"/>
      <c r="AW811" s="9"/>
      <c r="AX811" s="9"/>
      <c r="AY811" s="8"/>
      <c r="AZ811" s="8"/>
      <c r="BA811" s="8"/>
      <c r="BB811" s="8"/>
      <c r="BC811" s="8"/>
      <c r="BD811" s="8"/>
      <c r="BE811" s="8"/>
      <c r="BF811" s="8"/>
    </row>
    <row r="812" spans="26:58" ht="16.899999999999999">
      <c r="Z812" s="244"/>
      <c r="AC812" s="10"/>
      <c r="AD812" s="10"/>
      <c r="AF812" s="10"/>
      <c r="AG812" s="10"/>
      <c r="AH812" s="10"/>
      <c r="AI812" s="9"/>
      <c r="AJ812" s="9"/>
      <c r="AK812" s="11"/>
      <c r="AL812" s="10"/>
      <c r="AM812" s="11"/>
      <c r="AN812" s="10"/>
      <c r="AO812" s="11"/>
      <c r="AP812" s="10"/>
      <c r="AQ812" s="10"/>
      <c r="AR812" s="10"/>
      <c r="AS812" s="9"/>
      <c r="AT812" s="9"/>
      <c r="AU812" s="9"/>
      <c r="AV812" s="9"/>
      <c r="AW812" s="9"/>
      <c r="AX812" s="9"/>
      <c r="AY812" s="8"/>
      <c r="AZ812" s="8"/>
      <c r="BA812" s="8"/>
      <c r="BB812" s="8"/>
      <c r="BC812" s="8"/>
      <c r="BD812" s="8"/>
      <c r="BE812" s="8"/>
      <c r="BF812" s="8"/>
    </row>
    <row r="813" spans="26:58" ht="16.899999999999999">
      <c r="Z813" s="244"/>
      <c r="AC813" s="10"/>
      <c r="AD813" s="10"/>
      <c r="AF813" s="10"/>
      <c r="AG813" s="10"/>
      <c r="AH813" s="10"/>
      <c r="AI813" s="9"/>
      <c r="AJ813" s="9"/>
      <c r="AK813" s="11"/>
      <c r="AL813" s="10"/>
      <c r="AM813" s="11"/>
      <c r="AN813" s="10"/>
      <c r="AO813" s="11"/>
      <c r="AP813" s="10"/>
      <c r="AQ813" s="10"/>
      <c r="AR813" s="10"/>
      <c r="AS813" s="9"/>
      <c r="AT813" s="9"/>
      <c r="AU813" s="9"/>
      <c r="AV813" s="9"/>
      <c r="AW813" s="9"/>
      <c r="AX813" s="9"/>
      <c r="AY813" s="8"/>
      <c r="AZ813" s="8"/>
      <c r="BA813" s="8"/>
      <c r="BB813" s="8"/>
      <c r="BC813" s="8"/>
      <c r="BD813" s="8"/>
      <c r="BE813" s="8"/>
      <c r="BF813" s="8"/>
    </row>
    <row r="814" spans="26:58" ht="16.899999999999999">
      <c r="Z814" s="244"/>
      <c r="AC814" s="10"/>
      <c r="AD814" s="10"/>
      <c r="AF814" s="10"/>
      <c r="AG814" s="10"/>
      <c r="AH814" s="10"/>
      <c r="AI814" s="9"/>
      <c r="AJ814" s="9"/>
      <c r="AK814" s="11"/>
      <c r="AL814" s="10"/>
      <c r="AM814" s="11"/>
      <c r="AN814" s="10"/>
      <c r="AO814" s="11"/>
      <c r="AP814" s="10"/>
      <c r="AQ814" s="10"/>
      <c r="AR814" s="10"/>
      <c r="AS814" s="9"/>
      <c r="AT814" s="9"/>
      <c r="AU814" s="9"/>
      <c r="AV814" s="9"/>
      <c r="AW814" s="9"/>
      <c r="AX814" s="9"/>
      <c r="AY814" s="8"/>
      <c r="AZ814" s="8"/>
      <c r="BA814" s="8"/>
      <c r="BB814" s="8"/>
      <c r="BC814" s="8"/>
      <c r="BD814" s="8"/>
      <c r="BE814" s="8"/>
      <c r="BF814" s="8"/>
    </row>
    <row r="815" spans="26:58" ht="16.899999999999999">
      <c r="Z815" s="244"/>
      <c r="AC815" s="10"/>
      <c r="AD815" s="10"/>
      <c r="AF815" s="10"/>
      <c r="AG815" s="10"/>
      <c r="AH815" s="10"/>
      <c r="AI815" s="9"/>
      <c r="AJ815" s="9"/>
      <c r="AK815" s="11"/>
      <c r="AL815" s="10"/>
      <c r="AM815" s="11"/>
      <c r="AN815" s="10"/>
      <c r="AO815" s="11"/>
      <c r="AP815" s="10"/>
      <c r="AQ815" s="10"/>
      <c r="AR815" s="10"/>
      <c r="AS815" s="9"/>
      <c r="AT815" s="9"/>
      <c r="AU815" s="9"/>
      <c r="AV815" s="9"/>
      <c r="AW815" s="9"/>
      <c r="AX815" s="9"/>
      <c r="AY815" s="8"/>
      <c r="AZ815" s="8"/>
      <c r="BA815" s="8"/>
      <c r="BB815" s="8"/>
      <c r="BC815" s="8"/>
      <c r="BD815" s="8"/>
      <c r="BE815" s="8"/>
      <c r="BF815" s="8"/>
    </row>
    <row r="816" spans="26:58" ht="16.899999999999999">
      <c r="Z816" s="244"/>
      <c r="AC816" s="10"/>
      <c r="AD816" s="10"/>
      <c r="AF816" s="10"/>
      <c r="AG816" s="10"/>
      <c r="AH816" s="10"/>
      <c r="AI816" s="9"/>
      <c r="AJ816" s="9"/>
      <c r="AK816" s="11"/>
      <c r="AL816" s="10"/>
      <c r="AM816" s="11"/>
      <c r="AN816" s="10"/>
      <c r="AO816" s="11"/>
      <c r="AP816" s="10"/>
      <c r="AQ816" s="10"/>
      <c r="AR816" s="10"/>
      <c r="AS816" s="9"/>
      <c r="AT816" s="9"/>
      <c r="AU816" s="9"/>
      <c r="AV816" s="9"/>
      <c r="AW816" s="9"/>
      <c r="AX816" s="9"/>
      <c r="AY816" s="8"/>
      <c r="AZ816" s="8"/>
      <c r="BA816" s="8"/>
      <c r="BB816" s="8"/>
      <c r="BC816" s="8"/>
      <c r="BD816" s="8"/>
      <c r="BE816" s="8"/>
      <c r="BF816" s="8"/>
    </row>
    <row r="817" spans="26:58" ht="16.899999999999999">
      <c r="Z817" s="244"/>
      <c r="AC817" s="10"/>
      <c r="AD817" s="10"/>
      <c r="AF817" s="10"/>
      <c r="AG817" s="10"/>
      <c r="AH817" s="10"/>
      <c r="AI817" s="9"/>
      <c r="AJ817" s="9"/>
      <c r="AK817" s="11"/>
      <c r="AL817" s="10"/>
      <c r="AM817" s="11"/>
      <c r="AN817" s="10"/>
      <c r="AO817" s="11"/>
      <c r="AP817" s="10"/>
      <c r="AQ817" s="10"/>
      <c r="AR817" s="10"/>
      <c r="AS817" s="9"/>
      <c r="AT817" s="9"/>
      <c r="AU817" s="9"/>
      <c r="AV817" s="9"/>
      <c r="AW817" s="9"/>
      <c r="AX817" s="9"/>
      <c r="AY817" s="8"/>
      <c r="AZ817" s="8"/>
      <c r="BA817" s="8"/>
      <c r="BB817" s="8"/>
      <c r="BC817" s="8"/>
      <c r="BD817" s="8"/>
      <c r="BE817" s="8"/>
      <c r="BF817" s="8"/>
    </row>
    <row r="818" spans="26:58" ht="16.899999999999999">
      <c r="Z818" s="244"/>
      <c r="AC818" s="10"/>
      <c r="AD818" s="10"/>
      <c r="AF818" s="10"/>
      <c r="AG818" s="10"/>
      <c r="AH818" s="10"/>
      <c r="AI818" s="9"/>
      <c r="AJ818" s="9"/>
      <c r="AK818" s="11"/>
      <c r="AL818" s="10"/>
      <c r="AM818" s="11"/>
      <c r="AN818" s="10"/>
      <c r="AO818" s="11"/>
      <c r="AP818" s="10"/>
      <c r="AQ818" s="10"/>
      <c r="AR818" s="10"/>
      <c r="AS818" s="9"/>
      <c r="AT818" s="9"/>
      <c r="AU818" s="9"/>
      <c r="AV818" s="9"/>
      <c r="AW818" s="9"/>
      <c r="AX818" s="9"/>
      <c r="AY818" s="8"/>
      <c r="AZ818" s="8"/>
      <c r="BA818" s="8"/>
      <c r="BB818" s="8"/>
      <c r="BC818" s="8"/>
      <c r="BD818" s="8"/>
      <c r="BE818" s="8"/>
      <c r="BF818" s="8"/>
    </row>
    <row r="819" spans="26:58" ht="16.899999999999999">
      <c r="Z819" s="244"/>
      <c r="AC819" s="10"/>
      <c r="AD819" s="10"/>
      <c r="AF819" s="10"/>
      <c r="AG819" s="10"/>
      <c r="AH819" s="10"/>
      <c r="AI819" s="9"/>
      <c r="AJ819" s="9"/>
      <c r="AK819" s="11"/>
      <c r="AL819" s="10"/>
      <c r="AM819" s="11"/>
      <c r="AN819" s="10"/>
      <c r="AO819" s="11"/>
      <c r="AP819" s="10"/>
      <c r="AQ819" s="10"/>
      <c r="AR819" s="10"/>
      <c r="AS819" s="9"/>
      <c r="AT819" s="9"/>
      <c r="AU819" s="9"/>
      <c r="AV819" s="9"/>
      <c r="AW819" s="9"/>
      <c r="AX819" s="9"/>
      <c r="AY819" s="8"/>
      <c r="AZ819" s="8"/>
      <c r="BA819" s="8"/>
      <c r="BB819" s="8"/>
      <c r="BC819" s="8"/>
      <c r="BD819" s="8"/>
      <c r="BE819" s="8"/>
      <c r="BF819" s="8"/>
    </row>
    <row r="820" spans="26:58" ht="16.899999999999999">
      <c r="Z820" s="244"/>
      <c r="AC820" s="10"/>
      <c r="AD820" s="10"/>
      <c r="AF820" s="10"/>
      <c r="AG820" s="10"/>
      <c r="AH820" s="10"/>
      <c r="AI820" s="9"/>
      <c r="AJ820" s="9"/>
      <c r="AK820" s="11"/>
      <c r="AL820" s="10"/>
      <c r="AM820" s="11"/>
      <c r="AN820" s="10"/>
      <c r="AO820" s="11"/>
      <c r="AP820" s="10"/>
      <c r="AQ820" s="10"/>
      <c r="AR820" s="10"/>
      <c r="AS820" s="9"/>
      <c r="AT820" s="9"/>
      <c r="AU820" s="9"/>
      <c r="AV820" s="9"/>
      <c r="AW820" s="9"/>
      <c r="AX820" s="9"/>
      <c r="AY820" s="8"/>
      <c r="AZ820" s="8"/>
      <c r="BA820" s="8"/>
      <c r="BB820" s="8"/>
      <c r="BC820" s="8"/>
      <c r="BD820" s="8"/>
      <c r="BE820" s="8"/>
      <c r="BF820" s="8"/>
    </row>
    <row r="821" spans="26:58" ht="16.899999999999999">
      <c r="Z821" s="244"/>
      <c r="AC821" s="10"/>
      <c r="AD821" s="10"/>
      <c r="AF821" s="10"/>
      <c r="AG821" s="10"/>
      <c r="AH821" s="10"/>
      <c r="AI821" s="9"/>
      <c r="AJ821" s="9"/>
      <c r="AK821" s="11"/>
      <c r="AL821" s="10"/>
      <c r="AM821" s="11"/>
      <c r="AN821" s="10"/>
      <c r="AO821" s="11"/>
      <c r="AP821" s="10"/>
      <c r="AQ821" s="10"/>
      <c r="AR821" s="10"/>
      <c r="AS821" s="9"/>
      <c r="AT821" s="9"/>
      <c r="AU821" s="9"/>
      <c r="AV821" s="9"/>
      <c r="AW821" s="9"/>
      <c r="AX821" s="9"/>
      <c r="AY821" s="8"/>
      <c r="AZ821" s="8"/>
      <c r="BA821" s="8"/>
      <c r="BB821" s="8"/>
      <c r="BC821" s="8"/>
      <c r="BD821" s="8"/>
      <c r="BE821" s="8"/>
      <c r="BF821" s="8"/>
    </row>
    <row r="822" spans="26:58" ht="16.899999999999999">
      <c r="Z822" s="244"/>
      <c r="AC822" s="10"/>
      <c r="AD822" s="10"/>
      <c r="AF822" s="10"/>
      <c r="AG822" s="10"/>
      <c r="AH822" s="10"/>
      <c r="AI822" s="9"/>
      <c r="AJ822" s="9"/>
      <c r="AK822" s="11"/>
      <c r="AL822" s="10"/>
      <c r="AM822" s="11"/>
      <c r="AN822" s="10"/>
      <c r="AO822" s="11"/>
      <c r="AP822" s="10"/>
      <c r="AQ822" s="10"/>
      <c r="AR822" s="10"/>
      <c r="AS822" s="9"/>
      <c r="AT822" s="9"/>
      <c r="AU822" s="9"/>
      <c r="AV822" s="9"/>
      <c r="AW822" s="9"/>
      <c r="AX822" s="9"/>
      <c r="AY822" s="8"/>
      <c r="AZ822" s="8"/>
      <c r="BA822" s="8"/>
      <c r="BB822" s="8"/>
      <c r="BC822" s="8"/>
      <c r="BD822" s="8"/>
      <c r="BE822" s="8"/>
      <c r="BF822" s="8"/>
    </row>
    <row r="823" spans="26:58" ht="16.899999999999999">
      <c r="Z823" s="244"/>
      <c r="AC823" s="10"/>
      <c r="AD823" s="10"/>
      <c r="AF823" s="10"/>
      <c r="AG823" s="10"/>
      <c r="AH823" s="10"/>
      <c r="AI823" s="9"/>
      <c r="AJ823" s="9"/>
      <c r="AK823" s="11"/>
      <c r="AL823" s="10"/>
      <c r="AM823" s="11"/>
      <c r="AN823" s="10"/>
      <c r="AO823" s="11"/>
      <c r="AP823" s="10"/>
      <c r="AQ823" s="10"/>
      <c r="AR823" s="10"/>
      <c r="AS823" s="9"/>
      <c r="AT823" s="9"/>
      <c r="AU823" s="9"/>
      <c r="AV823" s="9"/>
      <c r="AW823" s="9"/>
      <c r="AX823" s="9"/>
      <c r="AY823" s="8"/>
      <c r="AZ823" s="8"/>
      <c r="BA823" s="8"/>
      <c r="BB823" s="8"/>
      <c r="BC823" s="8"/>
      <c r="BD823" s="8"/>
      <c r="BE823" s="8"/>
      <c r="BF823" s="8"/>
    </row>
    <row r="824" spans="26:58" ht="16.899999999999999">
      <c r="Z824" s="244"/>
      <c r="AC824" s="10"/>
      <c r="AD824" s="10"/>
      <c r="AF824" s="10"/>
      <c r="AG824" s="10"/>
      <c r="AH824" s="10"/>
      <c r="AI824" s="9"/>
      <c r="AJ824" s="9"/>
      <c r="AK824" s="11"/>
      <c r="AL824" s="10"/>
      <c r="AM824" s="11"/>
      <c r="AN824" s="10"/>
      <c r="AO824" s="11"/>
      <c r="AP824" s="10"/>
      <c r="AQ824" s="10"/>
      <c r="AR824" s="10"/>
      <c r="AS824" s="9"/>
      <c r="AT824" s="9"/>
      <c r="AU824" s="9"/>
      <c r="AV824" s="9"/>
      <c r="AW824" s="9"/>
      <c r="AX824" s="9"/>
      <c r="AY824" s="8"/>
      <c r="AZ824" s="8"/>
      <c r="BA824" s="8"/>
      <c r="BB824" s="8"/>
      <c r="BC824" s="8"/>
      <c r="BD824" s="8"/>
      <c r="BE824" s="8"/>
      <c r="BF824" s="8"/>
    </row>
    <row r="825" spans="26:58" ht="16.899999999999999">
      <c r="Z825" s="244"/>
      <c r="AC825" s="10"/>
      <c r="AD825" s="10"/>
      <c r="AF825" s="10"/>
      <c r="AG825" s="10"/>
      <c r="AH825" s="10"/>
      <c r="AI825" s="9"/>
      <c r="AJ825" s="9"/>
      <c r="AK825" s="11"/>
      <c r="AL825" s="10"/>
      <c r="AM825" s="11"/>
      <c r="AN825" s="10"/>
      <c r="AO825" s="11"/>
      <c r="AP825" s="10"/>
      <c r="AQ825" s="10"/>
      <c r="AR825" s="10"/>
      <c r="AS825" s="9"/>
      <c r="AT825" s="9"/>
      <c r="AU825" s="9"/>
      <c r="AV825" s="9"/>
      <c r="AW825" s="9"/>
      <c r="AX825" s="9"/>
      <c r="AY825" s="8"/>
      <c r="AZ825" s="8"/>
      <c r="BA825" s="8"/>
      <c r="BB825" s="8"/>
      <c r="BC825" s="8"/>
      <c r="BD825" s="8"/>
      <c r="BE825" s="8"/>
      <c r="BF825" s="8"/>
    </row>
    <row r="826" spans="26:58" ht="16.899999999999999">
      <c r="Z826" s="244"/>
      <c r="AC826" s="10"/>
      <c r="AD826" s="10"/>
      <c r="AF826" s="10"/>
      <c r="AG826" s="10"/>
      <c r="AH826" s="10"/>
      <c r="AI826" s="9"/>
      <c r="AJ826" s="9"/>
      <c r="AK826" s="11"/>
      <c r="AL826" s="10"/>
      <c r="AM826" s="11"/>
      <c r="AN826" s="10"/>
      <c r="AO826" s="11"/>
      <c r="AP826" s="10"/>
      <c r="AQ826" s="10"/>
      <c r="AR826" s="10"/>
      <c r="AS826" s="9"/>
      <c r="AT826" s="9"/>
      <c r="AU826" s="9"/>
      <c r="AV826" s="9"/>
      <c r="AW826" s="9"/>
      <c r="AX826" s="9"/>
      <c r="AY826" s="8"/>
      <c r="AZ826" s="8"/>
      <c r="BA826" s="8"/>
      <c r="BB826" s="8"/>
      <c r="BC826" s="8"/>
      <c r="BD826" s="8"/>
      <c r="BE826" s="8"/>
      <c r="BF826" s="8"/>
    </row>
    <row r="827" spans="26:58" ht="16.899999999999999">
      <c r="Z827" s="244"/>
      <c r="AC827" s="10"/>
      <c r="AD827" s="10"/>
      <c r="AF827" s="10"/>
      <c r="AG827" s="10"/>
      <c r="AH827" s="10"/>
      <c r="AI827" s="9"/>
      <c r="AJ827" s="9"/>
      <c r="AK827" s="11"/>
      <c r="AL827" s="10"/>
      <c r="AM827" s="11"/>
      <c r="AN827" s="10"/>
      <c r="AO827" s="11"/>
      <c r="AP827" s="10"/>
      <c r="AQ827" s="10"/>
      <c r="AR827" s="10"/>
      <c r="AS827" s="9"/>
      <c r="AT827" s="9"/>
      <c r="AU827" s="9"/>
      <c r="AV827" s="9"/>
      <c r="AW827" s="9"/>
      <c r="AX827" s="9"/>
      <c r="AY827" s="8"/>
      <c r="AZ827" s="8"/>
      <c r="BA827" s="8"/>
      <c r="BB827" s="8"/>
      <c r="BC827" s="8"/>
      <c r="BD827" s="8"/>
      <c r="BE827" s="8"/>
      <c r="BF827" s="8"/>
    </row>
    <row r="828" spans="26:58" ht="16.899999999999999">
      <c r="Z828" s="244"/>
      <c r="AC828" s="10"/>
      <c r="AD828" s="10"/>
      <c r="AF828" s="10"/>
      <c r="AG828" s="10"/>
      <c r="AH828" s="10"/>
      <c r="AI828" s="9"/>
      <c r="AJ828" s="9"/>
      <c r="AK828" s="11"/>
      <c r="AL828" s="10"/>
      <c r="AM828" s="11"/>
      <c r="AN828" s="10"/>
      <c r="AO828" s="11"/>
      <c r="AP828" s="10"/>
      <c r="AQ828" s="10"/>
      <c r="AR828" s="10"/>
      <c r="AS828" s="9"/>
      <c r="AT828" s="9"/>
      <c r="AU828" s="9"/>
      <c r="AV828" s="9"/>
      <c r="AW828" s="9"/>
      <c r="AX828" s="9"/>
      <c r="AY828" s="8"/>
      <c r="AZ828" s="8"/>
      <c r="BA828" s="8"/>
      <c r="BB828" s="8"/>
      <c r="BC828" s="8"/>
      <c r="BD828" s="8"/>
      <c r="BE828" s="8"/>
      <c r="BF828" s="8"/>
    </row>
    <row r="829" spans="26:58" ht="16.899999999999999">
      <c r="Z829" s="244"/>
      <c r="AC829" s="10"/>
      <c r="AD829" s="10"/>
      <c r="AF829" s="10"/>
      <c r="AG829" s="10"/>
      <c r="AH829" s="10"/>
      <c r="AI829" s="9"/>
      <c r="AJ829" s="9"/>
      <c r="AK829" s="11"/>
      <c r="AL829" s="10"/>
      <c r="AM829" s="11"/>
      <c r="AN829" s="10"/>
      <c r="AO829" s="11"/>
      <c r="AP829" s="10"/>
      <c r="AQ829" s="10"/>
      <c r="AR829" s="10"/>
      <c r="AS829" s="9"/>
      <c r="AT829" s="9"/>
      <c r="AU829" s="9"/>
      <c r="AV829" s="9"/>
      <c r="AW829" s="9"/>
      <c r="AX829" s="9"/>
      <c r="AY829" s="8"/>
      <c r="AZ829" s="8"/>
      <c r="BA829" s="8"/>
      <c r="BB829" s="8"/>
      <c r="BC829" s="8"/>
      <c r="BD829" s="8"/>
      <c r="BE829" s="8"/>
      <c r="BF829" s="8"/>
    </row>
    <row r="830" spans="26:58" ht="16.899999999999999">
      <c r="Z830" s="244"/>
      <c r="AC830" s="10"/>
      <c r="AD830" s="10"/>
      <c r="AF830" s="10"/>
      <c r="AG830" s="10"/>
      <c r="AH830" s="10"/>
      <c r="AI830" s="9"/>
      <c r="AJ830" s="9"/>
      <c r="AK830" s="11"/>
      <c r="AL830" s="10"/>
      <c r="AM830" s="11"/>
      <c r="AN830" s="10"/>
      <c r="AO830" s="11"/>
      <c r="AP830" s="10"/>
      <c r="AQ830" s="10"/>
      <c r="AR830" s="10"/>
      <c r="AS830" s="9"/>
      <c r="AT830" s="9"/>
      <c r="AU830" s="9"/>
      <c r="AV830" s="9"/>
      <c r="AW830" s="9"/>
      <c r="AX830" s="9"/>
      <c r="AY830" s="8"/>
      <c r="AZ830" s="8"/>
      <c r="BA830" s="8"/>
      <c r="BB830" s="8"/>
      <c r="BC830" s="8"/>
      <c r="BD830" s="8"/>
      <c r="BE830" s="8"/>
      <c r="BF830" s="8"/>
    </row>
    <row r="831" spans="26:58" ht="16.899999999999999">
      <c r="Z831" s="244"/>
      <c r="AC831" s="10"/>
      <c r="AD831" s="10"/>
      <c r="AF831" s="10"/>
      <c r="AG831" s="10"/>
      <c r="AH831" s="10"/>
      <c r="AI831" s="9"/>
      <c r="AJ831" s="9"/>
      <c r="AK831" s="11"/>
      <c r="AL831" s="10"/>
      <c r="AM831" s="11"/>
      <c r="AN831" s="10"/>
      <c r="AO831" s="11"/>
      <c r="AP831" s="10"/>
      <c r="AQ831" s="10"/>
      <c r="AR831" s="10"/>
      <c r="AS831" s="9"/>
      <c r="AT831" s="9"/>
      <c r="AU831" s="9"/>
      <c r="AV831" s="9"/>
      <c r="AW831" s="9"/>
      <c r="AX831" s="9"/>
      <c r="AY831" s="8"/>
      <c r="AZ831" s="8"/>
      <c r="BA831" s="8"/>
      <c r="BB831" s="8"/>
      <c r="BC831" s="8"/>
      <c r="BD831" s="8"/>
      <c r="BE831" s="8"/>
      <c r="BF831" s="8"/>
    </row>
    <row r="832" spans="26:58" ht="16.899999999999999">
      <c r="Z832" s="244"/>
      <c r="AC832" s="10"/>
      <c r="AD832" s="10"/>
      <c r="AF832" s="10"/>
      <c r="AG832" s="10"/>
      <c r="AH832" s="10"/>
      <c r="AI832" s="9"/>
      <c r="AJ832" s="9"/>
      <c r="AK832" s="11"/>
      <c r="AL832" s="10"/>
      <c r="AM832" s="11"/>
      <c r="AN832" s="10"/>
      <c r="AO832" s="11"/>
      <c r="AP832" s="10"/>
      <c r="AQ832" s="10"/>
      <c r="AR832" s="10"/>
      <c r="AS832" s="9"/>
      <c r="AT832" s="9"/>
      <c r="AU832" s="9"/>
      <c r="AV832" s="9"/>
      <c r="AW832" s="9"/>
      <c r="AX832" s="9"/>
      <c r="AY832" s="8"/>
      <c r="AZ832" s="8"/>
      <c r="BA832" s="8"/>
      <c r="BB832" s="8"/>
      <c r="BC832" s="8"/>
      <c r="BD832" s="8"/>
      <c r="BE832" s="8"/>
      <c r="BF832" s="8"/>
    </row>
    <row r="833" spans="26:58" ht="16.899999999999999">
      <c r="Z833" s="244"/>
      <c r="AC833" s="10"/>
      <c r="AD833" s="10"/>
      <c r="AF833" s="10"/>
      <c r="AG833" s="10"/>
      <c r="AH833" s="10"/>
      <c r="AI833" s="9"/>
      <c r="AJ833" s="9"/>
      <c r="AK833" s="11"/>
      <c r="AL833" s="10"/>
      <c r="AM833" s="11"/>
      <c r="AN833" s="10"/>
      <c r="AO833" s="11"/>
      <c r="AP833" s="10"/>
      <c r="AQ833" s="10"/>
      <c r="AR833" s="10"/>
      <c r="AS833" s="9"/>
      <c r="AT833" s="9"/>
      <c r="AU833" s="9"/>
      <c r="AV833" s="9"/>
      <c r="AW833" s="9"/>
      <c r="AX833" s="9"/>
      <c r="AY833" s="8"/>
      <c r="AZ833" s="8"/>
      <c r="BA833" s="8"/>
      <c r="BB833" s="8"/>
      <c r="BC833" s="8"/>
      <c r="BD833" s="8"/>
      <c r="BE833" s="8"/>
      <c r="BF833" s="8"/>
    </row>
    <row r="834" spans="26:58" ht="16.899999999999999">
      <c r="Z834" s="244"/>
      <c r="AC834" s="10"/>
      <c r="AD834" s="10"/>
      <c r="AF834" s="10"/>
      <c r="AG834" s="10"/>
      <c r="AH834" s="10"/>
      <c r="AI834" s="9"/>
      <c r="AJ834" s="9"/>
      <c r="AK834" s="11"/>
      <c r="AL834" s="10"/>
      <c r="AM834" s="11"/>
      <c r="AN834" s="10"/>
      <c r="AO834" s="11"/>
      <c r="AP834" s="10"/>
      <c r="AQ834" s="10"/>
      <c r="AR834" s="10"/>
      <c r="AS834" s="9"/>
      <c r="AT834" s="9"/>
      <c r="AU834" s="9"/>
      <c r="AV834" s="9"/>
      <c r="AW834" s="9"/>
      <c r="AX834" s="9"/>
      <c r="AY834" s="8"/>
      <c r="AZ834" s="8"/>
      <c r="BA834" s="8"/>
      <c r="BB834" s="8"/>
      <c r="BC834" s="8"/>
      <c r="BD834" s="8"/>
      <c r="BE834" s="8"/>
      <c r="BF834" s="8"/>
    </row>
    <row r="835" spans="26:58" ht="16.899999999999999">
      <c r="Z835" s="244"/>
      <c r="AC835" s="10"/>
      <c r="AD835" s="10"/>
      <c r="AF835" s="10"/>
      <c r="AG835" s="10"/>
      <c r="AH835" s="10"/>
      <c r="AI835" s="9"/>
      <c r="AJ835" s="9"/>
      <c r="AK835" s="11"/>
      <c r="AL835" s="10"/>
      <c r="AM835" s="11"/>
      <c r="AN835" s="10"/>
      <c r="AO835" s="11"/>
      <c r="AP835" s="10"/>
      <c r="AQ835" s="10"/>
      <c r="AR835" s="10"/>
      <c r="AS835" s="9"/>
      <c r="AT835" s="9"/>
      <c r="AU835" s="9"/>
      <c r="AV835" s="9"/>
      <c r="AW835" s="9"/>
      <c r="AX835" s="9"/>
      <c r="AY835" s="8"/>
      <c r="AZ835" s="8"/>
      <c r="BA835" s="8"/>
      <c r="BB835" s="8"/>
      <c r="BC835" s="8"/>
      <c r="BD835" s="8"/>
      <c r="BE835" s="8"/>
      <c r="BF835" s="8"/>
    </row>
    <row r="836" spans="26:58" ht="16.899999999999999">
      <c r="Z836" s="244"/>
      <c r="AC836" s="10"/>
      <c r="AD836" s="10"/>
      <c r="AF836" s="10"/>
      <c r="AG836" s="10"/>
      <c r="AH836" s="10"/>
      <c r="AI836" s="9"/>
      <c r="AJ836" s="9"/>
      <c r="AK836" s="11"/>
      <c r="AL836" s="10"/>
      <c r="AM836" s="11"/>
      <c r="AN836" s="10"/>
      <c r="AO836" s="11"/>
      <c r="AP836" s="10"/>
      <c r="AQ836" s="10"/>
      <c r="AR836" s="10"/>
      <c r="AS836" s="9"/>
      <c r="AT836" s="9"/>
      <c r="AU836" s="9"/>
      <c r="AV836" s="9"/>
      <c r="AW836" s="9"/>
      <c r="AX836" s="9"/>
      <c r="AY836" s="8"/>
      <c r="AZ836" s="8"/>
      <c r="BA836" s="8"/>
      <c r="BB836" s="8"/>
      <c r="BC836" s="8"/>
      <c r="BD836" s="8"/>
      <c r="BE836" s="8"/>
      <c r="BF836" s="8"/>
    </row>
    <row r="837" spans="26:58" ht="16.899999999999999">
      <c r="Z837" s="244"/>
      <c r="AC837" s="10"/>
      <c r="AD837" s="10"/>
      <c r="AF837" s="10"/>
      <c r="AG837" s="10"/>
      <c r="AH837" s="10"/>
      <c r="AI837" s="9"/>
      <c r="AJ837" s="9"/>
      <c r="AK837" s="11"/>
      <c r="AL837" s="10"/>
      <c r="AM837" s="11"/>
      <c r="AN837" s="10"/>
      <c r="AO837" s="11"/>
      <c r="AP837" s="10"/>
      <c r="AQ837" s="10"/>
      <c r="AR837" s="10"/>
      <c r="AS837" s="9"/>
      <c r="AT837" s="9"/>
      <c r="AU837" s="9"/>
      <c r="AV837" s="9"/>
      <c r="AW837" s="9"/>
      <c r="AX837" s="9"/>
      <c r="AY837" s="8"/>
      <c r="AZ837" s="8"/>
      <c r="BA837" s="8"/>
      <c r="BB837" s="8"/>
      <c r="BC837" s="8"/>
      <c r="BD837" s="8"/>
      <c r="BE837" s="8"/>
      <c r="BF837" s="8"/>
    </row>
    <row r="838" spans="26:58" ht="16.899999999999999">
      <c r="Z838" s="244"/>
      <c r="AC838" s="10"/>
      <c r="AD838" s="10"/>
      <c r="AF838" s="10"/>
      <c r="AG838" s="10"/>
      <c r="AH838" s="10"/>
      <c r="AI838" s="9"/>
      <c r="AJ838" s="9"/>
      <c r="AK838" s="11"/>
      <c r="AL838" s="10"/>
      <c r="AM838" s="11"/>
      <c r="AN838" s="10"/>
      <c r="AO838" s="11"/>
      <c r="AP838" s="10"/>
      <c r="AQ838" s="10"/>
      <c r="AR838" s="10"/>
      <c r="AS838" s="9"/>
      <c r="AT838" s="9"/>
      <c r="AU838" s="9"/>
      <c r="AV838" s="9"/>
      <c r="AW838" s="9"/>
      <c r="AX838" s="9"/>
      <c r="AY838" s="8"/>
      <c r="AZ838" s="8"/>
      <c r="BA838" s="8"/>
      <c r="BB838" s="8"/>
      <c r="BC838" s="8"/>
      <c r="BD838" s="8"/>
      <c r="BE838" s="8"/>
      <c r="BF838" s="8"/>
    </row>
    <row r="839" spans="26:58" ht="16.899999999999999">
      <c r="Z839" s="244"/>
      <c r="AC839" s="10"/>
      <c r="AD839" s="10"/>
      <c r="AF839" s="10"/>
      <c r="AG839" s="10"/>
      <c r="AH839" s="10"/>
      <c r="AI839" s="9"/>
      <c r="AJ839" s="9"/>
      <c r="AK839" s="11"/>
      <c r="AL839" s="10"/>
      <c r="AM839" s="11"/>
      <c r="AN839" s="10"/>
      <c r="AO839" s="11"/>
      <c r="AP839" s="10"/>
      <c r="AQ839" s="10"/>
      <c r="AR839" s="10"/>
      <c r="AS839" s="9"/>
      <c r="AT839" s="9"/>
      <c r="AU839" s="9"/>
      <c r="AV839" s="9"/>
      <c r="AW839" s="9"/>
      <c r="AX839" s="9"/>
      <c r="AY839" s="8"/>
      <c r="AZ839" s="8"/>
      <c r="BA839" s="8"/>
      <c r="BB839" s="8"/>
      <c r="BC839" s="8"/>
      <c r="BD839" s="8"/>
      <c r="BE839" s="8"/>
      <c r="BF839" s="8"/>
    </row>
    <row r="840" spans="26:58" ht="16.899999999999999">
      <c r="Z840" s="244"/>
      <c r="AC840" s="10"/>
      <c r="AD840" s="10"/>
      <c r="AF840" s="10"/>
      <c r="AG840" s="10"/>
      <c r="AH840" s="10"/>
      <c r="AI840" s="9"/>
      <c r="AJ840" s="9"/>
      <c r="AK840" s="11"/>
      <c r="AL840" s="10"/>
      <c r="AM840" s="11"/>
      <c r="AN840" s="10"/>
      <c r="AO840" s="11"/>
      <c r="AP840" s="10"/>
      <c r="AQ840" s="10"/>
      <c r="AR840" s="10"/>
      <c r="AS840" s="9"/>
      <c r="AT840" s="9"/>
      <c r="AU840" s="9"/>
      <c r="AV840" s="9"/>
      <c r="AW840" s="9"/>
      <c r="AX840" s="9"/>
      <c r="AY840" s="8"/>
      <c r="AZ840" s="8"/>
      <c r="BA840" s="8"/>
      <c r="BB840" s="8"/>
      <c r="BC840" s="8"/>
      <c r="BD840" s="8"/>
      <c r="BE840" s="8"/>
      <c r="BF840" s="8"/>
    </row>
    <row r="841" spans="26:58" ht="16.899999999999999">
      <c r="Z841" s="244"/>
      <c r="AC841" s="10"/>
      <c r="AD841" s="10"/>
      <c r="AF841" s="10"/>
      <c r="AG841" s="10"/>
      <c r="AH841" s="10"/>
      <c r="AI841" s="9"/>
      <c r="AJ841" s="9"/>
      <c r="AK841" s="11"/>
      <c r="AL841" s="10"/>
      <c r="AM841" s="11"/>
      <c r="AN841" s="10"/>
      <c r="AO841" s="11"/>
      <c r="AP841" s="10"/>
      <c r="AQ841" s="10"/>
      <c r="AR841" s="10"/>
      <c r="AS841" s="9"/>
      <c r="AT841" s="9"/>
      <c r="AU841" s="9"/>
      <c r="AV841" s="9"/>
      <c r="AW841" s="9"/>
      <c r="AX841" s="9"/>
      <c r="AY841" s="8"/>
      <c r="AZ841" s="8"/>
      <c r="BA841" s="8"/>
      <c r="BB841" s="8"/>
      <c r="BC841" s="8"/>
      <c r="BD841" s="8"/>
      <c r="BE841" s="8"/>
      <c r="BF841" s="8"/>
    </row>
    <row r="842" spans="26:58" ht="16.899999999999999">
      <c r="Z842" s="244"/>
      <c r="AC842" s="10"/>
      <c r="AD842" s="10"/>
      <c r="AF842" s="10"/>
      <c r="AG842" s="10"/>
      <c r="AH842" s="10"/>
      <c r="AI842" s="9"/>
      <c r="AJ842" s="9"/>
      <c r="AK842" s="11"/>
      <c r="AL842" s="10"/>
      <c r="AM842" s="11"/>
      <c r="AN842" s="10"/>
      <c r="AO842" s="11"/>
      <c r="AP842" s="10"/>
      <c r="AQ842" s="10"/>
      <c r="AR842" s="10"/>
      <c r="AS842" s="9"/>
      <c r="AT842" s="9"/>
      <c r="AU842" s="9"/>
      <c r="AV842" s="9"/>
      <c r="AW842" s="9"/>
      <c r="AX842" s="9"/>
      <c r="AY842" s="8"/>
      <c r="AZ842" s="8"/>
      <c r="BA842" s="8"/>
      <c r="BB842" s="8"/>
      <c r="BC842" s="8"/>
      <c r="BD842" s="8"/>
      <c r="BE842" s="8"/>
      <c r="BF842" s="8"/>
    </row>
    <row r="843" spans="26:58" ht="16.899999999999999">
      <c r="Z843" s="244"/>
      <c r="AC843" s="10"/>
      <c r="AD843" s="10"/>
      <c r="AF843" s="10"/>
      <c r="AG843" s="10"/>
      <c r="AH843" s="10"/>
      <c r="AI843" s="9"/>
      <c r="AJ843" s="9"/>
      <c r="AK843" s="11"/>
      <c r="AL843" s="10"/>
      <c r="AM843" s="11"/>
      <c r="AN843" s="10"/>
      <c r="AO843" s="11"/>
      <c r="AP843" s="10"/>
      <c r="AQ843" s="10"/>
      <c r="AR843" s="10"/>
      <c r="AS843" s="9"/>
      <c r="AT843" s="9"/>
      <c r="AU843" s="9"/>
      <c r="AV843" s="9"/>
      <c r="AW843" s="9"/>
      <c r="AX843" s="9"/>
      <c r="AY843" s="8"/>
      <c r="AZ843" s="8"/>
      <c r="BA843" s="8"/>
      <c r="BB843" s="8"/>
      <c r="BC843" s="8"/>
      <c r="BD843" s="8"/>
      <c r="BE843" s="8"/>
      <c r="BF843" s="8"/>
    </row>
    <row r="844" spans="26:58" ht="16.899999999999999">
      <c r="Z844" s="244"/>
      <c r="AC844" s="10"/>
      <c r="AD844" s="10"/>
      <c r="AF844" s="10"/>
      <c r="AG844" s="10"/>
      <c r="AH844" s="10"/>
      <c r="AI844" s="9"/>
      <c r="AJ844" s="9"/>
      <c r="AK844" s="11"/>
      <c r="AL844" s="10"/>
      <c r="AM844" s="11"/>
      <c r="AN844" s="10"/>
      <c r="AO844" s="11"/>
      <c r="AP844" s="10"/>
      <c r="AQ844" s="10"/>
      <c r="AR844" s="10"/>
      <c r="AS844" s="9"/>
      <c r="AT844" s="9"/>
      <c r="AU844" s="9"/>
      <c r="AV844" s="9"/>
      <c r="AW844" s="9"/>
      <c r="AX844" s="9"/>
      <c r="AY844" s="8"/>
      <c r="AZ844" s="8"/>
      <c r="BA844" s="8"/>
      <c r="BB844" s="8"/>
      <c r="BC844" s="8"/>
      <c r="BD844" s="8"/>
      <c r="BE844" s="8"/>
      <c r="BF844" s="8"/>
    </row>
    <row r="845" spans="26:58" ht="16.899999999999999">
      <c r="Z845" s="244"/>
      <c r="AC845" s="10"/>
      <c r="AD845" s="10"/>
      <c r="AF845" s="10"/>
      <c r="AG845" s="10"/>
      <c r="AH845" s="10"/>
      <c r="AI845" s="9"/>
      <c r="AJ845" s="9"/>
      <c r="AK845" s="11"/>
      <c r="AL845" s="10"/>
      <c r="AM845" s="11"/>
      <c r="AN845" s="10"/>
      <c r="AO845" s="11"/>
      <c r="AP845" s="10"/>
      <c r="AQ845" s="10"/>
      <c r="AR845" s="10"/>
      <c r="AS845" s="9"/>
      <c r="AT845" s="9"/>
      <c r="AU845" s="9"/>
      <c r="AV845" s="9"/>
      <c r="AW845" s="9"/>
      <c r="AX845" s="9"/>
      <c r="AY845" s="8"/>
      <c r="AZ845" s="8"/>
      <c r="BA845" s="8"/>
      <c r="BB845" s="8"/>
      <c r="BC845" s="8"/>
      <c r="BD845" s="8"/>
      <c r="BE845" s="8"/>
      <c r="BF845" s="8"/>
    </row>
    <row r="846" spans="26:58" ht="16.899999999999999">
      <c r="Z846" s="244"/>
      <c r="AC846" s="10"/>
      <c r="AD846" s="10"/>
      <c r="AF846" s="10"/>
      <c r="AG846" s="10"/>
      <c r="AH846" s="10"/>
      <c r="AI846" s="9"/>
      <c r="AJ846" s="9"/>
      <c r="AK846" s="11"/>
      <c r="AL846" s="10"/>
      <c r="AM846" s="11"/>
      <c r="AN846" s="10"/>
      <c r="AO846" s="11"/>
      <c r="AP846" s="10"/>
      <c r="AQ846" s="10"/>
      <c r="AR846" s="10"/>
      <c r="AS846" s="9"/>
      <c r="AT846" s="9"/>
      <c r="AU846" s="9"/>
      <c r="AV846" s="9"/>
      <c r="AW846" s="9"/>
      <c r="AX846" s="9"/>
      <c r="AY846" s="8"/>
      <c r="AZ846" s="8"/>
      <c r="BA846" s="8"/>
      <c r="BB846" s="8"/>
      <c r="BC846" s="8"/>
      <c r="BD846" s="8"/>
      <c r="BE846" s="8"/>
      <c r="BF846" s="8"/>
    </row>
    <row r="847" spans="26:58" ht="16.899999999999999">
      <c r="Z847" s="244"/>
      <c r="AC847" s="10"/>
      <c r="AD847" s="10"/>
      <c r="AF847" s="10"/>
      <c r="AG847" s="10"/>
      <c r="AH847" s="10"/>
      <c r="AI847" s="9"/>
      <c r="AJ847" s="9"/>
      <c r="AK847" s="11"/>
      <c r="AL847" s="10"/>
      <c r="AM847" s="11"/>
      <c r="AN847" s="10"/>
      <c r="AO847" s="11"/>
      <c r="AP847" s="10"/>
      <c r="AQ847" s="10"/>
      <c r="AR847" s="10"/>
      <c r="AS847" s="9"/>
      <c r="AT847" s="9"/>
      <c r="AU847" s="9"/>
      <c r="AV847" s="9"/>
      <c r="AW847" s="9"/>
      <c r="AX847" s="9"/>
      <c r="AY847" s="8"/>
      <c r="AZ847" s="8"/>
      <c r="BA847" s="8"/>
      <c r="BB847" s="8"/>
      <c r="BC847" s="8"/>
      <c r="BD847" s="8"/>
      <c r="BE847" s="8"/>
      <c r="BF847" s="8"/>
    </row>
    <row r="848" spans="26:58" ht="16.899999999999999">
      <c r="Z848" s="244"/>
      <c r="AC848" s="10"/>
      <c r="AD848" s="10"/>
      <c r="AF848" s="10"/>
      <c r="AG848" s="10"/>
      <c r="AH848" s="10"/>
      <c r="AI848" s="9"/>
      <c r="AJ848" s="9"/>
      <c r="AK848" s="11"/>
      <c r="AL848" s="10"/>
      <c r="AM848" s="11"/>
      <c r="AN848" s="10"/>
      <c r="AO848" s="11"/>
      <c r="AP848" s="10"/>
      <c r="AQ848" s="10"/>
      <c r="AR848" s="10"/>
      <c r="AS848" s="9"/>
      <c r="AT848" s="9"/>
      <c r="AU848" s="9"/>
      <c r="AV848" s="9"/>
      <c r="AW848" s="9"/>
      <c r="AX848" s="9"/>
      <c r="AY848" s="8"/>
      <c r="AZ848" s="8"/>
      <c r="BA848" s="8"/>
      <c r="BB848" s="8"/>
      <c r="BC848" s="8"/>
      <c r="BD848" s="8"/>
      <c r="BE848" s="8"/>
      <c r="BF848" s="8"/>
    </row>
    <row r="849" spans="26:58" ht="16.899999999999999">
      <c r="Z849" s="244"/>
      <c r="AC849" s="10"/>
      <c r="AD849" s="10"/>
      <c r="AF849" s="10"/>
      <c r="AG849" s="10"/>
      <c r="AH849" s="10"/>
      <c r="AI849" s="9"/>
      <c r="AJ849" s="9"/>
      <c r="AK849" s="11"/>
      <c r="AL849" s="10"/>
      <c r="AM849" s="11"/>
      <c r="AN849" s="10"/>
      <c r="AO849" s="11"/>
      <c r="AP849" s="10"/>
      <c r="AQ849" s="10"/>
      <c r="AR849" s="10"/>
      <c r="AS849" s="9"/>
      <c r="AT849" s="9"/>
      <c r="AU849" s="9"/>
      <c r="AV849" s="9"/>
      <c r="AW849" s="9"/>
      <c r="AX849" s="9"/>
      <c r="AY849" s="8"/>
      <c r="AZ849" s="8"/>
      <c r="BA849" s="8"/>
      <c r="BB849" s="8"/>
      <c r="BC849" s="8"/>
      <c r="BD849" s="8"/>
      <c r="BE849" s="8"/>
      <c r="BF849" s="8"/>
    </row>
    <row r="850" spans="26:58" ht="16.899999999999999">
      <c r="Z850" s="244"/>
      <c r="AC850" s="10"/>
      <c r="AD850" s="10"/>
      <c r="AF850" s="10"/>
      <c r="AG850" s="10"/>
      <c r="AH850" s="10"/>
      <c r="AI850" s="9"/>
      <c r="AJ850" s="9"/>
      <c r="AK850" s="11"/>
      <c r="AL850" s="10"/>
      <c r="AM850" s="11"/>
      <c r="AN850" s="10"/>
      <c r="AO850" s="11"/>
      <c r="AP850" s="10"/>
      <c r="AQ850" s="10"/>
      <c r="AR850" s="10"/>
      <c r="AS850" s="9"/>
      <c r="AT850" s="9"/>
      <c r="AU850" s="9"/>
      <c r="AV850" s="9"/>
      <c r="AW850" s="9"/>
      <c r="AX850" s="9"/>
      <c r="AY850" s="8"/>
      <c r="AZ850" s="8"/>
      <c r="BA850" s="8"/>
      <c r="BB850" s="8"/>
      <c r="BC850" s="8"/>
      <c r="BD850" s="8"/>
      <c r="BE850" s="8"/>
      <c r="BF850" s="8"/>
    </row>
    <row r="851" spans="26:58" ht="16.899999999999999">
      <c r="Z851" s="244"/>
      <c r="AC851" s="10"/>
      <c r="AD851" s="10"/>
      <c r="AF851" s="10"/>
      <c r="AG851" s="10"/>
      <c r="AH851" s="10"/>
      <c r="AI851" s="9"/>
      <c r="AJ851" s="9"/>
      <c r="AK851" s="11"/>
      <c r="AL851" s="10"/>
      <c r="AM851" s="11"/>
      <c r="AN851" s="10"/>
      <c r="AO851" s="11"/>
      <c r="AP851" s="10"/>
      <c r="AQ851" s="10"/>
      <c r="AR851" s="10"/>
      <c r="AS851" s="9"/>
      <c r="AT851" s="9"/>
      <c r="AU851" s="9"/>
      <c r="AV851" s="9"/>
      <c r="AW851" s="9"/>
      <c r="AX851" s="9"/>
      <c r="AY851" s="8"/>
      <c r="AZ851" s="8"/>
      <c r="BA851" s="8"/>
      <c r="BB851" s="8"/>
      <c r="BC851" s="8"/>
      <c r="BD851" s="8"/>
      <c r="BE851" s="8"/>
      <c r="BF851" s="8"/>
    </row>
    <row r="852" spans="26:58" ht="16.899999999999999">
      <c r="Z852" s="244"/>
      <c r="AC852" s="10"/>
      <c r="AD852" s="10"/>
      <c r="AF852" s="10"/>
      <c r="AG852" s="10"/>
      <c r="AH852" s="10"/>
      <c r="AI852" s="9"/>
      <c r="AJ852" s="9"/>
      <c r="AK852" s="11"/>
      <c r="AL852" s="10"/>
      <c r="AM852" s="11"/>
      <c r="AN852" s="10"/>
      <c r="AO852" s="11"/>
      <c r="AP852" s="10"/>
      <c r="AQ852" s="10"/>
      <c r="AR852" s="10"/>
      <c r="AS852" s="9"/>
      <c r="AT852" s="9"/>
      <c r="AU852" s="9"/>
      <c r="AV852" s="9"/>
      <c r="AW852" s="9"/>
      <c r="AX852" s="9"/>
      <c r="AY852" s="8"/>
      <c r="AZ852" s="8"/>
      <c r="BA852" s="8"/>
      <c r="BB852" s="8"/>
      <c r="BC852" s="8"/>
      <c r="BD852" s="8"/>
      <c r="BE852" s="8"/>
      <c r="BF852" s="8"/>
    </row>
    <row r="853" spans="26:58" ht="16.899999999999999">
      <c r="Z853" s="244"/>
      <c r="AC853" s="10"/>
      <c r="AD853" s="10"/>
      <c r="AF853" s="10"/>
      <c r="AG853" s="10"/>
      <c r="AH853" s="10"/>
      <c r="AI853" s="9"/>
      <c r="AJ853" s="9"/>
      <c r="AK853" s="11"/>
      <c r="AL853" s="10"/>
      <c r="AM853" s="11"/>
      <c r="AN853" s="10"/>
      <c r="AO853" s="11"/>
      <c r="AP853" s="10"/>
      <c r="AQ853" s="10"/>
      <c r="AR853" s="10"/>
      <c r="AS853" s="9"/>
      <c r="AT853" s="9"/>
      <c r="AU853" s="9"/>
      <c r="AV853" s="9"/>
      <c r="AW853" s="9"/>
      <c r="AX853" s="9"/>
      <c r="AY853" s="8"/>
      <c r="AZ853" s="8"/>
      <c r="BA853" s="8"/>
      <c r="BB853" s="8"/>
      <c r="BC853" s="8"/>
      <c r="BD853" s="8"/>
      <c r="BE853" s="8"/>
      <c r="BF853" s="8"/>
    </row>
    <row r="854" spans="26:58" ht="16.899999999999999">
      <c r="Z854" s="244"/>
      <c r="AC854" s="10"/>
      <c r="AD854" s="10"/>
      <c r="AF854" s="10"/>
      <c r="AG854" s="10"/>
      <c r="AH854" s="10"/>
      <c r="AI854" s="9"/>
      <c r="AJ854" s="9"/>
      <c r="AK854" s="11"/>
      <c r="AL854" s="10"/>
      <c r="AM854" s="11"/>
      <c r="AN854" s="10"/>
      <c r="AO854" s="11"/>
      <c r="AP854" s="10"/>
      <c r="AQ854" s="10"/>
      <c r="AR854" s="10"/>
      <c r="AS854" s="9"/>
      <c r="AT854" s="9"/>
      <c r="AU854" s="9"/>
      <c r="AV854" s="9"/>
      <c r="AW854" s="9"/>
      <c r="AX854" s="9"/>
      <c r="AY854" s="8"/>
      <c r="AZ854" s="8"/>
      <c r="BA854" s="8"/>
      <c r="BB854" s="8"/>
      <c r="BC854" s="8"/>
      <c r="BD854" s="8"/>
      <c r="BE854" s="8"/>
      <c r="BF854" s="8"/>
    </row>
    <row r="855" spans="26:58" ht="16.899999999999999">
      <c r="Z855" s="244"/>
      <c r="AC855" s="10"/>
      <c r="AD855" s="10"/>
      <c r="AF855" s="10"/>
      <c r="AG855" s="10"/>
      <c r="AH855" s="10"/>
      <c r="AI855" s="9"/>
      <c r="AJ855" s="9"/>
      <c r="AK855" s="11"/>
      <c r="AL855" s="10"/>
      <c r="AM855" s="11"/>
      <c r="AN855" s="10"/>
      <c r="AO855" s="11"/>
      <c r="AP855" s="10"/>
      <c r="AQ855" s="10"/>
      <c r="AR855" s="10"/>
      <c r="AS855" s="9"/>
      <c r="AT855" s="9"/>
      <c r="AU855" s="9"/>
      <c r="AV855" s="9"/>
      <c r="AW855" s="9"/>
      <c r="AX855" s="9"/>
      <c r="AY855" s="8"/>
      <c r="AZ855" s="8"/>
      <c r="BA855" s="8"/>
      <c r="BB855" s="8"/>
      <c r="BC855" s="8"/>
      <c r="BD855" s="8"/>
      <c r="BE855" s="8"/>
      <c r="BF855" s="8"/>
    </row>
    <row r="856" spans="26:58" ht="16.899999999999999">
      <c r="Z856" s="244"/>
      <c r="AC856" s="10"/>
      <c r="AD856" s="10"/>
      <c r="AF856" s="10"/>
      <c r="AG856" s="10"/>
      <c r="AH856" s="10"/>
      <c r="AI856" s="9"/>
      <c r="AJ856" s="9"/>
      <c r="AK856" s="11"/>
      <c r="AL856" s="10"/>
      <c r="AM856" s="11"/>
      <c r="AN856" s="10"/>
      <c r="AO856" s="11"/>
      <c r="AP856" s="10"/>
      <c r="AQ856" s="10"/>
      <c r="AR856" s="10"/>
      <c r="AS856" s="9"/>
      <c r="AT856" s="9"/>
      <c r="AU856" s="9"/>
      <c r="AV856" s="9"/>
      <c r="AW856" s="9"/>
      <c r="AX856" s="9"/>
      <c r="AY856" s="8"/>
      <c r="AZ856" s="8"/>
      <c r="BA856" s="8"/>
      <c r="BB856" s="8"/>
      <c r="BC856" s="8"/>
      <c r="BD856" s="8"/>
      <c r="BE856" s="8"/>
      <c r="BF856" s="8"/>
    </row>
    <row r="857" spans="26:58" ht="16.899999999999999">
      <c r="Z857" s="244"/>
      <c r="AC857" s="10"/>
      <c r="AD857" s="10"/>
      <c r="AF857" s="10"/>
      <c r="AG857" s="10"/>
      <c r="AH857" s="10"/>
      <c r="AI857" s="9"/>
      <c r="AJ857" s="9"/>
      <c r="AK857" s="11"/>
      <c r="AL857" s="10"/>
      <c r="AM857" s="11"/>
      <c r="AN857" s="10"/>
      <c r="AO857" s="11"/>
      <c r="AP857" s="10"/>
      <c r="AQ857" s="10"/>
      <c r="AR857" s="10"/>
      <c r="AS857" s="9"/>
      <c r="AT857" s="9"/>
      <c r="AU857" s="9"/>
      <c r="AV857" s="9"/>
      <c r="AW857" s="9"/>
      <c r="AX857" s="9"/>
      <c r="AY857" s="8"/>
      <c r="AZ857" s="8"/>
      <c r="BA857" s="8"/>
      <c r="BB857" s="8"/>
      <c r="BC857" s="8"/>
      <c r="BD857" s="8"/>
      <c r="BE857" s="8"/>
      <c r="BF857" s="8"/>
    </row>
    <row r="858" spans="26:58" ht="16.899999999999999">
      <c r="Z858" s="244"/>
      <c r="AC858" s="10"/>
      <c r="AD858" s="10"/>
      <c r="AF858" s="10"/>
      <c r="AG858" s="10"/>
      <c r="AH858" s="10"/>
      <c r="AI858" s="9"/>
      <c r="AJ858" s="9"/>
      <c r="AK858" s="11"/>
      <c r="AL858" s="10"/>
      <c r="AM858" s="11"/>
      <c r="AN858" s="10"/>
      <c r="AO858" s="11"/>
      <c r="AP858" s="10"/>
      <c r="AQ858" s="10"/>
      <c r="AR858" s="10"/>
      <c r="AS858" s="9"/>
      <c r="AT858" s="9"/>
      <c r="AU858" s="9"/>
      <c r="AV858" s="9"/>
      <c r="AW858" s="9"/>
      <c r="AX858" s="9"/>
      <c r="AY858" s="8"/>
      <c r="AZ858" s="8"/>
      <c r="BA858" s="8"/>
      <c r="BB858" s="8"/>
      <c r="BC858" s="8"/>
      <c r="BD858" s="8"/>
      <c r="BE858" s="8"/>
      <c r="BF858" s="8"/>
    </row>
    <row r="859" spans="26:58" ht="16.899999999999999">
      <c r="Z859" s="244"/>
      <c r="AC859" s="10"/>
      <c r="AD859" s="10"/>
      <c r="AF859" s="10"/>
      <c r="AG859" s="10"/>
      <c r="AH859" s="10"/>
      <c r="AI859" s="9"/>
      <c r="AJ859" s="9"/>
      <c r="AK859" s="11"/>
      <c r="AL859" s="10"/>
      <c r="AM859" s="11"/>
      <c r="AN859" s="10"/>
      <c r="AO859" s="11"/>
      <c r="AP859" s="10"/>
      <c r="AQ859" s="10"/>
      <c r="AR859" s="10"/>
      <c r="AS859" s="9"/>
      <c r="AT859" s="9"/>
      <c r="AU859" s="9"/>
      <c r="AV859" s="9"/>
      <c r="AW859" s="9"/>
      <c r="AX859" s="9"/>
      <c r="AY859" s="8"/>
      <c r="AZ859" s="8"/>
      <c r="BA859" s="8"/>
      <c r="BB859" s="8"/>
      <c r="BC859" s="8"/>
      <c r="BD859" s="8"/>
      <c r="BE859" s="8"/>
      <c r="BF859" s="8"/>
    </row>
    <row r="860" spans="26:58" ht="16.899999999999999">
      <c r="Z860" s="244"/>
      <c r="AC860" s="10"/>
      <c r="AD860" s="10"/>
      <c r="AF860" s="10"/>
      <c r="AG860" s="10"/>
      <c r="AH860" s="10"/>
      <c r="AI860" s="9"/>
      <c r="AJ860" s="9"/>
      <c r="AK860" s="11"/>
      <c r="AL860" s="10"/>
      <c r="AM860" s="11"/>
      <c r="AN860" s="10"/>
      <c r="AO860" s="11"/>
      <c r="AP860" s="10"/>
      <c r="AQ860" s="10"/>
      <c r="AR860" s="10"/>
      <c r="AS860" s="9"/>
      <c r="AT860" s="9"/>
      <c r="AU860" s="9"/>
      <c r="AV860" s="9"/>
      <c r="AW860" s="9"/>
      <c r="AX860" s="9"/>
      <c r="AY860" s="8"/>
      <c r="AZ860" s="8"/>
      <c r="BA860" s="8"/>
      <c r="BB860" s="8"/>
      <c r="BC860" s="8"/>
      <c r="BD860" s="8"/>
      <c r="BE860" s="8"/>
      <c r="BF860" s="8"/>
    </row>
    <row r="861" spans="26:58" ht="16.899999999999999">
      <c r="Z861" s="244"/>
      <c r="AC861" s="10"/>
      <c r="AD861" s="10"/>
      <c r="AF861" s="10"/>
      <c r="AG861" s="10"/>
      <c r="AH861" s="10"/>
      <c r="AI861" s="9"/>
      <c r="AJ861" s="9"/>
      <c r="AK861" s="11"/>
      <c r="AL861" s="10"/>
      <c r="AM861" s="11"/>
      <c r="AN861" s="10"/>
      <c r="AO861" s="11"/>
      <c r="AP861" s="10"/>
      <c r="AQ861" s="10"/>
      <c r="AR861" s="10"/>
      <c r="AS861" s="9"/>
      <c r="AT861" s="9"/>
      <c r="AU861" s="9"/>
      <c r="AV861" s="9"/>
      <c r="AW861" s="9"/>
      <c r="AX861" s="9"/>
      <c r="AY861" s="8"/>
      <c r="AZ861" s="8"/>
      <c r="BA861" s="8"/>
      <c r="BB861" s="8"/>
      <c r="BC861" s="8"/>
      <c r="BD861" s="8"/>
      <c r="BE861" s="8"/>
      <c r="BF861" s="8"/>
    </row>
    <row r="862" spans="26:58" ht="16.899999999999999">
      <c r="Z862" s="244"/>
      <c r="AC862" s="10"/>
      <c r="AD862" s="10"/>
      <c r="AF862" s="10"/>
      <c r="AG862" s="10"/>
      <c r="AH862" s="10"/>
      <c r="AI862" s="9"/>
      <c r="AJ862" s="9"/>
      <c r="AK862" s="11"/>
      <c r="AL862" s="10"/>
      <c r="AM862" s="11"/>
      <c r="AN862" s="10"/>
      <c r="AO862" s="11"/>
      <c r="AP862" s="10"/>
      <c r="AQ862" s="10"/>
      <c r="AR862" s="10"/>
      <c r="AS862" s="9"/>
      <c r="AT862" s="9"/>
      <c r="AU862" s="9"/>
      <c r="AV862" s="9"/>
      <c r="AW862" s="9"/>
      <c r="AX862" s="9"/>
      <c r="AY862" s="8"/>
      <c r="AZ862" s="8"/>
      <c r="BA862" s="8"/>
      <c r="BB862" s="8"/>
      <c r="BC862" s="8"/>
      <c r="BD862" s="8"/>
      <c r="BE862" s="8"/>
      <c r="BF862" s="8"/>
    </row>
    <row r="863" spans="26:58" ht="16.899999999999999">
      <c r="Z863" s="244"/>
      <c r="AC863" s="10"/>
      <c r="AD863" s="10"/>
      <c r="AF863" s="10"/>
      <c r="AG863" s="10"/>
      <c r="AH863" s="10"/>
      <c r="AI863" s="9"/>
      <c r="AJ863" s="9"/>
      <c r="AK863" s="11"/>
      <c r="AL863" s="10"/>
      <c r="AM863" s="11"/>
      <c r="AN863" s="10"/>
      <c r="AO863" s="11"/>
      <c r="AP863" s="10"/>
      <c r="AQ863" s="10"/>
      <c r="AR863" s="10"/>
      <c r="AS863" s="9"/>
      <c r="AT863" s="9"/>
      <c r="AU863" s="9"/>
      <c r="AV863" s="9"/>
      <c r="AW863" s="9"/>
      <c r="AX863" s="9"/>
      <c r="AY863" s="8"/>
      <c r="AZ863" s="8"/>
      <c r="BA863" s="8"/>
      <c r="BB863" s="8"/>
      <c r="BC863" s="8"/>
      <c r="BD863" s="8"/>
      <c r="BE863" s="8"/>
      <c r="BF863" s="8"/>
    </row>
    <row r="864" spans="26:58" ht="16.899999999999999">
      <c r="Z864" s="244"/>
      <c r="AC864" s="10"/>
      <c r="AD864" s="10"/>
      <c r="AF864" s="10"/>
      <c r="AG864" s="10"/>
      <c r="AH864" s="10"/>
      <c r="AI864" s="9"/>
      <c r="AJ864" s="9"/>
      <c r="AK864" s="11"/>
      <c r="AL864" s="10"/>
      <c r="AM864" s="11"/>
      <c r="AN864" s="10"/>
      <c r="AO864" s="11"/>
      <c r="AP864" s="10"/>
      <c r="AQ864" s="10"/>
      <c r="AR864" s="10"/>
      <c r="AS864" s="9"/>
      <c r="AT864" s="9"/>
      <c r="AU864" s="9"/>
      <c r="AV864" s="9"/>
      <c r="AW864" s="9"/>
      <c r="AX864" s="9"/>
      <c r="AY864" s="8"/>
      <c r="AZ864" s="8"/>
      <c r="BA864" s="8"/>
      <c r="BB864" s="8"/>
      <c r="BC864" s="8"/>
      <c r="BD864" s="8"/>
      <c r="BE864" s="8"/>
      <c r="BF864" s="8"/>
    </row>
    <row r="865" spans="26:58" ht="16.899999999999999">
      <c r="Z865" s="244"/>
      <c r="AC865" s="10"/>
      <c r="AD865" s="10"/>
      <c r="AF865" s="10"/>
      <c r="AG865" s="10"/>
      <c r="AH865" s="10"/>
      <c r="AI865" s="9"/>
      <c r="AJ865" s="9"/>
      <c r="AK865" s="11"/>
      <c r="AL865" s="10"/>
      <c r="AM865" s="11"/>
      <c r="AN865" s="10"/>
      <c r="AO865" s="11"/>
      <c r="AP865" s="10"/>
      <c r="AQ865" s="10"/>
      <c r="AR865" s="10"/>
      <c r="AS865" s="9"/>
      <c r="AT865" s="9"/>
      <c r="AU865" s="9"/>
      <c r="AV865" s="9"/>
      <c r="AW865" s="9"/>
      <c r="AX865" s="9"/>
      <c r="AY865" s="8"/>
      <c r="AZ865" s="8"/>
      <c r="BA865" s="8"/>
      <c r="BB865" s="8"/>
      <c r="BC865" s="8"/>
      <c r="BD865" s="8"/>
      <c r="BE865" s="8"/>
      <c r="BF865" s="8"/>
    </row>
    <row r="866" spans="26:58" ht="16.899999999999999">
      <c r="Z866" s="244"/>
      <c r="AC866" s="10"/>
      <c r="AD866" s="10"/>
      <c r="AF866" s="10"/>
      <c r="AG866" s="10"/>
      <c r="AH866" s="10"/>
      <c r="AI866" s="9"/>
      <c r="AJ866" s="9"/>
      <c r="AK866" s="11"/>
      <c r="AL866" s="10"/>
      <c r="AM866" s="11"/>
      <c r="AN866" s="10"/>
      <c r="AO866" s="11"/>
      <c r="AP866" s="10"/>
      <c r="AQ866" s="10"/>
      <c r="AR866" s="10"/>
      <c r="AS866" s="9"/>
      <c r="AT866" s="9"/>
      <c r="AU866" s="9"/>
      <c r="AV866" s="9"/>
      <c r="AW866" s="9"/>
      <c r="AX866" s="9"/>
      <c r="AY866" s="8"/>
      <c r="AZ866" s="8"/>
      <c r="BA866" s="8"/>
      <c r="BB866" s="8"/>
      <c r="BC866" s="8"/>
      <c r="BD866" s="8"/>
      <c r="BE866" s="8"/>
      <c r="BF866" s="8"/>
    </row>
    <row r="867" spans="26:58" ht="16.899999999999999">
      <c r="Z867" s="244"/>
      <c r="AC867" s="10"/>
      <c r="AD867" s="10"/>
      <c r="AF867" s="10"/>
      <c r="AG867" s="10"/>
      <c r="AH867" s="10"/>
      <c r="AI867" s="9"/>
      <c r="AJ867" s="9"/>
      <c r="AK867" s="11"/>
      <c r="AL867" s="10"/>
      <c r="AM867" s="11"/>
      <c r="AN867" s="10"/>
      <c r="AO867" s="11"/>
      <c r="AP867" s="10"/>
      <c r="AQ867" s="10"/>
      <c r="AR867" s="10"/>
      <c r="AS867" s="9"/>
      <c r="AT867" s="9"/>
      <c r="AU867" s="9"/>
      <c r="AV867" s="9"/>
      <c r="AW867" s="9"/>
      <c r="AX867" s="9"/>
      <c r="AY867" s="8"/>
      <c r="AZ867" s="8"/>
      <c r="BA867" s="8"/>
      <c r="BB867" s="8"/>
      <c r="BC867" s="8"/>
      <c r="BD867" s="8"/>
      <c r="BE867" s="8"/>
      <c r="BF867" s="8"/>
    </row>
    <row r="868" spans="26:58" ht="16.899999999999999">
      <c r="Z868" s="244"/>
      <c r="AC868" s="10"/>
      <c r="AD868" s="10"/>
      <c r="AF868" s="10"/>
      <c r="AG868" s="10"/>
      <c r="AH868" s="10"/>
      <c r="AI868" s="9"/>
      <c r="AJ868" s="9"/>
      <c r="AK868" s="11"/>
      <c r="AL868" s="10"/>
      <c r="AM868" s="11"/>
      <c r="AN868" s="10"/>
      <c r="AO868" s="11"/>
      <c r="AP868" s="10"/>
      <c r="AQ868" s="10"/>
      <c r="AR868" s="10"/>
      <c r="AS868" s="9"/>
      <c r="AT868" s="9"/>
      <c r="AU868" s="9"/>
      <c r="AV868" s="9"/>
      <c r="AW868" s="9"/>
      <c r="AX868" s="9"/>
      <c r="AY868" s="8"/>
      <c r="AZ868" s="8"/>
      <c r="BA868" s="8"/>
      <c r="BB868" s="8"/>
      <c r="BC868" s="8"/>
      <c r="BD868" s="8"/>
      <c r="BE868" s="8"/>
      <c r="BF868" s="8"/>
    </row>
    <row r="869" spans="26:58" ht="16.899999999999999">
      <c r="Z869" s="244"/>
      <c r="AC869" s="10"/>
      <c r="AD869" s="10"/>
      <c r="AF869" s="10"/>
      <c r="AG869" s="10"/>
      <c r="AH869" s="10"/>
      <c r="AI869" s="9"/>
      <c r="AJ869" s="9"/>
      <c r="AK869" s="11"/>
      <c r="AL869" s="10"/>
      <c r="AM869" s="11"/>
      <c r="AN869" s="10"/>
      <c r="AO869" s="11"/>
      <c r="AP869" s="10"/>
      <c r="AQ869" s="10"/>
      <c r="AR869" s="10"/>
      <c r="AS869" s="9"/>
      <c r="AT869" s="9"/>
      <c r="AU869" s="9"/>
      <c r="AV869" s="9"/>
      <c r="AW869" s="9"/>
      <c r="AX869" s="9"/>
      <c r="AY869" s="8"/>
      <c r="AZ869" s="8"/>
      <c r="BA869" s="8"/>
      <c r="BB869" s="8"/>
      <c r="BC869" s="8"/>
      <c r="BD869" s="8"/>
      <c r="BE869" s="8"/>
      <c r="BF869" s="8"/>
    </row>
    <row r="870" spans="26:58" ht="16.899999999999999">
      <c r="Z870" s="244"/>
      <c r="AC870" s="10"/>
      <c r="AD870" s="10"/>
      <c r="AF870" s="10"/>
      <c r="AG870" s="10"/>
      <c r="AH870" s="10"/>
      <c r="AI870" s="9"/>
      <c r="AJ870" s="9"/>
      <c r="AK870" s="11"/>
      <c r="AL870" s="10"/>
      <c r="AM870" s="11"/>
      <c r="AN870" s="10"/>
      <c r="AO870" s="11"/>
      <c r="AP870" s="10"/>
      <c r="AQ870" s="10"/>
      <c r="AR870" s="10"/>
      <c r="AS870" s="9"/>
      <c r="AT870" s="9"/>
      <c r="AU870" s="9"/>
      <c r="AV870" s="9"/>
      <c r="AW870" s="9"/>
      <c r="AX870" s="9"/>
      <c r="AY870" s="8"/>
      <c r="AZ870" s="8"/>
      <c r="BA870" s="8"/>
      <c r="BB870" s="8"/>
      <c r="BC870" s="8"/>
      <c r="BD870" s="8"/>
      <c r="BE870" s="8"/>
      <c r="BF870" s="8"/>
    </row>
    <row r="871" spans="26:58" ht="16.899999999999999">
      <c r="Z871" s="244"/>
      <c r="AC871" s="10"/>
      <c r="AD871" s="10"/>
      <c r="AF871" s="10"/>
      <c r="AG871" s="10"/>
      <c r="AH871" s="10"/>
      <c r="AI871" s="9"/>
      <c r="AJ871" s="9"/>
      <c r="AK871" s="11"/>
      <c r="AL871" s="10"/>
      <c r="AM871" s="11"/>
      <c r="AN871" s="10"/>
      <c r="AO871" s="11"/>
      <c r="AP871" s="10"/>
      <c r="AQ871" s="10"/>
      <c r="AR871" s="10"/>
      <c r="AS871" s="9"/>
      <c r="AT871" s="9"/>
      <c r="AU871" s="9"/>
      <c r="AV871" s="9"/>
      <c r="AW871" s="9"/>
      <c r="AX871" s="9"/>
      <c r="AY871" s="8"/>
      <c r="AZ871" s="8"/>
      <c r="BA871" s="8"/>
      <c r="BB871" s="8"/>
      <c r="BC871" s="8"/>
      <c r="BD871" s="8"/>
      <c r="BE871" s="8"/>
      <c r="BF871" s="8"/>
    </row>
    <row r="872" spans="26:58" ht="16.899999999999999">
      <c r="Z872" s="244"/>
      <c r="AC872" s="10"/>
      <c r="AD872" s="10"/>
      <c r="AF872" s="10"/>
      <c r="AG872" s="10"/>
      <c r="AH872" s="10"/>
      <c r="AI872" s="9"/>
      <c r="AJ872" s="9"/>
      <c r="AK872" s="11"/>
      <c r="AL872" s="10"/>
      <c r="AM872" s="11"/>
      <c r="AN872" s="10"/>
      <c r="AO872" s="11"/>
      <c r="AP872" s="10"/>
      <c r="AQ872" s="10"/>
      <c r="AR872" s="10"/>
      <c r="AS872" s="9"/>
      <c r="AT872" s="9"/>
      <c r="AU872" s="9"/>
      <c r="AV872" s="9"/>
      <c r="AW872" s="9"/>
      <c r="AX872" s="9"/>
      <c r="AY872" s="8"/>
      <c r="AZ872" s="8"/>
      <c r="BA872" s="8"/>
      <c r="BB872" s="8"/>
      <c r="BC872" s="8"/>
      <c r="BD872" s="8"/>
      <c r="BE872" s="8"/>
      <c r="BF872" s="8"/>
    </row>
    <row r="873" spans="26:58" ht="16.899999999999999">
      <c r="Z873" s="244"/>
      <c r="AC873" s="10"/>
      <c r="AD873" s="10"/>
      <c r="AF873" s="10"/>
      <c r="AG873" s="10"/>
      <c r="AH873" s="10"/>
      <c r="AI873" s="9"/>
      <c r="AJ873" s="9"/>
      <c r="AK873" s="11"/>
      <c r="AL873" s="10"/>
      <c r="AM873" s="11"/>
      <c r="AN873" s="10"/>
      <c r="AO873" s="11"/>
      <c r="AP873" s="10"/>
      <c r="AQ873" s="10"/>
      <c r="AR873" s="10"/>
      <c r="AS873" s="9"/>
      <c r="AT873" s="9"/>
      <c r="AU873" s="9"/>
      <c r="AV873" s="9"/>
      <c r="AW873" s="9"/>
      <c r="AX873" s="9"/>
      <c r="AY873" s="8"/>
      <c r="AZ873" s="8"/>
      <c r="BA873" s="8"/>
      <c r="BB873" s="8"/>
      <c r="BC873" s="8"/>
      <c r="BD873" s="8"/>
      <c r="BE873" s="8"/>
      <c r="BF873" s="8"/>
    </row>
    <row r="874" spans="26:58" ht="16.899999999999999">
      <c r="Z874" s="244"/>
      <c r="AC874" s="10"/>
      <c r="AD874" s="10"/>
      <c r="AF874" s="10"/>
      <c r="AG874" s="10"/>
      <c r="AH874" s="10"/>
      <c r="AI874" s="9"/>
      <c r="AJ874" s="9"/>
      <c r="AK874" s="11"/>
      <c r="AL874" s="10"/>
      <c r="AM874" s="11"/>
      <c r="AN874" s="10"/>
      <c r="AO874" s="11"/>
      <c r="AP874" s="10"/>
      <c r="AQ874" s="10"/>
      <c r="AR874" s="10"/>
      <c r="AS874" s="9"/>
      <c r="AT874" s="9"/>
      <c r="AU874" s="9"/>
      <c r="AV874" s="9"/>
      <c r="AW874" s="9"/>
      <c r="AX874" s="9"/>
      <c r="AY874" s="8"/>
      <c r="AZ874" s="8"/>
      <c r="BA874" s="8"/>
      <c r="BB874" s="8"/>
      <c r="BC874" s="8"/>
      <c r="BD874" s="8"/>
      <c r="BE874" s="8"/>
      <c r="BF874" s="8"/>
    </row>
    <row r="875" spans="26:58" ht="16.899999999999999">
      <c r="Z875" s="244"/>
      <c r="AC875" s="10"/>
      <c r="AD875" s="10"/>
      <c r="AF875" s="10"/>
      <c r="AG875" s="10"/>
      <c r="AH875" s="10"/>
      <c r="AI875" s="9"/>
      <c r="AJ875" s="9"/>
      <c r="AK875" s="11"/>
      <c r="AL875" s="10"/>
      <c r="AM875" s="11"/>
      <c r="AN875" s="10"/>
      <c r="AO875" s="11"/>
      <c r="AP875" s="10"/>
      <c r="AQ875" s="10"/>
      <c r="AR875" s="10"/>
      <c r="AS875" s="9"/>
      <c r="AT875" s="9"/>
      <c r="AU875" s="9"/>
      <c r="AV875" s="9"/>
      <c r="AW875" s="9"/>
      <c r="AX875" s="9"/>
      <c r="AY875" s="8"/>
      <c r="AZ875" s="8"/>
      <c r="BA875" s="8"/>
      <c r="BB875" s="8"/>
      <c r="BC875" s="8"/>
      <c r="BD875" s="8"/>
      <c r="BE875" s="8"/>
      <c r="BF875" s="8"/>
    </row>
    <row r="876" spans="26:58" ht="16.899999999999999">
      <c r="Z876" s="244"/>
      <c r="AC876" s="10"/>
      <c r="AD876" s="10"/>
      <c r="AF876" s="10"/>
      <c r="AG876" s="10"/>
      <c r="AH876" s="10"/>
      <c r="AI876" s="9"/>
      <c r="AJ876" s="9"/>
      <c r="AK876" s="11"/>
      <c r="AL876" s="10"/>
      <c r="AM876" s="11"/>
      <c r="AN876" s="10"/>
      <c r="AO876" s="11"/>
      <c r="AP876" s="10"/>
      <c r="AQ876" s="10"/>
      <c r="AR876" s="10"/>
      <c r="AS876" s="9"/>
      <c r="AT876" s="9"/>
      <c r="AU876" s="9"/>
      <c r="AV876" s="9"/>
      <c r="AW876" s="9"/>
      <c r="AX876" s="9"/>
      <c r="AY876" s="8"/>
      <c r="AZ876" s="8"/>
      <c r="BA876" s="8"/>
      <c r="BB876" s="8"/>
      <c r="BC876" s="8"/>
      <c r="BD876" s="8"/>
      <c r="BE876" s="8"/>
      <c r="BF876" s="8"/>
    </row>
    <row r="877" spans="26:58" ht="16.899999999999999">
      <c r="Z877" s="244"/>
      <c r="AC877" s="10"/>
      <c r="AD877" s="10"/>
      <c r="AF877" s="10"/>
      <c r="AG877" s="10"/>
      <c r="AH877" s="10"/>
      <c r="AI877" s="9"/>
      <c r="AJ877" s="9"/>
      <c r="AK877" s="11"/>
      <c r="AL877" s="10"/>
      <c r="AM877" s="11"/>
      <c r="AN877" s="10"/>
      <c r="AO877" s="11"/>
      <c r="AP877" s="10"/>
      <c r="AQ877" s="10"/>
      <c r="AR877" s="10"/>
      <c r="AS877" s="9"/>
      <c r="AT877" s="9"/>
      <c r="AU877" s="9"/>
      <c r="AV877" s="9"/>
      <c r="AW877" s="9"/>
      <c r="AX877" s="9"/>
      <c r="AY877" s="8"/>
      <c r="AZ877" s="8"/>
      <c r="BA877" s="8"/>
      <c r="BB877" s="8"/>
      <c r="BC877" s="8"/>
      <c r="BD877" s="8"/>
      <c r="BE877" s="8"/>
      <c r="BF877" s="8"/>
    </row>
    <row r="878" spans="26:58" ht="16.899999999999999">
      <c r="Z878" s="244"/>
      <c r="AC878" s="10"/>
      <c r="AD878" s="10"/>
      <c r="AF878" s="10"/>
      <c r="AG878" s="10"/>
      <c r="AH878" s="10"/>
      <c r="AI878" s="9"/>
      <c r="AJ878" s="9"/>
      <c r="AK878" s="11"/>
      <c r="AL878" s="10"/>
      <c r="AM878" s="11"/>
      <c r="AN878" s="10"/>
      <c r="AO878" s="11"/>
      <c r="AP878" s="10"/>
      <c r="AQ878" s="10"/>
      <c r="AR878" s="10"/>
      <c r="AS878" s="9"/>
      <c r="AT878" s="9"/>
      <c r="AU878" s="9"/>
      <c r="AV878" s="9"/>
      <c r="AW878" s="9"/>
      <c r="AX878" s="9"/>
      <c r="AY878" s="8"/>
      <c r="AZ878" s="8"/>
      <c r="BA878" s="8"/>
      <c r="BB878" s="8"/>
      <c r="BC878" s="8"/>
      <c r="BD878" s="8"/>
      <c r="BE878" s="8"/>
      <c r="BF878" s="8"/>
    </row>
    <row r="879" spans="26:58" ht="16.899999999999999">
      <c r="Z879" s="244"/>
      <c r="AC879" s="10"/>
      <c r="AD879" s="10"/>
      <c r="AF879" s="10"/>
      <c r="AG879" s="10"/>
      <c r="AH879" s="10"/>
      <c r="AI879" s="9"/>
      <c r="AJ879" s="9"/>
      <c r="AK879" s="11"/>
      <c r="AL879" s="10"/>
      <c r="AM879" s="11"/>
      <c r="AN879" s="10"/>
      <c r="AO879" s="11"/>
      <c r="AP879" s="10"/>
      <c r="AQ879" s="10"/>
      <c r="AR879" s="10"/>
      <c r="AS879" s="9"/>
      <c r="AT879" s="9"/>
      <c r="AU879" s="9"/>
      <c r="AV879" s="9"/>
      <c r="AW879" s="9"/>
      <c r="AX879" s="9"/>
      <c r="AY879" s="8"/>
      <c r="AZ879" s="8"/>
      <c r="BA879" s="8"/>
      <c r="BB879" s="8"/>
      <c r="BC879" s="8"/>
      <c r="BD879" s="8"/>
      <c r="BE879" s="8"/>
      <c r="BF879" s="8"/>
    </row>
    <row r="880" spans="26:58" ht="16.899999999999999">
      <c r="Z880" s="244"/>
      <c r="AC880" s="10"/>
      <c r="AD880" s="10"/>
      <c r="AF880" s="10"/>
      <c r="AG880" s="10"/>
      <c r="AH880" s="10"/>
      <c r="AI880" s="9"/>
      <c r="AJ880" s="9"/>
      <c r="AK880" s="11"/>
      <c r="AL880" s="10"/>
      <c r="AM880" s="11"/>
      <c r="AN880" s="10"/>
      <c r="AO880" s="11"/>
      <c r="AP880" s="10"/>
      <c r="AQ880" s="10"/>
      <c r="AR880" s="10"/>
      <c r="AS880" s="9"/>
      <c r="AT880" s="9"/>
      <c r="AU880" s="9"/>
      <c r="AV880" s="9"/>
      <c r="AW880" s="9"/>
      <c r="AX880" s="9"/>
      <c r="AY880" s="8"/>
      <c r="AZ880" s="8"/>
      <c r="BA880" s="8"/>
      <c r="BB880" s="8"/>
      <c r="BC880" s="8"/>
      <c r="BD880" s="8"/>
      <c r="BE880" s="8"/>
      <c r="BF880" s="8"/>
    </row>
    <row r="881" spans="26:58" ht="16.899999999999999">
      <c r="Z881" s="244"/>
      <c r="AC881" s="10"/>
      <c r="AD881" s="10"/>
      <c r="AF881" s="10"/>
      <c r="AG881" s="10"/>
      <c r="AH881" s="10"/>
      <c r="AI881" s="9"/>
      <c r="AJ881" s="9"/>
      <c r="AK881" s="11"/>
      <c r="AL881" s="10"/>
      <c r="AM881" s="11"/>
      <c r="AN881" s="10"/>
      <c r="AO881" s="11"/>
      <c r="AP881" s="10"/>
      <c r="AQ881" s="10"/>
      <c r="AR881" s="10"/>
      <c r="AS881" s="9"/>
      <c r="AT881" s="9"/>
      <c r="AU881" s="9"/>
      <c r="AV881" s="9"/>
      <c r="AW881" s="9"/>
      <c r="AX881" s="9"/>
      <c r="AY881" s="8"/>
      <c r="AZ881" s="8"/>
      <c r="BA881" s="8"/>
      <c r="BB881" s="8"/>
      <c r="BC881" s="8"/>
      <c r="BD881" s="8"/>
      <c r="BE881" s="8"/>
      <c r="BF881" s="8"/>
    </row>
    <row r="882" spans="26:58" ht="16.899999999999999">
      <c r="Z882" s="244"/>
      <c r="AC882" s="10"/>
      <c r="AD882" s="10"/>
      <c r="AF882" s="10"/>
      <c r="AG882" s="10"/>
      <c r="AH882" s="10"/>
      <c r="AI882" s="9"/>
      <c r="AJ882" s="9"/>
      <c r="AK882" s="11"/>
      <c r="AL882" s="10"/>
      <c r="AM882" s="11"/>
      <c r="AN882" s="10"/>
      <c r="AO882" s="11"/>
      <c r="AP882" s="10"/>
      <c r="AQ882" s="10"/>
      <c r="AR882" s="10"/>
      <c r="AS882" s="9"/>
      <c r="AT882" s="9"/>
      <c r="AU882" s="9"/>
      <c r="AV882" s="9"/>
      <c r="AW882" s="9"/>
      <c r="AX882" s="9"/>
      <c r="AY882" s="8"/>
      <c r="AZ882" s="8"/>
      <c r="BA882" s="8"/>
      <c r="BB882" s="8"/>
      <c r="BC882" s="8"/>
      <c r="BD882" s="8"/>
      <c r="BE882" s="8"/>
      <c r="BF882" s="8"/>
    </row>
    <row r="883" spans="26:58" ht="16.899999999999999">
      <c r="Z883" s="244"/>
      <c r="AC883" s="10"/>
      <c r="AD883" s="10"/>
      <c r="AF883" s="10"/>
      <c r="AG883" s="10"/>
      <c r="AH883" s="10"/>
      <c r="AI883" s="9"/>
      <c r="AJ883" s="9"/>
      <c r="AK883" s="11"/>
      <c r="AL883" s="10"/>
      <c r="AM883" s="11"/>
      <c r="AN883" s="10"/>
      <c r="AO883" s="11"/>
      <c r="AP883" s="10"/>
      <c r="AQ883" s="10"/>
      <c r="AR883" s="10"/>
      <c r="AS883" s="9"/>
      <c r="AT883" s="9"/>
      <c r="AU883" s="9"/>
      <c r="AV883" s="9"/>
      <c r="AW883" s="9"/>
      <c r="AX883" s="9"/>
      <c r="AY883" s="8"/>
      <c r="AZ883" s="8"/>
      <c r="BA883" s="8"/>
      <c r="BB883" s="8"/>
      <c r="BC883" s="8"/>
      <c r="BD883" s="8"/>
      <c r="BE883" s="8"/>
      <c r="BF883" s="8"/>
    </row>
    <row r="884" spans="26:58" ht="16.899999999999999">
      <c r="Z884" s="244"/>
      <c r="AC884" s="10"/>
      <c r="AD884" s="10"/>
      <c r="AF884" s="10"/>
      <c r="AG884" s="10"/>
      <c r="AH884" s="10"/>
      <c r="AI884" s="9"/>
      <c r="AJ884" s="9"/>
      <c r="AK884" s="11"/>
      <c r="AL884" s="10"/>
      <c r="AM884" s="11"/>
      <c r="AN884" s="10"/>
      <c r="AO884" s="11"/>
      <c r="AP884" s="10"/>
      <c r="AQ884" s="10"/>
      <c r="AR884" s="10"/>
      <c r="AS884" s="9"/>
      <c r="AT884" s="9"/>
      <c r="AU884" s="9"/>
      <c r="AV884" s="9"/>
      <c r="AW884" s="9"/>
      <c r="AX884" s="9"/>
      <c r="AY884" s="8"/>
      <c r="AZ884" s="8"/>
      <c r="BA884" s="8"/>
      <c r="BB884" s="8"/>
      <c r="BC884" s="8"/>
      <c r="BD884" s="8"/>
      <c r="BE884" s="8"/>
      <c r="BF884" s="8"/>
    </row>
    <row r="885" spans="26:58" ht="16.899999999999999">
      <c r="Z885" s="244"/>
      <c r="AC885" s="10"/>
      <c r="AD885" s="10"/>
      <c r="AF885" s="10"/>
      <c r="AG885" s="10"/>
      <c r="AH885" s="10"/>
      <c r="AI885" s="9"/>
      <c r="AJ885" s="9"/>
      <c r="AK885" s="11"/>
      <c r="AL885" s="10"/>
      <c r="AM885" s="11"/>
      <c r="AN885" s="10"/>
      <c r="AO885" s="11"/>
      <c r="AP885" s="10"/>
      <c r="AQ885" s="10"/>
      <c r="AR885" s="10"/>
      <c r="AS885" s="9"/>
      <c r="AT885" s="9"/>
      <c r="AU885" s="9"/>
      <c r="AV885" s="9"/>
      <c r="AW885" s="9"/>
      <c r="AX885" s="9"/>
      <c r="AY885" s="8"/>
      <c r="AZ885" s="8"/>
      <c r="BA885" s="8"/>
      <c r="BB885" s="8"/>
      <c r="BC885" s="8"/>
      <c r="BD885" s="8"/>
      <c r="BE885" s="8"/>
      <c r="BF885" s="8"/>
    </row>
    <row r="886" spans="26:58" ht="16.899999999999999">
      <c r="Z886" s="244"/>
      <c r="AC886" s="10"/>
      <c r="AD886" s="10"/>
      <c r="AF886" s="10"/>
      <c r="AG886" s="10"/>
      <c r="AH886" s="10"/>
      <c r="AI886" s="9"/>
      <c r="AJ886" s="9"/>
      <c r="AK886" s="11"/>
      <c r="AL886" s="10"/>
      <c r="AM886" s="11"/>
      <c r="AN886" s="10"/>
      <c r="AO886" s="11"/>
      <c r="AP886" s="10"/>
      <c r="AQ886" s="10"/>
      <c r="AR886" s="10"/>
      <c r="AS886" s="9"/>
      <c r="AT886" s="9"/>
      <c r="AU886" s="9"/>
      <c r="AV886" s="9"/>
      <c r="AW886" s="9"/>
      <c r="AX886" s="9"/>
      <c r="AY886" s="8"/>
      <c r="AZ886" s="8"/>
      <c r="BA886" s="8"/>
      <c r="BB886" s="8"/>
      <c r="BC886" s="8"/>
      <c r="BD886" s="8"/>
      <c r="BE886" s="8"/>
      <c r="BF886" s="8"/>
    </row>
    <row r="887" spans="26:58" ht="16.899999999999999">
      <c r="Z887" s="244"/>
      <c r="AC887" s="10"/>
      <c r="AD887" s="10"/>
      <c r="AF887" s="10"/>
      <c r="AG887" s="10"/>
      <c r="AH887" s="10"/>
      <c r="AI887" s="9"/>
      <c r="AJ887" s="9"/>
      <c r="AK887" s="11"/>
      <c r="AL887" s="10"/>
      <c r="AM887" s="11"/>
      <c r="AN887" s="10"/>
      <c r="AO887" s="11"/>
      <c r="AP887" s="10"/>
      <c r="AQ887" s="10"/>
      <c r="AR887" s="10"/>
      <c r="AS887" s="9"/>
      <c r="AT887" s="9"/>
      <c r="AU887" s="9"/>
      <c r="AV887" s="9"/>
      <c r="AW887" s="9"/>
      <c r="AX887" s="9"/>
      <c r="AY887" s="8"/>
      <c r="AZ887" s="8"/>
      <c r="BA887" s="8"/>
      <c r="BB887" s="8"/>
      <c r="BC887" s="8"/>
      <c r="BD887" s="8"/>
      <c r="BE887" s="8"/>
      <c r="BF887" s="8"/>
    </row>
    <row r="888" spans="26:58" ht="16.899999999999999">
      <c r="Z888" s="244"/>
      <c r="AC888" s="10"/>
      <c r="AD888" s="10"/>
      <c r="AF888" s="10"/>
      <c r="AG888" s="10"/>
      <c r="AH888" s="10"/>
      <c r="AI888" s="9"/>
      <c r="AJ888" s="9"/>
      <c r="AK888" s="11"/>
      <c r="AL888" s="10"/>
      <c r="AM888" s="11"/>
      <c r="AN888" s="10"/>
      <c r="AO888" s="11"/>
      <c r="AP888" s="10"/>
      <c r="AQ888" s="10"/>
      <c r="AR888" s="10"/>
      <c r="AS888" s="9"/>
      <c r="AT888" s="9"/>
      <c r="AU888" s="9"/>
      <c r="AV888" s="9"/>
      <c r="AW888" s="9"/>
      <c r="AX888" s="9"/>
      <c r="AY888" s="8"/>
      <c r="AZ888" s="8"/>
      <c r="BA888" s="8"/>
      <c r="BB888" s="8"/>
      <c r="BC888" s="8"/>
      <c r="BD888" s="8"/>
      <c r="BE888" s="8"/>
      <c r="BF888" s="8"/>
    </row>
    <row r="889" spans="26:58" ht="16.899999999999999">
      <c r="Z889" s="244"/>
      <c r="AC889" s="10"/>
      <c r="AD889" s="10"/>
      <c r="AF889" s="10"/>
      <c r="AG889" s="10"/>
      <c r="AH889" s="10"/>
      <c r="AI889" s="9"/>
      <c r="AJ889" s="9"/>
      <c r="AK889" s="11"/>
      <c r="AL889" s="10"/>
      <c r="AM889" s="11"/>
      <c r="AN889" s="10"/>
      <c r="AO889" s="11"/>
      <c r="AP889" s="10"/>
      <c r="AQ889" s="10"/>
      <c r="AR889" s="10"/>
      <c r="AS889" s="9"/>
      <c r="AT889" s="9"/>
      <c r="AU889" s="9"/>
      <c r="AV889" s="9"/>
      <c r="AW889" s="9"/>
      <c r="AX889" s="9"/>
      <c r="AY889" s="8"/>
      <c r="AZ889" s="8"/>
      <c r="BA889" s="8"/>
      <c r="BB889" s="8"/>
      <c r="BC889" s="8"/>
      <c r="BD889" s="8"/>
      <c r="BE889" s="8"/>
      <c r="BF889" s="8"/>
    </row>
    <row r="890" spans="26:58" ht="16.899999999999999">
      <c r="Z890" s="244"/>
      <c r="AC890" s="10"/>
      <c r="AD890" s="10"/>
      <c r="AF890" s="10"/>
      <c r="AG890" s="10"/>
      <c r="AH890" s="10"/>
      <c r="AI890" s="9"/>
      <c r="AJ890" s="9"/>
      <c r="AK890" s="11"/>
      <c r="AL890" s="10"/>
      <c r="AM890" s="11"/>
      <c r="AN890" s="10"/>
      <c r="AO890" s="11"/>
      <c r="AP890" s="10"/>
      <c r="AQ890" s="10"/>
      <c r="AR890" s="10"/>
      <c r="AS890" s="9"/>
      <c r="AT890" s="9"/>
      <c r="AU890" s="9"/>
      <c r="AV890" s="9"/>
      <c r="AW890" s="9"/>
      <c r="AX890" s="9"/>
      <c r="AY890" s="8"/>
      <c r="AZ890" s="8"/>
      <c r="BA890" s="8"/>
      <c r="BB890" s="8"/>
      <c r="BC890" s="8"/>
      <c r="BD890" s="8"/>
      <c r="BE890" s="8"/>
      <c r="BF890" s="8"/>
    </row>
    <row r="891" spans="26:58" ht="16.899999999999999">
      <c r="Z891" s="244"/>
      <c r="AC891" s="10"/>
      <c r="AD891" s="10"/>
      <c r="AF891" s="10"/>
      <c r="AG891" s="10"/>
      <c r="AH891" s="10"/>
      <c r="AI891" s="9"/>
      <c r="AJ891" s="9"/>
      <c r="AK891" s="11"/>
      <c r="AL891" s="10"/>
      <c r="AM891" s="11"/>
      <c r="AN891" s="10"/>
      <c r="AO891" s="11"/>
      <c r="AP891" s="10"/>
      <c r="AQ891" s="10"/>
      <c r="AR891" s="10"/>
      <c r="AS891" s="9"/>
      <c r="AT891" s="9"/>
      <c r="AU891" s="9"/>
      <c r="AV891" s="9"/>
      <c r="AW891" s="9"/>
      <c r="AX891" s="9"/>
      <c r="AY891" s="8"/>
      <c r="AZ891" s="8"/>
      <c r="BA891" s="8"/>
      <c r="BB891" s="8"/>
      <c r="BC891" s="8"/>
      <c r="BD891" s="8"/>
      <c r="BE891" s="8"/>
      <c r="BF891" s="8"/>
    </row>
    <row r="892" spans="26:58" ht="16.899999999999999">
      <c r="Z892" s="244"/>
      <c r="AC892" s="10"/>
      <c r="AD892" s="10"/>
      <c r="AF892" s="10"/>
      <c r="AG892" s="10"/>
      <c r="AH892" s="10"/>
      <c r="AI892" s="9"/>
      <c r="AJ892" s="9"/>
      <c r="AK892" s="11"/>
      <c r="AL892" s="10"/>
      <c r="AM892" s="11"/>
      <c r="AN892" s="10"/>
      <c r="AO892" s="11"/>
      <c r="AP892" s="10"/>
      <c r="AQ892" s="10"/>
      <c r="AR892" s="10"/>
      <c r="AS892" s="9"/>
      <c r="AT892" s="9"/>
      <c r="AU892" s="9"/>
      <c r="AV892" s="9"/>
      <c r="AW892" s="9"/>
      <c r="AX892" s="9"/>
      <c r="AY892" s="8"/>
      <c r="AZ892" s="8"/>
      <c r="BA892" s="8"/>
      <c r="BB892" s="8"/>
      <c r="BC892" s="8"/>
      <c r="BD892" s="8"/>
      <c r="BE892" s="8"/>
      <c r="BF892" s="8"/>
    </row>
    <row r="893" spans="26:58" ht="16.899999999999999">
      <c r="Z893" s="244"/>
      <c r="AC893" s="10"/>
      <c r="AD893" s="10"/>
      <c r="AF893" s="10"/>
      <c r="AG893" s="10"/>
      <c r="AH893" s="10"/>
      <c r="AI893" s="9"/>
      <c r="AJ893" s="9"/>
      <c r="AK893" s="11"/>
      <c r="AL893" s="10"/>
      <c r="AM893" s="11"/>
      <c r="AN893" s="10"/>
      <c r="AO893" s="11"/>
      <c r="AP893" s="10"/>
      <c r="AQ893" s="10"/>
      <c r="AR893" s="10"/>
      <c r="AS893" s="9"/>
      <c r="AT893" s="9"/>
      <c r="AU893" s="9"/>
      <c r="AV893" s="9"/>
      <c r="AW893" s="9"/>
      <c r="AX893" s="9"/>
      <c r="AY893" s="8"/>
      <c r="AZ893" s="8"/>
      <c r="BA893" s="8"/>
      <c r="BB893" s="8"/>
      <c r="BC893" s="8"/>
      <c r="BD893" s="8"/>
      <c r="BE893" s="8"/>
      <c r="BF893" s="8"/>
    </row>
    <row r="894" spans="26:58" ht="16.899999999999999">
      <c r="Z894" s="244"/>
      <c r="AC894" s="10"/>
      <c r="AD894" s="10"/>
      <c r="AF894" s="10"/>
      <c r="AG894" s="10"/>
      <c r="AH894" s="10"/>
      <c r="AI894" s="9"/>
      <c r="AJ894" s="9"/>
      <c r="AK894" s="11"/>
      <c r="AL894" s="10"/>
      <c r="AM894" s="11"/>
      <c r="AN894" s="10"/>
      <c r="AO894" s="11"/>
      <c r="AP894" s="10"/>
      <c r="AQ894" s="10"/>
      <c r="AR894" s="10"/>
      <c r="AS894" s="9"/>
      <c r="AT894" s="9"/>
      <c r="AU894" s="9"/>
      <c r="AV894" s="9"/>
      <c r="AW894" s="9"/>
      <c r="AX894" s="9"/>
      <c r="AY894" s="8"/>
      <c r="AZ894" s="8"/>
      <c r="BA894" s="8"/>
      <c r="BB894" s="8"/>
      <c r="BC894" s="8"/>
      <c r="BD894" s="8"/>
      <c r="BE894" s="8"/>
      <c r="BF894" s="8"/>
    </row>
    <row r="895" spans="26:58" ht="16.899999999999999">
      <c r="Z895" s="244"/>
      <c r="AC895" s="10"/>
      <c r="AD895" s="10"/>
      <c r="AF895" s="10"/>
      <c r="AG895" s="10"/>
      <c r="AH895" s="10"/>
      <c r="AI895" s="9"/>
      <c r="AJ895" s="9"/>
      <c r="AK895" s="11"/>
      <c r="AL895" s="10"/>
      <c r="AM895" s="11"/>
      <c r="AN895" s="10"/>
      <c r="AO895" s="11"/>
      <c r="AP895" s="10"/>
      <c r="AQ895" s="10"/>
      <c r="AR895" s="10"/>
      <c r="AS895" s="9"/>
      <c r="AT895" s="9"/>
      <c r="AU895" s="9"/>
      <c r="AV895" s="9"/>
      <c r="AW895" s="9"/>
      <c r="AX895" s="9"/>
      <c r="AY895" s="8"/>
      <c r="AZ895" s="8"/>
      <c r="BA895" s="8"/>
      <c r="BB895" s="8"/>
      <c r="BC895" s="8"/>
      <c r="BD895" s="8"/>
      <c r="BE895" s="8"/>
      <c r="BF895" s="8"/>
    </row>
    <row r="896" spans="26:58" ht="16.899999999999999">
      <c r="Z896" s="244"/>
      <c r="AC896" s="10"/>
      <c r="AD896" s="10"/>
      <c r="AF896" s="10"/>
      <c r="AG896" s="10"/>
      <c r="AH896" s="10"/>
      <c r="AI896" s="9"/>
      <c r="AJ896" s="9"/>
      <c r="AK896" s="11"/>
      <c r="AL896" s="10"/>
      <c r="AM896" s="11"/>
      <c r="AN896" s="10"/>
      <c r="AO896" s="11"/>
      <c r="AP896" s="10"/>
      <c r="AQ896" s="10"/>
      <c r="AR896" s="10"/>
      <c r="AS896" s="9"/>
      <c r="AT896" s="9"/>
      <c r="AU896" s="9"/>
      <c r="AV896" s="9"/>
      <c r="AW896" s="9"/>
      <c r="AX896" s="9"/>
      <c r="AY896" s="8"/>
      <c r="AZ896" s="8"/>
      <c r="BA896" s="8"/>
      <c r="BB896" s="8"/>
      <c r="BC896" s="8"/>
      <c r="BD896" s="8"/>
      <c r="BE896" s="8"/>
      <c r="BF896" s="8"/>
    </row>
    <row r="897" spans="26:58" ht="16.899999999999999">
      <c r="Z897" s="244"/>
      <c r="AC897" s="10"/>
      <c r="AD897" s="10"/>
      <c r="AF897" s="10"/>
      <c r="AG897" s="10"/>
      <c r="AH897" s="10"/>
      <c r="AI897" s="9"/>
      <c r="AJ897" s="9"/>
      <c r="AK897" s="11"/>
      <c r="AL897" s="10"/>
      <c r="AM897" s="11"/>
      <c r="AN897" s="10"/>
      <c r="AO897" s="11"/>
      <c r="AP897" s="10"/>
      <c r="AQ897" s="10"/>
      <c r="AR897" s="10"/>
      <c r="AS897" s="9"/>
      <c r="AT897" s="9"/>
      <c r="AU897" s="9"/>
      <c r="AV897" s="9"/>
      <c r="AW897" s="9"/>
      <c r="AX897" s="9"/>
      <c r="AY897" s="8"/>
      <c r="AZ897" s="8"/>
      <c r="BA897" s="8"/>
      <c r="BB897" s="8"/>
      <c r="BC897" s="8"/>
      <c r="BD897" s="8"/>
      <c r="BE897" s="8"/>
      <c r="BF897" s="8"/>
    </row>
    <row r="898" spans="26:58" ht="16.899999999999999">
      <c r="Z898" s="244"/>
      <c r="AC898" s="10"/>
      <c r="AD898" s="10"/>
      <c r="AF898" s="10"/>
      <c r="AG898" s="10"/>
      <c r="AH898" s="10"/>
      <c r="AI898" s="9"/>
      <c r="AJ898" s="9"/>
      <c r="AK898" s="11"/>
      <c r="AL898" s="10"/>
      <c r="AM898" s="11"/>
      <c r="AN898" s="10"/>
      <c r="AO898" s="11"/>
      <c r="AP898" s="10"/>
      <c r="AQ898" s="10"/>
      <c r="AR898" s="10"/>
      <c r="AS898" s="9"/>
      <c r="AT898" s="9"/>
      <c r="AU898" s="9"/>
      <c r="AV898" s="9"/>
      <c r="AW898" s="9"/>
      <c r="AX898" s="9"/>
      <c r="AY898" s="8"/>
      <c r="AZ898" s="8"/>
      <c r="BA898" s="8"/>
      <c r="BB898" s="8"/>
      <c r="BC898" s="8"/>
      <c r="BD898" s="8"/>
      <c r="BE898" s="8"/>
      <c r="BF898" s="8"/>
    </row>
    <row r="899" spans="26:58" ht="16.899999999999999">
      <c r="Z899" s="244"/>
      <c r="AC899" s="10"/>
      <c r="AD899" s="10"/>
      <c r="AF899" s="10"/>
      <c r="AG899" s="10"/>
      <c r="AH899" s="10"/>
      <c r="AI899" s="9"/>
      <c r="AJ899" s="9"/>
      <c r="AK899" s="11"/>
      <c r="AL899" s="10"/>
      <c r="AM899" s="11"/>
      <c r="AN899" s="10"/>
      <c r="AO899" s="11"/>
      <c r="AP899" s="10"/>
      <c r="AQ899" s="10"/>
      <c r="AR899" s="10"/>
      <c r="AS899" s="9"/>
      <c r="AT899" s="9"/>
      <c r="AU899" s="9"/>
      <c r="AV899" s="9"/>
      <c r="AW899" s="9"/>
      <c r="AX899" s="9"/>
      <c r="AY899" s="8"/>
      <c r="AZ899" s="8"/>
      <c r="BA899" s="8"/>
      <c r="BB899" s="8"/>
      <c r="BC899" s="8"/>
      <c r="BD899" s="8"/>
      <c r="BE899" s="8"/>
      <c r="BF899" s="8"/>
    </row>
    <row r="900" spans="26:58" ht="16.899999999999999">
      <c r="Z900" s="244"/>
      <c r="AC900" s="10"/>
      <c r="AD900" s="10"/>
      <c r="AF900" s="10"/>
      <c r="AG900" s="10"/>
      <c r="AH900" s="10"/>
      <c r="AI900" s="9"/>
      <c r="AJ900" s="9"/>
      <c r="AK900" s="11"/>
      <c r="AL900" s="10"/>
      <c r="AM900" s="11"/>
      <c r="AN900" s="10"/>
      <c r="AO900" s="11"/>
      <c r="AP900" s="10"/>
      <c r="AQ900" s="10"/>
      <c r="AR900" s="10"/>
      <c r="AS900" s="9"/>
      <c r="AT900" s="9"/>
      <c r="AU900" s="9"/>
      <c r="AV900" s="9"/>
      <c r="AW900" s="9"/>
      <c r="AX900" s="9"/>
      <c r="AY900" s="8"/>
      <c r="AZ900" s="8"/>
      <c r="BA900" s="8"/>
      <c r="BB900" s="8"/>
      <c r="BC900" s="8"/>
      <c r="BD900" s="8"/>
      <c r="BE900" s="8"/>
      <c r="BF900" s="8"/>
    </row>
    <row r="901" spans="26:58" ht="16.899999999999999">
      <c r="Z901" s="244"/>
      <c r="AC901" s="10"/>
      <c r="AD901" s="10"/>
      <c r="AF901" s="10"/>
      <c r="AG901" s="10"/>
      <c r="AH901" s="10"/>
      <c r="AI901" s="9"/>
      <c r="AJ901" s="9"/>
      <c r="AK901" s="11"/>
      <c r="AL901" s="10"/>
      <c r="AM901" s="11"/>
      <c r="AN901" s="10"/>
      <c r="AO901" s="11"/>
      <c r="AP901" s="10"/>
      <c r="AQ901" s="10"/>
      <c r="AR901" s="10"/>
      <c r="AS901" s="9"/>
      <c r="AT901" s="9"/>
      <c r="AU901" s="9"/>
      <c r="AV901" s="9"/>
      <c r="AW901" s="9"/>
      <c r="AX901" s="9"/>
      <c r="AY901" s="8"/>
      <c r="AZ901" s="8"/>
      <c r="BA901" s="8"/>
      <c r="BB901" s="8"/>
      <c r="BC901" s="8"/>
      <c r="BD901" s="8"/>
      <c r="BE901" s="8"/>
      <c r="BF901" s="8"/>
    </row>
    <row r="902" spans="26:58" ht="16.899999999999999">
      <c r="Z902" s="244"/>
      <c r="AC902" s="10"/>
      <c r="AD902" s="10"/>
      <c r="AF902" s="10"/>
      <c r="AG902" s="10"/>
      <c r="AH902" s="10"/>
      <c r="AI902" s="9"/>
      <c r="AJ902" s="9"/>
      <c r="AK902" s="11"/>
      <c r="AL902" s="10"/>
      <c r="AM902" s="11"/>
      <c r="AN902" s="10"/>
      <c r="AO902" s="11"/>
      <c r="AP902" s="10"/>
      <c r="AQ902" s="10"/>
      <c r="AR902" s="10"/>
      <c r="AS902" s="9"/>
      <c r="AT902" s="9"/>
      <c r="AU902" s="9"/>
      <c r="AV902" s="9"/>
      <c r="AW902" s="9"/>
      <c r="AX902" s="9"/>
      <c r="AY902" s="8"/>
      <c r="AZ902" s="8"/>
      <c r="BA902" s="8"/>
      <c r="BB902" s="8"/>
      <c r="BC902" s="8"/>
      <c r="BD902" s="8"/>
      <c r="BE902" s="8"/>
      <c r="BF902" s="8"/>
    </row>
    <row r="903" spans="26:58" ht="16.899999999999999">
      <c r="Z903" s="244"/>
      <c r="AC903" s="10"/>
      <c r="AD903" s="10"/>
      <c r="AF903" s="10"/>
      <c r="AG903" s="10"/>
      <c r="AH903" s="10"/>
      <c r="AI903" s="9"/>
      <c r="AJ903" s="9"/>
      <c r="AK903" s="11"/>
      <c r="AL903" s="10"/>
      <c r="AM903" s="11"/>
      <c r="AN903" s="10"/>
      <c r="AO903" s="11"/>
      <c r="AP903" s="10"/>
      <c r="AQ903" s="10"/>
      <c r="AR903" s="10"/>
      <c r="AS903" s="9"/>
      <c r="AT903" s="9"/>
      <c r="AU903" s="9"/>
      <c r="AV903" s="9"/>
      <c r="AW903" s="9"/>
      <c r="AX903" s="9"/>
      <c r="AY903" s="8"/>
      <c r="AZ903" s="8"/>
      <c r="BA903" s="8"/>
      <c r="BB903" s="8"/>
      <c r="BC903" s="8"/>
      <c r="BD903" s="8"/>
      <c r="BE903" s="8"/>
      <c r="BF903" s="8"/>
    </row>
    <row r="904" spans="26:58" ht="16.899999999999999">
      <c r="Z904" s="244"/>
      <c r="AC904" s="10"/>
      <c r="AD904" s="10"/>
      <c r="AF904" s="10"/>
      <c r="AG904" s="10"/>
      <c r="AH904" s="10"/>
      <c r="AI904" s="9"/>
      <c r="AJ904" s="9"/>
      <c r="AK904" s="11"/>
      <c r="AL904" s="10"/>
      <c r="AM904" s="11"/>
      <c r="AN904" s="10"/>
      <c r="AO904" s="11"/>
      <c r="AP904" s="10"/>
      <c r="AQ904" s="10"/>
      <c r="AR904" s="10"/>
      <c r="AS904" s="9"/>
      <c r="AT904" s="9"/>
      <c r="AU904" s="9"/>
      <c r="AV904" s="9"/>
      <c r="AW904" s="9"/>
      <c r="AX904" s="9"/>
      <c r="AY904" s="8"/>
      <c r="AZ904" s="8"/>
      <c r="BA904" s="8"/>
      <c r="BB904" s="8"/>
      <c r="BC904" s="8"/>
      <c r="BD904" s="8"/>
      <c r="BE904" s="8"/>
      <c r="BF904" s="8"/>
    </row>
    <row r="905" spans="26:58" ht="16.899999999999999">
      <c r="Z905" s="244"/>
      <c r="AC905" s="10"/>
      <c r="AD905" s="10"/>
      <c r="AF905" s="10"/>
      <c r="AG905" s="10"/>
      <c r="AH905" s="10"/>
      <c r="AI905" s="9"/>
      <c r="AJ905" s="9"/>
      <c r="AK905" s="11"/>
      <c r="AL905" s="10"/>
      <c r="AM905" s="11"/>
      <c r="AN905" s="10"/>
      <c r="AO905" s="11"/>
      <c r="AP905" s="10"/>
      <c r="AQ905" s="10"/>
      <c r="AR905" s="10"/>
      <c r="AS905" s="9"/>
      <c r="AT905" s="9"/>
      <c r="AU905" s="9"/>
      <c r="AV905" s="9"/>
      <c r="AW905" s="9"/>
      <c r="AX905" s="9"/>
      <c r="AY905" s="8"/>
      <c r="AZ905" s="8"/>
      <c r="BA905" s="8"/>
      <c r="BB905" s="8"/>
      <c r="BC905" s="8"/>
      <c r="BD905" s="8"/>
      <c r="BE905" s="8"/>
      <c r="BF905" s="8"/>
    </row>
    <row r="906" spans="26:58" ht="16.899999999999999">
      <c r="Z906" s="244"/>
      <c r="AC906" s="10"/>
      <c r="AD906" s="10"/>
      <c r="AF906" s="10"/>
      <c r="AG906" s="10"/>
      <c r="AH906" s="10"/>
      <c r="AI906" s="9"/>
      <c r="AJ906" s="9"/>
      <c r="AK906" s="11"/>
      <c r="AL906" s="10"/>
      <c r="AM906" s="11"/>
      <c r="AN906" s="10"/>
      <c r="AO906" s="11"/>
      <c r="AP906" s="10"/>
      <c r="AQ906" s="10"/>
      <c r="AR906" s="10"/>
      <c r="AS906" s="9"/>
      <c r="AT906" s="9"/>
      <c r="AU906" s="9"/>
      <c r="AV906" s="9"/>
      <c r="AW906" s="9"/>
      <c r="AX906" s="9"/>
      <c r="AY906" s="8"/>
      <c r="AZ906" s="8"/>
      <c r="BA906" s="8"/>
      <c r="BB906" s="8"/>
      <c r="BC906" s="8"/>
      <c r="BD906" s="8"/>
      <c r="BE906" s="8"/>
      <c r="BF906" s="8"/>
    </row>
    <row r="907" spans="26:58" ht="16.899999999999999">
      <c r="Z907" s="244"/>
      <c r="AC907" s="10"/>
      <c r="AD907" s="10"/>
      <c r="AF907" s="10"/>
      <c r="AG907" s="10"/>
      <c r="AH907" s="10"/>
      <c r="AI907" s="9"/>
      <c r="AJ907" s="9"/>
      <c r="AK907" s="11"/>
      <c r="AL907" s="10"/>
      <c r="AM907" s="11"/>
      <c r="AN907" s="10"/>
      <c r="AO907" s="11"/>
      <c r="AP907" s="10"/>
      <c r="AQ907" s="10"/>
      <c r="AR907" s="10"/>
      <c r="AS907" s="9"/>
      <c r="AT907" s="9"/>
      <c r="AU907" s="9"/>
      <c r="AV907" s="9"/>
      <c r="AW907" s="9"/>
      <c r="AX907" s="9"/>
      <c r="AY907" s="8"/>
      <c r="AZ907" s="8"/>
      <c r="BA907" s="8"/>
      <c r="BB907" s="8"/>
      <c r="BC907" s="8"/>
      <c r="BD907" s="8"/>
      <c r="BE907" s="8"/>
      <c r="BF907" s="8"/>
    </row>
    <row r="908" spans="26:58" ht="16.899999999999999">
      <c r="Z908" s="244"/>
      <c r="AC908" s="10"/>
      <c r="AD908" s="10"/>
      <c r="AF908" s="10"/>
      <c r="AG908" s="10"/>
      <c r="AH908" s="10"/>
      <c r="AI908" s="9"/>
      <c r="AJ908" s="9"/>
      <c r="AK908" s="11"/>
      <c r="AL908" s="10"/>
      <c r="AM908" s="11"/>
      <c r="AN908" s="10"/>
      <c r="AO908" s="11"/>
      <c r="AP908" s="10"/>
      <c r="AQ908" s="10"/>
      <c r="AR908" s="10"/>
      <c r="AS908" s="9"/>
      <c r="AT908" s="9"/>
      <c r="AU908" s="9"/>
      <c r="AV908" s="9"/>
      <c r="AW908" s="9"/>
      <c r="AX908" s="9"/>
      <c r="AY908" s="8"/>
      <c r="AZ908" s="8"/>
      <c r="BA908" s="8"/>
      <c r="BB908" s="8"/>
      <c r="BC908" s="8"/>
      <c r="BD908" s="8"/>
      <c r="BE908" s="8"/>
      <c r="BF908" s="8"/>
    </row>
    <row r="909" spans="26:58" ht="16.899999999999999">
      <c r="Z909" s="244"/>
      <c r="AC909" s="10"/>
      <c r="AD909" s="10"/>
      <c r="AF909" s="10"/>
      <c r="AG909" s="10"/>
      <c r="AH909" s="10"/>
      <c r="AI909" s="9"/>
      <c r="AJ909" s="9"/>
      <c r="AK909" s="11"/>
      <c r="AL909" s="10"/>
      <c r="AM909" s="11"/>
      <c r="AN909" s="10"/>
      <c r="AO909" s="11"/>
      <c r="AP909" s="10"/>
      <c r="AQ909" s="10"/>
      <c r="AR909" s="10"/>
      <c r="AS909" s="9"/>
      <c r="AT909" s="9"/>
      <c r="AU909" s="9"/>
      <c r="AV909" s="9"/>
      <c r="AW909" s="9"/>
      <c r="AX909" s="9"/>
      <c r="AY909" s="8"/>
      <c r="AZ909" s="8"/>
      <c r="BA909" s="8"/>
      <c r="BB909" s="8"/>
      <c r="BC909" s="8"/>
      <c r="BD909" s="8"/>
      <c r="BE909" s="8"/>
      <c r="BF909" s="8"/>
    </row>
    <row r="910" spans="26:58" ht="16.899999999999999">
      <c r="Z910" s="244"/>
      <c r="AC910" s="10"/>
      <c r="AD910" s="10"/>
      <c r="AF910" s="10"/>
      <c r="AG910" s="10"/>
      <c r="AH910" s="10"/>
      <c r="AI910" s="9"/>
      <c r="AJ910" s="9"/>
      <c r="AK910" s="11"/>
      <c r="AL910" s="10"/>
      <c r="AM910" s="11"/>
      <c r="AN910" s="10"/>
      <c r="AO910" s="11"/>
      <c r="AP910" s="10"/>
      <c r="AQ910" s="10"/>
      <c r="AR910" s="10"/>
      <c r="AS910" s="9"/>
      <c r="AT910" s="9"/>
      <c r="AU910" s="9"/>
      <c r="AV910" s="9"/>
      <c r="AW910" s="9"/>
      <c r="AX910" s="9"/>
      <c r="AY910" s="8"/>
      <c r="AZ910" s="8"/>
      <c r="BA910" s="8"/>
      <c r="BB910" s="8"/>
      <c r="BC910" s="8"/>
      <c r="BD910" s="8"/>
      <c r="BE910" s="8"/>
      <c r="BF910" s="8"/>
    </row>
    <row r="911" spans="26:58" ht="16.899999999999999">
      <c r="Z911" s="244"/>
      <c r="AC911" s="10"/>
      <c r="AD911" s="10"/>
      <c r="AF911" s="10"/>
      <c r="AG911" s="10"/>
      <c r="AH911" s="10"/>
      <c r="AI911" s="9"/>
      <c r="AJ911" s="9"/>
      <c r="AK911" s="11"/>
      <c r="AL911" s="10"/>
      <c r="AM911" s="11"/>
      <c r="AN911" s="10"/>
      <c r="AO911" s="11"/>
      <c r="AP911" s="10"/>
      <c r="AQ911" s="10"/>
      <c r="AR911" s="10"/>
      <c r="AS911" s="9"/>
      <c r="AT911" s="9"/>
      <c r="AU911" s="9"/>
      <c r="AV911" s="9"/>
      <c r="AW911" s="9"/>
      <c r="AX911" s="9"/>
      <c r="AY911" s="8"/>
      <c r="AZ911" s="8"/>
      <c r="BA911" s="8"/>
      <c r="BB911" s="8"/>
      <c r="BC911" s="8"/>
      <c r="BD911" s="8"/>
      <c r="BE911" s="8"/>
      <c r="BF911" s="8"/>
    </row>
    <row r="912" spans="26:58" ht="16.899999999999999">
      <c r="Z912" s="244"/>
      <c r="AC912" s="10"/>
      <c r="AD912" s="10"/>
      <c r="AF912" s="10"/>
      <c r="AG912" s="10"/>
      <c r="AH912" s="10"/>
      <c r="AI912" s="9"/>
      <c r="AJ912" s="9"/>
      <c r="AK912" s="11"/>
      <c r="AL912" s="10"/>
      <c r="AM912" s="11"/>
      <c r="AN912" s="10"/>
      <c r="AO912" s="11"/>
      <c r="AP912" s="10"/>
      <c r="AQ912" s="10"/>
      <c r="AR912" s="10"/>
      <c r="AS912" s="9"/>
      <c r="AT912" s="9"/>
      <c r="AU912" s="9"/>
      <c r="AV912" s="9"/>
      <c r="AW912" s="9"/>
      <c r="AX912" s="9"/>
      <c r="AY912" s="8"/>
      <c r="AZ912" s="8"/>
      <c r="BA912" s="8"/>
      <c r="BB912" s="8"/>
      <c r="BC912" s="8"/>
      <c r="BD912" s="8"/>
      <c r="BE912" s="8"/>
      <c r="BF912" s="8"/>
    </row>
    <row r="913" spans="26:58" ht="16.899999999999999">
      <c r="Z913" s="244"/>
      <c r="AC913" s="10"/>
      <c r="AD913" s="10"/>
      <c r="AF913" s="10"/>
      <c r="AG913" s="10"/>
      <c r="AH913" s="10"/>
      <c r="AI913" s="9"/>
      <c r="AJ913" s="9"/>
      <c r="AK913" s="11"/>
      <c r="AL913" s="10"/>
      <c r="AM913" s="11"/>
      <c r="AN913" s="10"/>
      <c r="AO913" s="11"/>
      <c r="AP913" s="10"/>
      <c r="AQ913" s="10"/>
      <c r="AR913" s="10"/>
      <c r="AS913" s="9"/>
      <c r="AT913" s="9"/>
      <c r="AU913" s="9"/>
      <c r="AV913" s="9"/>
      <c r="AW913" s="9"/>
      <c r="AX913" s="9"/>
      <c r="AY913" s="8"/>
      <c r="AZ913" s="8"/>
      <c r="BA913" s="8"/>
      <c r="BB913" s="8"/>
      <c r="BC913" s="8"/>
      <c r="BD913" s="8"/>
      <c r="BE913" s="8"/>
      <c r="BF913" s="8"/>
    </row>
    <row r="914" spans="26:58" ht="16.899999999999999">
      <c r="Z914" s="244"/>
      <c r="AC914" s="10"/>
      <c r="AD914" s="10"/>
      <c r="AF914" s="10"/>
      <c r="AG914" s="10"/>
      <c r="AH914" s="10"/>
      <c r="AI914" s="9"/>
      <c r="AJ914" s="9"/>
      <c r="AK914" s="11"/>
      <c r="AL914" s="10"/>
      <c r="AM914" s="11"/>
      <c r="AN914" s="10"/>
      <c r="AO914" s="11"/>
      <c r="AP914" s="10"/>
      <c r="AQ914" s="10"/>
      <c r="AR914" s="10"/>
      <c r="AS914" s="9"/>
      <c r="AT914" s="9"/>
      <c r="AU914" s="9"/>
      <c r="AV914" s="9"/>
      <c r="AW914" s="9"/>
      <c r="AX914" s="9"/>
      <c r="AY914" s="8"/>
      <c r="AZ914" s="8"/>
      <c r="BA914" s="8"/>
      <c r="BB914" s="8"/>
      <c r="BC914" s="8"/>
      <c r="BD914" s="8"/>
      <c r="BE914" s="8"/>
      <c r="BF914" s="8"/>
    </row>
    <row r="915" spans="26:58" ht="16.899999999999999">
      <c r="Z915" s="244"/>
      <c r="AC915" s="10"/>
      <c r="AD915" s="10"/>
      <c r="AF915" s="10"/>
      <c r="AG915" s="10"/>
      <c r="AH915" s="10"/>
      <c r="AI915" s="9"/>
      <c r="AJ915" s="9"/>
      <c r="AK915" s="11"/>
      <c r="AL915" s="10"/>
      <c r="AM915" s="11"/>
      <c r="AN915" s="10"/>
      <c r="AO915" s="11"/>
      <c r="AP915" s="10"/>
      <c r="AQ915" s="10"/>
      <c r="AR915" s="10"/>
      <c r="AS915" s="9"/>
      <c r="AT915" s="9"/>
      <c r="AU915" s="9"/>
      <c r="AV915" s="9"/>
      <c r="AW915" s="9"/>
      <c r="AX915" s="9"/>
      <c r="AY915" s="8"/>
      <c r="AZ915" s="8"/>
      <c r="BA915" s="8"/>
      <c r="BB915" s="8"/>
      <c r="BC915" s="8"/>
      <c r="BD915" s="8"/>
      <c r="BE915" s="8"/>
      <c r="BF915" s="8"/>
    </row>
    <row r="916" spans="26:58" ht="16.899999999999999">
      <c r="Z916" s="244"/>
      <c r="AC916" s="10"/>
      <c r="AD916" s="10"/>
      <c r="AF916" s="10"/>
      <c r="AG916" s="10"/>
      <c r="AH916" s="10"/>
      <c r="AI916" s="9"/>
      <c r="AJ916" s="9"/>
      <c r="AK916" s="11"/>
      <c r="AL916" s="10"/>
      <c r="AM916" s="11"/>
      <c r="AN916" s="10"/>
      <c r="AO916" s="11"/>
      <c r="AP916" s="10"/>
      <c r="AQ916" s="10"/>
      <c r="AR916" s="10"/>
      <c r="AS916" s="9"/>
      <c r="AT916" s="9"/>
      <c r="AU916" s="9"/>
      <c r="AV916" s="9"/>
      <c r="AW916" s="9"/>
      <c r="AX916" s="9"/>
      <c r="AY916" s="8"/>
      <c r="AZ916" s="8"/>
      <c r="BA916" s="8"/>
      <c r="BB916" s="8"/>
      <c r="BC916" s="8"/>
      <c r="BD916" s="8"/>
      <c r="BE916" s="8"/>
      <c r="BF916" s="8"/>
    </row>
    <row r="917" spans="26:58" ht="16.899999999999999">
      <c r="Z917" s="244"/>
      <c r="AC917" s="10"/>
      <c r="AD917" s="10"/>
      <c r="AF917" s="10"/>
      <c r="AG917" s="10"/>
      <c r="AH917" s="10"/>
      <c r="AI917" s="9"/>
      <c r="AJ917" s="9"/>
      <c r="AK917" s="11"/>
      <c r="AL917" s="10"/>
      <c r="AM917" s="11"/>
      <c r="AN917" s="10"/>
      <c r="AO917" s="11"/>
      <c r="AP917" s="10"/>
      <c r="AQ917" s="10"/>
      <c r="AR917" s="10"/>
      <c r="AS917" s="9"/>
      <c r="AT917" s="9"/>
      <c r="AU917" s="9"/>
      <c r="AV917" s="9"/>
      <c r="AW917" s="9"/>
      <c r="AX917" s="9"/>
      <c r="AY917" s="8"/>
      <c r="AZ917" s="8"/>
      <c r="BA917" s="8"/>
      <c r="BB917" s="8"/>
      <c r="BC917" s="8"/>
      <c r="BD917" s="8"/>
      <c r="BE917" s="8"/>
      <c r="BF917" s="8"/>
    </row>
    <row r="918" spans="26:58" ht="16.899999999999999">
      <c r="Z918" s="244"/>
      <c r="AC918" s="10"/>
      <c r="AD918" s="10"/>
      <c r="AF918" s="10"/>
      <c r="AG918" s="10"/>
      <c r="AH918" s="10"/>
      <c r="AI918" s="9"/>
      <c r="AJ918" s="9"/>
      <c r="AK918" s="11"/>
      <c r="AL918" s="10"/>
      <c r="AM918" s="11"/>
      <c r="AN918" s="10"/>
      <c r="AO918" s="11"/>
      <c r="AP918" s="10"/>
      <c r="AQ918" s="10"/>
      <c r="AR918" s="10"/>
      <c r="AS918" s="9"/>
      <c r="AT918" s="9"/>
      <c r="AU918" s="9"/>
      <c r="AV918" s="9"/>
      <c r="AW918" s="9"/>
      <c r="AX918" s="9"/>
      <c r="AY918" s="8"/>
      <c r="AZ918" s="8"/>
      <c r="BA918" s="8"/>
      <c r="BB918" s="8"/>
      <c r="BC918" s="8"/>
      <c r="BD918" s="8"/>
      <c r="BE918" s="8"/>
      <c r="BF918" s="8"/>
    </row>
    <row r="919" spans="26:58" ht="16.899999999999999">
      <c r="Z919" s="244"/>
      <c r="AC919" s="10"/>
      <c r="AD919" s="10"/>
      <c r="AF919" s="10"/>
      <c r="AG919" s="10"/>
      <c r="AH919" s="10"/>
      <c r="AI919" s="9"/>
      <c r="AJ919" s="9"/>
      <c r="AK919" s="11"/>
      <c r="AL919" s="10"/>
      <c r="AM919" s="11"/>
      <c r="AN919" s="10"/>
      <c r="AO919" s="11"/>
      <c r="AP919" s="10"/>
      <c r="AQ919" s="10"/>
      <c r="AR919" s="10"/>
      <c r="AS919" s="9"/>
      <c r="AT919" s="9"/>
      <c r="AU919" s="9"/>
      <c r="AV919" s="9"/>
      <c r="AW919" s="9"/>
      <c r="AX919" s="9"/>
      <c r="AY919" s="8"/>
      <c r="AZ919" s="8"/>
      <c r="BA919" s="8"/>
      <c r="BB919" s="8"/>
      <c r="BC919" s="8"/>
      <c r="BD919" s="8"/>
      <c r="BE919" s="8"/>
      <c r="BF919" s="8"/>
    </row>
    <row r="920" spans="26:58" ht="16.899999999999999">
      <c r="Z920" s="244"/>
      <c r="AC920" s="10"/>
      <c r="AD920" s="10"/>
      <c r="AF920" s="10"/>
      <c r="AG920" s="10"/>
      <c r="AH920" s="10"/>
      <c r="AI920" s="9"/>
      <c r="AJ920" s="9"/>
      <c r="AK920" s="11"/>
      <c r="AL920" s="10"/>
      <c r="AM920" s="11"/>
      <c r="AN920" s="10"/>
      <c r="AO920" s="11"/>
      <c r="AP920" s="10"/>
      <c r="AQ920" s="10"/>
      <c r="AR920" s="10"/>
      <c r="AS920" s="9"/>
      <c r="AT920" s="9"/>
      <c r="AU920" s="9"/>
      <c r="AV920" s="9"/>
      <c r="AW920" s="9"/>
      <c r="AX920" s="9"/>
      <c r="AY920" s="8"/>
      <c r="AZ920" s="8"/>
      <c r="BA920" s="8"/>
      <c r="BB920" s="8"/>
      <c r="BC920" s="8"/>
      <c r="BD920" s="8"/>
      <c r="BE920" s="8"/>
      <c r="BF920" s="8"/>
    </row>
    <row r="921" spans="26:58" ht="16.899999999999999">
      <c r="Z921" s="244"/>
      <c r="AC921" s="10"/>
      <c r="AD921" s="10"/>
      <c r="AF921" s="10"/>
      <c r="AG921" s="10"/>
      <c r="AH921" s="10"/>
      <c r="AI921" s="9"/>
      <c r="AJ921" s="9"/>
      <c r="AK921" s="11"/>
      <c r="AL921" s="10"/>
      <c r="AM921" s="11"/>
      <c r="AN921" s="10"/>
      <c r="AO921" s="11"/>
      <c r="AP921" s="10"/>
      <c r="AQ921" s="10"/>
      <c r="AR921" s="10"/>
      <c r="AS921" s="9"/>
      <c r="AT921" s="9"/>
      <c r="AU921" s="9"/>
      <c r="AV921" s="9"/>
      <c r="AW921" s="9"/>
      <c r="AX921" s="9"/>
      <c r="AY921" s="8"/>
      <c r="AZ921" s="8"/>
      <c r="BA921" s="8"/>
      <c r="BB921" s="8"/>
      <c r="BC921" s="8"/>
      <c r="BD921" s="8"/>
      <c r="BE921" s="8"/>
      <c r="BF921" s="8"/>
    </row>
    <row r="922" spans="26:58" ht="16.899999999999999">
      <c r="Z922" s="244"/>
      <c r="AC922" s="10"/>
      <c r="AD922" s="10"/>
      <c r="AF922" s="10"/>
      <c r="AG922" s="10"/>
      <c r="AH922" s="10"/>
      <c r="AI922" s="9"/>
      <c r="AJ922" s="9"/>
      <c r="AK922" s="11"/>
      <c r="AL922" s="10"/>
      <c r="AM922" s="11"/>
      <c r="AN922" s="10"/>
      <c r="AO922" s="11"/>
      <c r="AP922" s="10"/>
      <c r="AQ922" s="10"/>
      <c r="AR922" s="10"/>
      <c r="AS922" s="9"/>
      <c r="AT922" s="9"/>
      <c r="AU922" s="9"/>
      <c r="AV922" s="9"/>
      <c r="AW922" s="9"/>
      <c r="AX922" s="9"/>
      <c r="AY922" s="8"/>
      <c r="AZ922" s="8"/>
      <c r="BA922" s="8"/>
      <c r="BB922" s="8"/>
      <c r="BC922" s="8"/>
      <c r="BD922" s="8"/>
      <c r="BE922" s="8"/>
      <c r="BF922" s="8"/>
    </row>
    <row r="923" spans="26:58" ht="16.899999999999999">
      <c r="Z923" s="244"/>
      <c r="AC923" s="10"/>
      <c r="AD923" s="10"/>
      <c r="AF923" s="10"/>
      <c r="AG923" s="10"/>
      <c r="AH923" s="10"/>
      <c r="AI923" s="9"/>
      <c r="AJ923" s="9"/>
      <c r="AK923" s="11"/>
      <c r="AL923" s="10"/>
      <c r="AM923" s="11"/>
      <c r="AN923" s="10"/>
      <c r="AO923" s="11"/>
      <c r="AP923" s="10"/>
      <c r="AQ923" s="10"/>
      <c r="AR923" s="10"/>
      <c r="AS923" s="9"/>
      <c r="AT923" s="9"/>
      <c r="AU923" s="9"/>
      <c r="AV923" s="9"/>
      <c r="AW923" s="9"/>
      <c r="AX923" s="9"/>
      <c r="AY923" s="8"/>
      <c r="AZ923" s="8"/>
      <c r="BA923" s="8"/>
      <c r="BB923" s="8"/>
      <c r="BC923" s="8"/>
      <c r="BD923" s="8"/>
      <c r="BE923" s="8"/>
      <c r="BF923" s="8"/>
    </row>
    <row r="924" spans="26:58" ht="16.899999999999999">
      <c r="Z924" s="244"/>
      <c r="AC924" s="10"/>
      <c r="AD924" s="10"/>
      <c r="AF924" s="10"/>
      <c r="AG924" s="10"/>
      <c r="AH924" s="10"/>
      <c r="AI924" s="9"/>
      <c r="AJ924" s="9"/>
      <c r="AK924" s="11"/>
      <c r="AL924" s="10"/>
      <c r="AM924" s="11"/>
      <c r="AN924" s="10"/>
      <c r="AO924" s="11"/>
      <c r="AP924" s="10"/>
      <c r="AQ924" s="10"/>
      <c r="AR924" s="10"/>
      <c r="AS924" s="9"/>
      <c r="AT924" s="9"/>
      <c r="AU924" s="9"/>
      <c r="AV924" s="9"/>
      <c r="AW924" s="9"/>
      <c r="AX924" s="9"/>
      <c r="AY924" s="8"/>
      <c r="AZ924" s="8"/>
      <c r="BA924" s="8"/>
      <c r="BB924" s="8"/>
      <c r="BC924" s="8"/>
      <c r="BD924" s="8"/>
      <c r="BE924" s="8"/>
      <c r="BF924" s="8"/>
    </row>
    <row r="925" spans="26:58" ht="16.899999999999999">
      <c r="Z925" s="244"/>
      <c r="AC925" s="10"/>
      <c r="AD925" s="10"/>
      <c r="AF925" s="10"/>
      <c r="AG925" s="10"/>
      <c r="AH925" s="10"/>
      <c r="AI925" s="9"/>
      <c r="AJ925" s="9"/>
      <c r="AK925" s="11"/>
      <c r="AL925" s="10"/>
      <c r="AM925" s="11"/>
      <c r="AN925" s="10"/>
      <c r="AO925" s="11"/>
      <c r="AP925" s="10"/>
      <c r="AQ925" s="10"/>
      <c r="AR925" s="10"/>
      <c r="AS925" s="9"/>
      <c r="AT925" s="9"/>
      <c r="AU925" s="9"/>
      <c r="AV925" s="9"/>
      <c r="AW925" s="9"/>
      <c r="AX925" s="9"/>
      <c r="AY925" s="8"/>
      <c r="AZ925" s="8"/>
      <c r="BA925" s="8"/>
      <c r="BB925" s="8"/>
      <c r="BC925" s="8"/>
      <c r="BD925" s="8"/>
      <c r="BE925" s="8"/>
      <c r="BF925" s="8"/>
    </row>
    <row r="926" spans="26:58" ht="16.899999999999999">
      <c r="Z926" s="244"/>
      <c r="AC926" s="10"/>
      <c r="AD926" s="10"/>
      <c r="AF926" s="10"/>
      <c r="AG926" s="10"/>
      <c r="AH926" s="10"/>
      <c r="AI926" s="9"/>
      <c r="AJ926" s="9"/>
      <c r="AK926" s="11"/>
      <c r="AL926" s="10"/>
      <c r="AM926" s="11"/>
      <c r="AN926" s="10"/>
      <c r="AO926" s="11"/>
      <c r="AP926" s="10"/>
      <c r="AQ926" s="10"/>
      <c r="AR926" s="10"/>
      <c r="AS926" s="9"/>
      <c r="AT926" s="9"/>
      <c r="AU926" s="9"/>
      <c r="AV926" s="9"/>
      <c r="AW926" s="9"/>
      <c r="AX926" s="9"/>
      <c r="AY926" s="8"/>
      <c r="AZ926" s="8"/>
      <c r="BA926" s="8"/>
      <c r="BB926" s="8"/>
      <c r="BC926" s="8"/>
      <c r="BD926" s="8"/>
      <c r="BE926" s="8"/>
      <c r="BF926" s="8"/>
    </row>
    <row r="927" spans="26:58" ht="16.899999999999999">
      <c r="Z927" s="244"/>
      <c r="AC927" s="10"/>
      <c r="AD927" s="10"/>
      <c r="AF927" s="10"/>
      <c r="AG927" s="10"/>
      <c r="AH927" s="10"/>
      <c r="AI927" s="9"/>
      <c r="AJ927" s="9"/>
      <c r="AK927" s="11"/>
      <c r="AL927" s="10"/>
      <c r="AM927" s="11"/>
      <c r="AN927" s="10"/>
      <c r="AO927" s="11"/>
      <c r="AP927" s="10"/>
      <c r="AQ927" s="10"/>
      <c r="AR927" s="10"/>
      <c r="AS927" s="9"/>
      <c r="AT927" s="9"/>
      <c r="AU927" s="9"/>
      <c r="AV927" s="9"/>
      <c r="AW927" s="9"/>
      <c r="AX927" s="9"/>
      <c r="AY927" s="8"/>
      <c r="AZ927" s="8"/>
      <c r="BA927" s="8"/>
      <c r="BB927" s="8"/>
      <c r="BC927" s="8"/>
      <c r="BD927" s="8"/>
      <c r="BE927" s="8"/>
      <c r="BF927" s="8"/>
    </row>
    <row r="928" spans="26:58" ht="16.899999999999999">
      <c r="Z928" s="244"/>
      <c r="AC928" s="10"/>
      <c r="AD928" s="10"/>
      <c r="AF928" s="10"/>
      <c r="AG928" s="10"/>
      <c r="AH928" s="10"/>
      <c r="AI928" s="9"/>
      <c r="AJ928" s="9"/>
      <c r="AK928" s="11"/>
      <c r="AL928" s="10"/>
      <c r="AM928" s="11"/>
      <c r="AN928" s="10"/>
      <c r="AO928" s="11"/>
      <c r="AP928" s="10"/>
      <c r="AQ928" s="10"/>
      <c r="AR928" s="10"/>
      <c r="AS928" s="9"/>
      <c r="AT928" s="9"/>
      <c r="AU928" s="9"/>
      <c r="AV928" s="9"/>
      <c r="AW928" s="9"/>
      <c r="AX928" s="9"/>
      <c r="AY928" s="8"/>
      <c r="AZ928" s="8"/>
      <c r="BA928" s="8"/>
      <c r="BB928" s="8"/>
      <c r="BC928" s="8"/>
      <c r="BD928" s="8"/>
      <c r="BE928" s="8"/>
      <c r="BF928" s="8"/>
    </row>
    <row r="929" spans="26:58" ht="16.899999999999999">
      <c r="Z929" s="244"/>
      <c r="AC929" s="10"/>
      <c r="AD929" s="10"/>
      <c r="AF929" s="10"/>
      <c r="AG929" s="10"/>
      <c r="AH929" s="10"/>
      <c r="AI929" s="9"/>
      <c r="AJ929" s="9"/>
      <c r="AK929" s="11"/>
      <c r="AL929" s="10"/>
      <c r="AM929" s="11"/>
      <c r="AN929" s="10"/>
      <c r="AO929" s="11"/>
      <c r="AP929" s="10"/>
      <c r="AQ929" s="10"/>
      <c r="AR929" s="10"/>
      <c r="AS929" s="9"/>
      <c r="AT929" s="9"/>
      <c r="AU929" s="9"/>
      <c r="AV929" s="9"/>
      <c r="AW929" s="9"/>
      <c r="AX929" s="9"/>
      <c r="AY929" s="8"/>
      <c r="AZ929" s="8"/>
      <c r="BA929" s="8"/>
      <c r="BB929" s="8"/>
      <c r="BC929" s="8"/>
      <c r="BD929" s="8"/>
      <c r="BE929" s="8"/>
      <c r="BF929" s="8"/>
    </row>
    <row r="930" spans="26:58" ht="16.899999999999999">
      <c r="Z930" s="244"/>
      <c r="AC930" s="10"/>
      <c r="AD930" s="10"/>
      <c r="AF930" s="10"/>
      <c r="AG930" s="10"/>
      <c r="AH930" s="10"/>
      <c r="AI930" s="9"/>
      <c r="AJ930" s="9"/>
      <c r="AK930" s="11"/>
      <c r="AL930" s="10"/>
      <c r="AM930" s="11"/>
      <c r="AN930" s="10"/>
      <c r="AO930" s="11"/>
      <c r="AP930" s="10"/>
      <c r="AQ930" s="10"/>
      <c r="AR930" s="10"/>
      <c r="AS930" s="9"/>
      <c r="AT930" s="9"/>
      <c r="AU930" s="9"/>
      <c r="AV930" s="9"/>
      <c r="AW930" s="9"/>
      <c r="AX930" s="9"/>
      <c r="AY930" s="8"/>
      <c r="AZ930" s="8"/>
      <c r="BA930" s="8"/>
      <c r="BB930" s="8"/>
      <c r="BC930" s="8"/>
      <c r="BD930" s="8"/>
      <c r="BE930" s="8"/>
      <c r="BF930" s="8"/>
    </row>
    <row r="931" spans="26:58" ht="16.899999999999999">
      <c r="Z931" s="244"/>
      <c r="AC931" s="10"/>
      <c r="AD931" s="10"/>
      <c r="AF931" s="10"/>
      <c r="AG931" s="10"/>
      <c r="AH931" s="10"/>
      <c r="AI931" s="9"/>
      <c r="AJ931" s="9"/>
      <c r="AK931" s="11"/>
      <c r="AL931" s="10"/>
      <c r="AM931" s="11"/>
      <c r="AN931" s="10"/>
      <c r="AO931" s="11"/>
      <c r="AP931" s="10"/>
      <c r="AQ931" s="10"/>
      <c r="AR931" s="10"/>
      <c r="AS931" s="9"/>
      <c r="AT931" s="9"/>
      <c r="AU931" s="9"/>
      <c r="AV931" s="9"/>
      <c r="AW931" s="9"/>
      <c r="AX931" s="9"/>
      <c r="AY931" s="8"/>
      <c r="AZ931" s="8"/>
      <c r="BA931" s="8"/>
      <c r="BB931" s="8"/>
      <c r="BC931" s="8"/>
      <c r="BD931" s="8"/>
      <c r="BE931" s="8"/>
      <c r="BF931" s="8"/>
    </row>
    <row r="932" spans="26:58" ht="16.899999999999999">
      <c r="Z932" s="244"/>
      <c r="AC932" s="10"/>
      <c r="AD932" s="10"/>
      <c r="AF932" s="10"/>
      <c r="AG932" s="10"/>
      <c r="AH932" s="10"/>
      <c r="AI932" s="9"/>
      <c r="AJ932" s="9"/>
      <c r="AK932" s="11"/>
      <c r="AL932" s="10"/>
      <c r="AM932" s="11"/>
      <c r="AN932" s="10"/>
      <c r="AO932" s="11"/>
      <c r="AP932" s="10"/>
      <c r="AQ932" s="10"/>
      <c r="AR932" s="10"/>
      <c r="AS932" s="9"/>
      <c r="AT932" s="9"/>
      <c r="AU932" s="9"/>
      <c r="AV932" s="9"/>
      <c r="AW932" s="9"/>
      <c r="AX932" s="9"/>
      <c r="AY932" s="8"/>
      <c r="AZ932" s="8"/>
      <c r="BA932" s="8"/>
      <c r="BB932" s="8"/>
      <c r="BC932" s="8"/>
      <c r="BD932" s="8"/>
      <c r="BE932" s="8"/>
      <c r="BF932" s="8"/>
    </row>
    <row r="933" spans="26:58" ht="16.899999999999999">
      <c r="Z933" s="244"/>
      <c r="AC933" s="10"/>
      <c r="AD933" s="10"/>
      <c r="AF933" s="10"/>
      <c r="AG933" s="10"/>
      <c r="AH933" s="10"/>
      <c r="AI933" s="9"/>
      <c r="AJ933" s="9"/>
      <c r="AK933" s="11"/>
      <c r="AL933" s="10"/>
      <c r="AM933" s="11"/>
      <c r="AN933" s="10"/>
      <c r="AO933" s="11"/>
      <c r="AP933" s="10"/>
      <c r="AQ933" s="10"/>
      <c r="AR933" s="10"/>
      <c r="AS933" s="9"/>
      <c r="AT933" s="9"/>
      <c r="AU933" s="9"/>
      <c r="AV933" s="9"/>
      <c r="AW933" s="9"/>
      <c r="AX933" s="9"/>
      <c r="AY933" s="8"/>
      <c r="AZ933" s="8"/>
      <c r="BA933" s="8"/>
      <c r="BB933" s="8"/>
      <c r="BC933" s="8"/>
      <c r="BD933" s="8"/>
      <c r="BE933" s="8"/>
      <c r="BF933" s="8"/>
    </row>
    <row r="934" spans="26:58" ht="16.899999999999999">
      <c r="Z934" s="244"/>
      <c r="AC934" s="10"/>
      <c r="AD934" s="10"/>
      <c r="AF934" s="10"/>
      <c r="AG934" s="10"/>
      <c r="AH934" s="10"/>
      <c r="AI934" s="9"/>
      <c r="AJ934" s="9"/>
      <c r="AK934" s="11"/>
      <c r="AL934" s="10"/>
      <c r="AM934" s="11"/>
      <c r="AN934" s="10"/>
      <c r="AO934" s="11"/>
      <c r="AP934" s="10"/>
      <c r="AQ934" s="10"/>
      <c r="AR934" s="10"/>
      <c r="AS934" s="9"/>
      <c r="AT934" s="9"/>
      <c r="AU934" s="9"/>
      <c r="AV934" s="9"/>
      <c r="AW934" s="9"/>
      <c r="AX934" s="9"/>
      <c r="AY934" s="8"/>
      <c r="AZ934" s="8"/>
      <c r="BA934" s="8"/>
      <c r="BB934" s="8"/>
      <c r="BC934" s="8"/>
      <c r="BD934" s="8"/>
      <c r="BE934" s="8"/>
      <c r="BF934" s="8"/>
    </row>
    <row r="935" spans="26:58" ht="16.899999999999999">
      <c r="Z935" s="244"/>
      <c r="AC935" s="10"/>
      <c r="AD935" s="10"/>
      <c r="AF935" s="10"/>
      <c r="AG935" s="10"/>
      <c r="AH935" s="10"/>
      <c r="AI935" s="9"/>
      <c r="AJ935" s="9"/>
      <c r="AK935" s="11"/>
      <c r="AL935" s="10"/>
      <c r="AM935" s="11"/>
      <c r="AN935" s="10"/>
      <c r="AO935" s="11"/>
      <c r="AP935" s="10"/>
      <c r="AQ935" s="10"/>
      <c r="AR935" s="10"/>
      <c r="AS935" s="9"/>
      <c r="AT935" s="9"/>
      <c r="AU935" s="9"/>
      <c r="AV935" s="9"/>
      <c r="AW935" s="9"/>
      <c r="AX935" s="9"/>
      <c r="AY935" s="8"/>
      <c r="AZ935" s="8"/>
      <c r="BA935" s="8"/>
      <c r="BB935" s="8"/>
      <c r="BC935" s="8"/>
      <c r="BD935" s="8"/>
      <c r="BE935" s="8"/>
      <c r="BF935" s="8"/>
    </row>
    <row r="936" spans="26:58" ht="16.899999999999999">
      <c r="Z936" s="244"/>
      <c r="AC936" s="10"/>
      <c r="AD936" s="10"/>
      <c r="AF936" s="10"/>
      <c r="AG936" s="10"/>
      <c r="AH936" s="10"/>
      <c r="AI936" s="9"/>
      <c r="AJ936" s="9"/>
      <c r="AK936" s="11"/>
      <c r="AL936" s="10"/>
      <c r="AM936" s="11"/>
      <c r="AN936" s="10"/>
      <c r="AO936" s="11"/>
      <c r="AP936" s="10"/>
      <c r="AQ936" s="10"/>
      <c r="AR936" s="10"/>
      <c r="AS936" s="9"/>
      <c r="AT936" s="9"/>
      <c r="AU936" s="9"/>
      <c r="AV936" s="9"/>
      <c r="AW936" s="9"/>
      <c r="AX936" s="9"/>
      <c r="AY936" s="8"/>
      <c r="AZ936" s="8"/>
      <c r="BA936" s="8"/>
      <c r="BB936" s="8"/>
      <c r="BC936" s="8"/>
      <c r="BD936" s="8"/>
      <c r="BE936" s="8"/>
      <c r="BF936" s="8"/>
    </row>
    <row r="937" spans="26:58" ht="16.899999999999999">
      <c r="Z937" s="244"/>
      <c r="AC937" s="10"/>
      <c r="AD937" s="10"/>
      <c r="AF937" s="10"/>
      <c r="AG937" s="10"/>
      <c r="AH937" s="10"/>
      <c r="AI937" s="9"/>
      <c r="AJ937" s="9"/>
      <c r="AK937" s="11"/>
      <c r="AL937" s="10"/>
      <c r="AM937" s="11"/>
      <c r="AN937" s="10"/>
      <c r="AO937" s="11"/>
      <c r="AP937" s="10"/>
      <c r="AQ937" s="10"/>
      <c r="AR937" s="10"/>
      <c r="AS937" s="9"/>
      <c r="AT937" s="9"/>
      <c r="AU937" s="9"/>
      <c r="AV937" s="9"/>
      <c r="AW937" s="9"/>
      <c r="AX937" s="9"/>
      <c r="AY937" s="8"/>
      <c r="AZ937" s="8"/>
      <c r="BA937" s="8"/>
      <c r="BB937" s="8"/>
      <c r="BC937" s="8"/>
      <c r="BD937" s="8"/>
      <c r="BE937" s="8"/>
      <c r="BF937" s="8"/>
    </row>
    <row r="938" spans="26:58" ht="16.899999999999999">
      <c r="Z938" s="244"/>
      <c r="AC938" s="10"/>
      <c r="AD938" s="10"/>
      <c r="AF938" s="10"/>
      <c r="AG938" s="10"/>
      <c r="AH938" s="10"/>
      <c r="AI938" s="9"/>
      <c r="AJ938" s="9"/>
      <c r="AK938" s="11"/>
      <c r="AL938" s="10"/>
      <c r="AM938" s="11"/>
      <c r="AN938" s="10"/>
      <c r="AO938" s="11"/>
      <c r="AP938" s="10"/>
      <c r="AQ938" s="10"/>
      <c r="AR938" s="10"/>
      <c r="AS938" s="9"/>
      <c r="AT938" s="9"/>
      <c r="AU938" s="9"/>
      <c r="AV938" s="9"/>
      <c r="AW938" s="9"/>
      <c r="AX938" s="9"/>
      <c r="AY938" s="8"/>
      <c r="AZ938" s="8"/>
      <c r="BA938" s="8"/>
      <c r="BB938" s="8"/>
      <c r="BC938" s="8"/>
      <c r="BD938" s="8"/>
      <c r="BE938" s="8"/>
      <c r="BF938" s="8"/>
    </row>
    <row r="939" spans="26:58" ht="16.899999999999999">
      <c r="Z939" s="244"/>
      <c r="AC939" s="10"/>
      <c r="AD939" s="10"/>
      <c r="AF939" s="10"/>
      <c r="AG939" s="10"/>
      <c r="AH939" s="10"/>
      <c r="AI939" s="9"/>
      <c r="AJ939" s="9"/>
      <c r="AK939" s="11"/>
      <c r="AL939" s="10"/>
      <c r="AM939" s="11"/>
      <c r="AN939" s="10"/>
      <c r="AO939" s="11"/>
      <c r="AP939" s="10"/>
      <c r="AQ939" s="10"/>
      <c r="AR939" s="10"/>
      <c r="AS939" s="9"/>
      <c r="AT939" s="9"/>
      <c r="AU939" s="9"/>
      <c r="AV939" s="9"/>
      <c r="AW939" s="9"/>
      <c r="AX939" s="9"/>
      <c r="AY939" s="8"/>
      <c r="AZ939" s="8"/>
      <c r="BA939" s="8"/>
      <c r="BB939" s="8"/>
      <c r="BC939" s="8"/>
      <c r="BD939" s="8"/>
      <c r="BE939" s="8"/>
      <c r="BF939" s="8"/>
    </row>
    <row r="940" spans="26:58" ht="16.899999999999999">
      <c r="Z940" s="244"/>
      <c r="AC940" s="10"/>
      <c r="AD940" s="10"/>
      <c r="AF940" s="10"/>
      <c r="AG940" s="10"/>
      <c r="AH940" s="10"/>
      <c r="AI940" s="9"/>
      <c r="AJ940" s="9"/>
      <c r="AK940" s="11"/>
      <c r="AL940" s="10"/>
      <c r="AM940" s="11"/>
      <c r="AN940" s="10"/>
      <c r="AO940" s="11"/>
      <c r="AP940" s="10"/>
      <c r="AQ940" s="10"/>
      <c r="AR940" s="10"/>
      <c r="AS940" s="9"/>
      <c r="AT940" s="9"/>
      <c r="AU940" s="9"/>
      <c r="AV940" s="9"/>
      <c r="AW940" s="9"/>
      <c r="AX940" s="9"/>
      <c r="AY940" s="8"/>
      <c r="AZ940" s="8"/>
      <c r="BA940" s="8"/>
      <c r="BB940" s="8"/>
      <c r="BC940" s="8"/>
      <c r="BD940" s="8"/>
      <c r="BE940" s="8"/>
      <c r="BF940" s="8"/>
    </row>
    <row r="941" spans="26:58" ht="16.899999999999999">
      <c r="Z941" s="244"/>
      <c r="AC941" s="10"/>
      <c r="AD941" s="10"/>
      <c r="AF941" s="10"/>
      <c r="AG941" s="10"/>
      <c r="AH941" s="10"/>
      <c r="AI941" s="9"/>
      <c r="AJ941" s="9"/>
      <c r="AK941" s="11"/>
      <c r="AL941" s="10"/>
      <c r="AM941" s="11"/>
      <c r="AN941" s="10"/>
      <c r="AO941" s="11"/>
      <c r="AP941" s="10"/>
      <c r="AQ941" s="10"/>
      <c r="AR941" s="10"/>
      <c r="AS941" s="9"/>
      <c r="AT941" s="9"/>
      <c r="AU941" s="9"/>
      <c r="AV941" s="9"/>
      <c r="AW941" s="9"/>
      <c r="AX941" s="9"/>
      <c r="AY941" s="8"/>
      <c r="AZ941" s="8"/>
      <c r="BA941" s="8"/>
      <c r="BB941" s="8"/>
      <c r="BC941" s="8"/>
      <c r="BD941" s="8"/>
      <c r="BE941" s="8"/>
      <c r="BF941" s="8"/>
    </row>
    <row r="942" spans="26:58" ht="16.899999999999999">
      <c r="Z942" s="244"/>
      <c r="AC942" s="10"/>
      <c r="AD942" s="10"/>
      <c r="AF942" s="10"/>
      <c r="AG942" s="10"/>
      <c r="AH942" s="10"/>
      <c r="AI942" s="9"/>
      <c r="AJ942" s="9"/>
      <c r="AK942" s="11"/>
      <c r="AL942" s="10"/>
      <c r="AM942" s="11"/>
      <c r="AN942" s="10"/>
      <c r="AO942" s="11"/>
      <c r="AP942" s="10"/>
      <c r="AQ942" s="10"/>
      <c r="AR942" s="10"/>
      <c r="AS942" s="9"/>
      <c r="AT942" s="9"/>
      <c r="AU942" s="9"/>
      <c r="AV942" s="9"/>
      <c r="AW942" s="9"/>
      <c r="AX942" s="9"/>
      <c r="AY942" s="8"/>
      <c r="AZ942" s="8"/>
      <c r="BA942" s="8"/>
      <c r="BB942" s="8"/>
      <c r="BC942" s="8"/>
      <c r="BD942" s="8"/>
      <c r="BE942" s="8"/>
      <c r="BF942" s="8"/>
    </row>
    <row r="943" spans="26:58" ht="16.899999999999999">
      <c r="Z943" s="244"/>
      <c r="AC943" s="10"/>
      <c r="AD943" s="10"/>
      <c r="AF943" s="10"/>
      <c r="AG943" s="10"/>
      <c r="AH943" s="10"/>
      <c r="AI943" s="9"/>
      <c r="AJ943" s="9"/>
      <c r="AK943" s="11"/>
      <c r="AL943" s="10"/>
      <c r="AM943" s="11"/>
      <c r="AN943" s="10"/>
      <c r="AO943" s="11"/>
      <c r="AP943" s="10"/>
      <c r="AQ943" s="10"/>
      <c r="AR943" s="10"/>
      <c r="AS943" s="9"/>
      <c r="AT943" s="9"/>
      <c r="AU943" s="9"/>
      <c r="AV943" s="9"/>
      <c r="AW943" s="9"/>
      <c r="AX943" s="9"/>
      <c r="AY943" s="8"/>
      <c r="AZ943" s="8"/>
      <c r="BA943" s="8"/>
      <c r="BB943" s="8"/>
      <c r="BC943" s="8"/>
      <c r="BD943" s="8"/>
      <c r="BE943" s="8"/>
      <c r="BF943" s="8"/>
    </row>
    <row r="944" spans="26:58" ht="16.899999999999999">
      <c r="Z944" s="244"/>
      <c r="AC944" s="10"/>
      <c r="AD944" s="10"/>
      <c r="AF944" s="10"/>
      <c r="AG944" s="10"/>
      <c r="AH944" s="10"/>
      <c r="AI944" s="9"/>
      <c r="AJ944" s="9"/>
      <c r="AK944" s="11"/>
      <c r="AL944" s="10"/>
      <c r="AM944" s="11"/>
      <c r="AN944" s="10"/>
      <c r="AO944" s="11"/>
      <c r="AP944" s="10"/>
      <c r="AQ944" s="10"/>
      <c r="AR944" s="10"/>
      <c r="AS944" s="9"/>
      <c r="AT944" s="9"/>
      <c r="AU944" s="9"/>
      <c r="AV944" s="9"/>
      <c r="AW944" s="9"/>
      <c r="AX944" s="9"/>
      <c r="AY944" s="8"/>
      <c r="AZ944" s="8"/>
      <c r="BA944" s="8"/>
      <c r="BB944" s="8"/>
      <c r="BC944" s="8"/>
      <c r="BD944" s="8"/>
      <c r="BE944" s="8"/>
      <c r="BF944" s="8"/>
    </row>
    <row r="945" spans="26:58" ht="16.899999999999999">
      <c r="Z945" s="244"/>
      <c r="AC945" s="10"/>
      <c r="AD945" s="10"/>
      <c r="AF945" s="10"/>
      <c r="AG945" s="10"/>
      <c r="AH945" s="10"/>
      <c r="AI945" s="9"/>
      <c r="AJ945" s="9"/>
      <c r="AK945" s="11"/>
      <c r="AL945" s="10"/>
      <c r="AM945" s="11"/>
      <c r="AN945" s="10"/>
      <c r="AO945" s="11"/>
      <c r="AP945" s="10"/>
      <c r="AQ945" s="10"/>
      <c r="AR945" s="10"/>
      <c r="AS945" s="9"/>
      <c r="AT945" s="9"/>
      <c r="AU945" s="9"/>
      <c r="AV945" s="9"/>
      <c r="AW945" s="9"/>
      <c r="AX945" s="9"/>
      <c r="AY945" s="8"/>
      <c r="AZ945" s="8"/>
      <c r="BA945" s="8"/>
      <c r="BB945" s="8"/>
      <c r="BC945" s="8"/>
      <c r="BD945" s="8"/>
      <c r="BE945" s="8"/>
      <c r="BF945" s="8"/>
    </row>
    <row r="946" spans="26:58" ht="16.899999999999999">
      <c r="Z946" s="244"/>
      <c r="AC946" s="10"/>
      <c r="AD946" s="10"/>
      <c r="AF946" s="10"/>
      <c r="AG946" s="10"/>
      <c r="AH946" s="10"/>
      <c r="AI946" s="9"/>
      <c r="AJ946" s="9"/>
      <c r="AK946" s="11"/>
      <c r="AL946" s="10"/>
      <c r="AM946" s="11"/>
      <c r="AN946" s="10"/>
      <c r="AO946" s="11"/>
      <c r="AP946" s="10"/>
      <c r="AQ946" s="10"/>
      <c r="AR946" s="10"/>
      <c r="AS946" s="9"/>
      <c r="AT946" s="9"/>
      <c r="AU946" s="9"/>
      <c r="AV946" s="9"/>
      <c r="AW946" s="9"/>
      <c r="AX946" s="9"/>
      <c r="AY946" s="8"/>
      <c r="AZ946" s="8"/>
      <c r="BA946" s="8"/>
      <c r="BB946" s="8"/>
      <c r="BC946" s="8"/>
      <c r="BD946" s="8"/>
      <c r="BE946" s="8"/>
      <c r="BF946" s="8"/>
    </row>
    <row r="947" spans="26:58" ht="16.899999999999999">
      <c r="Z947" s="244"/>
      <c r="AC947" s="10"/>
      <c r="AD947" s="10"/>
      <c r="AF947" s="10"/>
      <c r="AG947" s="10"/>
      <c r="AH947" s="10"/>
      <c r="AI947" s="9"/>
      <c r="AJ947" s="9"/>
      <c r="AK947" s="11"/>
      <c r="AL947" s="10"/>
      <c r="AM947" s="11"/>
      <c r="AN947" s="10"/>
      <c r="AO947" s="11"/>
      <c r="AP947" s="10"/>
      <c r="AQ947" s="10"/>
      <c r="AR947" s="10"/>
      <c r="AS947" s="9"/>
      <c r="AT947" s="9"/>
      <c r="AU947" s="9"/>
      <c r="AV947" s="9"/>
      <c r="AW947" s="9"/>
      <c r="AX947" s="9"/>
      <c r="AY947" s="8"/>
      <c r="AZ947" s="8"/>
      <c r="BA947" s="8"/>
      <c r="BB947" s="8"/>
      <c r="BC947" s="8"/>
      <c r="BD947" s="8"/>
      <c r="BE947" s="8"/>
      <c r="BF947" s="8"/>
    </row>
    <row r="948" spans="26:58" ht="16.899999999999999">
      <c r="Z948" s="244"/>
      <c r="AC948" s="10"/>
      <c r="AD948" s="10"/>
      <c r="AF948" s="10"/>
      <c r="AG948" s="10"/>
      <c r="AH948" s="10"/>
      <c r="AI948" s="9"/>
      <c r="AJ948" s="9"/>
      <c r="AK948" s="11"/>
      <c r="AL948" s="10"/>
      <c r="AM948" s="11"/>
      <c r="AN948" s="10"/>
      <c r="AO948" s="11"/>
      <c r="AP948" s="10"/>
      <c r="AQ948" s="10"/>
      <c r="AR948" s="10"/>
      <c r="AS948" s="9"/>
      <c r="AT948" s="9"/>
      <c r="AU948" s="9"/>
      <c r="AV948" s="9"/>
      <c r="AW948" s="9"/>
      <c r="AX948" s="9"/>
      <c r="AY948" s="8"/>
      <c r="AZ948" s="8"/>
      <c r="BA948" s="8"/>
      <c r="BB948" s="8"/>
      <c r="BC948" s="8"/>
      <c r="BD948" s="8"/>
      <c r="BE948" s="8"/>
      <c r="BF948" s="8"/>
    </row>
    <row r="949" spans="26:58" ht="16.899999999999999">
      <c r="Z949" s="244"/>
      <c r="AC949" s="10"/>
      <c r="AD949" s="10"/>
      <c r="AF949" s="10"/>
      <c r="AG949" s="10"/>
      <c r="AH949" s="10"/>
      <c r="AI949" s="9"/>
      <c r="AJ949" s="9"/>
      <c r="AK949" s="11"/>
      <c r="AL949" s="10"/>
      <c r="AM949" s="11"/>
      <c r="AN949" s="10"/>
      <c r="AO949" s="11"/>
      <c r="AP949" s="10"/>
      <c r="AQ949" s="10"/>
      <c r="AR949" s="10"/>
      <c r="AS949" s="9"/>
      <c r="AT949" s="9"/>
      <c r="AU949" s="9"/>
      <c r="AV949" s="9"/>
      <c r="AW949" s="9"/>
      <c r="AX949" s="9"/>
      <c r="AY949" s="8"/>
      <c r="AZ949" s="8"/>
      <c r="BA949" s="8"/>
      <c r="BB949" s="8"/>
      <c r="BC949" s="8"/>
      <c r="BD949" s="8"/>
      <c r="BE949" s="8"/>
      <c r="BF949" s="8"/>
    </row>
    <row r="950" spans="26:58" ht="16.899999999999999">
      <c r="Z950" s="244"/>
      <c r="AC950" s="10"/>
      <c r="AD950" s="10"/>
      <c r="AF950" s="10"/>
      <c r="AG950" s="10"/>
      <c r="AH950" s="10"/>
      <c r="AI950" s="9"/>
      <c r="AJ950" s="9"/>
      <c r="AK950" s="11"/>
      <c r="AL950" s="10"/>
      <c r="AM950" s="11"/>
      <c r="AN950" s="10"/>
      <c r="AO950" s="11"/>
      <c r="AP950" s="10"/>
      <c r="AQ950" s="10"/>
      <c r="AR950" s="10"/>
      <c r="AS950" s="9"/>
      <c r="AT950" s="9"/>
      <c r="AU950" s="9"/>
      <c r="AV950" s="9"/>
      <c r="AW950" s="9"/>
      <c r="AX950" s="9"/>
      <c r="AY950" s="8"/>
      <c r="AZ950" s="8"/>
      <c r="BA950" s="8"/>
      <c r="BB950" s="8"/>
      <c r="BC950" s="8"/>
      <c r="BD950" s="8"/>
      <c r="BE950" s="8"/>
      <c r="BF950" s="8"/>
    </row>
    <row r="951" spans="26:58" ht="16.899999999999999">
      <c r="Z951" s="244"/>
      <c r="AC951" s="10"/>
      <c r="AD951" s="10"/>
      <c r="AF951" s="10"/>
      <c r="AG951" s="10"/>
      <c r="AH951" s="10"/>
      <c r="AI951" s="9"/>
      <c r="AJ951" s="9"/>
      <c r="AK951" s="11"/>
      <c r="AL951" s="10"/>
      <c r="AM951" s="11"/>
      <c r="AN951" s="10"/>
      <c r="AO951" s="11"/>
      <c r="AP951" s="10"/>
      <c r="AQ951" s="10"/>
      <c r="AR951" s="10"/>
      <c r="AS951" s="9"/>
      <c r="AT951" s="9"/>
      <c r="AU951" s="9"/>
      <c r="AV951" s="9"/>
      <c r="AW951" s="9"/>
      <c r="AX951" s="9"/>
      <c r="AY951" s="8"/>
      <c r="AZ951" s="8"/>
      <c r="BA951" s="8"/>
      <c r="BB951" s="8"/>
      <c r="BC951" s="8"/>
      <c r="BD951" s="8"/>
      <c r="BE951" s="8"/>
      <c r="BF951" s="8"/>
    </row>
    <row r="952" spans="26:58" ht="16.899999999999999">
      <c r="Z952" s="244"/>
      <c r="AC952" s="10"/>
      <c r="AD952" s="10"/>
      <c r="AF952" s="10"/>
      <c r="AG952" s="10"/>
      <c r="AH952" s="10"/>
      <c r="AI952" s="9"/>
      <c r="AJ952" s="9"/>
      <c r="AK952" s="11"/>
      <c r="AL952" s="10"/>
      <c r="AM952" s="11"/>
      <c r="AN952" s="10"/>
      <c r="AO952" s="11"/>
      <c r="AP952" s="10"/>
      <c r="AQ952" s="10"/>
      <c r="AR952" s="10"/>
      <c r="AS952" s="9"/>
      <c r="AT952" s="9"/>
      <c r="AU952" s="9"/>
      <c r="AV952" s="9"/>
      <c r="AW952" s="9"/>
      <c r="AX952" s="9"/>
      <c r="AY952" s="8"/>
      <c r="AZ952" s="8"/>
      <c r="BA952" s="8"/>
      <c r="BB952" s="8"/>
      <c r="BC952" s="8"/>
      <c r="BD952" s="8"/>
      <c r="BE952" s="8"/>
      <c r="BF952" s="8"/>
    </row>
    <row r="953" spans="26:58" ht="16.899999999999999">
      <c r="Z953" s="244"/>
      <c r="AC953" s="10"/>
      <c r="AD953" s="10"/>
      <c r="AF953" s="10"/>
      <c r="AG953" s="10"/>
      <c r="AH953" s="10"/>
      <c r="AI953" s="9"/>
      <c r="AJ953" s="9"/>
      <c r="AK953" s="11"/>
      <c r="AL953" s="10"/>
      <c r="AM953" s="11"/>
      <c r="AN953" s="10"/>
      <c r="AO953" s="11"/>
      <c r="AP953" s="10"/>
      <c r="AQ953" s="10"/>
      <c r="AR953" s="10"/>
      <c r="AS953" s="9"/>
      <c r="AT953" s="9"/>
      <c r="AU953" s="9"/>
      <c r="AV953" s="9"/>
      <c r="AW953" s="9"/>
      <c r="AX953" s="9"/>
      <c r="AY953" s="8"/>
      <c r="AZ953" s="8"/>
      <c r="BA953" s="8"/>
      <c r="BB953" s="8"/>
      <c r="BC953" s="8"/>
      <c r="BD953" s="8"/>
      <c r="BE953" s="8"/>
      <c r="BF953" s="8"/>
    </row>
    <row r="954" spans="26:58" ht="16.899999999999999">
      <c r="Z954" s="244"/>
      <c r="AC954" s="10"/>
      <c r="AD954" s="10"/>
      <c r="AF954" s="10"/>
      <c r="AG954" s="10"/>
      <c r="AH954" s="10"/>
      <c r="AI954" s="9"/>
      <c r="AJ954" s="9"/>
      <c r="AK954" s="11"/>
      <c r="AL954" s="10"/>
      <c r="AM954" s="11"/>
      <c r="AN954" s="10"/>
      <c r="AO954" s="11"/>
      <c r="AP954" s="10"/>
      <c r="AQ954" s="10"/>
      <c r="AR954" s="10"/>
      <c r="AS954" s="9"/>
      <c r="AT954" s="9"/>
      <c r="AU954" s="9"/>
      <c r="AV954" s="9"/>
      <c r="AW954" s="9"/>
      <c r="AX954" s="9"/>
      <c r="AY954" s="8"/>
      <c r="AZ954" s="8"/>
      <c r="BA954" s="8"/>
      <c r="BB954" s="8"/>
      <c r="BC954" s="8"/>
      <c r="BD954" s="8"/>
      <c r="BE954" s="8"/>
      <c r="BF954" s="8"/>
    </row>
    <row r="955" spans="26:58" ht="16.899999999999999">
      <c r="Z955" s="244"/>
      <c r="AC955" s="10"/>
      <c r="AD955" s="10"/>
      <c r="AF955" s="10"/>
      <c r="AG955" s="10"/>
      <c r="AH955" s="10"/>
      <c r="AI955" s="9"/>
      <c r="AJ955" s="9"/>
      <c r="AK955" s="11"/>
      <c r="AL955" s="10"/>
      <c r="AM955" s="11"/>
      <c r="AN955" s="10"/>
      <c r="AO955" s="11"/>
      <c r="AP955" s="10"/>
      <c r="AQ955" s="10"/>
      <c r="AR955" s="10"/>
      <c r="AS955" s="9"/>
      <c r="AT955" s="9"/>
      <c r="AU955" s="9"/>
      <c r="AV955" s="9"/>
      <c r="AW955" s="9"/>
      <c r="AX955" s="9"/>
      <c r="AY955" s="8"/>
      <c r="AZ955" s="8"/>
      <c r="BA955" s="8"/>
      <c r="BB955" s="8"/>
      <c r="BC955" s="8"/>
      <c r="BD955" s="8"/>
      <c r="BE955" s="8"/>
      <c r="BF955" s="8"/>
    </row>
    <row r="956" spans="26:58" ht="16.899999999999999">
      <c r="Z956" s="244"/>
      <c r="AC956" s="10"/>
      <c r="AD956" s="10"/>
      <c r="AF956" s="10"/>
      <c r="AG956" s="10"/>
      <c r="AH956" s="10"/>
      <c r="AI956" s="9"/>
      <c r="AJ956" s="9"/>
      <c r="AK956" s="11"/>
      <c r="AL956" s="10"/>
      <c r="AM956" s="11"/>
      <c r="AN956" s="10"/>
      <c r="AO956" s="11"/>
      <c r="AP956" s="10"/>
      <c r="AQ956" s="10"/>
      <c r="AR956" s="10"/>
      <c r="AS956" s="9"/>
      <c r="AT956" s="9"/>
      <c r="AU956" s="9"/>
      <c r="AV956" s="9"/>
      <c r="AW956" s="9"/>
      <c r="AX956" s="9"/>
      <c r="AY956" s="8"/>
      <c r="AZ956" s="8"/>
      <c r="BA956" s="8"/>
      <c r="BB956" s="8"/>
      <c r="BC956" s="8"/>
      <c r="BD956" s="8"/>
      <c r="BE956" s="8"/>
      <c r="BF956" s="8"/>
    </row>
    <row r="957" spans="26:58" ht="16.899999999999999">
      <c r="Z957" s="244"/>
      <c r="AC957" s="10"/>
      <c r="AD957" s="10"/>
      <c r="AF957" s="10"/>
      <c r="AG957" s="10"/>
      <c r="AH957" s="10"/>
      <c r="AI957" s="9"/>
      <c r="AJ957" s="9"/>
      <c r="AK957" s="11"/>
      <c r="AL957" s="10"/>
      <c r="AM957" s="11"/>
      <c r="AN957" s="10"/>
      <c r="AO957" s="11"/>
      <c r="AP957" s="10"/>
      <c r="AQ957" s="10"/>
      <c r="AR957" s="10"/>
      <c r="AS957" s="9"/>
      <c r="AT957" s="9"/>
      <c r="AU957" s="9"/>
      <c r="AV957" s="9"/>
      <c r="AW957" s="9"/>
      <c r="AX957" s="9"/>
      <c r="AY957" s="8"/>
      <c r="AZ957" s="8"/>
      <c r="BA957" s="8"/>
      <c r="BB957" s="8"/>
      <c r="BC957" s="8"/>
      <c r="BD957" s="8"/>
      <c r="BE957" s="8"/>
      <c r="BF957" s="8"/>
    </row>
    <row r="958" spans="26:58" ht="16.899999999999999">
      <c r="Z958" s="244"/>
      <c r="AC958" s="10"/>
      <c r="AD958" s="10"/>
      <c r="AF958" s="10"/>
      <c r="AG958" s="10"/>
      <c r="AH958" s="10"/>
      <c r="AI958" s="9"/>
      <c r="AJ958" s="9"/>
      <c r="AK958" s="11"/>
      <c r="AL958" s="10"/>
      <c r="AM958" s="11"/>
      <c r="AN958" s="10"/>
      <c r="AO958" s="11"/>
      <c r="AP958" s="10"/>
      <c r="AQ958" s="10"/>
      <c r="AR958" s="10"/>
      <c r="AS958" s="9"/>
      <c r="AT958" s="9"/>
      <c r="AU958" s="9"/>
      <c r="AV958" s="9"/>
      <c r="AW958" s="9"/>
      <c r="AX958" s="9"/>
      <c r="AY958" s="8"/>
      <c r="AZ958" s="8"/>
      <c r="BA958" s="8"/>
      <c r="BB958" s="8"/>
      <c r="BC958" s="8"/>
      <c r="BD958" s="8"/>
      <c r="BE958" s="8"/>
      <c r="BF958" s="8"/>
    </row>
    <row r="959" spans="26:58" ht="16.899999999999999">
      <c r="Z959" s="244"/>
      <c r="AC959" s="10"/>
      <c r="AD959" s="10"/>
      <c r="AF959" s="10"/>
      <c r="AG959" s="10"/>
      <c r="AH959" s="10"/>
      <c r="AI959" s="9"/>
      <c r="AJ959" s="9"/>
      <c r="AK959" s="11"/>
      <c r="AL959" s="10"/>
      <c r="AM959" s="11"/>
      <c r="AN959" s="10"/>
      <c r="AO959" s="11"/>
      <c r="AP959" s="10"/>
      <c r="AQ959" s="10"/>
      <c r="AR959" s="10"/>
      <c r="AS959" s="9"/>
      <c r="AT959" s="9"/>
      <c r="AU959" s="9"/>
      <c r="AV959" s="9"/>
      <c r="AW959" s="9"/>
      <c r="AX959" s="9"/>
      <c r="AY959" s="8"/>
      <c r="AZ959" s="8"/>
      <c r="BA959" s="8"/>
      <c r="BB959" s="8"/>
      <c r="BC959" s="8"/>
      <c r="BD959" s="8"/>
      <c r="BE959" s="8"/>
      <c r="BF959" s="8"/>
    </row>
    <row r="960" spans="26:58" ht="16.899999999999999">
      <c r="Z960" s="244"/>
      <c r="AC960" s="10"/>
      <c r="AD960" s="10"/>
      <c r="AF960" s="10"/>
      <c r="AG960" s="10"/>
      <c r="AH960" s="10"/>
      <c r="AI960" s="9"/>
      <c r="AJ960" s="9"/>
      <c r="AK960" s="11"/>
      <c r="AL960" s="10"/>
      <c r="AM960" s="11"/>
      <c r="AN960" s="10"/>
      <c r="AO960" s="11"/>
      <c r="AP960" s="10"/>
      <c r="AQ960" s="10"/>
      <c r="AR960" s="10"/>
      <c r="AS960" s="9"/>
      <c r="AT960" s="9"/>
      <c r="AU960" s="9"/>
      <c r="AV960" s="9"/>
      <c r="AW960" s="9"/>
      <c r="AX960" s="9"/>
      <c r="AY960" s="8"/>
      <c r="AZ960" s="8"/>
      <c r="BA960" s="8"/>
      <c r="BB960" s="8"/>
      <c r="BC960" s="8"/>
      <c r="BD960" s="8"/>
      <c r="BE960" s="8"/>
      <c r="BF960" s="8"/>
    </row>
    <row r="961" spans="26:58" ht="16.899999999999999">
      <c r="Z961" s="244"/>
      <c r="AC961" s="10"/>
      <c r="AD961" s="10"/>
      <c r="AF961" s="10"/>
      <c r="AG961" s="10"/>
      <c r="AH961" s="10"/>
      <c r="AI961" s="9"/>
      <c r="AJ961" s="9"/>
      <c r="AK961" s="11"/>
      <c r="AL961" s="10"/>
      <c r="AM961" s="11"/>
      <c r="AN961" s="10"/>
      <c r="AO961" s="11"/>
      <c r="AP961" s="10"/>
      <c r="AQ961" s="10"/>
      <c r="AR961" s="10"/>
      <c r="AS961" s="9"/>
      <c r="AT961" s="9"/>
      <c r="AU961" s="9"/>
      <c r="AV961" s="9"/>
      <c r="AW961" s="9"/>
      <c r="AX961" s="9"/>
      <c r="AY961" s="8"/>
      <c r="AZ961" s="8"/>
      <c r="BA961" s="8"/>
      <c r="BB961" s="8"/>
      <c r="BC961" s="8"/>
      <c r="BD961" s="8"/>
      <c r="BE961" s="8"/>
      <c r="BF961" s="8"/>
    </row>
    <row r="962" spans="26:58" ht="16.899999999999999">
      <c r="Z962" s="244"/>
      <c r="AC962" s="10"/>
      <c r="AD962" s="10"/>
      <c r="AF962" s="10"/>
      <c r="AG962" s="10"/>
      <c r="AH962" s="10"/>
      <c r="AI962" s="9"/>
      <c r="AJ962" s="9"/>
      <c r="AK962" s="11"/>
      <c r="AL962" s="10"/>
      <c r="AM962" s="11"/>
      <c r="AN962" s="10"/>
      <c r="AO962" s="11"/>
      <c r="AP962" s="10"/>
      <c r="AQ962" s="10"/>
      <c r="AR962" s="10"/>
      <c r="AS962" s="9"/>
      <c r="AT962" s="9"/>
      <c r="AU962" s="9"/>
      <c r="AV962" s="9"/>
      <c r="AW962" s="9"/>
      <c r="AX962" s="9"/>
      <c r="AY962" s="8"/>
      <c r="AZ962" s="8"/>
      <c r="BA962" s="8"/>
      <c r="BB962" s="8"/>
      <c r="BC962" s="8"/>
      <c r="BD962" s="8"/>
      <c r="BE962" s="8"/>
      <c r="BF962" s="8"/>
    </row>
    <row r="963" spans="26:58" ht="16.899999999999999">
      <c r="Z963" s="244"/>
      <c r="AC963" s="10"/>
      <c r="AD963" s="10"/>
      <c r="AF963" s="10"/>
      <c r="AG963" s="10"/>
      <c r="AH963" s="10"/>
      <c r="AI963" s="9"/>
      <c r="AJ963" s="9"/>
      <c r="AK963" s="11"/>
      <c r="AL963" s="10"/>
      <c r="AM963" s="11"/>
      <c r="AN963" s="10"/>
      <c r="AO963" s="11"/>
      <c r="AP963" s="10"/>
      <c r="AQ963" s="10"/>
      <c r="AR963" s="10"/>
      <c r="AS963" s="9"/>
      <c r="AT963" s="9"/>
      <c r="AU963" s="9"/>
      <c r="AV963" s="9"/>
      <c r="AW963" s="9"/>
      <c r="AX963" s="9"/>
      <c r="AY963" s="8"/>
      <c r="AZ963" s="8"/>
      <c r="BA963" s="8"/>
      <c r="BB963" s="8"/>
      <c r="BC963" s="8"/>
      <c r="BD963" s="8"/>
      <c r="BE963" s="8"/>
      <c r="BF963" s="8"/>
    </row>
    <row r="964" spans="26:58" ht="16.899999999999999">
      <c r="Z964" s="244"/>
      <c r="AC964" s="10"/>
      <c r="AD964" s="10"/>
      <c r="AF964" s="10"/>
      <c r="AG964" s="10"/>
      <c r="AH964" s="10"/>
      <c r="AI964" s="9"/>
      <c r="AJ964" s="9"/>
      <c r="AK964" s="11"/>
      <c r="AL964" s="10"/>
      <c r="AM964" s="11"/>
      <c r="AN964" s="10"/>
      <c r="AO964" s="11"/>
      <c r="AP964" s="10"/>
      <c r="AQ964" s="10"/>
      <c r="AR964" s="10"/>
      <c r="AS964" s="9"/>
      <c r="AT964" s="9"/>
      <c r="AU964" s="9"/>
      <c r="AV964" s="9"/>
      <c r="AW964" s="9"/>
      <c r="AX964" s="9"/>
      <c r="AY964" s="8"/>
      <c r="AZ964" s="8"/>
      <c r="BA964" s="8"/>
      <c r="BB964" s="8"/>
      <c r="BC964" s="8"/>
      <c r="BD964" s="8"/>
      <c r="BE964" s="8"/>
      <c r="BF964" s="8"/>
    </row>
    <row r="965" spans="26:58" ht="16.899999999999999">
      <c r="Z965" s="244"/>
      <c r="AC965" s="10"/>
      <c r="AD965" s="10"/>
      <c r="AF965" s="10"/>
      <c r="AG965" s="10"/>
      <c r="AH965" s="10"/>
      <c r="AI965" s="9"/>
      <c r="AJ965" s="9"/>
      <c r="AK965" s="11"/>
      <c r="AL965" s="10"/>
      <c r="AM965" s="11"/>
      <c r="AN965" s="10"/>
      <c r="AO965" s="11"/>
      <c r="AP965" s="10"/>
      <c r="AQ965" s="10"/>
      <c r="AR965" s="10"/>
      <c r="AS965" s="9"/>
      <c r="AT965" s="9"/>
      <c r="AU965" s="9"/>
      <c r="AV965" s="9"/>
      <c r="AW965" s="9"/>
      <c r="AX965" s="9"/>
      <c r="AY965" s="8"/>
      <c r="AZ965" s="8"/>
      <c r="BA965" s="8"/>
      <c r="BB965" s="8"/>
      <c r="BC965" s="8"/>
      <c r="BD965" s="8"/>
      <c r="BE965" s="8"/>
      <c r="BF965" s="8"/>
    </row>
    <row r="966" spans="26:58" ht="16.899999999999999">
      <c r="Z966" s="244"/>
      <c r="AC966" s="10"/>
      <c r="AD966" s="10"/>
      <c r="AF966" s="10"/>
      <c r="AG966" s="10"/>
      <c r="AH966" s="10"/>
      <c r="AI966" s="9"/>
      <c r="AJ966" s="9"/>
      <c r="AK966" s="11"/>
      <c r="AL966" s="10"/>
      <c r="AM966" s="11"/>
      <c r="AN966" s="10"/>
      <c r="AO966" s="11"/>
      <c r="AP966" s="10"/>
      <c r="AQ966" s="10"/>
      <c r="AR966" s="10"/>
      <c r="AS966" s="9"/>
      <c r="AT966" s="9"/>
      <c r="AU966" s="9"/>
      <c r="AV966" s="9"/>
      <c r="AW966" s="9"/>
      <c r="AX966" s="9"/>
      <c r="AY966" s="8"/>
      <c r="AZ966" s="8"/>
      <c r="BA966" s="8"/>
      <c r="BB966" s="8"/>
      <c r="BC966" s="8"/>
      <c r="BD966" s="8"/>
      <c r="BE966" s="8"/>
      <c r="BF966" s="8"/>
    </row>
    <row r="967" spans="26:58" ht="16.899999999999999">
      <c r="Z967" s="244"/>
      <c r="AC967" s="10"/>
      <c r="AD967" s="10"/>
      <c r="AF967" s="10"/>
      <c r="AG967" s="10"/>
      <c r="AH967" s="10"/>
      <c r="AI967" s="9"/>
      <c r="AJ967" s="9"/>
      <c r="AK967" s="11"/>
      <c r="AL967" s="10"/>
      <c r="AM967" s="11"/>
      <c r="AN967" s="10"/>
      <c r="AO967" s="11"/>
      <c r="AP967" s="10"/>
      <c r="AQ967" s="10"/>
      <c r="AR967" s="10"/>
      <c r="AS967" s="9"/>
      <c r="AT967" s="9"/>
      <c r="AU967" s="9"/>
      <c r="AV967" s="9"/>
      <c r="AW967" s="9"/>
      <c r="AX967" s="9"/>
      <c r="AY967" s="8"/>
      <c r="AZ967" s="8"/>
      <c r="BA967" s="8"/>
      <c r="BB967" s="8"/>
      <c r="BC967" s="8"/>
      <c r="BD967" s="8"/>
      <c r="BE967" s="8"/>
      <c r="BF967" s="8"/>
    </row>
    <row r="968" spans="26:58" ht="16.899999999999999">
      <c r="Z968" s="244"/>
      <c r="AC968" s="10"/>
      <c r="AD968" s="10"/>
      <c r="AF968" s="10"/>
      <c r="AG968" s="10"/>
      <c r="AH968" s="10"/>
      <c r="AI968" s="9"/>
      <c r="AJ968" s="9"/>
      <c r="AK968" s="11"/>
      <c r="AL968" s="10"/>
      <c r="AM968" s="11"/>
      <c r="AN968" s="10"/>
      <c r="AO968" s="11"/>
      <c r="AP968" s="10"/>
      <c r="AQ968" s="10"/>
      <c r="AR968" s="10"/>
      <c r="AS968" s="9"/>
      <c r="AT968" s="9"/>
      <c r="AU968" s="9"/>
      <c r="AV968" s="9"/>
      <c r="AW968" s="9"/>
      <c r="AX968" s="9"/>
      <c r="AY968" s="8"/>
      <c r="AZ968" s="8"/>
      <c r="BA968" s="8"/>
      <c r="BB968" s="8"/>
      <c r="BC968" s="8"/>
      <c r="BD968" s="8"/>
      <c r="BE968" s="8"/>
      <c r="BF968" s="8"/>
    </row>
    <row r="969" spans="26:58" ht="16.899999999999999">
      <c r="Z969" s="244"/>
      <c r="AC969" s="10"/>
      <c r="AD969" s="10"/>
      <c r="AF969" s="10"/>
      <c r="AG969" s="10"/>
      <c r="AH969" s="10"/>
      <c r="AI969" s="9"/>
      <c r="AJ969" s="9"/>
      <c r="AK969" s="11"/>
      <c r="AL969" s="10"/>
      <c r="AM969" s="11"/>
      <c r="AN969" s="10"/>
      <c r="AO969" s="11"/>
      <c r="AP969" s="10"/>
      <c r="AQ969" s="10"/>
      <c r="AR969" s="10"/>
      <c r="AS969" s="9"/>
      <c r="AT969" s="9"/>
      <c r="AU969" s="9"/>
      <c r="AV969" s="9"/>
      <c r="AW969" s="9"/>
      <c r="AX969" s="9"/>
      <c r="AY969" s="8"/>
      <c r="AZ969" s="8"/>
      <c r="BA969" s="8"/>
      <c r="BB969" s="8"/>
      <c r="BC969" s="8"/>
      <c r="BD969" s="8"/>
      <c r="BE969" s="8"/>
      <c r="BF969" s="8"/>
    </row>
    <row r="970" spans="26:58" ht="16.899999999999999">
      <c r="Z970" s="244"/>
      <c r="AC970" s="10"/>
      <c r="AD970" s="10"/>
      <c r="AF970" s="10"/>
      <c r="AG970" s="10"/>
      <c r="AH970" s="10"/>
      <c r="AI970" s="9"/>
      <c r="AJ970" s="9"/>
      <c r="AK970" s="11"/>
      <c r="AL970" s="10"/>
      <c r="AM970" s="11"/>
      <c r="AN970" s="10"/>
      <c r="AO970" s="11"/>
      <c r="AP970" s="10"/>
      <c r="AQ970" s="10"/>
      <c r="AR970" s="10"/>
      <c r="AS970" s="9"/>
      <c r="AT970" s="9"/>
      <c r="AU970" s="9"/>
      <c r="AV970" s="9"/>
      <c r="AW970" s="9"/>
      <c r="AX970" s="9"/>
      <c r="AY970" s="8"/>
      <c r="AZ970" s="8"/>
      <c r="BA970" s="8"/>
      <c r="BB970" s="8"/>
      <c r="BC970" s="8"/>
      <c r="BD970" s="8"/>
      <c r="BE970" s="8"/>
      <c r="BF970" s="8"/>
    </row>
    <row r="971" spans="26:58" ht="16.899999999999999">
      <c r="Z971" s="244"/>
      <c r="AC971" s="10"/>
      <c r="AD971" s="10"/>
      <c r="AF971" s="10"/>
      <c r="AG971" s="10"/>
      <c r="AH971" s="10"/>
      <c r="AI971" s="9"/>
      <c r="AJ971" s="9"/>
      <c r="AK971" s="11"/>
      <c r="AL971" s="10"/>
      <c r="AM971" s="11"/>
      <c r="AN971" s="10"/>
      <c r="AO971" s="11"/>
      <c r="AP971" s="10"/>
      <c r="AQ971" s="10"/>
      <c r="AR971" s="10"/>
      <c r="AS971" s="9"/>
      <c r="AT971" s="9"/>
      <c r="AU971" s="9"/>
      <c r="AV971" s="9"/>
      <c r="AW971" s="9"/>
      <c r="AX971" s="9"/>
      <c r="AY971" s="8"/>
      <c r="AZ971" s="8"/>
      <c r="BA971" s="8"/>
      <c r="BB971" s="8"/>
      <c r="BC971" s="8"/>
      <c r="BD971" s="8"/>
      <c r="BE971" s="8"/>
      <c r="BF971" s="8"/>
    </row>
    <row r="972" spans="26:58" ht="16.899999999999999">
      <c r="Z972" s="244"/>
      <c r="AC972" s="10"/>
      <c r="AD972" s="10"/>
      <c r="AF972" s="10"/>
      <c r="AG972" s="10"/>
      <c r="AH972" s="10"/>
      <c r="AI972" s="9"/>
      <c r="AJ972" s="9"/>
      <c r="AK972" s="11"/>
      <c r="AL972" s="10"/>
      <c r="AM972" s="11"/>
      <c r="AN972" s="10"/>
      <c r="AO972" s="11"/>
      <c r="AP972" s="10"/>
      <c r="AQ972" s="10"/>
      <c r="AR972" s="10"/>
      <c r="AS972" s="9"/>
      <c r="AT972" s="9"/>
      <c r="AU972" s="9"/>
      <c r="AV972" s="9"/>
      <c r="AW972" s="9"/>
      <c r="AX972" s="9"/>
      <c r="AY972" s="8"/>
      <c r="AZ972" s="8"/>
      <c r="BA972" s="8"/>
      <c r="BB972" s="8"/>
      <c r="BC972" s="8"/>
      <c r="BD972" s="8"/>
      <c r="BE972" s="8"/>
      <c r="BF972" s="8"/>
    </row>
    <row r="973" spans="26:58" ht="16.899999999999999">
      <c r="Z973" s="244"/>
      <c r="AC973" s="10"/>
      <c r="AD973" s="10"/>
      <c r="AF973" s="10"/>
      <c r="AG973" s="10"/>
      <c r="AH973" s="10"/>
      <c r="AI973" s="9"/>
      <c r="AJ973" s="9"/>
      <c r="AK973" s="11"/>
      <c r="AL973" s="10"/>
      <c r="AM973" s="11"/>
      <c r="AN973" s="10"/>
      <c r="AO973" s="11"/>
      <c r="AP973" s="10"/>
      <c r="AQ973" s="10"/>
      <c r="AR973" s="10"/>
      <c r="AS973" s="9"/>
      <c r="AT973" s="9"/>
      <c r="AU973" s="9"/>
      <c r="AV973" s="9"/>
      <c r="AW973" s="9"/>
      <c r="AX973" s="9"/>
      <c r="AY973" s="8"/>
      <c r="AZ973" s="8"/>
      <c r="BA973" s="8"/>
      <c r="BB973" s="8"/>
      <c r="BC973" s="8"/>
      <c r="BD973" s="8"/>
      <c r="BE973" s="8"/>
      <c r="BF973" s="8"/>
    </row>
    <row r="974" spans="26:58" ht="16.899999999999999">
      <c r="Z974" s="244"/>
      <c r="AC974" s="10"/>
      <c r="AD974" s="10"/>
      <c r="AF974" s="10"/>
      <c r="AG974" s="10"/>
      <c r="AH974" s="10"/>
      <c r="AI974" s="9"/>
      <c r="AJ974" s="9"/>
      <c r="AK974" s="11"/>
      <c r="AL974" s="10"/>
      <c r="AM974" s="11"/>
      <c r="AN974" s="10"/>
      <c r="AO974" s="11"/>
      <c r="AP974" s="10"/>
      <c r="AQ974" s="10"/>
      <c r="AR974" s="10"/>
      <c r="AS974" s="9"/>
      <c r="AT974" s="9"/>
      <c r="AU974" s="9"/>
      <c r="AV974" s="9"/>
      <c r="AW974" s="9"/>
      <c r="AX974" s="9"/>
      <c r="AY974" s="8"/>
      <c r="AZ974" s="8"/>
      <c r="BA974" s="8"/>
      <c r="BB974" s="8"/>
      <c r="BC974" s="8"/>
      <c r="BD974" s="8"/>
      <c r="BE974" s="8"/>
      <c r="BF974" s="8"/>
    </row>
    <row r="975" spans="26:58" ht="16.899999999999999">
      <c r="Z975" s="244"/>
      <c r="AC975" s="10"/>
      <c r="AD975" s="10"/>
      <c r="AF975" s="10"/>
      <c r="AG975" s="10"/>
      <c r="AH975" s="10"/>
      <c r="AI975" s="9"/>
      <c r="AJ975" s="9"/>
      <c r="AK975" s="11"/>
      <c r="AL975" s="10"/>
      <c r="AM975" s="11"/>
      <c r="AN975" s="10"/>
      <c r="AO975" s="11"/>
      <c r="AP975" s="10"/>
      <c r="AQ975" s="10"/>
      <c r="AR975" s="10"/>
      <c r="AS975" s="9"/>
      <c r="AT975" s="9"/>
      <c r="AU975" s="9"/>
      <c r="AV975" s="9"/>
      <c r="AW975" s="9"/>
      <c r="AX975" s="9"/>
      <c r="AY975" s="8"/>
      <c r="AZ975" s="8"/>
      <c r="BA975" s="8"/>
      <c r="BB975" s="8"/>
      <c r="BC975" s="8"/>
      <c r="BD975" s="8"/>
      <c r="BE975" s="8"/>
      <c r="BF975" s="8"/>
    </row>
    <row r="976" spans="26:58" ht="16.899999999999999">
      <c r="Z976" s="244"/>
      <c r="AC976" s="10"/>
      <c r="AD976" s="10"/>
      <c r="AF976" s="10"/>
      <c r="AG976" s="10"/>
      <c r="AH976" s="10"/>
      <c r="AI976" s="9"/>
      <c r="AJ976" s="9"/>
      <c r="AK976" s="11"/>
      <c r="AL976" s="10"/>
      <c r="AM976" s="11"/>
      <c r="AN976" s="10"/>
      <c r="AO976" s="11"/>
      <c r="AP976" s="10"/>
      <c r="AQ976" s="10"/>
      <c r="AR976" s="10"/>
      <c r="AS976" s="9"/>
      <c r="AT976" s="9"/>
      <c r="AU976" s="9"/>
      <c r="AV976" s="9"/>
      <c r="AW976" s="9"/>
      <c r="AX976" s="9"/>
      <c r="AY976" s="8"/>
      <c r="AZ976" s="8"/>
      <c r="BA976" s="8"/>
      <c r="BB976" s="8"/>
      <c r="BC976" s="8"/>
      <c r="BD976" s="8"/>
      <c r="BE976" s="8"/>
      <c r="BF976" s="8"/>
    </row>
    <row r="977" spans="26:58" ht="16.899999999999999">
      <c r="Z977" s="244"/>
      <c r="AC977" s="10"/>
      <c r="AD977" s="10"/>
      <c r="AF977" s="10"/>
      <c r="AG977" s="10"/>
      <c r="AH977" s="10"/>
      <c r="AI977" s="9"/>
      <c r="AJ977" s="9"/>
      <c r="AK977" s="11"/>
      <c r="AL977" s="10"/>
      <c r="AM977" s="11"/>
      <c r="AN977" s="10"/>
      <c r="AO977" s="11"/>
      <c r="AP977" s="10"/>
      <c r="AQ977" s="10"/>
      <c r="AR977" s="10"/>
      <c r="AS977" s="9"/>
      <c r="AT977" s="9"/>
      <c r="AU977" s="9"/>
      <c r="AV977" s="9"/>
      <c r="AW977" s="9"/>
      <c r="AX977" s="9"/>
      <c r="AY977" s="8"/>
      <c r="AZ977" s="8"/>
      <c r="BA977" s="8"/>
      <c r="BB977" s="8"/>
      <c r="BC977" s="8"/>
      <c r="BD977" s="8"/>
      <c r="BE977" s="8"/>
      <c r="BF977" s="8"/>
    </row>
    <row r="978" spans="26:58" ht="16.899999999999999">
      <c r="Z978" s="244"/>
      <c r="AC978" s="10"/>
      <c r="AD978" s="10"/>
      <c r="AF978" s="10"/>
      <c r="AG978" s="10"/>
      <c r="AH978" s="10"/>
      <c r="AI978" s="9"/>
      <c r="AJ978" s="9"/>
      <c r="AK978" s="11"/>
      <c r="AL978" s="10"/>
      <c r="AM978" s="11"/>
      <c r="AN978" s="10"/>
      <c r="AO978" s="11"/>
      <c r="AP978" s="10"/>
      <c r="AQ978" s="10"/>
      <c r="AR978" s="10"/>
      <c r="AS978" s="9"/>
      <c r="AT978" s="9"/>
      <c r="AU978" s="9"/>
      <c r="AV978" s="9"/>
      <c r="AW978" s="9"/>
      <c r="AX978" s="9"/>
      <c r="AY978" s="8"/>
      <c r="AZ978" s="8"/>
      <c r="BA978" s="8"/>
      <c r="BB978" s="8"/>
      <c r="BC978" s="8"/>
      <c r="BD978" s="8"/>
      <c r="BE978" s="8"/>
      <c r="BF978" s="8"/>
    </row>
    <row r="979" spans="26:58" ht="16.899999999999999">
      <c r="Z979" s="244"/>
      <c r="AC979" s="10"/>
      <c r="AD979" s="10"/>
      <c r="AF979" s="10"/>
      <c r="AG979" s="10"/>
      <c r="AH979" s="10"/>
      <c r="AI979" s="9"/>
      <c r="AJ979" s="9"/>
      <c r="AK979" s="11"/>
      <c r="AL979" s="10"/>
      <c r="AM979" s="11"/>
      <c r="AN979" s="10"/>
      <c r="AO979" s="11"/>
      <c r="AP979" s="10"/>
      <c r="AQ979" s="10"/>
      <c r="AR979" s="10"/>
      <c r="AS979" s="9"/>
      <c r="AT979" s="9"/>
      <c r="AU979" s="9"/>
      <c r="AV979" s="9"/>
      <c r="AW979" s="9"/>
      <c r="AX979" s="9"/>
      <c r="AY979" s="8"/>
      <c r="AZ979" s="8"/>
      <c r="BA979" s="8"/>
      <c r="BB979" s="8"/>
      <c r="BC979" s="8"/>
      <c r="BD979" s="8"/>
      <c r="BE979" s="8"/>
      <c r="BF979" s="8"/>
    </row>
    <row r="980" spans="26:58" ht="16.899999999999999">
      <c r="Z980" s="244"/>
      <c r="AC980" s="10"/>
      <c r="AD980" s="10"/>
      <c r="AF980" s="10"/>
      <c r="AG980" s="10"/>
      <c r="AH980" s="10"/>
      <c r="AI980" s="9"/>
      <c r="AJ980" s="9"/>
      <c r="AK980" s="11"/>
      <c r="AL980" s="10"/>
      <c r="AM980" s="11"/>
      <c r="AN980" s="10"/>
      <c r="AO980" s="11"/>
      <c r="AP980" s="10"/>
      <c r="AQ980" s="10"/>
      <c r="AR980" s="10"/>
      <c r="AS980" s="9"/>
      <c r="AT980" s="9"/>
      <c r="AU980" s="9"/>
      <c r="AV980" s="9"/>
      <c r="AW980" s="9"/>
      <c r="AX980" s="9"/>
      <c r="AY980" s="8"/>
      <c r="AZ980" s="8"/>
      <c r="BA980" s="8"/>
      <c r="BB980" s="8"/>
      <c r="BC980" s="8"/>
      <c r="BD980" s="8"/>
      <c r="BE980" s="8"/>
      <c r="BF980" s="8"/>
    </row>
    <row r="981" spans="26:58" ht="16.899999999999999">
      <c r="Z981" s="244"/>
      <c r="AC981" s="10"/>
      <c r="AD981" s="10"/>
      <c r="AF981" s="10"/>
      <c r="AG981" s="10"/>
      <c r="AH981" s="10"/>
      <c r="AI981" s="9"/>
      <c r="AJ981" s="9"/>
      <c r="AK981" s="11"/>
      <c r="AL981" s="10"/>
      <c r="AM981" s="11"/>
      <c r="AN981" s="10"/>
      <c r="AO981" s="11"/>
      <c r="AP981" s="10"/>
      <c r="AQ981" s="10"/>
      <c r="AR981" s="10"/>
      <c r="AS981" s="9"/>
      <c r="AT981" s="9"/>
      <c r="AU981" s="9"/>
      <c r="AV981" s="9"/>
      <c r="AW981" s="9"/>
      <c r="AX981" s="9"/>
      <c r="AY981" s="8"/>
      <c r="AZ981" s="8"/>
      <c r="BA981" s="8"/>
      <c r="BB981" s="8"/>
      <c r="BC981" s="8"/>
      <c r="BD981" s="8"/>
      <c r="BE981" s="8"/>
      <c r="BF981" s="8"/>
    </row>
    <row r="982" spans="26:58" ht="16.899999999999999">
      <c r="Z982" s="244"/>
      <c r="AC982" s="10"/>
      <c r="AD982" s="10"/>
      <c r="AF982" s="10"/>
      <c r="AG982" s="10"/>
      <c r="AH982" s="10"/>
      <c r="AI982" s="9"/>
      <c r="AJ982" s="9"/>
      <c r="AK982" s="11"/>
      <c r="AL982" s="10"/>
      <c r="AM982" s="11"/>
      <c r="AN982" s="10"/>
      <c r="AO982" s="11"/>
      <c r="AP982" s="10"/>
      <c r="AQ982" s="10"/>
      <c r="AR982" s="10"/>
      <c r="AS982" s="9"/>
      <c r="AT982" s="9"/>
      <c r="AU982" s="9"/>
      <c r="AV982" s="9"/>
      <c r="AW982" s="9"/>
      <c r="AX982" s="9"/>
      <c r="AY982" s="8"/>
      <c r="AZ982" s="8"/>
      <c r="BA982" s="8"/>
      <c r="BB982" s="8"/>
      <c r="BC982" s="8"/>
      <c r="BD982" s="8"/>
      <c r="BE982" s="8"/>
      <c r="BF982" s="8"/>
    </row>
    <row r="983" spans="26:58" ht="16.899999999999999">
      <c r="Z983" s="244"/>
      <c r="AC983" s="10"/>
      <c r="AD983" s="10"/>
      <c r="AF983" s="10"/>
      <c r="AG983" s="10"/>
      <c r="AH983" s="10"/>
      <c r="AI983" s="9"/>
      <c r="AJ983" s="9"/>
      <c r="AK983" s="11"/>
      <c r="AL983" s="10"/>
      <c r="AM983" s="11"/>
      <c r="AN983" s="10"/>
      <c r="AO983" s="11"/>
      <c r="AP983" s="10"/>
      <c r="AQ983" s="10"/>
      <c r="AR983" s="10"/>
      <c r="AS983" s="9"/>
      <c r="AT983" s="9"/>
      <c r="AU983" s="9"/>
      <c r="AV983" s="9"/>
      <c r="AW983" s="9"/>
      <c r="AX983" s="9"/>
      <c r="AY983" s="8"/>
      <c r="AZ983" s="8"/>
      <c r="BA983" s="8"/>
      <c r="BB983" s="8"/>
      <c r="BC983" s="8"/>
      <c r="BD983" s="8"/>
      <c r="BE983" s="8"/>
      <c r="BF983" s="8"/>
    </row>
    <row r="984" spans="26:58" ht="16.899999999999999">
      <c r="Z984" s="244"/>
      <c r="AC984" s="10"/>
      <c r="AD984" s="10"/>
      <c r="AF984" s="10"/>
      <c r="AG984" s="10"/>
      <c r="AH984" s="10"/>
      <c r="AI984" s="9"/>
      <c r="AJ984" s="9"/>
      <c r="AK984" s="11"/>
      <c r="AL984" s="10"/>
      <c r="AM984" s="11"/>
      <c r="AN984" s="10"/>
      <c r="AO984" s="11"/>
      <c r="AP984" s="10"/>
      <c r="AQ984" s="10"/>
      <c r="AR984" s="10"/>
      <c r="AS984" s="9"/>
      <c r="AT984" s="9"/>
      <c r="AU984" s="9"/>
      <c r="AV984" s="9"/>
      <c r="AW984" s="9"/>
      <c r="AX984" s="9"/>
      <c r="AY984" s="8"/>
      <c r="AZ984" s="8"/>
      <c r="BA984" s="8"/>
      <c r="BB984" s="8"/>
      <c r="BC984" s="8"/>
      <c r="BD984" s="8"/>
      <c r="BE984" s="8"/>
      <c r="BF984" s="8"/>
    </row>
    <row r="985" spans="26:58" ht="16.899999999999999">
      <c r="Z985" s="244"/>
      <c r="AC985" s="10"/>
      <c r="AD985" s="10"/>
      <c r="AF985" s="10"/>
      <c r="AG985" s="10"/>
      <c r="AH985" s="10"/>
      <c r="AI985" s="9"/>
      <c r="AJ985" s="9"/>
      <c r="AK985" s="11"/>
      <c r="AL985" s="10"/>
      <c r="AM985" s="11"/>
      <c r="AN985" s="10"/>
      <c r="AO985" s="11"/>
      <c r="AP985" s="10"/>
      <c r="AQ985" s="10"/>
      <c r="AR985" s="10"/>
      <c r="AS985" s="9"/>
      <c r="AT985" s="9"/>
      <c r="AU985" s="9"/>
      <c r="AV985" s="9"/>
      <c r="AW985" s="9"/>
      <c r="AX985" s="9"/>
      <c r="AY985" s="8"/>
      <c r="AZ985" s="8"/>
      <c r="BA985" s="8"/>
      <c r="BB985" s="8"/>
      <c r="BC985" s="8"/>
      <c r="BD985" s="8"/>
      <c r="BE985" s="8"/>
      <c r="BF985" s="8"/>
    </row>
    <row r="986" spans="26:58" ht="16.899999999999999">
      <c r="Z986" s="244"/>
      <c r="AC986" s="10"/>
      <c r="AD986" s="10"/>
      <c r="AF986" s="10"/>
      <c r="AG986" s="10"/>
      <c r="AH986" s="10"/>
      <c r="AI986" s="9"/>
      <c r="AJ986" s="9"/>
      <c r="AK986" s="11"/>
      <c r="AL986" s="10"/>
      <c r="AM986" s="11"/>
      <c r="AN986" s="10"/>
      <c r="AO986" s="11"/>
      <c r="AP986" s="10"/>
      <c r="AQ986" s="10"/>
      <c r="AR986" s="10"/>
      <c r="AS986" s="9"/>
      <c r="AT986" s="9"/>
      <c r="AU986" s="9"/>
      <c r="AV986" s="9"/>
      <c r="AW986" s="9"/>
      <c r="AX986" s="9"/>
      <c r="AY986" s="8"/>
      <c r="AZ986" s="8"/>
      <c r="BA986" s="8"/>
      <c r="BB986" s="8"/>
      <c r="BC986" s="8"/>
      <c r="BD986" s="8"/>
      <c r="BE986" s="8"/>
      <c r="BF986" s="8"/>
    </row>
    <row r="987" spans="26:58" ht="16.899999999999999">
      <c r="Z987" s="244"/>
      <c r="AC987" s="10"/>
      <c r="AD987" s="10"/>
      <c r="AF987" s="10"/>
      <c r="AG987" s="10"/>
      <c r="AH987" s="10"/>
      <c r="AI987" s="9"/>
      <c r="AJ987" s="9"/>
      <c r="AK987" s="11"/>
      <c r="AL987" s="10"/>
      <c r="AM987" s="11"/>
      <c r="AN987" s="10"/>
      <c r="AO987" s="11"/>
      <c r="AP987" s="10"/>
      <c r="AQ987" s="10"/>
      <c r="AR987" s="10"/>
      <c r="AS987" s="9"/>
      <c r="AT987" s="9"/>
      <c r="AU987" s="9"/>
      <c r="AV987" s="9"/>
      <c r="AW987" s="9"/>
      <c r="AX987" s="9"/>
      <c r="AY987" s="8"/>
      <c r="AZ987" s="8"/>
      <c r="BA987" s="8"/>
      <c r="BB987" s="8"/>
      <c r="BC987" s="8"/>
      <c r="BD987" s="8"/>
      <c r="BE987" s="8"/>
      <c r="BF987" s="8"/>
    </row>
    <row r="988" spans="26:58" ht="16.899999999999999">
      <c r="Z988" s="244"/>
      <c r="AC988" s="10"/>
      <c r="AD988" s="10"/>
      <c r="AF988" s="10"/>
      <c r="AG988" s="10"/>
      <c r="AH988" s="10"/>
      <c r="AI988" s="9"/>
      <c r="AJ988" s="9"/>
      <c r="AK988" s="11"/>
      <c r="AL988" s="10"/>
      <c r="AM988" s="11"/>
      <c r="AN988" s="10"/>
      <c r="AO988" s="11"/>
      <c r="AP988" s="10"/>
      <c r="AQ988" s="10"/>
      <c r="AR988" s="10"/>
      <c r="AS988" s="9"/>
      <c r="AT988" s="9"/>
      <c r="AU988" s="9"/>
      <c r="AV988" s="9"/>
      <c r="AW988" s="9"/>
      <c r="AX988" s="9"/>
      <c r="AY988" s="8"/>
      <c r="AZ988" s="8"/>
      <c r="BA988" s="8"/>
      <c r="BB988" s="8"/>
      <c r="BC988" s="8"/>
      <c r="BD988" s="8"/>
      <c r="BE988" s="8"/>
      <c r="BF988" s="8"/>
    </row>
    <row r="989" spans="26:58" ht="16.899999999999999">
      <c r="Z989" s="244"/>
      <c r="AC989" s="10"/>
      <c r="AD989" s="10"/>
      <c r="AF989" s="10"/>
      <c r="AG989" s="10"/>
      <c r="AH989" s="10"/>
      <c r="AI989" s="9"/>
      <c r="AJ989" s="9"/>
      <c r="AK989" s="11"/>
      <c r="AL989" s="10"/>
      <c r="AM989" s="11"/>
      <c r="AN989" s="10"/>
      <c r="AO989" s="11"/>
      <c r="AP989" s="10"/>
      <c r="AQ989" s="10"/>
      <c r="AR989" s="10"/>
      <c r="AS989" s="9"/>
      <c r="AT989" s="9"/>
      <c r="AU989" s="9"/>
      <c r="AV989" s="9"/>
      <c r="AW989" s="9"/>
      <c r="AX989" s="9"/>
      <c r="AY989" s="8"/>
      <c r="AZ989" s="8"/>
      <c r="BA989" s="8"/>
      <c r="BB989" s="8"/>
      <c r="BC989" s="8"/>
      <c r="BD989" s="8"/>
      <c r="BE989" s="8"/>
      <c r="BF989" s="8"/>
    </row>
    <row r="990" spans="26:58" ht="16.899999999999999">
      <c r="Z990" s="244"/>
      <c r="AC990" s="10"/>
      <c r="AD990" s="10"/>
      <c r="AF990" s="10"/>
      <c r="AG990" s="10"/>
      <c r="AH990" s="10"/>
      <c r="AI990" s="9"/>
      <c r="AJ990" s="9"/>
      <c r="AK990" s="11"/>
      <c r="AL990" s="10"/>
      <c r="AM990" s="11"/>
      <c r="AN990" s="10"/>
      <c r="AO990" s="11"/>
      <c r="AP990" s="10"/>
      <c r="AQ990" s="10"/>
      <c r="AR990" s="10"/>
      <c r="AS990" s="9"/>
      <c r="AT990" s="9"/>
      <c r="AU990" s="9"/>
      <c r="AV990" s="9"/>
      <c r="AW990" s="9"/>
      <c r="AX990" s="9"/>
      <c r="AY990" s="8"/>
      <c r="AZ990" s="8"/>
      <c r="BA990" s="8"/>
      <c r="BB990" s="8"/>
      <c r="BC990" s="8"/>
      <c r="BD990" s="8"/>
      <c r="BE990" s="8"/>
      <c r="BF990" s="8"/>
    </row>
    <row r="991" spans="26:58" ht="16.899999999999999">
      <c r="Z991" s="244"/>
      <c r="AC991" s="10"/>
      <c r="AD991" s="10"/>
      <c r="AF991" s="10"/>
      <c r="AG991" s="10"/>
      <c r="AH991" s="10"/>
      <c r="AI991" s="9"/>
      <c r="AJ991" s="9"/>
      <c r="AK991" s="11"/>
      <c r="AL991" s="10"/>
      <c r="AM991" s="11"/>
      <c r="AN991" s="10"/>
      <c r="AO991" s="11"/>
      <c r="AP991" s="10"/>
      <c r="AQ991" s="10"/>
      <c r="AR991" s="10"/>
      <c r="AS991" s="9"/>
      <c r="AT991" s="9"/>
      <c r="AU991" s="9"/>
      <c r="AV991" s="9"/>
      <c r="AW991" s="9"/>
      <c r="AX991" s="9"/>
      <c r="AY991" s="8"/>
      <c r="AZ991" s="8"/>
      <c r="BA991" s="8"/>
      <c r="BB991" s="8"/>
      <c r="BC991" s="8"/>
      <c r="BD991" s="8"/>
      <c r="BE991" s="8"/>
      <c r="BF991" s="8"/>
    </row>
    <row r="992" spans="26:58" ht="16.899999999999999">
      <c r="Z992" s="244"/>
      <c r="AC992" s="10"/>
      <c r="AD992" s="10"/>
      <c r="AF992" s="10"/>
      <c r="AG992" s="10"/>
      <c r="AH992" s="10"/>
      <c r="AI992" s="9"/>
      <c r="AJ992" s="9"/>
      <c r="AK992" s="11"/>
      <c r="AL992" s="10"/>
      <c r="AM992" s="11"/>
      <c r="AN992" s="10"/>
      <c r="AO992" s="11"/>
      <c r="AP992" s="10"/>
      <c r="AQ992" s="10"/>
      <c r="AR992" s="10"/>
      <c r="AS992" s="9"/>
      <c r="AT992" s="9"/>
      <c r="AU992" s="9"/>
      <c r="AV992" s="9"/>
      <c r="AW992" s="9"/>
      <c r="AX992" s="9"/>
      <c r="AY992" s="8"/>
      <c r="AZ992" s="8"/>
      <c r="BA992" s="8"/>
      <c r="BB992" s="8"/>
      <c r="BC992" s="8"/>
      <c r="BD992" s="8"/>
      <c r="BE992" s="8"/>
      <c r="BF992" s="8"/>
    </row>
    <row r="993" spans="26:58" ht="16.899999999999999">
      <c r="Z993" s="244"/>
      <c r="AC993" s="10"/>
      <c r="AD993" s="10"/>
      <c r="AF993" s="10"/>
      <c r="AG993" s="10"/>
      <c r="AH993" s="10"/>
      <c r="AI993" s="9"/>
      <c r="AJ993" s="9"/>
      <c r="AK993" s="11"/>
      <c r="AL993" s="10"/>
      <c r="AM993" s="11"/>
      <c r="AN993" s="10"/>
      <c r="AO993" s="11"/>
      <c r="AP993" s="10"/>
      <c r="AQ993" s="10"/>
      <c r="AR993" s="10"/>
      <c r="AS993" s="9"/>
      <c r="AT993" s="9"/>
      <c r="AU993" s="9"/>
      <c r="AV993" s="9"/>
      <c r="AW993" s="9"/>
      <c r="AX993" s="9"/>
      <c r="AY993" s="8"/>
      <c r="AZ993" s="8"/>
      <c r="BA993" s="8"/>
      <c r="BB993" s="8"/>
      <c r="BC993" s="8"/>
      <c r="BD993" s="8"/>
      <c r="BE993" s="8"/>
      <c r="BF993" s="8"/>
    </row>
    <row r="994" spans="26:58" ht="16.899999999999999">
      <c r="Z994" s="244"/>
      <c r="AC994" s="10"/>
      <c r="AD994" s="10"/>
      <c r="AF994" s="10"/>
      <c r="AG994" s="10"/>
      <c r="AH994" s="10"/>
      <c r="AI994" s="9"/>
      <c r="AJ994" s="9"/>
      <c r="AK994" s="11"/>
      <c r="AL994" s="10"/>
      <c r="AM994" s="11"/>
      <c r="AN994" s="10"/>
      <c r="AO994" s="11"/>
      <c r="AP994" s="10"/>
      <c r="AQ994" s="10"/>
      <c r="AR994" s="10"/>
      <c r="AS994" s="9"/>
      <c r="AT994" s="9"/>
      <c r="AU994" s="9"/>
      <c r="AV994" s="9"/>
      <c r="AW994" s="9"/>
      <c r="AX994" s="9"/>
      <c r="AY994" s="8"/>
      <c r="AZ994" s="8"/>
      <c r="BA994" s="8"/>
      <c r="BB994" s="8"/>
      <c r="BC994" s="8"/>
      <c r="BD994" s="8"/>
      <c r="BE994" s="8"/>
      <c r="BF994" s="8"/>
    </row>
    <row r="995" spans="26:58" ht="16.899999999999999">
      <c r="Z995" s="244"/>
      <c r="AC995" s="10"/>
      <c r="AD995" s="10"/>
      <c r="AF995" s="10"/>
      <c r="AG995" s="10"/>
      <c r="AH995" s="10"/>
      <c r="AI995" s="9"/>
      <c r="AJ995" s="9"/>
      <c r="AK995" s="11"/>
      <c r="AL995" s="10"/>
      <c r="AM995" s="11"/>
      <c r="AN995" s="10"/>
      <c r="AO995" s="11"/>
      <c r="AP995" s="10"/>
      <c r="AQ995" s="10"/>
      <c r="AR995" s="10"/>
      <c r="AS995" s="9"/>
      <c r="AT995" s="9"/>
      <c r="AU995" s="9"/>
      <c r="AV995" s="9"/>
      <c r="AW995" s="9"/>
      <c r="AX995" s="9"/>
      <c r="AY995" s="8"/>
      <c r="AZ995" s="8"/>
      <c r="BA995" s="8"/>
      <c r="BB995" s="8"/>
      <c r="BC995" s="8"/>
      <c r="BD995" s="8"/>
      <c r="BE995" s="8"/>
      <c r="BF995" s="8"/>
    </row>
    <row r="996" spans="26:58" ht="16.899999999999999">
      <c r="Z996" s="244"/>
      <c r="AC996" s="10"/>
      <c r="AD996" s="10"/>
      <c r="AF996" s="10"/>
      <c r="AG996" s="10"/>
      <c r="AH996" s="10"/>
      <c r="AI996" s="9"/>
      <c r="AJ996" s="9"/>
      <c r="AK996" s="11"/>
      <c r="AL996" s="10"/>
      <c r="AM996" s="11"/>
      <c r="AN996" s="10"/>
      <c r="AO996" s="11"/>
      <c r="AP996" s="10"/>
      <c r="AQ996" s="10"/>
      <c r="AR996" s="10"/>
      <c r="AS996" s="9"/>
      <c r="AT996" s="9"/>
      <c r="AU996" s="9"/>
      <c r="AV996" s="9"/>
      <c r="AW996" s="9"/>
      <c r="AX996" s="9"/>
      <c r="AY996" s="8"/>
      <c r="AZ996" s="8"/>
      <c r="BA996" s="8"/>
      <c r="BB996" s="8"/>
      <c r="BC996" s="8"/>
      <c r="BD996" s="8"/>
      <c r="BE996" s="8"/>
      <c r="BF996" s="8"/>
    </row>
    <row r="997" spans="26:58" ht="16.899999999999999">
      <c r="Z997" s="244"/>
      <c r="AC997" s="10"/>
      <c r="AD997" s="10"/>
      <c r="AF997" s="10"/>
      <c r="AG997" s="10"/>
      <c r="AH997" s="10"/>
      <c r="AI997" s="9"/>
      <c r="AJ997" s="9"/>
      <c r="AK997" s="11"/>
      <c r="AL997" s="10"/>
      <c r="AM997" s="11"/>
      <c r="AN997" s="10"/>
      <c r="AO997" s="11"/>
      <c r="AP997" s="10"/>
      <c r="AQ997" s="10"/>
      <c r="AR997" s="10"/>
      <c r="AS997" s="9"/>
      <c r="AT997" s="9"/>
      <c r="AU997" s="9"/>
      <c r="AV997" s="9"/>
      <c r="AW997" s="9"/>
      <c r="AX997" s="9"/>
      <c r="AY997" s="8"/>
      <c r="AZ997" s="8"/>
      <c r="BA997" s="8"/>
      <c r="BB997" s="8"/>
      <c r="BC997" s="8"/>
      <c r="BD997" s="8"/>
      <c r="BE997" s="8"/>
      <c r="BF997" s="8"/>
    </row>
    <row r="998" spans="26:58" ht="16.899999999999999">
      <c r="Z998" s="244"/>
      <c r="AC998" s="10"/>
      <c r="AD998" s="10"/>
      <c r="AF998" s="10"/>
      <c r="AG998" s="10"/>
      <c r="AH998" s="10"/>
      <c r="AI998" s="9"/>
      <c r="AJ998" s="9"/>
      <c r="AK998" s="11"/>
      <c r="AL998" s="10"/>
      <c r="AM998" s="11"/>
      <c r="AN998" s="10"/>
      <c r="AO998" s="11"/>
      <c r="AP998" s="10"/>
      <c r="AQ998" s="10"/>
      <c r="AR998" s="10"/>
      <c r="AS998" s="9"/>
      <c r="AT998" s="9"/>
      <c r="AU998" s="9"/>
      <c r="AV998" s="9"/>
      <c r="AW998" s="9"/>
      <c r="AX998" s="9"/>
      <c r="AY998" s="8"/>
      <c r="AZ998" s="8"/>
      <c r="BA998" s="8"/>
      <c r="BB998" s="8"/>
      <c r="BC998" s="8"/>
      <c r="BD998" s="8"/>
      <c r="BE998" s="8"/>
      <c r="BF998" s="8"/>
    </row>
    <row r="999" spans="26:58" ht="16.899999999999999">
      <c r="Z999" s="244"/>
      <c r="AC999" s="10"/>
      <c r="AD999" s="10"/>
      <c r="AF999" s="10"/>
      <c r="AG999" s="10"/>
      <c r="AH999" s="10"/>
      <c r="AI999" s="9"/>
      <c r="AJ999" s="9"/>
      <c r="AK999" s="11"/>
      <c r="AL999" s="10"/>
      <c r="AM999" s="11"/>
      <c r="AN999" s="10"/>
      <c r="AO999" s="11"/>
      <c r="AP999" s="10"/>
      <c r="AQ999" s="10"/>
      <c r="AR999" s="10"/>
      <c r="AS999" s="9"/>
      <c r="AT999" s="9"/>
      <c r="AU999" s="9"/>
      <c r="AV999" s="9"/>
      <c r="AW999" s="9"/>
      <c r="AX999" s="9"/>
      <c r="AY999" s="8"/>
      <c r="AZ999" s="8"/>
      <c r="BA999" s="8"/>
      <c r="BB999" s="8"/>
      <c r="BC999" s="8"/>
      <c r="BD999" s="8"/>
      <c r="BE999" s="8"/>
      <c r="BF999" s="8"/>
    </row>
    <row r="1000" spans="26:58" ht="16.899999999999999">
      <c r="Z1000" s="244"/>
      <c r="AC1000" s="10"/>
      <c r="AD1000" s="10"/>
      <c r="AF1000" s="10"/>
      <c r="AG1000" s="10"/>
      <c r="AH1000" s="10"/>
      <c r="AI1000" s="9"/>
      <c r="AJ1000" s="9"/>
      <c r="AK1000" s="11"/>
      <c r="AL1000" s="10"/>
      <c r="AM1000" s="11"/>
      <c r="AN1000" s="10"/>
      <c r="AO1000" s="11"/>
      <c r="AP1000" s="10"/>
      <c r="AQ1000" s="10"/>
      <c r="AR1000" s="10"/>
      <c r="AS1000" s="9"/>
      <c r="AT1000" s="9"/>
      <c r="AU1000" s="9"/>
      <c r="AV1000" s="9"/>
      <c r="AW1000" s="9"/>
      <c r="AX1000" s="9"/>
      <c r="AY1000" s="8"/>
      <c r="AZ1000" s="8"/>
      <c r="BA1000" s="8"/>
      <c r="BB1000" s="8"/>
      <c r="BC1000" s="8"/>
      <c r="BD1000" s="8"/>
      <c r="BE1000" s="8"/>
      <c r="BF1000" s="8"/>
    </row>
    <row r="1001" spans="26:58" ht="16.899999999999999">
      <c r="Z1001" s="244"/>
      <c r="AC1001" s="10"/>
      <c r="AD1001" s="10"/>
      <c r="AF1001" s="10"/>
      <c r="AG1001" s="10"/>
      <c r="AH1001" s="10"/>
      <c r="AI1001" s="9"/>
      <c r="AJ1001" s="9"/>
      <c r="AK1001" s="11"/>
      <c r="AL1001" s="10"/>
      <c r="AM1001" s="11"/>
      <c r="AN1001" s="10"/>
      <c r="AO1001" s="11"/>
      <c r="AP1001" s="10"/>
      <c r="AQ1001" s="10"/>
      <c r="AR1001" s="10"/>
      <c r="AS1001" s="9"/>
      <c r="AT1001" s="9"/>
      <c r="AU1001" s="9"/>
      <c r="AV1001" s="9"/>
      <c r="AW1001" s="9"/>
      <c r="AX1001" s="9"/>
      <c r="AY1001" s="8"/>
      <c r="AZ1001" s="8"/>
      <c r="BA1001" s="8"/>
      <c r="BB1001" s="8"/>
      <c r="BC1001" s="8"/>
      <c r="BD1001" s="8"/>
      <c r="BE1001" s="8"/>
      <c r="BF1001" s="8"/>
    </row>
    <row r="1002" spans="26:58" ht="16.899999999999999">
      <c r="Z1002" s="244"/>
      <c r="AC1002" s="10"/>
      <c r="AD1002" s="10"/>
      <c r="AF1002" s="10"/>
      <c r="AG1002" s="10"/>
      <c r="AH1002" s="10"/>
      <c r="AI1002" s="9"/>
      <c r="AJ1002" s="9"/>
      <c r="AK1002" s="11"/>
      <c r="AL1002" s="10"/>
      <c r="AM1002" s="11"/>
      <c r="AN1002" s="10"/>
      <c r="AO1002" s="11"/>
      <c r="AP1002" s="10"/>
      <c r="AQ1002" s="10"/>
      <c r="AR1002" s="10"/>
      <c r="AS1002" s="9"/>
      <c r="AT1002" s="9"/>
      <c r="AU1002" s="9"/>
      <c r="AV1002" s="9"/>
      <c r="AW1002" s="9"/>
      <c r="AX1002" s="9"/>
      <c r="AY1002" s="8"/>
      <c r="AZ1002" s="8"/>
      <c r="BA1002" s="8"/>
      <c r="BB1002" s="8"/>
      <c r="BC1002" s="8"/>
      <c r="BD1002" s="8"/>
      <c r="BE1002" s="8"/>
      <c r="BF1002" s="8"/>
    </row>
    <row r="1003" spans="26:58" ht="16.899999999999999">
      <c r="Z1003" s="244"/>
      <c r="AC1003" s="10"/>
      <c r="AD1003" s="10"/>
      <c r="AF1003" s="10"/>
      <c r="AG1003" s="10"/>
      <c r="AH1003" s="10"/>
      <c r="AI1003" s="9"/>
      <c r="AJ1003" s="9"/>
      <c r="AK1003" s="11"/>
      <c r="AL1003" s="10"/>
      <c r="AM1003" s="11"/>
      <c r="AN1003" s="10"/>
      <c r="AO1003" s="11"/>
      <c r="AP1003" s="10"/>
      <c r="AQ1003" s="10"/>
      <c r="AR1003" s="10"/>
      <c r="AS1003" s="9"/>
      <c r="AT1003" s="9"/>
      <c r="AU1003" s="9"/>
      <c r="AV1003" s="9"/>
      <c r="AW1003" s="9"/>
      <c r="AX1003" s="9"/>
      <c r="AY1003" s="8"/>
      <c r="AZ1003" s="8"/>
      <c r="BA1003" s="8"/>
      <c r="BB1003" s="8"/>
      <c r="BC1003" s="8"/>
      <c r="BD1003" s="8"/>
      <c r="BE1003" s="8"/>
      <c r="BF1003" s="8"/>
    </row>
    <row r="1004" spans="26:58" ht="16.899999999999999">
      <c r="Z1004" s="244"/>
      <c r="AC1004" s="10"/>
      <c r="AD1004" s="10"/>
      <c r="AF1004" s="10"/>
      <c r="AG1004" s="10"/>
      <c r="AH1004" s="10"/>
      <c r="AI1004" s="9"/>
      <c r="AJ1004" s="9"/>
      <c r="AK1004" s="11"/>
      <c r="AL1004" s="10"/>
      <c r="AM1004" s="11"/>
      <c r="AN1004" s="10"/>
      <c r="AO1004" s="11"/>
      <c r="AP1004" s="10"/>
      <c r="AQ1004" s="10"/>
      <c r="AR1004" s="10"/>
      <c r="AS1004" s="9"/>
      <c r="AT1004" s="9"/>
      <c r="AU1004" s="9"/>
      <c r="AV1004" s="9"/>
      <c r="AW1004" s="9"/>
      <c r="AX1004" s="9"/>
      <c r="AY1004" s="8"/>
      <c r="AZ1004" s="8"/>
      <c r="BA1004" s="8"/>
      <c r="BB1004" s="8"/>
      <c r="BC1004" s="8"/>
      <c r="BD1004" s="8"/>
      <c r="BE1004" s="8"/>
      <c r="BF1004" s="8"/>
    </row>
    <row r="1005" spans="26:58" ht="16.899999999999999">
      <c r="Z1005" s="244"/>
      <c r="AC1005" s="10"/>
      <c r="AD1005" s="10"/>
      <c r="AF1005" s="10"/>
      <c r="AG1005" s="10"/>
      <c r="AH1005" s="10"/>
      <c r="AI1005" s="9"/>
      <c r="AJ1005" s="9"/>
      <c r="AK1005" s="11"/>
      <c r="AL1005" s="10"/>
      <c r="AM1005" s="11"/>
      <c r="AN1005" s="10"/>
      <c r="AO1005" s="11"/>
      <c r="AP1005" s="10"/>
      <c r="AQ1005" s="10"/>
      <c r="AR1005" s="10"/>
      <c r="AS1005" s="9"/>
      <c r="AT1005" s="9"/>
      <c r="AU1005" s="9"/>
      <c r="AV1005" s="9"/>
      <c r="AW1005" s="9"/>
      <c r="AX1005" s="9"/>
      <c r="AY1005" s="8"/>
      <c r="AZ1005" s="8"/>
      <c r="BA1005" s="8"/>
      <c r="BB1005" s="8"/>
      <c r="BC1005" s="8"/>
      <c r="BD1005" s="8"/>
      <c r="BE1005" s="8"/>
      <c r="BF1005" s="8"/>
    </row>
    <row r="1006" spans="26:58" ht="16.899999999999999">
      <c r="Z1006" s="244"/>
      <c r="AC1006" s="10"/>
      <c r="AD1006" s="10"/>
      <c r="AF1006" s="10"/>
      <c r="AG1006" s="10"/>
      <c r="AH1006" s="10"/>
      <c r="AI1006" s="9"/>
      <c r="AJ1006" s="9"/>
      <c r="AK1006" s="11"/>
      <c r="AL1006" s="10"/>
      <c r="AM1006" s="11"/>
      <c r="AN1006" s="10"/>
      <c r="AO1006" s="11"/>
      <c r="AP1006" s="10"/>
      <c r="AQ1006" s="10"/>
      <c r="AR1006" s="10"/>
      <c r="AS1006" s="9"/>
      <c r="AT1006" s="9"/>
      <c r="AU1006" s="9"/>
      <c r="AV1006" s="9"/>
      <c r="AW1006" s="9"/>
      <c r="AX1006" s="9"/>
      <c r="AY1006" s="8"/>
      <c r="AZ1006" s="8"/>
      <c r="BA1006" s="8"/>
      <c r="BB1006" s="8"/>
      <c r="BC1006" s="8"/>
      <c r="BD1006" s="8"/>
      <c r="BE1006" s="8"/>
      <c r="BF1006" s="8"/>
    </row>
    <row r="1007" spans="26:58" ht="16.899999999999999">
      <c r="Z1007" s="244"/>
      <c r="AC1007" s="10"/>
      <c r="AD1007" s="10"/>
      <c r="AF1007" s="10"/>
      <c r="AG1007" s="10"/>
      <c r="AH1007" s="10"/>
      <c r="AI1007" s="9"/>
      <c r="AJ1007" s="9"/>
      <c r="AK1007" s="11"/>
      <c r="AL1007" s="10"/>
      <c r="AM1007" s="11"/>
      <c r="AN1007" s="10"/>
      <c r="AO1007" s="11"/>
      <c r="AP1007" s="10"/>
      <c r="AQ1007" s="10"/>
      <c r="AR1007" s="10"/>
      <c r="AS1007" s="9"/>
      <c r="AT1007" s="9"/>
      <c r="AU1007" s="9"/>
      <c r="AV1007" s="9"/>
      <c r="AW1007" s="9"/>
      <c r="AX1007" s="9"/>
      <c r="AY1007" s="8"/>
      <c r="AZ1007" s="8"/>
      <c r="BA1007" s="8"/>
      <c r="BB1007" s="8"/>
      <c r="BC1007" s="8"/>
      <c r="BD1007" s="8"/>
      <c r="BE1007" s="8"/>
      <c r="BF1007" s="8"/>
    </row>
    <row r="1008" spans="26:58" ht="16.899999999999999">
      <c r="Z1008" s="244"/>
      <c r="AC1008" s="10"/>
      <c r="AD1008" s="10"/>
      <c r="AF1008" s="10"/>
      <c r="AG1008" s="10"/>
      <c r="AH1008" s="10"/>
      <c r="AI1008" s="9"/>
      <c r="AJ1008" s="9"/>
      <c r="AK1008" s="11"/>
      <c r="AL1008" s="10"/>
      <c r="AM1008" s="11"/>
      <c r="AN1008" s="10"/>
      <c r="AO1008" s="11"/>
      <c r="AP1008" s="10"/>
      <c r="AQ1008" s="10"/>
      <c r="AR1008" s="10"/>
      <c r="AS1008" s="9"/>
      <c r="AT1008" s="9"/>
      <c r="AU1008" s="9"/>
      <c r="AV1008" s="9"/>
      <c r="AW1008" s="9"/>
      <c r="AX1008" s="9"/>
      <c r="AY1008" s="8"/>
      <c r="AZ1008" s="8"/>
      <c r="BA1008" s="8"/>
      <c r="BB1008" s="8"/>
      <c r="BC1008" s="8"/>
      <c r="BD1008" s="8"/>
      <c r="BE1008" s="8"/>
      <c r="BF1008" s="8"/>
    </row>
    <row r="1009" spans="26:58" ht="16.899999999999999">
      <c r="Z1009" s="244"/>
      <c r="AC1009" s="10"/>
      <c r="AD1009" s="10"/>
      <c r="AF1009" s="10"/>
      <c r="AG1009" s="10"/>
      <c r="AH1009" s="10"/>
      <c r="AI1009" s="9"/>
      <c r="AJ1009" s="9"/>
      <c r="AK1009" s="11"/>
      <c r="AL1009" s="10"/>
      <c r="AM1009" s="11"/>
      <c r="AN1009" s="10"/>
      <c r="AO1009" s="11"/>
      <c r="AP1009" s="10"/>
      <c r="AQ1009" s="10"/>
      <c r="AR1009" s="10"/>
      <c r="AS1009" s="9"/>
      <c r="AT1009" s="9"/>
      <c r="AU1009" s="9"/>
      <c r="AV1009" s="9"/>
      <c r="AW1009" s="9"/>
      <c r="AX1009" s="9"/>
      <c r="AY1009" s="8"/>
      <c r="AZ1009" s="8"/>
      <c r="BA1009" s="8"/>
      <c r="BB1009" s="8"/>
      <c r="BC1009" s="8"/>
      <c r="BD1009" s="8"/>
      <c r="BE1009" s="8"/>
      <c r="BF1009" s="8"/>
    </row>
    <row r="1010" spans="26:58" ht="16.899999999999999">
      <c r="Z1010" s="244"/>
      <c r="AC1010" s="10"/>
      <c r="AD1010" s="10"/>
      <c r="AF1010" s="10"/>
      <c r="AG1010" s="10"/>
      <c r="AH1010" s="10"/>
      <c r="AI1010" s="9"/>
      <c r="AJ1010" s="9"/>
      <c r="AK1010" s="11"/>
      <c r="AL1010" s="10"/>
      <c r="AM1010" s="11"/>
      <c r="AN1010" s="10"/>
      <c r="AO1010" s="11"/>
      <c r="AP1010" s="10"/>
      <c r="AQ1010" s="10"/>
      <c r="AR1010" s="10"/>
      <c r="AS1010" s="9"/>
      <c r="AT1010" s="9"/>
      <c r="AU1010" s="9"/>
      <c r="AV1010" s="9"/>
      <c r="AW1010" s="9"/>
      <c r="AX1010" s="9"/>
      <c r="AY1010" s="8"/>
      <c r="AZ1010" s="8"/>
      <c r="BA1010" s="8"/>
      <c r="BB1010" s="8"/>
      <c r="BC1010" s="8"/>
      <c r="BD1010" s="8"/>
      <c r="BE1010" s="8"/>
      <c r="BF1010" s="8"/>
    </row>
    <row r="1011" spans="26:58" ht="16.899999999999999">
      <c r="Z1011" s="244"/>
      <c r="AC1011" s="10"/>
      <c r="AD1011" s="10"/>
      <c r="AF1011" s="10"/>
      <c r="AG1011" s="10"/>
      <c r="AH1011" s="10"/>
      <c r="AI1011" s="9"/>
      <c r="AJ1011" s="9"/>
      <c r="AK1011" s="11"/>
      <c r="AL1011" s="10"/>
      <c r="AM1011" s="11"/>
      <c r="AN1011" s="10"/>
      <c r="AO1011" s="11"/>
      <c r="AP1011" s="10"/>
      <c r="AQ1011" s="10"/>
      <c r="AR1011" s="10"/>
      <c r="AS1011" s="9"/>
      <c r="AT1011" s="9"/>
      <c r="AU1011" s="9"/>
      <c r="AV1011" s="9"/>
      <c r="AW1011" s="9"/>
      <c r="AX1011" s="9"/>
      <c r="AY1011" s="8"/>
      <c r="AZ1011" s="8"/>
      <c r="BA1011" s="8"/>
      <c r="BB1011" s="8"/>
      <c r="BC1011" s="8"/>
      <c r="BD1011" s="8"/>
      <c r="BE1011" s="8"/>
      <c r="BF1011" s="8"/>
    </row>
    <row r="1012" spans="26:58" ht="16.899999999999999">
      <c r="Z1012" s="244"/>
      <c r="AC1012" s="10"/>
      <c r="AD1012" s="10"/>
      <c r="AF1012" s="10"/>
      <c r="AG1012" s="10"/>
      <c r="AH1012" s="10"/>
      <c r="AI1012" s="9"/>
      <c r="AJ1012" s="9"/>
      <c r="AK1012" s="11"/>
      <c r="AL1012" s="10"/>
      <c r="AM1012" s="11"/>
      <c r="AN1012" s="10"/>
      <c r="AO1012" s="11"/>
      <c r="AP1012" s="10"/>
      <c r="AQ1012" s="10"/>
      <c r="AR1012" s="10"/>
      <c r="AS1012" s="9"/>
      <c r="AT1012" s="9"/>
      <c r="AU1012" s="9"/>
      <c r="AV1012" s="9"/>
      <c r="AW1012" s="9"/>
      <c r="AX1012" s="9"/>
      <c r="AY1012" s="8"/>
      <c r="AZ1012" s="8"/>
      <c r="BA1012" s="8"/>
      <c r="BB1012" s="8"/>
      <c r="BC1012" s="8"/>
      <c r="BD1012" s="8"/>
      <c r="BE1012" s="8"/>
      <c r="BF1012" s="8"/>
    </row>
    <row r="1013" spans="26:58" ht="16.899999999999999">
      <c r="Z1013" s="244"/>
      <c r="AC1013" s="10"/>
      <c r="AD1013" s="10"/>
      <c r="AF1013" s="10"/>
      <c r="AG1013" s="10"/>
      <c r="AH1013" s="10"/>
      <c r="AI1013" s="9"/>
      <c r="AJ1013" s="9"/>
      <c r="AK1013" s="11"/>
      <c r="AL1013" s="10"/>
      <c r="AM1013" s="11"/>
      <c r="AN1013" s="10"/>
      <c r="AO1013" s="11"/>
      <c r="AP1013" s="10"/>
      <c r="AQ1013" s="10"/>
      <c r="AR1013" s="10"/>
      <c r="AS1013" s="9"/>
      <c r="AT1013" s="9"/>
      <c r="AU1013" s="9"/>
      <c r="AV1013" s="9"/>
      <c r="AW1013" s="9"/>
      <c r="AX1013" s="9"/>
      <c r="AY1013" s="8"/>
      <c r="AZ1013" s="8"/>
      <c r="BA1013" s="8"/>
      <c r="BB1013" s="8"/>
      <c r="BC1013" s="8"/>
      <c r="BD1013" s="8"/>
      <c r="BE1013" s="8"/>
      <c r="BF1013" s="8"/>
    </row>
    <row r="1014" spans="26:58" ht="16.899999999999999">
      <c r="Z1014" s="244"/>
      <c r="AC1014" s="10"/>
      <c r="AD1014" s="10"/>
      <c r="AF1014" s="10"/>
      <c r="AG1014" s="10"/>
      <c r="AH1014" s="10"/>
      <c r="AI1014" s="9"/>
      <c r="AJ1014" s="9"/>
      <c r="AK1014" s="11"/>
      <c r="AL1014" s="10"/>
      <c r="AM1014" s="11"/>
      <c r="AN1014" s="10"/>
      <c r="AO1014" s="11"/>
      <c r="AP1014" s="10"/>
      <c r="AQ1014" s="10"/>
      <c r="AR1014" s="10"/>
      <c r="AS1014" s="9"/>
      <c r="AT1014" s="9"/>
      <c r="AU1014" s="9"/>
      <c r="AV1014" s="9"/>
      <c r="AW1014" s="9"/>
      <c r="AX1014" s="9"/>
      <c r="AY1014" s="8"/>
      <c r="AZ1014" s="8"/>
      <c r="BA1014" s="8"/>
      <c r="BB1014" s="8"/>
      <c r="BC1014" s="8"/>
      <c r="BD1014" s="8"/>
      <c r="BE1014" s="8"/>
      <c r="BF1014" s="8"/>
    </row>
    <row r="1015" spans="26:58" ht="16.899999999999999">
      <c r="Z1015" s="244"/>
      <c r="AC1015" s="10"/>
      <c r="AD1015" s="10"/>
      <c r="AF1015" s="10"/>
      <c r="AG1015" s="10"/>
      <c r="AH1015" s="10"/>
      <c r="AI1015" s="9"/>
      <c r="AJ1015" s="9"/>
      <c r="AK1015" s="11"/>
      <c r="AL1015" s="10"/>
      <c r="AM1015" s="11"/>
      <c r="AN1015" s="10"/>
      <c r="AO1015" s="11"/>
      <c r="AP1015" s="10"/>
      <c r="AQ1015" s="10"/>
      <c r="AR1015" s="10"/>
      <c r="AS1015" s="9"/>
      <c r="AT1015" s="9"/>
      <c r="AU1015" s="9"/>
      <c r="AV1015" s="9"/>
      <c r="AW1015" s="9"/>
      <c r="AX1015" s="9"/>
      <c r="AY1015" s="8"/>
      <c r="AZ1015" s="8"/>
      <c r="BA1015" s="8"/>
      <c r="BB1015" s="8"/>
      <c r="BC1015" s="8"/>
      <c r="BD1015" s="8"/>
      <c r="BE1015" s="8"/>
      <c r="BF1015" s="8"/>
    </row>
    <row r="1016" spans="26:58" ht="16.899999999999999">
      <c r="Z1016" s="244"/>
      <c r="AC1016" s="10"/>
      <c r="AD1016" s="10"/>
      <c r="AF1016" s="10"/>
      <c r="AG1016" s="10"/>
      <c r="AH1016" s="10"/>
      <c r="AI1016" s="9"/>
      <c r="AJ1016" s="9"/>
      <c r="AK1016" s="11"/>
      <c r="AL1016" s="10"/>
      <c r="AM1016" s="11"/>
      <c r="AN1016" s="10"/>
      <c r="AO1016" s="11"/>
      <c r="AP1016" s="10"/>
      <c r="AQ1016" s="10"/>
      <c r="AR1016" s="10"/>
      <c r="AS1016" s="9"/>
      <c r="AT1016" s="9"/>
      <c r="AU1016" s="9"/>
      <c r="AV1016" s="9"/>
      <c r="AW1016" s="9"/>
      <c r="AX1016" s="9"/>
      <c r="AY1016" s="8"/>
      <c r="AZ1016" s="8"/>
      <c r="BA1016" s="8"/>
      <c r="BB1016" s="8"/>
      <c r="BC1016" s="8"/>
      <c r="BD1016" s="8"/>
      <c r="BE1016" s="8"/>
      <c r="BF1016" s="8"/>
    </row>
    <row r="1017" spans="26:58" ht="16.899999999999999">
      <c r="Z1017" s="244"/>
      <c r="AC1017" s="10"/>
      <c r="AD1017" s="10"/>
      <c r="AF1017" s="10"/>
      <c r="AG1017" s="10"/>
      <c r="AH1017" s="10"/>
      <c r="AI1017" s="9"/>
      <c r="AJ1017" s="9"/>
      <c r="AK1017" s="11"/>
      <c r="AL1017" s="10"/>
      <c r="AM1017" s="11"/>
      <c r="AN1017" s="10"/>
      <c r="AO1017" s="11"/>
      <c r="AP1017" s="10"/>
      <c r="AQ1017" s="10"/>
      <c r="AR1017" s="10"/>
      <c r="AS1017" s="9"/>
      <c r="AT1017" s="9"/>
      <c r="AU1017" s="9"/>
      <c r="AV1017" s="9"/>
      <c r="AW1017" s="9"/>
      <c r="AX1017" s="9"/>
      <c r="AY1017" s="8"/>
      <c r="AZ1017" s="8"/>
      <c r="BA1017" s="8"/>
      <c r="BB1017" s="8"/>
      <c r="BC1017" s="8"/>
      <c r="BD1017" s="8"/>
      <c r="BE1017" s="8"/>
      <c r="BF1017" s="8"/>
    </row>
    <row r="1018" spans="26:58" ht="16.899999999999999">
      <c r="Z1018" s="244"/>
      <c r="AC1018" s="10"/>
      <c r="AD1018" s="10"/>
      <c r="AF1018" s="10"/>
      <c r="AG1018" s="10"/>
      <c r="AH1018" s="10"/>
      <c r="AI1018" s="9"/>
      <c r="AJ1018" s="9"/>
      <c r="AK1018" s="11"/>
      <c r="AL1018" s="10"/>
      <c r="AM1018" s="11"/>
      <c r="AN1018" s="10"/>
      <c r="AO1018" s="11"/>
      <c r="AP1018" s="10"/>
      <c r="AQ1018" s="10"/>
      <c r="AR1018" s="10"/>
      <c r="AS1018" s="9"/>
      <c r="AT1018" s="9"/>
      <c r="AU1018" s="9"/>
      <c r="AV1018" s="9"/>
      <c r="AW1018" s="9"/>
      <c r="AX1018" s="9"/>
      <c r="AY1018" s="8"/>
      <c r="AZ1018" s="8"/>
      <c r="BA1018" s="8"/>
      <c r="BB1018" s="8"/>
      <c r="BC1018" s="8"/>
      <c r="BD1018" s="8"/>
      <c r="BE1018" s="8"/>
      <c r="BF1018" s="8"/>
    </row>
    <row r="1019" spans="26:58" ht="16.899999999999999">
      <c r="Z1019" s="244"/>
      <c r="AC1019" s="10"/>
      <c r="AD1019" s="10"/>
      <c r="AF1019" s="10"/>
      <c r="AG1019" s="10"/>
      <c r="AH1019" s="10"/>
      <c r="AI1019" s="9"/>
      <c r="AJ1019" s="9"/>
      <c r="AK1019" s="11"/>
      <c r="AL1019" s="10"/>
      <c r="AM1019" s="11"/>
      <c r="AN1019" s="10"/>
      <c r="AO1019" s="11"/>
      <c r="AP1019" s="10"/>
      <c r="AQ1019" s="10"/>
      <c r="AR1019" s="10"/>
      <c r="AS1019" s="9"/>
      <c r="AT1019" s="9"/>
      <c r="AU1019" s="9"/>
      <c r="AV1019" s="9"/>
      <c r="AW1019" s="9"/>
      <c r="AX1019" s="9"/>
      <c r="AY1019" s="8"/>
      <c r="AZ1019" s="8"/>
      <c r="BA1019" s="8"/>
      <c r="BB1019" s="8"/>
      <c r="BC1019" s="8"/>
      <c r="BD1019" s="8"/>
      <c r="BE1019" s="8"/>
      <c r="BF1019" s="8"/>
    </row>
    <row r="1020" spans="26:58" ht="16.899999999999999">
      <c r="Z1020" s="244"/>
      <c r="AC1020" s="10"/>
      <c r="AD1020" s="10"/>
      <c r="AF1020" s="10"/>
      <c r="AG1020" s="10"/>
      <c r="AH1020" s="10"/>
      <c r="AI1020" s="9"/>
      <c r="AJ1020" s="9"/>
      <c r="AK1020" s="11"/>
      <c r="AL1020" s="10"/>
      <c r="AM1020" s="11"/>
      <c r="AN1020" s="10"/>
      <c r="AO1020" s="11"/>
      <c r="AP1020" s="10"/>
      <c r="AQ1020" s="10"/>
      <c r="AR1020" s="10"/>
      <c r="AS1020" s="9"/>
      <c r="AT1020" s="9"/>
      <c r="AU1020" s="9"/>
      <c r="AV1020" s="9"/>
      <c r="AW1020" s="9"/>
      <c r="AX1020" s="9"/>
      <c r="AY1020" s="8"/>
      <c r="AZ1020" s="8"/>
      <c r="BA1020" s="8"/>
      <c r="BB1020" s="8"/>
      <c r="BC1020" s="8"/>
      <c r="BD1020" s="8"/>
      <c r="BE1020" s="8"/>
      <c r="BF1020" s="8"/>
    </row>
    <row r="1021" spans="26:58" ht="16.899999999999999">
      <c r="Z1021" s="244"/>
      <c r="AC1021" s="10"/>
      <c r="AD1021" s="10"/>
      <c r="AF1021" s="10"/>
      <c r="AG1021" s="10"/>
      <c r="AH1021" s="10"/>
      <c r="AI1021" s="9"/>
      <c r="AJ1021" s="9"/>
      <c r="AK1021" s="11"/>
      <c r="AL1021" s="10"/>
      <c r="AM1021" s="11"/>
      <c r="AN1021" s="10"/>
      <c r="AO1021" s="11"/>
      <c r="AP1021" s="10"/>
      <c r="AQ1021" s="10"/>
      <c r="AR1021" s="10"/>
      <c r="AS1021" s="9"/>
      <c r="AT1021" s="9"/>
      <c r="AU1021" s="9"/>
      <c r="AV1021" s="9"/>
      <c r="AW1021" s="9"/>
      <c r="AX1021" s="9"/>
      <c r="AY1021" s="8"/>
      <c r="AZ1021" s="8"/>
      <c r="BA1021" s="8"/>
      <c r="BB1021" s="8"/>
      <c r="BC1021" s="8"/>
      <c r="BD1021" s="8"/>
      <c r="BE1021" s="8"/>
      <c r="BF1021" s="8"/>
    </row>
    <row r="1022" spans="26:58" ht="16.899999999999999">
      <c r="Z1022" s="244"/>
      <c r="AC1022" s="10"/>
      <c r="AD1022" s="10"/>
      <c r="AF1022" s="10"/>
      <c r="AG1022" s="10"/>
      <c r="AH1022" s="10"/>
      <c r="AI1022" s="9"/>
      <c r="AJ1022" s="9"/>
      <c r="AK1022" s="11"/>
      <c r="AL1022" s="10"/>
      <c r="AM1022" s="11"/>
      <c r="AN1022" s="10"/>
      <c r="AO1022" s="11"/>
      <c r="AP1022" s="10"/>
      <c r="AQ1022" s="10"/>
      <c r="AR1022" s="10"/>
      <c r="AS1022" s="9"/>
      <c r="AT1022" s="9"/>
      <c r="AU1022" s="9"/>
      <c r="AV1022" s="9"/>
      <c r="AW1022" s="9"/>
      <c r="AX1022" s="9"/>
      <c r="AY1022" s="8"/>
      <c r="AZ1022" s="8"/>
      <c r="BA1022" s="8"/>
      <c r="BB1022" s="8"/>
      <c r="BC1022" s="8"/>
      <c r="BD1022" s="8"/>
      <c r="BE1022" s="8"/>
      <c r="BF1022" s="8"/>
    </row>
    <row r="1023" spans="26:58" ht="16.899999999999999">
      <c r="Z1023" s="244"/>
      <c r="AC1023" s="10"/>
      <c r="AD1023" s="10"/>
      <c r="AF1023" s="10"/>
      <c r="AG1023" s="10"/>
      <c r="AH1023" s="10"/>
      <c r="AI1023" s="9"/>
      <c r="AJ1023" s="9"/>
      <c r="AK1023" s="11"/>
      <c r="AL1023" s="10"/>
      <c r="AM1023" s="11"/>
      <c r="AN1023" s="10"/>
      <c r="AO1023" s="11"/>
      <c r="AP1023" s="10"/>
      <c r="AQ1023" s="10"/>
      <c r="AR1023" s="10"/>
      <c r="AS1023" s="9"/>
      <c r="AT1023" s="9"/>
      <c r="AU1023" s="9"/>
      <c r="AV1023" s="9"/>
      <c r="AW1023" s="9"/>
      <c r="AX1023" s="9"/>
      <c r="AY1023" s="8"/>
      <c r="AZ1023" s="8"/>
      <c r="BA1023" s="8"/>
      <c r="BB1023" s="8"/>
      <c r="BC1023" s="8"/>
      <c r="BD1023" s="8"/>
      <c r="BE1023" s="8"/>
      <c r="BF1023" s="8"/>
    </row>
    <row r="1024" spans="26:58" ht="16.899999999999999">
      <c r="Z1024" s="244"/>
      <c r="AC1024" s="10"/>
      <c r="AD1024" s="10"/>
      <c r="AF1024" s="10"/>
      <c r="AG1024" s="10"/>
      <c r="AH1024" s="10"/>
      <c r="AI1024" s="9"/>
      <c r="AJ1024" s="9"/>
      <c r="AK1024" s="11"/>
      <c r="AL1024" s="10"/>
      <c r="AM1024" s="11"/>
      <c r="AN1024" s="10"/>
      <c r="AO1024" s="11"/>
      <c r="AP1024" s="10"/>
      <c r="AQ1024" s="10"/>
      <c r="AR1024" s="10"/>
      <c r="AS1024" s="9"/>
      <c r="AT1024" s="9"/>
      <c r="AU1024" s="9"/>
      <c r="AV1024" s="9"/>
      <c r="AW1024" s="9"/>
      <c r="AX1024" s="9"/>
      <c r="AY1024" s="8"/>
      <c r="AZ1024" s="8"/>
      <c r="BA1024" s="8"/>
      <c r="BB1024" s="8"/>
      <c r="BC1024" s="8"/>
      <c r="BD1024" s="8"/>
      <c r="BE1024" s="8"/>
      <c r="BF1024" s="8"/>
    </row>
    <row r="1025" spans="26:58" ht="16.899999999999999">
      <c r="Z1025" s="244"/>
      <c r="AC1025" s="10"/>
      <c r="AD1025" s="10"/>
      <c r="AF1025" s="10"/>
      <c r="AG1025" s="10"/>
      <c r="AH1025" s="10"/>
      <c r="AI1025" s="9"/>
      <c r="AJ1025" s="9"/>
      <c r="AK1025" s="11"/>
      <c r="AL1025" s="10"/>
      <c r="AM1025" s="11"/>
      <c r="AN1025" s="10"/>
      <c r="AO1025" s="11"/>
      <c r="AP1025" s="10"/>
      <c r="AQ1025" s="10"/>
      <c r="AR1025" s="10"/>
      <c r="AS1025" s="9"/>
      <c r="AT1025" s="9"/>
      <c r="AU1025" s="9"/>
      <c r="AV1025" s="9"/>
      <c r="AW1025" s="9"/>
      <c r="AX1025" s="9"/>
      <c r="AY1025" s="8"/>
      <c r="AZ1025" s="8"/>
      <c r="BA1025" s="8"/>
      <c r="BB1025" s="8"/>
      <c r="BC1025" s="8"/>
      <c r="BD1025" s="8"/>
      <c r="BE1025" s="8"/>
      <c r="BF1025" s="8"/>
    </row>
    <row r="1026" spans="26:58" ht="16.899999999999999">
      <c r="Z1026" s="244"/>
      <c r="AC1026" s="10"/>
      <c r="AD1026" s="10"/>
      <c r="AF1026" s="10"/>
      <c r="AG1026" s="10"/>
      <c r="AH1026" s="10"/>
      <c r="AI1026" s="9"/>
      <c r="AJ1026" s="9"/>
      <c r="AK1026" s="11"/>
      <c r="AL1026" s="10"/>
      <c r="AM1026" s="11"/>
      <c r="AN1026" s="10"/>
      <c r="AO1026" s="11"/>
      <c r="AP1026" s="10"/>
      <c r="AQ1026" s="10"/>
      <c r="AR1026" s="10"/>
      <c r="AS1026" s="9"/>
      <c r="AT1026" s="9"/>
      <c r="AU1026" s="9"/>
      <c r="AV1026" s="9"/>
      <c r="AW1026" s="9"/>
      <c r="AX1026" s="9"/>
      <c r="AY1026" s="8"/>
      <c r="AZ1026" s="8"/>
      <c r="BA1026" s="8"/>
      <c r="BB1026" s="8"/>
      <c r="BC1026" s="8"/>
      <c r="BD1026" s="8"/>
      <c r="BE1026" s="8"/>
      <c r="BF1026" s="8"/>
    </row>
    <row r="1027" spans="26:58" ht="16.899999999999999">
      <c r="Z1027" s="244"/>
      <c r="AC1027" s="10"/>
      <c r="AD1027" s="10"/>
      <c r="AF1027" s="10"/>
      <c r="AG1027" s="10"/>
      <c r="AH1027" s="10"/>
      <c r="AI1027" s="9"/>
      <c r="AJ1027" s="9"/>
      <c r="AK1027" s="11"/>
      <c r="AL1027" s="10"/>
      <c r="AM1027" s="11"/>
      <c r="AN1027" s="10"/>
      <c r="AO1027" s="11"/>
      <c r="AP1027" s="10"/>
      <c r="AQ1027" s="10"/>
      <c r="AR1027" s="10"/>
      <c r="AS1027" s="9"/>
      <c r="AT1027" s="9"/>
      <c r="AU1027" s="9"/>
      <c r="AV1027" s="9"/>
      <c r="AW1027" s="9"/>
      <c r="AX1027" s="9"/>
      <c r="AY1027" s="8"/>
      <c r="AZ1027" s="8"/>
      <c r="BA1027" s="8"/>
      <c r="BB1027" s="8"/>
      <c r="BC1027" s="8"/>
      <c r="BD1027" s="8"/>
      <c r="BE1027" s="8"/>
      <c r="BF1027" s="8"/>
    </row>
    <row r="1028" spans="26:58" ht="16.899999999999999">
      <c r="Z1028" s="244"/>
      <c r="AC1028" s="10"/>
      <c r="AD1028" s="10"/>
      <c r="AF1028" s="10"/>
      <c r="AG1028" s="10"/>
      <c r="AH1028" s="10"/>
      <c r="AI1028" s="9"/>
      <c r="AJ1028" s="9"/>
      <c r="AK1028" s="11"/>
      <c r="AL1028" s="10"/>
      <c r="AM1028" s="11"/>
      <c r="AN1028" s="10"/>
      <c r="AO1028" s="11"/>
      <c r="AP1028" s="10"/>
      <c r="AQ1028" s="10"/>
      <c r="AR1028" s="10"/>
      <c r="AS1028" s="9"/>
      <c r="AT1028" s="9"/>
      <c r="AU1028" s="9"/>
      <c r="AV1028" s="9"/>
      <c r="AW1028" s="9"/>
      <c r="AX1028" s="9"/>
      <c r="AY1028" s="8"/>
      <c r="AZ1028" s="8"/>
      <c r="BA1028" s="8"/>
      <c r="BB1028" s="8"/>
      <c r="BC1028" s="8"/>
      <c r="BD1028" s="8"/>
      <c r="BE1028" s="8"/>
      <c r="BF1028" s="8"/>
    </row>
    <row r="1029" spans="26:58" ht="16.899999999999999">
      <c r="Z1029" s="244"/>
      <c r="AC1029" s="10"/>
      <c r="AD1029" s="10"/>
      <c r="AF1029" s="10"/>
      <c r="AG1029" s="10"/>
      <c r="AH1029" s="10"/>
      <c r="AI1029" s="9"/>
      <c r="AJ1029" s="9"/>
      <c r="AK1029" s="11"/>
      <c r="AL1029" s="10"/>
      <c r="AM1029" s="11"/>
      <c r="AN1029" s="10"/>
      <c r="AO1029" s="11"/>
      <c r="AP1029" s="10"/>
      <c r="AQ1029" s="10"/>
      <c r="AR1029" s="10"/>
      <c r="AS1029" s="9"/>
      <c r="AT1029" s="9"/>
      <c r="AU1029" s="9"/>
      <c r="AV1029" s="9"/>
      <c r="AW1029" s="9"/>
      <c r="AX1029" s="9"/>
      <c r="AY1029" s="8"/>
      <c r="AZ1029" s="8"/>
      <c r="BA1029" s="8"/>
      <c r="BB1029" s="8"/>
      <c r="BC1029" s="8"/>
      <c r="BD1029" s="8"/>
      <c r="BE1029" s="8"/>
      <c r="BF1029" s="8"/>
    </row>
    <row r="1030" spans="26:58" ht="16.899999999999999">
      <c r="Z1030" s="244"/>
      <c r="AC1030" s="10"/>
      <c r="AD1030" s="10"/>
      <c r="AF1030" s="10"/>
      <c r="AG1030" s="10"/>
      <c r="AH1030" s="10"/>
      <c r="AI1030" s="9"/>
      <c r="AJ1030" s="9"/>
      <c r="AK1030" s="11"/>
      <c r="AL1030" s="10"/>
      <c r="AM1030" s="11"/>
      <c r="AN1030" s="10"/>
      <c r="AO1030" s="11"/>
      <c r="AP1030" s="10"/>
      <c r="AQ1030" s="10"/>
      <c r="AR1030" s="10"/>
      <c r="AS1030" s="9"/>
      <c r="AT1030" s="9"/>
      <c r="AU1030" s="9"/>
      <c r="AV1030" s="9"/>
      <c r="AW1030" s="9"/>
      <c r="AX1030" s="9"/>
      <c r="AY1030" s="8"/>
      <c r="AZ1030" s="8"/>
      <c r="BA1030" s="8"/>
      <c r="BB1030" s="8"/>
      <c r="BC1030" s="8"/>
      <c r="BD1030" s="8"/>
      <c r="BE1030" s="8"/>
      <c r="BF1030" s="8"/>
    </row>
    <row r="1031" spans="26:58" ht="16.899999999999999">
      <c r="Z1031" s="244"/>
      <c r="AC1031" s="10"/>
      <c r="AD1031" s="10"/>
      <c r="AF1031" s="10"/>
      <c r="AG1031" s="10"/>
      <c r="AH1031" s="10"/>
      <c r="AI1031" s="9"/>
      <c r="AJ1031" s="9"/>
      <c r="AK1031" s="11"/>
      <c r="AL1031" s="10"/>
      <c r="AM1031" s="11"/>
      <c r="AN1031" s="10"/>
      <c r="AO1031" s="11"/>
      <c r="AP1031" s="10"/>
      <c r="AQ1031" s="10"/>
      <c r="AR1031" s="10"/>
      <c r="AS1031" s="9"/>
      <c r="AT1031" s="9"/>
      <c r="AU1031" s="9"/>
      <c r="AV1031" s="9"/>
      <c r="AW1031" s="9"/>
      <c r="AX1031" s="9"/>
      <c r="AY1031" s="8"/>
      <c r="AZ1031" s="8"/>
      <c r="BA1031" s="8"/>
      <c r="BB1031" s="8"/>
      <c r="BC1031" s="8"/>
      <c r="BD1031" s="8"/>
      <c r="BE1031" s="8"/>
      <c r="BF1031" s="8"/>
    </row>
    <row r="1032" spans="26:58" ht="16.899999999999999">
      <c r="Z1032" s="244"/>
      <c r="AC1032" s="10"/>
      <c r="AD1032" s="10"/>
      <c r="AF1032" s="10"/>
      <c r="AG1032" s="10"/>
      <c r="AH1032" s="10"/>
      <c r="AI1032" s="9"/>
      <c r="AJ1032" s="9"/>
      <c r="AK1032" s="11"/>
      <c r="AL1032" s="10"/>
      <c r="AM1032" s="11"/>
      <c r="AN1032" s="10"/>
      <c r="AO1032" s="11"/>
      <c r="AP1032" s="10"/>
      <c r="AQ1032" s="10"/>
      <c r="AR1032" s="10"/>
      <c r="AS1032" s="9"/>
      <c r="AT1032" s="9"/>
      <c r="AU1032" s="9"/>
      <c r="AV1032" s="9"/>
      <c r="AW1032" s="9"/>
      <c r="AX1032" s="9"/>
      <c r="AY1032" s="8"/>
      <c r="AZ1032" s="8"/>
      <c r="BA1032" s="8"/>
      <c r="BB1032" s="8"/>
      <c r="BC1032" s="8"/>
      <c r="BD1032" s="8"/>
      <c r="BE1032" s="8"/>
      <c r="BF1032" s="8"/>
    </row>
    <row r="1033" spans="26:58" ht="16.899999999999999">
      <c r="Z1033" s="244"/>
      <c r="AC1033" s="10"/>
      <c r="AD1033" s="10"/>
      <c r="AF1033" s="10"/>
      <c r="AG1033" s="10"/>
      <c r="AH1033" s="10"/>
      <c r="AI1033" s="9"/>
      <c r="AJ1033" s="9"/>
      <c r="AK1033" s="11"/>
      <c r="AL1033" s="10"/>
      <c r="AM1033" s="11"/>
      <c r="AN1033" s="10"/>
      <c r="AO1033" s="11"/>
      <c r="AP1033" s="10"/>
      <c r="AQ1033" s="10"/>
      <c r="AR1033" s="10"/>
      <c r="AS1033" s="9"/>
      <c r="AT1033" s="9"/>
      <c r="AU1033" s="9"/>
      <c r="AV1033" s="9"/>
      <c r="AW1033" s="9"/>
      <c r="AX1033" s="9"/>
      <c r="AY1033" s="8"/>
      <c r="AZ1033" s="8"/>
      <c r="BA1033" s="8"/>
      <c r="BB1033" s="8"/>
      <c r="BC1033" s="8"/>
      <c r="BD1033" s="8"/>
      <c r="BE1033" s="8"/>
      <c r="BF1033" s="8"/>
    </row>
    <row r="1034" spans="26:58" ht="16.899999999999999">
      <c r="Z1034" s="244"/>
      <c r="AC1034" s="10"/>
      <c r="AD1034" s="10"/>
      <c r="AF1034" s="10"/>
      <c r="AG1034" s="10"/>
      <c r="AH1034" s="10"/>
      <c r="AI1034" s="9"/>
      <c r="AJ1034" s="9"/>
      <c r="AK1034" s="11"/>
      <c r="AL1034" s="10"/>
      <c r="AM1034" s="11"/>
      <c r="AN1034" s="10"/>
      <c r="AO1034" s="11"/>
      <c r="AP1034" s="10"/>
      <c r="AQ1034" s="10"/>
      <c r="AR1034" s="10"/>
      <c r="AS1034" s="9"/>
      <c r="AT1034" s="9"/>
      <c r="AU1034" s="9"/>
      <c r="AV1034" s="9"/>
      <c r="AW1034" s="9"/>
      <c r="AX1034" s="9"/>
      <c r="AY1034" s="8"/>
      <c r="AZ1034" s="8"/>
      <c r="BA1034" s="8"/>
      <c r="BB1034" s="8"/>
      <c r="BC1034" s="8"/>
      <c r="BD1034" s="8"/>
      <c r="BE1034" s="8"/>
      <c r="BF1034" s="8"/>
    </row>
    <row r="1035" spans="26:58" ht="16.899999999999999">
      <c r="Z1035" s="244"/>
      <c r="AC1035" s="10"/>
      <c r="AD1035" s="10"/>
      <c r="AF1035" s="10"/>
      <c r="AG1035" s="10"/>
      <c r="AH1035" s="10"/>
      <c r="AI1035" s="9"/>
      <c r="AJ1035" s="9"/>
      <c r="AK1035" s="11"/>
      <c r="AL1035" s="10"/>
      <c r="AM1035" s="11"/>
      <c r="AN1035" s="10"/>
      <c r="AO1035" s="11"/>
      <c r="AP1035" s="10"/>
      <c r="AQ1035" s="10"/>
      <c r="AR1035" s="10"/>
      <c r="AS1035" s="9"/>
      <c r="AT1035" s="9"/>
      <c r="AU1035" s="9"/>
      <c r="AV1035" s="9"/>
      <c r="AW1035" s="9"/>
      <c r="AX1035" s="9"/>
      <c r="AY1035" s="8"/>
      <c r="AZ1035" s="8"/>
      <c r="BA1035" s="8"/>
      <c r="BB1035" s="8"/>
      <c r="BC1035" s="8"/>
      <c r="BD1035" s="8"/>
      <c r="BE1035" s="8"/>
      <c r="BF1035" s="8"/>
    </row>
    <row r="1036" spans="26:58" ht="16.899999999999999">
      <c r="Z1036" s="244"/>
      <c r="AC1036" s="10"/>
      <c r="AD1036" s="10"/>
      <c r="AF1036" s="10"/>
      <c r="AG1036" s="10"/>
      <c r="AH1036" s="10"/>
      <c r="AI1036" s="9"/>
      <c r="AJ1036" s="9"/>
      <c r="AK1036" s="11"/>
      <c r="AL1036" s="10"/>
      <c r="AM1036" s="11"/>
      <c r="AN1036" s="10"/>
      <c r="AO1036" s="11"/>
      <c r="AP1036" s="10"/>
      <c r="AQ1036" s="10"/>
      <c r="AR1036" s="10"/>
      <c r="AS1036" s="9"/>
      <c r="AT1036" s="9"/>
      <c r="AU1036" s="9"/>
      <c r="AV1036" s="9"/>
      <c r="AW1036" s="9"/>
      <c r="AX1036" s="9"/>
      <c r="AY1036" s="8"/>
      <c r="AZ1036" s="8"/>
      <c r="BA1036" s="8"/>
      <c r="BB1036" s="8"/>
      <c r="BC1036" s="8"/>
      <c r="BD1036" s="8"/>
      <c r="BE1036" s="8"/>
      <c r="BF1036" s="8"/>
    </row>
    <row r="1037" spans="26:58" ht="16.899999999999999">
      <c r="Z1037" s="244"/>
      <c r="AC1037" s="10"/>
      <c r="AD1037" s="10"/>
      <c r="AF1037" s="10"/>
      <c r="AG1037" s="10"/>
      <c r="AH1037" s="10"/>
      <c r="AI1037" s="9"/>
      <c r="AJ1037" s="9"/>
      <c r="AK1037" s="11"/>
      <c r="AL1037" s="10"/>
      <c r="AM1037" s="11"/>
      <c r="AN1037" s="10"/>
      <c r="AO1037" s="11"/>
      <c r="AP1037" s="10"/>
      <c r="AQ1037" s="10"/>
      <c r="AR1037" s="10"/>
      <c r="AS1037" s="9"/>
      <c r="AT1037" s="9"/>
      <c r="AU1037" s="9"/>
      <c r="AV1037" s="9"/>
      <c r="AW1037" s="9"/>
      <c r="AX1037" s="9"/>
      <c r="AY1037" s="8"/>
      <c r="AZ1037" s="8"/>
      <c r="BA1037" s="8"/>
      <c r="BB1037" s="8"/>
      <c r="BC1037" s="8"/>
      <c r="BD1037" s="8"/>
      <c r="BE1037" s="8"/>
      <c r="BF1037" s="8"/>
    </row>
    <row r="1038" spans="26:58" ht="16.899999999999999">
      <c r="Z1038" s="244"/>
      <c r="AC1038" s="10"/>
      <c r="AD1038" s="10"/>
      <c r="AF1038" s="10"/>
      <c r="AG1038" s="10"/>
      <c r="AH1038" s="10"/>
      <c r="AI1038" s="9"/>
      <c r="AJ1038" s="9"/>
      <c r="AK1038" s="11"/>
      <c r="AL1038" s="10"/>
      <c r="AM1038" s="11"/>
      <c r="AN1038" s="10"/>
      <c r="AO1038" s="11"/>
      <c r="AP1038" s="10"/>
      <c r="AQ1038" s="10"/>
      <c r="AR1038" s="10"/>
      <c r="AS1038" s="9"/>
      <c r="AT1038" s="9"/>
      <c r="AU1038" s="9"/>
      <c r="AV1038" s="9"/>
      <c r="AW1038" s="9"/>
      <c r="AX1038" s="9"/>
      <c r="AY1038" s="8"/>
      <c r="AZ1038" s="8"/>
      <c r="BA1038" s="8"/>
      <c r="BB1038" s="8"/>
      <c r="BC1038" s="8"/>
      <c r="BD1038" s="8"/>
      <c r="BE1038" s="8"/>
      <c r="BF1038" s="8"/>
    </row>
    <row r="1039" spans="26:58" ht="16.899999999999999">
      <c r="Z1039" s="244"/>
      <c r="AC1039" s="10"/>
      <c r="AD1039" s="10"/>
      <c r="AF1039" s="10"/>
      <c r="AG1039" s="10"/>
      <c r="AH1039" s="10"/>
      <c r="AI1039" s="9"/>
      <c r="AJ1039" s="9"/>
      <c r="AK1039" s="11"/>
      <c r="AL1039" s="10"/>
      <c r="AM1039" s="11"/>
      <c r="AN1039" s="10"/>
      <c r="AO1039" s="11"/>
      <c r="AP1039" s="10"/>
      <c r="AQ1039" s="10"/>
      <c r="AR1039" s="10"/>
      <c r="AS1039" s="9"/>
      <c r="AT1039" s="9"/>
      <c r="AU1039" s="9"/>
      <c r="AV1039" s="9"/>
      <c r="AW1039" s="9"/>
      <c r="AX1039" s="9"/>
      <c r="AY1039" s="8"/>
      <c r="AZ1039" s="8"/>
      <c r="BA1039" s="8"/>
      <c r="BB1039" s="8"/>
      <c r="BC1039" s="8"/>
      <c r="BD1039" s="8"/>
      <c r="BE1039" s="8"/>
      <c r="BF1039" s="8"/>
    </row>
    <row r="1040" spans="26:58" ht="16.899999999999999">
      <c r="Z1040" s="244"/>
      <c r="AC1040" s="10"/>
      <c r="AD1040" s="10"/>
      <c r="AF1040" s="10"/>
      <c r="AG1040" s="10"/>
      <c r="AH1040" s="10"/>
      <c r="AI1040" s="9"/>
      <c r="AJ1040" s="9"/>
      <c r="AK1040" s="11"/>
      <c r="AL1040" s="10"/>
      <c r="AM1040" s="11"/>
      <c r="AN1040" s="10"/>
      <c r="AO1040" s="11"/>
      <c r="AP1040" s="10"/>
      <c r="AQ1040" s="10"/>
      <c r="AR1040" s="10"/>
      <c r="AS1040" s="9"/>
      <c r="AT1040" s="9"/>
      <c r="AU1040" s="9"/>
      <c r="AV1040" s="9"/>
      <c r="AW1040" s="9"/>
      <c r="AX1040" s="9"/>
      <c r="AY1040" s="8"/>
      <c r="AZ1040" s="8"/>
      <c r="BA1040" s="8"/>
      <c r="BB1040" s="8"/>
      <c r="BC1040" s="8"/>
      <c r="BD1040" s="8"/>
      <c r="BE1040" s="8"/>
      <c r="BF1040" s="8"/>
    </row>
    <row r="1041" spans="26:58" ht="16.899999999999999">
      <c r="Z1041" s="244"/>
      <c r="AC1041" s="10"/>
      <c r="AD1041" s="10"/>
      <c r="AF1041" s="10"/>
      <c r="AG1041" s="10"/>
      <c r="AH1041" s="10"/>
      <c r="AI1041" s="9"/>
      <c r="AJ1041" s="9"/>
      <c r="AK1041" s="11"/>
      <c r="AL1041" s="10"/>
      <c r="AM1041" s="11"/>
      <c r="AN1041" s="10"/>
      <c r="AO1041" s="11"/>
      <c r="AP1041" s="10"/>
      <c r="AQ1041" s="10"/>
      <c r="AR1041" s="10"/>
      <c r="AS1041" s="9"/>
      <c r="AT1041" s="9"/>
      <c r="AU1041" s="9"/>
      <c r="AV1041" s="9"/>
      <c r="AW1041" s="9"/>
      <c r="AX1041" s="9"/>
      <c r="AY1041" s="8"/>
      <c r="AZ1041" s="8"/>
      <c r="BA1041" s="8"/>
      <c r="BB1041" s="8"/>
      <c r="BC1041" s="8"/>
      <c r="BD1041" s="8"/>
      <c r="BE1041" s="8"/>
      <c r="BF1041" s="8"/>
    </row>
    <row r="1042" spans="26:58" ht="16.899999999999999">
      <c r="Z1042" s="244"/>
      <c r="AC1042" s="10"/>
      <c r="AD1042" s="10"/>
      <c r="AF1042" s="10"/>
      <c r="AG1042" s="10"/>
      <c r="AH1042" s="10"/>
      <c r="AI1042" s="9"/>
      <c r="AJ1042" s="9"/>
      <c r="AK1042" s="11"/>
      <c r="AL1042" s="10"/>
      <c r="AM1042" s="11"/>
      <c r="AN1042" s="10"/>
      <c r="AO1042" s="11"/>
      <c r="AP1042" s="10"/>
      <c r="AQ1042" s="10"/>
      <c r="AR1042" s="10"/>
      <c r="AS1042" s="9"/>
      <c r="AT1042" s="9"/>
      <c r="AU1042" s="9"/>
      <c r="AV1042" s="9"/>
      <c r="AW1042" s="9"/>
      <c r="AX1042" s="9"/>
      <c r="AY1042" s="8"/>
      <c r="AZ1042" s="8"/>
      <c r="BA1042" s="8"/>
      <c r="BB1042" s="8"/>
      <c r="BC1042" s="8"/>
      <c r="BD1042" s="8"/>
      <c r="BE1042" s="8"/>
      <c r="BF1042" s="8"/>
    </row>
    <row r="1043" spans="26:58" ht="16.899999999999999">
      <c r="Z1043" s="244"/>
      <c r="AC1043" s="10"/>
      <c r="AD1043" s="10"/>
      <c r="AF1043" s="10"/>
      <c r="AG1043" s="10"/>
      <c r="AH1043" s="10"/>
      <c r="AI1043" s="9"/>
      <c r="AJ1043" s="9"/>
      <c r="AK1043" s="11"/>
      <c r="AL1043" s="10"/>
      <c r="AM1043" s="11"/>
      <c r="AN1043" s="10"/>
      <c r="AO1043" s="11"/>
      <c r="AP1043" s="10"/>
      <c r="AQ1043" s="10"/>
      <c r="AR1043" s="10"/>
      <c r="AS1043" s="9"/>
      <c r="AT1043" s="9"/>
      <c r="AU1043" s="9"/>
      <c r="AV1043" s="9"/>
      <c r="AW1043" s="9"/>
      <c r="AX1043" s="9"/>
      <c r="AY1043" s="8"/>
      <c r="AZ1043" s="8"/>
      <c r="BA1043" s="8"/>
      <c r="BB1043" s="8"/>
      <c r="BC1043" s="8"/>
      <c r="BD1043" s="8"/>
      <c r="BE1043" s="8"/>
      <c r="BF1043" s="8"/>
    </row>
    <row r="1044" spans="26:58" ht="16.899999999999999">
      <c r="Z1044" s="244"/>
      <c r="AC1044" s="10"/>
      <c r="AD1044" s="10"/>
      <c r="AF1044" s="10"/>
      <c r="AG1044" s="10"/>
      <c r="AH1044" s="10"/>
      <c r="AI1044" s="9"/>
      <c r="AJ1044" s="9"/>
      <c r="AK1044" s="11"/>
      <c r="AL1044" s="10"/>
      <c r="AM1044" s="11"/>
      <c r="AN1044" s="10"/>
      <c r="AO1044" s="11"/>
      <c r="AP1044" s="10"/>
      <c r="AQ1044" s="10"/>
      <c r="AR1044" s="10"/>
      <c r="AS1044" s="9"/>
      <c r="AT1044" s="9"/>
      <c r="AU1044" s="9"/>
      <c r="AV1044" s="9"/>
      <c r="AW1044" s="9"/>
      <c r="AX1044" s="9"/>
      <c r="AY1044" s="8"/>
      <c r="AZ1044" s="8"/>
      <c r="BA1044" s="8"/>
      <c r="BB1044" s="8"/>
      <c r="BC1044" s="8"/>
      <c r="BD1044" s="8"/>
      <c r="BE1044" s="8"/>
      <c r="BF1044" s="8"/>
    </row>
    <row r="1045" spans="26:58" ht="16.899999999999999">
      <c r="Z1045" s="244"/>
      <c r="AC1045" s="10"/>
      <c r="AD1045" s="10"/>
      <c r="AF1045" s="10"/>
      <c r="AG1045" s="10"/>
      <c r="AH1045" s="10"/>
      <c r="AI1045" s="9"/>
      <c r="AJ1045" s="9"/>
      <c r="AK1045" s="11"/>
      <c r="AL1045" s="10"/>
      <c r="AM1045" s="11"/>
      <c r="AN1045" s="10"/>
      <c r="AO1045" s="11"/>
      <c r="AP1045" s="10"/>
      <c r="AQ1045" s="10"/>
      <c r="AR1045" s="10"/>
      <c r="AS1045" s="9"/>
      <c r="AT1045" s="9"/>
      <c r="AU1045" s="9"/>
      <c r="AV1045" s="9"/>
      <c r="AW1045" s="9"/>
      <c r="AX1045" s="9"/>
      <c r="AY1045" s="8"/>
      <c r="AZ1045" s="8"/>
      <c r="BA1045" s="8"/>
      <c r="BB1045" s="8"/>
      <c r="BC1045" s="8"/>
      <c r="BD1045" s="8"/>
      <c r="BE1045" s="8"/>
      <c r="BF1045" s="8"/>
    </row>
    <row r="1046" spans="26:58" ht="16.899999999999999">
      <c r="Z1046" s="244"/>
      <c r="AC1046" s="10"/>
      <c r="AD1046" s="10"/>
      <c r="AF1046" s="10"/>
      <c r="AG1046" s="10"/>
      <c r="AH1046" s="10"/>
      <c r="AI1046" s="9"/>
      <c r="AJ1046" s="9"/>
      <c r="AK1046" s="11"/>
      <c r="AL1046" s="10"/>
      <c r="AM1046" s="11"/>
      <c r="AN1046" s="10"/>
      <c r="AO1046" s="11"/>
      <c r="AP1046" s="10"/>
      <c r="AQ1046" s="10"/>
      <c r="AR1046" s="10"/>
      <c r="AS1046" s="9"/>
      <c r="AT1046" s="9"/>
      <c r="AU1046" s="9"/>
      <c r="AV1046" s="9"/>
      <c r="AW1046" s="9"/>
      <c r="AX1046" s="9"/>
      <c r="AY1046" s="8"/>
      <c r="AZ1046" s="8"/>
      <c r="BA1046" s="8"/>
      <c r="BB1046" s="8"/>
      <c r="BC1046" s="8"/>
      <c r="BD1046" s="8"/>
      <c r="BE1046" s="8"/>
      <c r="BF1046" s="8"/>
    </row>
    <row r="1047" spans="26:58" ht="16.899999999999999">
      <c r="Z1047" s="244"/>
      <c r="AC1047" s="10"/>
      <c r="AD1047" s="10"/>
      <c r="AF1047" s="10"/>
      <c r="AG1047" s="10"/>
      <c r="AH1047" s="10"/>
      <c r="AI1047" s="9"/>
      <c r="AJ1047" s="9"/>
      <c r="AK1047" s="11"/>
      <c r="AL1047" s="10"/>
      <c r="AM1047" s="11"/>
      <c r="AN1047" s="10"/>
      <c r="AO1047" s="11"/>
      <c r="AP1047" s="10"/>
      <c r="AQ1047" s="10"/>
      <c r="AR1047" s="10"/>
      <c r="AS1047" s="9"/>
      <c r="AT1047" s="9"/>
      <c r="AU1047" s="9"/>
      <c r="AV1047" s="9"/>
      <c r="AW1047" s="9"/>
      <c r="AX1047" s="9"/>
      <c r="AY1047" s="8"/>
      <c r="AZ1047" s="8"/>
      <c r="BA1047" s="8"/>
      <c r="BB1047" s="8"/>
      <c r="BC1047" s="8"/>
      <c r="BD1047" s="8"/>
      <c r="BE1047" s="8"/>
      <c r="BF1047" s="8"/>
    </row>
    <row r="1048" spans="26:58" ht="16.899999999999999">
      <c r="Z1048" s="244"/>
      <c r="AC1048" s="10"/>
      <c r="AD1048" s="10"/>
      <c r="AF1048" s="10"/>
      <c r="AG1048" s="10"/>
      <c r="AH1048" s="10"/>
      <c r="AI1048" s="9"/>
      <c r="AJ1048" s="9"/>
      <c r="AK1048" s="11"/>
      <c r="AL1048" s="10"/>
      <c r="AM1048" s="11"/>
      <c r="AN1048" s="10"/>
      <c r="AO1048" s="11"/>
      <c r="AP1048" s="10"/>
      <c r="AQ1048" s="10"/>
      <c r="AR1048" s="10"/>
      <c r="AS1048" s="9"/>
      <c r="AT1048" s="9"/>
      <c r="AU1048" s="9"/>
      <c r="AV1048" s="9"/>
      <c r="AW1048" s="9"/>
      <c r="AX1048" s="9"/>
      <c r="AY1048" s="8"/>
      <c r="AZ1048" s="8"/>
      <c r="BA1048" s="8"/>
      <c r="BB1048" s="8"/>
      <c r="BC1048" s="8"/>
      <c r="BD1048" s="8"/>
      <c r="BE1048" s="8"/>
      <c r="BF1048" s="8"/>
    </row>
    <row r="1049" spans="26:58" ht="16.899999999999999">
      <c r="Z1049" s="244"/>
      <c r="AC1049" s="10"/>
      <c r="AD1049" s="10"/>
      <c r="AF1049" s="10"/>
      <c r="AG1049" s="10"/>
      <c r="AH1049" s="10"/>
      <c r="AI1049" s="9"/>
      <c r="AJ1049" s="9"/>
      <c r="AK1049" s="11"/>
      <c r="AL1049" s="10"/>
      <c r="AM1049" s="11"/>
      <c r="AN1049" s="10"/>
      <c r="AO1049" s="11"/>
      <c r="AP1049" s="10"/>
      <c r="AQ1049" s="10"/>
      <c r="AR1049" s="10"/>
      <c r="AS1049" s="9"/>
      <c r="AT1049" s="9"/>
      <c r="AU1049" s="9"/>
      <c r="AV1049" s="9"/>
      <c r="AW1049" s="9"/>
      <c r="AX1049" s="9"/>
      <c r="AY1049" s="8"/>
      <c r="AZ1049" s="8"/>
      <c r="BA1049" s="8"/>
      <c r="BB1049" s="8"/>
      <c r="BC1049" s="8"/>
      <c r="BD1049" s="8"/>
      <c r="BE1049" s="8"/>
      <c r="BF1049" s="8"/>
    </row>
    <row r="1050" spans="26:58" ht="16.899999999999999">
      <c r="Z1050" s="244"/>
      <c r="AC1050" s="10"/>
      <c r="AD1050" s="10"/>
      <c r="AF1050" s="10"/>
      <c r="AG1050" s="10"/>
      <c r="AH1050" s="10"/>
      <c r="AI1050" s="9"/>
      <c r="AJ1050" s="9"/>
      <c r="AK1050" s="11"/>
      <c r="AL1050" s="10"/>
      <c r="AM1050" s="11"/>
      <c r="AN1050" s="10"/>
      <c r="AO1050" s="11"/>
      <c r="AP1050" s="10"/>
      <c r="AQ1050" s="10"/>
      <c r="AR1050" s="10"/>
      <c r="AS1050" s="9"/>
      <c r="AT1050" s="9"/>
      <c r="AU1050" s="9"/>
      <c r="AV1050" s="9"/>
      <c r="AW1050" s="9"/>
      <c r="AX1050" s="9"/>
      <c r="AY1050" s="8"/>
      <c r="AZ1050" s="8"/>
      <c r="BA1050" s="8"/>
      <c r="BB1050" s="8"/>
      <c r="BC1050" s="8"/>
      <c r="BD1050" s="8"/>
      <c r="BE1050" s="8"/>
      <c r="BF1050" s="8"/>
    </row>
    <row r="1051" spans="26:58" ht="16.899999999999999">
      <c r="Z1051" s="244"/>
      <c r="AC1051" s="10"/>
      <c r="AD1051" s="10"/>
      <c r="AF1051" s="10"/>
      <c r="AG1051" s="10"/>
      <c r="AH1051" s="10"/>
      <c r="AI1051" s="9"/>
      <c r="AJ1051" s="9"/>
      <c r="AK1051" s="11"/>
      <c r="AL1051" s="10"/>
      <c r="AM1051" s="11"/>
      <c r="AN1051" s="10"/>
      <c r="AO1051" s="11"/>
      <c r="AP1051" s="10"/>
      <c r="AQ1051" s="10"/>
      <c r="AR1051" s="10"/>
      <c r="AS1051" s="9"/>
      <c r="AT1051" s="9"/>
      <c r="AU1051" s="9"/>
      <c r="AV1051" s="9"/>
      <c r="AW1051" s="9"/>
      <c r="AX1051" s="9"/>
      <c r="AY1051" s="8"/>
      <c r="AZ1051" s="8"/>
      <c r="BA1051" s="8"/>
      <c r="BB1051" s="8"/>
      <c r="BC1051" s="8"/>
      <c r="BD1051" s="8"/>
      <c r="BE1051" s="8"/>
      <c r="BF1051" s="8"/>
    </row>
    <row r="1052" spans="26:58" ht="16.899999999999999">
      <c r="Z1052" s="244"/>
      <c r="AC1052" s="10"/>
      <c r="AD1052" s="10"/>
      <c r="AF1052" s="10"/>
      <c r="AG1052" s="10"/>
      <c r="AH1052" s="10"/>
      <c r="AI1052" s="9"/>
      <c r="AJ1052" s="9"/>
      <c r="AK1052" s="11"/>
      <c r="AL1052" s="10"/>
      <c r="AM1052" s="11"/>
      <c r="AN1052" s="10"/>
      <c r="AO1052" s="11"/>
      <c r="AP1052" s="10"/>
      <c r="AQ1052" s="10"/>
      <c r="AR1052" s="10"/>
      <c r="AS1052" s="9"/>
      <c r="AT1052" s="9"/>
      <c r="AU1052" s="9"/>
      <c r="AV1052" s="9"/>
      <c r="AW1052" s="9"/>
      <c r="AX1052" s="9"/>
      <c r="AY1052" s="8"/>
      <c r="AZ1052" s="8"/>
      <c r="BA1052" s="8"/>
      <c r="BB1052" s="8"/>
      <c r="BC1052" s="8"/>
      <c r="BD1052" s="8"/>
      <c r="BE1052" s="8"/>
      <c r="BF1052" s="8"/>
    </row>
    <row r="1053" spans="26:58" ht="16.899999999999999">
      <c r="Z1053" s="244"/>
      <c r="AC1053" s="10"/>
      <c r="AD1053" s="10"/>
      <c r="AF1053" s="10"/>
      <c r="AG1053" s="10"/>
      <c r="AH1053" s="10"/>
      <c r="AI1053" s="9"/>
      <c r="AJ1053" s="9"/>
      <c r="AK1053" s="11"/>
      <c r="AL1053" s="10"/>
      <c r="AM1053" s="11"/>
      <c r="AN1053" s="10"/>
      <c r="AO1053" s="11"/>
      <c r="AP1053" s="10"/>
      <c r="AQ1053" s="10"/>
      <c r="AR1053" s="10"/>
      <c r="AS1053" s="9"/>
      <c r="AT1053" s="9"/>
      <c r="AU1053" s="9"/>
      <c r="AV1053" s="9"/>
      <c r="AW1053" s="9"/>
      <c r="AX1053" s="9"/>
      <c r="AY1053" s="8"/>
      <c r="AZ1053" s="8"/>
      <c r="BA1053" s="8"/>
      <c r="BB1053" s="8"/>
      <c r="BC1053" s="8"/>
      <c r="BD1053" s="8"/>
      <c r="BE1053" s="8"/>
      <c r="BF1053" s="8"/>
    </row>
    <row r="1054" spans="26:58" ht="16.899999999999999">
      <c r="Z1054" s="244"/>
      <c r="AC1054" s="10"/>
      <c r="AD1054" s="10"/>
      <c r="AF1054" s="10"/>
      <c r="AG1054" s="10"/>
      <c r="AH1054" s="10"/>
      <c r="AI1054" s="9"/>
      <c r="AJ1054" s="9"/>
      <c r="AK1054" s="11"/>
      <c r="AL1054" s="10"/>
      <c r="AM1054" s="11"/>
      <c r="AN1054" s="10"/>
      <c r="AO1054" s="11"/>
      <c r="AP1054" s="10"/>
      <c r="AQ1054" s="10"/>
      <c r="AR1054" s="10"/>
      <c r="AS1054" s="9"/>
      <c r="AT1054" s="9"/>
      <c r="AU1054" s="9"/>
      <c r="AV1054" s="9"/>
      <c r="AW1054" s="9"/>
      <c r="AX1054" s="9"/>
      <c r="AY1054" s="8"/>
      <c r="AZ1054" s="8"/>
      <c r="BA1054" s="8"/>
      <c r="BB1054" s="8"/>
      <c r="BC1054" s="8"/>
      <c r="BD1054" s="8"/>
      <c r="BE1054" s="8"/>
      <c r="BF1054" s="8"/>
    </row>
    <row r="1055" spans="26:58" ht="16.899999999999999">
      <c r="Z1055" s="244"/>
      <c r="AC1055" s="10"/>
      <c r="AD1055" s="10"/>
      <c r="AF1055" s="10"/>
      <c r="AG1055" s="10"/>
      <c r="AH1055" s="10"/>
      <c r="AI1055" s="9"/>
      <c r="AJ1055" s="9"/>
      <c r="AK1055" s="11"/>
      <c r="AL1055" s="10"/>
      <c r="AM1055" s="11"/>
      <c r="AN1055" s="10"/>
      <c r="AO1055" s="11"/>
      <c r="AP1055" s="10"/>
      <c r="AQ1055" s="10"/>
      <c r="AR1055" s="10"/>
      <c r="AS1055" s="9"/>
      <c r="AT1055" s="9"/>
      <c r="AU1055" s="9"/>
      <c r="AV1055" s="9"/>
      <c r="AW1055" s="9"/>
      <c r="AX1055" s="9"/>
      <c r="AY1055" s="8"/>
      <c r="AZ1055" s="8"/>
      <c r="BA1055" s="8"/>
      <c r="BB1055" s="8"/>
      <c r="BC1055" s="8"/>
      <c r="BD1055" s="8"/>
      <c r="BE1055" s="8"/>
      <c r="BF1055" s="8"/>
    </row>
    <row r="1056" spans="26:58" ht="16.899999999999999">
      <c r="Z1056" s="244"/>
      <c r="AC1056" s="10"/>
      <c r="AD1056" s="10"/>
      <c r="AF1056" s="10"/>
      <c r="AG1056" s="10"/>
      <c r="AH1056" s="10"/>
      <c r="AI1056" s="9"/>
      <c r="AJ1056" s="9"/>
      <c r="AK1056" s="11"/>
      <c r="AL1056" s="10"/>
      <c r="AM1056" s="11"/>
      <c r="AN1056" s="10"/>
      <c r="AO1056" s="11"/>
      <c r="AP1056" s="10"/>
      <c r="AQ1056" s="10"/>
      <c r="AR1056" s="10"/>
      <c r="AS1056" s="9"/>
      <c r="AT1056" s="9"/>
      <c r="AU1056" s="9"/>
      <c r="AV1056" s="9"/>
      <c r="AW1056" s="9"/>
      <c r="AX1056" s="9"/>
      <c r="AY1056" s="8"/>
      <c r="AZ1056" s="8"/>
      <c r="BA1056" s="8"/>
      <c r="BB1056" s="8"/>
      <c r="BC1056" s="8"/>
      <c r="BD1056" s="8"/>
      <c r="BE1056" s="8"/>
      <c r="BF1056" s="8"/>
    </row>
    <row r="1057" spans="26:58" ht="16.899999999999999">
      <c r="Z1057" s="244"/>
      <c r="AC1057" s="10"/>
      <c r="AD1057" s="10"/>
      <c r="AF1057" s="10"/>
      <c r="AG1057" s="10"/>
      <c r="AH1057" s="10"/>
      <c r="AI1057" s="9"/>
      <c r="AJ1057" s="9"/>
      <c r="AK1057" s="11"/>
      <c r="AL1057" s="10"/>
      <c r="AM1057" s="11"/>
      <c r="AN1057" s="10"/>
      <c r="AO1057" s="11"/>
      <c r="AP1057" s="10"/>
      <c r="AQ1057" s="10"/>
      <c r="AR1057" s="10"/>
      <c r="AS1057" s="9"/>
      <c r="AT1057" s="9"/>
      <c r="AU1057" s="9"/>
      <c r="AV1057" s="9"/>
      <c r="AW1057" s="9"/>
      <c r="AX1057" s="9"/>
      <c r="AY1057" s="8"/>
      <c r="AZ1057" s="8"/>
      <c r="BA1057" s="8"/>
      <c r="BB1057" s="8"/>
      <c r="BC1057" s="8"/>
      <c r="BD1057" s="8"/>
      <c r="BE1057" s="8"/>
      <c r="BF1057" s="8"/>
    </row>
    <row r="1058" spans="26:58" ht="16.899999999999999">
      <c r="Z1058" s="244"/>
      <c r="AC1058" s="10"/>
      <c r="AD1058" s="10"/>
      <c r="AF1058" s="10"/>
      <c r="AG1058" s="10"/>
      <c r="AH1058" s="10"/>
      <c r="AI1058" s="9"/>
      <c r="AJ1058" s="9"/>
      <c r="AK1058" s="11"/>
      <c r="AL1058" s="10"/>
      <c r="AM1058" s="11"/>
      <c r="AN1058" s="10"/>
      <c r="AO1058" s="11"/>
      <c r="AP1058" s="10"/>
      <c r="AQ1058" s="10"/>
      <c r="AR1058" s="10"/>
      <c r="AS1058" s="9"/>
      <c r="AT1058" s="9"/>
      <c r="AU1058" s="9"/>
      <c r="AV1058" s="9"/>
      <c r="AW1058" s="9"/>
      <c r="AX1058" s="9"/>
      <c r="AY1058" s="8"/>
      <c r="AZ1058" s="8"/>
      <c r="BA1058" s="8"/>
      <c r="BB1058" s="8"/>
      <c r="BC1058" s="8"/>
      <c r="BD1058" s="8"/>
      <c r="BE1058" s="8"/>
      <c r="BF1058" s="8"/>
    </row>
    <row r="1059" spans="26:58" ht="16.899999999999999">
      <c r="Z1059" s="244"/>
      <c r="AC1059" s="10"/>
      <c r="AD1059" s="10"/>
      <c r="AF1059" s="10"/>
      <c r="AG1059" s="10"/>
      <c r="AH1059" s="10"/>
      <c r="AI1059" s="9"/>
      <c r="AJ1059" s="9"/>
      <c r="AK1059" s="11"/>
      <c r="AL1059" s="10"/>
      <c r="AM1059" s="11"/>
      <c r="AN1059" s="10"/>
      <c r="AO1059" s="11"/>
      <c r="AP1059" s="10"/>
      <c r="AQ1059" s="10"/>
      <c r="AR1059" s="10"/>
      <c r="AS1059" s="9"/>
      <c r="AT1059" s="9"/>
      <c r="AU1059" s="9"/>
      <c r="AV1059" s="9"/>
      <c r="AW1059" s="9"/>
      <c r="AX1059" s="9"/>
      <c r="AY1059" s="8"/>
      <c r="AZ1059" s="8"/>
      <c r="BA1059" s="8"/>
      <c r="BB1059" s="8"/>
      <c r="BC1059" s="8"/>
      <c r="BD1059" s="8"/>
      <c r="BE1059" s="8"/>
      <c r="BF1059" s="8"/>
    </row>
    <row r="1060" spans="26:58" ht="16.899999999999999">
      <c r="Z1060" s="244"/>
      <c r="AC1060" s="10"/>
      <c r="AD1060" s="10"/>
      <c r="AF1060" s="10"/>
      <c r="AG1060" s="10"/>
      <c r="AH1060" s="10"/>
      <c r="AI1060" s="9"/>
      <c r="AJ1060" s="9"/>
      <c r="AK1060" s="11"/>
      <c r="AL1060" s="10"/>
      <c r="AM1060" s="11"/>
      <c r="AN1060" s="10"/>
      <c r="AO1060" s="11"/>
      <c r="AP1060" s="10"/>
      <c r="AQ1060" s="10"/>
      <c r="AR1060" s="10"/>
      <c r="AS1060" s="9"/>
      <c r="AT1060" s="9"/>
      <c r="AU1060" s="9"/>
      <c r="AV1060" s="9"/>
      <c r="AW1060" s="9"/>
      <c r="AX1060" s="9"/>
      <c r="AY1060" s="8"/>
      <c r="AZ1060" s="8"/>
      <c r="BA1060" s="8"/>
      <c r="BB1060" s="8"/>
      <c r="BC1060" s="8"/>
      <c r="BD1060" s="8"/>
      <c r="BE1060" s="8"/>
      <c r="BF1060" s="8"/>
    </row>
    <row r="1061" spans="26:58" ht="16.899999999999999">
      <c r="Z1061" s="244"/>
      <c r="AC1061" s="10"/>
      <c r="AD1061" s="10"/>
      <c r="AF1061" s="10"/>
      <c r="AG1061" s="10"/>
      <c r="AH1061" s="10"/>
      <c r="AI1061" s="9"/>
      <c r="AJ1061" s="9"/>
      <c r="AK1061" s="11"/>
      <c r="AL1061" s="10"/>
      <c r="AM1061" s="11"/>
      <c r="AN1061" s="10"/>
      <c r="AO1061" s="11"/>
      <c r="AP1061" s="10"/>
      <c r="AQ1061" s="10"/>
      <c r="AR1061" s="10"/>
      <c r="AS1061" s="9"/>
      <c r="AT1061" s="9"/>
      <c r="AU1061" s="9"/>
      <c r="AV1061" s="9"/>
      <c r="AW1061" s="9"/>
      <c r="AX1061" s="9"/>
      <c r="AY1061" s="8"/>
      <c r="AZ1061" s="8"/>
      <c r="BA1061" s="8"/>
      <c r="BB1061" s="8"/>
      <c r="BC1061" s="8"/>
      <c r="BD1061" s="8"/>
      <c r="BE1061" s="8"/>
      <c r="BF1061" s="8"/>
    </row>
    <row r="1062" spans="26:58" ht="16.899999999999999">
      <c r="Z1062" s="244"/>
      <c r="AC1062" s="10"/>
      <c r="AD1062" s="10"/>
      <c r="AF1062" s="10"/>
      <c r="AG1062" s="10"/>
      <c r="AH1062" s="10"/>
      <c r="AI1062" s="9"/>
      <c r="AJ1062" s="9"/>
      <c r="AK1062" s="11"/>
      <c r="AL1062" s="10"/>
      <c r="AM1062" s="11"/>
      <c r="AN1062" s="10"/>
      <c r="AO1062" s="11"/>
      <c r="AP1062" s="10"/>
      <c r="AQ1062" s="10"/>
      <c r="AR1062" s="10"/>
      <c r="AS1062" s="9"/>
      <c r="AT1062" s="9"/>
      <c r="AU1062" s="9"/>
      <c r="AV1062" s="9"/>
      <c r="AW1062" s="9"/>
      <c r="AX1062" s="9"/>
      <c r="AY1062" s="8"/>
      <c r="AZ1062" s="8"/>
      <c r="BA1062" s="8"/>
      <c r="BB1062" s="8"/>
      <c r="BC1062" s="8"/>
      <c r="BD1062" s="8"/>
      <c r="BE1062" s="8"/>
      <c r="BF1062" s="8"/>
    </row>
    <row r="1063" spans="26:58" ht="16.899999999999999">
      <c r="Z1063" s="244"/>
      <c r="AC1063" s="10"/>
      <c r="AD1063" s="10"/>
      <c r="AF1063" s="10"/>
      <c r="AG1063" s="10"/>
      <c r="AH1063" s="10"/>
      <c r="AI1063" s="9"/>
      <c r="AJ1063" s="9"/>
      <c r="AK1063" s="11"/>
      <c r="AL1063" s="10"/>
      <c r="AM1063" s="11"/>
      <c r="AN1063" s="10"/>
      <c r="AO1063" s="11"/>
      <c r="AP1063" s="10"/>
      <c r="AQ1063" s="10"/>
      <c r="AR1063" s="10"/>
      <c r="AS1063" s="9"/>
      <c r="AT1063" s="9"/>
      <c r="AU1063" s="9"/>
      <c r="AV1063" s="9"/>
      <c r="AW1063" s="9"/>
      <c r="AX1063" s="9"/>
      <c r="AY1063" s="8"/>
      <c r="AZ1063" s="8"/>
      <c r="BA1063" s="8"/>
      <c r="BB1063" s="8"/>
      <c r="BC1063" s="8"/>
      <c r="BD1063" s="8"/>
      <c r="BE1063" s="8"/>
      <c r="BF1063" s="8"/>
    </row>
    <row r="1064" spans="26:58" ht="16.899999999999999">
      <c r="Z1064" s="244"/>
      <c r="AC1064" s="10"/>
      <c r="AD1064" s="10"/>
      <c r="AF1064" s="10"/>
      <c r="AG1064" s="10"/>
      <c r="AH1064" s="10"/>
      <c r="AI1064" s="9"/>
      <c r="AJ1064" s="9"/>
      <c r="AK1064" s="11"/>
      <c r="AL1064" s="10"/>
      <c r="AM1064" s="11"/>
      <c r="AN1064" s="10"/>
      <c r="AO1064" s="11"/>
      <c r="AP1064" s="10"/>
      <c r="AQ1064" s="10"/>
      <c r="AR1064" s="10"/>
      <c r="AS1064" s="9"/>
      <c r="AT1064" s="9"/>
      <c r="AU1064" s="9"/>
      <c r="AV1064" s="9"/>
      <c r="AW1064" s="9"/>
      <c r="AX1064" s="9"/>
      <c r="AY1064" s="8"/>
      <c r="AZ1064" s="8"/>
      <c r="BA1064" s="8"/>
      <c r="BB1064" s="8"/>
      <c r="BC1064" s="8"/>
      <c r="BD1064" s="8"/>
      <c r="BE1064" s="8"/>
      <c r="BF1064" s="8"/>
    </row>
    <row r="1065" spans="26:58" ht="16.899999999999999">
      <c r="Z1065" s="244"/>
      <c r="AC1065" s="10"/>
      <c r="AD1065" s="10"/>
      <c r="AF1065" s="10"/>
      <c r="AG1065" s="10"/>
      <c r="AH1065" s="10"/>
      <c r="AI1065" s="9"/>
      <c r="AJ1065" s="9"/>
      <c r="AK1065" s="11"/>
      <c r="AL1065" s="10"/>
      <c r="AM1065" s="11"/>
      <c r="AN1065" s="10"/>
      <c r="AO1065" s="11"/>
      <c r="AP1065" s="10"/>
      <c r="AQ1065" s="10"/>
      <c r="AR1065" s="10"/>
      <c r="AS1065" s="9"/>
      <c r="AT1065" s="9"/>
      <c r="AU1065" s="9"/>
      <c r="AV1065" s="9"/>
      <c r="AW1065" s="9"/>
      <c r="AX1065" s="9"/>
      <c r="AY1065" s="8"/>
      <c r="AZ1065" s="8"/>
      <c r="BA1065" s="8"/>
      <c r="BB1065" s="8"/>
      <c r="BC1065" s="8"/>
      <c r="BD1065" s="8"/>
      <c r="BE1065" s="8"/>
      <c r="BF1065" s="8"/>
    </row>
    <row r="1066" spans="26:58" ht="16.899999999999999">
      <c r="Z1066" s="244"/>
      <c r="AC1066" s="10"/>
      <c r="AD1066" s="10"/>
      <c r="AF1066" s="10"/>
      <c r="AG1066" s="10"/>
      <c r="AH1066" s="10"/>
      <c r="AI1066" s="9"/>
      <c r="AJ1066" s="9"/>
      <c r="AK1066" s="11"/>
      <c r="AL1066" s="10"/>
      <c r="AM1066" s="11"/>
      <c r="AN1066" s="10"/>
      <c r="AO1066" s="11"/>
      <c r="AP1066" s="10"/>
      <c r="AQ1066" s="10"/>
      <c r="AR1066" s="10"/>
      <c r="AS1066" s="9"/>
      <c r="AT1066" s="9"/>
      <c r="AU1066" s="9"/>
      <c r="AV1066" s="9"/>
      <c r="AW1066" s="9"/>
      <c r="AX1066" s="9"/>
      <c r="AY1066" s="8"/>
      <c r="AZ1066" s="8"/>
      <c r="BA1066" s="8"/>
      <c r="BB1066" s="8"/>
      <c r="BC1066" s="8"/>
      <c r="BD1066" s="8"/>
      <c r="BE1066" s="8"/>
      <c r="BF1066" s="8"/>
    </row>
    <row r="1067" spans="26:58" ht="16.899999999999999">
      <c r="Z1067" s="244"/>
      <c r="AC1067" s="10"/>
      <c r="AD1067" s="10"/>
      <c r="AF1067" s="10"/>
      <c r="AG1067" s="10"/>
      <c r="AH1067" s="10"/>
      <c r="AI1067" s="9"/>
      <c r="AJ1067" s="9"/>
      <c r="AK1067" s="11"/>
      <c r="AL1067" s="10"/>
      <c r="AM1067" s="11"/>
      <c r="AN1067" s="10"/>
      <c r="AO1067" s="11"/>
      <c r="AP1067" s="10"/>
      <c r="AQ1067" s="10"/>
      <c r="AR1067" s="10"/>
      <c r="AS1067" s="9"/>
      <c r="AT1067" s="9"/>
      <c r="AU1067" s="9"/>
      <c r="AV1067" s="9"/>
      <c r="AW1067" s="9"/>
      <c r="AX1067" s="9"/>
      <c r="AY1067" s="8"/>
      <c r="AZ1067" s="8"/>
      <c r="BA1067" s="8"/>
      <c r="BB1067" s="8"/>
      <c r="BC1067" s="8"/>
      <c r="BD1067" s="8"/>
      <c r="BE1067" s="8"/>
      <c r="BF1067" s="8"/>
    </row>
    <row r="1068" spans="26:58" ht="16.899999999999999">
      <c r="Z1068" s="244"/>
      <c r="AC1068" s="10"/>
      <c r="AD1068" s="10"/>
      <c r="AF1068" s="10"/>
      <c r="AG1068" s="10"/>
      <c r="AH1068" s="10"/>
      <c r="AI1068" s="9"/>
      <c r="AJ1068" s="9"/>
      <c r="AK1068" s="11"/>
      <c r="AL1068" s="10"/>
      <c r="AM1068" s="11"/>
      <c r="AN1068" s="10"/>
      <c r="AO1068" s="11"/>
      <c r="AP1068" s="10"/>
      <c r="AQ1068" s="10"/>
      <c r="AR1068" s="10"/>
      <c r="AS1068" s="9"/>
      <c r="AT1068" s="9"/>
      <c r="AU1068" s="9"/>
      <c r="AV1068" s="9"/>
      <c r="AW1068" s="9"/>
      <c r="AX1068" s="9"/>
      <c r="AY1068" s="8"/>
      <c r="AZ1068" s="8"/>
      <c r="BA1068" s="8"/>
      <c r="BB1068" s="8"/>
      <c r="BC1068" s="8"/>
      <c r="BD1068" s="8"/>
      <c r="BE1068" s="8"/>
      <c r="BF1068" s="8"/>
    </row>
    <row r="1069" spans="26:58" ht="16.899999999999999">
      <c r="Z1069" s="244"/>
      <c r="AC1069" s="10"/>
      <c r="AD1069" s="10"/>
      <c r="AF1069" s="10"/>
      <c r="AG1069" s="10"/>
      <c r="AH1069" s="10"/>
      <c r="AI1069" s="9"/>
      <c r="AJ1069" s="9"/>
      <c r="AK1069" s="11"/>
      <c r="AL1069" s="10"/>
      <c r="AM1069" s="11"/>
      <c r="AN1069" s="10"/>
      <c r="AO1069" s="11"/>
      <c r="AP1069" s="10"/>
      <c r="AQ1069" s="10"/>
      <c r="AR1069" s="10"/>
      <c r="AS1069" s="9"/>
      <c r="AT1069" s="9"/>
      <c r="AU1069" s="9"/>
      <c r="AV1069" s="9"/>
      <c r="AW1069" s="9"/>
      <c r="AX1069" s="9"/>
      <c r="AY1069" s="8"/>
      <c r="AZ1069" s="8"/>
      <c r="BA1069" s="8"/>
      <c r="BB1069" s="8"/>
      <c r="BC1069" s="8"/>
      <c r="BD1069" s="8"/>
      <c r="BE1069" s="8"/>
      <c r="BF1069" s="8"/>
    </row>
    <row r="1070" spans="26:58" ht="16.899999999999999">
      <c r="Z1070" s="244"/>
      <c r="AC1070" s="10"/>
      <c r="AD1070" s="10"/>
      <c r="AF1070" s="10"/>
      <c r="AG1070" s="10"/>
      <c r="AH1070" s="10"/>
      <c r="AI1070" s="9"/>
      <c r="AJ1070" s="9"/>
      <c r="AK1070" s="11"/>
      <c r="AL1070" s="10"/>
      <c r="AM1070" s="11"/>
      <c r="AN1070" s="10"/>
      <c r="AO1070" s="11"/>
      <c r="AP1070" s="10"/>
      <c r="AQ1070" s="10"/>
      <c r="AR1070" s="10"/>
      <c r="AS1070" s="9"/>
      <c r="AT1070" s="9"/>
      <c r="AU1070" s="9"/>
      <c r="AV1070" s="9"/>
      <c r="AW1070" s="9"/>
      <c r="AX1070" s="9"/>
      <c r="AY1070" s="8"/>
      <c r="AZ1070" s="8"/>
      <c r="BA1070" s="8"/>
      <c r="BB1070" s="8"/>
      <c r="BC1070" s="8"/>
      <c r="BD1070" s="8"/>
      <c r="BE1070" s="8"/>
      <c r="BF1070" s="8"/>
    </row>
    <row r="1071" spans="26:58" ht="16.899999999999999">
      <c r="Z1071" s="244"/>
      <c r="AC1071" s="10"/>
      <c r="AD1071" s="10"/>
      <c r="AF1071" s="10"/>
      <c r="AG1071" s="10"/>
      <c r="AH1071" s="10"/>
      <c r="AI1071" s="9"/>
      <c r="AJ1071" s="9"/>
      <c r="AK1071" s="11"/>
      <c r="AL1071" s="10"/>
      <c r="AM1071" s="11"/>
      <c r="AN1071" s="10"/>
      <c r="AO1071" s="11"/>
      <c r="AP1071" s="10"/>
      <c r="AQ1071" s="10"/>
      <c r="AR1071" s="10"/>
      <c r="AS1071" s="9"/>
      <c r="AT1071" s="9"/>
      <c r="AU1071" s="9"/>
      <c r="AV1071" s="9"/>
      <c r="AW1071" s="9"/>
      <c r="AX1071" s="9"/>
      <c r="AY1071" s="8"/>
      <c r="AZ1071" s="8"/>
      <c r="BA1071" s="8"/>
      <c r="BB1071" s="8"/>
      <c r="BC1071" s="8"/>
      <c r="BD1071" s="8"/>
      <c r="BE1071" s="8"/>
      <c r="BF1071" s="8"/>
    </row>
    <row r="1072" spans="26:58" ht="16.899999999999999">
      <c r="Z1072" s="244"/>
      <c r="AC1072" s="10"/>
      <c r="AD1072" s="10"/>
      <c r="AF1072" s="10"/>
      <c r="AG1072" s="10"/>
      <c r="AH1072" s="10"/>
      <c r="AI1072" s="9"/>
      <c r="AJ1072" s="9"/>
      <c r="AK1072" s="11"/>
      <c r="AL1072" s="10"/>
      <c r="AM1072" s="11"/>
      <c r="AN1072" s="10"/>
      <c r="AO1072" s="11"/>
      <c r="AP1072" s="10"/>
      <c r="AQ1072" s="10"/>
      <c r="AR1072" s="10"/>
      <c r="AS1072" s="9"/>
      <c r="AT1072" s="9"/>
      <c r="AU1072" s="9"/>
      <c r="AV1072" s="9"/>
      <c r="AW1072" s="9"/>
      <c r="AX1072" s="9"/>
      <c r="AY1072" s="8"/>
      <c r="AZ1072" s="8"/>
      <c r="BA1072" s="8"/>
      <c r="BB1072" s="8"/>
      <c r="BC1072" s="8"/>
      <c r="BD1072" s="8"/>
      <c r="BE1072" s="8"/>
      <c r="BF1072" s="8"/>
    </row>
    <row r="1073" spans="26:58" ht="16.899999999999999">
      <c r="Z1073" s="244"/>
      <c r="AC1073" s="10"/>
      <c r="AD1073" s="10"/>
      <c r="AF1073" s="10"/>
      <c r="AG1073" s="10"/>
      <c r="AH1073" s="10"/>
      <c r="AI1073" s="9"/>
      <c r="AJ1073" s="9"/>
      <c r="AK1073" s="11"/>
      <c r="AL1073" s="10"/>
      <c r="AM1073" s="11"/>
      <c r="AN1073" s="10"/>
      <c r="AO1073" s="11"/>
      <c r="AP1073" s="10"/>
      <c r="AQ1073" s="10"/>
      <c r="AR1073" s="10"/>
      <c r="AS1073" s="9"/>
      <c r="AT1073" s="9"/>
      <c r="AU1073" s="9"/>
      <c r="AV1073" s="9"/>
      <c r="AW1073" s="9"/>
      <c r="AX1073" s="9"/>
      <c r="AY1073" s="8"/>
      <c r="AZ1073" s="8"/>
      <c r="BA1073" s="8"/>
      <c r="BB1073" s="8"/>
      <c r="BC1073" s="8"/>
      <c r="BD1073" s="8"/>
      <c r="BE1073" s="8"/>
      <c r="BF1073" s="8"/>
    </row>
    <row r="1074" spans="26:58" ht="16.899999999999999">
      <c r="Z1074" s="244"/>
      <c r="AC1074" s="10"/>
      <c r="AD1074" s="10"/>
      <c r="AF1074" s="10"/>
      <c r="AG1074" s="10"/>
      <c r="AH1074" s="10"/>
      <c r="AI1074" s="9"/>
      <c r="AJ1074" s="9"/>
      <c r="AK1074" s="11"/>
      <c r="AL1074" s="10"/>
      <c r="AM1074" s="11"/>
      <c r="AN1074" s="10"/>
      <c r="AO1074" s="11"/>
      <c r="AP1074" s="10"/>
      <c r="AQ1074" s="10"/>
      <c r="AR1074" s="10"/>
      <c r="AS1074" s="9"/>
      <c r="AT1074" s="9"/>
      <c r="AU1074" s="9"/>
      <c r="AV1074" s="9"/>
      <c r="AW1074" s="9"/>
      <c r="AX1074" s="9"/>
      <c r="AY1074" s="8"/>
      <c r="AZ1074" s="8"/>
      <c r="BA1074" s="8"/>
      <c r="BB1074" s="8"/>
      <c r="BC1074" s="8"/>
      <c r="BD1074" s="8"/>
      <c r="BE1074" s="8"/>
      <c r="BF1074" s="8"/>
    </row>
    <row r="1075" spans="26:58" ht="16.899999999999999">
      <c r="Z1075" s="244"/>
      <c r="AC1075" s="10"/>
      <c r="AD1075" s="10"/>
      <c r="AF1075" s="10"/>
      <c r="AG1075" s="10"/>
      <c r="AH1075" s="10"/>
      <c r="AI1075" s="9"/>
      <c r="AJ1075" s="9"/>
      <c r="AK1075" s="11"/>
      <c r="AL1075" s="10"/>
      <c r="AM1075" s="11"/>
      <c r="AN1075" s="10"/>
      <c r="AO1075" s="11"/>
      <c r="AP1075" s="10"/>
      <c r="AQ1075" s="10"/>
      <c r="AR1075" s="10"/>
      <c r="AS1075" s="9"/>
      <c r="AT1075" s="9"/>
      <c r="AU1075" s="9"/>
      <c r="AV1075" s="9"/>
      <c r="AW1075" s="9"/>
      <c r="AX1075" s="9"/>
      <c r="AY1075" s="8"/>
      <c r="AZ1075" s="8"/>
      <c r="BA1075" s="8"/>
      <c r="BB1075" s="8"/>
      <c r="BC1075" s="8"/>
      <c r="BD1075" s="8"/>
      <c r="BE1075" s="8"/>
      <c r="BF1075" s="8"/>
    </row>
    <row r="1076" spans="26:58" ht="16.899999999999999">
      <c r="Z1076" s="244"/>
      <c r="AC1076" s="10"/>
      <c r="AD1076" s="10"/>
      <c r="AF1076" s="10"/>
      <c r="AG1076" s="10"/>
      <c r="AH1076" s="10"/>
      <c r="AI1076" s="9"/>
      <c r="AJ1076" s="9"/>
      <c r="AK1076" s="11"/>
      <c r="AL1076" s="10"/>
      <c r="AM1076" s="11"/>
      <c r="AN1076" s="10"/>
      <c r="AO1076" s="11"/>
      <c r="AP1076" s="10"/>
      <c r="AQ1076" s="10"/>
      <c r="AR1076" s="10"/>
      <c r="AS1076" s="9"/>
      <c r="AT1076" s="9"/>
      <c r="AU1076" s="9"/>
      <c r="AV1076" s="9"/>
      <c r="AW1076" s="9"/>
      <c r="AX1076" s="9"/>
      <c r="AY1076" s="8"/>
      <c r="AZ1076" s="8"/>
      <c r="BA1076" s="8"/>
      <c r="BB1076" s="8"/>
      <c r="BC1076" s="8"/>
      <c r="BD1076" s="8"/>
      <c r="BE1076" s="8"/>
      <c r="BF1076" s="8"/>
    </row>
    <row r="1077" spans="26:58" ht="16.899999999999999">
      <c r="Z1077" s="244"/>
      <c r="AC1077" s="10"/>
      <c r="AD1077" s="10"/>
      <c r="AF1077" s="10"/>
      <c r="AG1077" s="10"/>
      <c r="AH1077" s="10"/>
      <c r="AI1077" s="9"/>
      <c r="AJ1077" s="9"/>
      <c r="AK1077" s="11"/>
      <c r="AL1077" s="10"/>
      <c r="AM1077" s="11"/>
      <c r="AN1077" s="10"/>
      <c r="AO1077" s="11"/>
      <c r="AP1077" s="10"/>
      <c r="AQ1077" s="10"/>
      <c r="AR1077" s="10"/>
      <c r="AS1077" s="9"/>
      <c r="AT1077" s="9"/>
      <c r="AU1077" s="9"/>
      <c r="AV1077" s="9"/>
      <c r="AW1077" s="9"/>
      <c r="AX1077" s="9"/>
      <c r="AY1077" s="8"/>
      <c r="AZ1077" s="8"/>
      <c r="BA1077" s="8"/>
      <c r="BB1077" s="8"/>
      <c r="BC1077" s="8"/>
      <c r="BD1077" s="8"/>
      <c r="BE1077" s="8"/>
      <c r="BF1077" s="8"/>
    </row>
    <row r="1078" spans="26:58" ht="16.899999999999999">
      <c r="Z1078" s="244"/>
      <c r="AC1078" s="10"/>
      <c r="AD1078" s="10"/>
      <c r="AF1078" s="10"/>
      <c r="AG1078" s="10"/>
      <c r="AH1078" s="10"/>
      <c r="AI1078" s="9"/>
      <c r="AJ1078" s="9"/>
      <c r="AK1078" s="11"/>
      <c r="AL1078" s="10"/>
      <c r="AM1078" s="11"/>
      <c r="AN1078" s="10"/>
      <c r="AO1078" s="11"/>
      <c r="AP1078" s="10"/>
      <c r="AQ1078" s="10"/>
      <c r="AR1078" s="10"/>
      <c r="AS1078" s="9"/>
      <c r="AT1078" s="9"/>
      <c r="AU1078" s="9"/>
      <c r="AV1078" s="9"/>
      <c r="AW1078" s="9"/>
      <c r="AX1078" s="9"/>
      <c r="AY1078" s="8"/>
      <c r="AZ1078" s="8"/>
      <c r="BA1078" s="8"/>
      <c r="BB1078" s="8"/>
      <c r="BC1078" s="8"/>
      <c r="BD1078" s="8"/>
      <c r="BE1078" s="8"/>
      <c r="BF1078" s="8"/>
    </row>
    <row r="1079" spans="26:58" ht="16.899999999999999">
      <c r="Z1079" s="244"/>
      <c r="AC1079" s="10"/>
      <c r="AD1079" s="10"/>
      <c r="AF1079" s="10"/>
      <c r="AG1079" s="10"/>
      <c r="AH1079" s="10"/>
      <c r="AI1079" s="9"/>
      <c r="AJ1079" s="9"/>
      <c r="AK1079" s="11"/>
      <c r="AL1079" s="10"/>
      <c r="AM1079" s="11"/>
      <c r="AN1079" s="10"/>
      <c r="AO1079" s="11"/>
      <c r="AP1079" s="10"/>
      <c r="AQ1079" s="10"/>
      <c r="AR1079" s="10"/>
      <c r="AS1079" s="9"/>
      <c r="AT1079" s="9"/>
      <c r="AU1079" s="9"/>
      <c r="AV1079" s="9"/>
      <c r="AW1079" s="9"/>
      <c r="AX1079" s="9"/>
      <c r="AY1079" s="8"/>
      <c r="AZ1079" s="8"/>
      <c r="BA1079" s="8"/>
      <c r="BB1079" s="8"/>
      <c r="BC1079" s="8"/>
      <c r="BD1079" s="8"/>
      <c r="BE1079" s="8"/>
      <c r="BF1079" s="8"/>
    </row>
    <row r="1080" spans="26:58" ht="16.899999999999999">
      <c r="Z1080" s="244"/>
      <c r="AC1080" s="10"/>
      <c r="AD1080" s="10"/>
      <c r="AF1080" s="10"/>
      <c r="AG1080" s="10"/>
      <c r="AH1080" s="10"/>
      <c r="AI1080" s="9"/>
      <c r="AJ1080" s="9"/>
      <c r="AK1080" s="11"/>
      <c r="AL1080" s="10"/>
      <c r="AM1080" s="11"/>
      <c r="AN1080" s="10"/>
      <c r="AO1080" s="11"/>
      <c r="AP1080" s="10"/>
      <c r="AQ1080" s="10"/>
      <c r="AR1080" s="10"/>
      <c r="AS1080" s="9"/>
      <c r="AT1080" s="9"/>
      <c r="AU1080" s="9"/>
      <c r="AV1080" s="9"/>
      <c r="AW1080" s="9"/>
      <c r="AX1080" s="9"/>
      <c r="AY1080" s="8"/>
      <c r="AZ1080" s="8"/>
      <c r="BA1080" s="8"/>
      <c r="BB1080" s="8"/>
      <c r="BC1080" s="8"/>
      <c r="BD1080" s="8"/>
      <c r="BE1080" s="8"/>
      <c r="BF1080" s="8"/>
    </row>
    <row r="1081" spans="26:58" ht="16.899999999999999">
      <c r="Z1081" s="244"/>
      <c r="AC1081" s="10"/>
      <c r="AD1081" s="10"/>
      <c r="AF1081" s="10"/>
      <c r="AG1081" s="10"/>
      <c r="AH1081" s="10"/>
      <c r="AI1081" s="9"/>
      <c r="AJ1081" s="9"/>
      <c r="AK1081" s="11"/>
      <c r="AL1081" s="10"/>
      <c r="AM1081" s="11"/>
      <c r="AN1081" s="10"/>
      <c r="AO1081" s="11"/>
      <c r="AP1081" s="10"/>
      <c r="AQ1081" s="10"/>
      <c r="AR1081" s="10"/>
      <c r="AS1081" s="9"/>
      <c r="AT1081" s="9"/>
      <c r="AU1081" s="9"/>
      <c r="AV1081" s="9"/>
      <c r="AW1081" s="9"/>
      <c r="AX1081" s="9"/>
      <c r="AY1081" s="8"/>
      <c r="AZ1081" s="8"/>
      <c r="BA1081" s="8"/>
      <c r="BB1081" s="8"/>
      <c r="BC1081" s="8"/>
      <c r="BD1081" s="8"/>
      <c r="BE1081" s="8"/>
      <c r="BF1081" s="8"/>
    </row>
    <row r="1082" spans="26:58" ht="16.899999999999999">
      <c r="Z1082" s="244"/>
      <c r="AC1082" s="10"/>
      <c r="AD1082" s="10"/>
      <c r="AF1082" s="10"/>
      <c r="AG1082" s="10"/>
      <c r="AH1082" s="10"/>
      <c r="AI1082" s="9"/>
      <c r="AJ1082" s="9"/>
      <c r="AK1082" s="11"/>
      <c r="AL1082" s="10"/>
      <c r="AM1082" s="11"/>
      <c r="AN1082" s="10"/>
      <c r="AO1082" s="11"/>
      <c r="AP1082" s="10"/>
      <c r="AQ1082" s="10"/>
      <c r="AR1082" s="10"/>
      <c r="AS1082" s="9"/>
      <c r="AT1082" s="9"/>
      <c r="AU1082" s="9"/>
      <c r="AV1082" s="9"/>
      <c r="AW1082" s="9"/>
      <c r="AX1082" s="9"/>
      <c r="AY1082" s="8"/>
      <c r="AZ1082" s="8"/>
      <c r="BA1082" s="8"/>
      <c r="BB1082" s="8"/>
      <c r="BC1082" s="8"/>
      <c r="BD1082" s="8"/>
      <c r="BE1082" s="8"/>
      <c r="BF1082" s="8"/>
    </row>
    <row r="1083" spans="26:58" ht="16.899999999999999">
      <c r="Z1083" s="244"/>
      <c r="AC1083" s="10"/>
      <c r="AD1083" s="10"/>
      <c r="AF1083" s="10"/>
      <c r="AG1083" s="10"/>
      <c r="AH1083" s="10"/>
      <c r="AI1083" s="9"/>
      <c r="AJ1083" s="9"/>
      <c r="AK1083" s="11"/>
      <c r="AL1083" s="10"/>
      <c r="AM1083" s="11"/>
      <c r="AN1083" s="10"/>
      <c r="AO1083" s="11"/>
      <c r="AP1083" s="10"/>
      <c r="AQ1083" s="10"/>
      <c r="AR1083" s="10"/>
      <c r="AS1083" s="9"/>
      <c r="AT1083" s="9"/>
      <c r="AU1083" s="9"/>
      <c r="AV1083" s="9"/>
      <c r="AW1083" s="9"/>
      <c r="AX1083" s="9"/>
      <c r="AY1083" s="8"/>
      <c r="AZ1083" s="8"/>
      <c r="BA1083" s="8"/>
      <c r="BB1083" s="8"/>
      <c r="BC1083" s="8"/>
      <c r="BD1083" s="8"/>
      <c r="BE1083" s="8"/>
      <c r="BF1083" s="8"/>
    </row>
    <row r="1084" spans="26:58" ht="16.899999999999999">
      <c r="Z1084" s="244"/>
      <c r="AC1084" s="10"/>
      <c r="AD1084" s="10"/>
      <c r="AF1084" s="10"/>
      <c r="AG1084" s="10"/>
      <c r="AH1084" s="10"/>
      <c r="AI1084" s="9"/>
      <c r="AJ1084" s="9"/>
      <c r="AK1084" s="11"/>
      <c r="AL1084" s="10"/>
      <c r="AM1084" s="11"/>
      <c r="AN1084" s="10"/>
      <c r="AO1084" s="11"/>
      <c r="AP1084" s="10"/>
      <c r="AQ1084" s="10"/>
      <c r="AR1084" s="10"/>
      <c r="AS1084" s="9"/>
      <c r="AT1084" s="9"/>
      <c r="AU1084" s="9"/>
      <c r="AV1084" s="9"/>
      <c r="AW1084" s="9"/>
      <c r="AX1084" s="9"/>
      <c r="AY1084" s="8"/>
      <c r="AZ1084" s="8"/>
      <c r="BA1084" s="8"/>
      <c r="BB1084" s="8"/>
      <c r="BC1084" s="8"/>
      <c r="BD1084" s="8"/>
      <c r="BE1084" s="8"/>
      <c r="BF1084" s="8"/>
    </row>
    <row r="1085" spans="26:58" ht="16.899999999999999">
      <c r="Z1085" s="244"/>
      <c r="AC1085" s="10"/>
      <c r="AD1085" s="10"/>
      <c r="AF1085" s="10"/>
      <c r="AG1085" s="10"/>
      <c r="AH1085" s="10"/>
      <c r="AI1085" s="9"/>
      <c r="AJ1085" s="9"/>
      <c r="AK1085" s="11"/>
      <c r="AL1085" s="10"/>
      <c r="AM1085" s="11"/>
      <c r="AN1085" s="10"/>
      <c r="AO1085" s="11"/>
      <c r="AP1085" s="10"/>
      <c r="AQ1085" s="10"/>
      <c r="AR1085" s="10"/>
      <c r="AS1085" s="9"/>
      <c r="AT1085" s="9"/>
      <c r="AU1085" s="9"/>
      <c r="AV1085" s="9"/>
      <c r="AW1085" s="9"/>
      <c r="AX1085" s="9"/>
      <c r="AY1085" s="8"/>
      <c r="AZ1085" s="8"/>
      <c r="BA1085" s="8"/>
      <c r="BB1085" s="8"/>
      <c r="BC1085" s="8"/>
      <c r="BD1085" s="8"/>
      <c r="BE1085" s="8"/>
      <c r="BF1085" s="8"/>
    </row>
    <row r="1086" spans="26:58" ht="16.899999999999999">
      <c r="Z1086" s="244"/>
      <c r="AC1086" s="10"/>
      <c r="AD1086" s="10"/>
      <c r="AF1086" s="10"/>
      <c r="AG1086" s="10"/>
      <c r="AH1086" s="10"/>
      <c r="AI1086" s="9"/>
      <c r="AJ1086" s="9"/>
      <c r="AK1086" s="11"/>
      <c r="AL1086" s="10"/>
      <c r="AM1086" s="11"/>
      <c r="AN1086" s="10"/>
      <c r="AO1086" s="11"/>
      <c r="AP1086" s="10"/>
      <c r="AQ1086" s="10"/>
      <c r="AR1086" s="10"/>
      <c r="AS1086" s="9"/>
      <c r="AT1086" s="9"/>
      <c r="AU1086" s="9"/>
      <c r="AV1086" s="9"/>
      <c r="AW1086" s="9"/>
      <c r="AX1086" s="9"/>
      <c r="AY1086" s="8"/>
      <c r="AZ1086" s="8"/>
      <c r="BA1086" s="8"/>
      <c r="BB1086" s="8"/>
      <c r="BC1086" s="8"/>
      <c r="BD1086" s="8"/>
      <c r="BE1086" s="8"/>
      <c r="BF1086" s="8"/>
    </row>
    <row r="1087" spans="26:58" ht="16.899999999999999">
      <c r="Z1087" s="244"/>
      <c r="AC1087" s="10"/>
      <c r="AD1087" s="10"/>
      <c r="AF1087" s="10"/>
      <c r="AG1087" s="10"/>
      <c r="AH1087" s="10"/>
      <c r="AI1087" s="9"/>
      <c r="AJ1087" s="9"/>
      <c r="AK1087" s="11"/>
      <c r="AL1087" s="10"/>
      <c r="AM1087" s="11"/>
      <c r="AN1087" s="10"/>
      <c r="AO1087" s="11"/>
      <c r="AP1087" s="10"/>
      <c r="AQ1087" s="10"/>
      <c r="AR1087" s="10"/>
      <c r="AS1087" s="9"/>
      <c r="AT1087" s="9"/>
      <c r="AU1087" s="9"/>
      <c r="AV1087" s="9"/>
      <c r="AW1087" s="9"/>
      <c r="AX1087" s="9"/>
      <c r="AY1087" s="8"/>
      <c r="AZ1087" s="8"/>
      <c r="BA1087" s="8"/>
      <c r="BB1087" s="8"/>
      <c r="BC1087" s="8"/>
      <c r="BD1087" s="8"/>
      <c r="BE1087" s="8"/>
      <c r="BF1087" s="8"/>
    </row>
    <row r="1088" spans="26:58" ht="16.899999999999999">
      <c r="Z1088" s="244"/>
      <c r="AC1088" s="10"/>
      <c r="AD1088" s="10"/>
      <c r="AF1088" s="10"/>
      <c r="AG1088" s="10"/>
      <c r="AH1088" s="10"/>
      <c r="AI1088" s="9"/>
      <c r="AJ1088" s="9"/>
      <c r="AK1088" s="11"/>
      <c r="AL1088" s="10"/>
      <c r="AM1088" s="11"/>
      <c r="AN1088" s="10"/>
      <c r="AO1088" s="11"/>
      <c r="AP1088" s="10"/>
      <c r="AQ1088" s="10"/>
      <c r="AR1088" s="10"/>
      <c r="AS1088" s="9"/>
      <c r="AT1088" s="9"/>
      <c r="AU1088" s="9"/>
      <c r="AV1088" s="9"/>
      <c r="AW1088" s="9"/>
      <c r="AX1088" s="9"/>
      <c r="AY1088" s="8"/>
      <c r="AZ1088" s="8"/>
      <c r="BA1088" s="8"/>
      <c r="BB1088" s="8"/>
      <c r="BC1088" s="8"/>
      <c r="BD1088" s="8"/>
      <c r="BE1088" s="8"/>
      <c r="BF1088" s="8"/>
    </row>
    <row r="1089" spans="26:58" ht="16.899999999999999">
      <c r="Z1089" s="244"/>
      <c r="AC1089" s="10"/>
      <c r="AD1089" s="10"/>
      <c r="AF1089" s="10"/>
      <c r="AG1089" s="10"/>
      <c r="AH1089" s="10"/>
      <c r="AI1089" s="9"/>
      <c r="AJ1089" s="9"/>
      <c r="AK1089" s="11"/>
      <c r="AL1089" s="10"/>
      <c r="AM1089" s="11"/>
      <c r="AN1089" s="10"/>
      <c r="AO1089" s="11"/>
      <c r="AP1089" s="10"/>
      <c r="AQ1089" s="10"/>
      <c r="AR1089" s="10"/>
      <c r="AS1089" s="9"/>
      <c r="AT1089" s="9"/>
      <c r="AU1089" s="9"/>
      <c r="AV1089" s="9"/>
      <c r="AW1089" s="9"/>
      <c r="AX1089" s="9"/>
      <c r="AY1089" s="8"/>
      <c r="AZ1089" s="8"/>
      <c r="BA1089" s="8"/>
      <c r="BB1089" s="8"/>
      <c r="BC1089" s="8"/>
      <c r="BD1089" s="8"/>
      <c r="BE1089" s="8"/>
      <c r="BF1089" s="8"/>
    </row>
    <row r="1090" spans="26:58" ht="16.899999999999999">
      <c r="Z1090" s="244"/>
      <c r="AC1090" s="10"/>
      <c r="AD1090" s="10"/>
      <c r="AF1090" s="10"/>
      <c r="AG1090" s="10"/>
      <c r="AH1090" s="10"/>
      <c r="AI1090" s="9"/>
      <c r="AJ1090" s="9"/>
      <c r="AK1090" s="11"/>
      <c r="AL1090" s="10"/>
      <c r="AM1090" s="11"/>
      <c r="AN1090" s="10"/>
      <c r="AO1090" s="11"/>
      <c r="AP1090" s="10"/>
      <c r="AQ1090" s="10"/>
      <c r="AR1090" s="10"/>
      <c r="AS1090" s="9"/>
      <c r="AT1090" s="9"/>
      <c r="AU1090" s="9"/>
      <c r="AV1090" s="9"/>
      <c r="AW1090" s="9"/>
      <c r="AX1090" s="9"/>
      <c r="AY1090" s="8"/>
      <c r="AZ1090" s="8"/>
      <c r="BA1090" s="8"/>
      <c r="BB1090" s="8"/>
      <c r="BC1090" s="8"/>
      <c r="BD1090" s="8"/>
      <c r="BE1090" s="8"/>
      <c r="BF1090" s="8"/>
    </row>
    <row r="1091" spans="26:58" ht="16.899999999999999">
      <c r="Z1091" s="244"/>
      <c r="AC1091" s="10"/>
      <c r="AD1091" s="10"/>
      <c r="AF1091" s="10"/>
      <c r="AG1091" s="10"/>
      <c r="AH1091" s="10"/>
      <c r="AI1091" s="9"/>
      <c r="AJ1091" s="9"/>
      <c r="AK1091" s="11"/>
      <c r="AL1091" s="10"/>
      <c r="AM1091" s="11"/>
      <c r="AN1091" s="10"/>
      <c r="AO1091" s="11"/>
      <c r="AP1091" s="10"/>
      <c r="AQ1091" s="10"/>
      <c r="AR1091" s="10"/>
      <c r="AS1091" s="9"/>
      <c r="AT1091" s="9"/>
      <c r="AU1091" s="9"/>
      <c r="AV1091" s="9"/>
      <c r="AW1091" s="9"/>
      <c r="AX1091" s="9"/>
      <c r="AY1091" s="8"/>
      <c r="AZ1091" s="8"/>
      <c r="BA1091" s="8"/>
      <c r="BB1091" s="8"/>
      <c r="BC1091" s="8"/>
      <c r="BD1091" s="8"/>
      <c r="BE1091" s="8"/>
      <c r="BF1091" s="8"/>
    </row>
    <row r="1092" spans="26:58" ht="16.899999999999999">
      <c r="Z1092" s="244"/>
      <c r="AC1092" s="10"/>
      <c r="AD1092" s="10"/>
      <c r="AF1092" s="10"/>
      <c r="AG1092" s="10"/>
      <c r="AH1092" s="10"/>
      <c r="AI1092" s="9"/>
      <c r="AJ1092" s="9"/>
      <c r="AK1092" s="11"/>
      <c r="AL1092" s="10"/>
      <c r="AM1092" s="11"/>
      <c r="AN1092" s="10"/>
      <c r="AO1092" s="11"/>
      <c r="AP1092" s="10"/>
      <c r="AQ1092" s="10"/>
      <c r="AR1092" s="10"/>
      <c r="AS1092" s="9"/>
      <c r="AT1092" s="9"/>
      <c r="AU1092" s="9"/>
      <c r="AV1092" s="9"/>
      <c r="AW1092" s="9"/>
      <c r="AX1092" s="9"/>
      <c r="AY1092" s="8"/>
      <c r="AZ1092" s="8"/>
      <c r="BA1092" s="8"/>
      <c r="BB1092" s="8"/>
      <c r="BC1092" s="8"/>
      <c r="BD1092" s="8"/>
      <c r="BE1092" s="8"/>
      <c r="BF1092" s="8"/>
    </row>
    <row r="1093" spans="26:58" ht="16.899999999999999">
      <c r="Z1093" s="244"/>
      <c r="AC1093" s="10"/>
      <c r="AD1093" s="10"/>
      <c r="AF1093" s="10"/>
      <c r="AG1093" s="10"/>
      <c r="AH1093" s="10"/>
      <c r="AI1093" s="9"/>
      <c r="AJ1093" s="9"/>
      <c r="AK1093" s="11"/>
      <c r="AL1093" s="10"/>
      <c r="AM1093" s="11"/>
      <c r="AN1093" s="10"/>
      <c r="AO1093" s="11"/>
      <c r="AP1093" s="10"/>
      <c r="AQ1093" s="10"/>
      <c r="AR1093" s="10"/>
      <c r="AS1093" s="9"/>
      <c r="AT1093" s="9"/>
      <c r="AU1093" s="9"/>
      <c r="AV1093" s="9"/>
      <c r="AW1093" s="9"/>
      <c r="AX1093" s="9"/>
      <c r="AY1093" s="8"/>
      <c r="AZ1093" s="8"/>
      <c r="BA1093" s="8"/>
      <c r="BB1093" s="8"/>
      <c r="BC1093" s="8"/>
      <c r="BD1093" s="8"/>
      <c r="BE1093" s="8"/>
      <c r="BF1093" s="8"/>
    </row>
    <row r="1094" spans="26:58" ht="16.899999999999999">
      <c r="Z1094" s="244"/>
      <c r="AC1094" s="10"/>
      <c r="AD1094" s="10"/>
      <c r="AF1094" s="10"/>
      <c r="AG1094" s="10"/>
      <c r="AH1094" s="10"/>
      <c r="AI1094" s="9"/>
      <c r="AJ1094" s="9"/>
      <c r="AK1094" s="11"/>
      <c r="AL1094" s="10"/>
      <c r="AM1094" s="11"/>
      <c r="AN1094" s="10"/>
      <c r="AO1094" s="11"/>
      <c r="AP1094" s="10"/>
      <c r="AQ1094" s="10"/>
      <c r="AR1094" s="10"/>
      <c r="AS1094" s="9"/>
      <c r="AT1094" s="9"/>
      <c r="AU1094" s="9"/>
      <c r="AV1094" s="9"/>
      <c r="AW1094" s="9"/>
      <c r="AX1094" s="9"/>
      <c r="AY1094" s="8"/>
      <c r="AZ1094" s="8"/>
      <c r="BA1094" s="8"/>
      <c r="BB1094" s="8"/>
      <c r="BC1094" s="8"/>
      <c r="BD1094" s="8"/>
      <c r="BE1094" s="8"/>
      <c r="BF1094" s="8"/>
    </row>
    <row r="1095" spans="26:58" ht="16.899999999999999">
      <c r="Z1095" s="244"/>
      <c r="AC1095" s="10"/>
      <c r="AD1095" s="10"/>
      <c r="AF1095" s="10"/>
      <c r="AG1095" s="10"/>
      <c r="AH1095" s="10"/>
      <c r="AI1095" s="9"/>
      <c r="AJ1095" s="9"/>
      <c r="AK1095" s="11"/>
      <c r="AL1095" s="10"/>
      <c r="AM1095" s="11"/>
      <c r="AN1095" s="10"/>
      <c r="AO1095" s="11"/>
      <c r="AP1095" s="10"/>
      <c r="AQ1095" s="10"/>
      <c r="AR1095" s="10"/>
      <c r="AS1095" s="9"/>
      <c r="AT1095" s="9"/>
      <c r="AU1095" s="9"/>
      <c r="AV1095" s="9"/>
      <c r="AW1095" s="9"/>
      <c r="AX1095" s="9"/>
      <c r="AY1095" s="8"/>
      <c r="AZ1095" s="8"/>
      <c r="BA1095" s="8"/>
      <c r="BB1095" s="8"/>
      <c r="BC1095" s="8"/>
      <c r="BD1095" s="8"/>
      <c r="BE1095" s="8"/>
      <c r="BF1095" s="8"/>
    </row>
    <row r="1096" spans="26:58" ht="16.899999999999999">
      <c r="Z1096" s="244"/>
      <c r="AC1096" s="10"/>
      <c r="AD1096" s="10"/>
      <c r="AF1096" s="10"/>
      <c r="AG1096" s="10"/>
      <c r="AH1096" s="10"/>
      <c r="AI1096" s="9"/>
      <c r="AJ1096" s="9"/>
      <c r="AK1096" s="11"/>
      <c r="AL1096" s="10"/>
      <c r="AM1096" s="11"/>
      <c r="AN1096" s="10"/>
      <c r="AO1096" s="11"/>
      <c r="AP1096" s="10"/>
      <c r="AQ1096" s="10"/>
      <c r="AR1096" s="10"/>
      <c r="AS1096" s="9"/>
      <c r="AT1096" s="9"/>
      <c r="AU1096" s="9"/>
      <c r="AV1096" s="9"/>
      <c r="AW1096" s="9"/>
      <c r="AX1096" s="9"/>
      <c r="AY1096" s="8"/>
      <c r="AZ1096" s="8"/>
      <c r="BA1096" s="8"/>
      <c r="BB1096" s="8"/>
      <c r="BC1096" s="8"/>
      <c r="BD1096" s="8"/>
      <c r="BE1096" s="8"/>
      <c r="BF1096" s="8"/>
    </row>
    <row r="1097" spans="26:58" ht="16.899999999999999">
      <c r="Z1097" s="244"/>
      <c r="AC1097" s="10"/>
      <c r="AD1097" s="10"/>
      <c r="AF1097" s="10"/>
      <c r="AG1097" s="10"/>
      <c r="AH1097" s="10"/>
      <c r="AI1097" s="9"/>
      <c r="AJ1097" s="9"/>
      <c r="AK1097" s="11"/>
      <c r="AL1097" s="10"/>
      <c r="AM1097" s="11"/>
      <c r="AN1097" s="10"/>
      <c r="AO1097" s="11"/>
      <c r="AP1097" s="10"/>
      <c r="AQ1097" s="10"/>
      <c r="AR1097" s="10"/>
      <c r="AS1097" s="9"/>
      <c r="AT1097" s="9"/>
      <c r="AU1097" s="9"/>
      <c r="AV1097" s="9"/>
      <c r="AW1097" s="9"/>
      <c r="AX1097" s="9"/>
      <c r="AY1097" s="8"/>
      <c r="AZ1097" s="8"/>
      <c r="BA1097" s="8"/>
      <c r="BB1097" s="8"/>
      <c r="BC1097" s="8"/>
      <c r="BD1097" s="8"/>
      <c r="BE1097" s="8"/>
      <c r="BF1097" s="8"/>
    </row>
    <row r="1098" spans="26:58" ht="16.899999999999999">
      <c r="Z1098" s="244"/>
      <c r="AC1098" s="10"/>
      <c r="AD1098" s="10"/>
      <c r="AF1098" s="10"/>
      <c r="AG1098" s="10"/>
      <c r="AH1098" s="10"/>
      <c r="AI1098" s="9"/>
      <c r="AJ1098" s="9"/>
      <c r="AK1098" s="11"/>
      <c r="AL1098" s="10"/>
      <c r="AM1098" s="11"/>
      <c r="AN1098" s="10"/>
      <c r="AO1098" s="11"/>
      <c r="AP1098" s="10"/>
      <c r="AQ1098" s="10"/>
      <c r="AR1098" s="10"/>
      <c r="AS1098" s="9"/>
      <c r="AT1098" s="9"/>
      <c r="AU1098" s="9"/>
      <c r="AV1098" s="9"/>
      <c r="AW1098" s="9"/>
      <c r="AX1098" s="9"/>
      <c r="AY1098" s="8"/>
      <c r="AZ1098" s="8"/>
      <c r="BA1098" s="8"/>
      <c r="BB1098" s="8"/>
      <c r="BC1098" s="8"/>
      <c r="BD1098" s="8"/>
      <c r="BE1098" s="8"/>
      <c r="BF1098" s="8"/>
    </row>
    <row r="1099" spans="26:58" ht="16.899999999999999">
      <c r="Z1099" s="244"/>
      <c r="AC1099" s="10"/>
      <c r="AD1099" s="10"/>
      <c r="AF1099" s="10"/>
      <c r="AG1099" s="10"/>
      <c r="AH1099" s="10"/>
      <c r="AI1099" s="9"/>
      <c r="AJ1099" s="9"/>
      <c r="AK1099" s="11"/>
      <c r="AL1099" s="10"/>
      <c r="AM1099" s="11"/>
      <c r="AN1099" s="10"/>
      <c r="AO1099" s="11"/>
      <c r="AP1099" s="10"/>
      <c r="AQ1099" s="10"/>
      <c r="AR1099" s="10"/>
      <c r="AS1099" s="9"/>
      <c r="AT1099" s="9"/>
      <c r="AU1099" s="9"/>
      <c r="AV1099" s="9"/>
      <c r="AW1099" s="9"/>
      <c r="AX1099" s="9"/>
      <c r="AY1099" s="8"/>
      <c r="AZ1099" s="8"/>
      <c r="BA1099" s="8"/>
      <c r="BB1099" s="8"/>
      <c r="BC1099" s="8"/>
      <c r="BD1099" s="8"/>
      <c r="BE1099" s="8"/>
      <c r="BF1099" s="8"/>
    </row>
    <row r="1100" spans="26:58" ht="16.899999999999999">
      <c r="Z1100" s="244"/>
      <c r="AC1100" s="10"/>
      <c r="AD1100" s="10"/>
      <c r="AF1100" s="10"/>
      <c r="AG1100" s="10"/>
      <c r="AH1100" s="10"/>
      <c r="AI1100" s="9"/>
      <c r="AJ1100" s="9"/>
      <c r="AK1100" s="11"/>
      <c r="AL1100" s="10"/>
      <c r="AM1100" s="11"/>
      <c r="AN1100" s="10"/>
      <c r="AO1100" s="11"/>
      <c r="AP1100" s="10"/>
      <c r="AQ1100" s="10"/>
      <c r="AR1100" s="10"/>
      <c r="AS1100" s="9"/>
      <c r="AT1100" s="9"/>
      <c r="AU1100" s="9"/>
      <c r="AV1100" s="9"/>
      <c r="AW1100" s="9"/>
      <c r="AX1100" s="9"/>
      <c r="AY1100" s="8"/>
      <c r="AZ1100" s="8"/>
      <c r="BA1100" s="8"/>
      <c r="BB1100" s="8"/>
      <c r="BC1100" s="8"/>
      <c r="BD1100" s="8"/>
      <c r="BE1100" s="8"/>
      <c r="BF1100" s="8"/>
    </row>
    <row r="1101" spans="26:58" ht="16.899999999999999">
      <c r="Z1101" s="244"/>
      <c r="AC1101" s="10"/>
      <c r="AD1101" s="10"/>
      <c r="AF1101" s="10"/>
      <c r="AG1101" s="10"/>
      <c r="AH1101" s="10"/>
      <c r="AI1101" s="9"/>
      <c r="AJ1101" s="9"/>
      <c r="AK1101" s="11"/>
      <c r="AL1101" s="10"/>
      <c r="AM1101" s="11"/>
      <c r="AN1101" s="10"/>
      <c r="AO1101" s="11"/>
      <c r="AP1101" s="10"/>
      <c r="AQ1101" s="10"/>
      <c r="AR1101" s="10"/>
      <c r="AS1101" s="9"/>
      <c r="AT1101" s="9"/>
      <c r="AU1101" s="9"/>
      <c r="AV1101" s="9"/>
      <c r="AW1101" s="9"/>
      <c r="AX1101" s="9"/>
      <c r="AY1101" s="8"/>
      <c r="AZ1101" s="8"/>
      <c r="BA1101" s="8"/>
      <c r="BB1101" s="8"/>
      <c r="BC1101" s="8"/>
      <c r="BD1101" s="8"/>
      <c r="BE1101" s="8"/>
      <c r="BF1101" s="8"/>
    </row>
    <row r="1102" spans="26:58" ht="16.899999999999999">
      <c r="Z1102" s="244"/>
      <c r="AC1102" s="10"/>
      <c r="AD1102" s="10"/>
      <c r="AF1102" s="10"/>
      <c r="AG1102" s="10"/>
      <c r="AH1102" s="10"/>
      <c r="AI1102" s="9"/>
      <c r="AJ1102" s="9"/>
      <c r="AK1102" s="11"/>
      <c r="AL1102" s="10"/>
      <c r="AM1102" s="11"/>
      <c r="AN1102" s="10"/>
      <c r="AO1102" s="11"/>
      <c r="AP1102" s="10"/>
      <c r="AQ1102" s="10"/>
      <c r="AR1102" s="10"/>
      <c r="AS1102" s="9"/>
      <c r="AT1102" s="9"/>
      <c r="AU1102" s="9"/>
      <c r="AV1102" s="9"/>
      <c r="AW1102" s="9"/>
      <c r="AX1102" s="9"/>
      <c r="AY1102" s="8"/>
      <c r="AZ1102" s="8"/>
      <c r="BA1102" s="8"/>
      <c r="BB1102" s="8"/>
      <c r="BC1102" s="8"/>
      <c r="BD1102" s="8"/>
      <c r="BE1102" s="8"/>
      <c r="BF1102" s="8"/>
    </row>
    <row r="1103" spans="26:58" ht="16.899999999999999">
      <c r="Z1103" s="244"/>
      <c r="AC1103" s="10"/>
      <c r="AD1103" s="10"/>
      <c r="AF1103" s="10"/>
      <c r="AG1103" s="10"/>
      <c r="AH1103" s="10"/>
      <c r="AI1103" s="9"/>
      <c r="AJ1103" s="9"/>
      <c r="AK1103" s="11"/>
      <c r="AL1103" s="10"/>
      <c r="AM1103" s="11"/>
      <c r="AN1103" s="10"/>
      <c r="AO1103" s="11"/>
      <c r="AP1103" s="10"/>
      <c r="AQ1103" s="10"/>
      <c r="AR1103" s="10"/>
      <c r="AS1103" s="9"/>
      <c r="AT1103" s="9"/>
      <c r="AU1103" s="9"/>
      <c r="AV1103" s="9"/>
      <c r="AW1103" s="9"/>
      <c r="AX1103" s="9"/>
      <c r="AY1103" s="8"/>
      <c r="AZ1103" s="8"/>
      <c r="BA1103" s="8"/>
      <c r="BB1103" s="8"/>
      <c r="BC1103" s="8"/>
      <c r="BD1103" s="8"/>
      <c r="BE1103" s="8"/>
      <c r="BF1103" s="8"/>
    </row>
    <row r="1104" spans="26:58" ht="16.899999999999999">
      <c r="Z1104" s="244"/>
      <c r="AC1104" s="10"/>
      <c r="AD1104" s="10"/>
      <c r="AF1104" s="10"/>
      <c r="AG1104" s="10"/>
      <c r="AH1104" s="10"/>
      <c r="AI1104" s="9"/>
      <c r="AJ1104" s="9"/>
      <c r="AK1104" s="11"/>
      <c r="AL1104" s="10"/>
      <c r="AM1104" s="11"/>
      <c r="AN1104" s="10"/>
      <c r="AO1104" s="11"/>
      <c r="AP1104" s="10"/>
      <c r="AQ1104" s="10"/>
      <c r="AR1104" s="10"/>
      <c r="AS1104" s="9"/>
      <c r="AT1104" s="9"/>
      <c r="AU1104" s="9"/>
      <c r="AV1104" s="9"/>
      <c r="AW1104" s="9"/>
      <c r="AX1104" s="9"/>
      <c r="AY1104" s="8"/>
      <c r="AZ1104" s="8"/>
      <c r="BA1104" s="8"/>
      <c r="BB1104" s="8"/>
      <c r="BC1104" s="8"/>
      <c r="BD1104" s="8"/>
      <c r="BE1104" s="8"/>
      <c r="BF1104" s="8"/>
    </row>
    <row r="1105" spans="26:58" ht="16.899999999999999">
      <c r="Z1105" s="244"/>
      <c r="AC1105" s="10"/>
      <c r="AD1105" s="10"/>
      <c r="AF1105" s="10"/>
      <c r="AG1105" s="10"/>
      <c r="AH1105" s="10"/>
      <c r="AI1105" s="9"/>
      <c r="AJ1105" s="9"/>
      <c r="AK1105" s="11"/>
      <c r="AL1105" s="10"/>
      <c r="AM1105" s="11"/>
      <c r="AN1105" s="10"/>
      <c r="AO1105" s="11"/>
      <c r="AP1105" s="10"/>
      <c r="AQ1105" s="10"/>
      <c r="AR1105" s="10"/>
      <c r="AS1105" s="9"/>
      <c r="AT1105" s="9"/>
      <c r="AU1105" s="9"/>
      <c r="AV1105" s="9"/>
      <c r="AW1105" s="9"/>
      <c r="AX1105" s="9"/>
      <c r="AY1105" s="8"/>
      <c r="AZ1105" s="8"/>
      <c r="BA1105" s="8"/>
      <c r="BB1105" s="8"/>
      <c r="BC1105" s="8"/>
      <c r="BD1105" s="8"/>
      <c r="BE1105" s="8"/>
      <c r="BF1105" s="8"/>
    </row>
    <row r="1106" spans="26:58" ht="16.899999999999999">
      <c r="Z1106" s="244"/>
      <c r="AC1106" s="10"/>
      <c r="AD1106" s="10"/>
      <c r="AF1106" s="10"/>
      <c r="AG1106" s="10"/>
      <c r="AH1106" s="10"/>
      <c r="AI1106" s="9"/>
      <c r="AJ1106" s="9"/>
      <c r="AK1106" s="11"/>
      <c r="AL1106" s="10"/>
      <c r="AM1106" s="11"/>
      <c r="AN1106" s="10"/>
      <c r="AO1106" s="11"/>
      <c r="AP1106" s="10"/>
      <c r="AQ1106" s="10"/>
      <c r="AR1106" s="10"/>
      <c r="AS1106" s="9"/>
      <c r="AT1106" s="9"/>
      <c r="AU1106" s="9"/>
      <c r="AV1106" s="9"/>
      <c r="AW1106" s="9"/>
      <c r="AX1106" s="9"/>
      <c r="AY1106" s="8"/>
      <c r="AZ1106" s="8"/>
      <c r="BA1106" s="8"/>
      <c r="BB1106" s="8"/>
      <c r="BC1106" s="8"/>
      <c r="BD1106" s="8"/>
      <c r="BE1106" s="8"/>
      <c r="BF1106" s="8"/>
    </row>
    <row r="1107" spans="26:58" ht="16.899999999999999">
      <c r="Z1107" s="244"/>
      <c r="AC1107" s="10"/>
      <c r="AD1107" s="10"/>
      <c r="AF1107" s="10"/>
      <c r="AG1107" s="10"/>
      <c r="AH1107" s="10"/>
      <c r="AI1107" s="9"/>
      <c r="AJ1107" s="9"/>
      <c r="AK1107" s="11"/>
      <c r="AL1107" s="10"/>
      <c r="AM1107" s="11"/>
      <c r="AN1107" s="10"/>
      <c r="AO1107" s="11"/>
      <c r="AP1107" s="10"/>
      <c r="AQ1107" s="10"/>
      <c r="AR1107" s="10"/>
      <c r="AS1107" s="9"/>
      <c r="AT1107" s="9"/>
      <c r="AU1107" s="9"/>
      <c r="AV1107" s="9"/>
      <c r="AW1107" s="9"/>
      <c r="AX1107" s="9"/>
      <c r="AY1107" s="8"/>
      <c r="AZ1107" s="8"/>
      <c r="BA1107" s="8"/>
      <c r="BB1107" s="8"/>
      <c r="BC1107" s="8"/>
      <c r="BD1107" s="8"/>
      <c r="BE1107" s="8"/>
      <c r="BF1107" s="8"/>
    </row>
    <row r="1108" spans="26:58" ht="16.899999999999999">
      <c r="Z1108" s="244"/>
      <c r="AC1108" s="10"/>
      <c r="AD1108" s="10"/>
      <c r="AF1108" s="10"/>
      <c r="AG1108" s="10"/>
      <c r="AH1108" s="10"/>
      <c r="AI1108" s="9"/>
      <c r="AJ1108" s="9"/>
      <c r="AK1108" s="11"/>
      <c r="AL1108" s="10"/>
      <c r="AM1108" s="11"/>
      <c r="AN1108" s="10"/>
      <c r="AO1108" s="11"/>
      <c r="AP1108" s="10"/>
      <c r="AQ1108" s="10"/>
      <c r="AR1108" s="10"/>
      <c r="AS1108" s="9"/>
      <c r="AT1108" s="9"/>
      <c r="AU1108" s="9"/>
      <c r="AV1108" s="9"/>
      <c r="AW1108" s="9"/>
      <c r="AX1108" s="9"/>
      <c r="AY1108" s="8"/>
      <c r="AZ1108" s="8"/>
      <c r="BA1108" s="8"/>
      <c r="BB1108" s="8"/>
      <c r="BC1108" s="8"/>
      <c r="BD1108" s="8"/>
      <c r="BE1108" s="8"/>
      <c r="BF1108" s="8"/>
    </row>
    <row r="1109" spans="26:58" ht="16.899999999999999">
      <c r="Z1109" s="244"/>
      <c r="AC1109" s="10"/>
      <c r="AD1109" s="10"/>
      <c r="AF1109" s="10"/>
      <c r="AG1109" s="10"/>
      <c r="AH1109" s="10"/>
      <c r="AI1109" s="9"/>
      <c r="AJ1109" s="9"/>
      <c r="AK1109" s="11"/>
      <c r="AL1109" s="10"/>
      <c r="AM1109" s="11"/>
      <c r="AN1109" s="10"/>
      <c r="AO1109" s="11"/>
      <c r="AP1109" s="10"/>
      <c r="AQ1109" s="10"/>
      <c r="AR1109" s="10"/>
      <c r="AS1109" s="9"/>
      <c r="AT1109" s="9"/>
      <c r="AU1109" s="9"/>
      <c r="AV1109" s="9"/>
      <c r="AW1109" s="9"/>
      <c r="AX1109" s="9"/>
      <c r="AY1109" s="8"/>
      <c r="AZ1109" s="8"/>
      <c r="BA1109" s="8"/>
      <c r="BB1109" s="8"/>
      <c r="BC1109" s="8"/>
      <c r="BD1109" s="8"/>
      <c r="BE1109" s="8"/>
      <c r="BF1109" s="8"/>
    </row>
    <row r="1110" spans="26:58" ht="16.899999999999999">
      <c r="Z1110" s="244"/>
      <c r="AC1110" s="10"/>
      <c r="AD1110" s="10"/>
      <c r="AF1110" s="10"/>
      <c r="AG1110" s="10"/>
      <c r="AH1110" s="10"/>
      <c r="AI1110" s="9"/>
      <c r="AJ1110" s="9"/>
      <c r="AK1110" s="11"/>
      <c r="AL1110" s="10"/>
      <c r="AM1110" s="11"/>
      <c r="AN1110" s="10"/>
      <c r="AO1110" s="11"/>
      <c r="AP1110" s="10"/>
      <c r="AQ1110" s="10"/>
      <c r="AR1110" s="10"/>
      <c r="AS1110" s="9"/>
      <c r="AT1110" s="9"/>
      <c r="AU1110" s="9"/>
      <c r="AV1110" s="9"/>
      <c r="AW1110" s="9"/>
      <c r="AX1110" s="9"/>
      <c r="AY1110" s="8"/>
      <c r="AZ1110" s="8"/>
      <c r="BA1110" s="8"/>
      <c r="BB1110" s="8"/>
      <c r="BC1110" s="8"/>
      <c r="BD1110" s="8"/>
      <c r="BE1110" s="8"/>
      <c r="BF1110" s="8"/>
    </row>
    <row r="1111" spans="26:58" ht="16.899999999999999">
      <c r="Z1111" s="244"/>
      <c r="AC1111" s="10"/>
      <c r="AD1111" s="10"/>
      <c r="AF1111" s="10"/>
      <c r="AG1111" s="10"/>
      <c r="AH1111" s="10"/>
      <c r="AI1111" s="9"/>
      <c r="AJ1111" s="9"/>
      <c r="AK1111" s="11"/>
      <c r="AL1111" s="10"/>
      <c r="AM1111" s="11"/>
      <c r="AN1111" s="10"/>
      <c r="AO1111" s="11"/>
      <c r="AP1111" s="10"/>
      <c r="AQ1111" s="10"/>
      <c r="AR1111" s="10"/>
      <c r="AS1111" s="9"/>
      <c r="AT1111" s="9"/>
      <c r="AU1111" s="9"/>
      <c r="AV1111" s="9"/>
      <c r="AW1111" s="9"/>
      <c r="AX1111" s="9"/>
      <c r="AY1111" s="8"/>
      <c r="AZ1111" s="8"/>
      <c r="BA1111" s="8"/>
      <c r="BB1111" s="8"/>
      <c r="BC1111" s="8"/>
      <c r="BD1111" s="8"/>
      <c r="BE1111" s="8"/>
      <c r="BF1111" s="8"/>
    </row>
    <row r="1112" spans="26:58" ht="16.899999999999999">
      <c r="Z1112" s="244"/>
      <c r="AC1112" s="10"/>
      <c r="AD1112" s="10"/>
      <c r="AF1112" s="10"/>
      <c r="AG1112" s="10"/>
      <c r="AH1112" s="10"/>
      <c r="AI1112" s="9"/>
      <c r="AJ1112" s="9"/>
      <c r="AK1112" s="11"/>
      <c r="AL1112" s="10"/>
      <c r="AM1112" s="11"/>
      <c r="AN1112" s="10"/>
      <c r="AO1112" s="11"/>
      <c r="AP1112" s="10"/>
      <c r="AQ1112" s="10"/>
      <c r="AR1112" s="10"/>
      <c r="AS1112" s="9"/>
      <c r="AT1112" s="9"/>
      <c r="AU1112" s="9"/>
      <c r="AV1112" s="9"/>
      <c r="AW1112" s="9"/>
      <c r="AX1112" s="9"/>
      <c r="AY1112" s="8"/>
      <c r="AZ1112" s="8"/>
      <c r="BA1112" s="8"/>
      <c r="BB1112" s="8"/>
      <c r="BC1112" s="8"/>
      <c r="BD1112" s="8"/>
      <c r="BE1112" s="8"/>
      <c r="BF1112" s="8"/>
    </row>
    <row r="1113" spans="26:58" ht="16.899999999999999">
      <c r="Z1113" s="244"/>
      <c r="AC1113" s="10"/>
      <c r="AD1113" s="10"/>
      <c r="AF1113" s="10"/>
      <c r="AG1113" s="10"/>
      <c r="AH1113" s="10"/>
      <c r="AI1113" s="9"/>
      <c r="AJ1113" s="9"/>
      <c r="AK1113" s="11"/>
      <c r="AL1113" s="10"/>
      <c r="AM1113" s="11"/>
      <c r="AN1113" s="10"/>
      <c r="AO1113" s="11"/>
      <c r="AP1113" s="10"/>
      <c r="AQ1113" s="10"/>
      <c r="AR1113" s="10"/>
      <c r="AS1113" s="9"/>
      <c r="AT1113" s="9"/>
      <c r="AU1113" s="9"/>
      <c r="AV1113" s="9"/>
      <c r="AW1113" s="9"/>
      <c r="AX1113" s="9"/>
      <c r="AY1113" s="8"/>
      <c r="AZ1113" s="8"/>
      <c r="BA1113" s="8"/>
      <c r="BB1113" s="8"/>
      <c r="BC1113" s="8"/>
      <c r="BD1113" s="8"/>
      <c r="BE1113" s="8"/>
      <c r="BF1113" s="8"/>
    </row>
    <row r="1114" spans="26:58" ht="16.899999999999999">
      <c r="Z1114" s="244"/>
      <c r="AC1114" s="10"/>
      <c r="AD1114" s="10"/>
      <c r="AF1114" s="10"/>
      <c r="AG1114" s="10"/>
      <c r="AH1114" s="10"/>
      <c r="AI1114" s="9"/>
      <c r="AJ1114" s="9"/>
      <c r="AK1114" s="11"/>
      <c r="AL1114" s="10"/>
      <c r="AM1114" s="11"/>
      <c r="AN1114" s="10"/>
      <c r="AO1114" s="11"/>
      <c r="AP1114" s="10"/>
      <c r="AQ1114" s="10"/>
      <c r="AR1114" s="10"/>
      <c r="AS1114" s="9"/>
      <c r="AT1114" s="9"/>
      <c r="AU1114" s="9"/>
      <c r="AV1114" s="9"/>
      <c r="AW1114" s="9"/>
      <c r="AX1114" s="9"/>
      <c r="AY1114" s="8"/>
      <c r="AZ1114" s="8"/>
      <c r="BA1114" s="8"/>
      <c r="BB1114" s="8"/>
      <c r="BC1114" s="8"/>
      <c r="BD1114" s="8"/>
      <c r="BE1114" s="8"/>
      <c r="BF1114" s="8"/>
    </row>
    <row r="1115" spans="26:58" ht="16.899999999999999">
      <c r="Z1115" s="244"/>
      <c r="AC1115" s="10"/>
      <c r="AD1115" s="10"/>
      <c r="AF1115" s="10"/>
      <c r="AG1115" s="10"/>
      <c r="AH1115" s="10"/>
      <c r="AI1115" s="9"/>
      <c r="AJ1115" s="9"/>
      <c r="AK1115" s="11"/>
      <c r="AL1115" s="10"/>
      <c r="AM1115" s="11"/>
      <c r="AN1115" s="10"/>
      <c r="AO1115" s="11"/>
      <c r="AP1115" s="10"/>
      <c r="AQ1115" s="10"/>
      <c r="AR1115" s="10"/>
      <c r="AS1115" s="9"/>
      <c r="AT1115" s="9"/>
      <c r="AU1115" s="9"/>
      <c r="AV1115" s="9"/>
      <c r="AW1115" s="9"/>
      <c r="AX1115" s="9"/>
      <c r="AY1115" s="8"/>
      <c r="AZ1115" s="8"/>
      <c r="BA1115" s="8"/>
      <c r="BB1115" s="8"/>
      <c r="BC1115" s="8"/>
      <c r="BD1115" s="8"/>
      <c r="BE1115" s="8"/>
      <c r="BF1115" s="8"/>
    </row>
    <row r="1116" spans="26:58" ht="16.899999999999999">
      <c r="Z1116" s="244"/>
      <c r="AC1116" s="10"/>
      <c r="AD1116" s="10"/>
      <c r="AF1116" s="10"/>
      <c r="AG1116" s="10"/>
      <c r="AH1116" s="10"/>
      <c r="AI1116" s="9"/>
      <c r="AJ1116" s="9"/>
      <c r="AK1116" s="11"/>
      <c r="AL1116" s="10"/>
      <c r="AM1116" s="11"/>
      <c r="AN1116" s="10"/>
      <c r="AO1116" s="11"/>
      <c r="AP1116" s="10"/>
      <c r="AQ1116" s="10"/>
      <c r="AR1116" s="10"/>
      <c r="AS1116" s="9"/>
      <c r="AT1116" s="9"/>
      <c r="AU1116" s="9"/>
      <c r="AV1116" s="9"/>
      <c r="AW1116" s="9"/>
      <c r="AX1116" s="9"/>
      <c r="AY1116" s="8"/>
      <c r="AZ1116" s="8"/>
      <c r="BA1116" s="8"/>
      <c r="BB1116" s="8"/>
      <c r="BC1116" s="8"/>
      <c r="BD1116" s="8"/>
      <c r="BE1116" s="8"/>
      <c r="BF1116" s="8"/>
    </row>
    <row r="1117" spans="26:58" ht="16.899999999999999">
      <c r="Z1117" s="244"/>
      <c r="AC1117" s="10"/>
      <c r="AD1117" s="10"/>
      <c r="AF1117" s="10"/>
      <c r="AG1117" s="10"/>
      <c r="AH1117" s="10"/>
      <c r="AI1117" s="9"/>
      <c r="AJ1117" s="9"/>
      <c r="AK1117" s="11"/>
      <c r="AL1117" s="10"/>
      <c r="AM1117" s="11"/>
      <c r="AN1117" s="10"/>
      <c r="AO1117" s="11"/>
      <c r="AP1117" s="10"/>
      <c r="AQ1117" s="10"/>
      <c r="AR1117" s="10"/>
      <c r="AS1117" s="9"/>
      <c r="AT1117" s="9"/>
      <c r="AU1117" s="9"/>
      <c r="AV1117" s="9"/>
      <c r="AW1117" s="9"/>
      <c r="AX1117" s="9"/>
      <c r="AY1117" s="8"/>
      <c r="AZ1117" s="8"/>
      <c r="BA1117" s="8"/>
      <c r="BB1117" s="8"/>
      <c r="BC1117" s="8"/>
      <c r="BD1117" s="8"/>
      <c r="BE1117" s="8"/>
      <c r="BF1117" s="8"/>
    </row>
    <row r="1118" spans="26:58" ht="16.899999999999999">
      <c r="Z1118" s="244"/>
      <c r="AC1118" s="10"/>
      <c r="AD1118" s="10"/>
      <c r="AF1118" s="10"/>
      <c r="AG1118" s="10"/>
      <c r="AH1118" s="10"/>
      <c r="AI1118" s="9"/>
      <c r="AJ1118" s="9"/>
      <c r="AK1118" s="11"/>
      <c r="AL1118" s="10"/>
      <c r="AM1118" s="11"/>
      <c r="AN1118" s="10"/>
      <c r="AO1118" s="11"/>
      <c r="AP1118" s="10"/>
      <c r="AQ1118" s="10"/>
      <c r="AR1118" s="10"/>
      <c r="AS1118" s="9"/>
      <c r="AT1118" s="9"/>
      <c r="AU1118" s="9"/>
      <c r="AV1118" s="9"/>
      <c r="AW1118" s="9"/>
      <c r="AX1118" s="9"/>
      <c r="AY1118" s="8"/>
      <c r="AZ1118" s="8"/>
      <c r="BA1118" s="8"/>
      <c r="BB1118" s="8"/>
      <c r="BC1118" s="8"/>
      <c r="BD1118" s="8"/>
      <c r="BE1118" s="8"/>
      <c r="BF1118" s="8"/>
    </row>
    <row r="1119" spans="26:58" ht="16.899999999999999">
      <c r="Z1119" s="244"/>
      <c r="AC1119" s="10"/>
      <c r="AD1119" s="10"/>
      <c r="AF1119" s="10"/>
      <c r="AG1119" s="10"/>
      <c r="AH1119" s="10"/>
      <c r="AI1119" s="9"/>
      <c r="AJ1119" s="9"/>
      <c r="AK1119" s="11"/>
      <c r="AL1119" s="10"/>
      <c r="AM1119" s="11"/>
      <c r="AN1119" s="10"/>
      <c r="AO1119" s="11"/>
      <c r="AP1119" s="10"/>
      <c r="AQ1119" s="10"/>
      <c r="AR1119" s="10"/>
      <c r="AS1119" s="9"/>
      <c r="AT1119" s="9"/>
      <c r="AU1119" s="9"/>
      <c r="AV1119" s="9"/>
      <c r="AW1119" s="9"/>
      <c r="AX1119" s="9"/>
      <c r="AY1119" s="8"/>
      <c r="AZ1119" s="8"/>
      <c r="BA1119" s="8"/>
      <c r="BB1119" s="8"/>
      <c r="BC1119" s="8"/>
      <c r="BD1119" s="8"/>
      <c r="BE1119" s="8"/>
      <c r="BF1119" s="8"/>
    </row>
    <row r="1120" spans="26:58" ht="16.899999999999999">
      <c r="Z1120" s="244"/>
      <c r="AC1120" s="10"/>
      <c r="AD1120" s="10"/>
      <c r="AF1120" s="10"/>
      <c r="AG1120" s="10"/>
      <c r="AH1120" s="10"/>
      <c r="AI1120" s="9"/>
      <c r="AJ1120" s="9"/>
      <c r="AK1120" s="11"/>
      <c r="AL1120" s="10"/>
      <c r="AM1120" s="11"/>
      <c r="AN1120" s="10"/>
      <c r="AO1120" s="11"/>
      <c r="AP1120" s="10"/>
      <c r="AQ1120" s="10"/>
      <c r="AR1120" s="10"/>
      <c r="AS1120" s="9"/>
      <c r="AT1120" s="9"/>
      <c r="AU1120" s="9"/>
      <c r="AV1120" s="9"/>
      <c r="AW1120" s="9"/>
      <c r="AX1120" s="9"/>
      <c r="AY1120" s="8"/>
      <c r="AZ1120" s="8"/>
      <c r="BA1120" s="8"/>
      <c r="BB1120" s="8"/>
      <c r="BC1120" s="8"/>
      <c r="BD1120" s="8"/>
      <c r="BE1120" s="8"/>
      <c r="BF1120" s="8"/>
    </row>
    <row r="1121" spans="26:58" ht="16.899999999999999">
      <c r="Z1121" s="244"/>
      <c r="AC1121" s="10"/>
      <c r="AD1121" s="10"/>
      <c r="AF1121" s="10"/>
      <c r="AG1121" s="10"/>
      <c r="AH1121" s="10"/>
      <c r="AI1121" s="9"/>
      <c r="AJ1121" s="9"/>
      <c r="AK1121" s="11"/>
      <c r="AL1121" s="10"/>
      <c r="AM1121" s="11"/>
      <c r="AN1121" s="10"/>
      <c r="AO1121" s="11"/>
      <c r="AP1121" s="10"/>
      <c r="AQ1121" s="10"/>
      <c r="AR1121" s="10"/>
      <c r="AS1121" s="9"/>
      <c r="AT1121" s="9"/>
      <c r="AU1121" s="9"/>
      <c r="AV1121" s="9"/>
      <c r="AW1121" s="9"/>
      <c r="AX1121" s="9"/>
      <c r="AY1121" s="8"/>
      <c r="AZ1121" s="8"/>
      <c r="BA1121" s="8"/>
      <c r="BB1121" s="8"/>
      <c r="BC1121" s="8"/>
      <c r="BD1121" s="8"/>
      <c r="BE1121" s="8"/>
      <c r="BF1121" s="8"/>
    </row>
    <row r="1122" spans="26:58" ht="16.899999999999999">
      <c r="Z1122" s="244"/>
      <c r="AC1122" s="10"/>
      <c r="AD1122" s="10"/>
      <c r="AF1122" s="10"/>
      <c r="AG1122" s="10"/>
      <c r="AH1122" s="10"/>
      <c r="AI1122" s="9"/>
      <c r="AJ1122" s="9"/>
      <c r="AK1122" s="11"/>
      <c r="AL1122" s="10"/>
      <c r="AM1122" s="11"/>
      <c r="AN1122" s="10"/>
      <c r="AO1122" s="11"/>
      <c r="AP1122" s="10"/>
      <c r="AQ1122" s="10"/>
      <c r="AR1122" s="10"/>
      <c r="AS1122" s="9"/>
      <c r="AT1122" s="9"/>
      <c r="AU1122" s="9"/>
      <c r="AV1122" s="9"/>
      <c r="AW1122" s="9"/>
      <c r="AX1122" s="9"/>
      <c r="AY1122" s="8"/>
      <c r="AZ1122" s="8"/>
      <c r="BA1122" s="8"/>
      <c r="BB1122" s="8"/>
      <c r="BC1122" s="8"/>
      <c r="BD1122" s="8"/>
      <c r="BE1122" s="8"/>
      <c r="BF1122" s="8"/>
    </row>
    <row r="1123" spans="26:58" ht="16.899999999999999">
      <c r="Z1123" s="244"/>
      <c r="AC1123" s="10"/>
      <c r="AD1123" s="10"/>
      <c r="AF1123" s="10"/>
      <c r="AG1123" s="10"/>
      <c r="AH1123" s="10"/>
      <c r="AI1123" s="9"/>
      <c r="AJ1123" s="9"/>
      <c r="AK1123" s="11"/>
      <c r="AL1123" s="10"/>
      <c r="AM1123" s="11"/>
      <c r="AN1123" s="10"/>
      <c r="AO1123" s="11"/>
      <c r="AP1123" s="10"/>
      <c r="AQ1123" s="10"/>
      <c r="AR1123" s="10"/>
      <c r="AS1123" s="9"/>
      <c r="AT1123" s="9"/>
      <c r="AU1123" s="9"/>
      <c r="AV1123" s="9"/>
      <c r="AW1123" s="9"/>
      <c r="AX1123" s="9"/>
      <c r="AY1123" s="8"/>
      <c r="AZ1123" s="8"/>
      <c r="BA1123" s="8"/>
      <c r="BB1123" s="8"/>
      <c r="BC1123" s="8"/>
      <c r="BD1123" s="8"/>
      <c r="BE1123" s="8"/>
      <c r="BF1123" s="8"/>
    </row>
    <row r="1124" spans="26:58" ht="16.899999999999999">
      <c r="Z1124" s="244"/>
      <c r="AC1124" s="10"/>
      <c r="AD1124" s="10"/>
      <c r="AF1124" s="10"/>
      <c r="AG1124" s="10"/>
      <c r="AH1124" s="10"/>
      <c r="AI1124" s="9"/>
      <c r="AJ1124" s="9"/>
      <c r="AK1124" s="11"/>
      <c r="AL1124" s="10"/>
      <c r="AM1124" s="11"/>
      <c r="AN1124" s="10"/>
      <c r="AO1124" s="11"/>
      <c r="AP1124" s="10"/>
      <c r="AQ1124" s="10"/>
      <c r="AR1124" s="10"/>
      <c r="AS1124" s="9"/>
      <c r="AT1124" s="9"/>
      <c r="AU1124" s="9"/>
      <c r="AV1124" s="9"/>
      <c r="AW1124" s="9"/>
      <c r="AX1124" s="9"/>
      <c r="AY1124" s="8"/>
      <c r="AZ1124" s="8"/>
      <c r="BA1124" s="8"/>
      <c r="BB1124" s="8"/>
      <c r="BC1124" s="8"/>
      <c r="BD1124" s="8"/>
      <c r="BE1124" s="8"/>
      <c r="BF1124" s="8"/>
    </row>
    <row r="1125" spans="26:58" ht="16.899999999999999">
      <c r="Z1125" s="244"/>
      <c r="AC1125" s="10"/>
      <c r="AD1125" s="10"/>
      <c r="AF1125" s="10"/>
      <c r="AG1125" s="10"/>
      <c r="AH1125" s="10"/>
      <c r="AI1125" s="9"/>
      <c r="AJ1125" s="9"/>
      <c r="AK1125" s="11"/>
      <c r="AL1125" s="10"/>
      <c r="AM1125" s="11"/>
      <c r="AN1125" s="10"/>
      <c r="AO1125" s="11"/>
      <c r="AP1125" s="10"/>
      <c r="AQ1125" s="10"/>
      <c r="AR1125" s="10"/>
      <c r="AS1125" s="9"/>
      <c r="AT1125" s="9"/>
      <c r="AU1125" s="9"/>
      <c r="AV1125" s="9"/>
      <c r="AW1125" s="9"/>
      <c r="AX1125" s="9"/>
      <c r="AY1125" s="8"/>
      <c r="AZ1125" s="8"/>
      <c r="BA1125" s="8"/>
      <c r="BB1125" s="8"/>
      <c r="BC1125" s="8"/>
      <c r="BD1125" s="8"/>
      <c r="BE1125" s="8"/>
      <c r="BF1125" s="8"/>
    </row>
    <row r="1126" spans="26:58" ht="16.899999999999999">
      <c r="Z1126" s="244"/>
      <c r="AC1126" s="10"/>
      <c r="AD1126" s="10"/>
      <c r="AF1126" s="10"/>
      <c r="AG1126" s="10"/>
      <c r="AH1126" s="10"/>
      <c r="AI1126" s="9"/>
      <c r="AJ1126" s="9"/>
      <c r="AK1126" s="11"/>
      <c r="AL1126" s="10"/>
      <c r="AM1126" s="11"/>
      <c r="AN1126" s="10"/>
      <c r="AO1126" s="11"/>
      <c r="AP1126" s="10"/>
      <c r="AQ1126" s="10"/>
      <c r="AR1126" s="10"/>
      <c r="AS1126" s="9"/>
      <c r="AT1126" s="9"/>
      <c r="AU1126" s="9"/>
      <c r="AV1126" s="9"/>
      <c r="AW1126" s="9"/>
      <c r="AX1126" s="9"/>
      <c r="AY1126" s="8"/>
      <c r="AZ1126" s="8"/>
      <c r="BA1126" s="8"/>
      <c r="BB1126" s="8"/>
      <c r="BC1126" s="8"/>
      <c r="BD1126" s="8"/>
      <c r="BE1126" s="8"/>
      <c r="BF1126" s="8"/>
    </row>
    <row r="1127" spans="26:58" ht="16.899999999999999">
      <c r="Z1127" s="244"/>
      <c r="AC1127" s="10"/>
      <c r="AD1127" s="10"/>
      <c r="AF1127" s="10"/>
      <c r="AG1127" s="10"/>
      <c r="AH1127" s="10"/>
      <c r="AI1127" s="9"/>
      <c r="AJ1127" s="9"/>
      <c r="AK1127" s="11"/>
      <c r="AL1127" s="10"/>
      <c r="AM1127" s="11"/>
      <c r="AN1127" s="10"/>
      <c r="AO1127" s="11"/>
      <c r="AP1127" s="10"/>
      <c r="AQ1127" s="10"/>
      <c r="AR1127" s="10"/>
      <c r="AS1127" s="9"/>
      <c r="AT1127" s="9"/>
      <c r="AU1127" s="9"/>
      <c r="AV1127" s="9"/>
      <c r="AW1127" s="9"/>
      <c r="AX1127" s="9"/>
      <c r="AY1127" s="8"/>
      <c r="AZ1127" s="8"/>
      <c r="BA1127" s="8"/>
      <c r="BB1127" s="8"/>
      <c r="BC1127" s="8"/>
      <c r="BD1127" s="8"/>
      <c r="BE1127" s="8"/>
      <c r="BF1127" s="8"/>
    </row>
    <row r="1128" spans="26:58" ht="16.899999999999999">
      <c r="Z1128" s="244"/>
      <c r="AC1128" s="10"/>
      <c r="AD1128" s="10"/>
      <c r="AF1128" s="10"/>
      <c r="AG1128" s="10"/>
      <c r="AH1128" s="10"/>
      <c r="AI1128" s="9"/>
      <c r="AJ1128" s="9"/>
      <c r="AK1128" s="11"/>
      <c r="AL1128" s="10"/>
      <c r="AM1128" s="11"/>
      <c r="AN1128" s="10"/>
      <c r="AO1128" s="11"/>
      <c r="AP1128" s="10"/>
      <c r="AQ1128" s="10"/>
      <c r="AR1128" s="10"/>
      <c r="AS1128" s="9"/>
      <c r="AT1128" s="9"/>
      <c r="AU1128" s="9"/>
      <c r="AV1128" s="9"/>
      <c r="AW1128" s="9"/>
      <c r="AX1128" s="9"/>
      <c r="AY1128" s="8"/>
      <c r="AZ1128" s="8"/>
      <c r="BA1128" s="8"/>
      <c r="BB1128" s="8"/>
      <c r="BC1128" s="8"/>
      <c r="BD1128" s="8"/>
      <c r="BE1128" s="8"/>
      <c r="BF1128" s="8"/>
    </row>
    <row r="1129" spans="26:58" ht="16.899999999999999">
      <c r="Z1129" s="244"/>
      <c r="AC1129" s="10"/>
      <c r="AD1129" s="10"/>
      <c r="AF1129" s="10"/>
      <c r="AG1129" s="10"/>
      <c r="AH1129" s="10"/>
      <c r="AI1129" s="9"/>
      <c r="AJ1129" s="9"/>
      <c r="AK1129" s="11"/>
      <c r="AL1129" s="10"/>
      <c r="AM1129" s="11"/>
      <c r="AN1129" s="10"/>
      <c r="AO1129" s="11"/>
      <c r="AP1129" s="10"/>
      <c r="AQ1129" s="10"/>
      <c r="AR1129" s="10"/>
      <c r="AS1129" s="9"/>
      <c r="AT1129" s="9"/>
      <c r="AU1129" s="9"/>
      <c r="AV1129" s="9"/>
      <c r="AW1129" s="9"/>
      <c r="AX1129" s="9"/>
      <c r="AY1129" s="8"/>
      <c r="AZ1129" s="8"/>
      <c r="BA1129" s="8"/>
      <c r="BB1129" s="8"/>
      <c r="BC1129" s="8"/>
      <c r="BD1129" s="8"/>
      <c r="BE1129" s="8"/>
      <c r="BF1129" s="8"/>
    </row>
    <row r="1130" spans="26:58" ht="16.899999999999999">
      <c r="Z1130" s="244"/>
      <c r="AC1130" s="10"/>
      <c r="AD1130" s="10"/>
      <c r="AF1130" s="10"/>
      <c r="AG1130" s="10"/>
      <c r="AH1130" s="10"/>
      <c r="AI1130" s="9"/>
      <c r="AJ1130" s="9"/>
      <c r="AK1130" s="11"/>
      <c r="AL1130" s="10"/>
      <c r="AM1130" s="11"/>
      <c r="AN1130" s="10"/>
      <c r="AO1130" s="11"/>
      <c r="AP1130" s="10"/>
      <c r="AQ1130" s="10"/>
      <c r="AR1130" s="10"/>
      <c r="AS1130" s="9"/>
      <c r="AT1130" s="9"/>
      <c r="AU1130" s="9"/>
      <c r="AV1130" s="9"/>
      <c r="AW1130" s="9"/>
      <c r="AX1130" s="9"/>
      <c r="AY1130" s="8"/>
      <c r="AZ1130" s="8"/>
      <c r="BA1130" s="8"/>
      <c r="BB1130" s="8"/>
      <c r="BC1130" s="8"/>
      <c r="BD1130" s="8"/>
      <c r="BE1130" s="8"/>
      <c r="BF1130" s="8"/>
    </row>
    <row r="1131" spans="26:58" ht="16.899999999999999">
      <c r="Z1131" s="244"/>
      <c r="AC1131" s="10"/>
      <c r="AD1131" s="10"/>
      <c r="AF1131" s="10"/>
      <c r="AG1131" s="10"/>
      <c r="AH1131" s="10"/>
      <c r="AI1131" s="9"/>
      <c r="AJ1131" s="9"/>
      <c r="AK1131" s="11"/>
      <c r="AL1131" s="10"/>
      <c r="AM1131" s="11"/>
      <c r="AN1131" s="10"/>
      <c r="AO1131" s="11"/>
      <c r="AP1131" s="10"/>
      <c r="AQ1131" s="10"/>
      <c r="AR1131" s="10"/>
      <c r="AS1131" s="9"/>
      <c r="AT1131" s="9"/>
      <c r="AU1131" s="9"/>
      <c r="AV1131" s="9"/>
      <c r="AW1131" s="9"/>
      <c r="AX1131" s="9"/>
      <c r="AY1131" s="8"/>
      <c r="AZ1131" s="8"/>
      <c r="BA1131" s="8"/>
      <c r="BB1131" s="8"/>
      <c r="BC1131" s="8"/>
      <c r="BD1131" s="8"/>
      <c r="BE1131" s="8"/>
      <c r="BF1131" s="8"/>
    </row>
    <row r="1132" spans="26:58" ht="16.899999999999999">
      <c r="Z1132" s="244"/>
      <c r="AC1132" s="10"/>
      <c r="AD1132" s="10"/>
      <c r="AF1132" s="10"/>
      <c r="AG1132" s="10"/>
      <c r="AH1132" s="10"/>
      <c r="AI1132" s="9"/>
      <c r="AJ1132" s="9"/>
      <c r="AK1132" s="11"/>
      <c r="AL1132" s="10"/>
      <c r="AM1132" s="11"/>
      <c r="AN1132" s="10"/>
      <c r="AO1132" s="11"/>
      <c r="AP1132" s="10"/>
      <c r="AQ1132" s="10"/>
      <c r="AR1132" s="10"/>
      <c r="AS1132" s="9"/>
      <c r="AT1132" s="9"/>
      <c r="AU1132" s="9"/>
      <c r="AV1132" s="9"/>
      <c r="AW1132" s="9"/>
      <c r="AX1132" s="9"/>
      <c r="AY1132" s="8"/>
      <c r="AZ1132" s="8"/>
      <c r="BA1132" s="8"/>
      <c r="BB1132" s="8"/>
      <c r="BC1132" s="8"/>
      <c r="BD1132" s="8"/>
      <c r="BE1132" s="8"/>
      <c r="BF1132" s="8"/>
    </row>
    <row r="1133" spans="26:58" ht="16.899999999999999">
      <c r="Z1133" s="244"/>
      <c r="AC1133" s="10"/>
      <c r="AD1133" s="10"/>
      <c r="AF1133" s="10"/>
      <c r="AG1133" s="10"/>
      <c r="AH1133" s="10"/>
      <c r="AI1133" s="9"/>
      <c r="AJ1133" s="9"/>
      <c r="AK1133" s="11"/>
      <c r="AL1133" s="10"/>
      <c r="AM1133" s="11"/>
      <c r="AN1133" s="10"/>
      <c r="AO1133" s="11"/>
      <c r="AP1133" s="10"/>
      <c r="AQ1133" s="10"/>
      <c r="AR1133" s="10"/>
      <c r="AS1133" s="9"/>
      <c r="AT1133" s="9"/>
      <c r="AU1133" s="9"/>
      <c r="AV1133" s="9"/>
      <c r="AW1133" s="9"/>
      <c r="AX1133" s="9"/>
      <c r="AY1133" s="8"/>
      <c r="AZ1133" s="8"/>
      <c r="BA1133" s="8"/>
      <c r="BB1133" s="8"/>
      <c r="BC1133" s="8"/>
      <c r="BD1133" s="8"/>
      <c r="BE1133" s="8"/>
      <c r="BF1133" s="8"/>
    </row>
    <row r="1134" spans="26:58" ht="16.899999999999999">
      <c r="Z1134" s="244"/>
      <c r="AC1134" s="10"/>
      <c r="AD1134" s="10"/>
      <c r="AF1134" s="10"/>
      <c r="AG1134" s="10"/>
      <c r="AH1134" s="10"/>
      <c r="AI1134" s="9"/>
      <c r="AJ1134" s="9"/>
      <c r="AK1134" s="11"/>
      <c r="AL1134" s="10"/>
      <c r="AM1134" s="11"/>
      <c r="AN1134" s="10"/>
      <c r="AO1134" s="11"/>
      <c r="AP1134" s="10"/>
      <c r="AQ1134" s="10"/>
      <c r="AR1134" s="10"/>
      <c r="AS1134" s="9"/>
      <c r="AT1134" s="9"/>
      <c r="AU1134" s="9"/>
      <c r="AV1134" s="9"/>
      <c r="AW1134" s="9"/>
      <c r="AX1134" s="9"/>
      <c r="AY1134" s="8"/>
      <c r="AZ1134" s="8"/>
      <c r="BA1134" s="8"/>
      <c r="BB1134" s="8"/>
      <c r="BC1134" s="8"/>
      <c r="BD1134" s="8"/>
      <c r="BE1134" s="8"/>
      <c r="BF1134" s="8"/>
    </row>
    <row r="1135" spans="26:58" ht="16.899999999999999">
      <c r="Z1135" s="244"/>
      <c r="AC1135" s="10"/>
      <c r="AD1135" s="10"/>
      <c r="AF1135" s="10"/>
      <c r="AG1135" s="10"/>
      <c r="AH1135" s="10"/>
      <c r="AI1135" s="9"/>
      <c r="AJ1135" s="9"/>
      <c r="AK1135" s="11"/>
      <c r="AL1135" s="10"/>
      <c r="AM1135" s="11"/>
      <c r="AN1135" s="10"/>
      <c r="AO1135" s="11"/>
      <c r="AP1135" s="10"/>
      <c r="AQ1135" s="10"/>
      <c r="AR1135" s="10"/>
      <c r="AS1135" s="9"/>
      <c r="AT1135" s="9"/>
      <c r="AU1135" s="9"/>
      <c r="AV1135" s="9"/>
      <c r="AW1135" s="9"/>
      <c r="AX1135" s="9"/>
      <c r="AY1135" s="8"/>
      <c r="AZ1135" s="8"/>
      <c r="BA1135" s="8"/>
      <c r="BB1135" s="8"/>
      <c r="BC1135" s="8"/>
      <c r="BD1135" s="8"/>
      <c r="BE1135" s="8"/>
      <c r="BF1135" s="8"/>
    </row>
    <row r="1136" spans="26:58" ht="16.899999999999999">
      <c r="Z1136" s="244"/>
      <c r="AC1136" s="10"/>
      <c r="AD1136" s="10"/>
      <c r="AF1136" s="10"/>
      <c r="AG1136" s="10"/>
      <c r="AH1136" s="10"/>
      <c r="AI1136" s="9"/>
      <c r="AJ1136" s="9"/>
      <c r="AK1136" s="11"/>
      <c r="AL1136" s="10"/>
      <c r="AM1136" s="11"/>
      <c r="AN1136" s="10"/>
      <c r="AO1136" s="11"/>
      <c r="AP1136" s="10"/>
      <c r="AQ1136" s="10"/>
      <c r="AR1136" s="10"/>
      <c r="AS1136" s="9"/>
      <c r="AT1136" s="9"/>
      <c r="AU1136" s="9"/>
      <c r="AV1136" s="9"/>
      <c r="AW1136" s="9"/>
      <c r="AX1136" s="9"/>
      <c r="AY1136" s="8"/>
      <c r="AZ1136" s="8"/>
      <c r="BA1136" s="8"/>
      <c r="BB1136" s="8"/>
      <c r="BC1136" s="8"/>
      <c r="BD1136" s="8"/>
      <c r="BE1136" s="8"/>
      <c r="BF1136" s="8"/>
    </row>
    <row r="1137" spans="26:58" ht="16.899999999999999">
      <c r="Z1137" s="244"/>
      <c r="AC1137" s="10"/>
      <c r="AD1137" s="10"/>
      <c r="AF1137" s="10"/>
      <c r="AG1137" s="10"/>
      <c r="AH1137" s="10"/>
      <c r="AI1137" s="9"/>
      <c r="AJ1137" s="9"/>
      <c r="AK1137" s="11"/>
      <c r="AL1137" s="10"/>
      <c r="AM1137" s="11"/>
      <c r="AN1137" s="10"/>
      <c r="AO1137" s="11"/>
      <c r="AP1137" s="10"/>
      <c r="AQ1137" s="10"/>
      <c r="AR1137" s="10"/>
      <c r="AS1137" s="9"/>
      <c r="AT1137" s="9"/>
      <c r="AU1137" s="9"/>
      <c r="AV1137" s="9"/>
      <c r="AW1137" s="9"/>
      <c r="AX1137" s="9"/>
      <c r="AY1137" s="8"/>
      <c r="AZ1137" s="8"/>
      <c r="BA1137" s="8"/>
      <c r="BB1137" s="8"/>
      <c r="BC1137" s="8"/>
      <c r="BD1137" s="8"/>
      <c r="BE1137" s="8"/>
      <c r="BF1137" s="8"/>
    </row>
    <row r="1138" spans="26:58" ht="16.899999999999999">
      <c r="Z1138" s="244"/>
      <c r="AC1138" s="10"/>
      <c r="AD1138" s="10"/>
      <c r="AF1138" s="10"/>
      <c r="AG1138" s="10"/>
      <c r="AH1138" s="10"/>
      <c r="AI1138" s="9"/>
      <c r="AJ1138" s="9"/>
      <c r="AK1138" s="11"/>
      <c r="AL1138" s="10"/>
      <c r="AM1138" s="11"/>
      <c r="AN1138" s="10"/>
      <c r="AO1138" s="11"/>
      <c r="AP1138" s="10"/>
      <c r="AQ1138" s="10"/>
      <c r="AR1138" s="10"/>
      <c r="AS1138" s="9"/>
      <c r="AT1138" s="9"/>
      <c r="AU1138" s="9"/>
      <c r="AV1138" s="9"/>
      <c r="AW1138" s="9"/>
      <c r="AX1138" s="9"/>
      <c r="AY1138" s="8"/>
      <c r="AZ1138" s="8"/>
      <c r="BA1138" s="8"/>
      <c r="BB1138" s="8"/>
      <c r="BC1138" s="8"/>
      <c r="BD1138" s="8"/>
      <c r="BE1138" s="8"/>
      <c r="BF1138" s="8"/>
    </row>
    <row r="1139" spans="26:58" ht="16.899999999999999">
      <c r="Z1139" s="244"/>
      <c r="AC1139" s="10"/>
      <c r="AD1139" s="10"/>
      <c r="AF1139" s="10"/>
      <c r="AG1139" s="10"/>
      <c r="AH1139" s="10"/>
      <c r="AI1139" s="9"/>
      <c r="AJ1139" s="9"/>
      <c r="AK1139" s="11"/>
      <c r="AL1139" s="10"/>
      <c r="AM1139" s="11"/>
      <c r="AN1139" s="10"/>
      <c r="AO1139" s="11"/>
      <c r="AP1139" s="10"/>
      <c r="AQ1139" s="10"/>
      <c r="AR1139" s="10"/>
      <c r="AS1139" s="9"/>
      <c r="AT1139" s="9"/>
      <c r="AU1139" s="9"/>
      <c r="AV1139" s="9"/>
      <c r="AW1139" s="9"/>
      <c r="AX1139" s="9"/>
      <c r="AY1139" s="8"/>
      <c r="AZ1139" s="8"/>
      <c r="BA1139" s="8"/>
      <c r="BB1139" s="8"/>
      <c r="BC1139" s="8"/>
      <c r="BD1139" s="8"/>
      <c r="BE1139" s="8"/>
      <c r="BF1139" s="8"/>
    </row>
    <row r="1140" spans="26:58" ht="16.899999999999999">
      <c r="Z1140" s="244"/>
      <c r="AC1140" s="10"/>
      <c r="AD1140" s="10"/>
      <c r="AF1140" s="10"/>
      <c r="AG1140" s="10"/>
      <c r="AH1140" s="10"/>
      <c r="AI1140" s="9"/>
      <c r="AJ1140" s="9"/>
      <c r="AK1140" s="11"/>
      <c r="AL1140" s="10"/>
      <c r="AM1140" s="11"/>
      <c r="AN1140" s="10"/>
      <c r="AO1140" s="11"/>
      <c r="AP1140" s="10"/>
      <c r="AQ1140" s="10"/>
      <c r="AR1140" s="10"/>
      <c r="AS1140" s="9"/>
      <c r="AT1140" s="9"/>
      <c r="AU1140" s="9"/>
      <c r="AV1140" s="9"/>
      <c r="AW1140" s="9"/>
      <c r="AX1140" s="9"/>
      <c r="AY1140" s="8"/>
      <c r="AZ1140" s="8"/>
      <c r="BA1140" s="8"/>
      <c r="BB1140" s="8"/>
      <c r="BC1140" s="8"/>
      <c r="BD1140" s="8"/>
      <c r="BE1140" s="8"/>
      <c r="BF1140" s="8"/>
    </row>
    <row r="1141" spans="26:58" ht="16.899999999999999">
      <c r="Z1141" s="244"/>
      <c r="AC1141" s="10"/>
      <c r="AD1141" s="10"/>
      <c r="AF1141" s="10"/>
      <c r="AG1141" s="10"/>
      <c r="AH1141" s="10"/>
      <c r="AI1141" s="9"/>
      <c r="AJ1141" s="9"/>
      <c r="AK1141" s="11"/>
      <c r="AL1141" s="10"/>
      <c r="AM1141" s="11"/>
      <c r="AN1141" s="10"/>
      <c r="AO1141" s="11"/>
      <c r="AP1141" s="10"/>
      <c r="AQ1141" s="10"/>
      <c r="AR1141" s="10"/>
      <c r="AS1141" s="9"/>
      <c r="AT1141" s="9"/>
      <c r="AU1141" s="9"/>
      <c r="AV1141" s="9"/>
      <c r="AW1141" s="9"/>
      <c r="AX1141" s="9"/>
      <c r="AY1141" s="8"/>
      <c r="AZ1141" s="8"/>
      <c r="BA1141" s="8"/>
      <c r="BB1141" s="8"/>
      <c r="BC1141" s="8"/>
      <c r="BD1141" s="8"/>
      <c r="BE1141" s="8"/>
      <c r="BF1141" s="8"/>
    </row>
    <row r="1142" spans="26:58" ht="16.899999999999999">
      <c r="Z1142" s="244"/>
      <c r="AC1142" s="10"/>
      <c r="AD1142" s="10"/>
      <c r="AF1142" s="10"/>
      <c r="AG1142" s="10"/>
      <c r="AH1142" s="10"/>
      <c r="AI1142" s="9"/>
      <c r="AJ1142" s="9"/>
      <c r="AK1142" s="11"/>
      <c r="AL1142" s="10"/>
      <c r="AM1142" s="11"/>
      <c r="AN1142" s="10"/>
      <c r="AO1142" s="11"/>
      <c r="AP1142" s="10"/>
      <c r="AQ1142" s="10"/>
      <c r="AR1142" s="10"/>
      <c r="AS1142" s="9"/>
      <c r="AT1142" s="9"/>
      <c r="AU1142" s="9"/>
      <c r="AV1142" s="9"/>
      <c r="AW1142" s="9"/>
      <c r="AX1142" s="9"/>
      <c r="AY1142" s="8"/>
      <c r="AZ1142" s="8"/>
      <c r="BA1142" s="8"/>
      <c r="BB1142" s="8"/>
      <c r="BC1142" s="8"/>
      <c r="BD1142" s="8"/>
      <c r="BE1142" s="8"/>
      <c r="BF1142" s="8"/>
    </row>
    <row r="1143" spans="26:58" ht="16.899999999999999">
      <c r="Z1143" s="244"/>
      <c r="AC1143" s="10"/>
      <c r="AD1143" s="10"/>
      <c r="AF1143" s="10"/>
      <c r="AG1143" s="10"/>
      <c r="AH1143" s="10"/>
      <c r="AI1143" s="9"/>
      <c r="AJ1143" s="9"/>
      <c r="AK1143" s="11"/>
      <c r="AL1143" s="10"/>
      <c r="AM1143" s="11"/>
      <c r="AN1143" s="10"/>
      <c r="AO1143" s="11"/>
      <c r="AP1143" s="10"/>
      <c r="AQ1143" s="10"/>
      <c r="AR1143" s="10"/>
      <c r="AS1143" s="9"/>
      <c r="AT1143" s="9"/>
      <c r="AU1143" s="9"/>
      <c r="AV1143" s="9"/>
      <c r="AW1143" s="9"/>
      <c r="AX1143" s="9"/>
      <c r="AY1143" s="8"/>
      <c r="AZ1143" s="8"/>
      <c r="BA1143" s="8"/>
      <c r="BB1143" s="8"/>
      <c r="BC1143" s="8"/>
      <c r="BD1143" s="8"/>
      <c r="BE1143" s="8"/>
      <c r="BF1143" s="8"/>
    </row>
    <row r="1144" spans="26:58" ht="16.899999999999999">
      <c r="Z1144" s="244"/>
      <c r="AC1144" s="10"/>
      <c r="AD1144" s="10"/>
      <c r="AF1144" s="10"/>
      <c r="AG1144" s="10"/>
      <c r="AH1144" s="10"/>
      <c r="AI1144" s="9"/>
      <c r="AJ1144" s="9"/>
      <c r="AK1144" s="11"/>
      <c r="AL1144" s="10"/>
      <c r="AM1144" s="11"/>
      <c r="AN1144" s="10"/>
      <c r="AO1144" s="11"/>
      <c r="AP1144" s="10"/>
      <c r="AQ1144" s="10"/>
      <c r="AR1144" s="10"/>
      <c r="AS1144" s="9"/>
      <c r="AT1144" s="9"/>
      <c r="AU1144" s="9"/>
      <c r="AV1144" s="9"/>
      <c r="AW1144" s="9"/>
      <c r="AX1144" s="9"/>
      <c r="AY1144" s="8"/>
      <c r="AZ1144" s="8"/>
      <c r="BA1144" s="8"/>
      <c r="BB1144" s="8"/>
      <c r="BC1144" s="8"/>
      <c r="BD1144" s="8"/>
      <c r="BE1144" s="8"/>
      <c r="BF1144" s="8"/>
    </row>
    <row r="1145" spans="26:58" ht="16.899999999999999">
      <c r="Z1145" s="244"/>
      <c r="AC1145" s="10"/>
      <c r="AD1145" s="10"/>
      <c r="AF1145" s="10"/>
      <c r="AG1145" s="10"/>
      <c r="AH1145" s="10"/>
      <c r="AI1145" s="9"/>
      <c r="AJ1145" s="9"/>
      <c r="AK1145" s="11"/>
      <c r="AL1145" s="10"/>
      <c r="AM1145" s="11"/>
      <c r="AN1145" s="10"/>
      <c r="AO1145" s="11"/>
      <c r="AP1145" s="10"/>
      <c r="AQ1145" s="10"/>
      <c r="AR1145" s="10"/>
      <c r="AS1145" s="9"/>
      <c r="AT1145" s="9"/>
      <c r="AU1145" s="9"/>
      <c r="AV1145" s="9"/>
      <c r="AW1145" s="9"/>
      <c r="AX1145" s="9"/>
      <c r="AY1145" s="8"/>
      <c r="AZ1145" s="8"/>
      <c r="BA1145" s="8"/>
      <c r="BB1145" s="8"/>
      <c r="BC1145" s="8"/>
      <c r="BD1145" s="8"/>
      <c r="BE1145" s="8"/>
      <c r="BF1145" s="8"/>
    </row>
    <row r="1146" spans="26:58" ht="16.899999999999999">
      <c r="Z1146" s="244"/>
      <c r="AC1146" s="10"/>
      <c r="AD1146" s="10"/>
      <c r="AF1146" s="10"/>
      <c r="AG1146" s="10"/>
      <c r="AH1146" s="10"/>
      <c r="AI1146" s="9"/>
      <c r="AJ1146" s="9"/>
      <c r="AK1146" s="11"/>
      <c r="AL1146" s="10"/>
      <c r="AM1146" s="11"/>
      <c r="AN1146" s="10"/>
      <c r="AO1146" s="11"/>
      <c r="AP1146" s="10"/>
      <c r="AQ1146" s="10"/>
      <c r="AR1146" s="10"/>
      <c r="AS1146" s="9"/>
      <c r="AT1146" s="9"/>
      <c r="AU1146" s="9"/>
      <c r="AV1146" s="9"/>
      <c r="AW1146" s="9"/>
      <c r="AX1146" s="9"/>
      <c r="AY1146" s="8"/>
      <c r="AZ1146" s="8"/>
      <c r="BA1146" s="8"/>
      <c r="BB1146" s="8"/>
      <c r="BC1146" s="8"/>
      <c r="BD1146" s="8"/>
      <c r="BE1146" s="8"/>
      <c r="BF1146" s="8"/>
    </row>
    <row r="1147" spans="26:58" ht="16.899999999999999">
      <c r="Z1147" s="244"/>
      <c r="AC1147" s="10"/>
      <c r="AD1147" s="10"/>
      <c r="AF1147" s="10"/>
      <c r="AG1147" s="10"/>
      <c r="AH1147" s="10"/>
      <c r="AI1147" s="9"/>
      <c r="AJ1147" s="9"/>
      <c r="AK1147" s="11"/>
      <c r="AL1147" s="10"/>
      <c r="AM1147" s="11"/>
      <c r="AN1147" s="10"/>
      <c r="AO1147" s="11"/>
      <c r="AP1147" s="10"/>
      <c r="AQ1147" s="10"/>
      <c r="AR1147" s="10"/>
      <c r="AS1147" s="9"/>
      <c r="AT1147" s="9"/>
      <c r="AU1147" s="9"/>
      <c r="AV1147" s="9"/>
      <c r="AW1147" s="9"/>
      <c r="AX1147" s="9"/>
      <c r="AY1147" s="8"/>
      <c r="AZ1147" s="8"/>
      <c r="BA1147" s="8"/>
      <c r="BB1147" s="8"/>
      <c r="BC1147" s="8"/>
      <c r="BD1147" s="8"/>
      <c r="BE1147" s="8"/>
      <c r="BF1147" s="8"/>
    </row>
    <row r="1148" spans="26:58" ht="16.899999999999999">
      <c r="Z1148" s="244"/>
      <c r="AC1148" s="10"/>
      <c r="AD1148" s="10"/>
      <c r="AF1148" s="10"/>
      <c r="AG1148" s="10"/>
      <c r="AH1148" s="10"/>
      <c r="AI1148" s="9"/>
      <c r="AJ1148" s="9"/>
      <c r="AK1148" s="11"/>
      <c r="AL1148" s="10"/>
      <c r="AM1148" s="11"/>
      <c r="AN1148" s="10"/>
      <c r="AO1148" s="11"/>
      <c r="AP1148" s="10"/>
      <c r="AQ1148" s="10"/>
      <c r="AR1148" s="10"/>
      <c r="AS1148" s="9"/>
      <c r="AT1148" s="9"/>
      <c r="AU1148" s="9"/>
      <c r="AV1148" s="9"/>
      <c r="AW1148" s="9"/>
      <c r="AX1148" s="9"/>
      <c r="AY1148" s="8"/>
      <c r="AZ1148" s="8"/>
      <c r="BA1148" s="8"/>
      <c r="BB1148" s="8"/>
      <c r="BC1148" s="8"/>
      <c r="BD1148" s="8"/>
      <c r="BE1148" s="8"/>
      <c r="BF1148" s="8"/>
    </row>
    <row r="1149" spans="26:58" ht="16.899999999999999">
      <c r="Z1149" s="244"/>
      <c r="AC1149" s="10"/>
      <c r="AD1149" s="10"/>
      <c r="AF1149" s="10"/>
      <c r="AG1149" s="10"/>
      <c r="AH1149" s="10"/>
      <c r="AI1149" s="9"/>
      <c r="AJ1149" s="9"/>
      <c r="AK1149" s="11"/>
      <c r="AL1149" s="10"/>
      <c r="AM1149" s="11"/>
      <c r="AN1149" s="10"/>
      <c r="AO1149" s="11"/>
      <c r="AP1149" s="10"/>
      <c r="AQ1149" s="10"/>
      <c r="AR1149" s="10"/>
      <c r="AS1149" s="9"/>
      <c r="AT1149" s="9"/>
      <c r="AU1149" s="9"/>
      <c r="AV1149" s="9"/>
      <c r="AW1149" s="9"/>
      <c r="AX1149" s="9"/>
      <c r="AY1149" s="8"/>
      <c r="AZ1149" s="8"/>
      <c r="BA1149" s="8"/>
      <c r="BB1149" s="8"/>
      <c r="BC1149" s="8"/>
      <c r="BD1149" s="8"/>
      <c r="BE1149" s="8"/>
      <c r="BF1149" s="8"/>
    </row>
    <row r="1150" spans="26:58" ht="16.899999999999999">
      <c r="Z1150" s="244"/>
      <c r="AC1150" s="10"/>
      <c r="AD1150" s="10"/>
      <c r="AF1150" s="10"/>
      <c r="AG1150" s="10"/>
      <c r="AH1150" s="10"/>
      <c r="AI1150" s="9"/>
      <c r="AJ1150" s="9"/>
      <c r="AK1150" s="11"/>
      <c r="AL1150" s="10"/>
      <c r="AM1150" s="11"/>
      <c r="AN1150" s="10"/>
      <c r="AO1150" s="11"/>
      <c r="AP1150" s="10"/>
      <c r="AQ1150" s="10"/>
      <c r="AR1150" s="10"/>
      <c r="AS1150" s="9"/>
      <c r="AT1150" s="9"/>
      <c r="AU1150" s="9"/>
      <c r="AV1150" s="9"/>
      <c r="AW1150" s="9"/>
      <c r="AX1150" s="9"/>
      <c r="AY1150" s="8"/>
      <c r="AZ1150" s="8"/>
      <c r="BA1150" s="8"/>
      <c r="BB1150" s="8"/>
      <c r="BC1150" s="8"/>
      <c r="BD1150" s="8"/>
      <c r="BE1150" s="8"/>
      <c r="BF1150" s="8"/>
    </row>
    <row r="1151" spans="26:58" ht="16.899999999999999">
      <c r="Z1151" s="244"/>
      <c r="AC1151" s="10"/>
      <c r="AD1151" s="10"/>
      <c r="AF1151" s="10"/>
      <c r="AG1151" s="10"/>
      <c r="AH1151" s="10"/>
      <c r="AI1151" s="9"/>
      <c r="AJ1151" s="9"/>
      <c r="AK1151" s="11"/>
      <c r="AL1151" s="10"/>
      <c r="AM1151" s="11"/>
      <c r="AN1151" s="10"/>
      <c r="AO1151" s="11"/>
      <c r="AP1151" s="10"/>
      <c r="AQ1151" s="10"/>
      <c r="AR1151" s="10"/>
      <c r="AS1151" s="9"/>
      <c r="AT1151" s="9"/>
      <c r="AU1151" s="9"/>
      <c r="AV1151" s="9"/>
      <c r="AW1151" s="9"/>
      <c r="AX1151" s="9"/>
      <c r="AY1151" s="8"/>
      <c r="AZ1151" s="8"/>
      <c r="BA1151" s="8"/>
      <c r="BB1151" s="8"/>
      <c r="BC1151" s="8"/>
      <c r="BD1151" s="8"/>
      <c r="BE1151" s="8"/>
      <c r="BF1151" s="8"/>
    </row>
    <row r="1152" spans="26:58" ht="16.899999999999999">
      <c r="Z1152" s="244"/>
      <c r="AC1152" s="10"/>
      <c r="AD1152" s="10"/>
      <c r="AF1152" s="10"/>
      <c r="AG1152" s="10"/>
      <c r="AH1152" s="10"/>
      <c r="AI1152" s="9"/>
      <c r="AJ1152" s="9"/>
      <c r="AK1152" s="11"/>
      <c r="AL1152" s="10"/>
      <c r="AM1152" s="11"/>
      <c r="AN1152" s="10"/>
      <c r="AO1152" s="11"/>
      <c r="AP1152" s="10"/>
      <c r="AQ1152" s="10"/>
      <c r="AR1152" s="10"/>
      <c r="AS1152" s="9"/>
      <c r="AT1152" s="9"/>
      <c r="AU1152" s="9"/>
      <c r="AV1152" s="9"/>
      <c r="AW1152" s="9"/>
      <c r="AX1152" s="9"/>
      <c r="AY1152" s="8"/>
      <c r="AZ1152" s="8"/>
      <c r="BA1152" s="8"/>
      <c r="BB1152" s="8"/>
      <c r="BC1152" s="8"/>
      <c r="BD1152" s="8"/>
      <c r="BE1152" s="8"/>
      <c r="BF1152" s="8"/>
    </row>
    <row r="1153" spans="26:58" ht="16.899999999999999">
      <c r="Z1153" s="244"/>
      <c r="AC1153" s="10"/>
      <c r="AD1153" s="10"/>
      <c r="AF1153" s="10"/>
      <c r="AG1153" s="10"/>
      <c r="AH1153" s="10"/>
      <c r="AI1153" s="9"/>
      <c r="AJ1153" s="9"/>
      <c r="AK1153" s="11"/>
      <c r="AL1153" s="10"/>
      <c r="AM1153" s="11"/>
      <c r="AN1153" s="10"/>
      <c r="AO1153" s="11"/>
      <c r="AP1153" s="10"/>
      <c r="AQ1153" s="10"/>
      <c r="AR1153" s="10"/>
      <c r="AS1153" s="9"/>
      <c r="AT1153" s="9"/>
      <c r="AU1153" s="9"/>
      <c r="AV1153" s="9"/>
      <c r="AW1153" s="9"/>
      <c r="AX1153" s="9"/>
      <c r="AY1153" s="8"/>
      <c r="AZ1153" s="8"/>
      <c r="BA1153" s="8"/>
      <c r="BB1153" s="8"/>
      <c r="BC1153" s="8"/>
      <c r="BD1153" s="8"/>
      <c r="BE1153" s="8"/>
      <c r="BF1153" s="8"/>
    </row>
    <row r="1154" spans="26:58" ht="16.899999999999999">
      <c r="Z1154" s="244"/>
      <c r="AC1154" s="10"/>
      <c r="AD1154" s="10"/>
      <c r="AF1154" s="10"/>
      <c r="AG1154" s="10"/>
      <c r="AH1154" s="10"/>
      <c r="AI1154" s="9"/>
      <c r="AJ1154" s="9"/>
      <c r="AK1154" s="11"/>
      <c r="AL1154" s="10"/>
      <c r="AM1154" s="11"/>
      <c r="AN1154" s="10"/>
      <c r="AO1154" s="11"/>
      <c r="AP1154" s="10"/>
      <c r="AQ1154" s="10"/>
      <c r="AR1154" s="10"/>
      <c r="AS1154" s="9"/>
      <c r="AT1154" s="9"/>
      <c r="AU1154" s="9"/>
      <c r="AV1154" s="9"/>
      <c r="AW1154" s="9"/>
      <c r="AX1154" s="9"/>
      <c r="AY1154" s="8"/>
      <c r="AZ1154" s="8"/>
      <c r="BA1154" s="8"/>
      <c r="BB1154" s="8"/>
      <c r="BC1154" s="8"/>
      <c r="BD1154" s="8"/>
      <c r="BE1154" s="8"/>
      <c r="BF1154" s="8"/>
    </row>
    <row r="1155" spans="26:58" ht="16.899999999999999">
      <c r="Z1155" s="244"/>
      <c r="AC1155" s="10"/>
      <c r="AD1155" s="10"/>
      <c r="AF1155" s="10"/>
      <c r="AG1155" s="10"/>
      <c r="AH1155" s="10"/>
      <c r="AI1155" s="9"/>
      <c r="AJ1155" s="9"/>
      <c r="AK1155" s="11"/>
      <c r="AL1155" s="10"/>
      <c r="AM1155" s="11"/>
      <c r="AN1155" s="10"/>
      <c r="AO1155" s="11"/>
      <c r="AP1155" s="10"/>
      <c r="AQ1155" s="10"/>
      <c r="AR1155" s="10"/>
      <c r="AS1155" s="9"/>
      <c r="AT1155" s="9"/>
      <c r="AU1155" s="9"/>
      <c r="AV1155" s="9"/>
      <c r="AW1155" s="9"/>
      <c r="AX1155" s="9"/>
      <c r="AY1155" s="8"/>
      <c r="AZ1155" s="8"/>
      <c r="BA1155" s="8"/>
      <c r="BB1155" s="8"/>
      <c r="BC1155" s="8"/>
      <c r="BD1155" s="8"/>
      <c r="BE1155" s="8"/>
      <c r="BF1155" s="8"/>
    </row>
    <row r="1156" spans="26:58" ht="16.899999999999999">
      <c r="Z1156" s="244"/>
      <c r="AC1156" s="10"/>
      <c r="AD1156" s="10"/>
      <c r="AF1156" s="10"/>
      <c r="AG1156" s="10"/>
      <c r="AH1156" s="10"/>
      <c r="AI1156" s="9"/>
      <c r="AJ1156" s="9"/>
      <c r="AK1156" s="11"/>
      <c r="AL1156" s="10"/>
      <c r="AM1156" s="11"/>
      <c r="AN1156" s="10"/>
      <c r="AO1156" s="11"/>
      <c r="AP1156" s="10"/>
      <c r="AQ1156" s="10"/>
      <c r="AR1156" s="10"/>
      <c r="AS1156" s="9"/>
      <c r="AT1156" s="9"/>
      <c r="AU1156" s="9"/>
      <c r="AV1156" s="9"/>
      <c r="AW1156" s="9"/>
      <c r="AX1156" s="9"/>
      <c r="AY1156" s="8"/>
      <c r="AZ1156" s="8"/>
      <c r="BA1156" s="8"/>
      <c r="BB1156" s="8"/>
      <c r="BC1156" s="8"/>
      <c r="BD1156" s="8"/>
      <c r="BE1156" s="8"/>
      <c r="BF1156" s="8"/>
    </row>
    <row r="1157" spans="26:58" ht="16.899999999999999">
      <c r="Z1157" s="244"/>
      <c r="AC1157" s="10"/>
      <c r="AD1157" s="10"/>
      <c r="AF1157" s="10"/>
      <c r="AG1157" s="10"/>
      <c r="AH1157" s="10"/>
      <c r="AI1157" s="9"/>
      <c r="AJ1157" s="9"/>
      <c r="AK1157" s="11"/>
      <c r="AL1157" s="10"/>
      <c r="AM1157" s="11"/>
      <c r="AN1157" s="10"/>
      <c r="AO1157" s="11"/>
      <c r="AP1157" s="10"/>
      <c r="AQ1157" s="10"/>
      <c r="AR1157" s="10"/>
      <c r="AS1157" s="9"/>
      <c r="AT1157" s="9"/>
      <c r="AU1157" s="9"/>
      <c r="AV1157" s="9"/>
      <c r="AW1157" s="9"/>
      <c r="AX1157" s="9"/>
      <c r="AY1157" s="8"/>
      <c r="AZ1157" s="8"/>
      <c r="BA1157" s="8"/>
      <c r="BB1157" s="8"/>
      <c r="BC1157" s="8"/>
      <c r="BD1157" s="8"/>
      <c r="BE1157" s="8"/>
      <c r="BF1157" s="8"/>
    </row>
    <row r="1158" spans="26:58" ht="16.899999999999999">
      <c r="Z1158" s="244"/>
      <c r="AC1158" s="10"/>
      <c r="AD1158" s="10"/>
      <c r="AF1158" s="10"/>
      <c r="AG1158" s="10"/>
      <c r="AH1158" s="10"/>
      <c r="AI1158" s="9"/>
      <c r="AJ1158" s="9"/>
      <c r="AK1158" s="11"/>
      <c r="AL1158" s="10"/>
      <c r="AM1158" s="11"/>
      <c r="AN1158" s="10"/>
      <c r="AO1158" s="11"/>
      <c r="AP1158" s="10"/>
      <c r="AQ1158" s="10"/>
      <c r="AR1158" s="10"/>
      <c r="AS1158" s="9"/>
      <c r="AT1158" s="9"/>
      <c r="AU1158" s="9"/>
      <c r="AV1158" s="9"/>
      <c r="AW1158" s="9"/>
      <c r="AX1158" s="9"/>
      <c r="AY1158" s="8"/>
      <c r="AZ1158" s="8"/>
      <c r="BA1158" s="8"/>
      <c r="BB1158" s="8"/>
      <c r="BC1158" s="8"/>
      <c r="BD1158" s="8"/>
      <c r="BE1158" s="8"/>
      <c r="BF1158" s="8"/>
    </row>
    <row r="1159" spans="26:58" ht="16.899999999999999">
      <c r="Z1159" s="244"/>
      <c r="AC1159" s="10"/>
      <c r="AD1159" s="10"/>
      <c r="AF1159" s="10"/>
      <c r="AG1159" s="10"/>
      <c r="AH1159" s="10"/>
      <c r="AI1159" s="9"/>
      <c r="AJ1159" s="9"/>
      <c r="AK1159" s="11"/>
      <c r="AL1159" s="10"/>
      <c r="AM1159" s="11"/>
      <c r="AN1159" s="10"/>
      <c r="AO1159" s="11"/>
      <c r="AP1159" s="10"/>
      <c r="AQ1159" s="10"/>
      <c r="AR1159" s="10"/>
      <c r="AS1159" s="9"/>
      <c r="AT1159" s="9"/>
      <c r="AU1159" s="9"/>
      <c r="AV1159" s="9"/>
      <c r="AW1159" s="9"/>
      <c r="AX1159" s="9"/>
      <c r="AY1159" s="8"/>
      <c r="AZ1159" s="8"/>
      <c r="BA1159" s="8"/>
      <c r="BB1159" s="8"/>
      <c r="BC1159" s="8"/>
      <c r="BD1159" s="8"/>
      <c r="BE1159" s="8"/>
      <c r="BF1159" s="8"/>
    </row>
    <row r="1160" spans="26:58" ht="16.899999999999999">
      <c r="Z1160" s="244"/>
      <c r="AC1160" s="10"/>
      <c r="AD1160" s="10"/>
      <c r="AF1160" s="10"/>
      <c r="AG1160" s="10"/>
      <c r="AH1160" s="10"/>
      <c r="AI1160" s="9"/>
      <c r="AJ1160" s="9"/>
      <c r="AK1160" s="11"/>
      <c r="AL1160" s="10"/>
      <c r="AM1160" s="11"/>
      <c r="AN1160" s="10"/>
      <c r="AO1160" s="11"/>
      <c r="AP1160" s="10"/>
      <c r="AQ1160" s="10"/>
      <c r="AR1160" s="10"/>
      <c r="AS1160" s="9"/>
      <c r="AT1160" s="9"/>
      <c r="AU1160" s="9"/>
      <c r="AV1160" s="9"/>
      <c r="AW1160" s="9"/>
      <c r="AX1160" s="9"/>
      <c r="AY1160" s="8"/>
      <c r="AZ1160" s="8"/>
      <c r="BA1160" s="8"/>
      <c r="BB1160" s="8"/>
      <c r="BC1160" s="8"/>
      <c r="BD1160" s="8"/>
      <c r="BE1160" s="8"/>
      <c r="BF1160" s="8"/>
    </row>
    <row r="1161" spans="26:58" ht="16.899999999999999">
      <c r="Z1161" s="244"/>
      <c r="AC1161" s="10"/>
      <c r="AD1161" s="10"/>
      <c r="AF1161" s="10"/>
      <c r="AG1161" s="10"/>
      <c r="AH1161" s="10"/>
      <c r="AI1161" s="9"/>
      <c r="AJ1161" s="9"/>
      <c r="AK1161" s="11"/>
      <c r="AL1161" s="10"/>
      <c r="AM1161" s="11"/>
      <c r="AN1161" s="10"/>
      <c r="AO1161" s="11"/>
      <c r="AP1161" s="10"/>
      <c r="AQ1161" s="10"/>
      <c r="AR1161" s="10"/>
      <c r="AS1161" s="9"/>
      <c r="AT1161" s="9"/>
      <c r="AU1161" s="9"/>
      <c r="AV1161" s="9"/>
      <c r="AW1161" s="9"/>
      <c r="AX1161" s="9"/>
      <c r="AY1161" s="8"/>
      <c r="AZ1161" s="8"/>
      <c r="BA1161" s="8"/>
      <c r="BB1161" s="8"/>
      <c r="BC1161" s="8"/>
      <c r="BD1161" s="8"/>
      <c r="BE1161" s="8"/>
      <c r="BF1161" s="8"/>
    </row>
    <row r="1162" spans="26:58" ht="16.899999999999999">
      <c r="Z1162" s="244"/>
      <c r="AC1162" s="10"/>
      <c r="AD1162" s="10"/>
      <c r="AF1162" s="10"/>
      <c r="AG1162" s="10"/>
      <c r="AH1162" s="10"/>
      <c r="AI1162" s="9"/>
      <c r="AJ1162" s="9"/>
      <c r="AK1162" s="11"/>
      <c r="AL1162" s="10"/>
      <c r="AM1162" s="11"/>
      <c r="AN1162" s="10"/>
      <c r="AO1162" s="11"/>
      <c r="AP1162" s="10"/>
      <c r="AQ1162" s="10"/>
      <c r="AR1162" s="10"/>
      <c r="AS1162" s="9"/>
      <c r="AT1162" s="9"/>
      <c r="AU1162" s="9"/>
      <c r="AV1162" s="9"/>
      <c r="AW1162" s="9"/>
      <c r="AX1162" s="9"/>
      <c r="AY1162" s="8"/>
      <c r="AZ1162" s="8"/>
      <c r="BA1162" s="8"/>
      <c r="BB1162" s="8"/>
      <c r="BC1162" s="8"/>
      <c r="BD1162" s="8"/>
      <c r="BE1162" s="8"/>
      <c r="BF1162" s="8"/>
    </row>
    <row r="1163" spans="26:58" ht="16.899999999999999">
      <c r="Z1163" s="244"/>
      <c r="AC1163" s="10"/>
      <c r="AD1163" s="10"/>
      <c r="AF1163" s="10"/>
      <c r="AG1163" s="10"/>
      <c r="AH1163" s="10"/>
      <c r="AI1163" s="9"/>
      <c r="AJ1163" s="9"/>
      <c r="AK1163" s="11"/>
      <c r="AL1163" s="10"/>
      <c r="AM1163" s="11"/>
      <c r="AN1163" s="10"/>
      <c r="AO1163" s="11"/>
      <c r="AP1163" s="10"/>
      <c r="AQ1163" s="10"/>
      <c r="AR1163" s="10"/>
      <c r="AS1163" s="9"/>
      <c r="AT1163" s="9"/>
      <c r="AU1163" s="9"/>
      <c r="AV1163" s="9"/>
      <c r="AW1163" s="9"/>
      <c r="AX1163" s="9"/>
      <c r="AY1163" s="8"/>
      <c r="AZ1163" s="8"/>
      <c r="BA1163" s="8"/>
      <c r="BB1163" s="8"/>
      <c r="BC1163" s="8"/>
      <c r="BD1163" s="8"/>
      <c r="BE1163" s="8"/>
      <c r="BF1163" s="8"/>
    </row>
    <row r="1164" spans="26:58" ht="16.899999999999999">
      <c r="Z1164" s="244"/>
      <c r="AC1164" s="10"/>
      <c r="AD1164" s="10"/>
      <c r="AF1164" s="10"/>
      <c r="AG1164" s="10"/>
      <c r="AH1164" s="10"/>
      <c r="AI1164" s="9"/>
      <c r="AJ1164" s="9"/>
      <c r="AK1164" s="11"/>
      <c r="AL1164" s="10"/>
      <c r="AM1164" s="11"/>
      <c r="AN1164" s="10"/>
      <c r="AO1164" s="11"/>
      <c r="AP1164" s="10"/>
      <c r="AQ1164" s="10"/>
      <c r="AR1164" s="10"/>
      <c r="AS1164" s="9"/>
      <c r="AT1164" s="9"/>
      <c r="AU1164" s="9"/>
      <c r="AV1164" s="9"/>
      <c r="AW1164" s="9"/>
      <c r="AX1164" s="9"/>
      <c r="AY1164" s="8"/>
      <c r="AZ1164" s="8"/>
      <c r="BA1164" s="8"/>
      <c r="BB1164" s="8"/>
      <c r="BC1164" s="8"/>
      <c r="BD1164" s="8"/>
      <c r="BE1164" s="8"/>
      <c r="BF1164" s="8"/>
    </row>
    <row r="1165" spans="26:58" ht="16.899999999999999">
      <c r="Z1165" s="244"/>
      <c r="AC1165" s="10"/>
      <c r="AD1165" s="10"/>
      <c r="AF1165" s="10"/>
      <c r="AG1165" s="10"/>
      <c r="AH1165" s="10"/>
      <c r="AI1165" s="9"/>
      <c r="AJ1165" s="9"/>
      <c r="AK1165" s="11"/>
      <c r="AL1165" s="10"/>
      <c r="AM1165" s="11"/>
      <c r="AN1165" s="10"/>
      <c r="AO1165" s="11"/>
      <c r="AP1165" s="10"/>
      <c r="AQ1165" s="10"/>
      <c r="AR1165" s="10"/>
      <c r="AS1165" s="9"/>
      <c r="AT1165" s="9"/>
      <c r="AU1165" s="9"/>
      <c r="AV1165" s="9"/>
      <c r="AW1165" s="9"/>
      <c r="AX1165" s="9"/>
      <c r="AY1165" s="8"/>
      <c r="AZ1165" s="8"/>
      <c r="BA1165" s="8"/>
      <c r="BB1165" s="8"/>
      <c r="BC1165" s="8"/>
      <c r="BD1165" s="8"/>
      <c r="BE1165" s="8"/>
      <c r="BF1165" s="8"/>
    </row>
    <row r="1166" spans="26:58" ht="16.899999999999999">
      <c r="Z1166" s="244"/>
      <c r="AC1166" s="10"/>
      <c r="AD1166" s="10"/>
      <c r="AF1166" s="10"/>
      <c r="AG1166" s="10"/>
      <c r="AH1166" s="10"/>
      <c r="AI1166" s="9"/>
      <c r="AJ1166" s="9"/>
      <c r="AK1166" s="11"/>
      <c r="AL1166" s="10"/>
      <c r="AM1166" s="11"/>
      <c r="AN1166" s="10"/>
      <c r="AO1166" s="11"/>
      <c r="AP1166" s="10"/>
      <c r="AQ1166" s="10"/>
      <c r="AR1166" s="10"/>
      <c r="AS1166" s="9"/>
      <c r="AT1166" s="9"/>
      <c r="AU1166" s="9"/>
      <c r="AV1166" s="9"/>
      <c r="AW1166" s="9"/>
      <c r="AX1166" s="9"/>
      <c r="AY1166" s="8"/>
      <c r="AZ1166" s="8"/>
      <c r="BA1166" s="8"/>
      <c r="BB1166" s="8"/>
      <c r="BC1166" s="8"/>
      <c r="BD1166" s="8"/>
      <c r="BE1166" s="8"/>
      <c r="BF1166" s="8"/>
    </row>
    <row r="1167" spans="26:58" ht="16.899999999999999">
      <c r="Z1167" s="244"/>
      <c r="AC1167" s="10"/>
      <c r="AD1167" s="10"/>
      <c r="AF1167" s="10"/>
      <c r="AG1167" s="10"/>
      <c r="AH1167" s="10"/>
      <c r="AI1167" s="9"/>
      <c r="AJ1167" s="9"/>
      <c r="AK1167" s="11"/>
      <c r="AL1167" s="10"/>
      <c r="AM1167" s="11"/>
      <c r="AN1167" s="10"/>
      <c r="AO1167" s="11"/>
      <c r="AP1167" s="10"/>
      <c r="AQ1167" s="10"/>
      <c r="AR1167" s="10"/>
      <c r="AS1167" s="9"/>
      <c r="AT1167" s="9"/>
      <c r="AU1167" s="9"/>
      <c r="AV1167" s="9"/>
      <c r="AW1167" s="9"/>
      <c r="AX1167" s="9"/>
      <c r="AY1167" s="8"/>
      <c r="AZ1167" s="8"/>
      <c r="BA1167" s="8"/>
      <c r="BB1167" s="8"/>
      <c r="BC1167" s="8"/>
      <c r="BD1167" s="8"/>
      <c r="BE1167" s="8"/>
      <c r="BF1167" s="8"/>
    </row>
    <row r="1168" spans="26:58" ht="16.899999999999999">
      <c r="Z1168" s="244"/>
      <c r="AC1168" s="10"/>
      <c r="AD1168" s="10"/>
      <c r="AF1168" s="10"/>
      <c r="AG1168" s="10"/>
      <c r="AH1168" s="10"/>
      <c r="AI1168" s="9"/>
      <c r="AJ1168" s="9"/>
      <c r="AK1168" s="11"/>
      <c r="AL1168" s="10"/>
      <c r="AM1168" s="11"/>
      <c r="AN1168" s="10"/>
      <c r="AO1168" s="11"/>
      <c r="AP1168" s="10"/>
      <c r="AQ1168" s="10"/>
      <c r="AR1168" s="10"/>
      <c r="AS1168" s="9"/>
      <c r="AT1168" s="9"/>
      <c r="AU1168" s="9"/>
      <c r="AV1168" s="9"/>
      <c r="AW1168" s="9"/>
      <c r="AX1168" s="9"/>
      <c r="AY1168" s="8"/>
      <c r="AZ1168" s="8"/>
      <c r="BA1168" s="8"/>
      <c r="BB1168" s="8"/>
      <c r="BC1168" s="8"/>
      <c r="BD1168" s="8"/>
      <c r="BE1168" s="8"/>
      <c r="BF1168" s="8"/>
    </row>
    <row r="1169" spans="26:58" ht="16.899999999999999">
      <c r="Z1169" s="244"/>
      <c r="AC1169" s="10"/>
      <c r="AD1169" s="10"/>
      <c r="AF1169" s="10"/>
      <c r="AG1169" s="10"/>
      <c r="AH1169" s="10"/>
      <c r="AI1169" s="9"/>
      <c r="AJ1169" s="9"/>
      <c r="AK1169" s="11"/>
      <c r="AL1169" s="10"/>
      <c r="AM1169" s="11"/>
      <c r="AN1169" s="10"/>
      <c r="AO1169" s="11"/>
      <c r="AP1169" s="10"/>
      <c r="AQ1169" s="10"/>
      <c r="AR1169" s="10"/>
      <c r="AS1169" s="9"/>
      <c r="AT1169" s="9"/>
      <c r="AU1169" s="9"/>
      <c r="AV1169" s="9"/>
      <c r="AW1169" s="9"/>
      <c r="AX1169" s="9"/>
      <c r="AY1169" s="8"/>
      <c r="AZ1169" s="8"/>
      <c r="BA1169" s="8"/>
      <c r="BB1169" s="8"/>
      <c r="BC1169" s="8"/>
      <c r="BD1169" s="8"/>
      <c r="BE1169" s="8"/>
      <c r="BF1169" s="8"/>
    </row>
    <row r="1170" spans="26:58" ht="16.899999999999999">
      <c r="Z1170" s="244"/>
      <c r="AC1170" s="10"/>
      <c r="AD1170" s="10"/>
      <c r="AF1170" s="10"/>
      <c r="AG1170" s="10"/>
      <c r="AH1170" s="10"/>
      <c r="AI1170" s="9"/>
      <c r="AJ1170" s="9"/>
      <c r="AK1170" s="11"/>
      <c r="AL1170" s="10"/>
      <c r="AM1170" s="11"/>
      <c r="AN1170" s="10"/>
      <c r="AO1170" s="11"/>
      <c r="AP1170" s="10"/>
      <c r="AQ1170" s="10"/>
      <c r="AR1170" s="10"/>
      <c r="AS1170" s="9"/>
      <c r="AT1170" s="9"/>
      <c r="AU1170" s="9"/>
      <c r="AV1170" s="9"/>
      <c r="AW1170" s="9"/>
      <c r="AX1170" s="9"/>
      <c r="AY1170" s="8"/>
      <c r="AZ1170" s="8"/>
      <c r="BA1170" s="8"/>
      <c r="BB1170" s="8"/>
      <c r="BC1170" s="8"/>
      <c r="BD1170" s="8"/>
      <c r="BE1170" s="8"/>
      <c r="BF1170" s="8"/>
    </row>
    <row r="1171" spans="26:58" ht="16.899999999999999">
      <c r="Z1171" s="244"/>
      <c r="AC1171" s="10"/>
      <c r="AD1171" s="10"/>
      <c r="AF1171" s="10"/>
      <c r="AG1171" s="10"/>
      <c r="AH1171" s="10"/>
      <c r="AI1171" s="9"/>
      <c r="AJ1171" s="9"/>
      <c r="AK1171" s="11"/>
      <c r="AL1171" s="10"/>
      <c r="AM1171" s="11"/>
      <c r="AN1171" s="10"/>
      <c r="AO1171" s="11"/>
      <c r="AP1171" s="10"/>
      <c r="AQ1171" s="10"/>
      <c r="AR1171" s="10"/>
      <c r="AS1171" s="9"/>
      <c r="AT1171" s="9"/>
      <c r="AU1171" s="9"/>
      <c r="AV1171" s="9"/>
      <c r="AW1171" s="9"/>
      <c r="AX1171" s="9"/>
      <c r="AY1171" s="8"/>
      <c r="AZ1171" s="8"/>
      <c r="BA1171" s="8"/>
      <c r="BB1171" s="8"/>
      <c r="BC1171" s="8"/>
      <c r="BD1171" s="8"/>
      <c r="BE1171" s="8"/>
      <c r="BF1171" s="8"/>
    </row>
    <row r="1172" spans="26:58" ht="16.899999999999999">
      <c r="Z1172" s="244"/>
      <c r="AC1172" s="10"/>
      <c r="AD1172" s="10"/>
      <c r="AF1172" s="10"/>
      <c r="AG1172" s="10"/>
      <c r="AH1172" s="10"/>
      <c r="AI1172" s="9"/>
      <c r="AJ1172" s="9"/>
      <c r="AK1172" s="11"/>
      <c r="AL1172" s="10"/>
      <c r="AM1172" s="11"/>
      <c r="AN1172" s="10"/>
      <c r="AO1172" s="11"/>
      <c r="AP1172" s="10"/>
      <c r="AQ1172" s="10"/>
      <c r="AR1172" s="10"/>
      <c r="AS1172" s="9"/>
      <c r="AT1172" s="9"/>
      <c r="AU1172" s="9"/>
      <c r="AV1172" s="9"/>
      <c r="AW1172" s="9"/>
      <c r="AX1172" s="9"/>
      <c r="AY1172" s="8"/>
      <c r="AZ1172" s="8"/>
      <c r="BA1172" s="8"/>
      <c r="BB1172" s="8"/>
      <c r="BC1172" s="8"/>
      <c r="BD1172" s="8"/>
      <c r="BE1172" s="8"/>
      <c r="BF1172" s="8"/>
    </row>
    <row r="1173" spans="26:58" ht="16.899999999999999">
      <c r="Z1173" s="244"/>
      <c r="AC1173" s="10"/>
      <c r="AD1173" s="10"/>
      <c r="AF1173" s="10"/>
      <c r="AG1173" s="10"/>
      <c r="AH1173" s="10"/>
      <c r="AI1173" s="9"/>
      <c r="AJ1173" s="9"/>
      <c r="AK1173" s="11"/>
      <c r="AL1173" s="10"/>
      <c r="AM1173" s="11"/>
      <c r="AN1173" s="10"/>
      <c r="AO1173" s="11"/>
      <c r="AP1173" s="10"/>
      <c r="AQ1173" s="10"/>
      <c r="AR1173" s="10"/>
      <c r="AS1173" s="9"/>
      <c r="AT1173" s="9"/>
      <c r="AU1173" s="9"/>
      <c r="AV1173" s="9"/>
      <c r="AW1173" s="9"/>
      <c r="AX1173" s="9"/>
      <c r="AY1173" s="8"/>
      <c r="AZ1173" s="8"/>
      <c r="BA1173" s="8"/>
      <c r="BB1173" s="8"/>
      <c r="BC1173" s="8"/>
      <c r="BD1173" s="8"/>
      <c r="BE1173" s="8"/>
      <c r="BF1173" s="8"/>
    </row>
    <row r="1174" spans="26:58" ht="16.899999999999999">
      <c r="Z1174" s="244"/>
      <c r="AC1174" s="10"/>
      <c r="AD1174" s="10"/>
      <c r="AF1174" s="10"/>
      <c r="AG1174" s="10"/>
      <c r="AH1174" s="10"/>
      <c r="AI1174" s="9"/>
      <c r="AJ1174" s="9"/>
      <c r="AK1174" s="11"/>
      <c r="AL1174" s="10"/>
      <c r="AM1174" s="11"/>
      <c r="AN1174" s="10"/>
      <c r="AO1174" s="11"/>
      <c r="AP1174" s="10"/>
      <c r="AQ1174" s="10"/>
      <c r="AR1174" s="10"/>
      <c r="AS1174" s="9"/>
      <c r="AT1174" s="9"/>
      <c r="AU1174" s="9"/>
      <c r="AV1174" s="9"/>
      <c r="AW1174" s="9"/>
      <c r="AX1174" s="9"/>
      <c r="AY1174" s="8"/>
      <c r="AZ1174" s="8"/>
      <c r="BA1174" s="8"/>
      <c r="BB1174" s="8"/>
      <c r="BC1174" s="8"/>
      <c r="BD1174" s="8"/>
      <c r="BE1174" s="8"/>
      <c r="BF1174" s="8"/>
    </row>
    <row r="1175" spans="26:58" ht="16.899999999999999">
      <c r="Z1175" s="244"/>
      <c r="AC1175" s="10"/>
      <c r="AD1175" s="10"/>
      <c r="AF1175" s="10"/>
      <c r="AG1175" s="10"/>
      <c r="AH1175" s="10"/>
      <c r="AI1175" s="9"/>
      <c r="AJ1175" s="9"/>
      <c r="AK1175" s="11"/>
      <c r="AL1175" s="10"/>
      <c r="AM1175" s="11"/>
      <c r="AN1175" s="10"/>
      <c r="AO1175" s="11"/>
      <c r="AP1175" s="10"/>
      <c r="AQ1175" s="10"/>
      <c r="AR1175" s="10"/>
      <c r="AS1175" s="9"/>
      <c r="AT1175" s="9"/>
      <c r="AU1175" s="9"/>
      <c r="AV1175" s="9"/>
      <c r="AW1175" s="9"/>
      <c r="AX1175" s="9"/>
      <c r="AY1175" s="8"/>
      <c r="AZ1175" s="8"/>
      <c r="BA1175" s="8"/>
      <c r="BB1175" s="8"/>
      <c r="BC1175" s="8"/>
      <c r="BD1175" s="8"/>
      <c r="BE1175" s="8"/>
      <c r="BF1175" s="8"/>
    </row>
    <row r="1176" spans="26:58" ht="16.899999999999999">
      <c r="Z1176" s="244"/>
      <c r="AC1176" s="10"/>
      <c r="AD1176" s="10"/>
      <c r="AF1176" s="10"/>
      <c r="AG1176" s="10"/>
      <c r="AH1176" s="10"/>
      <c r="AI1176" s="9"/>
      <c r="AJ1176" s="9"/>
      <c r="AK1176" s="11"/>
      <c r="AL1176" s="10"/>
      <c r="AM1176" s="11"/>
      <c r="AN1176" s="10"/>
      <c r="AO1176" s="11"/>
      <c r="AP1176" s="10"/>
      <c r="AQ1176" s="10"/>
      <c r="AR1176" s="10"/>
      <c r="AS1176" s="9"/>
      <c r="AT1176" s="9"/>
      <c r="AU1176" s="9"/>
      <c r="AV1176" s="9"/>
      <c r="AW1176" s="9"/>
      <c r="AX1176" s="9"/>
      <c r="AY1176" s="8"/>
      <c r="AZ1176" s="8"/>
      <c r="BA1176" s="8"/>
      <c r="BB1176" s="8"/>
      <c r="BC1176" s="8"/>
      <c r="BD1176" s="8"/>
      <c r="BE1176" s="8"/>
      <c r="BF1176" s="8"/>
    </row>
    <row r="1177" spans="26:58" ht="16.899999999999999">
      <c r="Z1177" s="244"/>
      <c r="AC1177" s="10"/>
      <c r="AD1177" s="10"/>
      <c r="AF1177" s="10"/>
      <c r="AG1177" s="10"/>
      <c r="AH1177" s="10"/>
      <c r="AI1177" s="9"/>
      <c r="AJ1177" s="9"/>
      <c r="AK1177" s="11"/>
      <c r="AL1177" s="10"/>
      <c r="AM1177" s="11"/>
      <c r="AN1177" s="10"/>
      <c r="AO1177" s="11"/>
      <c r="AP1177" s="10"/>
      <c r="AQ1177" s="10"/>
      <c r="AR1177" s="10"/>
      <c r="AS1177" s="9"/>
      <c r="AT1177" s="9"/>
      <c r="AU1177" s="9"/>
      <c r="AV1177" s="9"/>
      <c r="AW1177" s="9"/>
      <c r="AX1177" s="9"/>
      <c r="AY1177" s="8"/>
      <c r="AZ1177" s="8"/>
      <c r="BA1177" s="8"/>
      <c r="BB1177" s="8"/>
      <c r="BC1177" s="8"/>
      <c r="BD1177" s="8"/>
      <c r="BE1177" s="8"/>
      <c r="BF1177" s="8"/>
    </row>
    <row r="1178" spans="26:58" ht="16.899999999999999">
      <c r="Z1178" s="244"/>
      <c r="AC1178" s="10"/>
      <c r="AD1178" s="10"/>
      <c r="AF1178" s="10"/>
      <c r="AG1178" s="10"/>
      <c r="AH1178" s="10"/>
      <c r="AI1178" s="9"/>
      <c r="AJ1178" s="9"/>
      <c r="AK1178" s="11"/>
      <c r="AL1178" s="10"/>
      <c r="AM1178" s="11"/>
      <c r="AN1178" s="10"/>
      <c r="AO1178" s="11"/>
      <c r="AP1178" s="10"/>
      <c r="AQ1178" s="10"/>
      <c r="AR1178" s="10"/>
      <c r="AS1178" s="9"/>
      <c r="AT1178" s="9"/>
      <c r="AU1178" s="9"/>
      <c r="AV1178" s="9"/>
      <c r="AW1178" s="9"/>
      <c r="AX1178" s="9"/>
      <c r="AY1178" s="8"/>
      <c r="AZ1178" s="8"/>
      <c r="BA1178" s="8"/>
      <c r="BB1178" s="8"/>
      <c r="BC1178" s="8"/>
      <c r="BD1178" s="8"/>
      <c r="BE1178" s="8"/>
      <c r="BF1178" s="8"/>
    </row>
    <row r="1179" spans="26:58" ht="16.899999999999999">
      <c r="Z1179" s="244"/>
      <c r="AC1179" s="10"/>
      <c r="AD1179" s="10"/>
      <c r="AF1179" s="10"/>
      <c r="AG1179" s="10"/>
      <c r="AH1179" s="10"/>
      <c r="AI1179" s="9"/>
      <c r="AJ1179" s="9"/>
      <c r="AK1179" s="11"/>
      <c r="AL1179" s="10"/>
      <c r="AM1179" s="11"/>
      <c r="AN1179" s="10"/>
      <c r="AO1179" s="11"/>
      <c r="AP1179" s="10"/>
      <c r="AQ1179" s="10"/>
      <c r="AR1179" s="10"/>
      <c r="AS1179" s="9"/>
      <c r="AT1179" s="9"/>
      <c r="AU1179" s="9"/>
      <c r="AV1179" s="9"/>
      <c r="AW1179" s="9"/>
      <c r="AX1179" s="9"/>
      <c r="AY1179" s="8"/>
      <c r="AZ1179" s="8"/>
      <c r="BA1179" s="8"/>
      <c r="BB1179" s="8"/>
      <c r="BC1179" s="8"/>
      <c r="BD1179" s="8"/>
      <c r="BE1179" s="8"/>
      <c r="BF1179" s="8"/>
    </row>
    <row r="1180" spans="26:58" ht="16.899999999999999">
      <c r="Z1180" s="244"/>
      <c r="AC1180" s="10"/>
      <c r="AD1180" s="10"/>
      <c r="AF1180" s="10"/>
      <c r="AG1180" s="10"/>
      <c r="AH1180" s="10"/>
      <c r="AI1180" s="9"/>
      <c r="AJ1180" s="9"/>
      <c r="AK1180" s="11"/>
      <c r="AL1180" s="10"/>
      <c r="AM1180" s="11"/>
      <c r="AN1180" s="10"/>
      <c r="AO1180" s="11"/>
      <c r="AP1180" s="10"/>
      <c r="AQ1180" s="10"/>
      <c r="AR1180" s="10"/>
      <c r="AS1180" s="9"/>
      <c r="AT1180" s="9"/>
      <c r="AU1180" s="9"/>
      <c r="AV1180" s="9"/>
      <c r="AW1180" s="9"/>
      <c r="AX1180" s="9"/>
      <c r="AY1180" s="8"/>
      <c r="AZ1180" s="8"/>
      <c r="BA1180" s="8"/>
      <c r="BB1180" s="8"/>
      <c r="BC1180" s="8"/>
      <c r="BD1180" s="8"/>
      <c r="BE1180" s="8"/>
      <c r="BF1180" s="8"/>
    </row>
    <row r="1181" spans="26:58" ht="16.899999999999999">
      <c r="Z1181" s="244"/>
      <c r="AC1181" s="10"/>
      <c r="AD1181" s="10"/>
      <c r="AF1181" s="10"/>
      <c r="AG1181" s="10"/>
      <c r="AH1181" s="10"/>
      <c r="AI1181" s="9"/>
      <c r="AJ1181" s="9"/>
      <c r="AK1181" s="11"/>
      <c r="AL1181" s="10"/>
      <c r="AM1181" s="11"/>
      <c r="AN1181" s="10"/>
      <c r="AO1181" s="11"/>
      <c r="AP1181" s="10"/>
      <c r="AQ1181" s="10"/>
      <c r="AR1181" s="10"/>
      <c r="AS1181" s="9"/>
      <c r="AT1181" s="9"/>
      <c r="AU1181" s="9"/>
      <c r="AV1181" s="9"/>
      <c r="AW1181" s="9"/>
      <c r="AX1181" s="9"/>
      <c r="AY1181" s="8"/>
      <c r="AZ1181" s="8"/>
      <c r="BA1181" s="8"/>
      <c r="BB1181" s="8"/>
      <c r="BC1181" s="8"/>
      <c r="BD1181" s="8"/>
      <c r="BE1181" s="8"/>
      <c r="BF1181" s="8"/>
    </row>
    <row r="1182" spans="26:58" ht="16.899999999999999">
      <c r="Z1182" s="244"/>
      <c r="AC1182" s="10"/>
      <c r="AD1182" s="10"/>
      <c r="AF1182" s="10"/>
      <c r="AG1182" s="10"/>
      <c r="AH1182" s="10"/>
      <c r="AI1182" s="9"/>
      <c r="AJ1182" s="9"/>
      <c r="AK1182" s="11"/>
      <c r="AL1182" s="10"/>
      <c r="AM1182" s="11"/>
      <c r="AN1182" s="10"/>
      <c r="AO1182" s="11"/>
      <c r="AP1182" s="10"/>
      <c r="AQ1182" s="10"/>
      <c r="AR1182" s="10"/>
      <c r="AS1182" s="9"/>
      <c r="AT1182" s="9"/>
      <c r="AU1182" s="9"/>
      <c r="AV1182" s="9"/>
      <c r="AW1182" s="9"/>
      <c r="AX1182" s="9"/>
      <c r="AY1182" s="8"/>
      <c r="AZ1182" s="8"/>
      <c r="BA1182" s="8"/>
      <c r="BB1182" s="8"/>
      <c r="BC1182" s="8"/>
      <c r="BD1182" s="8"/>
      <c r="BE1182" s="8"/>
      <c r="BF1182" s="8"/>
    </row>
    <row r="1183" spans="26:58" ht="16.899999999999999">
      <c r="Z1183" s="244"/>
      <c r="AC1183" s="10"/>
      <c r="AD1183" s="10"/>
      <c r="AF1183" s="10"/>
      <c r="AG1183" s="10"/>
      <c r="AH1183" s="10"/>
      <c r="AI1183" s="9"/>
      <c r="AJ1183" s="9"/>
      <c r="AK1183" s="11"/>
      <c r="AL1183" s="10"/>
      <c r="AM1183" s="11"/>
      <c r="AN1183" s="10"/>
      <c r="AO1183" s="11"/>
      <c r="AP1183" s="10"/>
      <c r="AQ1183" s="10"/>
      <c r="AR1183" s="10"/>
      <c r="AS1183" s="9"/>
      <c r="AT1183" s="9"/>
      <c r="AU1183" s="9"/>
      <c r="AV1183" s="9"/>
      <c r="AW1183" s="9"/>
      <c r="AX1183" s="9"/>
      <c r="AY1183" s="8"/>
      <c r="AZ1183" s="8"/>
      <c r="BA1183" s="8"/>
      <c r="BB1183" s="8"/>
      <c r="BC1183" s="8"/>
      <c r="BD1183" s="8"/>
      <c r="BE1183" s="8"/>
      <c r="BF1183" s="8"/>
    </row>
    <row r="1184" spans="26:58" ht="16.899999999999999">
      <c r="Z1184" s="244"/>
      <c r="AC1184" s="10"/>
      <c r="AD1184" s="10"/>
      <c r="AF1184" s="10"/>
      <c r="AG1184" s="10"/>
      <c r="AH1184" s="10"/>
      <c r="AI1184" s="9"/>
      <c r="AJ1184" s="9"/>
      <c r="AK1184" s="11"/>
      <c r="AL1184" s="10"/>
      <c r="AM1184" s="11"/>
      <c r="AN1184" s="10"/>
      <c r="AO1184" s="11"/>
      <c r="AP1184" s="10"/>
      <c r="AQ1184" s="10"/>
      <c r="AR1184" s="10"/>
      <c r="AS1184" s="9"/>
      <c r="AT1184" s="9"/>
      <c r="AU1184" s="9"/>
      <c r="AV1184" s="9"/>
      <c r="AW1184" s="9"/>
      <c r="AX1184" s="9"/>
      <c r="AY1184" s="8"/>
      <c r="AZ1184" s="8"/>
      <c r="BA1184" s="8"/>
      <c r="BB1184" s="8"/>
      <c r="BC1184" s="8"/>
      <c r="BD1184" s="8"/>
      <c r="BE1184" s="8"/>
      <c r="BF1184" s="8"/>
    </row>
    <row r="1185" spans="26:58" ht="16.899999999999999">
      <c r="Z1185" s="244"/>
      <c r="AC1185" s="10"/>
      <c r="AD1185" s="10"/>
      <c r="AF1185" s="10"/>
      <c r="AG1185" s="10"/>
      <c r="AH1185" s="10"/>
      <c r="AI1185" s="9"/>
      <c r="AJ1185" s="9"/>
      <c r="AK1185" s="11"/>
      <c r="AL1185" s="10"/>
      <c r="AM1185" s="11"/>
      <c r="AN1185" s="10"/>
      <c r="AO1185" s="11"/>
      <c r="AP1185" s="10"/>
      <c r="AQ1185" s="10"/>
      <c r="AR1185" s="10"/>
      <c r="AS1185" s="9"/>
      <c r="AT1185" s="9"/>
      <c r="AU1185" s="9"/>
      <c r="AV1185" s="9"/>
      <c r="AW1185" s="9"/>
      <c r="AX1185" s="9"/>
      <c r="AY1185" s="8"/>
      <c r="AZ1185" s="8"/>
      <c r="BA1185" s="8"/>
      <c r="BB1185" s="8"/>
      <c r="BC1185" s="8"/>
      <c r="BD1185" s="8"/>
      <c r="BE1185" s="8"/>
      <c r="BF1185" s="8"/>
    </row>
    <row r="1186" spans="26:58" ht="16.899999999999999">
      <c r="Z1186" s="244"/>
      <c r="AC1186" s="10"/>
      <c r="AD1186" s="10"/>
      <c r="AF1186" s="10"/>
      <c r="AG1186" s="10"/>
      <c r="AH1186" s="10"/>
      <c r="AI1186" s="9"/>
      <c r="AJ1186" s="9"/>
      <c r="AK1186" s="11"/>
      <c r="AL1186" s="10"/>
      <c r="AM1186" s="11"/>
      <c r="AN1186" s="10"/>
      <c r="AO1186" s="11"/>
      <c r="AP1186" s="10"/>
      <c r="AQ1186" s="10"/>
      <c r="AR1186" s="10"/>
      <c r="AS1186" s="9"/>
      <c r="AT1186" s="9"/>
      <c r="AU1186" s="9"/>
      <c r="AV1186" s="9"/>
      <c r="AW1186" s="9"/>
      <c r="AX1186" s="9"/>
      <c r="AY1186" s="8"/>
      <c r="AZ1186" s="8"/>
      <c r="BA1186" s="8"/>
      <c r="BB1186" s="8"/>
      <c r="BC1186" s="8"/>
      <c r="BD1186" s="8"/>
      <c r="BE1186" s="8"/>
      <c r="BF1186" s="8"/>
    </row>
    <row r="1187" spans="26:58" ht="16.899999999999999">
      <c r="Z1187" s="244"/>
      <c r="AC1187" s="10"/>
      <c r="AD1187" s="10"/>
      <c r="AF1187" s="10"/>
      <c r="AG1187" s="10"/>
      <c r="AH1187" s="10"/>
      <c r="AI1187" s="9"/>
      <c r="AJ1187" s="9"/>
      <c r="AK1187" s="11"/>
      <c r="AL1187" s="10"/>
      <c r="AM1187" s="11"/>
      <c r="AN1187" s="10"/>
      <c r="AO1187" s="11"/>
      <c r="AP1187" s="10"/>
      <c r="AQ1187" s="10"/>
      <c r="AR1187" s="10"/>
      <c r="AS1187" s="9"/>
      <c r="AT1187" s="9"/>
      <c r="AU1187" s="9"/>
      <c r="AV1187" s="9"/>
      <c r="AW1187" s="9"/>
      <c r="AX1187" s="9"/>
      <c r="AY1187" s="8"/>
      <c r="AZ1187" s="8"/>
      <c r="BA1187" s="8"/>
      <c r="BB1187" s="8"/>
      <c r="BC1187" s="8"/>
      <c r="BD1187" s="8"/>
      <c r="BE1187" s="8"/>
      <c r="BF1187" s="8"/>
    </row>
    <row r="1188" spans="26:58" ht="16.899999999999999">
      <c r="Z1188" s="244"/>
      <c r="AC1188" s="10"/>
      <c r="AD1188" s="10"/>
      <c r="AF1188" s="10"/>
      <c r="AG1188" s="10"/>
      <c r="AH1188" s="10"/>
      <c r="AI1188" s="9"/>
      <c r="AJ1188" s="9"/>
      <c r="AK1188" s="11"/>
      <c r="AL1188" s="10"/>
      <c r="AM1188" s="11"/>
      <c r="AN1188" s="10"/>
      <c r="AO1188" s="11"/>
      <c r="AP1188" s="10"/>
      <c r="AQ1188" s="10"/>
      <c r="AR1188" s="10"/>
      <c r="AS1188" s="9"/>
      <c r="AT1188" s="9"/>
      <c r="AU1188" s="9"/>
      <c r="AV1188" s="9"/>
      <c r="AW1188" s="9"/>
      <c r="AX1188" s="9"/>
      <c r="AY1188" s="8"/>
      <c r="AZ1188" s="8"/>
      <c r="BA1188" s="8"/>
      <c r="BB1188" s="8"/>
      <c r="BC1188" s="8"/>
      <c r="BD1188" s="8"/>
      <c r="BE1188" s="8"/>
      <c r="BF1188" s="8"/>
    </row>
    <row r="1189" spans="26:58" ht="16.899999999999999">
      <c r="Z1189" s="244"/>
      <c r="AC1189" s="10"/>
      <c r="AD1189" s="10"/>
      <c r="AF1189" s="10"/>
      <c r="AG1189" s="10"/>
      <c r="AH1189" s="10"/>
      <c r="AI1189" s="9"/>
      <c r="AJ1189" s="9"/>
      <c r="AK1189" s="11"/>
      <c r="AL1189" s="10"/>
      <c r="AM1189" s="11"/>
      <c r="AN1189" s="10"/>
      <c r="AO1189" s="11"/>
      <c r="AP1189" s="10"/>
      <c r="AQ1189" s="10"/>
      <c r="AR1189" s="10"/>
      <c r="AS1189" s="9"/>
      <c r="AT1189" s="9"/>
      <c r="AU1189" s="9"/>
      <c r="AV1189" s="9"/>
      <c r="AW1189" s="9"/>
      <c r="AX1189" s="9"/>
      <c r="AY1189" s="8"/>
      <c r="AZ1189" s="8"/>
      <c r="BA1189" s="8"/>
      <c r="BB1189" s="8"/>
      <c r="BC1189" s="8"/>
      <c r="BD1189" s="8"/>
      <c r="BE1189" s="8"/>
      <c r="BF1189" s="8"/>
    </row>
    <row r="1190" spans="26:58" ht="16.899999999999999">
      <c r="Z1190" s="244"/>
      <c r="AC1190" s="10"/>
      <c r="AD1190" s="10"/>
      <c r="AF1190" s="10"/>
      <c r="AG1190" s="10"/>
      <c r="AH1190" s="10"/>
      <c r="AI1190" s="9"/>
      <c r="AJ1190" s="9"/>
      <c r="AK1190" s="11"/>
      <c r="AL1190" s="10"/>
      <c r="AM1190" s="11"/>
      <c r="AN1190" s="10"/>
      <c r="AO1190" s="11"/>
      <c r="AP1190" s="10"/>
      <c r="AQ1190" s="10"/>
      <c r="AR1190" s="10"/>
      <c r="AS1190" s="9"/>
      <c r="AT1190" s="9"/>
      <c r="AU1190" s="9"/>
      <c r="AV1190" s="9"/>
      <c r="AW1190" s="9"/>
      <c r="AX1190" s="9"/>
      <c r="AY1190" s="8"/>
      <c r="AZ1190" s="8"/>
      <c r="BA1190" s="8"/>
      <c r="BB1190" s="8"/>
      <c r="BC1190" s="8"/>
      <c r="BD1190" s="8"/>
      <c r="BE1190" s="8"/>
      <c r="BF1190" s="8"/>
    </row>
    <row r="1191" spans="26:58" ht="16.899999999999999">
      <c r="Z1191" s="244"/>
      <c r="AC1191" s="10"/>
      <c r="AD1191" s="10"/>
      <c r="AF1191" s="10"/>
      <c r="AG1191" s="10"/>
      <c r="AH1191" s="10"/>
      <c r="AI1191" s="9"/>
      <c r="AJ1191" s="9"/>
      <c r="AK1191" s="11"/>
      <c r="AL1191" s="10"/>
      <c r="AM1191" s="11"/>
      <c r="AN1191" s="10"/>
      <c r="AO1191" s="11"/>
      <c r="AP1191" s="10"/>
      <c r="AQ1191" s="10"/>
      <c r="AR1191" s="10"/>
      <c r="AS1191" s="9"/>
      <c r="AT1191" s="9"/>
      <c r="AU1191" s="9"/>
      <c r="AV1191" s="9"/>
      <c r="AW1191" s="9"/>
      <c r="AX1191" s="9"/>
      <c r="AY1191" s="8"/>
      <c r="AZ1191" s="8"/>
      <c r="BA1191" s="8"/>
      <c r="BB1191" s="8"/>
      <c r="BC1191" s="8"/>
      <c r="BD1191" s="8"/>
      <c r="BE1191" s="8"/>
      <c r="BF1191" s="8"/>
    </row>
    <row r="1192" spans="26:58" ht="16.899999999999999">
      <c r="Z1192" s="244"/>
      <c r="AC1192" s="10"/>
      <c r="AD1192" s="10"/>
      <c r="AF1192" s="10"/>
      <c r="AG1192" s="10"/>
      <c r="AH1192" s="10"/>
      <c r="AI1192" s="9"/>
      <c r="AJ1192" s="9"/>
      <c r="AK1192" s="11"/>
      <c r="AL1192" s="10"/>
      <c r="AM1192" s="11"/>
      <c r="AN1192" s="10"/>
      <c r="AO1192" s="11"/>
      <c r="AP1192" s="10"/>
      <c r="AQ1192" s="10"/>
      <c r="AR1192" s="10"/>
      <c r="AS1192" s="9"/>
      <c r="AT1192" s="9"/>
      <c r="AU1192" s="9"/>
      <c r="AV1192" s="9"/>
      <c r="AW1192" s="9"/>
      <c r="AX1192" s="9"/>
      <c r="AY1192" s="8"/>
      <c r="AZ1192" s="8"/>
      <c r="BA1192" s="8"/>
      <c r="BB1192" s="8"/>
      <c r="BC1192" s="8"/>
      <c r="BD1192" s="8"/>
      <c r="BE1192" s="8"/>
      <c r="BF1192" s="8"/>
    </row>
    <row r="1193" spans="26:58" ht="16.899999999999999">
      <c r="Z1193" s="244"/>
      <c r="AC1193" s="10"/>
      <c r="AD1193" s="10"/>
      <c r="AF1193" s="10"/>
      <c r="AG1193" s="10"/>
      <c r="AH1193" s="10"/>
      <c r="AI1193" s="9"/>
      <c r="AJ1193" s="9"/>
      <c r="AK1193" s="11"/>
      <c r="AL1193" s="10"/>
      <c r="AM1193" s="11"/>
      <c r="AN1193" s="10"/>
      <c r="AO1193" s="11"/>
      <c r="AP1193" s="10"/>
      <c r="AQ1193" s="10"/>
      <c r="AR1193" s="10"/>
      <c r="AS1193" s="9"/>
      <c r="AT1193" s="9"/>
      <c r="AU1193" s="9"/>
      <c r="AV1193" s="9"/>
      <c r="AW1193" s="9"/>
      <c r="AX1193" s="9"/>
      <c r="AY1193" s="8"/>
      <c r="AZ1193" s="8"/>
      <c r="BA1193" s="8"/>
      <c r="BB1193" s="8"/>
      <c r="BC1193" s="8"/>
      <c r="BD1193" s="8"/>
      <c r="BE1193" s="8"/>
      <c r="BF1193" s="8"/>
    </row>
    <row r="1194" spans="26:58" ht="16.899999999999999">
      <c r="Z1194" s="244"/>
      <c r="AC1194" s="10"/>
      <c r="AD1194" s="10"/>
      <c r="AF1194" s="10"/>
      <c r="AG1194" s="10"/>
      <c r="AH1194" s="10"/>
      <c r="AI1194" s="9"/>
      <c r="AJ1194" s="9"/>
      <c r="AK1194" s="11"/>
      <c r="AL1194" s="10"/>
      <c r="AM1194" s="11"/>
      <c r="AN1194" s="10"/>
      <c r="AO1194" s="11"/>
      <c r="AP1194" s="10"/>
      <c r="AQ1194" s="10"/>
      <c r="AR1194" s="10"/>
      <c r="AS1194" s="9"/>
      <c r="AT1194" s="9"/>
      <c r="AU1194" s="9"/>
      <c r="AV1194" s="9"/>
      <c r="AW1194" s="9"/>
      <c r="AX1194" s="9"/>
      <c r="AY1194" s="8"/>
      <c r="AZ1194" s="8"/>
      <c r="BA1194" s="8"/>
      <c r="BB1194" s="8"/>
      <c r="BC1194" s="8"/>
      <c r="BD1194" s="8"/>
      <c r="BE1194" s="8"/>
      <c r="BF1194" s="8"/>
    </row>
    <row r="1195" spans="26:58" ht="16.899999999999999">
      <c r="Z1195" s="244"/>
      <c r="AC1195" s="10"/>
      <c r="AD1195" s="10"/>
      <c r="AF1195" s="10"/>
      <c r="AG1195" s="10"/>
      <c r="AH1195" s="10"/>
      <c r="AI1195" s="9"/>
      <c r="AJ1195" s="9"/>
      <c r="AK1195" s="11"/>
      <c r="AL1195" s="10"/>
      <c r="AM1195" s="11"/>
      <c r="AN1195" s="10"/>
      <c r="AO1195" s="11"/>
      <c r="AP1195" s="10"/>
      <c r="AQ1195" s="10"/>
      <c r="AR1195" s="10"/>
      <c r="AS1195" s="9"/>
      <c r="AT1195" s="9"/>
      <c r="AU1195" s="9"/>
      <c r="AV1195" s="9"/>
      <c r="AW1195" s="9"/>
      <c r="AX1195" s="9"/>
      <c r="AY1195" s="8"/>
      <c r="AZ1195" s="8"/>
      <c r="BA1195" s="8"/>
      <c r="BB1195" s="8"/>
      <c r="BC1195" s="8"/>
      <c r="BD1195" s="8"/>
      <c r="BE1195" s="8"/>
      <c r="BF1195" s="8"/>
    </row>
    <row r="1196" spans="26:58" ht="16.899999999999999">
      <c r="Z1196" s="244"/>
      <c r="AC1196" s="10"/>
      <c r="AD1196" s="10"/>
      <c r="AF1196" s="10"/>
      <c r="AG1196" s="10"/>
      <c r="AH1196" s="10"/>
      <c r="AI1196" s="9"/>
      <c r="AJ1196" s="9"/>
      <c r="AK1196" s="11"/>
      <c r="AL1196" s="10"/>
      <c r="AM1196" s="11"/>
      <c r="AN1196" s="10"/>
      <c r="AO1196" s="11"/>
      <c r="AP1196" s="10"/>
      <c r="AQ1196" s="10"/>
      <c r="AR1196" s="10"/>
      <c r="AS1196" s="9"/>
      <c r="AT1196" s="9"/>
      <c r="AU1196" s="9"/>
      <c r="AV1196" s="9"/>
      <c r="AW1196" s="9"/>
      <c r="AX1196" s="9"/>
      <c r="AY1196" s="8"/>
      <c r="AZ1196" s="8"/>
      <c r="BA1196" s="8"/>
      <c r="BB1196" s="8"/>
      <c r="BC1196" s="8"/>
      <c r="BD1196" s="8"/>
      <c r="BE1196" s="8"/>
      <c r="BF1196" s="8"/>
    </row>
    <row r="1197" spans="26:58" ht="16.899999999999999">
      <c r="Z1197" s="244"/>
      <c r="AC1197" s="10"/>
      <c r="AD1197" s="10"/>
      <c r="AF1197" s="10"/>
      <c r="AG1197" s="10"/>
      <c r="AH1197" s="10"/>
      <c r="AI1197" s="9"/>
      <c r="AJ1197" s="9"/>
      <c r="AK1197" s="11"/>
      <c r="AL1197" s="10"/>
      <c r="AM1197" s="11"/>
      <c r="AN1197" s="10"/>
      <c r="AO1197" s="11"/>
      <c r="AP1197" s="10"/>
      <c r="AQ1197" s="10"/>
      <c r="AR1197" s="10"/>
      <c r="AS1197" s="9"/>
      <c r="AT1197" s="9"/>
      <c r="AU1197" s="9"/>
      <c r="AV1197" s="9"/>
      <c r="AW1197" s="9"/>
      <c r="AX1197" s="9"/>
      <c r="AY1197" s="8"/>
      <c r="AZ1197" s="8"/>
      <c r="BA1197" s="8"/>
      <c r="BB1197" s="8"/>
      <c r="BC1197" s="8"/>
      <c r="BD1197" s="8"/>
      <c r="BE1197" s="8"/>
      <c r="BF1197" s="8"/>
    </row>
    <row r="1198" spans="26:58" ht="16.899999999999999">
      <c r="Z1198" s="244"/>
      <c r="AC1198" s="10"/>
      <c r="AD1198" s="10"/>
      <c r="AF1198" s="10"/>
      <c r="AG1198" s="10"/>
      <c r="AH1198" s="10"/>
      <c r="AI1198" s="9"/>
      <c r="AJ1198" s="9"/>
      <c r="AK1198" s="11"/>
      <c r="AL1198" s="10"/>
      <c r="AM1198" s="11"/>
      <c r="AN1198" s="10"/>
      <c r="AO1198" s="11"/>
      <c r="AP1198" s="10"/>
      <c r="AQ1198" s="10"/>
      <c r="AR1198" s="10"/>
      <c r="AS1198" s="9"/>
      <c r="AT1198" s="9"/>
      <c r="AU1198" s="9"/>
      <c r="AV1198" s="9"/>
      <c r="AW1198" s="9"/>
      <c r="AX1198" s="9"/>
      <c r="AY1198" s="8"/>
      <c r="AZ1198" s="8"/>
      <c r="BA1198" s="8"/>
      <c r="BB1198" s="8"/>
      <c r="BC1198" s="8"/>
      <c r="BD1198" s="8"/>
      <c r="BE1198" s="8"/>
      <c r="BF1198" s="8"/>
    </row>
    <row r="1199" spans="26:58" ht="16.899999999999999">
      <c r="Z1199" s="244"/>
      <c r="AC1199" s="10"/>
      <c r="AD1199" s="10"/>
      <c r="AF1199" s="10"/>
      <c r="AG1199" s="10"/>
      <c r="AH1199" s="10"/>
      <c r="AI1199" s="9"/>
      <c r="AJ1199" s="9"/>
      <c r="AK1199" s="11"/>
      <c r="AL1199" s="10"/>
      <c r="AM1199" s="11"/>
      <c r="AN1199" s="10"/>
      <c r="AO1199" s="11"/>
      <c r="AP1199" s="10"/>
      <c r="AQ1199" s="10"/>
      <c r="AR1199" s="10"/>
      <c r="AS1199" s="9"/>
      <c r="AT1199" s="9"/>
      <c r="AU1199" s="9"/>
      <c r="AV1199" s="9"/>
      <c r="AW1199" s="9"/>
      <c r="AX1199" s="9"/>
      <c r="AY1199" s="8"/>
      <c r="AZ1199" s="8"/>
      <c r="BA1199" s="8"/>
      <c r="BB1199" s="8"/>
      <c r="BC1199" s="8"/>
      <c r="BD1199" s="8"/>
      <c r="BE1199" s="8"/>
      <c r="BF1199" s="8"/>
    </row>
    <row r="1200" spans="26:58" ht="16.899999999999999">
      <c r="Z1200" s="244"/>
      <c r="AC1200" s="10"/>
      <c r="AD1200" s="10"/>
      <c r="AF1200" s="10"/>
      <c r="AG1200" s="10"/>
      <c r="AH1200" s="10"/>
      <c r="AI1200" s="9"/>
      <c r="AJ1200" s="9"/>
      <c r="AK1200" s="11"/>
      <c r="AL1200" s="10"/>
      <c r="AM1200" s="11"/>
      <c r="AN1200" s="10"/>
      <c r="AO1200" s="11"/>
      <c r="AP1200" s="10"/>
      <c r="AQ1200" s="10"/>
      <c r="AR1200" s="10"/>
      <c r="AS1200" s="9"/>
      <c r="AT1200" s="9"/>
      <c r="AU1200" s="9"/>
      <c r="AV1200" s="9"/>
      <c r="AW1200" s="9"/>
      <c r="AX1200" s="9"/>
      <c r="AY1200" s="8"/>
      <c r="AZ1200" s="8"/>
      <c r="BA1200" s="8"/>
      <c r="BB1200" s="8"/>
      <c r="BC1200" s="8"/>
      <c r="BD1200" s="8"/>
      <c r="BE1200" s="8"/>
      <c r="BF1200" s="8"/>
    </row>
    <row r="1201" spans="26:58" ht="16.899999999999999">
      <c r="Z1201" s="244"/>
      <c r="AC1201" s="10"/>
      <c r="AD1201" s="10"/>
      <c r="AF1201" s="10"/>
      <c r="AG1201" s="10"/>
      <c r="AH1201" s="10"/>
      <c r="AI1201" s="9"/>
      <c r="AJ1201" s="9"/>
      <c r="AK1201" s="11"/>
      <c r="AL1201" s="10"/>
      <c r="AM1201" s="11"/>
      <c r="AN1201" s="10"/>
      <c r="AO1201" s="11"/>
      <c r="AP1201" s="10"/>
      <c r="AQ1201" s="10"/>
      <c r="AR1201" s="10"/>
      <c r="AS1201" s="9"/>
      <c r="AT1201" s="9"/>
      <c r="AU1201" s="9"/>
      <c r="AV1201" s="9"/>
      <c r="AW1201" s="9"/>
      <c r="AX1201" s="9"/>
      <c r="AY1201" s="8"/>
      <c r="AZ1201" s="8"/>
      <c r="BA1201" s="8"/>
      <c r="BB1201" s="8"/>
      <c r="BC1201" s="8"/>
      <c r="BD1201" s="8"/>
      <c r="BE1201" s="8"/>
      <c r="BF1201" s="8"/>
    </row>
    <row r="1202" spans="26:58" ht="16.899999999999999">
      <c r="Z1202" s="244"/>
      <c r="AC1202" s="10"/>
      <c r="AD1202" s="10"/>
      <c r="AF1202" s="10"/>
      <c r="AG1202" s="10"/>
      <c r="AH1202" s="10"/>
      <c r="AI1202" s="9"/>
      <c r="AJ1202" s="9"/>
      <c r="AK1202" s="11"/>
      <c r="AL1202" s="10"/>
      <c r="AM1202" s="11"/>
      <c r="AN1202" s="10"/>
      <c r="AO1202" s="11"/>
      <c r="AP1202" s="10"/>
      <c r="AQ1202" s="10"/>
      <c r="AR1202" s="10"/>
      <c r="AS1202" s="9"/>
      <c r="AT1202" s="9"/>
      <c r="AU1202" s="9"/>
      <c r="AV1202" s="9"/>
      <c r="AW1202" s="9"/>
      <c r="AX1202" s="9"/>
      <c r="AY1202" s="8"/>
      <c r="AZ1202" s="8"/>
      <c r="BA1202" s="8"/>
      <c r="BB1202" s="8"/>
      <c r="BC1202" s="8"/>
      <c r="BD1202" s="8"/>
      <c r="BE1202" s="8"/>
      <c r="BF1202" s="8"/>
    </row>
    <row r="1203" spans="26:58" ht="16.899999999999999">
      <c r="Z1203" s="244"/>
      <c r="AC1203" s="10"/>
      <c r="AD1203" s="10"/>
      <c r="AF1203" s="10"/>
      <c r="AG1203" s="10"/>
      <c r="AH1203" s="10"/>
      <c r="AI1203" s="9"/>
      <c r="AJ1203" s="9"/>
      <c r="AK1203" s="11"/>
      <c r="AL1203" s="10"/>
      <c r="AM1203" s="11"/>
      <c r="AN1203" s="10"/>
      <c r="AO1203" s="11"/>
      <c r="AP1203" s="10"/>
      <c r="AQ1203" s="10"/>
      <c r="AR1203" s="10"/>
      <c r="AS1203" s="9"/>
      <c r="AT1203" s="9"/>
      <c r="AU1203" s="9"/>
      <c r="AV1203" s="9"/>
      <c r="AW1203" s="9"/>
      <c r="AX1203" s="9"/>
      <c r="AY1203" s="8"/>
      <c r="AZ1203" s="8"/>
      <c r="BA1203" s="8"/>
      <c r="BB1203" s="8"/>
      <c r="BC1203" s="8"/>
      <c r="BD1203" s="8"/>
      <c r="BE1203" s="8"/>
      <c r="BF1203" s="8"/>
    </row>
    <row r="1204" spans="26:58" ht="16.899999999999999">
      <c r="Z1204" s="244"/>
      <c r="AC1204" s="10"/>
      <c r="AD1204" s="10"/>
      <c r="AF1204" s="10"/>
      <c r="AG1204" s="10"/>
      <c r="AH1204" s="10"/>
      <c r="AI1204" s="9"/>
      <c r="AJ1204" s="9"/>
      <c r="AK1204" s="11"/>
      <c r="AL1204" s="10"/>
      <c r="AM1204" s="11"/>
      <c r="AN1204" s="10"/>
      <c r="AO1204" s="11"/>
      <c r="AP1204" s="10"/>
      <c r="AQ1204" s="10"/>
      <c r="AR1204" s="10"/>
      <c r="AS1204" s="9"/>
      <c r="AT1204" s="9"/>
      <c r="AU1204" s="9"/>
      <c r="AV1204" s="9"/>
      <c r="AW1204" s="9"/>
      <c r="AX1204" s="9"/>
      <c r="AY1204" s="8"/>
      <c r="AZ1204" s="8"/>
      <c r="BA1204" s="8"/>
      <c r="BB1204" s="8"/>
      <c r="BC1204" s="8"/>
      <c r="BD1204" s="8"/>
      <c r="BE1204" s="8"/>
      <c r="BF1204" s="8"/>
    </row>
    <row r="1205" spans="26:58" ht="16.899999999999999">
      <c r="Z1205" s="244"/>
      <c r="AC1205" s="10"/>
      <c r="AD1205" s="10"/>
      <c r="AF1205" s="10"/>
      <c r="AG1205" s="10"/>
      <c r="AH1205" s="10"/>
      <c r="AI1205" s="9"/>
      <c r="AJ1205" s="9"/>
      <c r="AK1205" s="11"/>
      <c r="AL1205" s="10"/>
      <c r="AM1205" s="11"/>
      <c r="AN1205" s="10"/>
      <c r="AO1205" s="11"/>
      <c r="AP1205" s="10"/>
      <c r="AQ1205" s="10"/>
      <c r="AR1205" s="10"/>
      <c r="AS1205" s="9"/>
      <c r="AT1205" s="9"/>
      <c r="AU1205" s="9"/>
      <c r="AV1205" s="9"/>
      <c r="AW1205" s="9"/>
      <c r="AX1205" s="9"/>
      <c r="AY1205" s="8"/>
      <c r="AZ1205" s="8"/>
      <c r="BA1205" s="8"/>
      <c r="BB1205" s="8"/>
      <c r="BC1205" s="8"/>
      <c r="BD1205" s="8"/>
      <c r="BE1205" s="8"/>
      <c r="BF1205" s="8"/>
    </row>
    <row r="1206" spans="26:58" ht="16.899999999999999">
      <c r="Z1206" s="244"/>
      <c r="AC1206" s="10"/>
      <c r="AD1206" s="10"/>
      <c r="AF1206" s="10"/>
      <c r="AG1206" s="10"/>
      <c r="AH1206" s="10"/>
      <c r="AI1206" s="9"/>
      <c r="AJ1206" s="9"/>
      <c r="AK1206" s="11"/>
      <c r="AL1206" s="10"/>
      <c r="AM1206" s="11"/>
      <c r="AN1206" s="10"/>
      <c r="AO1206" s="11"/>
      <c r="AP1206" s="10"/>
      <c r="AQ1206" s="10"/>
      <c r="AR1206" s="10"/>
      <c r="AS1206" s="9"/>
      <c r="AT1206" s="9"/>
      <c r="AU1206" s="9"/>
      <c r="AV1206" s="9"/>
      <c r="AW1206" s="9"/>
      <c r="AX1206" s="9"/>
      <c r="AY1206" s="8"/>
      <c r="AZ1206" s="8"/>
      <c r="BA1206" s="8"/>
      <c r="BB1206" s="8"/>
      <c r="BC1206" s="8"/>
      <c r="BD1206" s="8"/>
      <c r="BE1206" s="8"/>
      <c r="BF1206" s="8"/>
    </row>
    <row r="1207" spans="26:58" ht="16.899999999999999">
      <c r="Z1207" s="244"/>
      <c r="AC1207" s="10"/>
      <c r="AD1207" s="10"/>
      <c r="AF1207" s="10"/>
      <c r="AG1207" s="10"/>
      <c r="AH1207" s="10"/>
      <c r="AI1207" s="9"/>
      <c r="AJ1207" s="9"/>
      <c r="AK1207" s="11"/>
      <c r="AL1207" s="10"/>
      <c r="AM1207" s="11"/>
      <c r="AN1207" s="10"/>
      <c r="AO1207" s="11"/>
      <c r="AP1207" s="10"/>
      <c r="AQ1207" s="10"/>
      <c r="AR1207" s="10"/>
      <c r="AS1207" s="9"/>
      <c r="AT1207" s="9"/>
      <c r="AU1207" s="9"/>
      <c r="AV1207" s="9"/>
      <c r="AW1207" s="9"/>
      <c r="AX1207" s="9"/>
      <c r="AY1207" s="8"/>
      <c r="AZ1207" s="8"/>
      <c r="BA1207" s="8"/>
      <c r="BB1207" s="8"/>
      <c r="BC1207" s="8"/>
      <c r="BD1207" s="8"/>
      <c r="BE1207" s="8"/>
      <c r="BF1207" s="8"/>
    </row>
    <row r="1208" spans="26:58" ht="16.899999999999999">
      <c r="Z1208" s="244"/>
      <c r="AC1208" s="10"/>
      <c r="AD1208" s="10"/>
      <c r="AF1208" s="10"/>
      <c r="AG1208" s="10"/>
      <c r="AH1208" s="10"/>
      <c r="AI1208" s="9"/>
      <c r="AJ1208" s="9"/>
      <c r="AK1208" s="11"/>
      <c r="AL1208" s="10"/>
      <c r="AM1208" s="11"/>
      <c r="AN1208" s="10"/>
      <c r="AO1208" s="11"/>
      <c r="AP1208" s="10"/>
      <c r="AQ1208" s="10"/>
      <c r="AR1208" s="10"/>
      <c r="AS1208" s="9"/>
      <c r="AT1208" s="9"/>
      <c r="AU1208" s="9"/>
      <c r="AV1208" s="9"/>
      <c r="AW1208" s="9"/>
      <c r="AX1208" s="9"/>
      <c r="AY1208" s="8"/>
      <c r="AZ1208" s="8"/>
      <c r="BA1208" s="8"/>
      <c r="BB1208" s="8"/>
      <c r="BC1208" s="8"/>
      <c r="BD1208" s="8"/>
      <c r="BE1208" s="8"/>
      <c r="BF1208" s="8"/>
    </row>
    <row r="1209" spans="26:58" ht="16.899999999999999">
      <c r="Z1209" s="244"/>
      <c r="AC1209" s="10"/>
      <c r="AD1209" s="10"/>
      <c r="AF1209" s="10"/>
      <c r="AG1209" s="10"/>
      <c r="AH1209" s="10"/>
      <c r="AI1209" s="9"/>
      <c r="AJ1209" s="9"/>
      <c r="AK1209" s="11"/>
      <c r="AL1209" s="10"/>
      <c r="AM1209" s="11"/>
      <c r="AN1209" s="10"/>
      <c r="AO1209" s="11"/>
      <c r="AP1209" s="10"/>
      <c r="AQ1209" s="10"/>
      <c r="AR1209" s="10"/>
      <c r="AS1209" s="9"/>
      <c r="AT1209" s="9"/>
      <c r="AU1209" s="9"/>
      <c r="AV1209" s="9"/>
      <c r="AW1209" s="9"/>
      <c r="AX1209" s="9"/>
      <c r="AY1209" s="8"/>
      <c r="AZ1209" s="8"/>
      <c r="BA1209" s="8"/>
      <c r="BB1209" s="8"/>
      <c r="BC1209" s="8"/>
      <c r="BD1209" s="8"/>
      <c r="BE1209" s="8"/>
      <c r="BF1209" s="8"/>
    </row>
    <row r="1210" spans="26:58" ht="16.899999999999999">
      <c r="Z1210" s="244"/>
      <c r="AC1210" s="10"/>
      <c r="AD1210" s="10"/>
      <c r="AF1210" s="10"/>
      <c r="AG1210" s="10"/>
      <c r="AH1210" s="10"/>
      <c r="AI1210" s="9"/>
      <c r="AJ1210" s="9"/>
      <c r="AK1210" s="11"/>
      <c r="AL1210" s="10"/>
      <c r="AM1210" s="11"/>
      <c r="AN1210" s="10"/>
      <c r="AO1210" s="11"/>
      <c r="AP1210" s="10"/>
      <c r="AQ1210" s="10"/>
      <c r="AR1210" s="10"/>
      <c r="AS1210" s="9"/>
      <c r="AT1210" s="9"/>
      <c r="AU1210" s="9"/>
      <c r="AV1210" s="9"/>
      <c r="AW1210" s="9"/>
      <c r="AX1210" s="9"/>
      <c r="AY1210" s="8"/>
      <c r="AZ1210" s="8"/>
      <c r="BA1210" s="8"/>
      <c r="BB1210" s="8"/>
      <c r="BC1210" s="8"/>
      <c r="BD1210" s="8"/>
      <c r="BE1210" s="8"/>
      <c r="BF1210" s="8"/>
    </row>
    <row r="1211" spans="26:58" ht="16.899999999999999">
      <c r="Z1211" s="244"/>
      <c r="AC1211" s="10"/>
      <c r="AD1211" s="10"/>
      <c r="AF1211" s="10"/>
      <c r="AG1211" s="10"/>
      <c r="AH1211" s="10"/>
      <c r="AI1211" s="9"/>
      <c r="AJ1211" s="9"/>
      <c r="AK1211" s="11"/>
      <c r="AL1211" s="10"/>
      <c r="AM1211" s="11"/>
      <c r="AN1211" s="10"/>
      <c r="AO1211" s="11"/>
      <c r="AP1211" s="10"/>
      <c r="AQ1211" s="10"/>
      <c r="AR1211" s="10"/>
      <c r="AS1211" s="9"/>
      <c r="AT1211" s="9"/>
      <c r="AU1211" s="9"/>
      <c r="AV1211" s="9"/>
      <c r="AW1211" s="9"/>
      <c r="AX1211" s="9"/>
      <c r="AY1211" s="8"/>
      <c r="AZ1211" s="8"/>
      <c r="BA1211" s="8"/>
      <c r="BB1211" s="8"/>
      <c r="BC1211" s="8"/>
      <c r="BD1211" s="8"/>
      <c r="BE1211" s="8"/>
      <c r="BF1211" s="8"/>
    </row>
    <row r="1212" spans="26:58" ht="16.899999999999999">
      <c r="Z1212" s="244"/>
      <c r="AC1212" s="10"/>
      <c r="AD1212" s="10"/>
      <c r="AF1212" s="10"/>
      <c r="AG1212" s="10"/>
      <c r="AH1212" s="10"/>
      <c r="AI1212" s="9"/>
      <c r="AJ1212" s="9"/>
      <c r="AK1212" s="11"/>
      <c r="AL1212" s="10"/>
      <c r="AM1212" s="11"/>
      <c r="AN1212" s="10"/>
      <c r="AO1212" s="11"/>
      <c r="AP1212" s="10"/>
      <c r="AQ1212" s="10"/>
      <c r="AR1212" s="10"/>
      <c r="AS1212" s="9"/>
      <c r="AT1212" s="9"/>
      <c r="AU1212" s="9"/>
      <c r="AV1212" s="9"/>
      <c r="AW1212" s="9"/>
      <c r="AX1212" s="9"/>
      <c r="AY1212" s="8"/>
      <c r="AZ1212" s="8"/>
      <c r="BA1212" s="8"/>
      <c r="BB1212" s="8"/>
      <c r="BC1212" s="8"/>
      <c r="BD1212" s="8"/>
      <c r="BE1212" s="8"/>
      <c r="BF1212" s="8"/>
    </row>
    <row r="1213" spans="26:58" ht="16.899999999999999">
      <c r="Z1213" s="244"/>
      <c r="AC1213" s="10"/>
      <c r="AD1213" s="10"/>
      <c r="AF1213" s="10"/>
      <c r="AG1213" s="10"/>
      <c r="AH1213" s="10"/>
      <c r="AI1213" s="9"/>
      <c r="AJ1213" s="9"/>
      <c r="AK1213" s="11"/>
      <c r="AL1213" s="10"/>
      <c r="AM1213" s="11"/>
      <c r="AN1213" s="10"/>
      <c r="AO1213" s="11"/>
      <c r="AP1213" s="10"/>
      <c r="AQ1213" s="10"/>
      <c r="AR1213" s="10"/>
      <c r="AS1213" s="9"/>
      <c r="AT1213" s="9"/>
      <c r="AU1213" s="9"/>
      <c r="AV1213" s="9"/>
      <c r="AW1213" s="9"/>
      <c r="AX1213" s="9"/>
      <c r="AY1213" s="8"/>
      <c r="AZ1213" s="8"/>
      <c r="BA1213" s="8"/>
      <c r="BB1213" s="8"/>
      <c r="BC1213" s="8"/>
      <c r="BD1213" s="8"/>
      <c r="BE1213" s="8"/>
      <c r="BF1213" s="8"/>
    </row>
    <row r="1214" spans="26:58" ht="16.899999999999999">
      <c r="Z1214" s="244"/>
      <c r="AC1214" s="10"/>
      <c r="AD1214" s="10"/>
      <c r="AF1214" s="10"/>
      <c r="AG1214" s="10"/>
      <c r="AH1214" s="10"/>
      <c r="AI1214" s="9"/>
      <c r="AJ1214" s="9"/>
      <c r="AK1214" s="11"/>
      <c r="AL1214" s="10"/>
      <c r="AM1214" s="11"/>
      <c r="AN1214" s="10"/>
      <c r="AO1214" s="11"/>
      <c r="AP1214" s="10"/>
      <c r="AQ1214" s="10"/>
      <c r="AR1214" s="10"/>
      <c r="AS1214" s="9"/>
      <c r="AT1214" s="9"/>
      <c r="AU1214" s="9"/>
      <c r="AV1214" s="9"/>
      <c r="AW1214" s="9"/>
      <c r="AX1214" s="9"/>
      <c r="AY1214" s="8"/>
      <c r="AZ1214" s="8"/>
      <c r="BA1214" s="8"/>
      <c r="BB1214" s="8"/>
      <c r="BC1214" s="8"/>
      <c r="BD1214" s="8"/>
      <c r="BE1214" s="8"/>
      <c r="BF1214" s="8"/>
    </row>
    <row r="1215" spans="26:58" ht="16.899999999999999">
      <c r="Z1215" s="244"/>
      <c r="AC1215" s="10"/>
      <c r="AD1215" s="10"/>
      <c r="AF1215" s="10"/>
      <c r="AG1215" s="10"/>
      <c r="AH1215" s="10"/>
      <c r="AI1215" s="9"/>
      <c r="AJ1215" s="9"/>
      <c r="AK1215" s="11"/>
      <c r="AL1215" s="10"/>
      <c r="AM1215" s="11"/>
      <c r="AN1215" s="10"/>
      <c r="AO1215" s="11"/>
      <c r="AP1215" s="10"/>
      <c r="AQ1215" s="10"/>
      <c r="AR1215" s="10"/>
      <c r="AS1215" s="9"/>
      <c r="AT1215" s="9"/>
      <c r="AU1215" s="9"/>
      <c r="AV1215" s="9"/>
      <c r="AW1215" s="9"/>
      <c r="AX1215" s="9"/>
      <c r="AY1215" s="8"/>
      <c r="AZ1215" s="8"/>
      <c r="BA1215" s="8"/>
      <c r="BB1215" s="8"/>
      <c r="BC1215" s="8"/>
      <c r="BD1215" s="8"/>
      <c r="BE1215" s="8"/>
      <c r="BF1215" s="8"/>
    </row>
    <row r="1216" spans="26:58" ht="16.899999999999999">
      <c r="Z1216" s="244"/>
      <c r="AC1216" s="10"/>
      <c r="AD1216" s="10"/>
      <c r="AF1216" s="10"/>
      <c r="AG1216" s="10"/>
      <c r="AH1216" s="10"/>
      <c r="AI1216" s="9"/>
      <c r="AJ1216" s="9"/>
      <c r="AK1216" s="11"/>
      <c r="AL1216" s="10"/>
      <c r="AM1216" s="11"/>
      <c r="AN1216" s="10"/>
      <c r="AO1216" s="11"/>
      <c r="AP1216" s="10"/>
      <c r="AQ1216" s="10"/>
      <c r="AR1216" s="10"/>
      <c r="AS1216" s="9"/>
      <c r="AT1216" s="9"/>
      <c r="AU1216" s="9"/>
      <c r="AV1216" s="9"/>
      <c r="AW1216" s="9"/>
      <c r="AX1216" s="9"/>
      <c r="AY1216" s="8"/>
      <c r="AZ1216" s="8"/>
      <c r="BA1216" s="8"/>
      <c r="BB1216" s="8"/>
      <c r="BC1216" s="8"/>
      <c r="BD1216" s="8"/>
      <c r="BE1216" s="8"/>
      <c r="BF1216" s="8"/>
    </row>
    <row r="1217" spans="26:58" ht="16.899999999999999">
      <c r="Z1217" s="244"/>
      <c r="AC1217" s="10"/>
      <c r="AD1217" s="10"/>
      <c r="AF1217" s="10"/>
      <c r="AG1217" s="10"/>
      <c r="AH1217" s="10"/>
      <c r="AI1217" s="9"/>
      <c r="AJ1217" s="9"/>
      <c r="AK1217" s="11"/>
      <c r="AL1217" s="10"/>
      <c r="AM1217" s="11"/>
      <c r="AN1217" s="10"/>
      <c r="AO1217" s="11"/>
      <c r="AP1217" s="10"/>
      <c r="AQ1217" s="10"/>
      <c r="AR1217" s="10"/>
      <c r="AS1217" s="9"/>
      <c r="AT1217" s="9"/>
      <c r="AU1217" s="9"/>
      <c r="AV1217" s="9"/>
      <c r="AW1217" s="9"/>
      <c r="AX1217" s="9"/>
      <c r="AY1217" s="8"/>
      <c r="AZ1217" s="8"/>
      <c r="BA1217" s="8"/>
      <c r="BB1217" s="8"/>
      <c r="BC1217" s="8"/>
      <c r="BD1217" s="8"/>
      <c r="BE1217" s="8"/>
      <c r="BF1217" s="8"/>
    </row>
    <row r="1218" spans="26:58" ht="16.899999999999999">
      <c r="Z1218" s="244"/>
      <c r="AC1218" s="10"/>
      <c r="AD1218" s="10"/>
      <c r="AF1218" s="10"/>
      <c r="AG1218" s="10"/>
      <c r="AH1218" s="10"/>
      <c r="AI1218" s="9"/>
      <c r="AJ1218" s="9"/>
      <c r="AK1218" s="11"/>
      <c r="AL1218" s="10"/>
      <c r="AM1218" s="11"/>
      <c r="AN1218" s="10"/>
      <c r="AO1218" s="11"/>
      <c r="AP1218" s="10"/>
      <c r="AQ1218" s="10"/>
      <c r="AR1218" s="10"/>
      <c r="AS1218" s="9"/>
      <c r="AT1218" s="9"/>
      <c r="AU1218" s="9"/>
      <c r="AV1218" s="9"/>
      <c r="AW1218" s="9"/>
      <c r="AX1218" s="9"/>
      <c r="AY1218" s="8"/>
      <c r="AZ1218" s="8"/>
      <c r="BA1218" s="8"/>
      <c r="BB1218" s="8"/>
      <c r="BC1218" s="8"/>
      <c r="BD1218" s="8"/>
      <c r="BE1218" s="8"/>
      <c r="BF1218" s="8"/>
    </row>
    <row r="1219" spans="26:58" ht="16.899999999999999">
      <c r="Z1219" s="244"/>
      <c r="AC1219" s="10"/>
      <c r="AD1219" s="10"/>
      <c r="AF1219" s="10"/>
      <c r="AG1219" s="10"/>
      <c r="AH1219" s="10"/>
      <c r="AI1219" s="9"/>
      <c r="AJ1219" s="9"/>
      <c r="AK1219" s="11"/>
      <c r="AL1219" s="10"/>
      <c r="AM1219" s="11"/>
      <c r="AN1219" s="10"/>
      <c r="AO1219" s="11"/>
      <c r="AP1219" s="10"/>
      <c r="AQ1219" s="10"/>
      <c r="AR1219" s="10"/>
      <c r="AS1219" s="9"/>
      <c r="AT1219" s="9"/>
      <c r="AU1219" s="9"/>
      <c r="AV1219" s="9"/>
      <c r="AW1219" s="9"/>
      <c r="AX1219" s="9"/>
      <c r="AY1219" s="8"/>
      <c r="AZ1219" s="8"/>
      <c r="BA1219" s="8"/>
      <c r="BB1219" s="8"/>
      <c r="BC1219" s="8"/>
      <c r="BD1219" s="8"/>
      <c r="BE1219" s="8"/>
      <c r="BF1219" s="8"/>
    </row>
    <row r="1220" spans="26:58" ht="16.899999999999999">
      <c r="Z1220" s="244"/>
      <c r="AC1220" s="10"/>
      <c r="AD1220" s="10"/>
      <c r="AF1220" s="10"/>
      <c r="AG1220" s="10"/>
      <c r="AH1220" s="10"/>
      <c r="AI1220" s="9"/>
      <c r="AJ1220" s="9"/>
      <c r="AK1220" s="11"/>
      <c r="AL1220" s="10"/>
      <c r="AM1220" s="11"/>
      <c r="AN1220" s="10"/>
      <c r="AO1220" s="11"/>
      <c r="AP1220" s="10"/>
      <c r="AQ1220" s="10"/>
      <c r="AR1220" s="10"/>
      <c r="AS1220" s="9"/>
      <c r="AT1220" s="9"/>
      <c r="AU1220" s="9"/>
      <c r="AV1220" s="9"/>
      <c r="AW1220" s="9"/>
      <c r="AX1220" s="9"/>
      <c r="AY1220" s="8"/>
      <c r="AZ1220" s="8"/>
      <c r="BA1220" s="8"/>
      <c r="BB1220" s="8"/>
      <c r="BC1220" s="8"/>
      <c r="BD1220" s="8"/>
      <c r="BE1220" s="8"/>
      <c r="BF1220" s="8"/>
    </row>
    <row r="1221" spans="26:58" ht="16.899999999999999">
      <c r="Z1221" s="244"/>
      <c r="AC1221" s="10"/>
      <c r="AD1221" s="10"/>
      <c r="AF1221" s="10"/>
      <c r="AG1221" s="10"/>
      <c r="AH1221" s="10"/>
      <c r="AI1221" s="9"/>
      <c r="AJ1221" s="9"/>
      <c r="AK1221" s="11"/>
      <c r="AL1221" s="10"/>
      <c r="AM1221" s="11"/>
      <c r="AN1221" s="10"/>
      <c r="AO1221" s="11"/>
      <c r="AP1221" s="10"/>
      <c r="AQ1221" s="10"/>
      <c r="AR1221" s="10"/>
      <c r="AS1221" s="9"/>
      <c r="AT1221" s="9"/>
      <c r="AU1221" s="9"/>
      <c r="AV1221" s="9"/>
      <c r="AW1221" s="9"/>
      <c r="AX1221" s="9"/>
      <c r="AY1221" s="8"/>
      <c r="AZ1221" s="8"/>
      <c r="BA1221" s="8"/>
      <c r="BB1221" s="8"/>
      <c r="BC1221" s="8"/>
      <c r="BD1221" s="8"/>
      <c r="BE1221" s="8"/>
      <c r="BF1221" s="8"/>
    </row>
    <row r="1222" spans="26:58" ht="16.899999999999999">
      <c r="Z1222" s="244"/>
      <c r="AC1222" s="10"/>
      <c r="AD1222" s="10"/>
      <c r="AF1222" s="10"/>
      <c r="AG1222" s="10"/>
      <c r="AH1222" s="10"/>
      <c r="AI1222" s="9"/>
      <c r="AJ1222" s="9"/>
      <c r="AK1222" s="11"/>
      <c r="AL1222" s="10"/>
      <c r="AM1222" s="11"/>
      <c r="AN1222" s="10"/>
      <c r="AO1222" s="11"/>
      <c r="AP1222" s="10"/>
      <c r="AQ1222" s="10"/>
      <c r="AR1222" s="10"/>
      <c r="AS1222" s="9"/>
      <c r="AT1222" s="9"/>
      <c r="AU1222" s="9"/>
      <c r="AV1222" s="9"/>
      <c r="AW1222" s="9"/>
      <c r="AX1222" s="9"/>
      <c r="AY1222" s="8"/>
      <c r="AZ1222" s="8"/>
      <c r="BA1222" s="8"/>
      <c r="BB1222" s="8"/>
      <c r="BC1222" s="8"/>
      <c r="BD1222" s="8"/>
      <c r="BE1222" s="8"/>
      <c r="BF1222" s="8"/>
    </row>
    <row r="1223" spans="26:58" ht="16.899999999999999">
      <c r="Z1223" s="244"/>
      <c r="AC1223" s="10"/>
      <c r="AD1223" s="10"/>
      <c r="AF1223" s="10"/>
      <c r="AG1223" s="10"/>
      <c r="AH1223" s="10"/>
      <c r="AI1223" s="9"/>
      <c r="AJ1223" s="9"/>
      <c r="AK1223" s="11"/>
      <c r="AL1223" s="10"/>
      <c r="AM1223" s="11"/>
      <c r="AN1223" s="10"/>
      <c r="AO1223" s="11"/>
      <c r="AP1223" s="10"/>
      <c r="AQ1223" s="10"/>
      <c r="AR1223" s="10"/>
      <c r="AS1223" s="9"/>
      <c r="AT1223" s="9"/>
      <c r="AU1223" s="9"/>
      <c r="AV1223" s="9"/>
      <c r="AW1223" s="9"/>
      <c r="AX1223" s="9"/>
      <c r="AY1223" s="8"/>
      <c r="AZ1223" s="8"/>
      <c r="BA1223" s="8"/>
      <c r="BB1223" s="8"/>
      <c r="BC1223" s="8"/>
      <c r="BD1223" s="8"/>
      <c r="BE1223" s="8"/>
      <c r="BF1223" s="8"/>
    </row>
    <row r="1224" spans="26:58" ht="16.899999999999999">
      <c r="Z1224" s="244"/>
      <c r="AC1224" s="10"/>
      <c r="AD1224" s="10"/>
      <c r="AF1224" s="10"/>
      <c r="AG1224" s="10"/>
      <c r="AH1224" s="10"/>
      <c r="AI1224" s="9"/>
      <c r="AJ1224" s="9"/>
      <c r="AK1224" s="11"/>
      <c r="AL1224" s="10"/>
      <c r="AM1224" s="11"/>
      <c r="AN1224" s="10"/>
      <c r="AO1224" s="11"/>
      <c r="AP1224" s="10"/>
      <c r="AQ1224" s="10"/>
      <c r="AR1224" s="10"/>
      <c r="AS1224" s="9"/>
      <c r="AT1224" s="9"/>
      <c r="AU1224" s="9"/>
      <c r="AV1224" s="9"/>
      <c r="AW1224" s="9"/>
      <c r="AX1224" s="9"/>
      <c r="AY1224" s="8"/>
      <c r="AZ1224" s="8"/>
      <c r="BA1224" s="8"/>
      <c r="BB1224" s="8"/>
      <c r="BC1224" s="8"/>
      <c r="BD1224" s="8"/>
      <c r="BE1224" s="8"/>
      <c r="BF1224" s="8"/>
    </row>
    <row r="1225" spans="26:58" ht="16.899999999999999">
      <c r="Z1225" s="244"/>
      <c r="AC1225" s="10"/>
      <c r="AD1225" s="10"/>
      <c r="AF1225" s="10"/>
      <c r="AG1225" s="10"/>
      <c r="AH1225" s="10"/>
      <c r="AI1225" s="9"/>
      <c r="AJ1225" s="9"/>
      <c r="AK1225" s="11"/>
      <c r="AL1225" s="10"/>
      <c r="AM1225" s="11"/>
      <c r="AN1225" s="10"/>
      <c r="AO1225" s="11"/>
      <c r="AP1225" s="10"/>
      <c r="AQ1225" s="10"/>
      <c r="AR1225" s="10"/>
      <c r="AS1225" s="9"/>
      <c r="AT1225" s="9"/>
      <c r="AU1225" s="9"/>
      <c r="AV1225" s="9"/>
      <c r="AW1225" s="9"/>
      <c r="AX1225" s="9"/>
      <c r="AY1225" s="8"/>
      <c r="AZ1225" s="8"/>
      <c r="BA1225" s="8"/>
      <c r="BB1225" s="8"/>
      <c r="BC1225" s="8"/>
      <c r="BD1225" s="8"/>
      <c r="BE1225" s="8"/>
      <c r="BF1225" s="8"/>
    </row>
    <row r="1226" spans="26:58" ht="16.899999999999999">
      <c r="Z1226" s="244"/>
      <c r="AC1226" s="10"/>
      <c r="AD1226" s="10"/>
      <c r="AF1226" s="10"/>
      <c r="AG1226" s="10"/>
      <c r="AH1226" s="10"/>
      <c r="AI1226" s="9"/>
      <c r="AJ1226" s="9"/>
      <c r="AK1226" s="11"/>
      <c r="AL1226" s="10"/>
      <c r="AM1226" s="11"/>
      <c r="AN1226" s="10"/>
      <c r="AO1226" s="11"/>
      <c r="AP1226" s="10"/>
      <c r="AQ1226" s="10"/>
      <c r="AR1226" s="10"/>
      <c r="AS1226" s="9"/>
      <c r="AT1226" s="9"/>
      <c r="AU1226" s="9"/>
      <c r="AV1226" s="9"/>
      <c r="AW1226" s="9"/>
      <c r="AX1226" s="9"/>
      <c r="AY1226" s="8"/>
      <c r="AZ1226" s="8"/>
      <c r="BA1226" s="8"/>
      <c r="BB1226" s="8"/>
      <c r="BC1226" s="8"/>
      <c r="BD1226" s="8"/>
      <c r="BE1226" s="8"/>
      <c r="BF1226" s="8"/>
    </row>
    <row r="1227" spans="26:58" ht="16.899999999999999">
      <c r="Z1227" s="244"/>
      <c r="AC1227" s="10"/>
      <c r="AD1227" s="10"/>
      <c r="AF1227" s="10"/>
      <c r="AG1227" s="10"/>
      <c r="AH1227" s="10"/>
      <c r="AI1227" s="9"/>
      <c r="AJ1227" s="9"/>
      <c r="AK1227" s="11"/>
      <c r="AL1227" s="10"/>
      <c r="AM1227" s="11"/>
      <c r="AN1227" s="10"/>
      <c r="AO1227" s="11"/>
      <c r="AP1227" s="10"/>
      <c r="AQ1227" s="10"/>
      <c r="AR1227" s="10"/>
      <c r="AS1227" s="9"/>
      <c r="AT1227" s="9"/>
      <c r="AU1227" s="9"/>
      <c r="AV1227" s="9"/>
      <c r="AW1227" s="9"/>
      <c r="AX1227" s="9"/>
      <c r="AY1227" s="8"/>
      <c r="AZ1227" s="8"/>
      <c r="BA1227" s="8"/>
      <c r="BB1227" s="8"/>
      <c r="BC1227" s="8"/>
      <c r="BD1227" s="8"/>
      <c r="BE1227" s="8"/>
      <c r="BF1227" s="8"/>
    </row>
    <row r="1228" spans="26:58" ht="16.899999999999999">
      <c r="Z1228" s="244"/>
      <c r="AC1228" s="10"/>
      <c r="AD1228" s="10"/>
      <c r="AF1228" s="10"/>
      <c r="AG1228" s="10"/>
      <c r="AH1228" s="10"/>
      <c r="AI1228" s="9"/>
      <c r="AJ1228" s="9"/>
      <c r="AK1228" s="11"/>
      <c r="AL1228" s="10"/>
      <c r="AM1228" s="11"/>
      <c r="AN1228" s="10"/>
      <c r="AO1228" s="11"/>
      <c r="AP1228" s="10"/>
      <c r="AQ1228" s="10"/>
      <c r="AR1228" s="10"/>
      <c r="AS1228" s="9"/>
      <c r="AT1228" s="9"/>
      <c r="AU1228" s="9"/>
      <c r="AV1228" s="9"/>
      <c r="AW1228" s="9"/>
      <c r="AX1228" s="9"/>
      <c r="AY1228" s="8"/>
      <c r="AZ1228" s="8"/>
      <c r="BA1228" s="8"/>
      <c r="BB1228" s="8"/>
      <c r="BC1228" s="8"/>
      <c r="BD1228" s="8"/>
      <c r="BE1228" s="8"/>
      <c r="BF1228" s="8"/>
    </row>
    <row r="1229" spans="26:58" ht="16.899999999999999">
      <c r="Z1229" s="244"/>
      <c r="AC1229" s="10"/>
      <c r="AD1229" s="10"/>
      <c r="AF1229" s="10"/>
      <c r="AG1229" s="10"/>
      <c r="AH1229" s="10"/>
      <c r="AI1229" s="9"/>
      <c r="AJ1229" s="9"/>
      <c r="AK1229" s="11"/>
      <c r="AL1229" s="10"/>
      <c r="AM1229" s="11"/>
      <c r="AN1229" s="10"/>
      <c r="AO1229" s="11"/>
      <c r="AP1229" s="10"/>
      <c r="AQ1229" s="10"/>
      <c r="AR1229" s="10"/>
      <c r="AS1229" s="9"/>
      <c r="AT1229" s="9"/>
      <c r="AU1229" s="9"/>
      <c r="AV1229" s="9"/>
      <c r="AW1229" s="9"/>
      <c r="AX1229" s="9"/>
      <c r="AY1229" s="8"/>
      <c r="AZ1229" s="8"/>
      <c r="BA1229" s="8"/>
      <c r="BB1229" s="8"/>
      <c r="BC1229" s="8"/>
      <c r="BD1229" s="8"/>
      <c r="BE1229" s="8"/>
      <c r="BF1229" s="8"/>
    </row>
    <row r="1230" spans="26:58" ht="16.899999999999999">
      <c r="Z1230" s="244"/>
      <c r="AC1230" s="10"/>
      <c r="AD1230" s="10"/>
      <c r="AF1230" s="10"/>
      <c r="AG1230" s="10"/>
      <c r="AH1230" s="10"/>
      <c r="AI1230" s="9"/>
      <c r="AJ1230" s="9"/>
      <c r="AK1230" s="11"/>
      <c r="AL1230" s="10"/>
      <c r="AM1230" s="11"/>
      <c r="AN1230" s="10"/>
      <c r="AO1230" s="11"/>
      <c r="AP1230" s="10"/>
      <c r="AQ1230" s="10"/>
      <c r="AR1230" s="10"/>
      <c r="AS1230" s="9"/>
      <c r="AT1230" s="9"/>
      <c r="AU1230" s="9"/>
      <c r="AV1230" s="9"/>
      <c r="AW1230" s="9"/>
      <c r="AX1230" s="9"/>
      <c r="AY1230" s="8"/>
      <c r="AZ1230" s="8"/>
      <c r="BA1230" s="8"/>
      <c r="BB1230" s="8"/>
      <c r="BC1230" s="8"/>
      <c r="BD1230" s="8"/>
      <c r="BE1230" s="8"/>
      <c r="BF1230" s="8"/>
    </row>
    <row r="1231" spans="26:58" ht="16.899999999999999">
      <c r="Z1231" s="244"/>
      <c r="AC1231" s="10"/>
      <c r="AD1231" s="10"/>
      <c r="AF1231" s="10"/>
      <c r="AG1231" s="10"/>
      <c r="AH1231" s="10"/>
      <c r="AI1231" s="9"/>
      <c r="AJ1231" s="9"/>
      <c r="AK1231" s="11"/>
      <c r="AL1231" s="10"/>
      <c r="AM1231" s="11"/>
      <c r="AN1231" s="10"/>
      <c r="AO1231" s="11"/>
      <c r="AP1231" s="10"/>
      <c r="AQ1231" s="10"/>
      <c r="AR1231" s="10"/>
      <c r="AS1231" s="9"/>
      <c r="AT1231" s="9"/>
      <c r="AU1231" s="9"/>
      <c r="AV1231" s="9"/>
      <c r="AW1231" s="9"/>
      <c r="AX1231" s="9"/>
      <c r="AY1231" s="8"/>
      <c r="AZ1231" s="8"/>
      <c r="BA1231" s="8"/>
      <c r="BB1231" s="8"/>
      <c r="BC1231" s="8"/>
      <c r="BD1231" s="8"/>
      <c r="BE1231" s="8"/>
      <c r="BF1231" s="8"/>
    </row>
    <row r="1232" spans="26:58" ht="16.899999999999999">
      <c r="Z1232" s="244"/>
      <c r="AC1232" s="10"/>
      <c r="AD1232" s="10"/>
      <c r="AF1232" s="10"/>
      <c r="AG1232" s="10"/>
      <c r="AH1232" s="10"/>
      <c r="AI1232" s="9"/>
      <c r="AJ1232" s="9"/>
      <c r="AK1232" s="11"/>
      <c r="AL1232" s="10"/>
      <c r="AM1232" s="11"/>
      <c r="AN1232" s="10"/>
      <c r="AO1232" s="11"/>
      <c r="AP1232" s="10"/>
      <c r="AQ1232" s="10"/>
      <c r="AR1232" s="10"/>
      <c r="AS1232" s="9"/>
      <c r="AT1232" s="9"/>
      <c r="AU1232" s="9"/>
      <c r="AV1232" s="9"/>
      <c r="AW1232" s="9"/>
      <c r="AX1232" s="9"/>
      <c r="AY1232" s="8"/>
      <c r="AZ1232" s="8"/>
      <c r="BA1232" s="8"/>
      <c r="BB1232" s="8"/>
      <c r="BC1232" s="8"/>
      <c r="BD1232" s="8"/>
      <c r="BE1232" s="8"/>
      <c r="BF1232" s="8"/>
    </row>
    <row r="1233" spans="26:58" ht="16.899999999999999">
      <c r="Z1233" s="244"/>
      <c r="AC1233" s="10"/>
      <c r="AD1233" s="10"/>
      <c r="AF1233" s="10"/>
      <c r="AG1233" s="10"/>
      <c r="AH1233" s="10"/>
      <c r="AI1233" s="9"/>
      <c r="AJ1233" s="9"/>
      <c r="AK1233" s="11"/>
      <c r="AL1233" s="10"/>
      <c r="AM1233" s="11"/>
      <c r="AN1233" s="10"/>
      <c r="AO1233" s="11"/>
      <c r="AP1233" s="10"/>
      <c r="AQ1233" s="10"/>
      <c r="AR1233" s="10"/>
      <c r="AS1233" s="9"/>
      <c r="AT1233" s="9"/>
      <c r="AU1233" s="9"/>
      <c r="AV1233" s="9"/>
      <c r="AW1233" s="9"/>
      <c r="AX1233" s="9"/>
      <c r="AY1233" s="8"/>
      <c r="AZ1233" s="8"/>
      <c r="BA1233" s="8"/>
      <c r="BB1233" s="8"/>
      <c r="BC1233" s="8"/>
      <c r="BD1233" s="8"/>
      <c r="BE1233" s="8"/>
      <c r="BF1233" s="8"/>
    </row>
    <row r="1234" spans="26:58" ht="16.899999999999999">
      <c r="Z1234" s="244"/>
      <c r="AC1234" s="10"/>
      <c r="AD1234" s="10"/>
      <c r="AF1234" s="10"/>
      <c r="AG1234" s="10"/>
      <c r="AH1234" s="10"/>
      <c r="AI1234" s="9"/>
      <c r="AJ1234" s="9"/>
      <c r="AK1234" s="11"/>
      <c r="AL1234" s="10"/>
      <c r="AM1234" s="11"/>
      <c r="AN1234" s="10"/>
      <c r="AO1234" s="11"/>
      <c r="AP1234" s="10"/>
      <c r="AQ1234" s="10"/>
      <c r="AR1234" s="10"/>
      <c r="AS1234" s="9"/>
      <c r="AT1234" s="9"/>
      <c r="AU1234" s="9"/>
      <c r="AV1234" s="9"/>
      <c r="AW1234" s="9"/>
      <c r="AX1234" s="9"/>
      <c r="AY1234" s="8"/>
      <c r="AZ1234" s="8"/>
      <c r="BA1234" s="8"/>
      <c r="BB1234" s="8"/>
      <c r="BC1234" s="8"/>
      <c r="BD1234" s="8"/>
      <c r="BE1234" s="8"/>
      <c r="BF1234" s="8"/>
    </row>
    <row r="1235" spans="26:58" ht="16.899999999999999">
      <c r="Z1235" s="244"/>
      <c r="AC1235" s="10"/>
      <c r="AD1235" s="10"/>
      <c r="AF1235" s="10"/>
      <c r="AG1235" s="10"/>
      <c r="AH1235" s="10"/>
      <c r="AI1235" s="9"/>
      <c r="AJ1235" s="9"/>
      <c r="AK1235" s="11"/>
      <c r="AL1235" s="10"/>
      <c r="AM1235" s="11"/>
      <c r="AN1235" s="10"/>
      <c r="AO1235" s="11"/>
      <c r="AP1235" s="10"/>
      <c r="AQ1235" s="10"/>
      <c r="AR1235" s="10"/>
      <c r="AS1235" s="9"/>
      <c r="AT1235" s="9"/>
      <c r="AU1235" s="9"/>
      <c r="AV1235" s="9"/>
      <c r="AW1235" s="9"/>
      <c r="AX1235" s="9"/>
      <c r="AY1235" s="8"/>
      <c r="AZ1235" s="8"/>
      <c r="BA1235" s="8"/>
      <c r="BB1235" s="8"/>
      <c r="BC1235" s="8"/>
      <c r="BD1235" s="8"/>
      <c r="BE1235" s="8"/>
      <c r="BF1235" s="8"/>
    </row>
    <row r="1236" spans="26:58" ht="16.899999999999999">
      <c r="Z1236" s="244"/>
      <c r="AC1236" s="10"/>
      <c r="AD1236" s="10"/>
      <c r="AF1236" s="10"/>
      <c r="AG1236" s="10"/>
      <c r="AH1236" s="10"/>
      <c r="AI1236" s="9"/>
      <c r="AJ1236" s="9"/>
      <c r="AK1236" s="11"/>
      <c r="AL1236" s="10"/>
      <c r="AM1236" s="11"/>
      <c r="AN1236" s="10"/>
      <c r="AO1236" s="11"/>
      <c r="AP1236" s="10"/>
      <c r="AQ1236" s="10"/>
      <c r="AR1236" s="10"/>
      <c r="AS1236" s="9"/>
      <c r="AT1236" s="9"/>
      <c r="AU1236" s="9"/>
      <c r="AV1236" s="9"/>
      <c r="AW1236" s="9"/>
      <c r="AX1236" s="9"/>
      <c r="AY1236" s="8"/>
      <c r="AZ1236" s="8"/>
      <c r="BA1236" s="8"/>
      <c r="BB1236" s="8"/>
      <c r="BC1236" s="8"/>
      <c r="BD1236" s="8"/>
      <c r="BE1236" s="8"/>
      <c r="BF1236" s="8"/>
    </row>
    <row r="1237" spans="26:58" ht="16.899999999999999">
      <c r="Z1237" s="244"/>
      <c r="AC1237" s="10"/>
      <c r="AD1237" s="10"/>
      <c r="AF1237" s="10"/>
      <c r="AG1237" s="10"/>
      <c r="AH1237" s="10"/>
      <c r="AI1237" s="9"/>
      <c r="AJ1237" s="9"/>
      <c r="AK1237" s="11"/>
      <c r="AL1237" s="10"/>
      <c r="AM1237" s="11"/>
      <c r="AN1237" s="10"/>
      <c r="AO1237" s="11"/>
      <c r="AP1237" s="10"/>
      <c r="AQ1237" s="10"/>
      <c r="AR1237" s="10"/>
      <c r="AS1237" s="9"/>
      <c r="AT1237" s="9"/>
      <c r="AU1237" s="9"/>
      <c r="AV1237" s="9"/>
      <c r="AW1237" s="9"/>
      <c r="AX1237" s="9"/>
      <c r="AY1237" s="8"/>
      <c r="AZ1237" s="8"/>
      <c r="BA1237" s="8"/>
      <c r="BB1237" s="8"/>
      <c r="BC1237" s="8"/>
      <c r="BD1237" s="8"/>
      <c r="BE1237" s="8"/>
      <c r="BF1237" s="8"/>
    </row>
    <row r="1238" spans="26:58" ht="16.899999999999999">
      <c r="Z1238" s="244"/>
      <c r="AC1238" s="10"/>
      <c r="AD1238" s="10"/>
      <c r="AF1238" s="10"/>
      <c r="AG1238" s="10"/>
      <c r="AH1238" s="10"/>
      <c r="AI1238" s="9"/>
      <c r="AJ1238" s="9"/>
      <c r="AK1238" s="11"/>
      <c r="AL1238" s="10"/>
      <c r="AM1238" s="11"/>
      <c r="AN1238" s="10"/>
      <c r="AO1238" s="11"/>
      <c r="AP1238" s="10"/>
      <c r="AQ1238" s="10"/>
      <c r="AR1238" s="10"/>
      <c r="AS1238" s="9"/>
      <c r="AT1238" s="9"/>
      <c r="AU1238" s="9"/>
      <c r="AV1238" s="9"/>
      <c r="AW1238" s="9"/>
      <c r="AX1238" s="9"/>
      <c r="AY1238" s="8"/>
      <c r="AZ1238" s="8"/>
      <c r="BA1238" s="8"/>
      <c r="BB1238" s="8"/>
      <c r="BC1238" s="8"/>
      <c r="BD1238" s="8"/>
      <c r="BE1238" s="8"/>
      <c r="BF1238" s="8"/>
    </row>
    <row r="1239" spans="26:58" ht="16.899999999999999">
      <c r="Z1239" s="244"/>
      <c r="AC1239" s="10"/>
      <c r="AD1239" s="10"/>
      <c r="AF1239" s="10"/>
      <c r="AG1239" s="10"/>
      <c r="AH1239" s="10"/>
      <c r="AI1239" s="9"/>
      <c r="AJ1239" s="9"/>
      <c r="AK1239" s="11"/>
      <c r="AL1239" s="10"/>
      <c r="AM1239" s="11"/>
      <c r="AN1239" s="10"/>
      <c r="AO1239" s="11"/>
      <c r="AP1239" s="10"/>
      <c r="AQ1239" s="10"/>
      <c r="AR1239" s="10"/>
      <c r="AS1239" s="9"/>
      <c r="AT1239" s="9"/>
      <c r="AU1239" s="9"/>
      <c r="AV1239" s="9"/>
      <c r="AW1239" s="9"/>
      <c r="AX1239" s="9"/>
      <c r="AY1239" s="8"/>
      <c r="AZ1239" s="8"/>
      <c r="BA1239" s="8"/>
      <c r="BB1239" s="8"/>
      <c r="BC1239" s="8"/>
      <c r="BD1239" s="8"/>
      <c r="BE1239" s="8"/>
      <c r="BF1239" s="8"/>
    </row>
    <row r="1240" spans="26:58" ht="16.899999999999999">
      <c r="Z1240" s="244"/>
      <c r="AC1240" s="10"/>
      <c r="AD1240" s="10"/>
      <c r="AF1240" s="10"/>
      <c r="AG1240" s="10"/>
      <c r="AH1240" s="10"/>
      <c r="AI1240" s="9"/>
      <c r="AJ1240" s="9"/>
      <c r="AK1240" s="11"/>
      <c r="AL1240" s="10"/>
      <c r="AM1240" s="11"/>
      <c r="AN1240" s="10"/>
      <c r="AO1240" s="11"/>
      <c r="AP1240" s="10"/>
      <c r="AQ1240" s="10"/>
      <c r="AR1240" s="10"/>
      <c r="AS1240" s="9"/>
      <c r="AT1240" s="9"/>
      <c r="AU1240" s="9"/>
      <c r="AV1240" s="9"/>
      <c r="AW1240" s="9"/>
      <c r="AX1240" s="9"/>
      <c r="AY1240" s="8"/>
      <c r="AZ1240" s="8"/>
      <c r="BA1240" s="8"/>
      <c r="BB1240" s="8"/>
      <c r="BC1240" s="8"/>
      <c r="BD1240" s="8"/>
      <c r="BE1240" s="8"/>
      <c r="BF1240" s="8"/>
    </row>
    <row r="1241" spans="26:58" ht="16.899999999999999">
      <c r="Z1241" s="244"/>
      <c r="AC1241" s="10"/>
      <c r="AD1241" s="10"/>
      <c r="AF1241" s="10"/>
      <c r="AG1241" s="10"/>
      <c r="AH1241" s="10"/>
      <c r="AI1241" s="9"/>
      <c r="AJ1241" s="9"/>
      <c r="AK1241" s="11"/>
      <c r="AL1241" s="10"/>
      <c r="AM1241" s="11"/>
      <c r="AN1241" s="10"/>
      <c r="AO1241" s="11"/>
      <c r="AP1241" s="10"/>
      <c r="AQ1241" s="10"/>
      <c r="AR1241" s="10"/>
      <c r="AS1241" s="9"/>
      <c r="AT1241" s="9"/>
      <c r="AU1241" s="9"/>
      <c r="AV1241" s="9"/>
      <c r="AW1241" s="9"/>
      <c r="AX1241" s="9"/>
      <c r="AY1241" s="8"/>
      <c r="AZ1241" s="8"/>
      <c r="BA1241" s="8"/>
      <c r="BB1241" s="8"/>
      <c r="BC1241" s="8"/>
      <c r="BD1241" s="8"/>
      <c r="BE1241" s="8"/>
      <c r="BF1241" s="8"/>
    </row>
    <row r="1242" spans="26:58" ht="16.899999999999999">
      <c r="Z1242" s="244"/>
      <c r="AC1242" s="10"/>
      <c r="AD1242" s="10"/>
      <c r="AF1242" s="10"/>
      <c r="AG1242" s="10"/>
      <c r="AH1242" s="10"/>
      <c r="AI1242" s="9"/>
      <c r="AJ1242" s="9"/>
      <c r="AK1242" s="11"/>
      <c r="AL1242" s="10"/>
      <c r="AM1242" s="11"/>
      <c r="AN1242" s="10"/>
      <c r="AO1242" s="11"/>
      <c r="AP1242" s="10"/>
      <c r="AQ1242" s="10"/>
      <c r="AR1242" s="10"/>
      <c r="AS1242" s="9"/>
      <c r="AT1242" s="9"/>
      <c r="AU1242" s="9"/>
      <c r="AV1242" s="9"/>
      <c r="AW1242" s="9"/>
      <c r="AX1242" s="9"/>
      <c r="AY1242" s="8"/>
      <c r="AZ1242" s="8"/>
      <c r="BA1242" s="8"/>
      <c r="BB1242" s="8"/>
      <c r="BC1242" s="8"/>
      <c r="BD1242" s="8"/>
      <c r="BE1242" s="8"/>
      <c r="BF1242" s="8"/>
    </row>
    <row r="1243" spans="26:58" ht="16.899999999999999">
      <c r="Z1243" s="244"/>
      <c r="AC1243" s="10"/>
      <c r="AD1243" s="10"/>
      <c r="AF1243" s="10"/>
      <c r="AG1243" s="10"/>
      <c r="AH1243" s="10"/>
      <c r="AI1243" s="9"/>
      <c r="AJ1243" s="9"/>
      <c r="AK1243" s="11"/>
      <c r="AL1243" s="10"/>
      <c r="AM1243" s="11"/>
      <c r="AN1243" s="10"/>
      <c r="AO1243" s="11"/>
      <c r="AP1243" s="10"/>
      <c r="AQ1243" s="10"/>
      <c r="AR1243" s="10"/>
      <c r="AS1243" s="9"/>
      <c r="AT1243" s="9"/>
      <c r="AU1243" s="9"/>
      <c r="AV1243" s="9"/>
      <c r="AW1243" s="9"/>
      <c r="AX1243" s="9"/>
      <c r="AY1243" s="8"/>
      <c r="AZ1243" s="8"/>
      <c r="BA1243" s="8"/>
      <c r="BB1243" s="8"/>
      <c r="BC1243" s="8"/>
      <c r="BD1243" s="8"/>
      <c r="BE1243" s="8"/>
      <c r="BF1243" s="8"/>
    </row>
    <row r="1244" spans="26:58" ht="16.899999999999999">
      <c r="Z1244" s="244"/>
      <c r="AC1244" s="10"/>
      <c r="AD1244" s="10"/>
      <c r="AF1244" s="10"/>
      <c r="AG1244" s="10"/>
      <c r="AH1244" s="10"/>
      <c r="AI1244" s="9"/>
      <c r="AJ1244" s="9"/>
      <c r="AK1244" s="11"/>
      <c r="AL1244" s="10"/>
      <c r="AM1244" s="11"/>
      <c r="AN1244" s="10"/>
      <c r="AO1244" s="11"/>
      <c r="AP1244" s="10"/>
      <c r="AQ1244" s="10"/>
      <c r="AR1244" s="10"/>
      <c r="AS1244" s="9"/>
      <c r="AT1244" s="9"/>
      <c r="AU1244" s="9"/>
      <c r="AV1244" s="9"/>
      <c r="AW1244" s="9"/>
      <c r="AX1244" s="9"/>
      <c r="AY1244" s="8"/>
      <c r="AZ1244" s="8"/>
      <c r="BA1244" s="8"/>
      <c r="BB1244" s="8"/>
      <c r="BC1244" s="8"/>
      <c r="BD1244" s="8"/>
      <c r="BE1244" s="8"/>
      <c r="BF1244" s="8"/>
    </row>
    <row r="1245" spans="26:58" ht="16.899999999999999">
      <c r="Z1245" s="244"/>
      <c r="AC1245" s="10"/>
      <c r="AD1245" s="10"/>
      <c r="AF1245" s="10"/>
      <c r="AG1245" s="10"/>
      <c r="AH1245" s="10"/>
      <c r="AI1245" s="9"/>
      <c r="AJ1245" s="9"/>
      <c r="AK1245" s="11"/>
      <c r="AL1245" s="10"/>
      <c r="AM1245" s="11"/>
      <c r="AN1245" s="10"/>
      <c r="AO1245" s="11"/>
      <c r="AP1245" s="10"/>
      <c r="AQ1245" s="10"/>
      <c r="AR1245" s="10"/>
      <c r="AS1245" s="9"/>
      <c r="AT1245" s="9"/>
      <c r="AU1245" s="9"/>
      <c r="AV1245" s="9"/>
      <c r="AW1245" s="9"/>
      <c r="AX1245" s="9"/>
      <c r="AY1245" s="8"/>
      <c r="AZ1245" s="8"/>
      <c r="BA1245" s="8"/>
      <c r="BB1245" s="8"/>
      <c r="BC1245" s="8"/>
      <c r="BD1245" s="8"/>
      <c r="BE1245" s="8"/>
      <c r="BF1245" s="8"/>
    </row>
    <row r="1246" spans="26:58" ht="16.899999999999999">
      <c r="Z1246" s="244"/>
      <c r="AC1246" s="10"/>
      <c r="AD1246" s="10"/>
      <c r="AF1246" s="10"/>
      <c r="AG1246" s="10"/>
      <c r="AH1246" s="10"/>
      <c r="AI1246" s="9"/>
      <c r="AJ1246" s="9"/>
      <c r="AK1246" s="11"/>
      <c r="AL1246" s="10"/>
      <c r="AM1246" s="11"/>
      <c r="AN1246" s="10"/>
      <c r="AO1246" s="11"/>
      <c r="AP1246" s="10"/>
      <c r="AQ1246" s="10"/>
      <c r="AR1246" s="10"/>
      <c r="AS1246" s="9"/>
      <c r="AT1246" s="9"/>
      <c r="AU1246" s="9"/>
      <c r="AV1246" s="9"/>
      <c r="AW1246" s="9"/>
      <c r="AX1246" s="9"/>
      <c r="AY1246" s="8"/>
      <c r="AZ1246" s="8"/>
      <c r="BA1246" s="8"/>
      <c r="BB1246" s="8"/>
      <c r="BC1246" s="8"/>
      <c r="BD1246" s="8"/>
      <c r="BE1246" s="8"/>
      <c r="BF1246" s="8"/>
    </row>
    <row r="1247" spans="26:58" ht="16.899999999999999">
      <c r="Z1247" s="244"/>
      <c r="AC1247" s="10"/>
      <c r="AD1247" s="10"/>
      <c r="AF1247" s="10"/>
      <c r="AG1247" s="10"/>
      <c r="AH1247" s="10"/>
      <c r="AI1247" s="9"/>
      <c r="AJ1247" s="9"/>
      <c r="AK1247" s="11"/>
      <c r="AL1247" s="10"/>
      <c r="AM1247" s="11"/>
      <c r="AN1247" s="10"/>
      <c r="AO1247" s="11"/>
      <c r="AP1247" s="10"/>
      <c r="AQ1247" s="10"/>
      <c r="AR1247" s="10"/>
      <c r="AS1247" s="9"/>
      <c r="AT1247" s="9"/>
      <c r="AU1247" s="9"/>
      <c r="AV1247" s="9"/>
      <c r="AW1247" s="9"/>
      <c r="AX1247" s="9"/>
      <c r="AY1247" s="8"/>
      <c r="AZ1247" s="8"/>
      <c r="BA1247" s="8"/>
      <c r="BB1247" s="8"/>
      <c r="BC1247" s="8"/>
      <c r="BD1247" s="8"/>
      <c r="BE1247" s="8"/>
      <c r="BF1247" s="8"/>
    </row>
    <row r="1248" spans="26:58" ht="16.899999999999999">
      <c r="Z1248" s="244"/>
      <c r="AC1248" s="10"/>
      <c r="AD1248" s="10"/>
      <c r="AF1248" s="10"/>
      <c r="AG1248" s="10"/>
      <c r="AH1248" s="10"/>
      <c r="AI1248" s="9"/>
      <c r="AJ1248" s="9"/>
      <c r="AK1248" s="11"/>
      <c r="AL1248" s="10"/>
      <c r="AM1248" s="11"/>
      <c r="AN1248" s="10"/>
      <c r="AO1248" s="11"/>
      <c r="AP1248" s="10"/>
      <c r="AQ1248" s="10"/>
      <c r="AR1248" s="10"/>
      <c r="AS1248" s="9"/>
      <c r="AT1248" s="9"/>
      <c r="AU1248" s="9"/>
      <c r="AV1248" s="9"/>
      <c r="AW1248" s="9"/>
      <c r="AX1248" s="9"/>
      <c r="AY1248" s="8"/>
      <c r="AZ1248" s="8"/>
      <c r="BA1248" s="8"/>
      <c r="BB1248" s="8"/>
      <c r="BC1248" s="8"/>
      <c r="BD1248" s="8"/>
      <c r="BE1248" s="8"/>
      <c r="BF1248" s="8"/>
    </row>
    <row r="1249" spans="26:58" ht="16.899999999999999">
      <c r="Z1249" s="244"/>
      <c r="AC1249" s="10"/>
      <c r="AD1249" s="10"/>
      <c r="AF1249" s="10"/>
      <c r="AG1249" s="10"/>
      <c r="AH1249" s="10"/>
      <c r="AI1249" s="9"/>
      <c r="AJ1249" s="9"/>
      <c r="AK1249" s="11"/>
      <c r="AL1249" s="10"/>
      <c r="AM1249" s="11"/>
      <c r="AN1249" s="10"/>
      <c r="AO1249" s="11"/>
      <c r="AP1249" s="10"/>
      <c r="AQ1249" s="10"/>
      <c r="AR1249" s="10"/>
      <c r="AS1249" s="9"/>
      <c r="AT1249" s="9"/>
      <c r="AU1249" s="9"/>
      <c r="AV1249" s="9"/>
      <c r="AW1249" s="9"/>
      <c r="AX1249" s="9"/>
      <c r="AY1249" s="8"/>
      <c r="AZ1249" s="8"/>
      <c r="BA1249" s="8"/>
      <c r="BB1249" s="8"/>
      <c r="BC1249" s="8"/>
      <c r="BD1249" s="8"/>
      <c r="BE1249" s="8"/>
      <c r="BF1249" s="8"/>
    </row>
    <row r="1250" spans="26:58" ht="16.899999999999999">
      <c r="Z1250" s="244"/>
      <c r="AC1250" s="10"/>
      <c r="AD1250" s="10"/>
      <c r="AF1250" s="10"/>
      <c r="AG1250" s="10"/>
      <c r="AH1250" s="10"/>
      <c r="AI1250" s="9"/>
      <c r="AJ1250" s="9"/>
      <c r="AK1250" s="11"/>
      <c r="AL1250" s="10"/>
      <c r="AM1250" s="11"/>
      <c r="AN1250" s="10"/>
      <c r="AO1250" s="11"/>
      <c r="AP1250" s="10"/>
      <c r="AQ1250" s="10"/>
      <c r="AR1250" s="10"/>
      <c r="AS1250" s="9"/>
      <c r="AT1250" s="9"/>
      <c r="AU1250" s="9"/>
      <c r="AV1250" s="9"/>
      <c r="AW1250" s="9"/>
      <c r="AX1250" s="9"/>
      <c r="AY1250" s="8"/>
      <c r="AZ1250" s="8"/>
      <c r="BA1250" s="8"/>
      <c r="BB1250" s="8"/>
      <c r="BC1250" s="8"/>
      <c r="BD1250" s="8"/>
      <c r="BE1250" s="8"/>
      <c r="BF1250" s="8"/>
    </row>
    <row r="1251" spans="26:58" ht="16.899999999999999">
      <c r="Z1251" s="244"/>
      <c r="AC1251" s="10"/>
      <c r="AD1251" s="10"/>
      <c r="AF1251" s="10"/>
      <c r="AG1251" s="10"/>
      <c r="AH1251" s="10"/>
      <c r="AI1251" s="9"/>
      <c r="AJ1251" s="9"/>
      <c r="AK1251" s="11"/>
      <c r="AL1251" s="10"/>
      <c r="AM1251" s="11"/>
      <c r="AN1251" s="10"/>
      <c r="AO1251" s="11"/>
      <c r="AP1251" s="10"/>
      <c r="AQ1251" s="10"/>
      <c r="AR1251" s="10"/>
      <c r="AS1251" s="9"/>
      <c r="AT1251" s="9"/>
      <c r="AU1251" s="9"/>
      <c r="AV1251" s="9"/>
      <c r="AW1251" s="9"/>
      <c r="AX1251" s="9"/>
      <c r="AY1251" s="8"/>
      <c r="AZ1251" s="8"/>
      <c r="BA1251" s="8"/>
      <c r="BB1251" s="8"/>
      <c r="BC1251" s="8"/>
      <c r="BD1251" s="8"/>
      <c r="BE1251" s="8"/>
      <c r="BF1251" s="8"/>
    </row>
    <row r="1252" spans="26:58" ht="16.899999999999999">
      <c r="Z1252" s="244"/>
      <c r="AC1252" s="10"/>
      <c r="AD1252" s="10"/>
      <c r="AF1252" s="10"/>
      <c r="AG1252" s="10"/>
      <c r="AH1252" s="10"/>
      <c r="AI1252" s="9"/>
      <c r="AJ1252" s="9"/>
      <c r="AK1252" s="11"/>
      <c r="AL1252" s="10"/>
      <c r="AM1252" s="11"/>
      <c r="AN1252" s="10"/>
      <c r="AO1252" s="11"/>
      <c r="AP1252" s="10"/>
      <c r="AQ1252" s="10"/>
      <c r="AR1252" s="10"/>
      <c r="AS1252" s="9"/>
      <c r="AT1252" s="9"/>
      <c r="AU1252" s="9"/>
      <c r="AV1252" s="9"/>
      <c r="AW1252" s="9"/>
      <c r="AX1252" s="9"/>
      <c r="AY1252" s="8"/>
      <c r="AZ1252" s="8"/>
      <c r="BA1252" s="8"/>
      <c r="BB1252" s="8"/>
      <c r="BC1252" s="8"/>
      <c r="BD1252" s="8"/>
      <c r="BE1252" s="8"/>
      <c r="BF1252" s="8"/>
    </row>
    <row r="1253" spans="26:58" ht="16.899999999999999">
      <c r="Z1253" s="244"/>
      <c r="AC1253" s="10"/>
      <c r="AD1253" s="10"/>
      <c r="AF1253" s="10"/>
      <c r="AG1253" s="10"/>
      <c r="AH1253" s="10"/>
      <c r="AI1253" s="9"/>
      <c r="AJ1253" s="9"/>
      <c r="AK1253" s="11"/>
      <c r="AL1253" s="10"/>
      <c r="AM1253" s="11"/>
      <c r="AN1253" s="10"/>
      <c r="AO1253" s="11"/>
      <c r="AP1253" s="10"/>
      <c r="AQ1253" s="10"/>
      <c r="AR1253" s="10"/>
      <c r="AS1253" s="9"/>
      <c r="AT1253" s="9"/>
      <c r="AU1253" s="9"/>
      <c r="AV1253" s="9"/>
      <c r="AW1253" s="9"/>
      <c r="AX1253" s="9"/>
      <c r="AY1253" s="8"/>
      <c r="AZ1253" s="8"/>
      <c r="BA1253" s="8"/>
      <c r="BB1253" s="8"/>
      <c r="BC1253" s="8"/>
      <c r="BD1253" s="8"/>
      <c r="BE1253" s="8"/>
      <c r="BF1253" s="8"/>
    </row>
    <row r="1254" spans="26:58" ht="16.899999999999999">
      <c r="Z1254" s="244"/>
      <c r="AC1254" s="10"/>
      <c r="AD1254" s="10"/>
      <c r="AF1254" s="10"/>
      <c r="AG1254" s="10"/>
      <c r="AH1254" s="10"/>
      <c r="AI1254" s="9"/>
      <c r="AJ1254" s="9"/>
      <c r="AK1254" s="11"/>
      <c r="AL1254" s="10"/>
      <c r="AM1254" s="11"/>
      <c r="AN1254" s="10"/>
      <c r="AO1254" s="11"/>
      <c r="AP1254" s="10"/>
      <c r="AQ1254" s="10"/>
      <c r="AR1254" s="10"/>
      <c r="AS1254" s="9"/>
      <c r="AT1254" s="9"/>
      <c r="AU1254" s="9"/>
      <c r="AV1254" s="9"/>
      <c r="AW1254" s="9"/>
      <c r="AX1254" s="9"/>
      <c r="AY1254" s="8"/>
      <c r="AZ1254" s="8"/>
      <c r="BA1254" s="8"/>
      <c r="BB1254" s="8"/>
      <c r="BC1254" s="8"/>
      <c r="BD1254" s="8"/>
      <c r="BE1254" s="8"/>
      <c r="BF1254" s="8"/>
    </row>
    <row r="1255" spans="26:58" ht="16.899999999999999">
      <c r="Z1255" s="244"/>
      <c r="AC1255" s="10"/>
      <c r="AD1255" s="10"/>
      <c r="AF1255" s="10"/>
      <c r="AG1255" s="10"/>
      <c r="AH1255" s="10"/>
      <c r="AI1255" s="9"/>
      <c r="AJ1255" s="9"/>
      <c r="AK1255" s="11"/>
      <c r="AL1255" s="10"/>
      <c r="AM1255" s="11"/>
      <c r="AN1255" s="10"/>
      <c r="AO1255" s="11"/>
      <c r="AP1255" s="10"/>
      <c r="AQ1255" s="10"/>
      <c r="AR1255" s="10"/>
      <c r="AS1255" s="9"/>
      <c r="AT1255" s="9"/>
      <c r="AU1255" s="9"/>
      <c r="AV1255" s="9"/>
      <c r="AW1255" s="9"/>
      <c r="AX1255" s="9"/>
      <c r="AY1255" s="8"/>
      <c r="AZ1255" s="8"/>
      <c r="BA1255" s="8"/>
      <c r="BB1255" s="8"/>
      <c r="BC1255" s="8"/>
      <c r="BD1255" s="8"/>
      <c r="BE1255" s="8"/>
      <c r="BF1255" s="8"/>
    </row>
    <row r="1256" spans="26:58" ht="16.899999999999999">
      <c r="Z1256" s="244"/>
      <c r="AC1256" s="10"/>
      <c r="AD1256" s="10"/>
      <c r="AF1256" s="10"/>
      <c r="AG1256" s="10"/>
      <c r="AH1256" s="10"/>
      <c r="AI1256" s="9"/>
      <c r="AJ1256" s="9"/>
      <c r="AK1256" s="11"/>
      <c r="AL1256" s="10"/>
      <c r="AM1256" s="11"/>
      <c r="AN1256" s="10"/>
      <c r="AO1256" s="11"/>
      <c r="AP1256" s="10"/>
      <c r="AQ1256" s="10"/>
      <c r="AR1256" s="10"/>
      <c r="AS1256" s="9"/>
      <c r="AT1256" s="9"/>
      <c r="AU1256" s="9"/>
      <c r="AV1256" s="9"/>
      <c r="AW1256" s="9"/>
      <c r="AX1256" s="9"/>
      <c r="AY1256" s="8"/>
      <c r="AZ1256" s="8"/>
      <c r="BA1256" s="8"/>
      <c r="BB1256" s="8"/>
      <c r="BC1256" s="8"/>
      <c r="BD1256" s="8"/>
      <c r="BE1256" s="8"/>
      <c r="BF1256" s="8"/>
    </row>
    <row r="1257" spans="26:58" ht="16.899999999999999">
      <c r="Z1257" s="244"/>
      <c r="AC1257" s="10"/>
      <c r="AD1257" s="10"/>
      <c r="AF1257" s="10"/>
      <c r="AG1257" s="10"/>
      <c r="AH1257" s="10"/>
      <c r="AI1257" s="9"/>
      <c r="AJ1257" s="9"/>
      <c r="AK1257" s="11"/>
      <c r="AL1257" s="10"/>
      <c r="AM1257" s="11"/>
      <c r="AN1257" s="10"/>
      <c r="AO1257" s="11"/>
      <c r="AP1257" s="10"/>
      <c r="AQ1257" s="10"/>
      <c r="AR1257" s="10"/>
      <c r="AS1257" s="9"/>
      <c r="AT1257" s="9"/>
      <c r="AU1257" s="9"/>
      <c r="AV1257" s="9"/>
      <c r="AW1257" s="9"/>
      <c r="AX1257" s="9"/>
      <c r="AY1257" s="8"/>
      <c r="AZ1257" s="8"/>
      <c r="BA1257" s="8"/>
      <c r="BB1257" s="8"/>
      <c r="BC1257" s="8"/>
      <c r="BD1257" s="8"/>
      <c r="BE1257" s="8"/>
      <c r="BF1257" s="8"/>
    </row>
    <row r="1258" spans="26:58" ht="16.899999999999999">
      <c r="Z1258" s="244"/>
      <c r="AC1258" s="10"/>
      <c r="AD1258" s="10"/>
      <c r="AF1258" s="10"/>
      <c r="AG1258" s="10"/>
      <c r="AH1258" s="10"/>
      <c r="AI1258" s="9"/>
      <c r="AJ1258" s="9"/>
      <c r="AK1258" s="11"/>
      <c r="AL1258" s="10"/>
      <c r="AM1258" s="11"/>
      <c r="AN1258" s="10"/>
      <c r="AO1258" s="11"/>
      <c r="AP1258" s="10"/>
      <c r="AQ1258" s="10"/>
      <c r="AR1258" s="10"/>
      <c r="AS1258" s="9"/>
      <c r="AT1258" s="9"/>
      <c r="AU1258" s="9"/>
      <c r="AV1258" s="9"/>
      <c r="AW1258" s="9"/>
      <c r="AX1258" s="9"/>
      <c r="AY1258" s="8"/>
      <c r="AZ1258" s="8"/>
      <c r="BA1258" s="8"/>
      <c r="BB1258" s="8"/>
      <c r="BC1258" s="8"/>
      <c r="BD1258" s="8"/>
      <c r="BE1258" s="8"/>
      <c r="BF1258" s="8"/>
    </row>
    <row r="1259" spans="26:58" ht="16.899999999999999">
      <c r="Z1259" s="244"/>
      <c r="AC1259" s="10"/>
      <c r="AD1259" s="10"/>
      <c r="AF1259" s="10"/>
      <c r="AG1259" s="10"/>
      <c r="AH1259" s="10"/>
      <c r="AI1259" s="9"/>
      <c r="AJ1259" s="9"/>
      <c r="AK1259" s="11"/>
      <c r="AL1259" s="10"/>
      <c r="AM1259" s="11"/>
      <c r="AN1259" s="10"/>
      <c r="AO1259" s="11"/>
      <c r="AP1259" s="10"/>
      <c r="AQ1259" s="10"/>
      <c r="AR1259" s="10"/>
      <c r="AS1259" s="9"/>
      <c r="AT1259" s="9"/>
      <c r="AU1259" s="9"/>
      <c r="AV1259" s="9"/>
      <c r="AW1259" s="9"/>
      <c r="AX1259" s="9"/>
      <c r="AY1259" s="8"/>
      <c r="AZ1259" s="8"/>
      <c r="BA1259" s="8"/>
      <c r="BB1259" s="8"/>
      <c r="BC1259" s="8"/>
      <c r="BD1259" s="8"/>
      <c r="BE1259" s="8"/>
      <c r="BF1259" s="8"/>
    </row>
    <row r="1260" spans="26:58" ht="16.899999999999999">
      <c r="Z1260" s="244"/>
      <c r="AC1260" s="10"/>
      <c r="AD1260" s="10"/>
      <c r="AF1260" s="10"/>
      <c r="AG1260" s="10"/>
      <c r="AH1260" s="10"/>
      <c r="AI1260" s="9"/>
      <c r="AJ1260" s="9"/>
      <c r="AK1260" s="11"/>
      <c r="AL1260" s="10"/>
      <c r="AM1260" s="11"/>
      <c r="AN1260" s="10"/>
      <c r="AO1260" s="11"/>
      <c r="AP1260" s="10"/>
      <c r="AQ1260" s="10"/>
      <c r="AR1260" s="10"/>
      <c r="AS1260" s="9"/>
      <c r="AT1260" s="9"/>
      <c r="AU1260" s="9"/>
      <c r="AV1260" s="9"/>
      <c r="AW1260" s="9"/>
      <c r="AX1260" s="9"/>
      <c r="AY1260" s="8"/>
      <c r="AZ1260" s="8"/>
      <c r="BA1260" s="8"/>
      <c r="BB1260" s="8"/>
      <c r="BC1260" s="8"/>
      <c r="BD1260" s="8"/>
      <c r="BE1260" s="8"/>
      <c r="BF1260" s="8"/>
    </row>
    <row r="1261" spans="26:58" ht="16.899999999999999">
      <c r="Z1261" s="244"/>
      <c r="AC1261" s="10"/>
      <c r="AD1261" s="10"/>
      <c r="AF1261" s="10"/>
      <c r="AG1261" s="10"/>
      <c r="AH1261" s="10"/>
      <c r="AI1261" s="9"/>
      <c r="AJ1261" s="9"/>
      <c r="AK1261" s="11"/>
      <c r="AL1261" s="10"/>
      <c r="AM1261" s="11"/>
      <c r="AN1261" s="10"/>
      <c r="AO1261" s="11"/>
      <c r="AP1261" s="10"/>
      <c r="AQ1261" s="10"/>
      <c r="AR1261" s="10"/>
      <c r="AS1261" s="9"/>
      <c r="AT1261" s="9"/>
      <c r="AU1261" s="9"/>
      <c r="AV1261" s="9"/>
      <c r="AW1261" s="9"/>
      <c r="AX1261" s="9"/>
      <c r="AY1261" s="8"/>
      <c r="AZ1261" s="8"/>
      <c r="BA1261" s="8"/>
      <c r="BB1261" s="8"/>
      <c r="BC1261" s="8"/>
      <c r="BD1261" s="8"/>
      <c r="BE1261" s="8"/>
      <c r="BF1261" s="8"/>
    </row>
    <row r="1262" spans="26:58" ht="16.899999999999999">
      <c r="Z1262" s="244"/>
      <c r="AC1262" s="10"/>
      <c r="AD1262" s="10"/>
      <c r="AF1262" s="10"/>
      <c r="AG1262" s="10"/>
      <c r="AH1262" s="10"/>
      <c r="AI1262" s="9"/>
      <c r="AJ1262" s="9"/>
      <c r="AK1262" s="11"/>
      <c r="AL1262" s="10"/>
      <c r="AM1262" s="11"/>
      <c r="AN1262" s="10"/>
      <c r="AO1262" s="11"/>
      <c r="AP1262" s="10"/>
      <c r="AQ1262" s="10"/>
      <c r="AR1262" s="10"/>
      <c r="AS1262" s="9"/>
      <c r="AT1262" s="9"/>
      <c r="AU1262" s="9"/>
      <c r="AV1262" s="9"/>
      <c r="AW1262" s="9"/>
      <c r="AX1262" s="9"/>
      <c r="AY1262" s="8"/>
      <c r="AZ1262" s="8"/>
      <c r="BA1262" s="8"/>
      <c r="BB1262" s="8"/>
      <c r="BC1262" s="8"/>
      <c r="BD1262" s="8"/>
      <c r="BE1262" s="8"/>
      <c r="BF1262" s="8"/>
    </row>
    <row r="1263" spans="26:58" ht="16.899999999999999">
      <c r="Z1263" s="244"/>
      <c r="AC1263" s="10"/>
      <c r="AD1263" s="10"/>
      <c r="AF1263" s="10"/>
      <c r="AG1263" s="10"/>
      <c r="AH1263" s="10"/>
      <c r="AI1263" s="9"/>
      <c r="AJ1263" s="9"/>
      <c r="AK1263" s="11"/>
      <c r="AL1263" s="10"/>
      <c r="AM1263" s="11"/>
      <c r="AN1263" s="10"/>
      <c r="AO1263" s="11"/>
      <c r="AP1263" s="10"/>
      <c r="AQ1263" s="10"/>
      <c r="AR1263" s="10"/>
      <c r="AS1263" s="9"/>
      <c r="AT1263" s="9"/>
      <c r="AU1263" s="9"/>
      <c r="AV1263" s="9"/>
      <c r="AW1263" s="9"/>
      <c r="AX1263" s="9"/>
      <c r="AY1263" s="8"/>
      <c r="AZ1263" s="8"/>
      <c r="BA1263" s="8"/>
      <c r="BB1263" s="8"/>
      <c r="BC1263" s="8"/>
      <c r="BD1263" s="8"/>
      <c r="BE1263" s="8"/>
      <c r="BF1263" s="8"/>
    </row>
    <row r="1264" spans="26:58" ht="16.899999999999999">
      <c r="Z1264" s="244"/>
      <c r="AC1264" s="10"/>
      <c r="AD1264" s="10"/>
      <c r="AF1264" s="10"/>
      <c r="AG1264" s="10"/>
      <c r="AH1264" s="10"/>
      <c r="AI1264" s="9"/>
      <c r="AJ1264" s="9"/>
      <c r="AK1264" s="11"/>
      <c r="AL1264" s="10"/>
      <c r="AM1264" s="11"/>
      <c r="AN1264" s="10"/>
      <c r="AO1264" s="11"/>
      <c r="AP1264" s="10"/>
      <c r="AQ1264" s="10"/>
      <c r="AR1264" s="10"/>
      <c r="AS1264" s="9"/>
      <c r="AT1264" s="9"/>
      <c r="AU1264" s="9"/>
      <c r="AV1264" s="9"/>
      <c r="AW1264" s="9"/>
      <c r="AX1264" s="9"/>
      <c r="AY1264" s="8"/>
      <c r="AZ1264" s="8"/>
      <c r="BA1264" s="8"/>
      <c r="BB1264" s="8"/>
      <c r="BC1264" s="8"/>
      <c r="BD1264" s="8"/>
      <c r="BE1264" s="8"/>
      <c r="BF1264" s="8"/>
    </row>
    <row r="1265" spans="26:58" ht="16.899999999999999">
      <c r="Z1265" s="244"/>
      <c r="AC1265" s="10"/>
      <c r="AD1265" s="10"/>
      <c r="AF1265" s="10"/>
      <c r="AG1265" s="10"/>
      <c r="AH1265" s="10"/>
      <c r="AI1265" s="9"/>
      <c r="AJ1265" s="9"/>
      <c r="AK1265" s="11"/>
      <c r="AL1265" s="10"/>
      <c r="AM1265" s="11"/>
      <c r="AN1265" s="10"/>
      <c r="AO1265" s="11"/>
      <c r="AP1265" s="10"/>
      <c r="AQ1265" s="10"/>
      <c r="AR1265" s="10"/>
      <c r="AS1265" s="9"/>
      <c r="AT1265" s="9"/>
      <c r="AU1265" s="9"/>
      <c r="AV1265" s="9"/>
      <c r="AW1265" s="9"/>
      <c r="AX1265" s="9"/>
      <c r="AY1265" s="8"/>
      <c r="AZ1265" s="8"/>
      <c r="BA1265" s="8"/>
      <c r="BB1265" s="8"/>
      <c r="BC1265" s="8"/>
      <c r="BD1265" s="8"/>
      <c r="BE1265" s="8"/>
      <c r="BF1265" s="8"/>
    </row>
    <row r="1266" spans="26:58" ht="16.899999999999999">
      <c r="Z1266" s="244"/>
      <c r="AC1266" s="10"/>
      <c r="AD1266" s="10"/>
      <c r="AF1266" s="10"/>
      <c r="AG1266" s="10"/>
      <c r="AH1266" s="10"/>
      <c r="AI1266" s="9"/>
      <c r="AJ1266" s="9"/>
      <c r="AK1266" s="11"/>
      <c r="AL1266" s="10"/>
      <c r="AM1266" s="11"/>
      <c r="AN1266" s="10"/>
      <c r="AO1266" s="11"/>
      <c r="AP1266" s="10"/>
      <c r="AQ1266" s="10"/>
      <c r="AR1266" s="10"/>
      <c r="AS1266" s="9"/>
      <c r="AT1266" s="9"/>
      <c r="AU1266" s="9"/>
      <c r="AV1266" s="9"/>
      <c r="AW1266" s="9"/>
      <c r="AX1266" s="9"/>
      <c r="AY1266" s="8"/>
      <c r="AZ1266" s="8"/>
      <c r="BA1266" s="8"/>
      <c r="BB1266" s="8"/>
      <c r="BC1266" s="8"/>
      <c r="BD1266" s="8"/>
      <c r="BE1266" s="8"/>
      <c r="BF1266" s="8"/>
    </row>
    <row r="1267" spans="26:58" ht="16.899999999999999">
      <c r="Z1267" s="244"/>
      <c r="AC1267" s="10"/>
      <c r="AD1267" s="10"/>
      <c r="AF1267" s="10"/>
      <c r="AG1267" s="10"/>
      <c r="AH1267" s="10"/>
      <c r="AI1267" s="9"/>
      <c r="AJ1267" s="9"/>
      <c r="AK1267" s="11"/>
      <c r="AL1267" s="10"/>
      <c r="AM1267" s="11"/>
      <c r="AN1267" s="10"/>
      <c r="AO1267" s="11"/>
      <c r="AP1267" s="10"/>
      <c r="AQ1267" s="10"/>
      <c r="AR1267" s="10"/>
      <c r="AS1267" s="9"/>
      <c r="AT1267" s="9"/>
      <c r="AU1267" s="9"/>
      <c r="AV1267" s="9"/>
      <c r="AW1267" s="9"/>
      <c r="AX1267" s="9"/>
      <c r="AY1267" s="8"/>
      <c r="AZ1267" s="8"/>
      <c r="BA1267" s="8"/>
      <c r="BB1267" s="8"/>
      <c r="BC1267" s="8"/>
      <c r="BD1267" s="8"/>
      <c r="BE1267" s="8"/>
      <c r="BF1267" s="8"/>
    </row>
    <row r="1268" spans="26:58" ht="16.899999999999999">
      <c r="Z1268" s="244"/>
      <c r="AC1268" s="10"/>
      <c r="AD1268" s="10"/>
      <c r="AF1268" s="10"/>
      <c r="AG1268" s="10"/>
      <c r="AH1268" s="10"/>
      <c r="AI1268" s="9"/>
      <c r="AJ1268" s="9"/>
      <c r="AK1268" s="11"/>
      <c r="AL1268" s="10"/>
      <c r="AM1268" s="11"/>
      <c r="AN1268" s="10"/>
      <c r="AO1268" s="11"/>
      <c r="AP1268" s="10"/>
      <c r="AQ1268" s="10"/>
      <c r="AR1268" s="10"/>
      <c r="AS1268" s="9"/>
      <c r="AT1268" s="9"/>
      <c r="AU1268" s="9"/>
      <c r="AV1268" s="9"/>
      <c r="AW1268" s="9"/>
      <c r="AX1268" s="9"/>
      <c r="AY1268" s="8"/>
      <c r="AZ1268" s="8"/>
      <c r="BA1268" s="8"/>
      <c r="BB1268" s="8"/>
      <c r="BC1268" s="8"/>
      <c r="BD1268" s="8"/>
      <c r="BE1268" s="8"/>
      <c r="BF1268" s="8"/>
    </row>
    <row r="1269" spans="26:58" ht="16.899999999999999">
      <c r="Z1269" s="244"/>
      <c r="AC1269" s="10"/>
      <c r="AD1269" s="10"/>
      <c r="AF1269" s="10"/>
      <c r="AG1269" s="10"/>
      <c r="AH1269" s="10"/>
      <c r="AI1269" s="9"/>
      <c r="AJ1269" s="9"/>
      <c r="AK1269" s="11"/>
      <c r="AL1269" s="10"/>
      <c r="AM1269" s="11"/>
      <c r="AN1269" s="10"/>
      <c r="AO1269" s="11"/>
      <c r="AP1269" s="10"/>
      <c r="AQ1269" s="10"/>
      <c r="AR1269" s="10"/>
      <c r="AS1269" s="9"/>
      <c r="AT1269" s="9"/>
      <c r="AU1269" s="9"/>
      <c r="AV1269" s="9"/>
      <c r="AW1269" s="9"/>
      <c r="AX1269" s="9"/>
      <c r="AY1269" s="8"/>
      <c r="AZ1269" s="8"/>
      <c r="BA1269" s="8"/>
      <c r="BB1269" s="8"/>
      <c r="BC1269" s="8"/>
      <c r="BD1269" s="8"/>
      <c r="BE1269" s="8"/>
      <c r="BF1269" s="8"/>
    </row>
    <row r="1270" spans="26:58" ht="16.899999999999999">
      <c r="Z1270" s="244"/>
      <c r="AC1270" s="10"/>
      <c r="AD1270" s="10"/>
      <c r="AF1270" s="10"/>
      <c r="AG1270" s="10"/>
      <c r="AH1270" s="10"/>
      <c r="AI1270" s="9"/>
      <c r="AJ1270" s="9"/>
      <c r="AK1270" s="11"/>
      <c r="AL1270" s="10"/>
      <c r="AM1270" s="11"/>
      <c r="AN1270" s="10"/>
      <c r="AO1270" s="11"/>
      <c r="AP1270" s="10"/>
      <c r="AQ1270" s="10"/>
      <c r="AR1270" s="10"/>
      <c r="AS1270" s="9"/>
      <c r="AT1270" s="9"/>
      <c r="AU1270" s="9"/>
      <c r="AV1270" s="9"/>
      <c r="AW1270" s="9"/>
      <c r="AX1270" s="9"/>
      <c r="AY1270" s="8"/>
      <c r="AZ1270" s="8"/>
      <c r="BA1270" s="8"/>
      <c r="BB1270" s="8"/>
      <c r="BC1270" s="8"/>
      <c r="BD1270" s="8"/>
      <c r="BE1270" s="8"/>
      <c r="BF1270" s="8"/>
    </row>
    <row r="1271" spans="26:58" ht="16.899999999999999">
      <c r="Z1271" s="244"/>
      <c r="AC1271" s="10"/>
      <c r="AD1271" s="10"/>
      <c r="AF1271" s="10"/>
      <c r="AG1271" s="10"/>
      <c r="AH1271" s="10"/>
      <c r="AI1271" s="9"/>
      <c r="AJ1271" s="9"/>
      <c r="AK1271" s="11"/>
      <c r="AL1271" s="10"/>
      <c r="AM1271" s="11"/>
      <c r="AN1271" s="10"/>
      <c r="AO1271" s="11"/>
      <c r="AP1271" s="10"/>
      <c r="AQ1271" s="10"/>
      <c r="AR1271" s="10"/>
      <c r="AS1271" s="9"/>
      <c r="AT1271" s="9"/>
      <c r="AU1271" s="9"/>
      <c r="AV1271" s="9"/>
      <c r="AW1271" s="9"/>
      <c r="AX1271" s="9"/>
      <c r="AY1271" s="8"/>
      <c r="AZ1271" s="8"/>
      <c r="BA1271" s="8"/>
      <c r="BB1271" s="8"/>
      <c r="BC1271" s="8"/>
      <c r="BD1271" s="8"/>
      <c r="BE1271" s="8"/>
      <c r="BF1271" s="8"/>
    </row>
    <row r="1272" spans="26:58" ht="16.899999999999999">
      <c r="Z1272" s="244"/>
      <c r="AC1272" s="10"/>
      <c r="AD1272" s="10"/>
      <c r="AF1272" s="10"/>
      <c r="AG1272" s="10"/>
      <c r="AH1272" s="10"/>
      <c r="AI1272" s="9"/>
      <c r="AJ1272" s="9"/>
      <c r="AK1272" s="11"/>
      <c r="AL1272" s="10"/>
      <c r="AM1272" s="11"/>
      <c r="AN1272" s="10"/>
      <c r="AO1272" s="11"/>
      <c r="AP1272" s="10"/>
      <c r="AQ1272" s="10"/>
      <c r="AR1272" s="10"/>
      <c r="AS1272" s="9"/>
      <c r="AT1272" s="9"/>
      <c r="AU1272" s="9"/>
      <c r="AV1272" s="9"/>
      <c r="AW1272" s="9"/>
      <c r="AX1272" s="9"/>
      <c r="AY1272" s="8"/>
      <c r="AZ1272" s="8"/>
      <c r="BA1272" s="8"/>
      <c r="BB1272" s="8"/>
      <c r="BC1272" s="8"/>
      <c r="BD1272" s="8"/>
      <c r="BE1272" s="8"/>
      <c r="BF1272" s="8"/>
    </row>
    <row r="1273" spans="26:58" ht="16.899999999999999">
      <c r="Z1273" s="244"/>
      <c r="AC1273" s="10"/>
      <c r="AD1273" s="10"/>
      <c r="AF1273" s="10"/>
      <c r="AG1273" s="10"/>
      <c r="AH1273" s="10"/>
      <c r="AI1273" s="9"/>
      <c r="AJ1273" s="9"/>
      <c r="AK1273" s="11"/>
      <c r="AL1273" s="10"/>
      <c r="AM1273" s="11"/>
      <c r="AN1273" s="10"/>
      <c r="AO1273" s="11"/>
      <c r="AP1273" s="10"/>
      <c r="AQ1273" s="10"/>
      <c r="AR1273" s="10"/>
      <c r="AS1273" s="9"/>
      <c r="AT1273" s="9"/>
      <c r="AU1273" s="9"/>
      <c r="AV1273" s="9"/>
      <c r="AW1273" s="9"/>
      <c r="AX1273" s="9"/>
      <c r="AY1273" s="8"/>
      <c r="AZ1273" s="8"/>
      <c r="BA1273" s="8"/>
      <c r="BB1273" s="8"/>
      <c r="BC1273" s="8"/>
      <c r="BD1273" s="8"/>
      <c r="BE1273" s="8"/>
      <c r="BF1273" s="8"/>
    </row>
    <row r="1274" spans="26:58" ht="16.899999999999999">
      <c r="Z1274" s="244"/>
      <c r="AC1274" s="10"/>
      <c r="AD1274" s="10"/>
      <c r="AF1274" s="10"/>
      <c r="AG1274" s="10"/>
      <c r="AH1274" s="10"/>
      <c r="AI1274" s="9"/>
      <c r="AJ1274" s="9"/>
      <c r="AK1274" s="11"/>
      <c r="AL1274" s="10"/>
      <c r="AM1274" s="11"/>
      <c r="AN1274" s="10"/>
      <c r="AO1274" s="11"/>
      <c r="AP1274" s="10"/>
      <c r="AQ1274" s="10"/>
      <c r="AR1274" s="10"/>
      <c r="AS1274" s="9"/>
      <c r="AT1274" s="9"/>
      <c r="AU1274" s="9"/>
      <c r="AV1274" s="9"/>
      <c r="AW1274" s="9"/>
      <c r="AX1274" s="9"/>
      <c r="AY1274" s="8"/>
      <c r="AZ1274" s="8"/>
      <c r="BA1274" s="8"/>
      <c r="BB1274" s="8"/>
      <c r="BC1274" s="8"/>
      <c r="BD1274" s="8"/>
      <c r="BE1274" s="8"/>
      <c r="BF1274" s="8"/>
    </row>
    <row r="1275" spans="26:58" ht="16.899999999999999">
      <c r="Z1275" s="244"/>
      <c r="AC1275" s="10"/>
      <c r="AD1275" s="10"/>
      <c r="AF1275" s="10"/>
      <c r="AG1275" s="10"/>
      <c r="AH1275" s="10"/>
      <c r="AI1275" s="9"/>
      <c r="AJ1275" s="9"/>
      <c r="AK1275" s="11"/>
      <c r="AL1275" s="10"/>
      <c r="AM1275" s="11"/>
      <c r="AN1275" s="10"/>
      <c r="AO1275" s="11"/>
      <c r="AP1275" s="10"/>
      <c r="AQ1275" s="10"/>
      <c r="AR1275" s="10"/>
      <c r="AS1275" s="9"/>
      <c r="AT1275" s="9"/>
      <c r="AU1275" s="9"/>
      <c r="AV1275" s="9"/>
      <c r="AW1275" s="9"/>
      <c r="AX1275" s="9"/>
      <c r="AY1275" s="8"/>
      <c r="AZ1275" s="8"/>
      <c r="BA1275" s="8"/>
      <c r="BB1275" s="8"/>
      <c r="BC1275" s="8"/>
      <c r="BD1275" s="8"/>
      <c r="BE1275" s="8"/>
      <c r="BF1275" s="8"/>
    </row>
    <row r="1276" spans="26:58" ht="16.899999999999999">
      <c r="Z1276" s="244"/>
      <c r="AC1276" s="10"/>
      <c r="AD1276" s="10"/>
      <c r="AF1276" s="10"/>
      <c r="AG1276" s="10"/>
      <c r="AH1276" s="10"/>
      <c r="AI1276" s="9"/>
      <c r="AJ1276" s="9"/>
      <c r="AK1276" s="11"/>
      <c r="AL1276" s="10"/>
      <c r="AM1276" s="11"/>
      <c r="AN1276" s="10"/>
      <c r="AO1276" s="11"/>
      <c r="AP1276" s="10"/>
      <c r="AQ1276" s="10"/>
      <c r="AR1276" s="10"/>
      <c r="AS1276" s="9"/>
      <c r="AT1276" s="9"/>
      <c r="AU1276" s="9"/>
      <c r="AV1276" s="9"/>
      <c r="AW1276" s="9"/>
      <c r="AX1276" s="9"/>
      <c r="AY1276" s="8"/>
      <c r="AZ1276" s="8"/>
      <c r="BA1276" s="8"/>
      <c r="BB1276" s="8"/>
      <c r="BC1276" s="8"/>
      <c r="BD1276" s="8"/>
      <c r="BE1276" s="8"/>
      <c r="BF1276" s="8"/>
    </row>
    <row r="1277" spans="26:58" ht="16.899999999999999">
      <c r="Z1277" s="244"/>
      <c r="AC1277" s="10"/>
      <c r="AD1277" s="10"/>
      <c r="AF1277" s="10"/>
      <c r="AG1277" s="10"/>
      <c r="AH1277" s="10"/>
      <c r="AI1277" s="9"/>
      <c r="AJ1277" s="9"/>
      <c r="AK1277" s="11"/>
      <c r="AL1277" s="10"/>
      <c r="AM1277" s="11"/>
      <c r="AN1277" s="10"/>
      <c r="AO1277" s="11"/>
      <c r="AP1277" s="10"/>
      <c r="AQ1277" s="10"/>
      <c r="AR1277" s="10"/>
      <c r="AS1277" s="9"/>
      <c r="AT1277" s="9"/>
      <c r="AU1277" s="9"/>
      <c r="AV1277" s="9"/>
      <c r="AW1277" s="9"/>
      <c r="AX1277" s="9"/>
      <c r="AY1277" s="8"/>
      <c r="AZ1277" s="8"/>
      <c r="BA1277" s="8"/>
      <c r="BB1277" s="8"/>
      <c r="BC1277" s="8"/>
      <c r="BD1277" s="8"/>
      <c r="BE1277" s="8"/>
      <c r="BF1277" s="8"/>
    </row>
    <row r="1278" spans="26:58" ht="16.899999999999999">
      <c r="Z1278" s="244"/>
      <c r="AC1278" s="10"/>
      <c r="AD1278" s="10"/>
      <c r="AF1278" s="10"/>
      <c r="AG1278" s="10"/>
      <c r="AH1278" s="10"/>
      <c r="AI1278" s="9"/>
      <c r="AJ1278" s="9"/>
      <c r="AK1278" s="11"/>
      <c r="AL1278" s="10"/>
      <c r="AM1278" s="11"/>
      <c r="AN1278" s="10"/>
      <c r="AO1278" s="11"/>
      <c r="AP1278" s="10"/>
      <c r="AQ1278" s="10"/>
      <c r="AR1278" s="10"/>
      <c r="AS1278" s="9"/>
      <c r="AT1278" s="9"/>
      <c r="AU1278" s="9"/>
      <c r="AV1278" s="9"/>
      <c r="AW1278" s="9"/>
      <c r="AX1278" s="9"/>
      <c r="AY1278" s="8"/>
      <c r="AZ1278" s="8"/>
      <c r="BA1278" s="8"/>
      <c r="BB1278" s="8"/>
      <c r="BC1278" s="8"/>
      <c r="BD1278" s="8"/>
      <c r="BE1278" s="8"/>
      <c r="BF1278" s="8"/>
    </row>
    <row r="1279" spans="26:58" ht="16.899999999999999">
      <c r="Z1279" s="244"/>
      <c r="AC1279" s="10"/>
      <c r="AD1279" s="10"/>
      <c r="AF1279" s="10"/>
      <c r="AG1279" s="10"/>
      <c r="AH1279" s="10"/>
      <c r="AI1279" s="9"/>
      <c r="AJ1279" s="9"/>
      <c r="AK1279" s="11"/>
      <c r="AL1279" s="10"/>
      <c r="AM1279" s="11"/>
      <c r="AN1279" s="10"/>
      <c r="AO1279" s="11"/>
      <c r="AP1279" s="10"/>
      <c r="AQ1279" s="10"/>
      <c r="AR1279" s="10"/>
      <c r="AS1279" s="9"/>
      <c r="AT1279" s="9"/>
      <c r="AU1279" s="9"/>
      <c r="AV1279" s="9"/>
      <c r="AW1279" s="9"/>
      <c r="AX1279" s="9"/>
      <c r="AY1279" s="8"/>
      <c r="AZ1279" s="8"/>
      <c r="BA1279" s="8"/>
      <c r="BB1279" s="8"/>
      <c r="BC1279" s="8"/>
      <c r="BD1279" s="8"/>
      <c r="BE1279" s="8"/>
      <c r="BF1279" s="8"/>
    </row>
    <row r="1280" spans="26:58" ht="16.899999999999999">
      <c r="Z1280" s="244"/>
      <c r="AC1280" s="10"/>
      <c r="AD1280" s="10"/>
      <c r="AF1280" s="10"/>
      <c r="AG1280" s="10"/>
      <c r="AH1280" s="10"/>
      <c r="AI1280" s="9"/>
      <c r="AJ1280" s="9"/>
      <c r="AK1280" s="11"/>
      <c r="AL1280" s="10"/>
      <c r="AM1280" s="11"/>
      <c r="AN1280" s="10"/>
      <c r="AO1280" s="11"/>
      <c r="AP1280" s="10"/>
      <c r="AQ1280" s="10"/>
      <c r="AR1280" s="10"/>
      <c r="AS1280" s="9"/>
      <c r="AT1280" s="9"/>
      <c r="AU1280" s="9"/>
      <c r="AV1280" s="9"/>
      <c r="AW1280" s="9"/>
      <c r="AX1280" s="9"/>
      <c r="AY1280" s="8"/>
      <c r="AZ1280" s="8"/>
      <c r="BA1280" s="8"/>
      <c r="BB1280" s="8"/>
      <c r="BC1280" s="8"/>
      <c r="BD1280" s="8"/>
      <c r="BE1280" s="8"/>
      <c r="BF1280" s="8"/>
    </row>
    <row r="1281" spans="26:58" ht="16.899999999999999">
      <c r="Z1281" s="244"/>
      <c r="AC1281" s="10"/>
      <c r="AD1281" s="10"/>
      <c r="AF1281" s="10"/>
      <c r="AG1281" s="10"/>
      <c r="AH1281" s="10"/>
      <c r="AI1281" s="9"/>
      <c r="AJ1281" s="9"/>
      <c r="AK1281" s="11"/>
      <c r="AL1281" s="10"/>
      <c r="AM1281" s="11"/>
      <c r="AN1281" s="10"/>
      <c r="AO1281" s="11"/>
      <c r="AP1281" s="10"/>
      <c r="AQ1281" s="10"/>
      <c r="AR1281" s="10"/>
      <c r="AS1281" s="9"/>
      <c r="AT1281" s="9"/>
      <c r="AU1281" s="9"/>
      <c r="AV1281" s="9"/>
      <c r="AW1281" s="9"/>
      <c r="AX1281" s="9"/>
      <c r="AY1281" s="8"/>
      <c r="AZ1281" s="8"/>
      <c r="BA1281" s="8"/>
      <c r="BB1281" s="8"/>
      <c r="BC1281" s="8"/>
      <c r="BD1281" s="8"/>
      <c r="BE1281" s="8"/>
      <c r="BF1281" s="8"/>
    </row>
    <row r="1282" spans="26:58" ht="16.899999999999999">
      <c r="Z1282" s="244"/>
      <c r="AC1282" s="10"/>
      <c r="AD1282" s="10"/>
      <c r="AF1282" s="10"/>
      <c r="AG1282" s="10"/>
      <c r="AH1282" s="10"/>
      <c r="AI1282" s="9"/>
      <c r="AJ1282" s="9"/>
      <c r="AK1282" s="11"/>
      <c r="AL1282" s="10"/>
      <c r="AM1282" s="11"/>
      <c r="AN1282" s="10"/>
      <c r="AO1282" s="11"/>
      <c r="AP1282" s="10"/>
      <c r="AQ1282" s="10"/>
      <c r="AR1282" s="10"/>
      <c r="AS1282" s="9"/>
      <c r="AT1282" s="9"/>
      <c r="AU1282" s="9"/>
      <c r="AV1282" s="9"/>
      <c r="AW1282" s="9"/>
      <c r="AX1282" s="9"/>
      <c r="AY1282" s="8"/>
      <c r="AZ1282" s="8"/>
      <c r="BA1282" s="8"/>
      <c r="BB1282" s="8"/>
      <c r="BC1282" s="8"/>
      <c r="BD1282" s="8"/>
      <c r="BE1282" s="8"/>
      <c r="BF1282" s="8"/>
    </row>
    <row r="1283" spans="26:58" ht="16.899999999999999">
      <c r="Z1283" s="244"/>
      <c r="AC1283" s="10"/>
      <c r="AD1283" s="10"/>
      <c r="AF1283" s="10"/>
      <c r="AG1283" s="10"/>
      <c r="AH1283" s="10"/>
      <c r="AI1283" s="9"/>
      <c r="AJ1283" s="9"/>
      <c r="AK1283" s="11"/>
      <c r="AL1283" s="10"/>
      <c r="AM1283" s="11"/>
      <c r="AN1283" s="10"/>
      <c r="AO1283" s="11"/>
      <c r="AP1283" s="10"/>
      <c r="AQ1283" s="10"/>
      <c r="AR1283" s="10"/>
      <c r="AS1283" s="9"/>
      <c r="AT1283" s="9"/>
      <c r="AU1283" s="9"/>
      <c r="AV1283" s="9"/>
      <c r="AW1283" s="9"/>
      <c r="AX1283" s="9"/>
      <c r="AY1283" s="8"/>
      <c r="AZ1283" s="8"/>
      <c r="BA1283" s="8"/>
      <c r="BB1283" s="8"/>
      <c r="BC1283" s="8"/>
      <c r="BD1283" s="8"/>
      <c r="BE1283" s="8"/>
      <c r="BF1283" s="8"/>
    </row>
    <row r="1284" spans="26:58" ht="16.899999999999999">
      <c r="Z1284" s="244"/>
      <c r="AC1284" s="10"/>
      <c r="AD1284" s="10"/>
      <c r="AF1284" s="10"/>
      <c r="AG1284" s="10"/>
      <c r="AH1284" s="10"/>
      <c r="AI1284" s="9"/>
      <c r="AJ1284" s="9"/>
      <c r="AK1284" s="11"/>
      <c r="AL1284" s="10"/>
      <c r="AM1284" s="11"/>
      <c r="AN1284" s="10"/>
      <c r="AO1284" s="11"/>
      <c r="AP1284" s="10"/>
      <c r="AQ1284" s="10"/>
      <c r="AR1284" s="10"/>
      <c r="AS1284" s="9"/>
      <c r="AT1284" s="9"/>
      <c r="AU1284" s="9"/>
      <c r="AV1284" s="9"/>
      <c r="AW1284" s="9"/>
      <c r="AX1284" s="9"/>
      <c r="AY1284" s="8"/>
      <c r="AZ1284" s="8"/>
      <c r="BA1284" s="8"/>
      <c r="BB1284" s="8"/>
      <c r="BC1284" s="8"/>
      <c r="BD1284" s="8"/>
      <c r="BE1284" s="8"/>
      <c r="BF1284" s="8"/>
    </row>
    <row r="1285" spans="26:58" ht="16.899999999999999">
      <c r="Z1285" s="244"/>
      <c r="AC1285" s="10"/>
      <c r="AD1285" s="10"/>
      <c r="AF1285" s="10"/>
      <c r="AG1285" s="10"/>
      <c r="AH1285" s="10"/>
      <c r="AI1285" s="9"/>
      <c r="AJ1285" s="9"/>
      <c r="AK1285" s="11"/>
      <c r="AL1285" s="10"/>
      <c r="AM1285" s="11"/>
      <c r="AN1285" s="10"/>
      <c r="AO1285" s="11"/>
      <c r="AP1285" s="10"/>
      <c r="AQ1285" s="10"/>
      <c r="AR1285" s="10"/>
      <c r="AS1285" s="9"/>
      <c r="AT1285" s="9"/>
      <c r="AU1285" s="9"/>
      <c r="AV1285" s="9"/>
      <c r="AW1285" s="9"/>
      <c r="AX1285" s="9"/>
      <c r="AY1285" s="8"/>
      <c r="AZ1285" s="8"/>
      <c r="BA1285" s="8"/>
      <c r="BB1285" s="8"/>
      <c r="BC1285" s="8"/>
      <c r="BD1285" s="8"/>
      <c r="BE1285" s="8"/>
      <c r="BF1285" s="8"/>
    </row>
    <row r="1286" spans="26:58" ht="16.899999999999999">
      <c r="Z1286" s="244"/>
      <c r="AC1286" s="10"/>
      <c r="AD1286" s="10"/>
      <c r="AF1286" s="10"/>
      <c r="AG1286" s="10"/>
      <c r="AH1286" s="10"/>
      <c r="AI1286" s="9"/>
      <c r="AJ1286" s="9"/>
      <c r="AK1286" s="11"/>
      <c r="AL1286" s="10"/>
      <c r="AM1286" s="11"/>
      <c r="AN1286" s="10"/>
      <c r="AO1286" s="11"/>
      <c r="AP1286" s="10"/>
      <c r="AQ1286" s="10"/>
      <c r="AR1286" s="10"/>
      <c r="AS1286" s="9"/>
      <c r="AT1286" s="9"/>
      <c r="AU1286" s="9"/>
      <c r="AV1286" s="9"/>
      <c r="AW1286" s="9"/>
      <c r="AX1286" s="9"/>
      <c r="AY1286" s="8"/>
      <c r="AZ1286" s="8"/>
      <c r="BA1286" s="8"/>
      <c r="BB1286" s="8"/>
      <c r="BC1286" s="8"/>
      <c r="BD1286" s="8"/>
      <c r="BE1286" s="8"/>
      <c r="BF1286" s="8"/>
    </row>
    <row r="1287" spans="26:58" ht="16.899999999999999">
      <c r="Z1287" s="244"/>
      <c r="AC1287" s="10"/>
      <c r="AD1287" s="10"/>
      <c r="AF1287" s="10"/>
      <c r="AG1287" s="10"/>
      <c r="AH1287" s="10"/>
      <c r="AI1287" s="9"/>
      <c r="AJ1287" s="9"/>
      <c r="AK1287" s="11"/>
      <c r="AL1287" s="10"/>
      <c r="AM1287" s="11"/>
      <c r="AN1287" s="10"/>
      <c r="AO1287" s="11"/>
      <c r="AP1287" s="10"/>
      <c r="AQ1287" s="10"/>
      <c r="AR1287" s="10"/>
      <c r="AS1287" s="9"/>
      <c r="AT1287" s="9"/>
      <c r="AU1287" s="9"/>
      <c r="AV1287" s="9"/>
      <c r="AW1287" s="9"/>
      <c r="AX1287" s="9"/>
      <c r="AY1287" s="8"/>
      <c r="AZ1287" s="8"/>
      <c r="BA1287" s="8"/>
      <c r="BB1287" s="8"/>
      <c r="BC1287" s="8"/>
      <c r="BD1287" s="8"/>
      <c r="BE1287" s="8"/>
      <c r="BF1287" s="8"/>
    </row>
    <row r="1288" spans="26:58" ht="16.899999999999999">
      <c r="Z1288" s="244"/>
      <c r="AC1288" s="10"/>
      <c r="AD1288" s="10"/>
      <c r="AF1288" s="10"/>
      <c r="AG1288" s="10"/>
      <c r="AH1288" s="10"/>
      <c r="AI1288" s="9"/>
      <c r="AJ1288" s="9"/>
      <c r="AK1288" s="11"/>
      <c r="AL1288" s="10"/>
      <c r="AM1288" s="11"/>
      <c r="AN1288" s="10"/>
      <c r="AO1288" s="11"/>
      <c r="AP1288" s="10"/>
      <c r="AQ1288" s="10"/>
      <c r="AR1288" s="10"/>
      <c r="AS1288" s="9"/>
      <c r="AT1288" s="9"/>
      <c r="AU1288" s="9"/>
      <c r="AV1288" s="9"/>
      <c r="AW1288" s="9"/>
      <c r="AX1288" s="9"/>
      <c r="AY1288" s="8"/>
      <c r="AZ1288" s="8"/>
      <c r="BA1288" s="8"/>
      <c r="BB1288" s="8"/>
      <c r="BC1288" s="8"/>
      <c r="BD1288" s="8"/>
      <c r="BE1288" s="8"/>
      <c r="BF1288" s="8"/>
    </row>
    <row r="1289" spans="26:58" ht="16.899999999999999">
      <c r="Z1289" s="244"/>
      <c r="AC1289" s="10"/>
      <c r="AD1289" s="10"/>
      <c r="AF1289" s="10"/>
      <c r="AG1289" s="10"/>
      <c r="AH1289" s="10"/>
      <c r="AI1289" s="9"/>
      <c r="AJ1289" s="9"/>
      <c r="AK1289" s="11"/>
      <c r="AL1289" s="10"/>
      <c r="AM1289" s="11"/>
      <c r="AN1289" s="10"/>
      <c r="AO1289" s="11"/>
      <c r="AP1289" s="10"/>
      <c r="AQ1289" s="10"/>
      <c r="AR1289" s="10"/>
      <c r="AS1289" s="9"/>
      <c r="AT1289" s="9"/>
      <c r="AU1289" s="9"/>
      <c r="AV1289" s="9"/>
      <c r="AW1289" s="9"/>
      <c r="AX1289" s="9"/>
      <c r="AY1289" s="8"/>
      <c r="AZ1289" s="8"/>
      <c r="BA1289" s="8"/>
      <c r="BB1289" s="8"/>
      <c r="BC1289" s="8"/>
      <c r="BD1289" s="8"/>
      <c r="BE1289" s="8"/>
      <c r="BF1289" s="8"/>
    </row>
    <row r="1290" spans="26:58" ht="16.899999999999999">
      <c r="Z1290" s="244"/>
      <c r="AC1290" s="10"/>
      <c r="AD1290" s="10"/>
      <c r="AF1290" s="10"/>
      <c r="AG1290" s="10"/>
      <c r="AH1290" s="10"/>
      <c r="AI1290" s="9"/>
      <c r="AJ1290" s="9"/>
      <c r="AK1290" s="11"/>
      <c r="AL1290" s="10"/>
      <c r="AM1290" s="11"/>
      <c r="AN1290" s="10"/>
      <c r="AO1290" s="11"/>
      <c r="AP1290" s="10"/>
      <c r="AQ1290" s="10"/>
      <c r="AR1290" s="10"/>
      <c r="AS1290" s="9"/>
      <c r="AT1290" s="9"/>
      <c r="AU1290" s="9"/>
      <c r="AV1290" s="9"/>
      <c r="AW1290" s="9"/>
      <c r="AX1290" s="9"/>
      <c r="AY1290" s="8"/>
      <c r="AZ1290" s="8"/>
      <c r="BA1290" s="8"/>
      <c r="BB1290" s="8"/>
      <c r="BC1290" s="8"/>
      <c r="BD1290" s="8"/>
      <c r="BE1290" s="8"/>
      <c r="BF1290" s="8"/>
    </row>
    <row r="1291" spans="26:58" ht="16.899999999999999">
      <c r="Z1291" s="244"/>
      <c r="AC1291" s="10"/>
      <c r="AD1291" s="10"/>
      <c r="AF1291" s="10"/>
      <c r="AG1291" s="10"/>
      <c r="AH1291" s="10"/>
      <c r="AI1291" s="9"/>
      <c r="AJ1291" s="9"/>
      <c r="AK1291" s="11"/>
      <c r="AL1291" s="10"/>
      <c r="AM1291" s="11"/>
      <c r="AN1291" s="10"/>
      <c r="AO1291" s="11"/>
      <c r="AP1291" s="10"/>
      <c r="AQ1291" s="10"/>
      <c r="AR1291" s="10"/>
      <c r="AS1291" s="9"/>
      <c r="AT1291" s="9"/>
      <c r="AU1291" s="9"/>
      <c r="AV1291" s="9"/>
      <c r="AW1291" s="9"/>
      <c r="AX1291" s="9"/>
      <c r="AY1291" s="8"/>
      <c r="AZ1291" s="8"/>
      <c r="BA1291" s="8"/>
      <c r="BB1291" s="8"/>
      <c r="BC1291" s="8"/>
      <c r="BD1291" s="8"/>
      <c r="BE1291" s="8"/>
      <c r="BF1291" s="8"/>
    </row>
    <row r="1292" spans="26:58" ht="16.899999999999999">
      <c r="Z1292" s="244"/>
      <c r="AC1292" s="10"/>
      <c r="AD1292" s="10"/>
      <c r="AF1292" s="10"/>
      <c r="AG1292" s="10"/>
      <c r="AH1292" s="10"/>
      <c r="AI1292" s="9"/>
      <c r="AJ1292" s="9"/>
      <c r="AK1292" s="11"/>
      <c r="AL1292" s="10"/>
      <c r="AM1292" s="11"/>
      <c r="AN1292" s="10"/>
      <c r="AO1292" s="11"/>
      <c r="AP1292" s="10"/>
      <c r="AQ1292" s="10"/>
      <c r="AR1292" s="10"/>
      <c r="AS1292" s="9"/>
      <c r="AT1292" s="9"/>
      <c r="AU1292" s="9"/>
      <c r="AV1292" s="9"/>
      <c r="AW1292" s="9"/>
      <c r="AX1292" s="9"/>
      <c r="AY1292" s="8"/>
      <c r="AZ1292" s="8"/>
      <c r="BA1292" s="8"/>
      <c r="BB1292" s="8"/>
      <c r="BC1292" s="8"/>
      <c r="BD1292" s="8"/>
      <c r="BE1292" s="8"/>
      <c r="BF1292" s="8"/>
    </row>
    <row r="1293" spans="26:58" ht="16.899999999999999">
      <c r="Z1293" s="244"/>
      <c r="AC1293" s="10"/>
      <c r="AD1293" s="10"/>
      <c r="AF1293" s="10"/>
      <c r="AG1293" s="10"/>
      <c r="AH1293" s="10"/>
      <c r="AI1293" s="9"/>
      <c r="AJ1293" s="9"/>
      <c r="AK1293" s="11"/>
      <c r="AL1293" s="10"/>
      <c r="AM1293" s="11"/>
      <c r="AN1293" s="10"/>
      <c r="AO1293" s="11"/>
      <c r="AP1293" s="10"/>
      <c r="AQ1293" s="10"/>
      <c r="AR1293" s="10"/>
      <c r="AS1293" s="9"/>
      <c r="AT1293" s="9"/>
      <c r="AU1293" s="9"/>
      <c r="AV1293" s="9"/>
      <c r="AW1293" s="9"/>
      <c r="AX1293" s="9"/>
      <c r="AY1293" s="8"/>
      <c r="AZ1293" s="8"/>
      <c r="BA1293" s="8"/>
      <c r="BB1293" s="8"/>
      <c r="BC1293" s="8"/>
      <c r="BD1293" s="8"/>
      <c r="BE1293" s="8"/>
      <c r="BF1293" s="8"/>
    </row>
    <row r="1294" spans="26:58" ht="16.899999999999999">
      <c r="Z1294" s="244"/>
      <c r="AC1294" s="10"/>
      <c r="AD1294" s="10"/>
      <c r="AF1294" s="10"/>
      <c r="AG1294" s="10"/>
      <c r="AH1294" s="10"/>
      <c r="AI1294" s="9"/>
      <c r="AJ1294" s="9"/>
      <c r="AK1294" s="11"/>
      <c r="AL1294" s="10"/>
      <c r="AM1294" s="11"/>
      <c r="AN1294" s="10"/>
      <c r="AO1294" s="11"/>
      <c r="AP1294" s="10"/>
      <c r="AQ1294" s="10"/>
      <c r="AR1294" s="10"/>
      <c r="AS1294" s="9"/>
      <c r="AT1294" s="9"/>
      <c r="AU1294" s="9"/>
      <c r="AV1294" s="9"/>
      <c r="AW1294" s="9"/>
      <c r="AX1294" s="9"/>
      <c r="AY1294" s="8"/>
      <c r="AZ1294" s="8"/>
      <c r="BA1294" s="8"/>
      <c r="BB1294" s="8"/>
      <c r="BC1294" s="8"/>
      <c r="BD1294" s="8"/>
      <c r="BE1294" s="8"/>
      <c r="BF1294" s="8"/>
    </row>
    <row r="1295" spans="26:58" ht="16.899999999999999">
      <c r="Z1295" s="244"/>
      <c r="AC1295" s="10"/>
      <c r="AD1295" s="10"/>
      <c r="AF1295" s="10"/>
      <c r="AG1295" s="10"/>
      <c r="AH1295" s="10"/>
      <c r="AI1295" s="9"/>
      <c r="AJ1295" s="9"/>
      <c r="AK1295" s="11"/>
      <c r="AL1295" s="10"/>
      <c r="AM1295" s="11"/>
      <c r="AN1295" s="10"/>
      <c r="AO1295" s="11"/>
      <c r="AP1295" s="10"/>
      <c r="AQ1295" s="10"/>
      <c r="AR1295" s="10"/>
      <c r="AS1295" s="9"/>
      <c r="AT1295" s="9"/>
      <c r="AU1295" s="9"/>
      <c r="AV1295" s="9"/>
      <c r="AW1295" s="9"/>
      <c r="AX1295" s="9"/>
      <c r="AY1295" s="8"/>
      <c r="AZ1295" s="8"/>
      <c r="BA1295" s="8"/>
      <c r="BB1295" s="8"/>
      <c r="BC1295" s="8"/>
      <c r="BD1295" s="8"/>
      <c r="BE1295" s="8"/>
      <c r="BF1295" s="8"/>
    </row>
    <row r="1296" spans="26:58" ht="16.899999999999999">
      <c r="Z1296" s="244"/>
      <c r="AC1296" s="10"/>
      <c r="AD1296" s="10"/>
      <c r="AF1296" s="10"/>
      <c r="AG1296" s="10"/>
      <c r="AH1296" s="10"/>
      <c r="AI1296" s="9"/>
      <c r="AJ1296" s="9"/>
      <c r="AK1296" s="11"/>
      <c r="AL1296" s="10"/>
      <c r="AM1296" s="11"/>
      <c r="AN1296" s="10"/>
      <c r="AO1296" s="11"/>
      <c r="AP1296" s="10"/>
      <c r="AQ1296" s="10"/>
      <c r="AR1296" s="10"/>
      <c r="AS1296" s="9"/>
      <c r="AT1296" s="9"/>
      <c r="AU1296" s="9"/>
      <c r="AV1296" s="9"/>
      <c r="AW1296" s="9"/>
      <c r="AX1296" s="9"/>
      <c r="AY1296" s="8"/>
      <c r="AZ1296" s="8"/>
      <c r="BA1296" s="8"/>
      <c r="BB1296" s="8"/>
      <c r="BC1296" s="8"/>
      <c r="BD1296" s="8"/>
      <c r="BE1296" s="8"/>
      <c r="BF1296" s="8"/>
    </row>
    <row r="1297" spans="26:58" ht="16.899999999999999">
      <c r="Z1297" s="244"/>
      <c r="AC1297" s="10"/>
      <c r="AD1297" s="10"/>
      <c r="AF1297" s="10"/>
      <c r="AG1297" s="10"/>
      <c r="AH1297" s="10"/>
      <c r="AI1297" s="9"/>
      <c r="AJ1297" s="9"/>
      <c r="AK1297" s="11"/>
      <c r="AL1297" s="10"/>
      <c r="AM1297" s="11"/>
      <c r="AN1297" s="10"/>
      <c r="AO1297" s="11"/>
      <c r="AP1297" s="10"/>
      <c r="AQ1297" s="10"/>
      <c r="AR1297" s="10"/>
      <c r="AS1297" s="9"/>
      <c r="AT1297" s="9"/>
      <c r="AU1297" s="9"/>
      <c r="AV1297" s="9"/>
      <c r="AW1297" s="9"/>
      <c r="AX1297" s="9"/>
      <c r="AY1297" s="8"/>
      <c r="AZ1297" s="8"/>
      <c r="BA1297" s="8"/>
      <c r="BB1297" s="8"/>
      <c r="BC1297" s="8"/>
      <c r="BD1297" s="8"/>
      <c r="BE1297" s="8"/>
      <c r="BF1297" s="8"/>
    </row>
    <row r="1298" spans="26:58" ht="16.899999999999999">
      <c r="Z1298" s="244"/>
      <c r="AC1298" s="10"/>
      <c r="AD1298" s="10"/>
      <c r="AF1298" s="10"/>
      <c r="AG1298" s="10"/>
      <c r="AH1298" s="10"/>
      <c r="AI1298" s="9"/>
      <c r="AJ1298" s="9"/>
      <c r="AK1298" s="11"/>
      <c r="AL1298" s="10"/>
      <c r="AM1298" s="11"/>
      <c r="AN1298" s="10"/>
      <c r="AO1298" s="11"/>
      <c r="AP1298" s="10"/>
      <c r="AQ1298" s="10"/>
      <c r="AR1298" s="10"/>
      <c r="AS1298" s="9"/>
      <c r="AT1298" s="9"/>
      <c r="AU1298" s="9"/>
      <c r="AV1298" s="9"/>
      <c r="AW1298" s="9"/>
      <c r="AX1298" s="9"/>
      <c r="AY1298" s="8"/>
      <c r="AZ1298" s="8"/>
      <c r="BA1298" s="8"/>
      <c r="BB1298" s="8"/>
      <c r="BC1298" s="8"/>
      <c r="BD1298" s="8"/>
      <c r="BE1298" s="8"/>
      <c r="BF1298" s="8"/>
    </row>
    <row r="1299" spans="26:58" ht="16.899999999999999">
      <c r="Z1299" s="244"/>
      <c r="AC1299" s="10"/>
      <c r="AD1299" s="10"/>
      <c r="AF1299" s="10"/>
      <c r="AG1299" s="10"/>
      <c r="AH1299" s="10"/>
      <c r="AI1299" s="9"/>
      <c r="AJ1299" s="9"/>
      <c r="AK1299" s="11"/>
      <c r="AL1299" s="10"/>
      <c r="AM1299" s="11"/>
      <c r="AN1299" s="10"/>
      <c r="AO1299" s="11"/>
      <c r="AP1299" s="10"/>
      <c r="AQ1299" s="10"/>
      <c r="AR1299" s="10"/>
      <c r="AS1299" s="9"/>
      <c r="AT1299" s="9"/>
      <c r="AU1299" s="9"/>
      <c r="AV1299" s="9"/>
      <c r="AW1299" s="9"/>
      <c r="AX1299" s="9"/>
      <c r="AY1299" s="8"/>
      <c r="AZ1299" s="8"/>
      <c r="BA1299" s="8"/>
      <c r="BB1299" s="8"/>
      <c r="BC1299" s="8"/>
      <c r="BD1299" s="8"/>
      <c r="BE1299" s="8"/>
      <c r="BF1299" s="8"/>
    </row>
    <row r="1300" spans="26:58" ht="16.899999999999999">
      <c r="Z1300" s="244"/>
      <c r="AC1300" s="10"/>
      <c r="AD1300" s="10"/>
      <c r="AF1300" s="10"/>
      <c r="AG1300" s="10"/>
      <c r="AH1300" s="10"/>
      <c r="AI1300" s="9"/>
      <c r="AJ1300" s="9"/>
      <c r="AK1300" s="11"/>
      <c r="AL1300" s="10"/>
      <c r="AM1300" s="11"/>
      <c r="AN1300" s="10"/>
      <c r="AO1300" s="11"/>
      <c r="AP1300" s="10"/>
      <c r="AQ1300" s="10"/>
      <c r="AR1300" s="10"/>
      <c r="AS1300" s="9"/>
      <c r="AT1300" s="9"/>
      <c r="AU1300" s="9"/>
      <c r="AV1300" s="9"/>
      <c r="AW1300" s="9"/>
      <c r="AX1300" s="9"/>
      <c r="AY1300" s="8"/>
      <c r="AZ1300" s="8"/>
      <c r="BA1300" s="8"/>
      <c r="BB1300" s="8"/>
      <c r="BC1300" s="8"/>
      <c r="BD1300" s="8"/>
      <c r="BE1300" s="8"/>
      <c r="BF1300" s="8"/>
    </row>
    <row r="1301" spans="26:58" ht="16.899999999999999">
      <c r="Z1301" s="244"/>
      <c r="AC1301" s="10"/>
      <c r="AD1301" s="10"/>
      <c r="AF1301" s="10"/>
      <c r="AG1301" s="10"/>
      <c r="AH1301" s="10"/>
      <c r="AI1301" s="9"/>
      <c r="AJ1301" s="9"/>
      <c r="AK1301" s="11"/>
      <c r="AL1301" s="10"/>
      <c r="AM1301" s="11"/>
      <c r="AN1301" s="10"/>
      <c r="AO1301" s="11"/>
      <c r="AP1301" s="10"/>
      <c r="AQ1301" s="10"/>
      <c r="AR1301" s="10"/>
      <c r="AS1301" s="9"/>
      <c r="AT1301" s="9"/>
      <c r="AU1301" s="9"/>
      <c r="AV1301" s="9"/>
      <c r="AW1301" s="9"/>
      <c r="AX1301" s="9"/>
      <c r="AY1301" s="8"/>
      <c r="AZ1301" s="8"/>
      <c r="BA1301" s="8"/>
      <c r="BB1301" s="8"/>
      <c r="BC1301" s="8"/>
      <c r="BD1301" s="8"/>
      <c r="BE1301" s="8"/>
      <c r="BF1301" s="8"/>
    </row>
    <row r="1302" spans="26:58" ht="16.899999999999999">
      <c r="Z1302" s="244"/>
      <c r="AC1302" s="10"/>
      <c r="AD1302" s="10"/>
      <c r="AF1302" s="10"/>
      <c r="AG1302" s="10"/>
      <c r="AH1302" s="10"/>
      <c r="AI1302" s="9"/>
      <c r="AJ1302" s="9"/>
      <c r="AK1302" s="11"/>
      <c r="AL1302" s="10"/>
      <c r="AM1302" s="11"/>
      <c r="AN1302" s="10"/>
      <c r="AO1302" s="11"/>
      <c r="AP1302" s="10"/>
      <c r="AQ1302" s="10"/>
      <c r="AR1302" s="10"/>
      <c r="AS1302" s="9"/>
      <c r="AT1302" s="9"/>
      <c r="AU1302" s="9"/>
      <c r="AV1302" s="9"/>
      <c r="AW1302" s="9"/>
      <c r="AX1302" s="9"/>
      <c r="AY1302" s="8"/>
      <c r="AZ1302" s="8"/>
      <c r="BA1302" s="8"/>
      <c r="BB1302" s="8"/>
      <c r="BC1302" s="8"/>
      <c r="BD1302" s="8"/>
      <c r="BE1302" s="8"/>
      <c r="BF1302" s="8"/>
    </row>
    <row r="1303" spans="26:58" ht="16.899999999999999">
      <c r="Z1303" s="244"/>
      <c r="AC1303" s="10"/>
      <c r="AD1303" s="10"/>
      <c r="AF1303" s="10"/>
      <c r="AG1303" s="10"/>
      <c r="AH1303" s="10"/>
      <c r="AI1303" s="9"/>
      <c r="AJ1303" s="9"/>
      <c r="AK1303" s="11"/>
      <c r="AL1303" s="10"/>
      <c r="AM1303" s="11"/>
      <c r="AN1303" s="10"/>
      <c r="AO1303" s="11"/>
      <c r="AP1303" s="10"/>
      <c r="AQ1303" s="10"/>
      <c r="AR1303" s="10"/>
      <c r="AS1303" s="9"/>
      <c r="AT1303" s="9"/>
      <c r="AU1303" s="9"/>
      <c r="AV1303" s="9"/>
      <c r="AW1303" s="9"/>
      <c r="AX1303" s="9"/>
      <c r="AY1303" s="8"/>
      <c r="AZ1303" s="8"/>
      <c r="BA1303" s="8"/>
      <c r="BB1303" s="8"/>
      <c r="BC1303" s="8"/>
      <c r="BD1303" s="8"/>
      <c r="BE1303" s="8"/>
      <c r="BF1303" s="8"/>
    </row>
    <row r="1304" spans="26:58" ht="16.899999999999999">
      <c r="Z1304" s="244"/>
      <c r="AC1304" s="10"/>
      <c r="AD1304" s="10"/>
      <c r="AF1304" s="10"/>
      <c r="AG1304" s="10"/>
      <c r="AH1304" s="10"/>
      <c r="AI1304" s="9"/>
      <c r="AJ1304" s="9"/>
      <c r="AK1304" s="11"/>
      <c r="AL1304" s="10"/>
      <c r="AM1304" s="11"/>
      <c r="AN1304" s="10"/>
      <c r="AO1304" s="11"/>
      <c r="AP1304" s="10"/>
      <c r="AQ1304" s="10"/>
      <c r="AR1304" s="10"/>
      <c r="AS1304" s="9"/>
      <c r="AT1304" s="9"/>
      <c r="AU1304" s="9"/>
      <c r="AV1304" s="9"/>
      <c r="AW1304" s="9"/>
      <c r="AX1304" s="9"/>
      <c r="AY1304" s="8"/>
      <c r="AZ1304" s="8"/>
      <c r="BA1304" s="8"/>
      <c r="BB1304" s="8"/>
      <c r="BC1304" s="8"/>
      <c r="BD1304" s="8"/>
      <c r="BE1304" s="8"/>
      <c r="BF1304" s="8"/>
    </row>
    <row r="1305" spans="26:58" ht="16.899999999999999">
      <c r="Z1305" s="244"/>
      <c r="AC1305" s="10"/>
      <c r="AD1305" s="10"/>
      <c r="AF1305" s="10"/>
      <c r="AG1305" s="10"/>
      <c r="AH1305" s="10"/>
      <c r="AI1305" s="9"/>
      <c r="AJ1305" s="9"/>
      <c r="AK1305" s="11"/>
      <c r="AL1305" s="10"/>
      <c r="AM1305" s="11"/>
      <c r="AN1305" s="10"/>
      <c r="AO1305" s="11"/>
      <c r="AP1305" s="10"/>
      <c r="AQ1305" s="10"/>
      <c r="AR1305" s="10"/>
      <c r="AS1305" s="9"/>
      <c r="AT1305" s="9"/>
      <c r="AU1305" s="9"/>
      <c r="AV1305" s="9"/>
      <c r="AW1305" s="9"/>
      <c r="AX1305" s="9"/>
      <c r="AY1305" s="8"/>
      <c r="AZ1305" s="8"/>
      <c r="BA1305" s="8"/>
      <c r="BB1305" s="8"/>
      <c r="BC1305" s="8"/>
      <c r="BD1305" s="8"/>
      <c r="BE1305" s="8"/>
      <c r="BF1305" s="8"/>
    </row>
    <row r="1306" spans="26:58" ht="16.899999999999999">
      <c r="Z1306" s="244"/>
      <c r="AC1306" s="10"/>
      <c r="AD1306" s="10"/>
      <c r="AF1306" s="10"/>
      <c r="AG1306" s="10"/>
      <c r="AH1306" s="10"/>
      <c r="AI1306" s="9"/>
      <c r="AJ1306" s="9"/>
      <c r="AK1306" s="11"/>
      <c r="AL1306" s="10"/>
      <c r="AM1306" s="11"/>
      <c r="AN1306" s="10"/>
      <c r="AO1306" s="11"/>
      <c r="AP1306" s="10"/>
      <c r="AQ1306" s="10"/>
      <c r="AR1306" s="10"/>
      <c r="AS1306" s="9"/>
      <c r="AT1306" s="9"/>
      <c r="AU1306" s="9"/>
      <c r="AV1306" s="9"/>
      <c r="AW1306" s="9"/>
      <c r="AX1306" s="9"/>
      <c r="AY1306" s="8"/>
      <c r="AZ1306" s="8"/>
      <c r="BA1306" s="8"/>
      <c r="BB1306" s="8"/>
      <c r="BC1306" s="8"/>
      <c r="BD1306" s="8"/>
      <c r="BE1306" s="8"/>
      <c r="BF1306" s="8"/>
    </row>
    <row r="1307" spans="26:58" ht="16.899999999999999">
      <c r="Z1307" s="244"/>
      <c r="AC1307" s="10"/>
      <c r="AD1307" s="10"/>
      <c r="AF1307" s="10"/>
      <c r="AG1307" s="10"/>
      <c r="AH1307" s="10"/>
      <c r="AI1307" s="9"/>
      <c r="AJ1307" s="9"/>
      <c r="AK1307" s="11"/>
      <c r="AL1307" s="10"/>
      <c r="AM1307" s="11"/>
      <c r="AN1307" s="10"/>
      <c r="AO1307" s="11"/>
      <c r="AP1307" s="10"/>
      <c r="AQ1307" s="10"/>
      <c r="AR1307" s="10"/>
      <c r="AS1307" s="9"/>
      <c r="AT1307" s="9"/>
      <c r="AU1307" s="9"/>
      <c r="AV1307" s="9"/>
      <c r="AW1307" s="9"/>
      <c r="AX1307" s="9"/>
      <c r="AY1307" s="8"/>
      <c r="AZ1307" s="8"/>
      <c r="BA1307" s="8"/>
      <c r="BB1307" s="8"/>
      <c r="BC1307" s="8"/>
      <c r="BD1307" s="8"/>
      <c r="BE1307" s="8"/>
      <c r="BF1307" s="8"/>
    </row>
    <row r="1308" spans="26:58" ht="16.899999999999999">
      <c r="Z1308" s="244"/>
      <c r="AC1308" s="10"/>
      <c r="AD1308" s="10"/>
      <c r="AF1308" s="10"/>
      <c r="AG1308" s="10"/>
      <c r="AH1308" s="10"/>
      <c r="AI1308" s="9"/>
      <c r="AJ1308" s="9"/>
      <c r="AK1308" s="11"/>
      <c r="AL1308" s="10"/>
      <c r="AM1308" s="11"/>
      <c r="AN1308" s="10"/>
      <c r="AO1308" s="11"/>
      <c r="AP1308" s="10"/>
      <c r="AQ1308" s="10"/>
      <c r="AR1308" s="10"/>
      <c r="AS1308" s="9"/>
      <c r="AT1308" s="9"/>
      <c r="AU1308" s="9"/>
      <c r="AV1308" s="9"/>
      <c r="AW1308" s="9"/>
      <c r="AX1308" s="9"/>
      <c r="AY1308" s="8"/>
      <c r="AZ1308" s="8"/>
      <c r="BA1308" s="8"/>
      <c r="BB1308" s="8"/>
      <c r="BC1308" s="8"/>
      <c r="BD1308" s="8"/>
      <c r="BE1308" s="8"/>
      <c r="BF1308" s="8"/>
    </row>
    <row r="1309" spans="26:58" ht="16.899999999999999">
      <c r="Z1309" s="244"/>
      <c r="AC1309" s="10"/>
      <c r="AD1309" s="10"/>
      <c r="AF1309" s="10"/>
      <c r="AG1309" s="10"/>
      <c r="AH1309" s="10"/>
      <c r="AI1309" s="9"/>
      <c r="AJ1309" s="9"/>
      <c r="AK1309" s="11"/>
      <c r="AL1309" s="10"/>
      <c r="AM1309" s="11"/>
      <c r="AN1309" s="10"/>
      <c r="AO1309" s="11"/>
      <c r="AP1309" s="10"/>
      <c r="AQ1309" s="10"/>
      <c r="AR1309" s="10"/>
      <c r="AS1309" s="9"/>
      <c r="AT1309" s="9"/>
      <c r="AU1309" s="9"/>
      <c r="AV1309" s="9"/>
      <c r="AW1309" s="9"/>
      <c r="AX1309" s="9"/>
      <c r="AY1309" s="8"/>
      <c r="AZ1309" s="8"/>
      <c r="BA1309" s="8"/>
      <c r="BB1309" s="8"/>
      <c r="BC1309" s="8"/>
      <c r="BD1309" s="8"/>
      <c r="BE1309" s="8"/>
      <c r="BF1309" s="8"/>
    </row>
    <row r="1310" spans="26:58" ht="16.899999999999999">
      <c r="Z1310" s="244"/>
      <c r="AC1310" s="10"/>
      <c r="AD1310" s="10"/>
      <c r="AF1310" s="10"/>
      <c r="AG1310" s="10"/>
      <c r="AH1310" s="10"/>
      <c r="AI1310" s="9"/>
      <c r="AJ1310" s="9"/>
      <c r="AK1310" s="11"/>
      <c r="AL1310" s="10"/>
      <c r="AM1310" s="11"/>
      <c r="AN1310" s="10"/>
      <c r="AO1310" s="11"/>
      <c r="AP1310" s="10"/>
      <c r="AQ1310" s="10"/>
      <c r="AR1310" s="10"/>
      <c r="AS1310" s="9"/>
      <c r="AT1310" s="9"/>
      <c r="AU1310" s="9"/>
      <c r="AV1310" s="9"/>
      <c r="AW1310" s="9"/>
      <c r="AX1310" s="9"/>
      <c r="AY1310" s="8"/>
      <c r="AZ1310" s="8"/>
      <c r="BA1310" s="8"/>
      <c r="BB1310" s="8"/>
      <c r="BC1310" s="8"/>
      <c r="BD1310" s="8"/>
      <c r="BE1310" s="8"/>
      <c r="BF1310" s="8"/>
    </row>
    <row r="1311" spans="26:58" ht="16.899999999999999">
      <c r="Z1311" s="244"/>
      <c r="AC1311" s="10"/>
      <c r="AD1311" s="10"/>
      <c r="AF1311" s="10"/>
      <c r="AG1311" s="10"/>
      <c r="AH1311" s="10"/>
      <c r="AI1311" s="9"/>
      <c r="AJ1311" s="9"/>
      <c r="AK1311" s="11"/>
      <c r="AL1311" s="10"/>
      <c r="AM1311" s="11"/>
      <c r="AN1311" s="10"/>
      <c r="AO1311" s="11"/>
      <c r="AP1311" s="10"/>
      <c r="AQ1311" s="10"/>
      <c r="AR1311" s="10"/>
      <c r="AS1311" s="9"/>
      <c r="AT1311" s="9"/>
      <c r="AU1311" s="9"/>
      <c r="AV1311" s="9"/>
      <c r="AW1311" s="9"/>
      <c r="AX1311" s="9"/>
      <c r="AY1311" s="8"/>
      <c r="AZ1311" s="8"/>
      <c r="BA1311" s="8"/>
      <c r="BB1311" s="8"/>
      <c r="BC1311" s="8"/>
      <c r="BD1311" s="8"/>
      <c r="BE1311" s="8"/>
      <c r="BF1311" s="8"/>
    </row>
    <row r="1312" spans="26:58" ht="16.899999999999999">
      <c r="Z1312" s="244"/>
      <c r="AC1312" s="10"/>
      <c r="AD1312" s="10"/>
      <c r="AF1312" s="10"/>
      <c r="AG1312" s="10"/>
      <c r="AH1312" s="10"/>
      <c r="AI1312" s="9"/>
      <c r="AJ1312" s="9"/>
      <c r="AK1312" s="11"/>
      <c r="AL1312" s="10"/>
      <c r="AM1312" s="11"/>
      <c r="AN1312" s="10"/>
      <c r="AO1312" s="11"/>
      <c r="AP1312" s="10"/>
      <c r="AQ1312" s="10"/>
      <c r="AR1312" s="10"/>
      <c r="AS1312" s="9"/>
      <c r="AT1312" s="9"/>
      <c r="AU1312" s="9"/>
      <c r="AV1312" s="9"/>
      <c r="AW1312" s="9"/>
      <c r="AX1312" s="9"/>
      <c r="AY1312" s="8"/>
      <c r="AZ1312" s="8"/>
      <c r="BA1312" s="8"/>
      <c r="BB1312" s="8"/>
      <c r="BC1312" s="8"/>
      <c r="BD1312" s="8"/>
      <c r="BE1312" s="8"/>
      <c r="BF1312" s="8"/>
    </row>
    <row r="1313" spans="26:58" ht="16.899999999999999">
      <c r="Z1313" s="244"/>
      <c r="AC1313" s="10"/>
      <c r="AD1313" s="10"/>
      <c r="AF1313" s="10"/>
      <c r="AG1313" s="10"/>
      <c r="AH1313" s="10"/>
      <c r="AI1313" s="9"/>
      <c r="AJ1313" s="9"/>
      <c r="AK1313" s="11"/>
      <c r="AL1313" s="10"/>
      <c r="AM1313" s="11"/>
      <c r="AN1313" s="10"/>
      <c r="AO1313" s="11"/>
      <c r="AP1313" s="10"/>
      <c r="AQ1313" s="10"/>
      <c r="AR1313" s="10"/>
      <c r="AS1313" s="9"/>
      <c r="AT1313" s="9"/>
      <c r="AU1313" s="9"/>
      <c r="AV1313" s="9"/>
      <c r="AW1313" s="9"/>
      <c r="AX1313" s="9"/>
      <c r="AY1313" s="8"/>
      <c r="AZ1313" s="8"/>
      <c r="BA1313" s="8"/>
      <c r="BB1313" s="8"/>
      <c r="BC1313" s="8"/>
      <c r="BD1313" s="8"/>
      <c r="BE1313" s="8"/>
      <c r="BF1313" s="8"/>
    </row>
    <row r="1314" spans="26:58" ht="16.899999999999999">
      <c r="Z1314" s="244"/>
      <c r="AC1314" s="10"/>
      <c r="AD1314" s="10"/>
      <c r="AF1314" s="10"/>
      <c r="AG1314" s="10"/>
      <c r="AH1314" s="10"/>
      <c r="AI1314" s="9"/>
      <c r="AJ1314" s="9"/>
      <c r="AK1314" s="11"/>
      <c r="AL1314" s="10"/>
      <c r="AM1314" s="11"/>
      <c r="AN1314" s="10"/>
      <c r="AO1314" s="11"/>
      <c r="AP1314" s="10"/>
      <c r="AQ1314" s="10"/>
      <c r="AR1314" s="10"/>
      <c r="AS1314" s="9"/>
      <c r="AT1314" s="9"/>
      <c r="AU1314" s="9"/>
      <c r="AV1314" s="9"/>
      <c r="AW1314" s="9"/>
      <c r="AX1314" s="9"/>
      <c r="AY1314" s="8"/>
      <c r="AZ1314" s="8"/>
      <c r="BA1314" s="8"/>
      <c r="BB1314" s="8"/>
      <c r="BC1314" s="8"/>
      <c r="BD1314" s="8"/>
      <c r="BE1314" s="8"/>
      <c r="BF1314" s="8"/>
    </row>
    <row r="1315" spans="26:58" ht="16.899999999999999">
      <c r="Z1315" s="244"/>
      <c r="AC1315" s="10"/>
      <c r="AD1315" s="10"/>
      <c r="AF1315" s="10"/>
      <c r="AG1315" s="10"/>
      <c r="AH1315" s="10"/>
      <c r="AI1315" s="9"/>
      <c r="AJ1315" s="9"/>
      <c r="AK1315" s="11"/>
      <c r="AL1315" s="10"/>
      <c r="AM1315" s="11"/>
      <c r="AN1315" s="10"/>
      <c r="AO1315" s="11"/>
      <c r="AP1315" s="10"/>
      <c r="AQ1315" s="10"/>
      <c r="AR1315" s="10"/>
      <c r="AS1315" s="9"/>
      <c r="AT1315" s="9"/>
      <c r="AU1315" s="9"/>
      <c r="AV1315" s="9"/>
      <c r="AW1315" s="9"/>
      <c r="AX1315" s="9"/>
      <c r="AY1315" s="8"/>
      <c r="AZ1315" s="8"/>
      <c r="BA1315" s="8"/>
      <c r="BB1315" s="8"/>
      <c r="BC1315" s="8"/>
      <c r="BD1315" s="8"/>
      <c r="BE1315" s="8"/>
      <c r="BF1315" s="8"/>
    </row>
    <row r="1316" spans="26:58" ht="16.899999999999999">
      <c r="Z1316" s="244"/>
      <c r="AC1316" s="10"/>
      <c r="AD1316" s="10"/>
      <c r="AF1316" s="10"/>
      <c r="AG1316" s="10"/>
      <c r="AH1316" s="10"/>
      <c r="AI1316" s="9"/>
      <c r="AJ1316" s="9"/>
      <c r="AK1316" s="11"/>
      <c r="AL1316" s="10"/>
      <c r="AM1316" s="11"/>
      <c r="AN1316" s="10"/>
      <c r="AO1316" s="11"/>
      <c r="AP1316" s="10"/>
      <c r="AQ1316" s="10"/>
      <c r="AR1316" s="10"/>
      <c r="AS1316" s="9"/>
      <c r="AT1316" s="9"/>
      <c r="AU1316" s="9"/>
      <c r="AV1316" s="9"/>
      <c r="AW1316" s="9"/>
      <c r="AX1316" s="9"/>
      <c r="AY1316" s="8"/>
      <c r="AZ1316" s="8"/>
      <c r="BA1316" s="8"/>
      <c r="BB1316" s="8"/>
      <c r="BC1316" s="8"/>
      <c r="BD1316" s="8"/>
      <c r="BE1316" s="8"/>
      <c r="BF1316" s="8"/>
    </row>
    <row r="1317" spans="26:58" ht="16.899999999999999">
      <c r="Z1317" s="244"/>
      <c r="AC1317" s="10"/>
      <c r="AD1317" s="10"/>
      <c r="AF1317" s="10"/>
      <c r="AG1317" s="10"/>
      <c r="AH1317" s="10"/>
      <c r="AI1317" s="9"/>
      <c r="AJ1317" s="9"/>
      <c r="AK1317" s="11"/>
      <c r="AL1317" s="10"/>
      <c r="AM1317" s="11"/>
      <c r="AN1317" s="10"/>
      <c r="AO1317" s="11"/>
      <c r="AP1317" s="10"/>
      <c r="AQ1317" s="10"/>
      <c r="AR1317" s="10"/>
      <c r="AS1317" s="9"/>
      <c r="AT1317" s="9"/>
      <c r="AU1317" s="9"/>
      <c r="AV1317" s="9"/>
      <c r="AW1317" s="9"/>
      <c r="AX1317" s="9"/>
      <c r="AY1317" s="8"/>
      <c r="AZ1317" s="8"/>
      <c r="BA1317" s="8"/>
      <c r="BB1317" s="8"/>
      <c r="BC1317" s="8"/>
      <c r="BD1317" s="8"/>
      <c r="BE1317" s="8"/>
      <c r="BF1317" s="8"/>
    </row>
    <row r="1318" spans="26:58" ht="16.899999999999999">
      <c r="Z1318" s="244"/>
      <c r="AC1318" s="10"/>
      <c r="AD1318" s="10"/>
      <c r="AF1318" s="10"/>
      <c r="AG1318" s="10"/>
      <c r="AH1318" s="10"/>
      <c r="AI1318" s="9"/>
      <c r="AJ1318" s="9"/>
      <c r="AK1318" s="11"/>
      <c r="AL1318" s="10"/>
      <c r="AM1318" s="11"/>
      <c r="AN1318" s="10"/>
      <c r="AO1318" s="11"/>
      <c r="AP1318" s="10"/>
      <c r="AQ1318" s="10"/>
      <c r="AR1318" s="10"/>
      <c r="AS1318" s="9"/>
      <c r="AT1318" s="9"/>
      <c r="AU1318" s="9"/>
      <c r="AV1318" s="9"/>
      <c r="AW1318" s="9"/>
      <c r="AX1318" s="9"/>
      <c r="AY1318" s="8"/>
      <c r="AZ1318" s="8"/>
      <c r="BA1318" s="8"/>
      <c r="BB1318" s="8"/>
      <c r="BC1318" s="8"/>
      <c r="BD1318" s="8"/>
      <c r="BE1318" s="8"/>
      <c r="BF1318" s="8"/>
    </row>
    <row r="1319" spans="26:58" ht="16.899999999999999">
      <c r="Z1319" s="244"/>
      <c r="AC1319" s="10"/>
      <c r="AD1319" s="10"/>
      <c r="AF1319" s="10"/>
      <c r="AG1319" s="10"/>
      <c r="AH1319" s="10"/>
      <c r="AI1319" s="9"/>
      <c r="AJ1319" s="9"/>
      <c r="AK1319" s="11"/>
      <c r="AL1319" s="10"/>
      <c r="AM1319" s="11"/>
      <c r="AN1319" s="10"/>
      <c r="AO1319" s="11"/>
      <c r="AP1319" s="10"/>
      <c r="AQ1319" s="10"/>
      <c r="AR1319" s="10"/>
      <c r="AS1319" s="9"/>
      <c r="AT1319" s="9"/>
      <c r="AU1319" s="9"/>
      <c r="AV1319" s="9"/>
      <c r="AW1319" s="9"/>
      <c r="AX1319" s="9"/>
      <c r="AY1319" s="8"/>
      <c r="AZ1319" s="8"/>
      <c r="BA1319" s="8"/>
      <c r="BB1319" s="8"/>
      <c r="BC1319" s="8"/>
      <c r="BD1319" s="8"/>
      <c r="BE1319" s="8"/>
      <c r="BF1319" s="8"/>
    </row>
    <row r="1320" spans="26:58" ht="16.899999999999999">
      <c r="Z1320" s="244"/>
      <c r="AC1320" s="10"/>
      <c r="AD1320" s="10"/>
      <c r="AF1320" s="10"/>
      <c r="AG1320" s="10"/>
      <c r="AH1320" s="10"/>
      <c r="AI1320" s="9"/>
      <c r="AJ1320" s="9"/>
      <c r="AK1320" s="11"/>
      <c r="AL1320" s="10"/>
      <c r="AM1320" s="11"/>
      <c r="AN1320" s="10"/>
      <c r="AO1320" s="11"/>
      <c r="AP1320" s="10"/>
      <c r="AQ1320" s="10"/>
      <c r="AR1320" s="10"/>
      <c r="AS1320" s="9"/>
      <c r="AT1320" s="9"/>
      <c r="AU1320" s="9"/>
      <c r="AV1320" s="9"/>
      <c r="AW1320" s="9"/>
      <c r="AX1320" s="9"/>
      <c r="AY1320" s="8"/>
      <c r="AZ1320" s="8"/>
      <c r="BA1320" s="8"/>
      <c r="BB1320" s="8"/>
      <c r="BC1320" s="8"/>
      <c r="BD1320" s="8"/>
      <c r="BE1320" s="8"/>
      <c r="BF1320" s="8"/>
    </row>
    <row r="1321" spans="26:58" ht="16.899999999999999">
      <c r="Z1321" s="244"/>
      <c r="AC1321" s="10"/>
      <c r="AD1321" s="10"/>
      <c r="AF1321" s="10"/>
      <c r="AG1321" s="10"/>
      <c r="AH1321" s="10"/>
      <c r="AI1321" s="9"/>
      <c r="AJ1321" s="9"/>
      <c r="AK1321" s="11"/>
      <c r="AL1321" s="10"/>
      <c r="AM1321" s="11"/>
      <c r="AN1321" s="10"/>
      <c r="AO1321" s="11"/>
      <c r="AP1321" s="10"/>
      <c r="AQ1321" s="10"/>
      <c r="AR1321" s="10"/>
      <c r="AS1321" s="9"/>
      <c r="AT1321" s="9"/>
      <c r="AU1321" s="9"/>
      <c r="AV1321" s="9"/>
      <c r="AW1321" s="9"/>
      <c r="AX1321" s="9"/>
      <c r="AY1321" s="8"/>
      <c r="AZ1321" s="8"/>
      <c r="BA1321" s="8"/>
      <c r="BB1321" s="8"/>
      <c r="BC1321" s="8"/>
      <c r="BD1321" s="8"/>
      <c r="BE1321" s="8"/>
      <c r="BF1321" s="8"/>
    </row>
    <row r="1322" spans="26:58" ht="16.899999999999999">
      <c r="Z1322" s="244"/>
      <c r="AC1322" s="10"/>
      <c r="AD1322" s="10"/>
      <c r="AF1322" s="10"/>
      <c r="AG1322" s="10"/>
      <c r="AH1322" s="10"/>
      <c r="AI1322" s="9"/>
      <c r="AJ1322" s="9"/>
      <c r="AK1322" s="11"/>
      <c r="AL1322" s="10"/>
      <c r="AM1322" s="11"/>
      <c r="AN1322" s="10"/>
      <c r="AO1322" s="11"/>
      <c r="AP1322" s="10"/>
      <c r="AQ1322" s="10"/>
      <c r="AR1322" s="10"/>
      <c r="AS1322" s="9"/>
      <c r="AT1322" s="9"/>
      <c r="AU1322" s="9"/>
      <c r="AV1322" s="9"/>
      <c r="AW1322" s="9"/>
      <c r="AX1322" s="9"/>
      <c r="AY1322" s="8"/>
      <c r="AZ1322" s="8"/>
      <c r="BA1322" s="8"/>
      <c r="BB1322" s="8"/>
      <c r="BC1322" s="8"/>
      <c r="BD1322" s="8"/>
      <c r="BE1322" s="8"/>
      <c r="BF1322" s="8"/>
    </row>
    <row r="1323" spans="26:58" ht="16.899999999999999">
      <c r="Z1323" s="244"/>
      <c r="AC1323" s="10"/>
      <c r="AD1323" s="10"/>
      <c r="AF1323" s="10"/>
      <c r="AG1323" s="10"/>
      <c r="AH1323" s="10"/>
      <c r="AI1323" s="9"/>
      <c r="AJ1323" s="9"/>
      <c r="AK1323" s="11"/>
      <c r="AL1323" s="10"/>
      <c r="AM1323" s="11"/>
      <c r="AN1323" s="10"/>
      <c r="AO1323" s="11"/>
      <c r="AP1323" s="10"/>
      <c r="AQ1323" s="10"/>
      <c r="AR1323" s="10"/>
      <c r="AS1323" s="9"/>
      <c r="AT1323" s="9"/>
      <c r="AU1323" s="9"/>
      <c r="AV1323" s="9"/>
      <c r="AW1323" s="9"/>
      <c r="AX1323" s="9"/>
      <c r="AY1323" s="8"/>
      <c r="AZ1323" s="8"/>
      <c r="BA1323" s="8"/>
      <c r="BB1323" s="8"/>
      <c r="BC1323" s="8"/>
      <c r="BD1323" s="8"/>
      <c r="BE1323" s="8"/>
      <c r="BF1323" s="8"/>
    </row>
    <row r="1324" spans="26:58" ht="16.899999999999999">
      <c r="Z1324" s="244"/>
      <c r="AC1324" s="10"/>
      <c r="AD1324" s="10"/>
      <c r="AF1324" s="10"/>
      <c r="AG1324" s="10"/>
      <c r="AH1324" s="10"/>
      <c r="AI1324" s="9"/>
      <c r="AJ1324" s="9"/>
      <c r="AK1324" s="11"/>
      <c r="AL1324" s="10"/>
      <c r="AM1324" s="11"/>
      <c r="AN1324" s="10"/>
      <c r="AO1324" s="11"/>
      <c r="AP1324" s="10"/>
      <c r="AQ1324" s="10"/>
      <c r="AR1324" s="10"/>
      <c r="AS1324" s="9"/>
      <c r="AT1324" s="9"/>
      <c r="AU1324" s="9"/>
      <c r="AV1324" s="9"/>
      <c r="AW1324" s="9"/>
      <c r="AX1324" s="9"/>
      <c r="AY1324" s="8"/>
      <c r="AZ1324" s="8"/>
      <c r="BA1324" s="8"/>
      <c r="BB1324" s="8"/>
      <c r="BC1324" s="8"/>
      <c r="BD1324" s="8"/>
      <c r="BE1324" s="8"/>
      <c r="BF1324" s="8"/>
    </row>
    <row r="1325" spans="26:58" ht="16.899999999999999">
      <c r="Z1325" s="244"/>
      <c r="AC1325" s="10"/>
      <c r="AD1325" s="10"/>
      <c r="AF1325" s="10"/>
      <c r="AG1325" s="10"/>
      <c r="AH1325" s="10"/>
      <c r="AI1325" s="9"/>
      <c r="AJ1325" s="9"/>
      <c r="AK1325" s="11"/>
      <c r="AL1325" s="10"/>
      <c r="AM1325" s="11"/>
      <c r="AN1325" s="10"/>
      <c r="AO1325" s="11"/>
      <c r="AP1325" s="10"/>
      <c r="AQ1325" s="10"/>
      <c r="AR1325" s="10"/>
      <c r="AS1325" s="9"/>
      <c r="AT1325" s="9"/>
      <c r="AU1325" s="9"/>
      <c r="AV1325" s="9"/>
      <c r="AW1325" s="9"/>
      <c r="AX1325" s="9"/>
      <c r="AY1325" s="8"/>
      <c r="AZ1325" s="8"/>
      <c r="BA1325" s="8"/>
      <c r="BB1325" s="8"/>
      <c r="BC1325" s="8"/>
      <c r="BD1325" s="8"/>
      <c r="BE1325" s="8"/>
      <c r="BF1325" s="8"/>
    </row>
    <row r="1326" spans="26:58" ht="16.899999999999999">
      <c r="Z1326" s="244"/>
      <c r="AC1326" s="10"/>
      <c r="AD1326" s="10"/>
      <c r="AF1326" s="10"/>
      <c r="AG1326" s="10"/>
      <c r="AH1326" s="10"/>
      <c r="AI1326" s="9"/>
      <c r="AJ1326" s="9"/>
      <c r="AK1326" s="11"/>
      <c r="AL1326" s="10"/>
      <c r="AM1326" s="11"/>
      <c r="AN1326" s="10"/>
      <c r="AO1326" s="11"/>
      <c r="AP1326" s="10"/>
      <c r="AQ1326" s="10"/>
      <c r="AR1326" s="10"/>
      <c r="AS1326" s="9"/>
      <c r="AT1326" s="9"/>
      <c r="AU1326" s="9"/>
      <c r="AV1326" s="9"/>
      <c r="AW1326" s="9"/>
      <c r="AX1326" s="9"/>
      <c r="AY1326" s="8"/>
      <c r="AZ1326" s="8"/>
      <c r="BA1326" s="8"/>
      <c r="BB1326" s="8"/>
      <c r="BC1326" s="8"/>
      <c r="BD1326" s="8"/>
      <c r="BE1326" s="8"/>
      <c r="BF1326" s="8"/>
    </row>
    <row r="1327" spans="26:58" ht="16.899999999999999">
      <c r="Z1327" s="244"/>
      <c r="AC1327" s="10"/>
      <c r="AD1327" s="10"/>
      <c r="AF1327" s="10"/>
      <c r="AG1327" s="10"/>
      <c r="AH1327" s="10"/>
      <c r="AI1327" s="9"/>
      <c r="AJ1327" s="9"/>
      <c r="AK1327" s="11"/>
      <c r="AL1327" s="10"/>
      <c r="AM1327" s="11"/>
      <c r="AN1327" s="10"/>
      <c r="AO1327" s="11"/>
      <c r="AP1327" s="10"/>
      <c r="AQ1327" s="10"/>
      <c r="AR1327" s="10"/>
      <c r="AS1327" s="9"/>
      <c r="AT1327" s="9"/>
      <c r="AU1327" s="9"/>
      <c r="AV1327" s="9"/>
      <c r="AW1327" s="9"/>
      <c r="AX1327" s="9"/>
      <c r="AY1327" s="8"/>
      <c r="AZ1327" s="8"/>
      <c r="BA1327" s="8"/>
      <c r="BB1327" s="8"/>
      <c r="BC1327" s="8"/>
      <c r="BD1327" s="8"/>
      <c r="BE1327" s="8"/>
      <c r="BF1327" s="8"/>
    </row>
    <row r="1328" spans="26:58" ht="16.899999999999999">
      <c r="Z1328" s="244"/>
      <c r="AC1328" s="10"/>
      <c r="AD1328" s="10"/>
      <c r="AF1328" s="10"/>
      <c r="AG1328" s="10"/>
      <c r="AH1328" s="10"/>
      <c r="AI1328" s="9"/>
      <c r="AJ1328" s="9"/>
      <c r="AK1328" s="11"/>
      <c r="AL1328" s="10"/>
      <c r="AM1328" s="11"/>
      <c r="AN1328" s="10"/>
      <c r="AO1328" s="11"/>
      <c r="AP1328" s="10"/>
      <c r="AQ1328" s="10"/>
      <c r="AR1328" s="10"/>
      <c r="AS1328" s="9"/>
      <c r="AT1328" s="9"/>
      <c r="AU1328" s="9"/>
      <c r="AV1328" s="9"/>
      <c r="AW1328" s="9"/>
      <c r="AX1328" s="9"/>
      <c r="AY1328" s="8"/>
      <c r="AZ1328" s="8"/>
      <c r="BA1328" s="8"/>
      <c r="BB1328" s="8"/>
      <c r="BC1328" s="8"/>
      <c r="BD1328" s="8"/>
      <c r="BE1328" s="8"/>
      <c r="BF1328" s="8"/>
    </row>
    <row r="1329" spans="26:58" ht="16.899999999999999">
      <c r="Z1329" s="244"/>
      <c r="AC1329" s="10"/>
      <c r="AD1329" s="10"/>
      <c r="AF1329" s="10"/>
      <c r="AG1329" s="10"/>
      <c r="AH1329" s="10"/>
      <c r="AI1329" s="9"/>
      <c r="AJ1329" s="9"/>
      <c r="AK1329" s="11"/>
      <c r="AL1329" s="10"/>
      <c r="AM1329" s="11"/>
      <c r="AN1329" s="10"/>
      <c r="AO1329" s="11"/>
      <c r="AP1329" s="10"/>
      <c r="AQ1329" s="10"/>
      <c r="AR1329" s="10"/>
      <c r="AS1329" s="9"/>
      <c r="AT1329" s="9"/>
      <c r="AU1329" s="9"/>
      <c r="AV1329" s="9"/>
      <c r="AW1329" s="9"/>
      <c r="AX1329" s="9"/>
      <c r="AY1329" s="8"/>
      <c r="AZ1329" s="8"/>
      <c r="BA1329" s="8"/>
      <c r="BB1329" s="8"/>
      <c r="BC1329" s="8"/>
      <c r="BD1329" s="8"/>
      <c r="BE1329" s="8"/>
      <c r="BF1329" s="8"/>
    </row>
    <row r="1330" spans="26:58" ht="16.899999999999999">
      <c r="Z1330" s="244"/>
      <c r="AC1330" s="10"/>
      <c r="AD1330" s="10"/>
      <c r="AF1330" s="10"/>
      <c r="AG1330" s="10"/>
      <c r="AH1330" s="10"/>
      <c r="AI1330" s="9"/>
      <c r="AJ1330" s="9"/>
      <c r="AK1330" s="11"/>
      <c r="AL1330" s="10"/>
      <c r="AM1330" s="11"/>
      <c r="AN1330" s="10"/>
      <c r="AO1330" s="11"/>
      <c r="AP1330" s="10"/>
      <c r="AQ1330" s="10"/>
      <c r="AR1330" s="10"/>
      <c r="AS1330" s="9"/>
      <c r="AT1330" s="9"/>
      <c r="AU1330" s="9"/>
      <c r="AV1330" s="9"/>
      <c r="AW1330" s="9"/>
      <c r="AX1330" s="9"/>
      <c r="AY1330" s="8"/>
      <c r="AZ1330" s="8"/>
      <c r="BA1330" s="8"/>
      <c r="BB1330" s="8"/>
      <c r="BC1330" s="8"/>
      <c r="BD1330" s="8"/>
      <c r="BE1330" s="8"/>
      <c r="BF1330" s="8"/>
    </row>
    <row r="1331" spans="26:58" ht="16.899999999999999">
      <c r="Z1331" s="244"/>
      <c r="AC1331" s="10"/>
      <c r="AD1331" s="10"/>
      <c r="AF1331" s="10"/>
      <c r="AG1331" s="10"/>
      <c r="AH1331" s="10"/>
      <c r="AI1331" s="9"/>
      <c r="AJ1331" s="9"/>
      <c r="AK1331" s="11"/>
      <c r="AL1331" s="10"/>
      <c r="AM1331" s="11"/>
      <c r="AN1331" s="10"/>
      <c r="AO1331" s="11"/>
      <c r="AP1331" s="10"/>
      <c r="AQ1331" s="10"/>
      <c r="AR1331" s="10"/>
      <c r="AS1331" s="9"/>
      <c r="AT1331" s="9"/>
      <c r="AU1331" s="9"/>
      <c r="AV1331" s="9"/>
      <c r="AW1331" s="9"/>
      <c r="AX1331" s="9"/>
      <c r="AY1331" s="8"/>
      <c r="AZ1331" s="8"/>
      <c r="BA1331" s="8"/>
      <c r="BB1331" s="8"/>
      <c r="BC1331" s="8"/>
      <c r="BD1331" s="8"/>
      <c r="BE1331" s="8"/>
      <c r="BF1331" s="8"/>
    </row>
    <row r="1332" spans="26:58" ht="16.899999999999999">
      <c r="Z1332" s="244"/>
      <c r="AC1332" s="10"/>
      <c r="AD1332" s="10"/>
      <c r="AF1332" s="10"/>
      <c r="AG1332" s="10"/>
      <c r="AH1332" s="10"/>
      <c r="AI1332" s="9"/>
      <c r="AJ1332" s="9"/>
      <c r="AK1332" s="11"/>
      <c r="AL1332" s="10"/>
      <c r="AM1332" s="11"/>
      <c r="AN1332" s="10"/>
      <c r="AO1332" s="11"/>
      <c r="AP1332" s="10"/>
      <c r="AQ1332" s="10"/>
      <c r="AR1332" s="10"/>
      <c r="AS1332" s="9"/>
      <c r="AT1332" s="9"/>
      <c r="AU1332" s="9"/>
      <c r="AV1332" s="9"/>
      <c r="AW1332" s="9"/>
      <c r="AX1332" s="9"/>
      <c r="AY1332" s="8"/>
      <c r="AZ1332" s="8"/>
      <c r="BA1332" s="8"/>
      <c r="BB1332" s="8"/>
      <c r="BC1332" s="8"/>
      <c r="BD1332" s="8"/>
      <c r="BE1332" s="8"/>
      <c r="BF1332" s="8"/>
    </row>
    <row r="1333" spans="26:58" ht="16.899999999999999">
      <c r="Z1333" s="244"/>
      <c r="AC1333" s="10"/>
      <c r="AD1333" s="10"/>
      <c r="AF1333" s="10"/>
      <c r="AG1333" s="10"/>
      <c r="AH1333" s="10"/>
      <c r="AI1333" s="9"/>
      <c r="AJ1333" s="9"/>
      <c r="AK1333" s="11"/>
      <c r="AL1333" s="10"/>
      <c r="AM1333" s="11"/>
      <c r="AN1333" s="10"/>
      <c r="AO1333" s="11"/>
      <c r="AP1333" s="10"/>
      <c r="AQ1333" s="10"/>
      <c r="AR1333" s="10"/>
      <c r="AS1333" s="9"/>
      <c r="AT1333" s="9"/>
      <c r="AU1333" s="9"/>
      <c r="AV1333" s="9"/>
      <c r="AW1333" s="9"/>
      <c r="AX1333" s="9"/>
      <c r="AY1333" s="8"/>
      <c r="AZ1333" s="8"/>
      <c r="BA1333" s="8"/>
      <c r="BB1333" s="8"/>
      <c r="BC1333" s="8"/>
      <c r="BD1333" s="8"/>
      <c r="BE1333" s="8"/>
      <c r="BF1333" s="8"/>
    </row>
    <row r="1334" spans="26:58" ht="16.899999999999999">
      <c r="Z1334" s="244"/>
      <c r="AC1334" s="10"/>
      <c r="AD1334" s="10"/>
      <c r="AF1334" s="10"/>
      <c r="AG1334" s="10"/>
      <c r="AH1334" s="10"/>
      <c r="AI1334" s="9"/>
      <c r="AJ1334" s="9"/>
      <c r="AK1334" s="11"/>
      <c r="AL1334" s="10"/>
      <c r="AM1334" s="11"/>
      <c r="AN1334" s="10"/>
      <c r="AO1334" s="11"/>
      <c r="AP1334" s="10"/>
      <c r="AQ1334" s="10"/>
      <c r="AR1334" s="10"/>
      <c r="AS1334" s="9"/>
      <c r="AT1334" s="9"/>
      <c r="AU1334" s="9"/>
      <c r="AV1334" s="9"/>
      <c r="AW1334" s="9"/>
      <c r="AX1334" s="9"/>
      <c r="AY1334" s="8"/>
      <c r="AZ1334" s="8"/>
      <c r="BA1334" s="8"/>
      <c r="BB1334" s="8"/>
      <c r="BC1334" s="8"/>
      <c r="BD1334" s="8"/>
      <c r="BE1334" s="8"/>
      <c r="BF1334" s="8"/>
    </row>
    <row r="1335" spans="26:58" ht="16.899999999999999">
      <c r="Z1335" s="244"/>
      <c r="AC1335" s="10"/>
      <c r="AD1335" s="10"/>
      <c r="AF1335" s="10"/>
      <c r="AG1335" s="10"/>
      <c r="AH1335" s="10"/>
      <c r="AI1335" s="9"/>
      <c r="AJ1335" s="9"/>
      <c r="AK1335" s="11"/>
      <c r="AL1335" s="10"/>
      <c r="AM1335" s="11"/>
      <c r="AN1335" s="10"/>
      <c r="AO1335" s="11"/>
      <c r="AP1335" s="10"/>
      <c r="AQ1335" s="10"/>
      <c r="AR1335" s="10"/>
      <c r="AS1335" s="9"/>
      <c r="AT1335" s="9"/>
      <c r="AU1335" s="9"/>
      <c r="AV1335" s="9"/>
      <c r="AW1335" s="9"/>
      <c r="AX1335" s="9"/>
      <c r="AY1335" s="8"/>
      <c r="AZ1335" s="8"/>
      <c r="BA1335" s="8"/>
      <c r="BB1335" s="8"/>
      <c r="BC1335" s="8"/>
      <c r="BD1335" s="8"/>
      <c r="BE1335" s="8"/>
      <c r="BF1335" s="8"/>
    </row>
    <row r="1336" spans="26:58" ht="16.899999999999999">
      <c r="Z1336" s="244"/>
      <c r="AC1336" s="10"/>
      <c r="AD1336" s="10"/>
      <c r="AF1336" s="10"/>
      <c r="AG1336" s="10"/>
      <c r="AH1336" s="10"/>
      <c r="AI1336" s="9"/>
      <c r="AJ1336" s="9"/>
      <c r="AK1336" s="11"/>
      <c r="AL1336" s="10"/>
      <c r="AM1336" s="11"/>
      <c r="AN1336" s="10"/>
      <c r="AO1336" s="11"/>
      <c r="AP1336" s="10"/>
      <c r="AQ1336" s="10"/>
      <c r="AR1336" s="10"/>
      <c r="AS1336" s="9"/>
      <c r="AT1336" s="9"/>
      <c r="AU1336" s="9"/>
      <c r="AV1336" s="9"/>
      <c r="AW1336" s="9"/>
      <c r="AX1336" s="9"/>
      <c r="AY1336" s="8"/>
      <c r="AZ1336" s="8"/>
      <c r="BA1336" s="8"/>
      <c r="BB1336" s="8"/>
      <c r="BC1336" s="8"/>
      <c r="BD1336" s="8"/>
      <c r="BE1336" s="8"/>
      <c r="BF1336" s="8"/>
    </row>
    <row r="1337" spans="26:58" ht="16.899999999999999">
      <c r="Z1337" s="244"/>
      <c r="AC1337" s="10"/>
      <c r="AD1337" s="10"/>
      <c r="AF1337" s="10"/>
      <c r="AG1337" s="10"/>
      <c r="AH1337" s="10"/>
      <c r="AI1337" s="9"/>
      <c r="AJ1337" s="9"/>
      <c r="AK1337" s="11"/>
      <c r="AL1337" s="10"/>
      <c r="AM1337" s="11"/>
      <c r="AN1337" s="10"/>
      <c r="AO1337" s="11"/>
      <c r="AP1337" s="10"/>
      <c r="AQ1337" s="10"/>
      <c r="AR1337" s="10"/>
      <c r="AS1337" s="9"/>
      <c r="AT1337" s="9"/>
      <c r="AU1337" s="9"/>
      <c r="AV1337" s="9"/>
      <c r="AW1337" s="9"/>
      <c r="AX1337" s="9"/>
      <c r="AY1337" s="8"/>
      <c r="AZ1337" s="8"/>
      <c r="BA1337" s="8"/>
      <c r="BB1337" s="8"/>
      <c r="BC1337" s="8"/>
      <c r="BD1337" s="8"/>
      <c r="BE1337" s="8"/>
      <c r="BF1337" s="8"/>
    </row>
    <row r="1338" spans="26:58" ht="16.899999999999999">
      <c r="Z1338" s="244"/>
      <c r="AC1338" s="10"/>
      <c r="AD1338" s="10"/>
      <c r="AF1338" s="10"/>
      <c r="AG1338" s="10"/>
      <c r="AH1338" s="10"/>
      <c r="AI1338" s="9"/>
      <c r="AJ1338" s="9"/>
      <c r="AK1338" s="11"/>
      <c r="AL1338" s="10"/>
      <c r="AM1338" s="11"/>
      <c r="AN1338" s="10"/>
      <c r="AO1338" s="11"/>
      <c r="AP1338" s="10"/>
      <c r="AQ1338" s="10"/>
      <c r="AR1338" s="10"/>
      <c r="AS1338" s="9"/>
      <c r="AT1338" s="9"/>
      <c r="AU1338" s="9"/>
      <c r="AV1338" s="9"/>
      <c r="AW1338" s="9"/>
      <c r="AX1338" s="9"/>
      <c r="AY1338" s="8"/>
      <c r="AZ1338" s="8"/>
      <c r="BA1338" s="8"/>
      <c r="BB1338" s="8"/>
      <c r="BC1338" s="8"/>
      <c r="BD1338" s="8"/>
      <c r="BE1338" s="8"/>
      <c r="BF1338" s="8"/>
    </row>
    <row r="1339" spans="26:58" ht="16.899999999999999">
      <c r="Z1339" s="244"/>
      <c r="AC1339" s="10"/>
      <c r="AD1339" s="10"/>
      <c r="AF1339" s="10"/>
      <c r="AG1339" s="10"/>
      <c r="AH1339" s="10"/>
      <c r="AI1339" s="9"/>
      <c r="AJ1339" s="9"/>
      <c r="AK1339" s="11"/>
      <c r="AL1339" s="10"/>
      <c r="AM1339" s="11"/>
      <c r="AN1339" s="10"/>
      <c r="AO1339" s="11"/>
      <c r="AP1339" s="10"/>
      <c r="AQ1339" s="10"/>
      <c r="AR1339" s="10"/>
      <c r="AS1339" s="9"/>
      <c r="AT1339" s="9"/>
      <c r="AU1339" s="9"/>
      <c r="AV1339" s="9"/>
      <c r="AW1339" s="9"/>
      <c r="AX1339" s="9"/>
      <c r="AY1339" s="8"/>
      <c r="AZ1339" s="8"/>
      <c r="BA1339" s="8"/>
      <c r="BB1339" s="8"/>
      <c r="BC1339" s="8"/>
      <c r="BD1339" s="8"/>
      <c r="BE1339" s="8"/>
      <c r="BF1339" s="8"/>
    </row>
    <row r="1340" spans="26:58" ht="16.899999999999999">
      <c r="Z1340" s="244"/>
      <c r="AC1340" s="10"/>
      <c r="AD1340" s="10"/>
      <c r="AF1340" s="10"/>
      <c r="AG1340" s="10"/>
      <c r="AH1340" s="10"/>
      <c r="AI1340" s="9"/>
      <c r="AJ1340" s="9"/>
      <c r="AK1340" s="11"/>
      <c r="AL1340" s="10"/>
      <c r="AM1340" s="11"/>
      <c r="AN1340" s="10"/>
      <c r="AO1340" s="11"/>
      <c r="AP1340" s="10"/>
      <c r="AQ1340" s="10"/>
      <c r="AR1340" s="10"/>
      <c r="AS1340" s="9"/>
      <c r="AT1340" s="9"/>
      <c r="AU1340" s="9"/>
      <c r="AV1340" s="9"/>
      <c r="AW1340" s="9"/>
      <c r="AX1340" s="9"/>
      <c r="AY1340" s="8"/>
      <c r="AZ1340" s="8"/>
      <c r="BA1340" s="8"/>
      <c r="BB1340" s="8"/>
      <c r="BC1340" s="8"/>
      <c r="BD1340" s="8"/>
      <c r="BE1340" s="8"/>
      <c r="BF1340" s="8"/>
    </row>
    <row r="1341" spans="26:58" ht="16.899999999999999">
      <c r="Z1341" s="244"/>
      <c r="AC1341" s="10"/>
      <c r="AD1341" s="10"/>
      <c r="AF1341" s="10"/>
      <c r="AG1341" s="10"/>
      <c r="AH1341" s="10"/>
      <c r="AI1341" s="9"/>
      <c r="AJ1341" s="9"/>
      <c r="AK1341" s="11"/>
      <c r="AL1341" s="10"/>
      <c r="AM1341" s="11"/>
      <c r="AN1341" s="10"/>
      <c r="AO1341" s="11"/>
      <c r="AP1341" s="10"/>
      <c r="AQ1341" s="10"/>
      <c r="AR1341" s="10"/>
      <c r="AS1341" s="9"/>
      <c r="AT1341" s="9"/>
      <c r="AU1341" s="9"/>
      <c r="AV1341" s="9"/>
      <c r="AW1341" s="9"/>
      <c r="AX1341" s="9"/>
      <c r="AY1341" s="8"/>
      <c r="AZ1341" s="8"/>
      <c r="BA1341" s="8"/>
      <c r="BB1341" s="8"/>
      <c r="BC1341" s="8"/>
      <c r="BD1341" s="8"/>
      <c r="BE1341" s="8"/>
      <c r="BF1341" s="8"/>
    </row>
    <row r="1342" spans="26:58" ht="16.899999999999999">
      <c r="Z1342" s="244"/>
      <c r="AC1342" s="10"/>
      <c r="AD1342" s="10"/>
      <c r="AF1342" s="10"/>
      <c r="AG1342" s="10"/>
      <c r="AH1342" s="10"/>
      <c r="AI1342" s="9"/>
      <c r="AJ1342" s="9"/>
      <c r="AK1342" s="11"/>
      <c r="AL1342" s="10"/>
      <c r="AM1342" s="11"/>
      <c r="AN1342" s="10"/>
      <c r="AO1342" s="11"/>
      <c r="AP1342" s="10"/>
      <c r="AQ1342" s="10"/>
      <c r="AR1342" s="10"/>
      <c r="AS1342" s="9"/>
      <c r="AT1342" s="9"/>
      <c r="AU1342" s="9"/>
      <c r="AV1342" s="9"/>
      <c r="AW1342" s="9"/>
      <c r="AX1342" s="9"/>
      <c r="AY1342" s="8"/>
      <c r="AZ1342" s="8"/>
      <c r="BA1342" s="8"/>
      <c r="BB1342" s="8"/>
      <c r="BC1342" s="8"/>
      <c r="BD1342" s="8"/>
      <c r="BE1342" s="8"/>
      <c r="BF1342" s="8"/>
    </row>
    <row r="1343" spans="26:58" ht="16.899999999999999">
      <c r="Z1343" s="244"/>
      <c r="AC1343" s="10"/>
      <c r="AD1343" s="10"/>
      <c r="AF1343" s="10"/>
      <c r="AG1343" s="10"/>
      <c r="AH1343" s="10"/>
      <c r="AI1343" s="9"/>
      <c r="AJ1343" s="9"/>
      <c r="AK1343" s="11"/>
      <c r="AL1343" s="10"/>
      <c r="AM1343" s="11"/>
      <c r="AN1343" s="10"/>
      <c r="AO1343" s="11"/>
      <c r="AP1343" s="10"/>
      <c r="AQ1343" s="10"/>
      <c r="AR1343" s="10"/>
      <c r="AS1343" s="9"/>
      <c r="AT1343" s="9"/>
      <c r="AU1343" s="9"/>
      <c r="AV1343" s="9"/>
      <c r="AW1343" s="9"/>
      <c r="AX1343" s="9"/>
      <c r="AY1343" s="8"/>
      <c r="AZ1343" s="8"/>
      <c r="BA1343" s="8"/>
      <c r="BB1343" s="8"/>
      <c r="BC1343" s="8"/>
      <c r="BD1343" s="8"/>
      <c r="BE1343" s="8"/>
      <c r="BF1343" s="8"/>
    </row>
    <row r="1344" spans="26:58" ht="16.899999999999999">
      <c r="Z1344" s="244"/>
      <c r="AC1344" s="10"/>
      <c r="AD1344" s="10"/>
      <c r="AF1344" s="10"/>
      <c r="AG1344" s="10"/>
      <c r="AH1344" s="10"/>
      <c r="AI1344" s="9"/>
      <c r="AJ1344" s="9"/>
      <c r="AK1344" s="11"/>
      <c r="AL1344" s="10"/>
      <c r="AM1344" s="11"/>
      <c r="AN1344" s="10"/>
      <c r="AO1344" s="11"/>
      <c r="AP1344" s="10"/>
      <c r="AQ1344" s="10"/>
      <c r="AR1344" s="10"/>
      <c r="AS1344" s="9"/>
      <c r="AT1344" s="9"/>
      <c r="AU1344" s="9"/>
      <c r="AV1344" s="9"/>
      <c r="AW1344" s="9"/>
      <c r="AX1344" s="9"/>
      <c r="AY1344" s="8"/>
      <c r="AZ1344" s="8"/>
      <c r="BA1344" s="8"/>
      <c r="BB1344" s="8"/>
      <c r="BC1344" s="8"/>
      <c r="BD1344" s="8"/>
      <c r="BE1344" s="8"/>
      <c r="BF1344" s="8"/>
    </row>
    <row r="1345" spans="26:58" ht="16.899999999999999">
      <c r="Z1345" s="244"/>
      <c r="AC1345" s="10"/>
      <c r="AD1345" s="10"/>
      <c r="AF1345" s="10"/>
      <c r="AG1345" s="10"/>
      <c r="AH1345" s="10"/>
      <c r="AI1345" s="9"/>
      <c r="AJ1345" s="9"/>
      <c r="AK1345" s="11"/>
      <c r="AL1345" s="10"/>
      <c r="AM1345" s="11"/>
      <c r="AN1345" s="10"/>
      <c r="AO1345" s="11"/>
      <c r="AP1345" s="10"/>
      <c r="AQ1345" s="10"/>
      <c r="AR1345" s="10"/>
      <c r="AS1345" s="9"/>
      <c r="AT1345" s="9"/>
      <c r="AU1345" s="9"/>
      <c r="AV1345" s="9"/>
      <c r="AW1345" s="9"/>
      <c r="AX1345" s="9"/>
      <c r="AY1345" s="8"/>
      <c r="AZ1345" s="8"/>
      <c r="BA1345" s="8"/>
      <c r="BB1345" s="8"/>
      <c r="BC1345" s="8"/>
      <c r="BD1345" s="8"/>
      <c r="BE1345" s="8"/>
      <c r="BF1345" s="8"/>
    </row>
    <row r="1346" spans="26:58" ht="16.899999999999999">
      <c r="Z1346" s="244"/>
      <c r="AC1346" s="10"/>
      <c r="AD1346" s="10"/>
      <c r="AF1346" s="10"/>
      <c r="AG1346" s="10"/>
      <c r="AH1346" s="10"/>
      <c r="AI1346" s="9"/>
      <c r="AJ1346" s="9"/>
      <c r="AK1346" s="11"/>
      <c r="AL1346" s="10"/>
      <c r="AM1346" s="11"/>
      <c r="AN1346" s="10"/>
      <c r="AO1346" s="11"/>
      <c r="AP1346" s="10"/>
      <c r="AQ1346" s="10"/>
      <c r="AR1346" s="10"/>
      <c r="AS1346" s="9"/>
      <c r="AT1346" s="9"/>
      <c r="AU1346" s="9"/>
      <c r="AV1346" s="9"/>
      <c r="AW1346" s="9"/>
      <c r="AX1346" s="9"/>
      <c r="AY1346" s="8"/>
      <c r="AZ1346" s="8"/>
      <c r="BA1346" s="8"/>
      <c r="BB1346" s="8"/>
      <c r="BC1346" s="8"/>
      <c r="BD1346" s="8"/>
      <c r="BE1346" s="8"/>
      <c r="BF1346" s="8"/>
    </row>
    <row r="1347" spans="26:58" ht="16.899999999999999">
      <c r="Z1347" s="244"/>
      <c r="AC1347" s="10"/>
      <c r="AD1347" s="10"/>
      <c r="AF1347" s="10"/>
      <c r="AG1347" s="10"/>
      <c r="AH1347" s="10"/>
      <c r="AI1347" s="9"/>
      <c r="AJ1347" s="9"/>
      <c r="AK1347" s="11"/>
      <c r="AL1347" s="10"/>
      <c r="AM1347" s="11"/>
      <c r="AN1347" s="10"/>
      <c r="AO1347" s="11"/>
      <c r="AP1347" s="10"/>
      <c r="AQ1347" s="10"/>
      <c r="AR1347" s="10"/>
      <c r="AS1347" s="9"/>
      <c r="AT1347" s="9"/>
      <c r="AU1347" s="9"/>
      <c r="AV1347" s="9"/>
      <c r="AW1347" s="9"/>
      <c r="AX1347" s="9"/>
      <c r="AY1347" s="8"/>
      <c r="AZ1347" s="8"/>
      <c r="BA1347" s="8"/>
      <c r="BB1347" s="8"/>
      <c r="BC1347" s="8"/>
      <c r="BD1347" s="8"/>
      <c r="BE1347" s="8"/>
      <c r="BF1347" s="8"/>
    </row>
    <row r="1348" spans="26:58" ht="16.899999999999999">
      <c r="Z1348" s="244"/>
      <c r="AC1348" s="10"/>
      <c r="AD1348" s="10"/>
      <c r="AF1348" s="10"/>
      <c r="AG1348" s="10"/>
      <c r="AH1348" s="10"/>
      <c r="AI1348" s="9"/>
      <c r="AJ1348" s="9"/>
      <c r="AK1348" s="11"/>
      <c r="AL1348" s="10"/>
      <c r="AM1348" s="11"/>
      <c r="AN1348" s="10"/>
      <c r="AO1348" s="11"/>
      <c r="AP1348" s="10"/>
      <c r="AQ1348" s="10"/>
      <c r="AR1348" s="10"/>
      <c r="AS1348" s="9"/>
      <c r="AT1348" s="9"/>
      <c r="AU1348" s="9"/>
      <c r="AV1348" s="9"/>
      <c r="AW1348" s="9"/>
      <c r="AX1348" s="9"/>
      <c r="AY1348" s="8"/>
      <c r="AZ1348" s="8"/>
      <c r="BA1348" s="8"/>
      <c r="BB1348" s="8"/>
      <c r="BC1348" s="8"/>
      <c r="BD1348" s="8"/>
      <c r="BE1348" s="8"/>
      <c r="BF1348" s="8"/>
    </row>
    <row r="1349" spans="26:58" ht="16.899999999999999">
      <c r="Z1349" s="244"/>
      <c r="AC1349" s="10"/>
      <c r="AD1349" s="10"/>
      <c r="AF1349" s="10"/>
      <c r="AG1349" s="10"/>
      <c r="AH1349" s="10"/>
      <c r="AI1349" s="9"/>
      <c r="AJ1349" s="9"/>
      <c r="AK1349" s="11"/>
      <c r="AL1349" s="10"/>
      <c r="AM1349" s="11"/>
      <c r="AN1349" s="10"/>
      <c r="AO1349" s="11"/>
      <c r="AP1349" s="10"/>
      <c r="AQ1349" s="10"/>
      <c r="AR1349" s="10"/>
      <c r="AS1349" s="9"/>
      <c r="AT1349" s="9"/>
      <c r="AU1349" s="9"/>
      <c r="AV1349" s="9"/>
      <c r="AW1349" s="9"/>
      <c r="AX1349" s="9"/>
      <c r="AY1349" s="8"/>
      <c r="AZ1349" s="8"/>
      <c r="BA1349" s="8"/>
      <c r="BB1349" s="8"/>
      <c r="BC1349" s="8"/>
      <c r="BD1349" s="8"/>
      <c r="BE1349" s="8"/>
      <c r="BF1349" s="8"/>
    </row>
    <row r="1350" spans="26:58" ht="16.899999999999999">
      <c r="Z1350" s="244"/>
      <c r="AC1350" s="10"/>
      <c r="AD1350" s="10"/>
      <c r="AF1350" s="10"/>
      <c r="AG1350" s="10"/>
      <c r="AH1350" s="10"/>
      <c r="AI1350" s="9"/>
      <c r="AJ1350" s="9"/>
      <c r="AK1350" s="11"/>
      <c r="AL1350" s="10"/>
      <c r="AM1350" s="11"/>
      <c r="AN1350" s="10"/>
      <c r="AO1350" s="11"/>
      <c r="AP1350" s="10"/>
      <c r="AQ1350" s="10"/>
      <c r="AR1350" s="10"/>
      <c r="AS1350" s="9"/>
      <c r="AT1350" s="9"/>
      <c r="AU1350" s="9"/>
      <c r="AV1350" s="9"/>
      <c r="AW1350" s="9"/>
      <c r="AX1350" s="9"/>
      <c r="AY1350" s="8"/>
      <c r="AZ1350" s="8"/>
      <c r="BA1350" s="8"/>
      <c r="BB1350" s="8"/>
      <c r="BC1350" s="8"/>
      <c r="BD1350" s="8"/>
      <c r="BE1350" s="8"/>
      <c r="BF1350" s="8"/>
    </row>
    <row r="1351" spans="26:58" ht="16.899999999999999">
      <c r="Z1351" s="244"/>
      <c r="AC1351" s="10"/>
      <c r="AD1351" s="10"/>
      <c r="AF1351" s="10"/>
      <c r="AG1351" s="10"/>
      <c r="AH1351" s="10"/>
      <c r="AI1351" s="9"/>
      <c r="AJ1351" s="9"/>
      <c r="AK1351" s="11"/>
      <c r="AL1351" s="10"/>
      <c r="AM1351" s="11"/>
      <c r="AN1351" s="10"/>
      <c r="AO1351" s="11"/>
      <c r="AP1351" s="10"/>
      <c r="AQ1351" s="10"/>
      <c r="AR1351" s="10"/>
      <c r="AS1351" s="9"/>
      <c r="AT1351" s="9"/>
      <c r="AU1351" s="9"/>
      <c r="AV1351" s="9"/>
      <c r="AW1351" s="9"/>
      <c r="AX1351" s="9"/>
      <c r="AY1351" s="8"/>
      <c r="AZ1351" s="8"/>
      <c r="BA1351" s="8"/>
      <c r="BB1351" s="8"/>
      <c r="BC1351" s="8"/>
      <c r="BD1351" s="8"/>
      <c r="BE1351" s="8"/>
      <c r="BF1351" s="8"/>
    </row>
    <row r="1352" spans="26:58" ht="16.899999999999999">
      <c r="Z1352" s="244"/>
      <c r="AC1352" s="10"/>
      <c r="AD1352" s="10"/>
      <c r="AF1352" s="10"/>
      <c r="AG1352" s="10"/>
      <c r="AH1352" s="10"/>
      <c r="AI1352" s="9"/>
      <c r="AJ1352" s="9"/>
      <c r="AK1352" s="11"/>
      <c r="AL1352" s="10"/>
      <c r="AM1352" s="11"/>
      <c r="AN1352" s="10"/>
      <c r="AO1352" s="11"/>
      <c r="AP1352" s="10"/>
      <c r="AQ1352" s="10"/>
      <c r="AR1352" s="10"/>
      <c r="AS1352" s="9"/>
      <c r="AT1352" s="9"/>
      <c r="AU1352" s="9"/>
      <c r="AV1352" s="9"/>
      <c r="AW1352" s="9"/>
      <c r="AX1352" s="9"/>
      <c r="AY1352" s="8"/>
      <c r="AZ1352" s="8"/>
      <c r="BA1352" s="8"/>
      <c r="BB1352" s="8"/>
      <c r="BC1352" s="8"/>
      <c r="BD1352" s="8"/>
      <c r="BE1352" s="8"/>
      <c r="BF1352" s="8"/>
    </row>
    <row r="1353" spans="26:58" ht="16.899999999999999">
      <c r="Z1353" s="244"/>
      <c r="AC1353" s="10"/>
      <c r="AD1353" s="10"/>
      <c r="AF1353" s="10"/>
      <c r="AG1353" s="10"/>
      <c r="AH1353" s="10"/>
      <c r="AI1353" s="9"/>
      <c r="AJ1353" s="9"/>
      <c r="AK1353" s="11"/>
      <c r="AL1353" s="10"/>
      <c r="AM1353" s="11"/>
      <c r="AN1353" s="10"/>
      <c r="AO1353" s="11"/>
      <c r="AP1353" s="10"/>
      <c r="AQ1353" s="10"/>
      <c r="AR1353" s="10"/>
      <c r="AS1353" s="9"/>
      <c r="AT1353" s="9"/>
      <c r="AU1353" s="9"/>
      <c r="AV1353" s="9"/>
      <c r="AW1353" s="9"/>
      <c r="AX1353" s="9"/>
      <c r="AY1353" s="8"/>
      <c r="AZ1353" s="8"/>
      <c r="BA1353" s="8"/>
      <c r="BB1353" s="8"/>
      <c r="BC1353" s="8"/>
      <c r="BD1353" s="8"/>
      <c r="BE1353" s="8"/>
      <c r="BF1353" s="8"/>
    </row>
    <row r="1354" spans="26:58" ht="16.899999999999999">
      <c r="Z1354" s="244"/>
      <c r="AC1354" s="10"/>
      <c r="AD1354" s="10"/>
      <c r="AF1354" s="10"/>
      <c r="AG1354" s="10"/>
      <c r="AH1354" s="10"/>
      <c r="AI1354" s="9"/>
      <c r="AJ1354" s="9"/>
      <c r="AK1354" s="11"/>
      <c r="AL1354" s="10"/>
      <c r="AM1354" s="11"/>
      <c r="AN1354" s="10"/>
      <c r="AO1354" s="11"/>
      <c r="AP1354" s="10"/>
      <c r="AQ1354" s="10"/>
      <c r="AR1354" s="10"/>
      <c r="AS1354" s="9"/>
      <c r="AT1354" s="9"/>
      <c r="AU1354" s="9"/>
      <c r="AV1354" s="9"/>
      <c r="AW1354" s="9"/>
      <c r="AX1354" s="9"/>
      <c r="AY1354" s="8"/>
      <c r="AZ1354" s="8"/>
      <c r="BA1354" s="8"/>
      <c r="BB1354" s="8"/>
      <c r="BC1354" s="8"/>
      <c r="BD1354" s="8"/>
      <c r="BE1354" s="8"/>
      <c r="BF1354" s="8"/>
    </row>
    <row r="1355" spans="26:58" ht="16.899999999999999">
      <c r="Z1355" s="244"/>
      <c r="AC1355" s="10"/>
      <c r="AD1355" s="10"/>
      <c r="AF1355" s="10"/>
      <c r="AG1355" s="10"/>
      <c r="AH1355" s="10"/>
      <c r="AI1355" s="9"/>
      <c r="AJ1355" s="9"/>
      <c r="AK1355" s="11"/>
      <c r="AL1355" s="10"/>
      <c r="AM1355" s="11"/>
      <c r="AN1355" s="10"/>
      <c r="AO1355" s="11"/>
      <c r="AP1355" s="10"/>
      <c r="AQ1355" s="10"/>
      <c r="AR1355" s="10"/>
      <c r="AS1355" s="9"/>
      <c r="AT1355" s="9"/>
      <c r="AU1355" s="9"/>
      <c r="AV1355" s="9"/>
      <c r="AW1355" s="9"/>
      <c r="AX1355" s="9"/>
      <c r="AY1355" s="8"/>
      <c r="AZ1355" s="8"/>
      <c r="BA1355" s="8"/>
      <c r="BB1355" s="8"/>
      <c r="BC1355" s="8"/>
      <c r="BD1355" s="8"/>
      <c r="BE1355" s="8"/>
      <c r="BF1355" s="8"/>
    </row>
    <row r="1356" spans="26:58" ht="16.899999999999999">
      <c r="Z1356" s="244"/>
      <c r="AC1356" s="10"/>
      <c r="AD1356" s="10"/>
      <c r="AF1356" s="10"/>
      <c r="AG1356" s="10"/>
      <c r="AH1356" s="10"/>
      <c r="AI1356" s="9"/>
      <c r="AJ1356" s="9"/>
      <c r="AK1356" s="11"/>
      <c r="AL1356" s="10"/>
      <c r="AM1356" s="11"/>
      <c r="AN1356" s="10"/>
      <c r="AO1356" s="11"/>
      <c r="AP1356" s="10"/>
      <c r="AQ1356" s="10"/>
      <c r="AR1356" s="10"/>
      <c r="AS1356" s="9"/>
      <c r="AT1356" s="9"/>
      <c r="AU1356" s="9"/>
      <c r="AV1356" s="9"/>
      <c r="AW1356" s="9"/>
      <c r="AX1356" s="9"/>
      <c r="AY1356" s="8"/>
      <c r="AZ1356" s="8"/>
      <c r="BA1356" s="8"/>
      <c r="BB1356" s="8"/>
      <c r="BC1356" s="8"/>
      <c r="BD1356" s="8"/>
      <c r="BE1356" s="8"/>
      <c r="BF1356" s="8"/>
    </row>
    <row r="1357" spans="26:58" ht="16.899999999999999">
      <c r="Z1357" s="244"/>
      <c r="AC1357" s="10"/>
      <c r="AD1357" s="10"/>
      <c r="AF1357" s="10"/>
      <c r="AG1357" s="10"/>
      <c r="AH1357" s="10"/>
      <c r="AI1357" s="9"/>
      <c r="AJ1357" s="9"/>
      <c r="AK1357" s="11"/>
      <c r="AL1357" s="10"/>
      <c r="AM1357" s="11"/>
      <c r="AN1357" s="10"/>
      <c r="AO1357" s="11"/>
      <c r="AP1357" s="10"/>
      <c r="AQ1357" s="10"/>
      <c r="AR1357" s="10"/>
      <c r="AS1357" s="9"/>
      <c r="AT1357" s="9"/>
      <c r="AU1357" s="9"/>
      <c r="AV1357" s="9"/>
      <c r="AW1357" s="9"/>
      <c r="AX1357" s="9"/>
      <c r="AY1357" s="8"/>
      <c r="AZ1357" s="8"/>
      <c r="BA1357" s="8"/>
      <c r="BB1357" s="8"/>
      <c r="BC1357" s="8"/>
      <c r="BD1357" s="8"/>
      <c r="BE1357" s="8"/>
      <c r="BF1357" s="8"/>
    </row>
    <row r="1358" spans="26:58" ht="16.899999999999999">
      <c r="Z1358" s="244"/>
      <c r="AC1358" s="10"/>
      <c r="AD1358" s="10"/>
      <c r="AF1358" s="10"/>
      <c r="AG1358" s="10"/>
      <c r="AH1358" s="10"/>
      <c r="AI1358" s="9"/>
      <c r="AJ1358" s="9"/>
      <c r="AK1358" s="11"/>
      <c r="AL1358" s="10"/>
      <c r="AM1358" s="11"/>
      <c r="AN1358" s="10"/>
      <c r="AO1358" s="11"/>
      <c r="AP1358" s="10"/>
      <c r="AQ1358" s="10"/>
      <c r="AR1358" s="10"/>
      <c r="AS1358" s="9"/>
      <c r="AT1358" s="9"/>
      <c r="AU1358" s="9"/>
      <c r="AV1358" s="9"/>
      <c r="AW1358" s="9"/>
      <c r="AX1358" s="9"/>
      <c r="AY1358" s="8"/>
      <c r="AZ1358" s="8"/>
      <c r="BA1358" s="8"/>
      <c r="BB1358" s="8"/>
      <c r="BC1358" s="8"/>
      <c r="BD1358" s="8"/>
      <c r="BE1358" s="8"/>
      <c r="BF1358" s="8"/>
    </row>
    <row r="1359" spans="26:58" ht="16.899999999999999">
      <c r="Z1359" s="244"/>
      <c r="AC1359" s="10"/>
      <c r="AD1359" s="10"/>
      <c r="AF1359" s="10"/>
      <c r="AG1359" s="10"/>
      <c r="AH1359" s="10"/>
      <c r="AI1359" s="9"/>
      <c r="AJ1359" s="9"/>
      <c r="AK1359" s="11"/>
      <c r="AL1359" s="10"/>
      <c r="AM1359" s="11"/>
      <c r="AN1359" s="10"/>
      <c r="AO1359" s="11"/>
      <c r="AP1359" s="10"/>
      <c r="AQ1359" s="10"/>
      <c r="AR1359" s="10"/>
      <c r="AS1359" s="9"/>
      <c r="AT1359" s="9"/>
      <c r="AU1359" s="9"/>
      <c r="AV1359" s="9"/>
      <c r="AW1359" s="9"/>
      <c r="AX1359" s="9"/>
      <c r="AY1359" s="8"/>
      <c r="AZ1359" s="8"/>
      <c r="BA1359" s="8"/>
      <c r="BB1359" s="8"/>
      <c r="BC1359" s="8"/>
      <c r="BD1359" s="8"/>
      <c r="BE1359" s="8"/>
      <c r="BF1359" s="8"/>
    </row>
    <row r="1360" spans="26:58" ht="16.899999999999999">
      <c r="Z1360" s="244"/>
      <c r="AC1360" s="10"/>
      <c r="AD1360" s="10"/>
      <c r="AF1360" s="10"/>
      <c r="AG1360" s="10"/>
      <c r="AH1360" s="10"/>
      <c r="AI1360" s="9"/>
      <c r="AJ1360" s="9"/>
      <c r="AK1360" s="11"/>
      <c r="AL1360" s="10"/>
      <c r="AM1360" s="11"/>
      <c r="AN1360" s="10"/>
      <c r="AO1360" s="11"/>
      <c r="AP1360" s="10"/>
      <c r="AQ1360" s="10"/>
      <c r="AR1360" s="10"/>
      <c r="AS1360" s="9"/>
      <c r="AT1360" s="9"/>
      <c r="AU1360" s="9"/>
      <c r="AV1360" s="9"/>
      <c r="AW1360" s="9"/>
      <c r="AX1360" s="9"/>
      <c r="AY1360" s="8"/>
      <c r="AZ1360" s="8"/>
      <c r="BA1360" s="8"/>
      <c r="BB1360" s="8"/>
      <c r="BC1360" s="8"/>
      <c r="BD1360" s="8"/>
      <c r="BE1360" s="8"/>
      <c r="BF1360" s="8"/>
    </row>
    <row r="1361" spans="26:58" ht="16.899999999999999">
      <c r="Z1361" s="244"/>
      <c r="AC1361" s="10"/>
      <c r="AD1361" s="10"/>
      <c r="AF1361" s="10"/>
      <c r="AG1361" s="10"/>
      <c r="AH1361" s="10"/>
      <c r="AI1361" s="9"/>
      <c r="AJ1361" s="9"/>
      <c r="AK1361" s="11"/>
      <c r="AL1361" s="10"/>
      <c r="AM1361" s="11"/>
      <c r="AN1361" s="10"/>
      <c r="AO1361" s="11"/>
      <c r="AP1361" s="10"/>
      <c r="AQ1361" s="10"/>
      <c r="AR1361" s="10"/>
      <c r="AS1361" s="9"/>
      <c r="AT1361" s="9"/>
      <c r="AU1361" s="9"/>
      <c r="AV1361" s="9"/>
      <c r="AW1361" s="9"/>
      <c r="AX1361" s="9"/>
      <c r="AY1361" s="8"/>
      <c r="AZ1361" s="8"/>
      <c r="BA1361" s="8"/>
      <c r="BB1361" s="8"/>
      <c r="BC1361" s="8"/>
      <c r="BD1361" s="8"/>
      <c r="BE1361" s="8"/>
      <c r="BF1361" s="8"/>
    </row>
    <row r="1362" spans="26:58" ht="16.899999999999999">
      <c r="Z1362" s="244"/>
      <c r="AC1362" s="10"/>
      <c r="AD1362" s="10"/>
      <c r="AF1362" s="10"/>
      <c r="AG1362" s="10"/>
      <c r="AH1362" s="10"/>
      <c r="AI1362" s="9"/>
      <c r="AJ1362" s="9"/>
      <c r="AK1362" s="11"/>
      <c r="AL1362" s="10"/>
      <c r="AM1362" s="11"/>
      <c r="AN1362" s="10"/>
      <c r="AO1362" s="11"/>
      <c r="AP1362" s="10"/>
      <c r="AQ1362" s="10"/>
      <c r="AR1362" s="10"/>
      <c r="AS1362" s="9"/>
      <c r="AT1362" s="9"/>
      <c r="AU1362" s="9"/>
      <c r="AV1362" s="9"/>
      <c r="AW1362" s="9"/>
      <c r="AX1362" s="9"/>
      <c r="AY1362" s="8"/>
      <c r="AZ1362" s="8"/>
      <c r="BA1362" s="8"/>
      <c r="BB1362" s="8"/>
      <c r="BC1362" s="8"/>
      <c r="BD1362" s="8"/>
      <c r="BE1362" s="8"/>
      <c r="BF1362" s="8"/>
    </row>
    <row r="1363" spans="26:58" ht="16.899999999999999">
      <c r="Z1363" s="244"/>
      <c r="AC1363" s="10"/>
      <c r="AD1363" s="10"/>
      <c r="AF1363" s="10"/>
      <c r="AG1363" s="10"/>
      <c r="AH1363" s="10"/>
      <c r="AI1363" s="9"/>
      <c r="AJ1363" s="9"/>
      <c r="AK1363" s="11"/>
      <c r="AL1363" s="10"/>
      <c r="AM1363" s="11"/>
      <c r="AN1363" s="10"/>
      <c r="AO1363" s="11"/>
      <c r="AP1363" s="10"/>
      <c r="AQ1363" s="10"/>
      <c r="AR1363" s="10"/>
      <c r="AS1363" s="9"/>
      <c r="AT1363" s="9"/>
      <c r="AU1363" s="9"/>
      <c r="AV1363" s="9"/>
      <c r="AW1363" s="9"/>
      <c r="AX1363" s="9"/>
      <c r="AY1363" s="8"/>
      <c r="AZ1363" s="8"/>
      <c r="BA1363" s="8"/>
      <c r="BB1363" s="8"/>
      <c r="BC1363" s="8"/>
      <c r="BD1363" s="8"/>
      <c r="BE1363" s="8"/>
      <c r="BF1363" s="8"/>
    </row>
    <row r="1364" spans="26:58" ht="16.899999999999999">
      <c r="Z1364" s="244"/>
      <c r="AC1364" s="10"/>
      <c r="AD1364" s="10"/>
      <c r="AF1364" s="10"/>
      <c r="AG1364" s="10"/>
      <c r="AH1364" s="10"/>
      <c r="AI1364" s="9"/>
      <c r="AJ1364" s="9"/>
      <c r="AK1364" s="11"/>
      <c r="AL1364" s="10"/>
      <c r="AM1364" s="11"/>
      <c r="AN1364" s="10"/>
      <c r="AO1364" s="11"/>
      <c r="AP1364" s="10"/>
      <c r="AQ1364" s="10"/>
      <c r="AR1364" s="10"/>
      <c r="AS1364" s="9"/>
      <c r="AT1364" s="9"/>
      <c r="AU1364" s="9"/>
      <c r="AV1364" s="9"/>
      <c r="AW1364" s="9"/>
      <c r="AX1364" s="9"/>
      <c r="AY1364" s="8"/>
      <c r="AZ1364" s="8"/>
      <c r="BA1364" s="8"/>
      <c r="BB1364" s="8"/>
      <c r="BC1364" s="8"/>
      <c r="BD1364" s="8"/>
      <c r="BE1364" s="8"/>
      <c r="BF1364" s="8"/>
    </row>
    <row r="1365" spans="26:58" ht="16.899999999999999">
      <c r="Z1365" s="244"/>
      <c r="AC1365" s="10"/>
      <c r="AD1365" s="10"/>
      <c r="AF1365" s="10"/>
      <c r="AG1365" s="10"/>
      <c r="AH1365" s="10"/>
      <c r="AI1365" s="9"/>
      <c r="AJ1365" s="9"/>
      <c r="AK1365" s="11"/>
      <c r="AL1365" s="10"/>
      <c r="AM1365" s="11"/>
      <c r="AN1365" s="10"/>
      <c r="AO1365" s="11"/>
      <c r="AP1365" s="10"/>
      <c r="AQ1365" s="10"/>
      <c r="AR1365" s="10"/>
      <c r="AS1365" s="9"/>
      <c r="AT1365" s="9"/>
      <c r="AU1365" s="9"/>
      <c r="AV1365" s="9"/>
      <c r="AW1365" s="9"/>
      <c r="AX1365" s="9"/>
      <c r="AY1365" s="8"/>
      <c r="AZ1365" s="8"/>
      <c r="BA1365" s="8"/>
      <c r="BB1365" s="8"/>
      <c r="BC1365" s="8"/>
      <c r="BD1365" s="8"/>
      <c r="BE1365" s="8"/>
      <c r="BF1365" s="8"/>
    </row>
    <row r="1366" spans="26:58" ht="16.899999999999999">
      <c r="Z1366" s="244"/>
      <c r="AC1366" s="10"/>
      <c r="AD1366" s="10"/>
      <c r="AF1366" s="10"/>
      <c r="AG1366" s="10"/>
      <c r="AH1366" s="10"/>
      <c r="AI1366" s="9"/>
      <c r="AJ1366" s="9"/>
      <c r="AK1366" s="11"/>
      <c r="AL1366" s="10"/>
      <c r="AM1366" s="11"/>
      <c r="AN1366" s="10"/>
      <c r="AO1366" s="11"/>
      <c r="AP1366" s="10"/>
      <c r="AQ1366" s="10"/>
      <c r="AR1366" s="10"/>
      <c r="AS1366" s="9"/>
      <c r="AT1366" s="9"/>
      <c r="AU1366" s="9"/>
      <c r="AV1366" s="9"/>
      <c r="AW1366" s="9"/>
      <c r="AX1366" s="9"/>
      <c r="AY1366" s="8"/>
      <c r="AZ1366" s="8"/>
      <c r="BA1366" s="8"/>
      <c r="BB1366" s="8"/>
      <c r="BC1366" s="8"/>
      <c r="BD1366" s="8"/>
      <c r="BE1366" s="8"/>
      <c r="BF1366" s="8"/>
    </row>
    <row r="1367" spans="26:58" ht="16.899999999999999">
      <c r="Z1367" s="244"/>
      <c r="AC1367" s="10"/>
      <c r="AD1367" s="10"/>
      <c r="AF1367" s="10"/>
      <c r="AG1367" s="10"/>
      <c r="AH1367" s="10"/>
      <c r="AI1367" s="9"/>
      <c r="AJ1367" s="9"/>
      <c r="AK1367" s="11"/>
      <c r="AL1367" s="10"/>
      <c r="AM1367" s="11"/>
      <c r="AN1367" s="10"/>
      <c r="AO1367" s="11"/>
      <c r="AP1367" s="10"/>
      <c r="AQ1367" s="10"/>
      <c r="AR1367" s="10"/>
      <c r="AS1367" s="9"/>
      <c r="AT1367" s="9"/>
      <c r="AU1367" s="9"/>
      <c r="AV1367" s="9"/>
      <c r="AW1367" s="9"/>
      <c r="AX1367" s="9"/>
      <c r="AY1367" s="8"/>
      <c r="AZ1367" s="8"/>
      <c r="BA1367" s="8"/>
      <c r="BB1367" s="8"/>
      <c r="BC1367" s="8"/>
      <c r="BD1367" s="8"/>
      <c r="BE1367" s="8"/>
      <c r="BF1367" s="8"/>
    </row>
    <row r="1368" spans="26:58" ht="16.899999999999999">
      <c r="Z1368" s="244"/>
      <c r="AC1368" s="10"/>
      <c r="AD1368" s="10"/>
      <c r="AF1368" s="10"/>
      <c r="AG1368" s="10"/>
      <c r="AH1368" s="10"/>
      <c r="AI1368" s="9"/>
      <c r="AJ1368" s="9"/>
      <c r="AK1368" s="11"/>
      <c r="AL1368" s="10"/>
      <c r="AM1368" s="11"/>
      <c r="AN1368" s="10"/>
      <c r="AO1368" s="11"/>
      <c r="AP1368" s="10"/>
      <c r="AQ1368" s="10"/>
      <c r="AR1368" s="10"/>
      <c r="AS1368" s="9"/>
      <c r="AT1368" s="9"/>
      <c r="AU1368" s="9"/>
      <c r="AV1368" s="9"/>
      <c r="AW1368" s="9"/>
      <c r="AX1368" s="9"/>
      <c r="AY1368" s="8"/>
      <c r="AZ1368" s="8"/>
      <c r="BA1368" s="8"/>
      <c r="BB1368" s="8"/>
      <c r="BC1368" s="8"/>
      <c r="BD1368" s="8"/>
      <c r="BE1368" s="8"/>
      <c r="BF1368" s="8"/>
    </row>
    <row r="1369" spans="26:58" ht="16.899999999999999">
      <c r="Z1369" s="244"/>
      <c r="AC1369" s="10"/>
      <c r="AD1369" s="10"/>
      <c r="AF1369" s="10"/>
      <c r="AG1369" s="10"/>
      <c r="AH1369" s="10"/>
      <c r="AI1369" s="9"/>
      <c r="AJ1369" s="9"/>
      <c r="AK1369" s="11"/>
      <c r="AL1369" s="10"/>
      <c r="AM1369" s="11"/>
      <c r="AN1369" s="10"/>
      <c r="AO1369" s="11"/>
      <c r="AP1369" s="10"/>
      <c r="AQ1369" s="10"/>
      <c r="AR1369" s="10"/>
      <c r="AS1369" s="9"/>
      <c r="AT1369" s="9"/>
      <c r="AU1369" s="9"/>
      <c r="AV1369" s="9"/>
      <c r="AW1369" s="9"/>
      <c r="AX1369" s="9"/>
      <c r="AY1369" s="8"/>
      <c r="AZ1369" s="8"/>
      <c r="BA1369" s="8"/>
      <c r="BB1369" s="8"/>
      <c r="BC1369" s="8"/>
      <c r="BD1369" s="8"/>
      <c r="BE1369" s="8"/>
      <c r="BF1369" s="8"/>
    </row>
    <row r="1370" spans="26:58" ht="16.899999999999999">
      <c r="Z1370" s="244"/>
      <c r="AC1370" s="10"/>
      <c r="AD1370" s="10"/>
      <c r="AF1370" s="10"/>
      <c r="AG1370" s="10"/>
      <c r="AH1370" s="10"/>
      <c r="AI1370" s="9"/>
      <c r="AJ1370" s="9"/>
      <c r="AK1370" s="11"/>
      <c r="AL1370" s="10"/>
      <c r="AM1370" s="11"/>
      <c r="AN1370" s="10"/>
      <c r="AO1370" s="11"/>
      <c r="AP1370" s="10"/>
      <c r="AQ1370" s="10"/>
      <c r="AR1370" s="10"/>
      <c r="AS1370" s="9"/>
      <c r="AT1370" s="9"/>
      <c r="AU1370" s="9"/>
      <c r="AV1370" s="9"/>
      <c r="AW1370" s="9"/>
      <c r="AX1370" s="9"/>
      <c r="AY1370" s="8"/>
      <c r="AZ1370" s="8"/>
      <c r="BA1370" s="8"/>
      <c r="BB1370" s="8"/>
      <c r="BC1370" s="8"/>
      <c r="BD1370" s="8"/>
      <c r="BE1370" s="8"/>
      <c r="BF1370" s="8"/>
    </row>
    <row r="1371" spans="26:58" ht="16.899999999999999">
      <c r="Z1371" s="244"/>
      <c r="AC1371" s="10"/>
      <c r="AD1371" s="10"/>
      <c r="AF1371" s="10"/>
      <c r="AG1371" s="10"/>
      <c r="AH1371" s="10"/>
      <c r="AI1371" s="9"/>
      <c r="AJ1371" s="9"/>
      <c r="AK1371" s="11"/>
      <c r="AL1371" s="10"/>
      <c r="AM1371" s="11"/>
      <c r="AN1371" s="10"/>
      <c r="AO1371" s="11"/>
      <c r="AP1371" s="10"/>
      <c r="AQ1371" s="10"/>
      <c r="AR1371" s="10"/>
      <c r="AS1371" s="9"/>
      <c r="AT1371" s="9"/>
      <c r="AU1371" s="9"/>
      <c r="AV1371" s="9"/>
      <c r="AW1371" s="9"/>
      <c r="AX1371" s="9"/>
      <c r="AY1371" s="8"/>
      <c r="AZ1371" s="8"/>
      <c r="BA1371" s="8"/>
      <c r="BB1371" s="8"/>
      <c r="BC1371" s="8"/>
      <c r="BD1371" s="8"/>
      <c r="BE1371" s="8"/>
      <c r="BF1371" s="8"/>
    </row>
    <row r="1372" spans="26:58" ht="16.899999999999999">
      <c r="Z1372" s="244"/>
      <c r="AC1372" s="10"/>
      <c r="AD1372" s="10"/>
      <c r="AF1372" s="10"/>
      <c r="AG1372" s="10"/>
      <c r="AH1372" s="10"/>
      <c r="AI1372" s="9"/>
      <c r="AJ1372" s="9"/>
      <c r="AK1372" s="11"/>
      <c r="AL1372" s="10"/>
      <c r="AM1372" s="11"/>
      <c r="AN1372" s="10"/>
      <c r="AO1372" s="11"/>
      <c r="AP1372" s="10"/>
      <c r="AQ1372" s="10"/>
      <c r="AR1372" s="10"/>
      <c r="AS1372" s="9"/>
      <c r="AT1372" s="9"/>
      <c r="AU1372" s="9"/>
      <c r="AV1372" s="9"/>
      <c r="AW1372" s="9"/>
      <c r="AX1372" s="9"/>
      <c r="AY1372" s="8"/>
      <c r="AZ1372" s="8"/>
      <c r="BA1372" s="8"/>
      <c r="BB1372" s="8"/>
      <c r="BC1372" s="8"/>
      <c r="BD1372" s="8"/>
      <c r="BE1372" s="8"/>
      <c r="BF1372" s="8"/>
    </row>
    <row r="1373" spans="26:58" ht="16.899999999999999">
      <c r="Z1373" s="244"/>
      <c r="AC1373" s="10"/>
      <c r="AD1373" s="10"/>
      <c r="AF1373" s="10"/>
      <c r="AG1373" s="10"/>
      <c r="AH1373" s="10"/>
      <c r="AI1373" s="9"/>
      <c r="AJ1373" s="9"/>
      <c r="AK1373" s="11"/>
      <c r="AL1373" s="10"/>
      <c r="AM1373" s="11"/>
      <c r="AN1373" s="10"/>
      <c r="AO1373" s="11"/>
      <c r="AP1373" s="10"/>
      <c r="AQ1373" s="10"/>
      <c r="AR1373" s="10"/>
      <c r="AS1373" s="9"/>
      <c r="AT1373" s="9"/>
      <c r="AU1373" s="9"/>
      <c r="AV1373" s="9"/>
      <c r="AW1373" s="9"/>
      <c r="AX1373" s="9"/>
      <c r="AY1373" s="8"/>
      <c r="AZ1373" s="8"/>
      <c r="BA1373" s="8"/>
      <c r="BB1373" s="8"/>
      <c r="BC1373" s="8"/>
      <c r="BD1373" s="8"/>
      <c r="BE1373" s="8"/>
      <c r="BF1373" s="8"/>
    </row>
    <row r="1374" spans="26:58" ht="16.899999999999999">
      <c r="Z1374" s="244"/>
      <c r="AC1374" s="10"/>
      <c r="AD1374" s="10"/>
      <c r="AF1374" s="10"/>
      <c r="AG1374" s="10"/>
      <c r="AH1374" s="10"/>
      <c r="AI1374" s="9"/>
      <c r="AJ1374" s="9"/>
      <c r="AK1374" s="11"/>
      <c r="AL1374" s="10"/>
      <c r="AM1374" s="11"/>
      <c r="AN1374" s="10"/>
      <c r="AO1374" s="11"/>
      <c r="AP1374" s="10"/>
      <c r="AQ1374" s="10"/>
      <c r="AR1374" s="10"/>
      <c r="AS1374" s="9"/>
      <c r="AT1374" s="9"/>
      <c r="AU1374" s="9"/>
      <c r="AV1374" s="9"/>
      <c r="AW1374" s="9"/>
      <c r="AX1374" s="9"/>
      <c r="AY1374" s="8"/>
      <c r="AZ1374" s="8"/>
      <c r="BA1374" s="8"/>
      <c r="BB1374" s="8"/>
      <c r="BC1374" s="8"/>
      <c r="BD1374" s="8"/>
      <c r="BE1374" s="8"/>
      <c r="BF1374" s="8"/>
    </row>
    <row r="1375" spans="26:58" ht="16.899999999999999">
      <c r="Z1375" s="244"/>
      <c r="AC1375" s="10"/>
      <c r="AD1375" s="10"/>
      <c r="AF1375" s="10"/>
      <c r="AG1375" s="10"/>
      <c r="AH1375" s="10"/>
      <c r="AI1375" s="9"/>
      <c r="AJ1375" s="9"/>
      <c r="AK1375" s="11"/>
      <c r="AL1375" s="10"/>
      <c r="AM1375" s="11"/>
      <c r="AN1375" s="10"/>
      <c r="AO1375" s="11"/>
      <c r="AP1375" s="10"/>
      <c r="AQ1375" s="10"/>
      <c r="AR1375" s="10"/>
      <c r="AS1375" s="9"/>
      <c r="AT1375" s="9"/>
      <c r="AU1375" s="9"/>
      <c r="AV1375" s="9"/>
      <c r="AW1375" s="9"/>
      <c r="AX1375" s="9"/>
      <c r="AY1375" s="8"/>
      <c r="AZ1375" s="8"/>
      <c r="BA1375" s="8"/>
      <c r="BB1375" s="8"/>
      <c r="BC1375" s="8"/>
      <c r="BD1375" s="8"/>
      <c r="BE1375" s="8"/>
      <c r="BF1375" s="8"/>
    </row>
    <row r="1376" spans="26:58" ht="16.899999999999999">
      <c r="Z1376" s="244"/>
      <c r="AC1376" s="10"/>
      <c r="AD1376" s="10"/>
      <c r="AF1376" s="10"/>
      <c r="AG1376" s="10"/>
      <c r="AH1376" s="10"/>
      <c r="AI1376" s="9"/>
      <c r="AJ1376" s="9"/>
      <c r="AK1376" s="11"/>
      <c r="AL1376" s="10"/>
      <c r="AM1376" s="11"/>
      <c r="AN1376" s="10"/>
      <c r="AO1376" s="11"/>
      <c r="AP1376" s="10"/>
      <c r="AQ1376" s="10"/>
      <c r="AR1376" s="10"/>
      <c r="AS1376" s="9"/>
      <c r="AT1376" s="9"/>
      <c r="AU1376" s="9"/>
      <c r="AV1376" s="9"/>
      <c r="AW1376" s="9"/>
      <c r="AX1376" s="9"/>
      <c r="AY1376" s="8"/>
      <c r="AZ1376" s="8"/>
      <c r="BA1376" s="8"/>
      <c r="BB1376" s="8"/>
      <c r="BC1376" s="8"/>
      <c r="BD1376" s="8"/>
      <c r="BE1376" s="8"/>
      <c r="BF1376" s="8"/>
    </row>
    <row r="1377" spans="26:58" ht="16.899999999999999">
      <c r="Z1377" s="244"/>
      <c r="AC1377" s="10"/>
      <c r="AD1377" s="10"/>
      <c r="AF1377" s="10"/>
      <c r="AG1377" s="10"/>
      <c r="AH1377" s="10"/>
      <c r="AI1377" s="9"/>
      <c r="AJ1377" s="9"/>
      <c r="AK1377" s="11"/>
      <c r="AL1377" s="10"/>
      <c r="AM1377" s="11"/>
      <c r="AN1377" s="10"/>
      <c r="AO1377" s="11"/>
      <c r="AP1377" s="10"/>
      <c r="AQ1377" s="10"/>
      <c r="AR1377" s="10"/>
      <c r="AS1377" s="9"/>
      <c r="AT1377" s="9"/>
      <c r="AU1377" s="9"/>
      <c r="AV1377" s="9"/>
      <c r="AW1377" s="9"/>
      <c r="AX1377" s="9"/>
      <c r="AY1377" s="8"/>
      <c r="AZ1377" s="8"/>
      <c r="BA1377" s="8"/>
      <c r="BB1377" s="8"/>
      <c r="BC1377" s="8"/>
      <c r="BD1377" s="8"/>
      <c r="BE1377" s="8"/>
      <c r="BF1377" s="8"/>
    </row>
    <row r="1378" spans="26:58" ht="16.899999999999999">
      <c r="Z1378" s="244"/>
      <c r="AC1378" s="10"/>
      <c r="AD1378" s="10"/>
      <c r="AF1378" s="10"/>
      <c r="AG1378" s="10"/>
      <c r="AH1378" s="10"/>
      <c r="AI1378" s="9"/>
      <c r="AJ1378" s="9"/>
      <c r="AK1378" s="11"/>
      <c r="AL1378" s="10"/>
      <c r="AM1378" s="11"/>
      <c r="AN1378" s="10"/>
      <c r="AO1378" s="11"/>
      <c r="AP1378" s="10"/>
      <c r="AQ1378" s="10"/>
      <c r="AR1378" s="10"/>
      <c r="AS1378" s="9"/>
      <c r="AT1378" s="9"/>
      <c r="AU1378" s="9"/>
      <c r="AV1378" s="9"/>
      <c r="AW1378" s="9"/>
      <c r="AX1378" s="9"/>
      <c r="AY1378" s="8"/>
      <c r="AZ1378" s="8"/>
      <c r="BA1378" s="8"/>
      <c r="BB1378" s="8"/>
      <c r="BC1378" s="8"/>
      <c r="BD1378" s="8"/>
      <c r="BE1378" s="8"/>
      <c r="BF1378" s="8"/>
    </row>
    <row r="1379" spans="26:58" ht="16.899999999999999">
      <c r="Z1379" s="244"/>
      <c r="AC1379" s="10"/>
      <c r="AD1379" s="10"/>
      <c r="AF1379" s="10"/>
      <c r="AG1379" s="10"/>
      <c r="AH1379" s="10"/>
      <c r="AI1379" s="9"/>
      <c r="AJ1379" s="9"/>
      <c r="AK1379" s="11"/>
      <c r="AL1379" s="10"/>
      <c r="AM1379" s="11"/>
      <c r="AN1379" s="10"/>
      <c r="AO1379" s="11"/>
      <c r="AP1379" s="10"/>
      <c r="AQ1379" s="10"/>
      <c r="AR1379" s="10"/>
      <c r="AS1379" s="9"/>
      <c r="AT1379" s="9"/>
      <c r="AU1379" s="9"/>
      <c r="AV1379" s="9"/>
      <c r="AW1379" s="9"/>
      <c r="AX1379" s="9"/>
      <c r="AY1379" s="8"/>
      <c r="AZ1379" s="8"/>
      <c r="BA1379" s="8"/>
      <c r="BB1379" s="8"/>
      <c r="BC1379" s="8"/>
      <c r="BD1379" s="8"/>
      <c r="BE1379" s="8"/>
      <c r="BF1379" s="8"/>
    </row>
    <row r="1380" spans="26:58" ht="16.899999999999999">
      <c r="Z1380" s="244"/>
      <c r="AC1380" s="10"/>
      <c r="AD1380" s="10"/>
      <c r="AF1380" s="10"/>
      <c r="AG1380" s="10"/>
      <c r="AH1380" s="10"/>
      <c r="AI1380" s="9"/>
      <c r="AJ1380" s="9"/>
      <c r="AK1380" s="11"/>
      <c r="AL1380" s="10"/>
      <c r="AM1380" s="11"/>
      <c r="AN1380" s="10"/>
      <c r="AO1380" s="11"/>
      <c r="AP1380" s="10"/>
      <c r="AQ1380" s="10"/>
      <c r="AR1380" s="10"/>
      <c r="AS1380" s="9"/>
      <c r="AT1380" s="9"/>
      <c r="AU1380" s="9"/>
      <c r="AV1380" s="9"/>
      <c r="AW1380" s="9"/>
      <c r="AX1380" s="9"/>
      <c r="AY1380" s="8"/>
      <c r="AZ1380" s="8"/>
      <c r="BA1380" s="8"/>
      <c r="BB1380" s="8"/>
      <c r="BC1380" s="8"/>
      <c r="BD1380" s="8"/>
      <c r="BE1380" s="8"/>
      <c r="BF1380" s="8"/>
    </row>
    <row r="1381" spans="26:58" ht="16.899999999999999">
      <c r="Z1381" s="244"/>
      <c r="AC1381" s="10"/>
      <c r="AD1381" s="10"/>
      <c r="AF1381" s="10"/>
      <c r="AG1381" s="10"/>
      <c r="AH1381" s="10"/>
      <c r="AI1381" s="9"/>
      <c r="AJ1381" s="9"/>
      <c r="AK1381" s="11"/>
      <c r="AL1381" s="10"/>
      <c r="AM1381" s="11"/>
      <c r="AN1381" s="10"/>
      <c r="AO1381" s="11"/>
      <c r="AP1381" s="10"/>
      <c r="AQ1381" s="10"/>
      <c r="AR1381" s="10"/>
      <c r="AS1381" s="9"/>
      <c r="AT1381" s="9"/>
      <c r="AU1381" s="9"/>
      <c r="AV1381" s="9"/>
      <c r="AW1381" s="9"/>
      <c r="AX1381" s="9"/>
      <c r="AY1381" s="8"/>
      <c r="AZ1381" s="8"/>
      <c r="BA1381" s="8"/>
      <c r="BB1381" s="8"/>
      <c r="BC1381" s="8"/>
      <c r="BD1381" s="8"/>
      <c r="BE1381" s="8"/>
      <c r="BF1381" s="8"/>
    </row>
    <row r="1382" spans="26:58" ht="16.899999999999999">
      <c r="Z1382" s="244"/>
      <c r="AC1382" s="10"/>
      <c r="AD1382" s="10"/>
      <c r="AF1382" s="10"/>
      <c r="AG1382" s="10"/>
      <c r="AH1382" s="10"/>
      <c r="AI1382" s="9"/>
      <c r="AJ1382" s="9"/>
      <c r="AK1382" s="11"/>
      <c r="AL1382" s="10"/>
      <c r="AM1382" s="11"/>
      <c r="AN1382" s="10"/>
      <c r="AO1382" s="11"/>
      <c r="AP1382" s="10"/>
      <c r="AQ1382" s="10"/>
      <c r="AR1382" s="10"/>
      <c r="AS1382" s="9"/>
      <c r="AT1382" s="9"/>
      <c r="AU1382" s="9"/>
      <c r="AV1382" s="9"/>
      <c r="AW1382" s="9"/>
      <c r="AX1382" s="9"/>
      <c r="AY1382" s="8"/>
      <c r="AZ1382" s="8"/>
      <c r="BA1382" s="8"/>
      <c r="BB1382" s="8"/>
      <c r="BC1382" s="8"/>
      <c r="BD1382" s="8"/>
      <c r="BE1382" s="8"/>
      <c r="BF1382" s="8"/>
    </row>
    <row r="1383" spans="26:58" ht="16.899999999999999">
      <c r="Z1383" s="244"/>
      <c r="AC1383" s="10"/>
      <c r="AD1383" s="10"/>
      <c r="AF1383" s="10"/>
      <c r="AG1383" s="10"/>
      <c r="AH1383" s="10"/>
      <c r="AI1383" s="9"/>
      <c r="AJ1383" s="9"/>
      <c r="AK1383" s="11"/>
      <c r="AL1383" s="10"/>
      <c r="AM1383" s="11"/>
      <c r="AN1383" s="10"/>
      <c r="AO1383" s="11"/>
      <c r="AP1383" s="10"/>
      <c r="AQ1383" s="10"/>
      <c r="AR1383" s="10"/>
      <c r="AS1383" s="9"/>
      <c r="AT1383" s="9"/>
      <c r="AU1383" s="9"/>
      <c r="AV1383" s="9"/>
      <c r="AW1383" s="9"/>
      <c r="AX1383" s="9"/>
      <c r="AY1383" s="8"/>
      <c r="AZ1383" s="8"/>
      <c r="BA1383" s="8"/>
      <c r="BB1383" s="8"/>
      <c r="BC1383" s="8"/>
      <c r="BD1383" s="8"/>
      <c r="BE1383" s="8"/>
      <c r="BF1383" s="8"/>
    </row>
    <row r="1384" spans="26:58" ht="16.899999999999999">
      <c r="Z1384" s="244"/>
      <c r="AC1384" s="10"/>
      <c r="AD1384" s="10"/>
      <c r="AF1384" s="10"/>
      <c r="AG1384" s="10"/>
      <c r="AH1384" s="10"/>
      <c r="AI1384" s="9"/>
      <c r="AJ1384" s="9"/>
      <c r="AK1384" s="11"/>
      <c r="AL1384" s="10"/>
      <c r="AM1384" s="11"/>
      <c r="AN1384" s="10"/>
      <c r="AO1384" s="11"/>
      <c r="AP1384" s="10"/>
      <c r="AQ1384" s="10"/>
      <c r="AR1384" s="10"/>
      <c r="AS1384" s="9"/>
      <c r="AT1384" s="9"/>
      <c r="AU1384" s="9"/>
      <c r="AV1384" s="9"/>
      <c r="AW1384" s="9"/>
      <c r="AX1384" s="9"/>
      <c r="AY1384" s="8"/>
      <c r="AZ1384" s="8"/>
      <c r="BA1384" s="8"/>
      <c r="BB1384" s="8"/>
      <c r="BC1384" s="8"/>
      <c r="BD1384" s="8"/>
      <c r="BE1384" s="8"/>
      <c r="BF1384" s="8"/>
    </row>
    <row r="1385" spans="26:58" ht="16.899999999999999">
      <c r="Z1385" s="244"/>
      <c r="AC1385" s="10"/>
      <c r="AD1385" s="10"/>
      <c r="AF1385" s="10"/>
      <c r="AG1385" s="10"/>
      <c r="AH1385" s="10"/>
      <c r="AI1385" s="9"/>
      <c r="AJ1385" s="9"/>
      <c r="AK1385" s="11"/>
      <c r="AL1385" s="10"/>
      <c r="AM1385" s="11"/>
      <c r="AN1385" s="10"/>
      <c r="AO1385" s="11"/>
      <c r="AP1385" s="10"/>
      <c r="AQ1385" s="10"/>
      <c r="AR1385" s="10"/>
      <c r="AS1385" s="9"/>
      <c r="AT1385" s="9"/>
      <c r="AU1385" s="9"/>
      <c r="AV1385" s="9"/>
      <c r="AW1385" s="9"/>
      <c r="AX1385" s="9"/>
      <c r="AY1385" s="8"/>
      <c r="AZ1385" s="8"/>
      <c r="BA1385" s="8"/>
      <c r="BB1385" s="8"/>
      <c r="BC1385" s="8"/>
      <c r="BD1385" s="8"/>
      <c r="BE1385" s="8"/>
      <c r="BF1385" s="8"/>
    </row>
    <row r="1386" spans="26:58" ht="16.899999999999999">
      <c r="Z1386" s="244"/>
      <c r="AC1386" s="10"/>
      <c r="AD1386" s="10"/>
      <c r="AF1386" s="10"/>
      <c r="AG1386" s="10"/>
      <c r="AH1386" s="10"/>
      <c r="AI1386" s="9"/>
      <c r="AJ1386" s="9"/>
      <c r="AK1386" s="11"/>
      <c r="AL1386" s="10"/>
      <c r="AM1386" s="11"/>
      <c r="AN1386" s="10"/>
      <c r="AO1386" s="11"/>
      <c r="AP1386" s="10"/>
      <c r="AQ1386" s="10"/>
      <c r="AR1386" s="10"/>
      <c r="AS1386" s="9"/>
      <c r="AT1386" s="9"/>
      <c r="AU1386" s="9"/>
      <c r="AV1386" s="9"/>
      <c r="AW1386" s="9"/>
      <c r="AX1386" s="9"/>
      <c r="AY1386" s="8"/>
      <c r="AZ1386" s="8"/>
      <c r="BA1386" s="8"/>
      <c r="BB1386" s="8"/>
      <c r="BC1386" s="8"/>
      <c r="BD1386" s="8"/>
      <c r="BE1386" s="8"/>
      <c r="BF1386" s="8"/>
    </row>
    <row r="1387" spans="26:58" ht="16.899999999999999">
      <c r="Z1387" s="244"/>
      <c r="AC1387" s="10"/>
      <c r="AD1387" s="10"/>
      <c r="AF1387" s="10"/>
      <c r="AG1387" s="10"/>
      <c r="AH1387" s="10"/>
      <c r="AI1387" s="9"/>
      <c r="AJ1387" s="9"/>
      <c r="AK1387" s="11"/>
      <c r="AL1387" s="10"/>
      <c r="AM1387" s="11"/>
      <c r="AN1387" s="10"/>
      <c r="AO1387" s="11"/>
      <c r="AP1387" s="10"/>
      <c r="AQ1387" s="10"/>
      <c r="AR1387" s="10"/>
      <c r="AS1387" s="9"/>
      <c r="AT1387" s="9"/>
      <c r="AU1387" s="9"/>
      <c r="AV1387" s="9"/>
      <c r="AW1387" s="9"/>
      <c r="AX1387" s="9"/>
      <c r="AY1387" s="8"/>
      <c r="AZ1387" s="8"/>
      <c r="BA1387" s="8"/>
      <c r="BB1387" s="8"/>
      <c r="BC1387" s="8"/>
      <c r="BD1387" s="8"/>
      <c r="BE1387" s="8"/>
      <c r="BF1387" s="8"/>
    </row>
    <row r="1388" spans="26:58" ht="16.899999999999999">
      <c r="Z1388" s="244"/>
      <c r="AC1388" s="10"/>
      <c r="AD1388" s="10"/>
      <c r="AF1388" s="10"/>
      <c r="AG1388" s="10"/>
      <c r="AH1388" s="10"/>
      <c r="AI1388" s="9"/>
      <c r="AJ1388" s="9"/>
      <c r="AK1388" s="11"/>
      <c r="AL1388" s="10"/>
      <c r="AM1388" s="11"/>
      <c r="AN1388" s="10"/>
      <c r="AO1388" s="11"/>
      <c r="AP1388" s="10"/>
      <c r="AQ1388" s="10"/>
      <c r="AR1388" s="10"/>
      <c r="AS1388" s="9"/>
      <c r="AT1388" s="9"/>
      <c r="AU1388" s="9"/>
      <c r="AV1388" s="9"/>
      <c r="AW1388" s="9"/>
      <c r="AX1388" s="9"/>
      <c r="AY1388" s="8"/>
      <c r="AZ1388" s="8"/>
      <c r="BA1388" s="8"/>
      <c r="BB1388" s="8"/>
      <c r="BC1388" s="8"/>
      <c r="BD1388" s="8"/>
      <c r="BE1388" s="8"/>
      <c r="BF1388" s="8"/>
    </row>
    <row r="1389" spans="26:58" ht="16.899999999999999">
      <c r="Z1389" s="244"/>
      <c r="AC1389" s="10"/>
      <c r="AD1389" s="10"/>
      <c r="AF1389" s="10"/>
      <c r="AG1389" s="10"/>
      <c r="AH1389" s="10"/>
      <c r="AI1389" s="9"/>
      <c r="AJ1389" s="9"/>
      <c r="AK1389" s="11"/>
      <c r="AL1389" s="10"/>
      <c r="AM1389" s="11"/>
      <c r="AN1389" s="10"/>
      <c r="AO1389" s="11"/>
      <c r="AP1389" s="10"/>
      <c r="AQ1389" s="10"/>
      <c r="AR1389" s="10"/>
      <c r="AS1389" s="9"/>
      <c r="AT1389" s="9"/>
      <c r="AU1389" s="9"/>
      <c r="AV1389" s="9"/>
      <c r="AW1389" s="9"/>
      <c r="AX1389" s="9"/>
      <c r="AY1389" s="8"/>
      <c r="AZ1389" s="8"/>
      <c r="BA1389" s="8"/>
      <c r="BB1389" s="8"/>
      <c r="BC1389" s="8"/>
      <c r="BD1389" s="8"/>
      <c r="BE1389" s="8"/>
      <c r="BF1389" s="8"/>
    </row>
    <row r="1390" spans="26:58" ht="16.899999999999999">
      <c r="Z1390" s="244"/>
      <c r="AC1390" s="10"/>
      <c r="AD1390" s="10"/>
      <c r="AF1390" s="10"/>
      <c r="AG1390" s="10"/>
      <c r="AH1390" s="10"/>
      <c r="AI1390" s="9"/>
      <c r="AJ1390" s="9"/>
      <c r="AK1390" s="11"/>
      <c r="AL1390" s="10"/>
      <c r="AM1390" s="11"/>
      <c r="AN1390" s="10"/>
      <c r="AO1390" s="11"/>
      <c r="AP1390" s="10"/>
      <c r="AQ1390" s="10"/>
      <c r="AR1390" s="10"/>
      <c r="AS1390" s="9"/>
      <c r="AT1390" s="9"/>
      <c r="AU1390" s="9"/>
      <c r="AV1390" s="9"/>
      <c r="AW1390" s="9"/>
      <c r="AX1390" s="9"/>
      <c r="AY1390" s="8"/>
      <c r="AZ1390" s="8"/>
      <c r="BA1390" s="8"/>
      <c r="BB1390" s="8"/>
      <c r="BC1390" s="8"/>
      <c r="BD1390" s="8"/>
      <c r="BE1390" s="8"/>
      <c r="BF1390" s="8"/>
    </row>
    <row r="1391" spans="26:58" ht="16.899999999999999">
      <c r="Z1391" s="244"/>
      <c r="AC1391" s="10"/>
      <c r="AD1391" s="10"/>
      <c r="AF1391" s="10"/>
      <c r="AG1391" s="10"/>
      <c r="AH1391" s="10"/>
      <c r="AI1391" s="9"/>
      <c r="AJ1391" s="9"/>
      <c r="AK1391" s="11"/>
      <c r="AL1391" s="10"/>
      <c r="AM1391" s="11"/>
      <c r="AN1391" s="10"/>
      <c r="AO1391" s="11"/>
      <c r="AP1391" s="10"/>
      <c r="AQ1391" s="10"/>
      <c r="AR1391" s="10"/>
      <c r="AS1391" s="9"/>
      <c r="AT1391" s="9"/>
      <c r="AU1391" s="9"/>
      <c r="AV1391" s="9"/>
      <c r="AW1391" s="9"/>
      <c r="AX1391" s="9"/>
      <c r="AY1391" s="8"/>
      <c r="AZ1391" s="8"/>
      <c r="BA1391" s="8"/>
      <c r="BB1391" s="8"/>
      <c r="BC1391" s="8"/>
      <c r="BD1391" s="8"/>
      <c r="BE1391" s="8"/>
      <c r="BF1391" s="8"/>
    </row>
    <row r="1392" spans="26:58" ht="16.899999999999999">
      <c r="Z1392" s="244"/>
      <c r="AC1392" s="10"/>
      <c r="AD1392" s="10"/>
      <c r="AF1392" s="10"/>
      <c r="AG1392" s="10"/>
      <c r="AH1392" s="10"/>
      <c r="AI1392" s="9"/>
      <c r="AJ1392" s="9"/>
      <c r="AK1392" s="11"/>
      <c r="AL1392" s="10"/>
      <c r="AM1392" s="11"/>
      <c r="AN1392" s="10"/>
      <c r="AO1392" s="11"/>
      <c r="AP1392" s="10"/>
      <c r="AQ1392" s="10"/>
      <c r="AR1392" s="10"/>
      <c r="AS1392" s="9"/>
      <c r="AT1392" s="9"/>
      <c r="AU1392" s="9"/>
      <c r="AV1392" s="9"/>
      <c r="AW1392" s="9"/>
      <c r="AX1392" s="9"/>
      <c r="AY1392" s="8"/>
      <c r="AZ1392" s="8"/>
      <c r="BA1392" s="8"/>
      <c r="BB1392" s="8"/>
      <c r="BC1392" s="8"/>
      <c r="BD1392" s="8"/>
      <c r="BE1392" s="8"/>
      <c r="BF1392" s="8"/>
    </row>
    <row r="1393" spans="26:58" ht="16.899999999999999">
      <c r="Z1393" s="244"/>
      <c r="AC1393" s="10"/>
      <c r="AD1393" s="10"/>
      <c r="AF1393" s="10"/>
      <c r="AG1393" s="10"/>
      <c r="AH1393" s="10"/>
      <c r="AI1393" s="9"/>
      <c r="AJ1393" s="9"/>
      <c r="AK1393" s="11"/>
      <c r="AL1393" s="10"/>
      <c r="AM1393" s="11"/>
      <c r="AN1393" s="10"/>
      <c r="AO1393" s="11"/>
      <c r="AP1393" s="10"/>
      <c r="AQ1393" s="10"/>
      <c r="AR1393" s="10"/>
      <c r="AS1393" s="9"/>
      <c r="AT1393" s="9"/>
      <c r="AU1393" s="9"/>
      <c r="AV1393" s="9"/>
      <c r="AW1393" s="9"/>
      <c r="AX1393" s="9"/>
      <c r="AY1393" s="8"/>
      <c r="AZ1393" s="8"/>
      <c r="BA1393" s="8"/>
      <c r="BB1393" s="8"/>
      <c r="BC1393" s="8"/>
      <c r="BD1393" s="8"/>
      <c r="BE1393" s="8"/>
      <c r="BF1393" s="8"/>
    </row>
    <row r="1394" spans="26:58" ht="16.899999999999999">
      <c r="Z1394" s="244"/>
      <c r="AC1394" s="10"/>
      <c r="AD1394" s="10"/>
      <c r="AF1394" s="10"/>
      <c r="AG1394" s="10"/>
      <c r="AH1394" s="10"/>
      <c r="AI1394" s="9"/>
      <c r="AJ1394" s="9"/>
      <c r="AK1394" s="11"/>
      <c r="AL1394" s="10"/>
      <c r="AM1394" s="11"/>
      <c r="AN1394" s="10"/>
      <c r="AO1394" s="11"/>
      <c r="AP1394" s="10"/>
      <c r="AQ1394" s="10"/>
      <c r="AR1394" s="10"/>
      <c r="AS1394" s="9"/>
      <c r="AT1394" s="9"/>
      <c r="AU1394" s="9"/>
      <c r="AV1394" s="9"/>
      <c r="AW1394" s="9"/>
      <c r="AX1394" s="9"/>
      <c r="AY1394" s="8"/>
      <c r="AZ1394" s="8"/>
      <c r="BA1394" s="8"/>
      <c r="BB1394" s="8"/>
      <c r="BC1394" s="8"/>
      <c r="BD1394" s="8"/>
      <c r="BE1394" s="8"/>
      <c r="BF1394" s="8"/>
    </row>
    <row r="1395" spans="26:58" ht="16.899999999999999">
      <c r="Z1395" s="244"/>
      <c r="AC1395" s="10"/>
      <c r="AD1395" s="10"/>
      <c r="AF1395" s="10"/>
      <c r="AG1395" s="10"/>
      <c r="AH1395" s="10"/>
      <c r="AI1395" s="9"/>
      <c r="AJ1395" s="9"/>
      <c r="AK1395" s="11"/>
      <c r="AL1395" s="10"/>
      <c r="AM1395" s="11"/>
      <c r="AN1395" s="10"/>
      <c r="AO1395" s="11"/>
      <c r="AP1395" s="10"/>
      <c r="AQ1395" s="10"/>
      <c r="AR1395" s="10"/>
      <c r="AS1395" s="9"/>
      <c r="AT1395" s="9"/>
      <c r="AU1395" s="9"/>
      <c r="AV1395" s="9"/>
      <c r="AW1395" s="9"/>
      <c r="AX1395" s="9"/>
      <c r="AY1395" s="8"/>
      <c r="AZ1395" s="8"/>
      <c r="BA1395" s="8"/>
      <c r="BB1395" s="8"/>
      <c r="BC1395" s="8"/>
      <c r="BD1395" s="8"/>
      <c r="BE1395" s="8"/>
      <c r="BF1395" s="8"/>
    </row>
    <row r="1396" spans="26:58" ht="16.899999999999999">
      <c r="Z1396" s="244"/>
      <c r="AC1396" s="10"/>
      <c r="AD1396" s="10"/>
      <c r="AF1396" s="10"/>
      <c r="AG1396" s="10"/>
      <c r="AH1396" s="10"/>
      <c r="AI1396" s="9"/>
      <c r="AJ1396" s="9"/>
      <c r="AK1396" s="11"/>
      <c r="AL1396" s="10"/>
      <c r="AM1396" s="11"/>
      <c r="AN1396" s="10"/>
      <c r="AO1396" s="11"/>
      <c r="AP1396" s="10"/>
      <c r="AQ1396" s="10"/>
      <c r="AR1396" s="10"/>
      <c r="AS1396" s="9"/>
      <c r="AT1396" s="9"/>
      <c r="AU1396" s="9"/>
      <c r="AV1396" s="9"/>
      <c r="AW1396" s="9"/>
      <c r="AX1396" s="9"/>
      <c r="AY1396" s="8"/>
      <c r="AZ1396" s="8"/>
      <c r="BA1396" s="8"/>
      <c r="BB1396" s="8"/>
      <c r="BC1396" s="8"/>
      <c r="BD1396" s="8"/>
      <c r="BE1396" s="8"/>
      <c r="BF1396" s="8"/>
    </row>
  </sheetData>
  <autoFilter ref="A1:AS451" xr:uid="{00000000-0001-0000-0500-000000000000}"/>
  <phoneticPr fontId="3" type="noConversion"/>
  <hyperlinks>
    <hyperlink ref="Q17" r:id="rId1" xr:uid="{A93AB346-2C54-4421-A88A-24A6B920455C}"/>
    <hyperlink ref="Q16" r:id="rId2" xr:uid="{2E4AF59E-9192-430B-A466-31A5676A7710}"/>
    <hyperlink ref="Q2" r:id="rId3" xr:uid="{E88DF831-6B10-4BC9-AB70-7021EFDFC81F}"/>
    <hyperlink ref="Q3" r:id="rId4" xr:uid="{B6D1155B-2AEE-4542-9810-DF7CF66C2F3E}"/>
    <hyperlink ref="Q4" r:id="rId5" xr:uid="{CE4CB1F3-65FC-48D6-AA7B-55AB1195F507}"/>
    <hyperlink ref="Q6" r:id="rId6" xr:uid="{985C213C-D3E3-45E9-A392-D0CEFF08EC15}"/>
    <hyperlink ref="Q7" r:id="rId7" xr:uid="{3B273DCF-D264-4066-88A0-E893C1238F45}"/>
    <hyperlink ref="Q8" r:id="rId8" xr:uid="{95CA978B-8207-4B43-892A-5E8D72626A41}"/>
    <hyperlink ref="Q9" r:id="rId9" xr:uid="{B48A124E-57EA-41DB-B56B-1F3E35D99C1E}"/>
    <hyperlink ref="Q10" r:id="rId10" xr:uid="{FA4F3415-B0F7-46D1-8F0A-A0F1C72EC356}"/>
    <hyperlink ref="Q11" r:id="rId11" xr:uid="{17D780B3-1CF1-424B-B18D-82F8894E04E2}"/>
    <hyperlink ref="Q12" r:id="rId12" xr:uid="{44B5A32E-2F81-41B3-9CCD-35CB1F89C00B}"/>
    <hyperlink ref="Q13" r:id="rId13" xr:uid="{44475926-00C8-4C99-A4D7-A059DA1611A7}"/>
    <hyperlink ref="Q15" r:id="rId14" xr:uid="{6D3857E4-A5F0-4C93-8739-9D23E52C11CE}"/>
    <hyperlink ref="Q19" r:id="rId15" xr:uid="{022B8C3B-E08E-4A90-A42F-A3768BCAB3D6}"/>
    <hyperlink ref="Q20" r:id="rId16" xr:uid="{818F7F48-654C-4B2C-AEAE-3B6B4D1C50FB}"/>
    <hyperlink ref="Q21" r:id="rId17" xr:uid="{32BB758B-979E-4926-80F2-61EAF6D1E980}"/>
    <hyperlink ref="Q22" r:id="rId18" xr:uid="{37B5E494-4754-43BE-B67E-3896B48F705C}"/>
  </hyperlinks>
  <pageMargins left="0.7" right="0.7" top="0.75" bottom="0.75" header="0.3" footer="0.3"/>
  <pageSetup paperSize="9" orientation="portrait" r:id="rId1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2BE2-3E91-4D66-94EC-9D43585F3AE8}">
  <sheetPr>
    <tabColor rgb="FF002060"/>
    <pageSetUpPr fitToPage="1"/>
  </sheetPr>
  <dimension ref="A1:N46"/>
  <sheetViews>
    <sheetView showGridLines="0" zoomScale="85" zoomScaleNormal="85" zoomScaleSheetLayoutView="100" workbookViewId="0">
      <selection activeCell="H2" sqref="H2"/>
    </sheetView>
  </sheetViews>
  <sheetFormatPr defaultColWidth="9" defaultRowHeight="12.75"/>
  <cols>
    <col min="1" max="1" width="10.125" style="1" customWidth="1"/>
    <col min="2" max="2" width="19" style="1" customWidth="1"/>
    <col min="3" max="3" width="26.375" style="1" customWidth="1"/>
    <col min="4" max="4" width="23" style="1" customWidth="1"/>
    <col min="5" max="5" width="17.625" style="1" customWidth="1"/>
    <col min="6" max="7" width="18.375" style="1" customWidth="1"/>
    <col min="8" max="8" width="15.25" style="1" customWidth="1"/>
    <col min="9" max="9" width="15.25" style="71" customWidth="1"/>
    <col min="10" max="10" width="27.375" style="1" customWidth="1"/>
    <col min="11" max="18" width="9" style="1"/>
    <col min="19" max="19" width="8" style="1" customWidth="1"/>
    <col min="20" max="16384" width="9" style="1"/>
  </cols>
  <sheetData>
    <row r="1" spans="1:14" ht="84" customHeight="1">
      <c r="A1" s="436"/>
      <c r="B1" s="437"/>
      <c r="C1" s="48"/>
      <c r="D1" s="48"/>
      <c r="E1" s="350" t="s">
        <v>20</v>
      </c>
      <c r="F1" s="350"/>
      <c r="G1" s="351"/>
      <c r="H1" s="73">
        <v>88</v>
      </c>
      <c r="I1" s="438" t="s">
        <v>168</v>
      </c>
      <c r="J1" s="439"/>
    </row>
    <row r="2" spans="1:14" ht="23.25" customHeight="1">
      <c r="A2" s="357" t="s">
        <v>19</v>
      </c>
      <c r="B2" s="358"/>
      <c r="C2" s="358"/>
      <c r="D2" s="49"/>
      <c r="G2" s="50"/>
      <c r="I2" s="450" t="s">
        <v>167</v>
      </c>
      <c r="J2" s="451"/>
    </row>
    <row r="3" spans="1:14" ht="27.95" customHeight="1" thickBot="1">
      <c r="A3" s="357"/>
      <c r="B3" s="358"/>
      <c r="C3" s="358"/>
      <c r="D3" s="49"/>
      <c r="E3" s="51" t="s">
        <v>18</v>
      </c>
      <c r="F3" s="363">
        <f>VLOOKUP($H$1,'독일 노르웨이 판매현황'!A2:BF241,2,FALSE)</f>
        <v>0</v>
      </c>
      <c r="G3" s="364"/>
      <c r="I3" s="452" t="str">
        <f>"차량명 : " &amp; VLOOKUP($H$1,'독일 노르웨이 판매현황'!A2:BF241,3,FALSE)</f>
        <v xml:space="preserve">차량명 : </v>
      </c>
      <c r="J3" s="453"/>
    </row>
    <row r="4" spans="1:14" ht="27.95" customHeight="1" thickTop="1" thickBot="1">
      <c r="A4" s="52"/>
      <c r="B4" s="53"/>
      <c r="C4" s="53"/>
      <c r="D4" s="53"/>
      <c r="E4" s="91" t="s">
        <v>17</v>
      </c>
      <c r="F4" s="361">
        <f>VLOOKUP($H$1,'독일 노르웨이 판매현황'!A2:BF241,17,FALSE)</f>
        <v>0</v>
      </c>
      <c r="G4" s="362"/>
      <c r="I4" s="448" t="str">
        <f>"차량번호 : " &amp; TEXT(VLOOKUP($H$1,'독일 노르웨이 판매현황'!A1:BF240,4,FALSE),"#,##0")</f>
        <v>차량번호 : ,0</v>
      </c>
      <c r="J4" s="449"/>
    </row>
    <row r="5" spans="1:14" ht="27.95" customHeight="1" thickTop="1" thickBot="1">
      <c r="A5" s="54"/>
      <c r="B5" s="55"/>
      <c r="E5" s="91" t="s">
        <v>183</v>
      </c>
      <c r="F5" s="361">
        <f>VLOOKUP($H$1,'독일 노르웨이 판매현황'!A2:BF241,13,FALSE)</f>
        <v>0</v>
      </c>
      <c r="G5" s="362"/>
      <c r="I5" s="448" t="str">
        <f>"차대번호 : " &amp; TEXT(VLOOKUP($H$1,'독일 노르웨이 판매현황'!A2:BF241,5,FALSE),"#,##0")</f>
        <v>차대번호 : ,0</v>
      </c>
      <c r="J5" s="449"/>
    </row>
    <row r="6" spans="1:14" ht="27.95" customHeight="1" thickTop="1" thickBot="1">
      <c r="A6" s="54"/>
      <c r="B6" s="55"/>
      <c r="E6" s="91" t="s">
        <v>511</v>
      </c>
      <c r="F6" s="361">
        <f>VLOOKUP($H$1,'독일 노르웨이 판매현황'!A2:BF241,14,FALSE)</f>
        <v>0</v>
      </c>
      <c r="G6" s="362"/>
      <c r="I6" s="440" t="s">
        <v>166</v>
      </c>
      <c r="J6" s="441"/>
    </row>
    <row r="7" spans="1:14" ht="27.95" customHeight="1" thickTop="1" thickBot="1">
      <c r="A7" s="355"/>
      <c r="B7" s="356"/>
      <c r="E7" s="91" t="s">
        <v>512</v>
      </c>
      <c r="F7" s="361">
        <f>VLOOKUP($H$1,'독일 노르웨이 판매현황'!A2:BF241,16,FALSE)</f>
        <v>0</v>
      </c>
      <c r="G7" s="362"/>
      <c r="I7" s="446" t="str">
        <f>"차량대금 : " &amp; TEXT(VLOOKUP($H$1,'독일 노르웨이 판매현황'!A2:BF241,18,FALSE),"#,##0") &amp; "원"</f>
        <v>차량대금 : ,0원</v>
      </c>
      <c r="J7" s="447"/>
      <c r="N7" s="72" t="s">
        <v>164</v>
      </c>
    </row>
    <row r="8" spans="1:14" ht="27.95" customHeight="1" thickTop="1" thickBot="1">
      <c r="A8" s="355"/>
      <c r="B8" s="356"/>
      <c r="E8" s="91" t="s">
        <v>184</v>
      </c>
      <c r="F8" s="361">
        <f>VLOOKUP($H$1,'독일 노르웨이 판매현황'!A2:BF241,15,FALSE)</f>
        <v>0</v>
      </c>
      <c r="G8" s="362"/>
      <c r="I8" s="440" t="str">
        <f>"매도비 : "&amp;VLOOKUP($H$1,'독일 노르웨이 판매현황'!A3:BF242,19,FALSE)&amp;"원"</f>
        <v>매도비 : 원</v>
      </c>
      <c r="J8" s="441"/>
    </row>
    <row r="9" spans="1:14" ht="27.95" customHeight="1" thickTop="1" thickBot="1">
      <c r="A9" s="54"/>
      <c r="B9" s="55"/>
      <c r="E9" s="91" t="s">
        <v>185</v>
      </c>
      <c r="F9" s="431">
        <f>VLOOKUP($H$1,'독일 노르웨이 판매현황'!A2:BF241,17,FALSE)</f>
        <v>0</v>
      </c>
      <c r="G9" s="362"/>
      <c r="I9" s="448" t="str">
        <f>"판매처 : " &amp; VLOOKUP($H$1,'독일 노르웨이 판매현황'!A1:BF240,6,FALSE)</f>
        <v xml:space="preserve">판매처 : </v>
      </c>
      <c r="J9" s="449"/>
    </row>
    <row r="10" spans="1:14" ht="27.95" customHeight="1" thickTop="1" thickBot="1">
      <c r="A10" s="54"/>
      <c r="B10" s="55"/>
      <c r="E10" s="92" t="s">
        <v>186</v>
      </c>
      <c r="F10" s="361" t="s">
        <v>220</v>
      </c>
      <c r="G10" s="362"/>
      <c r="I10" s="133" t="str">
        <f>"환율 : €" &amp; VLOOKUP($H$1,'독일 노르웨이 판매현황'!A2:AZ246,26,FALSE)</f>
        <v>환율 : €</v>
      </c>
      <c r="J10" s="132" t="str">
        <f>"/   $" &amp; VLOOKUP($H$1,'독일 노르웨이 판매현황'!A2:AZ246,27,FALSE)</f>
        <v>/   $</v>
      </c>
    </row>
    <row r="11" spans="1:14" ht="27.95" customHeight="1" thickTop="1" thickBot="1">
      <c r="A11" s="355"/>
      <c r="B11" s="356"/>
      <c r="E11" s="92" t="s">
        <v>187</v>
      </c>
      <c r="F11" s="361" t="s">
        <v>221</v>
      </c>
      <c r="G11" s="362"/>
      <c r="I11" s="440" t="s">
        <v>166</v>
      </c>
      <c r="J11" s="441"/>
      <c r="N11" s="72" t="s">
        <v>164</v>
      </c>
    </row>
    <row r="12" spans="1:14" ht="27.95" customHeight="1" thickTop="1" thickBot="1">
      <c r="A12" s="355"/>
      <c r="B12" s="356"/>
      <c r="E12" s="91" t="s">
        <v>188</v>
      </c>
      <c r="F12" s="361">
        <v>98739</v>
      </c>
      <c r="G12" s="362"/>
      <c r="I12" s="440" t="str">
        <f>"바이어 : " &amp; VLOOKUP($H$1,'독일 노르웨이 판매현황'!A4:AZ244,13,FALSE)</f>
        <v xml:space="preserve">바이어 : </v>
      </c>
      <c r="J12" s="441"/>
    </row>
    <row r="13" spans="1:14" ht="27.95" customHeight="1" thickTop="1" thickBot="1">
      <c r="A13" s="54"/>
      <c r="B13" s="55"/>
      <c r="E13" s="93" t="s">
        <v>189</v>
      </c>
      <c r="F13" s="361" t="s">
        <v>222</v>
      </c>
      <c r="G13" s="362"/>
      <c r="I13" s="442" t="str">
        <f>"판매금액 : €" &amp; TEXT(VLOOKUP($H$1,'독일 노르웨이 판매현황'!A1:BF244,21,FALSE),"#,##0")</f>
        <v>판매금액 : €,0</v>
      </c>
      <c r="J13" s="443"/>
    </row>
    <row r="14" spans="1:14" ht="27.95" customHeight="1" thickTop="1">
      <c r="A14" s="359"/>
      <c r="B14" s="360"/>
      <c r="E14" s="51" t="s">
        <v>148</v>
      </c>
      <c r="F14" s="95">
        <f>VLOOKUP($H$1,'독일 노르웨이 판매현황'!A2:BF241,26,FALSE)</f>
        <v>0</v>
      </c>
      <c r="G14" s="94">
        <f>VLOOKUP($H$1,'독일 노르웨이 판매현황'!A2:BF241,27,FALSE)</f>
        <v>0</v>
      </c>
      <c r="I14" s="444" t="s">
        <v>331</v>
      </c>
      <c r="J14" s="445"/>
    </row>
    <row r="15" spans="1:14" ht="27.95" customHeight="1">
      <c r="A15" s="359"/>
      <c r="B15" s="360"/>
      <c r="C15" s="56"/>
      <c r="D15" s="56"/>
      <c r="E15" s="57"/>
      <c r="G15" s="50"/>
      <c r="I15" s="444" t="s">
        <v>169</v>
      </c>
      <c r="J15" s="445"/>
    </row>
    <row r="16" spans="1:14" ht="23.25" customHeight="1">
      <c r="A16" s="352" t="s">
        <v>12</v>
      </c>
      <c r="B16" s="353"/>
      <c r="C16" s="353"/>
      <c r="D16" s="353"/>
      <c r="E16" s="353"/>
      <c r="F16" s="353"/>
      <c r="G16" s="354"/>
      <c r="J16" s="71"/>
    </row>
    <row r="17" spans="1:10" ht="21.75" customHeight="1">
      <c r="A17" s="369" t="s">
        <v>11</v>
      </c>
      <c r="B17" s="370"/>
      <c r="C17" s="367" t="s">
        <v>21</v>
      </c>
      <c r="D17" s="368"/>
      <c r="E17" s="4" t="s">
        <v>10</v>
      </c>
      <c r="F17" s="375" t="s">
        <v>24</v>
      </c>
      <c r="G17" s="376"/>
      <c r="I17" s="74"/>
      <c r="J17" s="2"/>
    </row>
    <row r="18" spans="1:10" ht="21.75" customHeight="1">
      <c r="A18" s="369" t="s">
        <v>9</v>
      </c>
      <c r="B18" s="370"/>
      <c r="C18" s="367" t="s">
        <v>22</v>
      </c>
      <c r="D18" s="368"/>
      <c r="E18" s="4" t="s">
        <v>8</v>
      </c>
      <c r="F18" s="377" t="s">
        <v>25</v>
      </c>
      <c r="G18" s="376"/>
      <c r="I18"/>
      <c r="J18" s="2"/>
    </row>
    <row r="19" spans="1:10" ht="21.75" customHeight="1" thickBot="1">
      <c r="A19" s="369" t="s">
        <v>7</v>
      </c>
      <c r="B19" s="370"/>
      <c r="C19" s="367" t="s">
        <v>23</v>
      </c>
      <c r="D19" s="368"/>
      <c r="E19" s="4" t="s">
        <v>6</v>
      </c>
      <c r="F19" s="371" t="s">
        <v>26</v>
      </c>
      <c r="G19" s="372"/>
      <c r="I19" s="2"/>
      <c r="J19" s="2"/>
    </row>
    <row r="20" spans="1:10" s="71" customFormat="1" ht="40.5" customHeight="1" thickBot="1">
      <c r="A20" s="426" t="str">
        <f>"Engine Displacemen : " &amp; TEXT(VLOOKUP($H$1,'독일 노르웨이 판매현황'!A2:BF241,7,FALSE),"#,##0")</f>
        <v>Engine Displacemen : ,0</v>
      </c>
      <c r="B20" s="427"/>
      <c r="C20" s="89" t="str">
        <f>"Engine Type : " &amp; TEXT(VLOOKUP($H$1,'독일 노르웨이 판매현황'!A2:BF241,8,FALSE),"#,##0")</f>
        <v>Engine Type : ,0</v>
      </c>
      <c r="D20" s="90" t="s">
        <v>546</v>
      </c>
      <c r="E20" s="428" t="str">
        <f>"Date of first registration : " &amp; TEXT(VLOOKUP($H$1,'독일 노르웨이 판매현황'!A2:BF241,10,FALSE),"#,##0")</f>
        <v>Date of first registration : ,0</v>
      </c>
      <c r="F20" s="429"/>
      <c r="G20" s="430"/>
      <c r="I20"/>
      <c r="J20" s="2"/>
    </row>
    <row r="21" spans="1:10" ht="25.5" customHeight="1">
      <c r="A21" s="68" t="s">
        <v>5</v>
      </c>
      <c r="B21" s="69" t="s">
        <v>4</v>
      </c>
      <c r="C21" s="69" t="s">
        <v>3</v>
      </c>
      <c r="D21" s="69" t="s">
        <v>153</v>
      </c>
      <c r="E21" s="69" t="s">
        <v>147</v>
      </c>
      <c r="F21" s="382" t="s">
        <v>2</v>
      </c>
      <c r="G21" s="383"/>
      <c r="I21" s="74"/>
      <c r="J21" s="2"/>
    </row>
    <row r="22" spans="1:10" s="2" customFormat="1" ht="20.100000000000001" customHeight="1">
      <c r="A22" s="59">
        <f>VLOOKUP($H$1,'독일 노르웨이 판매현황'!A2:BF241,4,FALSE)</f>
        <v>0</v>
      </c>
      <c r="B22" s="60">
        <f>VLOOKUP($H$1,'독일 노르웨이 판매현황'!A2:BF241,3,FALSE)</f>
        <v>0</v>
      </c>
      <c r="C22" s="3">
        <f>VLOOKUP($H$1,'독일 노르웨이 판매현황'!A2:BF241,5,FALSE)</f>
        <v>0</v>
      </c>
      <c r="D22" s="88">
        <f>VLOOKUP($H$1,'독일 노르웨이 판매현황'!A2:BF241,21,FALSE)</f>
        <v>0</v>
      </c>
      <c r="E22" s="88" t="s">
        <v>155</v>
      </c>
      <c r="F22" s="434">
        <f>SUM(D22:E22)</f>
        <v>0</v>
      </c>
      <c r="G22" s="435"/>
      <c r="I22"/>
    </row>
    <row r="23" spans="1:10" s="2" customFormat="1" ht="20.100000000000001" customHeight="1">
      <c r="A23" s="59"/>
      <c r="B23" s="3"/>
      <c r="C23" s="3"/>
      <c r="D23" s="46"/>
      <c r="E23" s="46"/>
      <c r="F23" s="346"/>
      <c r="G23" s="347"/>
    </row>
    <row r="24" spans="1:10" s="2" customFormat="1" ht="20.100000000000001" customHeight="1">
      <c r="A24" s="59"/>
      <c r="B24" s="3"/>
      <c r="C24" s="3"/>
      <c r="D24" s="45"/>
      <c r="E24" s="45"/>
      <c r="F24" s="346"/>
      <c r="G24" s="347"/>
      <c r="I24"/>
    </row>
    <row r="25" spans="1:10" s="2" customFormat="1" ht="20.100000000000001" customHeight="1">
      <c r="A25" s="59"/>
      <c r="B25" s="3"/>
      <c r="C25" s="3"/>
      <c r="D25" s="45"/>
      <c r="E25" s="45"/>
      <c r="F25" s="346"/>
      <c r="G25" s="347"/>
      <c r="I25"/>
    </row>
    <row r="26" spans="1:10" s="2" customFormat="1" ht="20.100000000000001" customHeight="1">
      <c r="A26" s="59"/>
      <c r="B26" s="3"/>
      <c r="C26" s="3"/>
      <c r="D26" s="46"/>
      <c r="E26" s="46"/>
      <c r="F26" s="346"/>
      <c r="G26" s="347"/>
      <c r="I26"/>
    </row>
    <row r="27" spans="1:10" s="2" customFormat="1" ht="20.100000000000001" customHeight="1">
      <c r="A27" s="59"/>
      <c r="B27" s="3"/>
      <c r="C27" s="3"/>
      <c r="D27" s="45"/>
      <c r="E27" s="45"/>
      <c r="F27" s="346"/>
      <c r="G27" s="347"/>
      <c r="I27"/>
    </row>
    <row r="28" spans="1:10" s="2" customFormat="1" ht="20.100000000000001" customHeight="1">
      <c r="A28" s="59"/>
      <c r="B28" s="3"/>
      <c r="C28" s="3"/>
      <c r="D28" s="45"/>
      <c r="E28" s="45"/>
      <c r="F28" s="346"/>
      <c r="G28" s="347"/>
      <c r="I28"/>
    </row>
    <row r="29" spans="1:10" s="2" customFormat="1" ht="20.100000000000001" customHeight="1">
      <c r="A29" s="59"/>
      <c r="B29" s="3"/>
      <c r="C29" s="3"/>
      <c r="D29" s="46"/>
      <c r="E29" s="46"/>
      <c r="F29" s="346"/>
      <c r="G29" s="347"/>
      <c r="I29"/>
    </row>
    <row r="30" spans="1:10" s="2" customFormat="1" ht="20.100000000000001" customHeight="1">
      <c r="A30" s="59"/>
      <c r="B30" s="3"/>
      <c r="C30" s="3"/>
      <c r="D30" s="45"/>
      <c r="E30" s="45"/>
      <c r="F30" s="346"/>
      <c r="G30" s="347"/>
      <c r="I30"/>
    </row>
    <row r="31" spans="1:10" s="2" customFormat="1" ht="20.100000000000001" customHeight="1">
      <c r="A31" s="59"/>
      <c r="B31" s="3"/>
      <c r="C31" s="3"/>
      <c r="D31" s="45"/>
      <c r="E31" s="45"/>
      <c r="F31" s="346"/>
      <c r="G31" s="347"/>
      <c r="I31"/>
    </row>
    <row r="32" spans="1:10" s="2" customFormat="1" ht="20.100000000000001" customHeight="1">
      <c r="A32" s="59"/>
      <c r="B32" s="3"/>
      <c r="C32" s="3"/>
      <c r="D32" s="46"/>
      <c r="E32" s="46"/>
      <c r="F32" s="346"/>
      <c r="G32" s="347"/>
      <c r="I32"/>
    </row>
    <row r="33" spans="1:9" s="2" customFormat="1" ht="20.100000000000001" customHeight="1">
      <c r="A33" s="59"/>
      <c r="B33" s="3"/>
      <c r="C33" s="3"/>
      <c r="D33" s="45"/>
      <c r="E33" s="45"/>
      <c r="F33" s="346"/>
      <c r="G33" s="347"/>
      <c r="I33"/>
    </row>
    <row r="34" spans="1:9" s="2" customFormat="1" ht="20.100000000000001" customHeight="1">
      <c r="A34" s="59"/>
      <c r="B34" s="3"/>
      <c r="C34" s="3"/>
      <c r="D34" s="45"/>
      <c r="E34" s="45"/>
      <c r="F34" s="346"/>
      <c r="G34" s="347"/>
      <c r="I34"/>
    </row>
    <row r="35" spans="1:9" ht="30" customHeight="1">
      <c r="A35" s="58"/>
      <c r="E35" s="69" t="s">
        <v>1</v>
      </c>
      <c r="F35" s="432">
        <f>SUM(F22:G34)</f>
        <v>0</v>
      </c>
      <c r="G35" s="433"/>
      <c r="I35"/>
    </row>
    <row r="36" spans="1:9" ht="30" customHeight="1">
      <c r="A36" s="58"/>
      <c r="C36" s="61"/>
      <c r="D36" s="61"/>
      <c r="E36" s="70" t="s">
        <v>154</v>
      </c>
      <c r="F36" s="384" t="s">
        <v>155</v>
      </c>
      <c r="G36" s="385"/>
      <c r="I36"/>
    </row>
    <row r="37" spans="1:9" ht="30" customHeight="1">
      <c r="A37" s="58"/>
      <c r="C37" s="62"/>
      <c r="D37" s="62"/>
      <c r="E37" s="70" t="s">
        <v>158</v>
      </c>
      <c r="F37" s="386" t="s">
        <v>155</v>
      </c>
      <c r="G37" s="387"/>
      <c r="I37"/>
    </row>
    <row r="38" spans="1:9" ht="30" customHeight="1">
      <c r="A38" s="63"/>
      <c r="E38" s="70"/>
      <c r="F38" s="384"/>
      <c r="G38" s="385"/>
    </row>
    <row r="39" spans="1:9" ht="30" customHeight="1">
      <c r="A39" s="58"/>
      <c r="E39" s="69" t="s">
        <v>0</v>
      </c>
      <c r="F39" s="424">
        <f>SUM(F35:G38)</f>
        <v>0</v>
      </c>
      <c r="G39" s="425"/>
    </row>
    <row r="40" spans="1:9">
      <c r="A40" s="58"/>
      <c r="F40" s="61"/>
      <c r="G40" s="64"/>
    </row>
    <row r="41" spans="1:9">
      <c r="A41" s="58"/>
      <c r="F41" s="61"/>
      <c r="G41" s="64"/>
    </row>
    <row r="42" spans="1:9">
      <c r="A42" s="58"/>
      <c r="F42" s="61"/>
      <c r="G42" s="64"/>
    </row>
    <row r="43" spans="1:9">
      <c r="A43" s="58"/>
      <c r="G43" s="50"/>
    </row>
    <row r="44" spans="1:9">
      <c r="A44" s="58"/>
      <c r="G44" s="50"/>
    </row>
    <row r="45" spans="1:9">
      <c r="A45" s="58"/>
      <c r="G45" s="50"/>
    </row>
    <row r="46" spans="1:9" ht="13.15" thickBot="1">
      <c r="A46" s="65"/>
      <c r="B46" s="66"/>
      <c r="C46" s="66"/>
      <c r="D46" s="66"/>
      <c r="E46" s="66"/>
      <c r="F46" s="66"/>
      <c r="G46" s="67"/>
    </row>
  </sheetData>
  <mergeCells count="65">
    <mergeCell ref="I1:J1"/>
    <mergeCell ref="I12:J12"/>
    <mergeCell ref="I13:J13"/>
    <mergeCell ref="I14:J14"/>
    <mergeCell ref="I15:J15"/>
    <mergeCell ref="I7:J7"/>
    <mergeCell ref="I8:J8"/>
    <mergeCell ref="I9:J9"/>
    <mergeCell ref="I11:J11"/>
    <mergeCell ref="I2:J2"/>
    <mergeCell ref="I3:J3"/>
    <mergeCell ref="I4:J4"/>
    <mergeCell ref="I5:J5"/>
    <mergeCell ref="I6:J6"/>
    <mergeCell ref="F13:G13"/>
    <mergeCell ref="A1:B1"/>
    <mergeCell ref="E1:G1"/>
    <mergeCell ref="A2:C3"/>
    <mergeCell ref="F3:G3"/>
    <mergeCell ref="F4:G4"/>
    <mergeCell ref="F5:G5"/>
    <mergeCell ref="F10:G10"/>
    <mergeCell ref="A11:B11"/>
    <mergeCell ref="F11:G11"/>
    <mergeCell ref="A12:B12"/>
    <mergeCell ref="F12:G12"/>
    <mergeCell ref="A14:B14"/>
    <mergeCell ref="A15:B15"/>
    <mergeCell ref="A16:G16"/>
    <mergeCell ref="A17:B17"/>
    <mergeCell ref="C17:D17"/>
    <mergeCell ref="F17:G17"/>
    <mergeCell ref="F26:G26"/>
    <mergeCell ref="A18:B18"/>
    <mergeCell ref="C18:D18"/>
    <mergeCell ref="F18:G18"/>
    <mergeCell ref="A19:B19"/>
    <mergeCell ref="C19:D19"/>
    <mergeCell ref="F19:G19"/>
    <mergeCell ref="F21:G21"/>
    <mergeCell ref="F22:G22"/>
    <mergeCell ref="F23:G23"/>
    <mergeCell ref="F24:G24"/>
    <mergeCell ref="F25:G25"/>
    <mergeCell ref="F28:G28"/>
    <mergeCell ref="F29:G29"/>
    <mergeCell ref="F30:G30"/>
    <mergeCell ref="F31:G31"/>
    <mergeCell ref="F32:G32"/>
    <mergeCell ref="F39:G39"/>
    <mergeCell ref="A20:B20"/>
    <mergeCell ref="E20:G20"/>
    <mergeCell ref="F6:G6"/>
    <mergeCell ref="A7:B7"/>
    <mergeCell ref="F7:G7"/>
    <mergeCell ref="A8:B8"/>
    <mergeCell ref="F8:G8"/>
    <mergeCell ref="F9:G9"/>
    <mergeCell ref="F33:G33"/>
    <mergeCell ref="F34:G34"/>
    <mergeCell ref="F35:G35"/>
    <mergeCell ref="F36:G36"/>
    <mergeCell ref="F37:G37"/>
    <mergeCell ref="F38:G38"/>
    <mergeCell ref="F27:G27"/>
  </mergeCells>
  <phoneticPr fontId="3" type="noConversion"/>
  <hyperlinks>
    <hyperlink ref="F9" r:id="rId1" display="tm@certus.gmbh" xr:uid="{B870F984-2AB8-460E-84FC-C0AC3DD6138B}"/>
  </hyperlinks>
  <printOptions horizontalCentered="1"/>
  <pageMargins left="0.31" right="0.18" top="0.66" bottom="0.45" header="0.61" footer="0.51181102362204722"/>
  <pageSetup paperSize="9" scale="67" orientation="portrait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82C3-D7CC-4E57-97BE-94E63FCABA45}">
  <sheetPr>
    <tabColor rgb="FFFF0000"/>
    <pageSetUpPr fitToPage="1"/>
  </sheetPr>
  <dimension ref="A1:J38"/>
  <sheetViews>
    <sheetView showGridLines="0" zoomScale="85" zoomScaleNormal="85" zoomScaleSheetLayoutView="100" workbookViewId="0">
      <selection activeCell="H2" sqref="H2"/>
    </sheetView>
  </sheetViews>
  <sheetFormatPr defaultColWidth="9" defaultRowHeight="13.5"/>
  <cols>
    <col min="1" max="1" width="4.25" style="130" customWidth="1"/>
    <col min="2" max="2" width="36.75" style="130" customWidth="1"/>
    <col min="3" max="3" width="35.375" style="130" customWidth="1"/>
    <col min="4" max="4" width="37.875" style="130" customWidth="1"/>
    <col min="5" max="5" width="12.75" style="130" customWidth="1"/>
    <col min="6" max="6" width="11.375" style="130" bestFit="1" customWidth="1"/>
    <col min="7" max="7" width="23.75" style="130" customWidth="1"/>
    <col min="8" max="8" width="16" style="1" customWidth="1"/>
    <col min="9" max="16384" width="9" style="1"/>
  </cols>
  <sheetData>
    <row r="1" spans="1:10" ht="67.900000000000006">
      <c r="A1" s="454" t="s">
        <v>302</v>
      </c>
      <c r="B1" s="455"/>
      <c r="C1" s="455"/>
      <c r="D1" s="455"/>
      <c r="E1" s="455"/>
      <c r="F1" s="455"/>
      <c r="G1" s="456"/>
      <c r="H1" s="73">
        <v>1</v>
      </c>
    </row>
    <row r="2" spans="1:10" ht="27.95" customHeight="1">
      <c r="A2" s="463" t="s">
        <v>303</v>
      </c>
      <c r="B2" s="464"/>
      <c r="C2" s="465"/>
      <c r="D2" s="459" t="e">
        <f>VLOOKUP($H$1,'유로 판매현황'!A2:BB238,8,FALSE)</f>
        <v>#N/A</v>
      </c>
      <c r="E2" s="460"/>
      <c r="F2" s="461"/>
      <c r="G2" s="462"/>
    </row>
    <row r="3" spans="1:10" ht="27.95" customHeight="1">
      <c r="A3" s="466"/>
      <c r="B3" s="467"/>
      <c r="C3" s="468"/>
      <c r="D3" s="459" t="e">
        <f>VLOOKUP($H$1,'유로 판매현황'!A3:BB239,4,FALSE)</f>
        <v>#N/A</v>
      </c>
      <c r="E3" s="460"/>
      <c r="F3" s="461"/>
      <c r="G3" s="462"/>
    </row>
    <row r="4" spans="1:10" ht="27.75" customHeight="1">
      <c r="A4" s="466"/>
      <c r="B4" s="467"/>
      <c r="C4" s="468"/>
      <c r="D4" s="459" t="e">
        <f>VLOOKUP($H$1,'유로 판매현황'!A4:BB240,4,FALSE)</f>
        <v>#N/A</v>
      </c>
      <c r="E4" s="460"/>
      <c r="F4" s="461"/>
      <c r="G4" s="462"/>
    </row>
    <row r="5" spans="1:10" ht="27.95" customHeight="1">
      <c r="A5" s="469"/>
      <c r="B5" s="470"/>
      <c r="C5" s="471"/>
      <c r="D5" s="459" t="e">
        <f>VLOOKUP($H$1,'유로 판매현황'!A5:BB241,4,FALSE)</f>
        <v>#N/A</v>
      </c>
      <c r="E5" s="460"/>
      <c r="F5" s="461"/>
      <c r="G5" s="462"/>
    </row>
    <row r="6" spans="1:10" ht="27.95" customHeight="1">
      <c r="A6" s="457" t="s">
        <v>304</v>
      </c>
      <c r="B6" s="458"/>
      <c r="C6" s="458"/>
      <c r="D6" s="459" t="s">
        <v>305</v>
      </c>
      <c r="E6" s="460"/>
      <c r="F6" s="461"/>
      <c r="G6" s="462"/>
    </row>
    <row r="7" spans="1:10" ht="27.95" customHeight="1">
      <c r="A7" s="457" t="s">
        <v>306</v>
      </c>
      <c r="B7" s="458"/>
      <c r="C7" s="458"/>
      <c r="D7" s="459" t="s">
        <v>307</v>
      </c>
      <c r="E7" s="460"/>
      <c r="F7" s="461"/>
      <c r="G7" s="462"/>
    </row>
    <row r="8" spans="1:10" ht="27.75" customHeight="1">
      <c r="A8" s="457" t="s">
        <v>308</v>
      </c>
      <c r="B8" s="458"/>
      <c r="C8" s="458"/>
      <c r="D8" s="459" t="s">
        <v>155</v>
      </c>
      <c r="E8" s="460"/>
      <c r="F8" s="461"/>
      <c r="G8" s="462"/>
    </row>
    <row r="9" spans="1:10" ht="27.95" customHeight="1">
      <c r="A9" s="457" t="s">
        <v>309</v>
      </c>
      <c r="B9" s="458"/>
      <c r="C9" s="458"/>
      <c r="D9" s="459" t="s">
        <v>310</v>
      </c>
      <c r="E9" s="460"/>
      <c r="F9" s="461"/>
      <c r="G9" s="462"/>
    </row>
    <row r="10" spans="1:10" ht="57.75" customHeight="1">
      <c r="A10" s="457" t="s">
        <v>311</v>
      </c>
      <c r="B10" s="458"/>
      <c r="C10" s="458"/>
      <c r="D10" s="459" t="s">
        <v>310</v>
      </c>
      <c r="E10" s="460"/>
      <c r="F10" s="461"/>
      <c r="G10" s="462"/>
      <c r="J10" s="72"/>
    </row>
    <row r="11" spans="1:10" ht="27.95" customHeight="1">
      <c r="A11" s="457" t="s">
        <v>312</v>
      </c>
      <c r="B11" s="458"/>
      <c r="C11" s="458"/>
      <c r="D11" s="459" t="s">
        <v>310</v>
      </c>
      <c r="E11" s="460"/>
      <c r="F11" s="461"/>
      <c r="G11" s="462"/>
    </row>
    <row r="12" spans="1:10" ht="27.95" customHeight="1">
      <c r="A12" s="106" t="s">
        <v>313</v>
      </c>
      <c r="B12" s="107" t="s">
        <v>314</v>
      </c>
      <c r="C12" s="108" t="s">
        <v>315</v>
      </c>
      <c r="D12" s="109" t="s">
        <v>316</v>
      </c>
      <c r="E12" s="110" t="s">
        <v>317</v>
      </c>
      <c r="F12" s="107" t="s">
        <v>318</v>
      </c>
      <c r="G12" s="107" t="s">
        <v>319</v>
      </c>
    </row>
    <row r="13" spans="1:10" ht="84.95" customHeight="1">
      <c r="A13" s="111">
        <v>1</v>
      </c>
      <c r="B13" s="112" t="s">
        <v>320</v>
      </c>
      <c r="C13" s="33" t="e">
        <f>VLOOKUP($H$1,'유로 판매현황'!A2:BB238,13,FALSE)</f>
        <v>#N/A</v>
      </c>
      <c r="D13" s="33" t="s">
        <v>46</v>
      </c>
      <c r="E13" s="113">
        <v>23345</v>
      </c>
      <c r="F13" s="114">
        <v>1155</v>
      </c>
      <c r="G13" s="115" t="s">
        <v>321</v>
      </c>
    </row>
    <row r="14" spans="1:10" ht="84.95" customHeight="1">
      <c r="A14" s="111">
        <v>2</v>
      </c>
      <c r="B14" s="112" t="s">
        <v>322</v>
      </c>
      <c r="C14" s="33" t="s">
        <v>44</v>
      </c>
      <c r="D14" s="33" t="s">
        <v>43</v>
      </c>
      <c r="E14" s="113">
        <v>7408</v>
      </c>
      <c r="F14" s="114">
        <v>1242</v>
      </c>
      <c r="G14" s="115" t="s">
        <v>321</v>
      </c>
    </row>
    <row r="15" spans="1:10" ht="84.95" customHeight="1">
      <c r="A15" s="111">
        <v>3</v>
      </c>
      <c r="B15" s="112"/>
      <c r="C15" s="116"/>
      <c r="D15" s="33"/>
      <c r="E15" s="117"/>
      <c r="F15" s="118"/>
      <c r="G15" s="119" t="s">
        <v>321</v>
      </c>
    </row>
    <row r="16" spans="1:10" ht="84.95" customHeight="1">
      <c r="A16" s="111">
        <v>4</v>
      </c>
      <c r="B16" s="120"/>
      <c r="C16" s="116"/>
      <c r="D16" s="33"/>
      <c r="E16" s="117"/>
      <c r="F16" s="118"/>
      <c r="G16" s="119" t="s">
        <v>321</v>
      </c>
    </row>
    <row r="17" spans="1:7" ht="84.95" customHeight="1">
      <c r="A17" s="111">
        <v>5</v>
      </c>
      <c r="B17" s="120"/>
      <c r="C17" s="116"/>
      <c r="D17" s="33"/>
      <c r="E17" s="117"/>
      <c r="F17" s="118"/>
      <c r="G17" s="119" t="s">
        <v>321</v>
      </c>
    </row>
    <row r="18" spans="1:7" ht="84.95" customHeight="1">
      <c r="A18" s="111">
        <v>6</v>
      </c>
      <c r="B18" s="120"/>
      <c r="C18" s="116"/>
      <c r="D18" s="33"/>
      <c r="E18" s="121"/>
      <c r="F18" s="117"/>
      <c r="G18" s="119"/>
    </row>
    <row r="19" spans="1:7" ht="84.95" customHeight="1">
      <c r="A19" s="111">
        <v>7</v>
      </c>
      <c r="B19" s="120"/>
      <c r="C19" s="116"/>
      <c r="D19" s="33"/>
      <c r="E19" s="121"/>
      <c r="F19" s="117"/>
      <c r="G19" s="119"/>
    </row>
    <row r="20" spans="1:7" ht="84.95" customHeight="1">
      <c r="A20" s="111">
        <v>8</v>
      </c>
      <c r="B20" s="120"/>
      <c r="C20" s="122"/>
      <c r="D20" s="33"/>
      <c r="E20" s="121"/>
      <c r="F20" s="117"/>
      <c r="G20" s="119"/>
    </row>
    <row r="21" spans="1:7" s="2" customFormat="1" ht="84.95" customHeight="1">
      <c r="A21" s="111">
        <v>9</v>
      </c>
      <c r="B21" s="120"/>
      <c r="C21" s="116"/>
      <c r="D21" s="33"/>
      <c r="E21" s="121"/>
      <c r="F21" s="117"/>
      <c r="G21" s="119"/>
    </row>
    <row r="22" spans="1:7" s="2" customFormat="1" ht="84.95" customHeight="1">
      <c r="A22" s="111">
        <v>10</v>
      </c>
      <c r="B22" s="120"/>
      <c r="C22" s="116"/>
      <c r="D22" s="33"/>
      <c r="E22" s="121"/>
      <c r="F22" s="117"/>
      <c r="G22" s="119"/>
    </row>
    <row r="23" spans="1:7" s="2" customFormat="1" ht="84.95" customHeight="1">
      <c r="A23" s="111">
        <v>11</v>
      </c>
      <c r="B23" s="111"/>
      <c r="C23" s="123"/>
      <c r="D23" s="124"/>
      <c r="E23" s="125"/>
      <c r="F23" s="126"/>
      <c r="G23" s="115"/>
    </row>
    <row r="24" spans="1:7" s="2" customFormat="1" ht="84.95" customHeight="1">
      <c r="A24" s="111">
        <v>12</v>
      </c>
      <c r="B24" s="111"/>
      <c r="C24" s="123"/>
      <c r="D24" s="124"/>
      <c r="E24" s="125"/>
      <c r="F24" s="126"/>
      <c r="G24" s="115"/>
    </row>
    <row r="25" spans="1:7" s="2" customFormat="1" ht="84.95" customHeight="1">
      <c r="A25" s="111">
        <v>13</v>
      </c>
      <c r="B25" s="111"/>
      <c r="C25" s="123"/>
      <c r="D25" s="124"/>
      <c r="E25" s="125"/>
      <c r="F25" s="126"/>
      <c r="G25" s="115"/>
    </row>
    <row r="26" spans="1:7" s="2" customFormat="1" ht="20.100000000000001" customHeight="1">
      <c r="A26" s="472" t="s">
        <v>323</v>
      </c>
      <c r="B26" s="473"/>
      <c r="C26" s="473"/>
      <c r="D26" s="474"/>
      <c r="E26" s="127">
        <f>SUM(E13:E25)</f>
        <v>30753</v>
      </c>
      <c r="F26" s="127">
        <f>SUM(F13:F25)</f>
        <v>2397</v>
      </c>
      <c r="G26" s="128" t="s">
        <v>324</v>
      </c>
    </row>
    <row r="27" spans="1:7" s="2" customFormat="1" ht="20.100000000000001" customHeight="1">
      <c r="A27" s="472" t="s">
        <v>325</v>
      </c>
      <c r="B27" s="473"/>
      <c r="C27" s="473" t="s">
        <v>326</v>
      </c>
      <c r="D27" s="474"/>
      <c r="E27" s="475">
        <f>SUM(E26:F26)</f>
        <v>33150</v>
      </c>
      <c r="F27" s="475"/>
      <c r="G27" s="129"/>
    </row>
    <row r="28" spans="1:7" s="2" customFormat="1" ht="20.100000000000001" customHeight="1">
      <c r="A28" s="130"/>
      <c r="B28" s="130"/>
      <c r="C28" s="130"/>
      <c r="D28" s="130"/>
      <c r="E28" s="130"/>
      <c r="F28" s="130"/>
      <c r="G28" s="130"/>
    </row>
    <row r="29" spans="1:7" s="2" customFormat="1" ht="20.100000000000001" customHeight="1">
      <c r="A29" s="130"/>
      <c r="B29" s="130"/>
      <c r="C29" s="130"/>
      <c r="D29" s="130"/>
      <c r="E29" s="130"/>
      <c r="F29" s="130"/>
      <c r="G29" s="130"/>
    </row>
    <row r="30" spans="1:7" s="2" customFormat="1" ht="20.100000000000001" customHeight="1">
      <c r="A30" s="130"/>
      <c r="B30" s="130"/>
      <c r="C30" s="130"/>
      <c r="D30" s="130"/>
      <c r="E30" s="130"/>
      <c r="F30" s="130"/>
      <c r="G30" s="130"/>
    </row>
    <row r="31" spans="1:7" s="2" customFormat="1" ht="20.100000000000001" customHeight="1">
      <c r="A31" s="130"/>
      <c r="B31" s="130"/>
      <c r="C31" s="130"/>
      <c r="D31" s="130"/>
      <c r="E31" s="130"/>
      <c r="F31" s="130"/>
      <c r="G31" s="130"/>
    </row>
    <row r="32" spans="1:7" s="2" customFormat="1" ht="20.100000000000001" customHeight="1">
      <c r="A32" s="130"/>
      <c r="B32" s="130"/>
      <c r="C32" s="130"/>
      <c r="D32" s="130"/>
      <c r="E32" s="130"/>
      <c r="F32" s="130"/>
      <c r="G32" s="130"/>
    </row>
    <row r="33" spans="1:7" s="2" customFormat="1" ht="20.100000000000001" customHeight="1">
      <c r="A33" s="130"/>
      <c r="B33" s="130"/>
      <c r="C33" s="130"/>
      <c r="D33" s="130"/>
      <c r="E33" s="130"/>
      <c r="F33" s="130"/>
      <c r="G33" s="130"/>
    </row>
    <row r="34" spans="1:7" ht="30" customHeight="1"/>
    <row r="35" spans="1:7" ht="30" customHeight="1"/>
    <row r="36" spans="1:7" ht="30" customHeight="1"/>
    <row r="37" spans="1:7" ht="30" customHeight="1"/>
    <row r="38" spans="1:7" ht="30" customHeight="1"/>
  </sheetData>
  <mergeCells count="31">
    <mergeCell ref="A26:D26"/>
    <mergeCell ref="A27:D27"/>
    <mergeCell ref="E27:F27"/>
    <mergeCell ref="D2:E2"/>
    <mergeCell ref="F2:G2"/>
    <mergeCell ref="D3:E3"/>
    <mergeCell ref="F3:G3"/>
    <mergeCell ref="A9:C9"/>
    <mergeCell ref="D9:E9"/>
    <mergeCell ref="A10:C10"/>
    <mergeCell ref="D10:E10"/>
    <mergeCell ref="A11:C11"/>
    <mergeCell ref="D11:E11"/>
    <mergeCell ref="D4:E4"/>
    <mergeCell ref="F4:G4"/>
    <mergeCell ref="D5:E5"/>
    <mergeCell ref="A1:G1"/>
    <mergeCell ref="A6:C6"/>
    <mergeCell ref="D6:E6"/>
    <mergeCell ref="F10:G10"/>
    <mergeCell ref="F11:G11"/>
    <mergeCell ref="F6:G6"/>
    <mergeCell ref="F7:G7"/>
    <mergeCell ref="F8:G8"/>
    <mergeCell ref="F9:G9"/>
    <mergeCell ref="A7:C7"/>
    <mergeCell ref="D7:E7"/>
    <mergeCell ref="A8:C8"/>
    <mergeCell ref="D8:E8"/>
    <mergeCell ref="F5:G5"/>
    <mergeCell ref="A2:C5"/>
  </mergeCells>
  <phoneticPr fontId="3" type="noConversion"/>
  <dataValidations count="1">
    <dataValidation type="list" allowBlank="1" showInputMessage="1" showErrorMessage="1" sqref="C27" xr:uid="{8C3D2792-A176-4716-861B-1D7FD366C95D}">
      <formula1>"FOB,CFR"</formula1>
    </dataValidation>
  </dataValidations>
  <printOptions horizontalCentered="1"/>
  <pageMargins left="0.31" right="0.18" top="0.66" bottom="0.45" header="0.61" footer="0.51181102362204722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달러 판매현황</vt:lpstr>
      <vt:lpstr>달러 인보이스+판매보고AUTO</vt:lpstr>
      <vt:lpstr>유로 판매현황</vt:lpstr>
      <vt:lpstr>유로 인보이스+판매보고AUTO</vt:lpstr>
      <vt:lpstr>독일 노르웨이 판매현황</vt:lpstr>
      <vt:lpstr>독일 노르웨이 인보이스 + 판매보고AUTO</vt:lpstr>
      <vt:lpstr>유로 선적지시서</vt:lpstr>
      <vt:lpstr>'달러 인보이스+판매보고AUTO'!Print_Area</vt:lpstr>
      <vt:lpstr>'독일 노르웨이 인보이스 + 판매보고AUTO'!Print_Area</vt:lpstr>
      <vt:lpstr>'유로 선적지시서'!Print_Area</vt:lpstr>
      <vt:lpstr>'유로 인보이스+판매보고AUTO'!Print_Area</vt:lpstr>
      <vt:lpstr>'유로 판매현황'!Print_Area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용빈 이</cp:lastModifiedBy>
  <cp:lastPrinted>2026-06-18T04:45:21Z</cp:lastPrinted>
  <dcterms:created xsi:type="dcterms:W3CDTF">2014-11-30T17:47:10Z</dcterms:created>
  <dcterms:modified xsi:type="dcterms:W3CDTF">2026-06-18T05:37:27Z</dcterms:modified>
</cp:coreProperties>
</file>