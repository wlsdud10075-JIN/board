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F1B7A93-12B6-4F8D-A85F-AAD6BF8CD202}" xr6:coauthVersionLast="47" xr6:coauthVersionMax="47" xr10:uidLastSave="{00000000-0000-0000-0000-000000000000}"/>
  <bookViews>
    <workbookView xWindow="-108" yWindow="-108" windowWidth="23256" windowHeight="12456" xr2:uid="{69CFE908-559F-464F-AB5D-1BD118E6B5CC}"/>
  </bookViews>
  <sheets>
    <sheet name="ssancar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AA">[1]입출고!#REF!</definedName>
    <definedName name="GG">#REF!</definedName>
    <definedName name="ID">[2]입출고!#REF!</definedName>
    <definedName name="_xlnm.Print_Area" localSheetId="0">ssancar!$A$1:$F$41</definedName>
    <definedName name="YY">'[3]1'!#REF!</definedName>
    <definedName name="계산서">[2]입출고!#REF!</definedName>
    <definedName name="계약금">[2]입출고!#REF!</definedName>
    <definedName name="광택">[2]입출고!#REF!</definedName>
    <definedName name="구분입력">[4]수출현황_종합!$G$2</definedName>
    <definedName name="구분입력2">[4]수출현황_종합!$G$3</definedName>
    <definedName name="기준날짜">[4]수출현황_종합!$J$3</definedName>
    <definedName name="기준월">[4]수출현황_종합!$C$3</definedName>
    <definedName name="기타">[2]입출고!#REF!</definedName>
    <definedName name="ㄴㅇㄹ">'[5]1'!#REF!</definedName>
    <definedName name="년도">[4]수출현황_종합!$B$3</definedName>
    <definedName name="등급">[2]입출고!#REF!</definedName>
    <definedName name="말소날짜">[2]입출고!#REF!</definedName>
    <definedName name="매입가">[2]입출고!#REF!</definedName>
    <definedName name="매입날짜">[2]입출고!#REF!</definedName>
    <definedName name="메다">[2]입출고!#REF!</definedName>
    <definedName name="미수">[2]입출고!#REF!</definedName>
    <definedName name="바이어연락처">[2]입출고!#REF!</definedName>
    <definedName name="변속기">[2]입출고!#REF!</definedName>
    <definedName name="ㅅ">'[5]1'!#REF!</definedName>
    <definedName name="사업자">[2]입출고!#REF!</definedName>
    <definedName name="사진">[2]입출고!#REF!</definedName>
    <definedName name="색상">[2]입출고!#REF!</definedName>
    <definedName name="선적계획">[2]입출고!#REF!</definedName>
    <definedName name="수출종합" hidden="1">[4]수출현황_종합!$B$12:$AL$15</definedName>
    <definedName name="쉬핑오더">#REF!</definedName>
    <definedName name="시스템">[2]입출고!#REF!</definedName>
    <definedName name="시트">[2]입출고!#REF!</definedName>
    <definedName name="실매입가">[2]입출고!#REF!</definedName>
    <definedName name="업체">#REF!</definedName>
    <definedName name="연식">[2]입출고!#REF!</definedName>
    <definedName name="운임">[2]입출고!#REF!</definedName>
    <definedName name="월">[4]수출현황_종합!$J$4</definedName>
    <definedName name="유리">[2]입출고!#REF!</definedName>
    <definedName name="잔금">[2]입출고!#REF!</definedName>
    <definedName name="재고">[2]입출고!#REF!</definedName>
    <definedName name="정비수리">[2]입출고!#REF!</definedName>
    <definedName name="조건범위">#REF!</definedName>
    <definedName name="주민번호">[2]입출고!#REF!</definedName>
    <definedName name="주소">[2]입출고!#REF!</definedName>
    <definedName name="주행거리">[2]입출고!#REF!</definedName>
    <definedName name="ㅊ">'[5]1'!#REF!</definedName>
    <definedName name="차대번호">[2]입출고!#REF!</definedName>
    <definedName name="차량명">[2]입출고!#REF!</definedName>
    <definedName name="차량번호">[2]입출고!#REF!</definedName>
    <definedName name="차명">[4]CarName_INPUT입력!$A$4:$A$423</definedName>
    <definedName name="차주">[2]입출고!#REF!</definedName>
    <definedName name="차주연락처">[2]입출고!#REF!</definedName>
    <definedName name="출력범위">#REF!</definedName>
    <definedName name="판금도색">[2]입출고!#REF!</definedName>
    <definedName name="판매가">[2]입출고!#REF!</definedName>
    <definedName name="판매바이어">[2]입출고!#REF!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5" i="1"/>
  <c r="E6" i="1"/>
  <c r="E7" i="1"/>
  <c r="E8" i="1"/>
  <c r="E9" i="1"/>
  <c r="E10" i="1"/>
  <c r="A18" i="1"/>
  <c r="B18" i="1"/>
  <c r="C18" i="1"/>
  <c r="D18" i="1"/>
  <c r="E4" i="1" s="1"/>
  <c r="F18" i="1"/>
  <c r="E18" i="1" s="1"/>
  <c r="E27" i="1" s="1"/>
  <c r="E31" i="1" l="1"/>
  <c r="E34" i="1"/>
</calcChain>
</file>

<file path=xl/sharedStrings.xml><?xml version="1.0" encoding="utf-8"?>
<sst xmlns="http://schemas.openxmlformats.org/spreadsheetml/2006/main" count="58" uniqueCount="45">
  <si>
    <t xml:space="preserve"> </t>
    <phoneticPr fontId="2" type="noConversion"/>
  </si>
  <si>
    <t xml:space="preserve">Buyer have to pay all money after contracting in One month. If do not  keep this rule, seller will take deposit money  </t>
    <phoneticPr fontId="2" type="noConversion"/>
  </si>
  <si>
    <t>## Important Notice ##</t>
    <phoneticPr fontId="2" type="noConversion"/>
  </si>
  <si>
    <t>*  PORT OF LORDING :ANY KOREAN  PORT</t>
    <phoneticPr fontId="2" type="noConversion"/>
  </si>
  <si>
    <t>*  TIME OF CONTRACT EFFECT : WITHIN 1 MONTH AFTER CONTRACTING DATE</t>
    <phoneticPr fontId="2" type="noConversion"/>
  </si>
  <si>
    <t>*  SHIPMENT : TRANS SHIPMENT ALLOWED : PARTIAL SHIPMENT ALLOWED</t>
    <phoneticPr fontId="2" type="noConversion"/>
  </si>
  <si>
    <t>WITH THE TERMS AND CONDITIONS STATED HEREIN AND ON THE BACK</t>
    <phoneticPr fontId="2" type="noConversion"/>
  </si>
  <si>
    <t xml:space="preserve">COVERING UNDERMENTIONED GOODS IN ACCORDANCE </t>
    <phoneticPr fontId="2" type="noConversion"/>
  </si>
  <si>
    <t>WE THE SELLER AND THE BUYERS, CONFIRM HAVING CONCLUDED THIS CONTRACT</t>
    <phoneticPr fontId="2" type="noConversion"/>
  </si>
  <si>
    <t xml:space="preserve"> BALANCE MONEY</t>
    <phoneticPr fontId="6" type="noConversion"/>
  </si>
  <si>
    <t>TOTAL</t>
    <phoneticPr fontId="6" type="noConversion"/>
  </si>
  <si>
    <t xml:space="preserve"> DEPOSIT</t>
    <phoneticPr fontId="2" type="noConversion"/>
  </si>
  <si>
    <t>SUB TOTAL</t>
    <phoneticPr fontId="6" type="noConversion"/>
  </si>
  <si>
    <t>TAX D/C</t>
    <phoneticPr fontId="2" type="noConversion"/>
  </si>
  <si>
    <t>AUTO LODING</t>
    <phoneticPr fontId="2" type="noConversion"/>
  </si>
  <si>
    <t>COMMISSION</t>
    <phoneticPr fontId="2" type="noConversion"/>
  </si>
  <si>
    <t>Shipping cost</t>
    <phoneticPr fontId="2" type="noConversion"/>
  </si>
  <si>
    <t>FOB  PRICE</t>
    <phoneticPr fontId="2" type="noConversion"/>
  </si>
  <si>
    <t>Chassis No.</t>
  </si>
  <si>
    <t>Model</t>
    <phoneticPr fontId="2" type="noConversion"/>
  </si>
  <si>
    <t>Brand</t>
  </si>
  <si>
    <t>Code</t>
  </si>
  <si>
    <t>163 Sangideahak-ro, Siheung-si,
Gyeonggi-do,Korea</t>
    <phoneticPr fontId="2" type="noConversion"/>
  </si>
  <si>
    <t>Beneficiary Adress</t>
  </si>
  <si>
    <t>180-008-400167</t>
    <phoneticPr fontId="2" type="noConversion"/>
  </si>
  <si>
    <t>Bank Account Number</t>
  </si>
  <si>
    <t>20,Sejong-Daero9-Gil,Jung-Gu 
Seoul South Korea</t>
    <phoneticPr fontId="2" type="noConversion"/>
  </si>
  <si>
    <t>Bank Adress</t>
  </si>
  <si>
    <t>SHBKKRSE</t>
    <phoneticPr fontId="2" type="noConversion"/>
  </si>
  <si>
    <t>Swift Cose</t>
  </si>
  <si>
    <t>SHINHAN BANK</t>
    <phoneticPr fontId="2" type="noConversion"/>
  </si>
  <si>
    <t>Bank Name</t>
  </si>
  <si>
    <t>SSANCAR LTD.</t>
    <phoneticPr fontId="2" type="noConversion"/>
  </si>
  <si>
    <t>Beneficiary</t>
  </si>
  <si>
    <t>BANK ACCOUNT INFORMATION</t>
  </si>
  <si>
    <t>Dollar Rate</t>
    <phoneticPr fontId="2" type="noConversion"/>
  </si>
  <si>
    <t>Euro Rate</t>
    <phoneticPr fontId="2" type="noConversion"/>
  </si>
  <si>
    <t>Phone</t>
  </si>
  <si>
    <t>Address</t>
    <phoneticPr fontId="2" type="noConversion"/>
  </si>
  <si>
    <t>ID</t>
  </si>
  <si>
    <t>Name</t>
  </si>
  <si>
    <t>Invoice No.</t>
  </si>
  <si>
    <t>Date</t>
  </si>
  <si>
    <t>Ssancar LTD. Cho Tae Shin. 499, Aam-dero, Yeonsu-gu, Incheon, Korea  Phone: +82-505-366-9977 Email: ssancar9977@gmail.com</t>
  </si>
  <si>
    <t>COMMERCIAL INVOICE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</si>
</sst>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[$€-2]\ * #,##0_-;\-[$€-2]\ * #,##0_-;_-[$€-2]\ * &quot;-&quot;??_-;_-@_-"/>
    <numFmt numFmtId="177" formatCode="&quot;$&quot;#,##0.00"/>
    <numFmt numFmtId="178" formatCode="_-[$$-409]* #,##0_ ;_-[$$-409]* \-#,##0\ ;_-[$$-409]* &quot;-&quot;??_ ;_-@_ "/>
    <numFmt numFmtId="179" formatCode="yyyy/mm/dd;@"/>
  </numFmts>
  <fonts count="20" x14ac:knownFonts="1"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sz val="8"/>
      <name val="맑은 고딕"/>
      <family val="2"/>
      <charset val="129"/>
      <scheme val="minor"/>
    </font>
    <font>
      <b/>
      <sz val="12"/>
      <color rgb="FFFF0000"/>
      <name val="Arial"/>
      <family val="2"/>
    </font>
    <font>
      <b/>
      <sz val="11"/>
      <name val="Tahoma"/>
      <family val="2"/>
    </font>
    <font>
      <b/>
      <sz val="11"/>
      <color rgb="FF000000"/>
      <name val="Tahoma"/>
      <family val="2"/>
    </font>
    <font>
      <sz val="8"/>
      <name val="돋움"/>
      <family val="3"/>
      <charset val="129"/>
    </font>
    <font>
      <sz val="10"/>
      <color rgb="FF000000"/>
      <name val="Tahoma"/>
      <family val="2"/>
    </font>
    <font>
      <b/>
      <sz val="10"/>
      <color rgb="FF000000"/>
      <name val="Arial"/>
      <family val="2"/>
    </font>
    <font>
      <b/>
      <sz val="10"/>
      <color rgb="FF000000"/>
      <name val="Tahoma"/>
      <family val="2"/>
    </font>
    <font>
      <sz val="10"/>
      <color rgb="FFFF0000"/>
      <name val="Tahoma"/>
      <family val="2"/>
    </font>
    <font>
      <sz val="10"/>
      <color theme="1"/>
      <name val="맑은 고딕"/>
      <family val="2"/>
      <charset val="129"/>
      <scheme val="minor"/>
    </font>
    <font>
      <sz val="9"/>
      <color rgb="FF000000"/>
      <name val="Arial"/>
      <family val="2"/>
    </font>
    <font>
      <b/>
      <sz val="8"/>
      <color rgb="FF000000"/>
      <name val="Tahoma"/>
      <family val="2"/>
    </font>
    <font>
      <b/>
      <sz val="9"/>
      <color rgb="FF000000"/>
      <name val="Tahoma"/>
      <family val="2"/>
    </font>
    <font>
      <sz val="16"/>
      <color rgb="FF000000"/>
      <name val="Impact"/>
      <family val="2"/>
    </font>
    <font>
      <sz val="9"/>
      <color rgb="FF000000"/>
      <name val="Tahoma"/>
      <family val="2"/>
    </font>
    <font>
      <b/>
      <i/>
      <sz val="8"/>
      <color theme="0"/>
      <name val="Arial"/>
      <family val="2"/>
    </font>
    <font>
      <sz val="48"/>
      <color theme="1"/>
      <name val="맑은 고딕"/>
      <family val="2"/>
      <charset val="129"/>
      <scheme val="minor"/>
    </font>
    <font>
      <u/>
      <sz val="26"/>
      <color rgb="FFFFFFFF"/>
      <name val="Arial Black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F0EBDC"/>
        <bgColor rgb="FFF0EBDC"/>
      </patternFill>
    </fill>
    <fill>
      <patternFill patternType="solid">
        <fgColor theme="7"/>
        <bgColor rgb="FF990000"/>
      </patternFill>
    </fill>
    <fill>
      <patternFill patternType="solid">
        <fgColor rgb="FF990000"/>
        <bgColor rgb="FF990000"/>
      </patternFill>
    </fill>
  </fills>
  <borders count="4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thin">
        <color rgb="FFAEAAAA"/>
      </left>
      <right/>
      <top style="medium">
        <color indexed="64"/>
      </top>
      <bottom style="medium">
        <color theme="1"/>
      </bottom>
      <diagonal/>
    </border>
    <border>
      <left/>
      <right style="thin">
        <color rgb="FFAEAAAA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medium">
        <color indexed="64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/>
      <right style="medium">
        <color indexed="64"/>
      </right>
      <top style="thin">
        <color rgb="FFAEAAAA"/>
      </top>
      <bottom style="thin">
        <color rgb="FFAEAAAA"/>
      </bottom>
      <diagonal/>
    </border>
    <border>
      <left style="thin">
        <color rgb="FFAEAAAA"/>
      </left>
      <right/>
      <top style="thin">
        <color rgb="FFAEAAAA"/>
      </top>
      <bottom style="thin">
        <color rgb="FFAEAAAA"/>
      </bottom>
      <diagonal/>
    </border>
    <border>
      <left/>
      <right style="thin">
        <color rgb="FFAEAAAA"/>
      </right>
      <top style="thin">
        <color rgb="FFAEAAAA"/>
      </top>
      <bottom style="thin">
        <color rgb="FFAEAAAA"/>
      </bottom>
      <diagonal/>
    </border>
    <border>
      <left/>
      <right style="medium">
        <color indexed="64"/>
      </right>
      <top style="medium">
        <color theme="1"/>
      </top>
      <bottom style="medium">
        <color indexed="64"/>
      </bottom>
      <diagonal/>
    </border>
    <border>
      <left style="thin">
        <color rgb="FFAEAAAA"/>
      </left>
      <right/>
      <top style="medium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rgb="FFAEAAAA"/>
      </top>
      <bottom/>
      <diagonal/>
    </border>
    <border>
      <left style="thin">
        <color rgb="FFAEAAAA"/>
      </left>
      <right/>
      <top style="thin">
        <color rgb="FFAEAAAA"/>
      </top>
      <bottom/>
      <diagonal/>
    </border>
    <border>
      <left/>
      <right style="thin">
        <color rgb="FFAEAAAA"/>
      </right>
      <top style="medium">
        <color indexed="64"/>
      </top>
      <bottom/>
      <diagonal/>
    </border>
    <border>
      <left style="thin">
        <color rgb="FFAEAAAA"/>
      </left>
      <right/>
      <top style="medium">
        <color indexed="64"/>
      </top>
      <bottom/>
      <diagonal/>
    </border>
    <border>
      <left/>
      <right style="thin">
        <color rgb="FFAEAAAA"/>
      </right>
      <top style="thin">
        <color rgb="FFAEAAAA"/>
      </top>
      <bottom style="medium">
        <color auto="1"/>
      </bottom>
      <diagonal/>
    </border>
    <border>
      <left style="thin">
        <color rgb="FFAEAAAA"/>
      </left>
      <right/>
      <top style="thin">
        <color rgb="FFAEAAAA"/>
      </top>
      <bottom style="medium">
        <color indexed="64"/>
      </bottom>
      <diagonal/>
    </border>
    <border>
      <left style="thin">
        <color rgb="FFAEAAAA"/>
      </left>
      <right style="medium">
        <color indexed="64"/>
      </right>
      <top style="thin">
        <color rgb="FFAEAAAA"/>
      </top>
      <bottom style="thin">
        <color rgb="FFAEAAAA"/>
      </bottom>
      <diagonal/>
    </border>
    <border>
      <left style="thin">
        <color rgb="FFAEAAAA"/>
      </left>
      <right style="medium">
        <color indexed="64"/>
      </right>
      <top style="medium">
        <color indexed="64"/>
      </top>
      <bottom/>
      <diagonal/>
    </border>
    <border>
      <left style="thin">
        <color rgb="FFAEAAAA"/>
      </left>
      <right style="thin">
        <color rgb="FFAEAAAA"/>
      </right>
      <top style="medium">
        <color indexed="64"/>
      </top>
      <bottom/>
      <diagonal/>
    </border>
    <border>
      <left style="medium">
        <color indexed="64"/>
      </left>
      <right style="thin">
        <color rgb="FFAEAAAA"/>
      </right>
      <top style="medium">
        <color indexed="64"/>
      </top>
      <bottom style="thin">
        <color rgb="FFAEAAAA"/>
      </bottom>
      <diagonal/>
    </border>
    <border>
      <left/>
      <right style="medium">
        <color indexed="64"/>
      </right>
      <top style="thin">
        <color rgb="FFAEAAAA"/>
      </top>
      <bottom style="medium">
        <color indexed="64"/>
      </bottom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medium">
        <color indexed="64"/>
      </bottom>
      <diagonal/>
    </border>
    <border>
      <left style="medium">
        <color indexed="64"/>
      </left>
      <right style="thin">
        <color rgb="FFAEAAAA"/>
      </right>
      <top style="thin">
        <color rgb="FFAEAAAA"/>
      </top>
      <bottom style="medium">
        <color indexed="64"/>
      </bottom>
      <diagonal/>
    </border>
    <border>
      <left style="thin">
        <color rgb="FFAEAAAA"/>
      </left>
      <right style="medium">
        <color indexed="64"/>
      </right>
      <top/>
      <bottom style="thin">
        <color rgb="FFAEAAAA"/>
      </bottom>
      <diagonal/>
    </border>
    <border>
      <left style="thin">
        <color rgb="FFAEAAAA"/>
      </left>
      <right style="thin">
        <color rgb="FFAEAAAA"/>
      </right>
      <top/>
      <bottom style="thin">
        <color rgb="FFAEAAAA"/>
      </bottom>
      <diagonal/>
    </border>
    <border>
      <left style="medium">
        <color indexed="64"/>
      </left>
      <right style="thin">
        <color rgb="FFAEAAAA"/>
      </right>
      <top/>
      <bottom style="thin">
        <color rgb="FFAEAAAA"/>
      </bottom>
      <diagonal/>
    </border>
    <border>
      <left style="thin">
        <color rgb="FFAEAAAA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AEAAAA"/>
      </left>
      <right style="thin">
        <color rgb="FFAEAAAA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AEAAAA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AEAAAA"/>
      </left>
      <right style="medium">
        <color indexed="64"/>
      </right>
      <top style="double">
        <color rgb="FFAEAAAA"/>
      </top>
      <bottom style="double">
        <color rgb="FFAEAAAA"/>
      </bottom>
      <diagonal/>
    </border>
    <border>
      <left style="thin">
        <color rgb="FFAEAAAA"/>
      </left>
      <right style="thin">
        <color rgb="FFAEAAAA"/>
      </right>
      <top style="double">
        <color rgb="FFAEAAAA"/>
      </top>
      <bottom style="double">
        <color rgb="FFAEAAAA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90">
    <xf numFmtId="0" fontId="0" fillId="0" borderId="0" xfId="0">
      <alignment vertical="center"/>
    </xf>
    <xf numFmtId="0" fontId="1" fillId="0" borderId="0" xfId="1"/>
    <xf numFmtId="0" fontId="7" fillId="0" borderId="7" xfId="1" applyFont="1" applyBorder="1" applyAlignment="1">
      <alignment horizontal="center" vertical="center" wrapText="1"/>
    </xf>
    <xf numFmtId="0" fontId="7" fillId="0" borderId="8" xfId="1" applyFont="1" applyBorder="1" applyAlignment="1">
      <alignment horizontal="center" vertical="center" wrapText="1"/>
    </xf>
    <xf numFmtId="176" fontId="7" fillId="0" borderId="20" xfId="1" applyNumberFormat="1" applyFont="1" applyBorder="1" applyAlignment="1">
      <alignment vertical="center" wrapText="1"/>
    </xf>
    <xf numFmtId="176" fontId="7" fillId="0" borderId="7" xfId="1" applyNumberFormat="1" applyFont="1" applyBorder="1" applyAlignment="1">
      <alignment vertical="center" wrapText="1"/>
    </xf>
    <xf numFmtId="0" fontId="11" fillId="0" borderId="7" xfId="0" applyFont="1" applyBorder="1" applyAlignment="1">
      <alignment horizontal="center" vertical="center"/>
    </xf>
    <xf numFmtId="176" fontId="7" fillId="5" borderId="20" xfId="1" applyNumberFormat="1" applyFont="1" applyFill="1" applyBorder="1" applyAlignment="1">
      <alignment vertical="center" wrapText="1"/>
    </xf>
    <xf numFmtId="0" fontId="9" fillId="6" borderId="21" xfId="1" applyFont="1" applyFill="1" applyBorder="1" applyAlignment="1">
      <alignment horizontal="center" vertical="center"/>
    </xf>
    <xf numFmtId="0" fontId="9" fillId="6" borderId="22" xfId="1" applyFont="1" applyFill="1" applyBorder="1" applyAlignment="1">
      <alignment horizontal="center" vertical="center"/>
    </xf>
    <xf numFmtId="0" fontId="9" fillId="6" borderId="23" xfId="1" applyFont="1" applyFill="1" applyBorder="1" applyAlignment="1">
      <alignment horizontal="center" vertical="center"/>
    </xf>
    <xf numFmtId="0" fontId="1" fillId="0" borderId="1" xfId="1" applyBorder="1"/>
    <xf numFmtId="177" fontId="1" fillId="0" borderId="0" xfId="1" applyNumberFormat="1"/>
    <xf numFmtId="0" fontId="8" fillId="0" borderId="0" xfId="1" applyFont="1" applyAlignment="1">
      <alignment horizontal="right"/>
    </xf>
    <xf numFmtId="0" fontId="12" fillId="0" borderId="2" xfId="1" applyFont="1" applyBorder="1"/>
    <xf numFmtId="0" fontId="9" fillId="7" borderId="25" xfId="1" applyFont="1" applyFill="1" applyBorder="1" applyAlignment="1">
      <alignment horizontal="left" vertical="center" indent="1"/>
    </xf>
    <xf numFmtId="0" fontId="14" fillId="0" borderId="25" xfId="1" applyFont="1" applyBorder="1" applyAlignment="1">
      <alignment horizontal="left" vertical="center" indent="1"/>
    </xf>
    <xf numFmtId="0" fontId="9" fillId="7" borderId="7" xfId="1" applyFont="1" applyFill="1" applyBorder="1" applyAlignment="1">
      <alignment horizontal="left" vertical="center" indent="1"/>
    </xf>
    <xf numFmtId="0" fontId="14" fillId="0" borderId="7" xfId="1" applyFont="1" applyBorder="1" applyAlignment="1">
      <alignment horizontal="left" vertical="center" indent="1"/>
    </xf>
    <xf numFmtId="0" fontId="14" fillId="0" borderId="28" xfId="1" applyFont="1" applyBorder="1" applyAlignment="1">
      <alignment horizontal="left" vertical="center" indent="1"/>
    </xf>
    <xf numFmtId="0" fontId="9" fillId="7" borderId="28" xfId="1" applyFont="1" applyFill="1" applyBorder="1" applyAlignment="1">
      <alignment horizontal="left" vertical="center" indent="1"/>
    </xf>
    <xf numFmtId="0" fontId="1" fillId="0" borderId="33" xfId="1" applyBorder="1"/>
    <xf numFmtId="0" fontId="1" fillId="0" borderId="34" xfId="1" applyBorder="1"/>
    <xf numFmtId="0" fontId="1" fillId="0" borderId="2" xfId="1" applyBorder="1"/>
    <xf numFmtId="0" fontId="9" fillId="0" borderId="0" xfId="1" applyFont="1" applyAlignment="1">
      <alignment horizontal="right" vertical="center" indent="1"/>
    </xf>
    <xf numFmtId="0" fontId="16" fillId="0" borderId="0" xfId="1" applyFont="1" applyAlignment="1">
      <alignment vertical="center" wrapText="1"/>
    </xf>
    <xf numFmtId="0" fontId="16" fillId="0" borderId="2" xfId="1" applyFont="1" applyBorder="1" applyAlignment="1">
      <alignment vertical="center" wrapText="1"/>
    </xf>
    <xf numFmtId="0" fontId="8" fillId="8" borderId="38" xfId="1" applyFont="1" applyFill="1" applyBorder="1" applyAlignment="1">
      <alignment horizontal="left" vertical="center" indent="1"/>
    </xf>
    <xf numFmtId="0" fontId="1" fillId="9" borderId="39" xfId="1" applyFill="1" applyBorder="1"/>
    <xf numFmtId="0" fontId="1" fillId="9" borderId="38" xfId="1" applyFill="1" applyBorder="1"/>
    <xf numFmtId="0" fontId="19" fillId="8" borderId="38" xfId="1" applyFont="1" applyFill="1" applyBorder="1" applyAlignment="1">
      <alignment horizontal="center" vertical="center"/>
    </xf>
    <xf numFmtId="0" fontId="19" fillId="8" borderId="37" xfId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2" xfId="1" applyFont="1" applyBorder="1" applyAlignment="1">
      <alignment horizontal="center" wrapText="1"/>
    </xf>
    <xf numFmtId="0" fontId="17" fillId="0" borderId="0" xfId="1" applyFont="1" applyAlignment="1">
      <alignment horizontal="center" wrapText="1"/>
    </xf>
    <xf numFmtId="179" fontId="7" fillId="3" borderId="36" xfId="1" applyNumberFormat="1" applyFont="1" applyFill="1" applyBorder="1" applyAlignment="1">
      <alignment horizontal="center" vertical="center" wrapText="1"/>
    </xf>
    <xf numFmtId="179" fontId="7" fillId="3" borderId="35" xfId="1" applyNumberFormat="1" applyFont="1" applyFill="1" applyBorder="1" applyAlignment="1">
      <alignment horizontal="center" vertical="center" wrapText="1"/>
    </xf>
    <xf numFmtId="0" fontId="1" fillId="3" borderId="36" xfId="1" applyFill="1" applyBorder="1" applyAlignment="1">
      <alignment horizontal="center" vertical="center"/>
    </xf>
    <xf numFmtId="0" fontId="1" fillId="3" borderId="35" xfId="1" applyFill="1" applyBorder="1" applyAlignment="1">
      <alignment horizontal="center" vertical="center"/>
    </xf>
    <xf numFmtId="0" fontId="1" fillId="0" borderId="2" xfId="1" applyBorder="1"/>
    <xf numFmtId="0" fontId="1" fillId="0" borderId="0" xfId="1"/>
    <xf numFmtId="0" fontId="7" fillId="3" borderId="36" xfId="1" applyFont="1" applyFill="1" applyBorder="1" applyAlignment="1">
      <alignment horizontal="center" vertical="center" wrapText="1"/>
    </xf>
    <xf numFmtId="0" fontId="7" fillId="3" borderId="35" xfId="1" applyFont="1" applyFill="1" applyBorder="1" applyAlignment="1">
      <alignment horizontal="center" vertical="center" wrapText="1"/>
    </xf>
    <xf numFmtId="176" fontId="7" fillId="3" borderId="36" xfId="1" applyNumberFormat="1" applyFont="1" applyFill="1" applyBorder="1" applyAlignment="1">
      <alignment horizontal="center" vertical="center" wrapText="1"/>
    </xf>
    <xf numFmtId="176" fontId="7" fillId="3" borderId="35" xfId="1" applyNumberFormat="1" applyFont="1" applyFill="1" applyBorder="1" applyAlignment="1">
      <alignment horizontal="center" vertical="center" wrapText="1"/>
    </xf>
    <xf numFmtId="178" fontId="7" fillId="3" borderId="36" xfId="1" applyNumberFormat="1" applyFont="1" applyFill="1" applyBorder="1" applyAlignment="1">
      <alignment horizontal="center" vertical="center" wrapText="1"/>
    </xf>
    <xf numFmtId="178" fontId="7" fillId="3" borderId="35" xfId="1" applyNumberFormat="1" applyFont="1" applyFill="1" applyBorder="1" applyAlignment="1">
      <alignment horizontal="center" vertical="center" wrapText="1"/>
    </xf>
    <xf numFmtId="0" fontId="15" fillId="6" borderId="32" xfId="1" applyFont="1" applyFill="1" applyBorder="1" applyAlignment="1">
      <alignment horizontal="center"/>
    </xf>
    <xf numFmtId="0" fontId="15" fillId="6" borderId="31" xfId="1" applyFont="1" applyFill="1" applyBorder="1" applyAlignment="1">
      <alignment horizontal="center"/>
    </xf>
    <xf numFmtId="0" fontId="15" fillId="6" borderId="30" xfId="1" applyFont="1" applyFill="1" applyBorder="1" applyAlignment="1">
      <alignment horizontal="center"/>
    </xf>
    <xf numFmtId="0" fontId="9" fillId="7" borderId="29" xfId="1" applyFont="1" applyFill="1" applyBorder="1" applyAlignment="1">
      <alignment horizontal="left" vertical="center" indent="1"/>
    </xf>
    <xf numFmtId="0" fontId="9" fillId="7" borderId="28" xfId="1" applyFont="1" applyFill="1" applyBorder="1" applyAlignment="1">
      <alignment horizontal="left" vertical="center" indent="1"/>
    </xf>
    <xf numFmtId="0" fontId="14" fillId="0" borderId="28" xfId="1" applyFont="1" applyBorder="1" applyAlignment="1">
      <alignment horizontal="left" vertical="center" indent="1"/>
    </xf>
    <xf numFmtId="0" fontId="14" fillId="0" borderId="27" xfId="1" applyFont="1" applyBorder="1" applyAlignment="1">
      <alignment horizontal="left" vertical="center" indent="1"/>
    </xf>
    <xf numFmtId="0" fontId="9" fillId="7" borderId="8" xfId="1" applyFont="1" applyFill="1" applyBorder="1" applyAlignment="1">
      <alignment horizontal="left" vertical="center" indent="1"/>
    </xf>
    <xf numFmtId="0" fontId="9" fillId="7" borderId="7" xfId="1" applyFont="1" applyFill="1" applyBorder="1" applyAlignment="1">
      <alignment horizontal="left" vertical="center" indent="1"/>
    </xf>
    <xf numFmtId="0" fontId="13" fillId="0" borderId="10" xfId="1" applyFont="1" applyBorder="1" applyAlignment="1">
      <alignment horizontal="left" vertical="center" wrapText="1" indent="1"/>
    </xf>
    <xf numFmtId="0" fontId="13" fillId="0" borderId="9" xfId="1" applyFont="1" applyBorder="1" applyAlignment="1">
      <alignment horizontal="left" vertical="center" wrapText="1" indent="1"/>
    </xf>
    <xf numFmtId="0" fontId="9" fillId="7" borderId="26" xfId="1" applyFont="1" applyFill="1" applyBorder="1" applyAlignment="1">
      <alignment horizontal="left" vertical="center" indent="1"/>
    </xf>
    <xf numFmtId="0" fontId="9" fillId="7" borderId="25" xfId="1" applyFont="1" applyFill="1" applyBorder="1" applyAlignment="1">
      <alignment horizontal="left" vertical="center" indent="1"/>
    </xf>
    <xf numFmtId="0" fontId="13" fillId="0" borderId="19" xfId="1" applyFont="1" applyBorder="1" applyAlignment="1">
      <alignment horizontal="left" vertical="center" wrapText="1" indent="1"/>
    </xf>
    <xf numFmtId="0" fontId="13" fillId="0" borderId="24" xfId="1" applyFont="1" applyBorder="1" applyAlignment="1">
      <alignment horizontal="left" vertical="center" wrapText="1" indent="1"/>
    </xf>
    <xf numFmtId="0" fontId="11" fillId="4" borderId="10" xfId="0" applyFont="1" applyFill="1" applyBorder="1" applyAlignment="1">
      <alignment horizontal="right" vertical="center" indent="1"/>
    </xf>
    <xf numFmtId="0" fontId="11" fillId="4" borderId="11" xfId="0" applyFont="1" applyFill="1" applyBorder="1" applyAlignment="1">
      <alignment horizontal="right" vertical="center" indent="1"/>
    </xf>
    <xf numFmtId="176" fontId="7" fillId="4" borderId="10" xfId="1" applyNumberFormat="1" applyFont="1" applyFill="1" applyBorder="1" applyAlignment="1">
      <alignment horizontal="right" vertical="center" wrapText="1" indent="1"/>
    </xf>
    <xf numFmtId="176" fontId="7" fillId="4" borderId="9" xfId="1" applyNumberFormat="1" applyFont="1" applyFill="1" applyBorder="1" applyAlignment="1">
      <alignment horizontal="right" vertical="center" wrapText="1" indent="1"/>
    </xf>
    <xf numFmtId="0" fontId="11" fillId="4" borderId="19" xfId="0" applyFont="1" applyFill="1" applyBorder="1" applyAlignment="1">
      <alignment horizontal="right" vertical="center" indent="1"/>
    </xf>
    <xf numFmtId="0" fontId="11" fillId="4" borderId="18" xfId="0" applyFont="1" applyFill="1" applyBorder="1" applyAlignment="1">
      <alignment horizontal="right" vertical="center" indent="1"/>
    </xf>
    <xf numFmtId="176" fontId="10" fillId="4" borderId="10" xfId="1" applyNumberFormat="1" applyFont="1" applyFill="1" applyBorder="1" applyAlignment="1">
      <alignment horizontal="right" vertical="center" wrapText="1" indent="1"/>
    </xf>
    <xf numFmtId="176" fontId="10" fillId="4" borderId="9" xfId="1" applyNumberFormat="1" applyFont="1" applyFill="1" applyBorder="1" applyAlignment="1">
      <alignment horizontal="right" vertical="center" wrapText="1" indent="1"/>
    </xf>
    <xf numFmtId="0" fontId="9" fillId="3" borderId="6" xfId="1" applyFont="1" applyFill="1" applyBorder="1" applyAlignment="1">
      <alignment horizontal="right" vertical="center" wrapText="1" indent="1"/>
    </xf>
    <xf numFmtId="0" fontId="9" fillId="3" borderId="5" xfId="1" applyFont="1" applyFill="1" applyBorder="1" applyAlignment="1">
      <alignment horizontal="right" vertical="center" wrapText="1" indent="1"/>
    </xf>
    <xf numFmtId="176" fontId="8" fillId="2" borderId="13" xfId="1" applyNumberFormat="1" applyFont="1" applyFill="1" applyBorder="1" applyAlignment="1">
      <alignment horizontal="right" vertical="center" indent="1"/>
    </xf>
    <xf numFmtId="176" fontId="8" fillId="2" borderId="12" xfId="1" applyNumberFormat="1" applyFont="1" applyFill="1" applyBorder="1" applyAlignment="1">
      <alignment horizontal="right" vertical="center" indent="1"/>
    </xf>
    <xf numFmtId="0" fontId="7" fillId="4" borderId="17" xfId="1" applyFont="1" applyFill="1" applyBorder="1" applyAlignment="1">
      <alignment horizontal="right" vertical="center" wrapText="1" indent="1"/>
    </xf>
    <xf numFmtId="0" fontId="7" fillId="4" borderId="16" xfId="1" applyFont="1" applyFill="1" applyBorder="1" applyAlignment="1">
      <alignment horizontal="right" vertical="center" wrapText="1" indent="1"/>
    </xf>
    <xf numFmtId="176" fontId="7" fillId="4" borderId="15" xfId="1" applyNumberFormat="1" applyFont="1" applyFill="1" applyBorder="1" applyAlignment="1">
      <alignment horizontal="right" vertical="center" wrapText="1" indent="1"/>
    </xf>
    <xf numFmtId="176" fontId="7" fillId="4" borderId="14" xfId="1" applyNumberFormat="1" applyFont="1" applyFill="1" applyBorder="1" applyAlignment="1">
      <alignment horizontal="right" vertical="center" wrapText="1" indent="1"/>
    </xf>
    <xf numFmtId="0" fontId="7" fillId="4" borderId="10" xfId="1" applyFont="1" applyFill="1" applyBorder="1" applyAlignment="1">
      <alignment horizontal="right" vertical="center" wrapText="1" indent="1"/>
    </xf>
    <xf numFmtId="0" fontId="7" fillId="4" borderId="11" xfId="1" applyFont="1" applyFill="1" applyBorder="1" applyAlignment="1">
      <alignment horizontal="right" vertical="center" wrapText="1" indent="1"/>
    </xf>
    <xf numFmtId="0" fontId="5" fillId="3" borderId="6" xfId="1" applyFont="1" applyFill="1" applyBorder="1" applyAlignment="1">
      <alignment horizontal="right" vertical="center" wrapText="1" indent="1"/>
    </xf>
    <xf numFmtId="0" fontId="5" fillId="3" borderId="5" xfId="1" applyFont="1" applyFill="1" applyBorder="1" applyAlignment="1">
      <alignment horizontal="right" vertical="center" wrapText="1" indent="1"/>
    </xf>
    <xf numFmtId="176" fontId="4" fillId="2" borderId="4" xfId="1" applyNumberFormat="1" applyFont="1" applyFill="1" applyBorder="1" applyAlignment="1">
      <alignment horizontal="right" vertical="center" indent="1"/>
    </xf>
    <xf numFmtId="176" fontId="4" fillId="2" borderId="3" xfId="1" applyNumberFormat="1" applyFont="1" applyFill="1" applyBorder="1" applyAlignment="1">
      <alignment horizontal="right" vertical="center" indent="1"/>
    </xf>
    <xf numFmtId="0" fontId="1" fillId="0" borderId="2" xfId="1" applyBorder="1" applyAlignment="1">
      <alignment horizontal="left" vertical="center" indent="1"/>
    </xf>
    <xf numFmtId="0" fontId="1" fillId="0" borderId="0" xfId="1" applyAlignment="1">
      <alignment horizontal="left" vertical="center" indent="1"/>
    </xf>
    <xf numFmtId="0" fontId="1" fillId="0" borderId="1" xfId="1" applyBorder="1" applyAlignment="1">
      <alignment horizontal="left" vertical="center" indent="1"/>
    </xf>
    <xf numFmtId="0" fontId="3" fillId="0" borderId="2" xfId="1" applyFont="1" applyBorder="1" applyAlignment="1">
      <alignment horizontal="left" vertical="center" indent="1"/>
    </xf>
    <xf numFmtId="0" fontId="3" fillId="0" borderId="0" xfId="1" applyFont="1" applyAlignment="1">
      <alignment horizontal="left" vertical="center" indent="1"/>
    </xf>
    <xf numFmtId="0" fontId="3" fillId="0" borderId="1" xfId="1" applyFont="1" applyBorder="1" applyAlignment="1">
      <alignment horizontal="left" vertical="center" indent="1"/>
    </xf>
  </cellXfs>
  <cellStyles count="2">
    <cellStyle name="표준" xfId="0" builtinId="0"/>
    <cellStyle name="표준 2 5" xfId="1" xr:uid="{3A54FE37-E59B-44EA-8992-B67FE5DD1D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21167</xdr:colOff>
      <xdr:row>0</xdr:row>
      <xdr:rowOff>21166</xdr:rowOff>
    </xdr:from>
    <xdr:ext cx="3171755" cy="681303"/>
    <xdr:pic>
      <xdr:nvPicPr>
        <xdr:cNvPr id="2" name="Picture 2" descr="C:\Users\JC\Desktop\work\브로셔\브로셔 이미지\싼카.jpg">
          <a:extLst>
            <a:ext uri="{FF2B5EF4-FFF2-40B4-BE49-F238E27FC236}">
              <a16:creationId xmlns:a16="http://schemas.microsoft.com/office/drawing/2014/main" id="{4BB77CEF-3701-4329-80FB-0D116C9FD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1167" y="21166"/>
          <a:ext cx="3171755" cy="68130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31748</xdr:colOff>
      <xdr:row>1</xdr:row>
      <xdr:rowOff>48681</xdr:rowOff>
    </xdr:from>
    <xdr:ext cx="3343274" cy="563636"/>
    <xdr:pic>
      <xdr:nvPicPr>
        <xdr:cNvPr id="3" name="Picture 3" descr="C:\Users\JC\Desktop\work\브로셔\브로셔 이미지\싼카2.jpg">
          <a:extLst>
            <a:ext uri="{FF2B5EF4-FFF2-40B4-BE49-F238E27FC236}">
              <a16:creationId xmlns:a16="http://schemas.microsoft.com/office/drawing/2014/main" id="{927C9607-DF57-41EA-BC47-16618C4A8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1748" y="258231"/>
          <a:ext cx="3343274" cy="56363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1817005</xdr:colOff>
      <xdr:row>35</xdr:row>
      <xdr:rowOff>22127</xdr:rowOff>
    </xdr:from>
    <xdr:ext cx="3078264" cy="1825772"/>
    <xdr:pic>
      <xdr:nvPicPr>
        <xdr:cNvPr id="4" name="그림 3">
          <a:extLst>
            <a:ext uri="{FF2B5EF4-FFF2-40B4-BE49-F238E27FC236}">
              <a16:creationId xmlns:a16="http://schemas.microsoft.com/office/drawing/2014/main" id="{D4BF8A28-3FA3-4A47-A354-A7A7E1264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3311">
          <a:off x="2740930" y="7356377"/>
          <a:ext cx="3078264" cy="1825772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sancarltd-my.sharepoint.com/Users/CFO/Desktop/&#51060;&#48120;&#45800;/&#49688;&#52636;/&#9733;&#49688;&#52636;&#52264;&#54788;&#5488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sancarltd-my.sharepoint.com/Office_Korea/Accountant/&#44284;&#44144;&#51088;&#47308;/Users/man/Downloads/&#50808;&#54872;&#45236;&#50669;/&#53685;&#51109;%20&#47532;&#49828;&#53944;/2016%20&#45380;&#46020;%20&#49457;&#49888;&#47924;&#50669;%20&#54788;&#54889;&#54364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mpany\1000\2002&#45380;&#51648;&#52636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ancar\Office_Korea\2017&#45380;%20&#49688;&#52636;&#54788;&#54889;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Company\1000\2002&#45380;&#51648;&#52636;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%23%23%20&#50629;&#47924;\&#47924;&#49324;\4.%20&#47924;&#49324;&#48177;%20invoice\ALPHA%20WORLD%20WILDE\%23%23%20&#47924;&#49324;&#48177;%20&#54032;&#47588;&#45236;&#50669;.xlsx" TargetMode="External"/><Relationship Id="rId1" Type="http://schemas.openxmlformats.org/officeDocument/2006/relationships/externalLinkPath" Target="file:///Z:\%23%23%20&#50629;&#47924;\&#47924;&#49324;\4.%20&#47924;&#49324;&#48177;%20invoice\ALPHA%20WORLD%20WILDE\%23%23%20&#47924;&#49324;&#48177;%20&#54032;&#47588;&#45236;&#5066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출고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황판"/>
      <sheetName val="입출고"/>
      <sheetName val="차량말소신청서"/>
      <sheetName val="사업자등록증"/>
      <sheetName val="계약서"/>
      <sheetName val="매매계약서"/>
      <sheetName val="매매계약서 수출용"/>
      <sheetName val="2016 년도 성신무역 현황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 (3)"/>
      <sheetName val="1"/>
      <sheetName val="1(2)"/>
      <sheetName val="2"/>
      <sheetName val="2 (2)"/>
      <sheetName val="3"/>
      <sheetName val="3(2)"/>
      <sheetName val="4"/>
      <sheetName val="4 (2)"/>
      <sheetName val="5"/>
      <sheetName val="5 (2)"/>
      <sheetName val="6"/>
      <sheetName val="6 (2)"/>
      <sheetName val="7"/>
      <sheetName val="7 (2)"/>
      <sheetName val="8"/>
      <sheetName val="8 (2)"/>
      <sheetName val="9"/>
      <sheetName val="9 (2)"/>
      <sheetName val="10"/>
      <sheetName val="10 (2)"/>
      <sheetName val="11"/>
      <sheetName val="11 (2)"/>
      <sheetName val="12"/>
      <sheetName val="12 (2)"/>
      <sheetName val="집계표"/>
      <sheetName val="잔액"/>
      <sheetName val="12_(3)"/>
      <sheetName val="2_(2)"/>
      <sheetName val="4_(2)"/>
      <sheetName val="5_(2)"/>
      <sheetName val="6_(2)"/>
      <sheetName val="7_(2)"/>
      <sheetName val="8_(2)"/>
      <sheetName val="9_(2)"/>
      <sheetName val="10_(2)"/>
      <sheetName val="11_(2)"/>
      <sheetName val="12_(2)"/>
      <sheetName val="12_(3)1"/>
      <sheetName val="2_(2)1"/>
      <sheetName val="4_(2)1"/>
      <sheetName val="5_(2)1"/>
      <sheetName val="6_(2)1"/>
      <sheetName val="7_(2)1"/>
      <sheetName val="8_(2)1"/>
      <sheetName val="9_(2)1"/>
      <sheetName val="10_(2)1"/>
      <sheetName val="11_(2)1"/>
      <sheetName val="12_(2)1"/>
      <sheetName val="12_(3)2"/>
      <sheetName val="2_(2)2"/>
      <sheetName val="4_(2)2"/>
      <sheetName val="5_(2)2"/>
      <sheetName val="6_(2)2"/>
      <sheetName val="7_(2)2"/>
      <sheetName val="8_(2)2"/>
      <sheetName val="9_(2)2"/>
      <sheetName val="10_(2)2"/>
      <sheetName val="11_(2)2"/>
      <sheetName val="12_(2)2"/>
      <sheetName val="12_(3)3"/>
      <sheetName val="2_(2)3"/>
      <sheetName val="4_(2)3"/>
      <sheetName val="5_(2)3"/>
      <sheetName val="6_(2)3"/>
      <sheetName val="7_(2)3"/>
      <sheetName val="8_(2)3"/>
      <sheetName val="9_(2)3"/>
      <sheetName val="10_(2)3"/>
      <sheetName val="11_(2)3"/>
      <sheetName val="12_(2)3"/>
      <sheetName val="12_(3)4"/>
      <sheetName val="2_(2)4"/>
      <sheetName val="4_(2)4"/>
      <sheetName val="5_(2)4"/>
      <sheetName val="6_(2)4"/>
      <sheetName val="7_(2)4"/>
      <sheetName val="8_(2)4"/>
      <sheetName val="9_(2)4"/>
      <sheetName val="10_(2)4"/>
      <sheetName val="11_(2)4"/>
      <sheetName val="12_(2)4"/>
      <sheetName val="12_(3)5"/>
      <sheetName val="2_(2)5"/>
      <sheetName val="4_(2)5"/>
      <sheetName val="5_(2)5"/>
      <sheetName val="6_(2)5"/>
      <sheetName val="7_(2)5"/>
      <sheetName val="8_(2)5"/>
      <sheetName val="9_(2)5"/>
      <sheetName val="10_(2)5"/>
      <sheetName val="11_(2)5"/>
      <sheetName val="12_(2)5"/>
      <sheetName val="12_(3)6"/>
      <sheetName val="2_(2)6"/>
      <sheetName val="4_(2)6"/>
      <sheetName val="5_(2)6"/>
      <sheetName val="6_(2)6"/>
      <sheetName val="7_(2)6"/>
      <sheetName val="8_(2)6"/>
      <sheetName val="9_(2)6"/>
      <sheetName val="10_(2)6"/>
      <sheetName val="11_(2)6"/>
      <sheetName val="12_(2)6"/>
      <sheetName val="12_(3)7"/>
      <sheetName val="2_(2)7"/>
      <sheetName val="4_(2)7"/>
      <sheetName val="5_(2)7"/>
      <sheetName val="6_(2)7"/>
      <sheetName val="7_(2)7"/>
      <sheetName val="8_(2)7"/>
      <sheetName val="9_(2)7"/>
      <sheetName val="10_(2)7"/>
      <sheetName val="11_(2)7"/>
      <sheetName val="12_(2)7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61130이후"/>
      <sheetName val="CarName_INPUT입력"/>
      <sheetName val="쉬핑마크 (2)"/>
      <sheetName val="쉬핑마크"/>
      <sheetName val="계약서"/>
      <sheetName val="쉬핑INVOICE"/>
      <sheetName val="수출현황_종합"/>
      <sheetName val="부품"/>
      <sheetName val="차량매입경비신청서 (2)"/>
      <sheetName val="신한 원화"/>
      <sheetName val="코리아 원화"/>
      <sheetName val="차량매입경비신청서"/>
      <sheetName val="면장신청"/>
      <sheetName val="Sheet2"/>
      <sheetName val="Sheet3"/>
      <sheetName val="말소신청서"/>
      <sheetName val="월말신고"/>
      <sheetName val="구매선적일보"/>
      <sheetName val="매입현황 보고"/>
      <sheetName val="재고관리"/>
      <sheetName val="말소증"/>
      <sheetName val="매매계약서"/>
      <sheetName val="면장주소"/>
      <sheetName val="현금영수증"/>
      <sheetName val="이행신고서"/>
      <sheetName val="개인정보"/>
      <sheetName val="Sheet1"/>
      <sheetName val="입출고"/>
    </sheetNames>
    <sheetDataSet>
      <sheetData sheetId="0"/>
      <sheetData sheetId="1">
        <row r="4">
          <cell r="A4" t="str">
            <v>차명</v>
          </cell>
        </row>
        <row r="5">
          <cell r="A5" t="str">
            <v>엑센트1495</v>
          </cell>
        </row>
        <row r="6">
          <cell r="A6" t="str">
            <v>엑센트1396</v>
          </cell>
        </row>
        <row r="7">
          <cell r="A7" t="str">
            <v>엑센트1341</v>
          </cell>
        </row>
        <row r="8">
          <cell r="A8" t="str">
            <v>엑센트1591</v>
          </cell>
        </row>
        <row r="9">
          <cell r="A9" t="str">
            <v>엑센트1368</v>
          </cell>
        </row>
        <row r="10">
          <cell r="A10" t="str">
            <v>엑센트1582</v>
          </cell>
        </row>
        <row r="11">
          <cell r="A11" t="str">
            <v>엑센트</v>
          </cell>
        </row>
        <row r="12">
          <cell r="A12" t="str">
            <v>아반떼</v>
          </cell>
        </row>
        <row r="13">
          <cell r="A13" t="str">
            <v>md</v>
          </cell>
        </row>
        <row r="14">
          <cell r="A14" t="str">
            <v>아반떼오토</v>
          </cell>
        </row>
        <row r="15">
          <cell r="A15" t="str">
            <v>hd</v>
          </cell>
        </row>
        <row r="16">
          <cell r="A16" t="str">
            <v>xd</v>
          </cell>
        </row>
        <row r="17">
          <cell r="A17" t="str">
            <v>뉴아반떼</v>
          </cell>
        </row>
        <row r="18">
          <cell r="A18" t="str">
            <v>클릭</v>
          </cell>
        </row>
        <row r="19">
          <cell r="A19" t="str">
            <v>뉴클릭</v>
          </cell>
        </row>
        <row r="20">
          <cell r="A20" t="str">
            <v>엘란트라</v>
          </cell>
        </row>
        <row r="21">
          <cell r="A21" t="str">
            <v>그레이스</v>
          </cell>
        </row>
        <row r="22">
          <cell r="A22" t="str">
            <v>그레이스9</v>
          </cell>
        </row>
        <row r="23">
          <cell r="A23" t="str">
            <v>그레이스12</v>
          </cell>
        </row>
        <row r="24">
          <cell r="A24">
            <v>0</v>
          </cell>
        </row>
        <row r="25">
          <cell r="A25" t="str">
            <v>그레이스15</v>
          </cell>
        </row>
        <row r="26">
          <cell r="A26">
            <v>0</v>
          </cell>
        </row>
        <row r="27">
          <cell r="A27" t="str">
            <v>그레이스6밴</v>
          </cell>
        </row>
        <row r="28">
          <cell r="A28" t="str">
            <v>그레이스
장축6밴</v>
          </cell>
        </row>
        <row r="29">
          <cell r="A29" t="str">
            <v>그레이스
장축3밴</v>
          </cell>
        </row>
        <row r="30">
          <cell r="A30">
            <v>0</v>
          </cell>
        </row>
        <row r="31">
          <cell r="A31" t="str">
            <v>마이티 2.5톤</v>
          </cell>
        </row>
        <row r="32">
          <cell r="A32" t="str">
            <v>마이티</v>
          </cell>
        </row>
        <row r="33">
          <cell r="A33" t="str">
            <v>마이티2 터보</v>
          </cell>
        </row>
        <row r="34">
          <cell r="A34">
            <v>0</v>
          </cell>
        </row>
        <row r="35">
          <cell r="A35">
            <v>0</v>
          </cell>
        </row>
        <row r="36">
          <cell r="A36" t="str">
            <v>그랜드스타렉스</v>
          </cell>
        </row>
        <row r="37">
          <cell r="A37">
            <v>0</v>
          </cell>
        </row>
        <row r="38">
          <cell r="A38">
            <v>0</v>
          </cell>
        </row>
        <row r="39">
          <cell r="A39">
            <v>0</v>
          </cell>
        </row>
        <row r="40">
          <cell r="A40">
            <v>0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>
            <v>0</v>
          </cell>
        </row>
        <row r="49">
          <cell r="A49">
            <v>0</v>
          </cell>
        </row>
        <row r="50">
          <cell r="A50" t="str">
            <v>포터초장축더블캡</v>
          </cell>
        </row>
        <row r="51">
          <cell r="A51" t="str">
            <v>포터초장축슈퍼캡</v>
          </cell>
        </row>
        <row r="52">
          <cell r="A52">
            <v>0</v>
          </cell>
        </row>
        <row r="53">
          <cell r="A53" t="str">
            <v>포터</v>
          </cell>
        </row>
        <row r="54">
          <cell r="A54" t="str">
            <v>포터장축켑</v>
          </cell>
        </row>
        <row r="55">
          <cell r="A55" t="str">
            <v>포터초장축</v>
          </cell>
        </row>
        <row r="56">
          <cell r="A56" t="str">
            <v>포터2</v>
          </cell>
        </row>
        <row r="57">
          <cell r="A57">
            <v>0</v>
          </cell>
        </row>
        <row r="58">
          <cell r="A58" t="str">
            <v>포터2내장탑</v>
          </cell>
        </row>
        <row r="59">
          <cell r="A59" t="str">
            <v>포터2냉동탑</v>
          </cell>
        </row>
        <row r="60">
          <cell r="A60">
            <v>0</v>
          </cell>
        </row>
        <row r="61">
          <cell r="A61">
            <v>0</v>
          </cell>
        </row>
        <row r="62">
          <cell r="A62">
            <v>0</v>
          </cell>
        </row>
        <row r="63">
          <cell r="A63">
            <v>0</v>
          </cell>
        </row>
        <row r="64">
          <cell r="A64" t="str">
            <v>현대5톤트럭</v>
          </cell>
        </row>
        <row r="65">
          <cell r="A65">
            <v>0</v>
          </cell>
        </row>
        <row r="66">
          <cell r="A66">
            <v>0</v>
          </cell>
        </row>
        <row r="67">
          <cell r="A67" t="str">
            <v>스타렉스</v>
          </cell>
        </row>
        <row r="68">
          <cell r="A68" t="str">
            <v>스타렉스인터쿨러9</v>
          </cell>
        </row>
        <row r="69">
          <cell r="A69" t="str">
            <v>스타렉스9</v>
          </cell>
        </row>
        <row r="70">
          <cell r="A70">
            <v>0</v>
          </cell>
        </row>
        <row r="71">
          <cell r="A71" t="str">
            <v>스타렉스12</v>
          </cell>
        </row>
        <row r="72">
          <cell r="A72">
            <v>0</v>
          </cell>
        </row>
        <row r="73">
          <cell r="A73" t="str">
            <v>스타렉스6</v>
          </cell>
        </row>
        <row r="74">
          <cell r="A74">
            <v>0</v>
          </cell>
        </row>
        <row r="75">
          <cell r="A75" t="str">
            <v>스타렉스터보롱12</v>
          </cell>
        </row>
        <row r="76">
          <cell r="A76" t="str">
            <v>스타렉스4륜</v>
          </cell>
        </row>
        <row r="77">
          <cell r="A77">
            <v>0</v>
          </cell>
        </row>
        <row r="78">
          <cell r="A78" t="str">
            <v>테라칸</v>
          </cell>
        </row>
        <row r="79">
          <cell r="A79">
            <v>0</v>
          </cell>
        </row>
        <row r="80">
          <cell r="A80" t="str">
            <v>베르나</v>
          </cell>
        </row>
        <row r="81">
          <cell r="A81" t="str">
            <v>뉴베르나</v>
          </cell>
        </row>
        <row r="82">
          <cell r="A82" t="str">
            <v>베르나하이브리드</v>
          </cell>
        </row>
        <row r="83">
          <cell r="A83">
            <v>0</v>
          </cell>
        </row>
        <row r="84">
          <cell r="A84" t="str">
            <v>카운티</v>
          </cell>
        </row>
        <row r="85">
          <cell r="A85" t="str">
            <v>이-카운티</v>
          </cell>
        </row>
        <row r="86">
          <cell r="A86" t="str">
            <v>벨로스터</v>
          </cell>
        </row>
        <row r="87">
          <cell r="A87" t="str">
            <v>베르나</v>
          </cell>
        </row>
        <row r="88">
          <cell r="A88" t="str">
            <v>아토스</v>
          </cell>
        </row>
        <row r="89">
          <cell r="A89" t="str">
            <v>라비타</v>
          </cell>
        </row>
        <row r="90">
          <cell r="A90">
            <v>0</v>
          </cell>
        </row>
        <row r="91">
          <cell r="A91" t="str">
            <v>투싼</v>
          </cell>
        </row>
        <row r="92">
          <cell r="A92" t="str">
            <v>투스카니</v>
          </cell>
        </row>
        <row r="93">
          <cell r="A93" t="str">
            <v>티뷰론터뷸런스</v>
          </cell>
        </row>
        <row r="94">
          <cell r="A94">
            <v>0</v>
          </cell>
        </row>
        <row r="95">
          <cell r="A95" t="str">
            <v>쏘나타</v>
          </cell>
        </row>
        <row r="96">
          <cell r="A96" t="str">
            <v>ef쏘나타</v>
          </cell>
        </row>
        <row r="97">
          <cell r="A97">
            <v>0</v>
          </cell>
        </row>
        <row r="98">
          <cell r="A98" t="str">
            <v>뉴EF쏘나타</v>
          </cell>
        </row>
        <row r="99">
          <cell r="A99" t="str">
            <v>뉴EF쏘나타골드</v>
          </cell>
        </row>
        <row r="100">
          <cell r="A100" t="str">
            <v>쏘나타 하이브리드</v>
          </cell>
        </row>
        <row r="101">
          <cell r="A101">
            <v>0</v>
          </cell>
        </row>
        <row r="102">
          <cell r="A102" t="str">
            <v>에쿠스</v>
          </cell>
        </row>
        <row r="103">
          <cell r="A103" t="str">
            <v>i30</v>
          </cell>
        </row>
        <row r="104">
          <cell r="A104">
            <v>0</v>
          </cell>
        </row>
        <row r="105">
          <cell r="A105" t="str">
            <v>싼타페</v>
          </cell>
        </row>
        <row r="106">
          <cell r="A106" t="str">
            <v>그랜저</v>
          </cell>
        </row>
        <row r="107">
          <cell r="A107" t="str">
            <v>그랜저XG</v>
          </cell>
        </row>
        <row r="108">
          <cell r="A108" t="str">
            <v>뉴그랜저XG</v>
          </cell>
        </row>
        <row r="109">
          <cell r="A109" t="str">
            <v>그랜저TG</v>
          </cell>
        </row>
        <row r="110">
          <cell r="A110" t="str">
            <v>로체</v>
          </cell>
        </row>
        <row r="111">
          <cell r="A111" t="str">
            <v>포르테</v>
          </cell>
        </row>
        <row r="112">
          <cell r="A112" t="str">
            <v>포르테쿱</v>
          </cell>
        </row>
        <row r="113">
          <cell r="A113" t="str">
            <v>봉고</v>
          </cell>
        </row>
        <row r="114">
          <cell r="A114">
            <v>0</v>
          </cell>
        </row>
        <row r="115">
          <cell r="A115" t="str">
            <v>델타</v>
          </cell>
        </row>
        <row r="116">
          <cell r="A116" t="str">
            <v>아벨라</v>
          </cell>
        </row>
        <row r="117">
          <cell r="A117" t="str">
            <v>쎄라토</v>
          </cell>
        </row>
        <row r="118">
          <cell r="A118" t="str">
            <v>k5</v>
          </cell>
        </row>
        <row r="119">
          <cell r="A119" t="str">
            <v>k5 하이브리드</v>
          </cell>
        </row>
        <row r="120">
          <cell r="A120" t="str">
            <v>리오</v>
          </cell>
        </row>
        <row r="121">
          <cell r="A121" t="str">
            <v>리오RX-V</v>
          </cell>
        </row>
        <row r="122">
          <cell r="A122" t="str">
            <v>리오sf</v>
          </cell>
        </row>
        <row r="123">
          <cell r="A123" t="str">
            <v>세피아</v>
          </cell>
        </row>
        <row r="124">
          <cell r="A124" t="str">
            <v>세피아2</v>
          </cell>
        </row>
        <row r="125">
          <cell r="A125" t="str">
            <v>세피아오토</v>
          </cell>
        </row>
        <row r="126">
          <cell r="A126" t="str">
            <v>스펙트라</v>
          </cell>
        </row>
        <row r="127">
          <cell r="A127" t="str">
            <v>스펙트라윙</v>
          </cell>
        </row>
        <row r="128">
          <cell r="A128" t="str">
            <v>비스토</v>
          </cell>
        </row>
        <row r="129">
          <cell r="A129" t="str">
            <v>슈마</v>
          </cell>
        </row>
        <row r="130">
          <cell r="A130" t="str">
            <v>프라이드웨곤</v>
          </cell>
        </row>
        <row r="131">
          <cell r="A131" t="str">
            <v>프라이드</v>
          </cell>
        </row>
        <row r="132">
          <cell r="A132">
            <v>0</v>
          </cell>
        </row>
        <row r="133">
          <cell r="A133" t="str">
            <v>프런티어</v>
          </cell>
        </row>
        <row r="134">
          <cell r="A134">
            <v>0</v>
          </cell>
        </row>
        <row r="135">
          <cell r="A135" t="str">
            <v>스포티지</v>
          </cell>
        </row>
        <row r="137">
          <cell r="A137" t="str">
            <v>프런티어1.3톤</v>
          </cell>
        </row>
        <row r="138">
          <cell r="A138" t="str">
            <v>오텍봉고킹캡</v>
          </cell>
        </row>
        <row r="139">
          <cell r="A139">
            <v>0</v>
          </cell>
        </row>
        <row r="140">
          <cell r="A140" t="str">
            <v>프런티어1.4톤</v>
          </cell>
        </row>
        <row r="141">
          <cell r="A141" t="str">
            <v>봉고킹캡</v>
          </cell>
        </row>
        <row r="142">
          <cell r="A142">
            <v>0</v>
          </cell>
        </row>
        <row r="143">
          <cell r="A143" t="str">
            <v>오텍프런티어</v>
          </cell>
        </row>
        <row r="144">
          <cell r="A144">
            <v>0</v>
          </cell>
        </row>
        <row r="145">
          <cell r="A145" t="str">
            <v>봉고3</v>
          </cell>
        </row>
        <row r="146">
          <cell r="A146" t="str">
            <v>봉고3 1.2</v>
          </cell>
        </row>
        <row r="147">
          <cell r="A147" t="str">
            <v>봉고3 1.4</v>
          </cell>
        </row>
        <row r="148">
          <cell r="A148" t="str">
            <v>봉고3 1톤</v>
          </cell>
        </row>
        <row r="149">
          <cell r="A149" t="str">
            <v>봉고3 카고</v>
          </cell>
        </row>
        <row r="150">
          <cell r="A150" t="str">
            <v>봉고3 플러스</v>
          </cell>
        </row>
        <row r="151">
          <cell r="A151" t="str">
            <v>봉고프런티어킹캡</v>
          </cell>
        </row>
        <row r="152">
          <cell r="A152" t="str">
            <v>봉고프런티어4륜</v>
          </cell>
        </row>
        <row r="153">
          <cell r="A153" t="str">
            <v>봉고프런티어</v>
          </cell>
        </row>
        <row r="154">
          <cell r="A154" t="str">
            <v>봉고3 탑</v>
          </cell>
        </row>
        <row r="155">
          <cell r="A155" t="str">
            <v>봉고 트런티어 탑</v>
          </cell>
        </row>
        <row r="156">
          <cell r="A156" t="str">
            <v>봉고프런티어 GLS</v>
          </cell>
        </row>
        <row r="157">
          <cell r="A157" t="str">
            <v>마티즈</v>
          </cell>
        </row>
        <row r="158">
          <cell r="A158" t="str">
            <v>마티즈0.8at</v>
          </cell>
        </row>
        <row r="159">
          <cell r="A159" t="str">
            <v>마티즈0.8mt</v>
          </cell>
        </row>
        <row r="160">
          <cell r="A160" t="str">
            <v>마티즈밴 AT</v>
          </cell>
        </row>
        <row r="161">
          <cell r="A161">
            <v>0</v>
          </cell>
        </row>
        <row r="162">
          <cell r="A162" t="str">
            <v>윈스톰</v>
          </cell>
        </row>
        <row r="163">
          <cell r="A163" t="str">
            <v>라노스1.3</v>
          </cell>
        </row>
        <row r="164">
          <cell r="A164" t="str">
            <v>라노스1.5</v>
          </cell>
        </row>
        <row r="165">
          <cell r="A165" t="str">
            <v>라노스해치백1.3</v>
          </cell>
        </row>
        <row r="166">
          <cell r="A166" t="str">
            <v>라노스해치백1.5</v>
          </cell>
        </row>
        <row r="167">
          <cell r="A167" t="str">
            <v>라노스</v>
          </cell>
        </row>
        <row r="168">
          <cell r="A168">
            <v>0</v>
          </cell>
        </row>
        <row r="169">
          <cell r="A169" t="str">
            <v>매그너스</v>
          </cell>
        </row>
        <row r="170">
          <cell r="A170">
            <v>0</v>
          </cell>
        </row>
        <row r="171">
          <cell r="A171" t="str">
            <v>누비라1.5</v>
          </cell>
        </row>
        <row r="173">
          <cell r="A173" t="str">
            <v>라세티1.6</v>
          </cell>
        </row>
        <row r="174">
          <cell r="A174">
            <v>0</v>
          </cell>
        </row>
        <row r="175">
          <cell r="A175">
            <v>0</v>
          </cell>
        </row>
        <row r="176">
          <cell r="A176" t="str">
            <v>라세티5</v>
          </cell>
        </row>
        <row r="177">
          <cell r="A177" t="str">
            <v>라세티5 mt</v>
          </cell>
        </row>
        <row r="178">
          <cell r="A178">
            <v>0</v>
          </cell>
        </row>
        <row r="179">
          <cell r="A179" t="str">
            <v>라세티1.5</v>
          </cell>
        </row>
        <row r="180">
          <cell r="A180">
            <v>0</v>
          </cell>
        </row>
        <row r="181">
          <cell r="A181" t="str">
            <v>젠트라1.5</v>
          </cell>
        </row>
        <row r="182">
          <cell r="A182" t="str">
            <v>젠트라1.6</v>
          </cell>
        </row>
        <row r="183">
          <cell r="A183" t="str">
            <v>젠트라1.2</v>
          </cell>
        </row>
        <row r="185">
          <cell r="A185" t="str">
            <v>칼로스1.2</v>
          </cell>
        </row>
        <row r="186">
          <cell r="A186" t="str">
            <v>칼로스1.5</v>
          </cell>
        </row>
        <row r="187">
          <cell r="A187" t="str">
            <v>티코</v>
          </cell>
        </row>
        <row r="188">
          <cell r="A188" t="str">
            <v>다마스</v>
          </cell>
        </row>
        <row r="189">
          <cell r="A189" t="str">
            <v>다마스밴</v>
          </cell>
        </row>
        <row r="190">
          <cell r="A190" t="str">
            <v>다마스5</v>
          </cell>
        </row>
        <row r="191">
          <cell r="A191" t="str">
            <v>다마스7</v>
          </cell>
        </row>
        <row r="192">
          <cell r="A192" t="str">
            <v>레간자</v>
          </cell>
        </row>
        <row r="193">
          <cell r="A193" t="str">
            <v>레간자2.0</v>
          </cell>
        </row>
        <row r="194">
          <cell r="A194" t="str">
            <v>라보</v>
          </cell>
        </row>
        <row r="195">
          <cell r="A195" t="str">
            <v>라보롱카고</v>
          </cell>
        </row>
        <row r="196">
          <cell r="A196">
            <v>0</v>
          </cell>
        </row>
        <row r="197">
          <cell r="A197" t="str">
            <v>라보5MT</v>
          </cell>
        </row>
        <row r="198">
          <cell r="A198" t="str">
            <v>CR-V</v>
          </cell>
        </row>
        <row r="199">
          <cell r="A199" t="str">
            <v>쏘울</v>
          </cell>
        </row>
        <row r="200">
          <cell r="A200" t="str">
            <v>모닝</v>
          </cell>
        </row>
        <row r="201">
          <cell r="A201" t="str">
            <v>쏘렌토</v>
          </cell>
        </row>
        <row r="202">
          <cell r="A202" t="str">
            <v>쏘렌토gl</v>
          </cell>
        </row>
        <row r="203">
          <cell r="A203" t="str">
            <v>쏘렌토GLS</v>
          </cell>
        </row>
        <row r="204">
          <cell r="A204">
            <v>0</v>
          </cell>
        </row>
        <row r="205">
          <cell r="A205" t="str">
            <v>파맥스</v>
          </cell>
        </row>
        <row r="206">
          <cell r="A206" t="str">
            <v>타우너</v>
          </cell>
        </row>
        <row r="207">
          <cell r="A207" t="str">
            <v>프레지오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 t="str">
            <v>오피러스</v>
          </cell>
        </row>
        <row r="213">
          <cell r="A213" t="str">
            <v>옵티마</v>
          </cell>
        </row>
        <row r="214">
          <cell r="A214" t="str">
            <v>옵티마리갈</v>
          </cell>
        </row>
        <row r="215">
          <cell r="A215" t="str">
            <v>sm3</v>
          </cell>
        </row>
        <row r="216">
          <cell r="A216">
            <v>520</v>
          </cell>
        </row>
        <row r="217">
          <cell r="A217" t="str">
            <v>520 LPG</v>
          </cell>
        </row>
        <row r="218">
          <cell r="A218">
            <v>518</v>
          </cell>
        </row>
        <row r="219">
          <cell r="A219" t="str">
            <v>525V</v>
          </cell>
        </row>
        <row r="220">
          <cell r="A220" t="str">
            <v>520v</v>
          </cell>
        </row>
        <row r="221">
          <cell r="A221">
            <v>518</v>
          </cell>
        </row>
        <row r="222">
          <cell r="A222" t="str">
            <v>시에로</v>
          </cell>
        </row>
        <row r="223">
          <cell r="A223">
            <v>518</v>
          </cell>
        </row>
        <row r="224">
          <cell r="A224">
            <v>518</v>
          </cell>
        </row>
        <row r="225">
          <cell r="A225">
            <v>518</v>
          </cell>
        </row>
        <row r="226">
          <cell r="A226">
            <v>518</v>
          </cell>
        </row>
        <row r="227">
          <cell r="A227">
            <v>518</v>
          </cell>
        </row>
        <row r="228">
          <cell r="A228">
            <v>518</v>
          </cell>
        </row>
        <row r="229">
          <cell r="A229" t="str">
            <v>bmw525i</v>
          </cell>
        </row>
        <row r="230">
          <cell r="A230">
            <v>518</v>
          </cell>
        </row>
        <row r="231">
          <cell r="A231">
            <v>518</v>
          </cell>
        </row>
        <row r="232">
          <cell r="A232">
            <v>518</v>
          </cell>
        </row>
        <row r="233">
          <cell r="A233">
            <v>518</v>
          </cell>
        </row>
        <row r="234">
          <cell r="A234">
            <v>518</v>
          </cell>
        </row>
        <row r="235">
          <cell r="A235" t="str">
            <v>무쏘</v>
          </cell>
        </row>
        <row r="236">
          <cell r="A236" t="str">
            <v>뉴무쏘</v>
          </cell>
        </row>
        <row r="237">
          <cell r="A237" t="str">
            <v>카니발</v>
          </cell>
        </row>
        <row r="238">
          <cell r="A238" t="str">
            <v>카니발2</v>
          </cell>
        </row>
        <row r="239">
          <cell r="A239" t="str">
            <v>카렌스</v>
          </cell>
        </row>
        <row r="240">
          <cell r="A240" t="str">
            <v>렉스턴</v>
          </cell>
        </row>
        <row r="241">
          <cell r="A241" t="str">
            <v>체어맨</v>
          </cell>
        </row>
        <row r="242">
          <cell r="A242">
            <v>518</v>
          </cell>
        </row>
        <row r="243">
          <cell r="A243">
            <v>518</v>
          </cell>
        </row>
        <row r="244">
          <cell r="A244" t="str">
            <v>이스타나</v>
          </cell>
        </row>
        <row r="245">
          <cell r="A245" t="str">
            <v>이스타나15</v>
          </cell>
        </row>
        <row r="246">
          <cell r="A246" t="str">
            <v>이스타나12</v>
          </cell>
        </row>
        <row r="247">
          <cell r="A247" t="str">
            <v>이스타나6밴</v>
          </cell>
        </row>
        <row r="248">
          <cell r="A248" t="str">
            <v>엑티언</v>
          </cell>
        </row>
        <row r="249">
          <cell r="A249" t="str">
            <v>엑티언스포츠</v>
          </cell>
        </row>
        <row r="250">
          <cell r="A250" t="str">
            <v>코란도</v>
          </cell>
        </row>
        <row r="251">
          <cell r="A251" t="str">
            <v>렉서스ES330</v>
          </cell>
        </row>
        <row r="252">
          <cell r="A252" t="str">
            <v>렉서스ES350</v>
          </cell>
        </row>
        <row r="253">
          <cell r="A253" t="str">
            <v>렉서스LS430</v>
          </cell>
        </row>
        <row r="254">
          <cell r="A254" t="str">
            <v>렉서스GS300</v>
          </cell>
        </row>
        <row r="255">
          <cell r="A255" t="str">
            <v>렉서스LS460</v>
          </cell>
        </row>
        <row r="256">
          <cell r="A256" t="str">
            <v>렉서스LS460L</v>
          </cell>
        </row>
        <row r="257">
          <cell r="A257" t="str">
            <v>벤츠 C-240</v>
          </cell>
        </row>
        <row r="258">
          <cell r="A258" t="str">
            <v>아우디a6</v>
          </cell>
        </row>
        <row r="259">
          <cell r="A259" t="str">
            <v>아우디a4</v>
          </cell>
        </row>
        <row r="260">
          <cell r="A260" t="str">
            <v>엑센트</v>
          </cell>
        </row>
        <row r="261">
          <cell r="A261" t="str">
            <v>스타렉스인터쿨러9인4WD</v>
          </cell>
        </row>
        <row r="262">
          <cell r="A262" t="str">
            <v>스타렉스9</v>
          </cell>
        </row>
        <row r="263">
          <cell r="A263" t="str">
            <v>뉴스타렉스4륜AT</v>
          </cell>
        </row>
        <row r="264">
          <cell r="A264" t="str">
            <v>스타렉스인터쿨러단축9인</v>
          </cell>
        </row>
        <row r="265">
          <cell r="A265" t="str">
            <v>프라이드해치백</v>
          </cell>
        </row>
        <row r="266">
          <cell r="A266" t="str">
            <v>싼타페AT</v>
          </cell>
        </row>
        <row r="267">
          <cell r="A267" t="str">
            <v>뉴스타렉스12</v>
          </cell>
        </row>
        <row r="268">
          <cell r="A268" t="str">
            <v>포터II냉동탑차</v>
          </cell>
        </row>
        <row r="269">
          <cell r="A269" t="str">
            <v>포터II슈퍼캡냉동탑차</v>
          </cell>
        </row>
        <row r="270">
          <cell r="A270" t="str">
            <v>다마스5인승</v>
          </cell>
        </row>
        <row r="271">
          <cell r="A271" t="str">
            <v>카운티25</v>
          </cell>
        </row>
        <row r="272">
          <cell r="A272" t="str">
            <v>프라이드가솔린해치</v>
          </cell>
        </row>
        <row r="273">
          <cell r="A273" t="str">
            <v>봉고 III 코치15</v>
          </cell>
        </row>
        <row r="274">
          <cell r="A274" t="str">
            <v>그레이스15인승</v>
          </cell>
        </row>
        <row r="275">
          <cell r="A275" t="str">
            <v>프라이드해치백디젤</v>
          </cell>
        </row>
        <row r="276">
          <cell r="A276" t="str">
            <v>올뉴마티즈</v>
          </cell>
        </row>
        <row r="277">
          <cell r="A277" t="str">
            <v>갤로퍼</v>
          </cell>
        </row>
        <row r="278">
          <cell r="A278" t="str">
            <v>그랜드스타렉스12</v>
          </cell>
        </row>
        <row r="279">
          <cell r="A279" t="str">
            <v>투싼 AT</v>
          </cell>
        </row>
        <row r="280">
          <cell r="A280" t="str">
            <v>봉고 III 1.2톤카고</v>
          </cell>
        </row>
        <row r="281">
          <cell r="A281" t="str">
            <v>투싼 CRDI</v>
          </cell>
        </row>
        <row r="282">
          <cell r="A282" t="str">
            <v>카운티25</v>
          </cell>
        </row>
        <row r="283">
          <cell r="A283" t="str">
            <v>그레이스터보15인</v>
          </cell>
        </row>
        <row r="284">
          <cell r="A284" t="str">
            <v>그레이스터보15인승</v>
          </cell>
        </row>
        <row r="285">
          <cell r="A285" t="str">
            <v>포터II냉동탑차</v>
          </cell>
        </row>
        <row r="286">
          <cell r="A286" t="str">
            <v>봉고 III 코치15</v>
          </cell>
        </row>
        <row r="287">
          <cell r="A287" t="str">
            <v>봉고 III 1톤카고</v>
          </cell>
        </row>
        <row r="288">
          <cell r="A288" t="str">
            <v>봉고III 코치</v>
          </cell>
        </row>
        <row r="289">
          <cell r="A289" t="str">
            <v>봉고III 1톤</v>
          </cell>
        </row>
        <row r="290">
          <cell r="A290" t="str">
            <v>봉고 III 12인승</v>
          </cell>
        </row>
        <row r="291">
          <cell r="A291" t="str">
            <v>오텍파라메딕특수구급차</v>
          </cell>
        </row>
        <row r="292">
          <cell r="A292" t="str">
            <v>봉고 III 카고</v>
          </cell>
        </row>
        <row r="293">
          <cell r="A293" t="str">
            <v>스타렉스4wdAT</v>
          </cell>
        </row>
        <row r="294">
          <cell r="A294" t="str">
            <v>포터II 카고</v>
          </cell>
        </row>
        <row r="295">
          <cell r="A295" t="str">
            <v>프라이드1.6</v>
          </cell>
        </row>
        <row r="296">
          <cell r="A296" t="str">
            <v>스타렉스7인승</v>
          </cell>
        </row>
        <row r="297">
          <cell r="A297" t="str">
            <v>뉴스타렉스9</v>
          </cell>
        </row>
        <row r="298">
          <cell r="A298" t="str">
            <v>봉고III냉탑</v>
          </cell>
        </row>
        <row r="299">
          <cell r="A299" t="str">
            <v>프라이드해치백디젤</v>
          </cell>
        </row>
        <row r="300">
          <cell r="A300" t="str">
            <v>테라칸ex</v>
          </cell>
        </row>
        <row r="301">
          <cell r="A301" t="str">
            <v>라세티</v>
          </cell>
        </row>
        <row r="302">
          <cell r="A302" t="str">
            <v>뉴스타렉스12</v>
          </cell>
        </row>
        <row r="303">
          <cell r="A303" t="str">
            <v>봉고III코치</v>
          </cell>
        </row>
        <row r="304">
          <cell r="A304" t="str">
            <v>뉴스타렉스</v>
          </cell>
        </row>
        <row r="305">
          <cell r="A305" t="str">
            <v>테라칸 JX250</v>
          </cell>
        </row>
        <row r="306">
          <cell r="A306" t="str">
            <v>스타렉스4륜</v>
          </cell>
        </row>
        <row r="307">
          <cell r="A307" t="str">
            <v>뉴스타렉스사륜</v>
          </cell>
        </row>
        <row r="308">
          <cell r="A308" t="str">
            <v>라세티해치백가솔린</v>
          </cell>
        </row>
        <row r="309">
          <cell r="A309" t="str">
            <v>스타렉스사륜</v>
          </cell>
        </row>
        <row r="310">
          <cell r="A310" t="str">
            <v>갤로퍼II승합</v>
          </cell>
        </row>
        <row r="311">
          <cell r="A311" t="str">
            <v>갤로퍼</v>
          </cell>
        </row>
        <row r="312">
          <cell r="A312" t="str">
            <v>라세티해치백</v>
          </cell>
        </row>
        <row r="313">
          <cell r="A313" t="str">
            <v>뉴스타렉스12인승2륜</v>
          </cell>
        </row>
        <row r="314">
          <cell r="A314">
            <v>518</v>
          </cell>
        </row>
        <row r="315">
          <cell r="A315">
            <v>518</v>
          </cell>
        </row>
        <row r="316">
          <cell r="A316">
            <v>518</v>
          </cell>
        </row>
        <row r="317">
          <cell r="A317">
            <v>518</v>
          </cell>
        </row>
        <row r="318">
          <cell r="A318">
            <v>518</v>
          </cell>
        </row>
        <row r="319">
          <cell r="A319">
            <v>518</v>
          </cell>
        </row>
        <row r="320">
          <cell r="A320">
            <v>518</v>
          </cell>
        </row>
        <row r="321">
          <cell r="A321">
            <v>518</v>
          </cell>
        </row>
        <row r="322">
          <cell r="A322">
            <v>518</v>
          </cell>
        </row>
        <row r="323">
          <cell r="A323">
            <v>518</v>
          </cell>
        </row>
        <row r="324">
          <cell r="A324">
            <v>518</v>
          </cell>
        </row>
        <row r="325">
          <cell r="A325">
            <v>518</v>
          </cell>
        </row>
        <row r="326">
          <cell r="A326">
            <v>518</v>
          </cell>
        </row>
        <row r="327">
          <cell r="A327">
            <v>518</v>
          </cell>
        </row>
        <row r="328">
          <cell r="A328">
            <v>518</v>
          </cell>
        </row>
        <row r="329">
          <cell r="A329">
            <v>518</v>
          </cell>
        </row>
        <row r="330">
          <cell r="A330">
            <v>518</v>
          </cell>
        </row>
        <row r="331">
          <cell r="A331">
            <v>518</v>
          </cell>
        </row>
        <row r="332">
          <cell r="A332">
            <v>518</v>
          </cell>
        </row>
        <row r="333">
          <cell r="A333">
            <v>518</v>
          </cell>
        </row>
        <row r="334">
          <cell r="A334">
            <v>518</v>
          </cell>
        </row>
        <row r="335">
          <cell r="A335">
            <v>518</v>
          </cell>
        </row>
        <row r="336">
          <cell r="A336">
            <v>518</v>
          </cell>
        </row>
        <row r="337">
          <cell r="A337">
            <v>518</v>
          </cell>
        </row>
        <row r="338">
          <cell r="A338">
            <v>518</v>
          </cell>
        </row>
        <row r="339">
          <cell r="A339">
            <v>518</v>
          </cell>
        </row>
        <row r="340">
          <cell r="A340">
            <v>518</v>
          </cell>
        </row>
        <row r="341">
          <cell r="A341">
            <v>518</v>
          </cell>
        </row>
      </sheetData>
      <sheetData sheetId="2"/>
      <sheetData sheetId="3"/>
      <sheetData sheetId="4"/>
      <sheetData sheetId="5"/>
      <sheetData sheetId="6">
        <row r="2">
          <cell r="G2" t="str">
            <v>KJ1705-22</v>
          </cell>
        </row>
        <row r="3">
          <cell r="B3">
            <v>2017</v>
          </cell>
          <cell r="C3">
            <v>5</v>
          </cell>
          <cell r="G3">
            <v>5</v>
          </cell>
          <cell r="J3">
            <v>42856</v>
          </cell>
        </row>
        <row r="4">
          <cell r="J4">
            <v>5</v>
          </cell>
        </row>
        <row r="12">
          <cell r="B12">
            <v>5</v>
          </cell>
          <cell r="C12">
            <v>5</v>
          </cell>
          <cell r="D12">
            <v>5</v>
          </cell>
          <cell r="E12">
            <v>5</v>
          </cell>
          <cell r="F12">
            <v>5</v>
          </cell>
          <cell r="G12">
            <v>5</v>
          </cell>
          <cell r="H12">
            <v>5</v>
          </cell>
          <cell r="I12">
            <v>5</v>
          </cell>
          <cell r="J12">
            <v>5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Q12">
            <v>0</v>
          </cell>
          <cell r="R12">
            <v>0</v>
          </cell>
          <cell r="S12">
            <v>0</v>
          </cell>
          <cell r="T12">
            <v>31</v>
          </cell>
          <cell r="U12">
            <v>0</v>
          </cell>
          <cell r="V12">
            <v>0</v>
          </cell>
          <cell r="X12">
            <v>0</v>
          </cell>
          <cell r="Y12">
            <v>0</v>
          </cell>
          <cell r="Z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</row>
        <row r="13">
          <cell r="B13">
            <v>0</v>
          </cell>
          <cell r="C13">
            <v>0</v>
          </cell>
          <cell r="D13" t="str">
            <v>매매계약서</v>
          </cell>
          <cell r="E13">
            <v>0</v>
          </cell>
          <cell r="F13">
            <v>0</v>
          </cell>
          <cell r="G13">
            <v>0</v>
          </cell>
          <cell r="H13" t="str">
            <v>재고</v>
          </cell>
          <cell r="I13">
            <v>284</v>
          </cell>
          <cell r="J13">
            <v>284</v>
          </cell>
          <cell r="K13">
            <v>284</v>
          </cell>
          <cell r="L13">
            <v>31</v>
          </cell>
          <cell r="M13">
            <v>31</v>
          </cell>
          <cell r="N13">
            <v>31</v>
          </cell>
          <cell r="Q13">
            <v>31</v>
          </cell>
          <cell r="R13">
            <v>31</v>
          </cell>
          <cell r="S13">
            <v>31</v>
          </cell>
          <cell r="T13">
            <v>31</v>
          </cell>
          <cell r="U13">
            <v>31</v>
          </cell>
          <cell r="V13">
            <v>31</v>
          </cell>
          <cell r="W13">
            <v>31</v>
          </cell>
          <cell r="X13">
            <v>31</v>
          </cell>
          <cell r="Y13">
            <v>31</v>
          </cell>
          <cell r="Z13">
            <v>31</v>
          </cell>
          <cell r="AB13">
            <v>31</v>
          </cell>
          <cell r="AC13">
            <v>31</v>
          </cell>
          <cell r="AD13">
            <v>31</v>
          </cell>
          <cell r="AE13">
            <v>31</v>
          </cell>
          <cell r="AF13">
            <v>31</v>
          </cell>
          <cell r="AG13">
            <v>31</v>
          </cell>
          <cell r="AH13">
            <v>31</v>
          </cell>
          <cell r="AI13">
            <v>31</v>
          </cell>
          <cell r="AJ13">
            <v>31</v>
          </cell>
          <cell r="AK13">
            <v>31</v>
          </cell>
          <cell r="AL13" t="str">
            <v>전체</v>
          </cell>
        </row>
        <row r="14">
          <cell r="B14" t="str">
            <v>구분입력</v>
          </cell>
          <cell r="C14" t="str">
            <v>2회사</v>
          </cell>
          <cell r="D14" t="str">
            <v>3번호</v>
          </cell>
          <cell r="E14" t="str">
            <v>4날짜</v>
          </cell>
          <cell r="F14" t="str">
            <v>5차번</v>
          </cell>
          <cell r="G14" t="str">
            <v>6차명</v>
          </cell>
          <cell r="H14" t="str">
            <v>7연식</v>
          </cell>
          <cell r="I14" t="str">
            <v>8세금계산서</v>
          </cell>
          <cell r="J14" t="str">
            <v>9면장액</v>
          </cell>
          <cell r="K14" t="str">
            <v>10영세율</v>
          </cell>
          <cell r="L14" t="str">
            <v>11등록번호</v>
          </cell>
          <cell r="M14" t="str">
            <v>12매출일</v>
          </cell>
          <cell r="N14" t="str">
            <v>13차대번호</v>
          </cell>
          <cell r="O14" t="str">
            <v>14말소일</v>
          </cell>
          <cell r="P14" t="str">
            <v>15관청</v>
          </cell>
          <cell r="Q14" t="str">
            <v>16메모</v>
          </cell>
          <cell r="R14" t="str">
            <v>17면장</v>
          </cell>
          <cell r="S14" t="str">
            <v>18면장번호</v>
          </cell>
          <cell r="T14" t="str">
            <v>선적
업체20</v>
          </cell>
          <cell r="U14" t="str">
            <v>b/l no.21</v>
          </cell>
          <cell r="V14" t="str">
            <v>21색깔</v>
          </cell>
          <cell r="W14" t="str">
            <v>도착지22</v>
          </cell>
          <cell r="X14" t="str">
            <v>매입처23</v>
          </cell>
          <cell r="Y14" t="str">
            <v>CONSIGNEE24</v>
          </cell>
          <cell r="Z14" t="str">
            <v>팩스25</v>
          </cell>
          <cell r="AA14" t="str">
            <v>전화번호26</v>
          </cell>
          <cell r="AB14" t="str">
            <v>실매입금27</v>
          </cell>
          <cell r="AC14" t="str">
            <v>선입금28</v>
          </cell>
          <cell r="AD14" t="str">
            <v>잔금29</v>
          </cell>
          <cell r="AE14" t="str">
            <v>실거래 차액30</v>
          </cell>
          <cell r="AF14" t="str">
            <v>차액받은날</v>
          </cell>
          <cell r="AG14" t="str">
            <v>수출이행32</v>
          </cell>
          <cell r="AH14" t="str">
            <v>계산서/환급33</v>
          </cell>
          <cell r="AI14" t="str">
            <v>차주성명34</v>
          </cell>
          <cell r="AJ14" t="str">
            <v>주민등록번호35</v>
          </cell>
          <cell r="AK14" t="str">
            <v>주소36</v>
          </cell>
          <cell r="AL14" t="str">
            <v>현재고</v>
          </cell>
        </row>
        <row r="15">
          <cell r="B15">
            <v>530</v>
          </cell>
          <cell r="C15" t="str">
            <v>성신</v>
          </cell>
          <cell r="D15" t="str">
            <v>1 / No.1</v>
          </cell>
          <cell r="E15">
            <v>42873.019456018519</v>
          </cell>
          <cell r="F15" t="str">
            <v>마티즈</v>
          </cell>
          <cell r="G15" t="str">
            <v xml:space="preserve">DAEWOO  MATIZ </v>
          </cell>
          <cell r="H15" t="str">
            <v>2001</v>
          </cell>
          <cell r="I15">
            <v>42873</v>
          </cell>
          <cell r="J15">
            <v>0</v>
          </cell>
          <cell r="K15">
            <v>1600000</v>
          </cell>
          <cell r="L15" t="str">
            <v>17소8195</v>
          </cell>
          <cell r="M15">
            <v>1600000</v>
          </cell>
          <cell r="N15" t="str">
            <v>KLY4A11BD1C726117</v>
          </cell>
          <cell r="O15">
            <v>42607</v>
          </cell>
          <cell r="P15" t="str">
            <v>인천광역시 연수구청장</v>
          </cell>
          <cell r="Q15">
            <v>42607</v>
          </cell>
          <cell r="R15">
            <v>42768</v>
          </cell>
          <cell r="S15">
            <v>4374</v>
          </cell>
          <cell r="T15">
            <v>4374</v>
          </cell>
          <cell r="U15">
            <v>4374</v>
          </cell>
          <cell r="V15">
            <v>4374</v>
          </cell>
          <cell r="W15" t="str">
            <v>UZB</v>
          </cell>
          <cell r="X15" t="str">
            <v>구자견 이사</v>
          </cell>
          <cell r="Y15"/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 t="str">
            <v>개인</v>
          </cell>
          <cell r="AI15" t="str">
            <v>김용식</v>
          </cell>
          <cell r="AJ15" t="str">
            <v>650704-1471211</v>
          </cell>
          <cell r="AK15" t="str">
            <v>인천시 부평구 장제로 28번길</v>
          </cell>
          <cell r="AL15" t="str">
            <v>SSYA1701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 (3)"/>
      <sheetName val="1"/>
      <sheetName val="1(2)"/>
      <sheetName val="2"/>
      <sheetName val="2 (2)"/>
      <sheetName val="3"/>
      <sheetName val="3(2)"/>
      <sheetName val="4"/>
      <sheetName val="4 (2)"/>
      <sheetName val="5"/>
      <sheetName val="5 (2)"/>
      <sheetName val="6"/>
      <sheetName val="6 (2)"/>
      <sheetName val="7"/>
      <sheetName val="7 (2)"/>
      <sheetName val="8"/>
      <sheetName val="8 (2)"/>
      <sheetName val="9"/>
      <sheetName val="9 (2)"/>
      <sheetName val="10"/>
      <sheetName val="10 (2)"/>
      <sheetName val="11"/>
      <sheetName val="11 (2)"/>
      <sheetName val="12"/>
      <sheetName val="12 (2)"/>
      <sheetName val="집계표"/>
      <sheetName val="잔액"/>
      <sheetName val="12_(3)"/>
      <sheetName val="2_(2)"/>
      <sheetName val="4_(2)"/>
      <sheetName val="5_(2)"/>
      <sheetName val="6_(2)"/>
      <sheetName val="7_(2)"/>
      <sheetName val="8_(2)"/>
      <sheetName val="9_(2)"/>
      <sheetName val="10_(2)"/>
      <sheetName val="11_(2)"/>
      <sheetName val="12_(2)"/>
      <sheetName val="12_(3)1"/>
      <sheetName val="2_(2)1"/>
      <sheetName val="4_(2)1"/>
      <sheetName val="5_(2)1"/>
      <sheetName val="6_(2)1"/>
      <sheetName val="7_(2)1"/>
      <sheetName val="8_(2)1"/>
      <sheetName val="9_(2)1"/>
      <sheetName val="10_(2)1"/>
      <sheetName val="11_(2)1"/>
      <sheetName val="12_(2)1"/>
      <sheetName val="12_(3)2"/>
      <sheetName val="2_(2)2"/>
      <sheetName val="4_(2)2"/>
      <sheetName val="5_(2)2"/>
      <sheetName val="6_(2)2"/>
      <sheetName val="7_(2)2"/>
      <sheetName val="8_(2)2"/>
      <sheetName val="9_(2)2"/>
      <sheetName val="10_(2)2"/>
      <sheetName val="11_(2)2"/>
      <sheetName val="12_(2)2"/>
      <sheetName val="12_(3)3"/>
      <sheetName val="2_(2)3"/>
      <sheetName val="4_(2)3"/>
      <sheetName val="5_(2)3"/>
      <sheetName val="6_(2)3"/>
      <sheetName val="7_(2)3"/>
      <sheetName val="8_(2)3"/>
      <sheetName val="9_(2)3"/>
      <sheetName val="10_(2)3"/>
      <sheetName val="11_(2)3"/>
      <sheetName val="12_(2)3"/>
      <sheetName val="12_(3)4"/>
      <sheetName val="2_(2)4"/>
      <sheetName val="4_(2)4"/>
      <sheetName val="5_(2)4"/>
      <sheetName val="6_(2)4"/>
      <sheetName val="7_(2)4"/>
      <sheetName val="8_(2)4"/>
      <sheetName val="9_(2)4"/>
      <sheetName val="10_(2)4"/>
      <sheetName val="11_(2)4"/>
      <sheetName val="12_(2)4"/>
      <sheetName val="12_(3)5"/>
      <sheetName val="2_(2)5"/>
      <sheetName val="4_(2)5"/>
      <sheetName val="5_(2)5"/>
      <sheetName val="6_(2)5"/>
      <sheetName val="7_(2)5"/>
      <sheetName val="8_(2)5"/>
      <sheetName val="9_(2)5"/>
      <sheetName val="10_(2)5"/>
      <sheetName val="11_(2)5"/>
      <sheetName val="12_(2)5"/>
      <sheetName val="12_(3)6"/>
      <sheetName val="2_(2)6"/>
      <sheetName val="4_(2)6"/>
      <sheetName val="5_(2)6"/>
      <sheetName val="6_(2)6"/>
      <sheetName val="7_(2)6"/>
      <sheetName val="8_(2)6"/>
      <sheetName val="9_(2)6"/>
      <sheetName val="10_(2)6"/>
      <sheetName val="11_(2)6"/>
      <sheetName val="12_(2)6"/>
      <sheetName val="12_(3)7"/>
      <sheetName val="2_(2)7"/>
      <sheetName val="4_(2)7"/>
      <sheetName val="5_(2)7"/>
      <sheetName val="6_(2)7"/>
      <sheetName val="7_(2)7"/>
      <sheetName val="8_(2)7"/>
      <sheetName val="9_(2)7"/>
      <sheetName val="10_(2)7"/>
      <sheetName val="11_(2)7"/>
      <sheetName val="12_(2)7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판매내역"/>
      <sheetName val="판매보고 EUR)"/>
      <sheetName val="shipping mark"/>
      <sheetName val="선적지시서(RORO)EURO"/>
      <sheetName val="판매보고 USD"/>
      <sheetName val="Invoice-dollar"/>
      <sheetName val="선적지시서(RORO)DOLLAR"/>
      <sheetName val="Invoice-사무실"/>
      <sheetName val="Invoice-사무실 office"/>
      <sheetName val="Invoice-사무실 office (2)"/>
      <sheetName val="Invoice-buyer (4)"/>
      <sheetName val="Invoice-buyer (5)"/>
      <sheetName val="heyman-rsh"/>
      <sheetName val="Invoice-사무실 -HEYMAN"/>
      <sheetName val="Invoice-사무실 (9)"/>
      <sheetName val="shipping"/>
      <sheetName val="shipping HEYMAN"/>
      <sheetName val="shipping (3)"/>
      <sheetName val="shipping (2)"/>
    </sheetNames>
    <sheetDataSet>
      <sheetData sheetId="0">
        <row r="2">
          <cell r="A2" t="str">
            <v>번호</v>
          </cell>
          <cell r="B2" t="str">
            <v>구입일자</v>
          </cell>
          <cell r="C2" t="str">
            <v>차 명</v>
          </cell>
          <cell r="D2" t="str">
            <v>brand</v>
          </cell>
          <cell r="E2" t="str">
            <v>차명</v>
          </cell>
          <cell r="F2" t="str">
            <v>년식</v>
          </cell>
          <cell r="G2" t="str">
            <v>차량번호</v>
          </cell>
          <cell r="H2" t="str">
            <v>차대번호</v>
          </cell>
          <cell r="I2" t="str">
            <v>탁송</v>
          </cell>
          <cell r="J2" t="str">
            <v>구입처</v>
          </cell>
          <cell r="K2" t="str">
            <v>vessel</v>
          </cell>
          <cell r="L2" t="str">
            <v>송금내역확인</v>
          </cell>
          <cell r="M2" t="str">
            <v>진행</v>
          </cell>
          <cell r="N2" t="str">
            <v>구입금액</v>
          </cell>
          <cell r="O2" t="str">
            <v>매도비</v>
          </cell>
          <cell r="P2" t="str">
            <v>매입합계</v>
          </cell>
          <cell r="Q2" t="str">
            <v>재고/판매</v>
          </cell>
          <cell r="R2" t="str">
            <v>캐리어 날짜</v>
          </cell>
          <cell r="S2" t="str">
            <v>판매사항</v>
          </cell>
          <cell r="T2" t="str">
            <v>컨사이니</v>
          </cell>
          <cell r="U2" t="str">
            <v>ID</v>
          </cell>
          <cell r="V2" t="str">
            <v>TELE</v>
          </cell>
          <cell r="W2" t="str">
            <v>address</v>
          </cell>
          <cell r="X2" t="str">
            <v>환율</v>
          </cell>
          <cell r="Y2" t="str">
            <v>판매금액</v>
          </cell>
          <cell r="Z2" t="str">
            <v>운임</v>
          </cell>
          <cell r="AA2" t="str">
            <v>판매총합계</v>
          </cell>
          <cell r="AB2" t="str">
            <v>환율(유로)</v>
          </cell>
          <cell r="AC2" t="str">
            <v>판매금액</v>
          </cell>
          <cell r="AD2" t="str">
            <v>운임비</v>
          </cell>
          <cell r="AE2" t="str">
            <v>판매총합계</v>
          </cell>
          <cell r="AF2" t="str">
            <v>invoice</v>
          </cell>
        </row>
        <row r="3">
          <cell r="A3">
            <v>1</v>
          </cell>
          <cell r="B3">
            <v>45863</v>
          </cell>
          <cell r="C3" t="str">
            <v>VOLKSWAGENS GOLF GTD BMT</v>
          </cell>
          <cell r="D3" t="str">
            <v>VOLKSWAGENS</v>
          </cell>
          <cell r="E3" t="str">
            <v>GOLF GTD BMT</v>
          </cell>
          <cell r="G3" t="str">
            <v>285다2414</v>
          </cell>
          <cell r="H3" t="str">
            <v>WVWZZZAUZFW008430</v>
          </cell>
          <cell r="J3" t="str">
            <v>오토피아</v>
          </cell>
          <cell r="L3" t="str">
            <v>잔금</v>
          </cell>
          <cell r="N3">
            <v>9300000</v>
          </cell>
          <cell r="O3">
            <v>440000</v>
          </cell>
          <cell r="P3">
            <v>9740000</v>
          </cell>
          <cell r="Q3" t="str">
            <v>done</v>
          </cell>
          <cell r="S3" t="str">
            <v>Calja</v>
          </cell>
          <cell r="T3" t="str">
            <v>Calja</v>
          </cell>
          <cell r="U3" t="str">
            <v>M43323203V</v>
          </cell>
          <cell r="V3" t="str">
            <v>355 69 550 5533</v>
          </cell>
          <cell r="W3" t="str">
            <v>Albania</v>
          </cell>
          <cell r="X3">
            <v>1371</v>
          </cell>
          <cell r="AB3">
            <v>1602</v>
          </cell>
          <cell r="AC3">
            <v>5891</v>
          </cell>
          <cell r="AD3">
            <v>1429</v>
          </cell>
          <cell r="AE3">
            <v>7320</v>
          </cell>
          <cell r="AF3">
            <v>4500</v>
          </cell>
        </row>
        <row r="4">
          <cell r="A4">
            <v>2</v>
          </cell>
          <cell r="B4">
            <v>45863</v>
          </cell>
          <cell r="C4" t="str">
            <v>HYUNDAI TUCSON</v>
          </cell>
          <cell r="D4" t="str">
            <v>HYUNDAI</v>
          </cell>
          <cell r="E4" t="str">
            <v>TUCSON</v>
          </cell>
          <cell r="G4" t="str">
            <v>20로8246</v>
          </cell>
          <cell r="H4" t="str">
            <v>KMHJ3815GGU055023</v>
          </cell>
          <cell r="L4" t="str">
            <v>잔금</v>
          </cell>
          <cell r="N4">
            <v>796</v>
          </cell>
          <cell r="O4">
            <v>44</v>
          </cell>
          <cell r="P4">
            <v>840</v>
          </cell>
          <cell r="Q4" t="str">
            <v>done</v>
          </cell>
          <cell r="S4" t="str">
            <v>CALJA</v>
          </cell>
          <cell r="T4" t="str">
            <v>Calja</v>
          </cell>
          <cell r="U4" t="str">
            <v>M43323203V</v>
          </cell>
          <cell r="V4" t="str">
            <v>355 69 550 5533</v>
          </cell>
          <cell r="W4" t="str">
            <v>Albania</v>
          </cell>
          <cell r="X4">
            <v>1351</v>
          </cell>
          <cell r="AB4">
            <v>1584</v>
          </cell>
          <cell r="AE4">
            <v>0</v>
          </cell>
        </row>
        <row r="5">
          <cell r="A5">
            <v>3</v>
          </cell>
          <cell r="B5">
            <v>45867</v>
          </cell>
          <cell r="C5" t="str">
            <v>BENZ C220d</v>
          </cell>
          <cell r="D5" t="str">
            <v>BENZ</v>
          </cell>
          <cell r="E5" t="str">
            <v>C220d</v>
          </cell>
          <cell r="F5">
            <v>2017</v>
          </cell>
          <cell r="G5" t="str">
            <v>296서6646</v>
          </cell>
          <cell r="H5" t="str">
            <v>WDDWF0EBXHR257618</v>
          </cell>
          <cell r="J5" t="str">
            <v>오토피아</v>
          </cell>
          <cell r="L5" t="str">
            <v>잔금</v>
          </cell>
          <cell r="N5">
            <v>12800000</v>
          </cell>
          <cell r="O5">
            <v>440000</v>
          </cell>
          <cell r="P5">
            <v>13240000</v>
          </cell>
          <cell r="Q5" t="str">
            <v>done</v>
          </cell>
          <cell r="S5" t="str">
            <v>Calja</v>
          </cell>
          <cell r="T5" t="str">
            <v>Calja</v>
          </cell>
          <cell r="U5" t="str">
            <v>M43323203V</v>
          </cell>
          <cell r="V5" t="str">
            <v>355 69 550 5533</v>
          </cell>
          <cell r="W5" t="str">
            <v>Albania</v>
          </cell>
          <cell r="X5">
            <v>1375</v>
          </cell>
          <cell r="AB5">
            <v>1604</v>
          </cell>
          <cell r="AC5">
            <v>7958</v>
          </cell>
          <cell r="AD5">
            <v>1432</v>
          </cell>
          <cell r="AE5">
            <v>9390</v>
          </cell>
          <cell r="AF5">
            <v>7000</v>
          </cell>
        </row>
        <row r="6">
          <cell r="A6">
            <v>4</v>
          </cell>
          <cell r="B6">
            <v>45889</v>
          </cell>
          <cell r="C6" t="str">
            <v>BENZ E350D</v>
          </cell>
          <cell r="D6" t="str">
            <v>BENZ</v>
          </cell>
          <cell r="E6" t="str">
            <v>E350D</v>
          </cell>
          <cell r="G6" t="str">
            <v>02고5406</v>
          </cell>
          <cell r="H6" t="str">
            <v>WDDZF3DB6HA283308</v>
          </cell>
          <cell r="J6" t="str">
            <v>코리아모터스</v>
          </cell>
          <cell r="L6" t="str">
            <v>잔금</v>
          </cell>
          <cell r="N6">
            <v>18860000</v>
          </cell>
          <cell r="O6">
            <v>440000</v>
          </cell>
          <cell r="P6">
            <v>19300000</v>
          </cell>
          <cell r="Q6" t="str">
            <v>done</v>
          </cell>
          <cell r="S6" t="str">
            <v>CALJA</v>
          </cell>
          <cell r="T6" t="str">
            <v>Calja</v>
          </cell>
          <cell r="U6" t="str">
            <v>M43323203V</v>
          </cell>
          <cell r="V6" t="str">
            <v>355 69 550 5533</v>
          </cell>
          <cell r="W6" t="str">
            <v>Albania</v>
          </cell>
          <cell r="X6">
            <v>1376</v>
          </cell>
          <cell r="AB6">
            <v>1612</v>
          </cell>
          <cell r="AC6">
            <v>11465</v>
          </cell>
          <cell r="AD6">
            <v>1425</v>
          </cell>
          <cell r="AE6">
            <v>12890</v>
          </cell>
          <cell r="AF6">
            <v>7890</v>
          </cell>
        </row>
        <row r="7">
          <cell r="A7">
            <v>5</v>
          </cell>
          <cell r="B7">
            <v>45891</v>
          </cell>
          <cell r="C7" t="str">
            <v xml:space="preserve"> </v>
          </cell>
          <cell r="G7" t="str">
            <v>230우6331</v>
          </cell>
          <cell r="I7">
            <v>45898</v>
          </cell>
          <cell r="L7" t="str">
            <v>잔금</v>
          </cell>
          <cell r="N7">
            <v>34000000</v>
          </cell>
          <cell r="P7">
            <v>34000000</v>
          </cell>
          <cell r="Q7" t="str">
            <v>done</v>
          </cell>
          <cell r="AE7">
            <v>0</v>
          </cell>
        </row>
        <row r="8">
          <cell r="A8">
            <v>6</v>
          </cell>
          <cell r="B8">
            <v>45896</v>
          </cell>
          <cell r="C8" t="str">
            <v xml:space="preserve">AUDI A4 </v>
          </cell>
          <cell r="D8" t="str">
            <v>AUDI</v>
          </cell>
          <cell r="E8" t="str">
            <v xml:space="preserve">A4 </v>
          </cell>
          <cell r="G8" t="str">
            <v>355수5636</v>
          </cell>
          <cell r="H8" t="str">
            <v>WAUZZZF43LA063567</v>
          </cell>
          <cell r="L8" t="str">
            <v>잔금</v>
          </cell>
          <cell r="M8" t="str">
            <v>면장완</v>
          </cell>
          <cell r="P8">
            <v>0</v>
          </cell>
          <cell r="Q8" t="str">
            <v>done</v>
          </cell>
          <cell r="S8" t="str">
            <v>DONI</v>
          </cell>
          <cell r="T8" t="str">
            <v>DONI</v>
          </cell>
          <cell r="U8">
            <v>933682</v>
          </cell>
          <cell r="V8" t="str">
            <v>3 8 3 4 9 3 2 5 7 0 3</v>
          </cell>
          <cell r="W8" t="str">
            <v xml:space="preserve"> HYZRI TALLA OB 16 HY 1 NR 18
 Kosovë</v>
          </cell>
          <cell r="AE8">
            <v>0</v>
          </cell>
        </row>
        <row r="9">
          <cell r="A9">
            <v>7</v>
          </cell>
          <cell r="B9">
            <v>45896</v>
          </cell>
          <cell r="C9" t="str">
            <v xml:space="preserve">BENZ GLC220 </v>
          </cell>
          <cell r="D9" t="str">
            <v>BENZ</v>
          </cell>
          <cell r="E9" t="str">
            <v xml:space="preserve">GLC220 </v>
          </cell>
          <cell r="F9">
            <v>2017</v>
          </cell>
          <cell r="G9" t="str">
            <v>24러4457</v>
          </cell>
          <cell r="H9" t="str">
            <v xml:space="preserve">WDC0J0FB1HF220739 </v>
          </cell>
          <cell r="I9">
            <v>45901</v>
          </cell>
          <cell r="J9" t="str">
            <v>세이프중고차</v>
          </cell>
          <cell r="L9" t="str">
            <v>잔금</v>
          </cell>
          <cell r="M9" t="str">
            <v>면장완</v>
          </cell>
          <cell r="N9">
            <v>25160000</v>
          </cell>
          <cell r="O9">
            <v>440000</v>
          </cell>
          <cell r="P9">
            <v>25600000</v>
          </cell>
          <cell r="Q9" t="str">
            <v>done</v>
          </cell>
          <cell r="S9" t="str">
            <v>ARMIR</v>
          </cell>
          <cell r="T9" t="str">
            <v>VLADI BURIM</v>
          </cell>
          <cell r="U9" t="str">
            <v>ID1661508</v>
          </cell>
          <cell r="V9" t="str">
            <v>383 49 690 998</v>
          </cell>
          <cell r="W9" t="str">
            <v>KOSOVO</v>
          </cell>
          <cell r="X9">
            <v>1382</v>
          </cell>
          <cell r="AB9">
            <v>1608</v>
          </cell>
          <cell r="AC9">
            <v>15203</v>
          </cell>
          <cell r="AD9">
            <v>1607</v>
          </cell>
          <cell r="AE9">
            <v>16810</v>
          </cell>
        </row>
        <row r="10">
          <cell r="A10">
            <v>8</v>
          </cell>
          <cell r="B10">
            <v>45897</v>
          </cell>
          <cell r="C10" t="str">
            <v>KIA CARENS</v>
          </cell>
          <cell r="D10" t="str">
            <v>KIA</v>
          </cell>
          <cell r="E10" t="str">
            <v>CARENS</v>
          </cell>
          <cell r="G10" t="str">
            <v>48마4734</v>
          </cell>
          <cell r="H10" t="str">
            <v xml:space="preserve">KNAHU814BEK009302 </v>
          </cell>
          <cell r="I10">
            <v>45902</v>
          </cell>
          <cell r="J10" t="str">
            <v>달인상사</v>
          </cell>
          <cell r="L10" t="str">
            <v>잔금</v>
          </cell>
          <cell r="M10" t="str">
            <v>면장완</v>
          </cell>
          <cell r="N10">
            <v>7100000</v>
          </cell>
          <cell r="P10">
            <v>7100000</v>
          </cell>
          <cell r="Q10" t="str">
            <v>done</v>
          </cell>
          <cell r="S10" t="str">
            <v>RIZA</v>
          </cell>
          <cell r="T10" t="str">
            <v>PRESTIGE RENT</v>
          </cell>
          <cell r="U10" t="str">
            <v>M56929203H</v>
          </cell>
          <cell r="V10" t="str">
            <v>355 682769063</v>
          </cell>
          <cell r="W10" t="str">
            <v>Albania</v>
          </cell>
          <cell r="X10">
            <v>1378</v>
          </cell>
          <cell r="AB10">
            <v>1604</v>
          </cell>
          <cell r="AC10">
            <v>5019</v>
          </cell>
          <cell r="AD10">
            <v>1521</v>
          </cell>
          <cell r="AE10">
            <v>6540</v>
          </cell>
        </row>
        <row r="11">
          <cell r="A11">
            <v>9</v>
          </cell>
          <cell r="B11">
            <v>45897</v>
          </cell>
          <cell r="C11" t="str">
            <v>BMW 118D</v>
          </cell>
          <cell r="D11" t="str">
            <v>BMW</v>
          </cell>
          <cell r="E11" t="str">
            <v>118D</v>
          </cell>
          <cell r="G11" t="str">
            <v>348라2044</v>
          </cell>
          <cell r="H11" t="str">
            <v xml:space="preserve">WBA1S5102HV805164 </v>
          </cell>
          <cell r="L11" t="str">
            <v>잔금</v>
          </cell>
          <cell r="M11" t="str">
            <v>면장완</v>
          </cell>
          <cell r="N11">
            <v>9960000</v>
          </cell>
          <cell r="O11">
            <v>440000</v>
          </cell>
          <cell r="P11">
            <v>10400000</v>
          </cell>
          <cell r="Q11" t="str">
            <v>done</v>
          </cell>
          <cell r="S11" t="str">
            <v>Auto Posh SH.P.K</v>
          </cell>
          <cell r="T11" t="str">
            <v>Auto Posh SH.P.K</v>
          </cell>
          <cell r="U11">
            <v>812219427</v>
          </cell>
          <cell r="V11" t="str">
            <v>38345560145</v>
          </cell>
          <cell r="W11" t="str">
            <v xml:space="preserve"> Rruga Jakup Lami, Pn. Greme, Feriza</v>
          </cell>
          <cell r="X11">
            <v>1378</v>
          </cell>
          <cell r="AB11">
            <v>1604</v>
          </cell>
          <cell r="AC11">
            <v>6365</v>
          </cell>
          <cell r="AD11">
            <v>1435</v>
          </cell>
          <cell r="AE11">
            <v>7800</v>
          </cell>
        </row>
        <row r="12">
          <cell r="A12">
            <v>10</v>
          </cell>
          <cell r="B12">
            <v>45897</v>
          </cell>
          <cell r="C12" t="str">
            <v>AUDI A1</v>
          </cell>
          <cell r="D12" t="str">
            <v>AUDI</v>
          </cell>
          <cell r="E12" t="str">
            <v>A1</v>
          </cell>
          <cell r="G12" t="str">
            <v>51부4668</v>
          </cell>
          <cell r="H12" t="str">
            <v>WAUZZZ8X8FB026407</v>
          </cell>
          <cell r="J12" t="str">
            <v>경매장- kcar</v>
          </cell>
          <cell r="L12" t="str">
            <v>잔금</v>
          </cell>
          <cell r="M12" t="str">
            <v>면장완</v>
          </cell>
          <cell r="N12">
            <v>7716100</v>
          </cell>
          <cell r="P12">
            <v>7716100</v>
          </cell>
          <cell r="Q12" t="str">
            <v>done</v>
          </cell>
          <cell r="S12" t="str">
            <v>DONI</v>
          </cell>
          <cell r="T12" t="str">
            <v>DONI</v>
          </cell>
          <cell r="U12">
            <v>933682</v>
          </cell>
          <cell r="V12" t="str">
            <v>3 8 3 4 9 3 2 5 7 0 3</v>
          </cell>
          <cell r="W12" t="str">
            <v xml:space="preserve"> HYZRI TALLA OB 16 HY 1 NR 18
 Kosovë</v>
          </cell>
          <cell r="X12">
            <v>1378</v>
          </cell>
          <cell r="AB12">
            <v>1604</v>
          </cell>
          <cell r="AC12">
            <v>4810</v>
          </cell>
          <cell r="AD12">
            <v>1435</v>
          </cell>
          <cell r="AE12">
            <v>6245</v>
          </cell>
        </row>
        <row r="13">
          <cell r="A13">
            <v>11</v>
          </cell>
          <cell r="B13">
            <v>45897</v>
          </cell>
          <cell r="C13" t="str">
            <v>BMW  3 SERIES</v>
          </cell>
          <cell r="D13" t="str">
            <v xml:space="preserve">BMW </v>
          </cell>
          <cell r="E13" t="str">
            <v>3 SERIES</v>
          </cell>
          <cell r="G13" t="str">
            <v>51부4537</v>
          </cell>
          <cell r="H13" t="str">
            <v>WBA3E1107FF948689</v>
          </cell>
          <cell r="J13" t="str">
            <v>경매장- kcar</v>
          </cell>
          <cell r="L13" t="str">
            <v>잔금</v>
          </cell>
          <cell r="M13" t="str">
            <v>면장완</v>
          </cell>
          <cell r="N13">
            <v>5965000</v>
          </cell>
          <cell r="P13">
            <v>5965000</v>
          </cell>
          <cell r="Q13" t="str">
            <v>done</v>
          </cell>
          <cell r="S13" t="str">
            <v>DONI</v>
          </cell>
          <cell r="T13" t="str">
            <v>DONI</v>
          </cell>
          <cell r="U13">
            <v>933682</v>
          </cell>
          <cell r="V13" t="str">
            <v>3 8 3 4 9 3 2 5 7 0 3</v>
          </cell>
          <cell r="W13" t="str">
            <v xml:space="preserve"> HYZRI TALLA OB 16 HY 1 NR 18
 Kosovë</v>
          </cell>
          <cell r="X13">
            <v>1378</v>
          </cell>
          <cell r="AB13">
            <v>1604</v>
          </cell>
          <cell r="AC13">
            <v>3715</v>
          </cell>
          <cell r="AD13">
            <v>1435</v>
          </cell>
          <cell r="AE13">
            <v>5150</v>
          </cell>
          <cell r="AF13">
            <v>6700</v>
          </cell>
        </row>
        <row r="14">
          <cell r="A14">
            <v>12</v>
          </cell>
          <cell r="B14">
            <v>45897</v>
          </cell>
          <cell r="C14" t="str">
            <v>BENZ  S63 AMG 4Matic L</v>
          </cell>
          <cell r="D14" t="str">
            <v xml:space="preserve">BENZ </v>
          </cell>
          <cell r="E14" t="str">
            <v>S63 AMG 4Matic L</v>
          </cell>
          <cell r="G14" t="str">
            <v>370모8790</v>
          </cell>
          <cell r="H14" t="str">
            <v>WDDXJ7JB0FA003333</v>
          </cell>
          <cell r="I14">
            <v>45903</v>
          </cell>
          <cell r="J14" t="str">
            <v>하나모터스</v>
          </cell>
          <cell r="L14" t="str">
            <v>잔금</v>
          </cell>
          <cell r="M14" t="str">
            <v>나감</v>
          </cell>
          <cell r="N14">
            <v>39800000</v>
          </cell>
          <cell r="P14">
            <v>39800000</v>
          </cell>
          <cell r="Q14" t="str">
            <v>done</v>
          </cell>
          <cell r="S14" t="str">
            <v>Ardijan Qorraj</v>
          </cell>
          <cell r="T14" t="str">
            <v>Ardijan Qorraj</v>
          </cell>
          <cell r="W14" t="str">
            <v xml:space="preserve">Dorfstr,33C,(82024) Taufkirchen, Germany </v>
          </cell>
          <cell r="X14">
            <v>1378</v>
          </cell>
          <cell r="AB14">
            <v>1604</v>
          </cell>
          <cell r="AC14">
            <v>23800</v>
          </cell>
          <cell r="AE14">
            <v>23800</v>
          </cell>
        </row>
        <row r="15">
          <cell r="A15">
            <v>13</v>
          </cell>
          <cell r="B15">
            <v>45898</v>
          </cell>
          <cell r="C15" t="str">
            <v>BENZ  S350</v>
          </cell>
          <cell r="D15" t="str">
            <v xml:space="preserve">BENZ </v>
          </cell>
          <cell r="E15" t="str">
            <v>S350</v>
          </cell>
          <cell r="G15" t="str">
            <v>231러4344</v>
          </cell>
          <cell r="H15" t="str">
            <v>WDDUF3CB1FA166440</v>
          </cell>
          <cell r="I15">
            <v>45902</v>
          </cell>
          <cell r="J15" t="str">
            <v>명문자동차(이승무)</v>
          </cell>
          <cell r="L15" t="str">
            <v>잔금</v>
          </cell>
          <cell r="M15" t="str">
            <v>면장완</v>
          </cell>
          <cell r="N15">
            <v>29440000</v>
          </cell>
          <cell r="P15">
            <v>29440000</v>
          </cell>
          <cell r="Q15" t="str">
            <v>done</v>
          </cell>
          <cell r="S15" t="str">
            <v>HYSA</v>
          </cell>
          <cell r="T15" t="str">
            <v>HYSA</v>
          </cell>
          <cell r="V15" t="str">
            <v>355 69 690 2972</v>
          </cell>
          <cell r="W15" t="str">
            <v>Albania</v>
          </cell>
          <cell r="X15">
            <v>1373</v>
          </cell>
          <cell r="AB15">
            <v>1602</v>
          </cell>
          <cell r="AC15">
            <v>17570</v>
          </cell>
          <cell r="AD15">
            <v>1430</v>
          </cell>
          <cell r="AE15">
            <v>19000</v>
          </cell>
        </row>
        <row r="16">
          <cell r="A16">
            <v>14</v>
          </cell>
          <cell r="B16">
            <v>45899</v>
          </cell>
          <cell r="C16" t="str">
            <v>AUDI A6 40</v>
          </cell>
          <cell r="D16" t="str">
            <v>AUDI</v>
          </cell>
          <cell r="E16" t="str">
            <v>A6 40</v>
          </cell>
          <cell r="G16" t="str">
            <v>64구0427</v>
          </cell>
          <cell r="H16" t="str">
            <v>WAUZZZ4G4GN191367</v>
          </cell>
          <cell r="I16">
            <v>45902</v>
          </cell>
          <cell r="J16" t="str">
            <v>(주)왕카</v>
          </cell>
          <cell r="L16" t="str">
            <v>잔금</v>
          </cell>
          <cell r="M16" t="str">
            <v>면장완</v>
          </cell>
          <cell r="N16">
            <v>13900000</v>
          </cell>
          <cell r="P16">
            <v>13900000</v>
          </cell>
          <cell r="Q16" t="str">
            <v>done</v>
          </cell>
          <cell r="S16" t="str">
            <v>ARMIR</v>
          </cell>
          <cell r="T16" t="str">
            <v>VLADI BURIM</v>
          </cell>
          <cell r="U16" t="str">
            <v>ID1661508</v>
          </cell>
          <cell r="V16" t="str">
            <v>383 49 690 998</v>
          </cell>
          <cell r="W16" t="str">
            <v>KOSOVO</v>
          </cell>
          <cell r="X16">
            <v>1378</v>
          </cell>
          <cell r="Y16">
            <v>22</v>
          </cell>
          <cell r="Z16">
            <v>23</v>
          </cell>
          <cell r="AB16">
            <v>1610</v>
          </cell>
          <cell r="AC16">
            <v>8270</v>
          </cell>
          <cell r="AD16">
            <v>1430</v>
          </cell>
          <cell r="AE16">
            <v>9700</v>
          </cell>
        </row>
        <row r="17">
          <cell r="A17">
            <v>15</v>
          </cell>
          <cell r="B17">
            <v>45899</v>
          </cell>
          <cell r="C17" t="str">
            <v>HYUNDAI KONA</v>
          </cell>
          <cell r="D17" t="str">
            <v>HYUNDAI</v>
          </cell>
          <cell r="E17" t="str">
            <v>KONA</v>
          </cell>
          <cell r="G17" t="str">
            <v>33라2906</v>
          </cell>
          <cell r="H17" t="str">
            <v>KMHK3816GJU200420</v>
          </cell>
          <cell r="I17">
            <v>45902</v>
          </cell>
          <cell r="J17" t="str">
            <v>황소모터스</v>
          </cell>
          <cell r="L17" t="str">
            <v>잔금</v>
          </cell>
          <cell r="M17" t="str">
            <v>면장완</v>
          </cell>
          <cell r="N17">
            <v>10000000</v>
          </cell>
          <cell r="P17">
            <v>10000000</v>
          </cell>
          <cell r="Q17" t="str">
            <v>done</v>
          </cell>
          <cell r="S17" t="str">
            <v>Calja</v>
          </cell>
          <cell r="T17" t="str">
            <v>Calja</v>
          </cell>
          <cell r="U17" t="str">
            <v>M43323203V</v>
          </cell>
          <cell r="V17" t="str">
            <v>355 69 550 5533</v>
          </cell>
          <cell r="W17" t="str">
            <v>Albania</v>
          </cell>
          <cell r="X17">
            <v>1378</v>
          </cell>
          <cell r="AB17">
            <v>1610</v>
          </cell>
          <cell r="AC17">
            <v>6375</v>
          </cell>
          <cell r="AD17">
            <v>1425</v>
          </cell>
          <cell r="AE17">
            <v>7550</v>
          </cell>
          <cell r="AF17">
            <v>7550</v>
          </cell>
        </row>
        <row r="18">
          <cell r="A18">
            <v>16</v>
          </cell>
          <cell r="B18">
            <v>45900</v>
          </cell>
          <cell r="C18" t="str">
            <v>BENZ MERCEDES AMG GLE 63 4MATIC</v>
          </cell>
          <cell r="D18" t="str">
            <v>BENZ</v>
          </cell>
          <cell r="E18" t="str">
            <v>MERCEDES AMG GLE 63 4MATIC</v>
          </cell>
          <cell r="G18" t="str">
            <v>12고0418</v>
          </cell>
          <cell r="H18" t="str">
            <v>WDCDA7EB1GA684007</v>
          </cell>
          <cell r="I18">
            <v>45908</v>
          </cell>
          <cell r="J18" t="str">
            <v>로또모터스 -최중일</v>
          </cell>
          <cell r="L18" t="str">
            <v>잔금</v>
          </cell>
          <cell r="N18">
            <v>4856</v>
          </cell>
          <cell r="O18">
            <v>44</v>
          </cell>
          <cell r="P18">
            <v>4900</v>
          </cell>
          <cell r="Q18">
            <v>1</v>
          </cell>
          <cell r="S18" t="str">
            <v xml:space="preserve">DAX IMPORT 🇩🇪 </v>
          </cell>
          <cell r="T18" t="str">
            <v xml:space="preserve">Michael Karl  </v>
          </cell>
          <cell r="U18" t="str">
            <v>LF9N8WZ16</v>
          </cell>
          <cell r="V18" t="str">
            <v>‪+49 471 94189050‬</v>
          </cell>
          <cell r="W18" t="str">
            <v xml:space="preserve">Dorfstr,33C,(82024) Taufkirchen, Germany </v>
          </cell>
          <cell r="X18">
            <v>1378</v>
          </cell>
          <cell r="AB18">
            <v>1610</v>
          </cell>
          <cell r="AC18">
            <v>29077</v>
          </cell>
          <cell r="AD18">
            <v>1625</v>
          </cell>
          <cell r="AE18">
            <v>30702</v>
          </cell>
          <cell r="AF18">
            <v>30702</v>
          </cell>
        </row>
        <row r="19">
          <cell r="A19">
            <v>17</v>
          </cell>
          <cell r="B19">
            <v>45900</v>
          </cell>
          <cell r="C19" t="str">
            <v>BENZ C220 BLUETEC</v>
          </cell>
          <cell r="D19" t="str">
            <v>BENZ</v>
          </cell>
          <cell r="E19" t="str">
            <v>C220 BLUETEC</v>
          </cell>
          <cell r="F19">
            <v>2015</v>
          </cell>
          <cell r="G19" t="str">
            <v>43러1997</v>
          </cell>
          <cell r="H19" t="str">
            <v>WDDWF0EB8FF060638</v>
          </cell>
          <cell r="I19">
            <v>45902</v>
          </cell>
          <cell r="J19" t="str">
            <v>(주)카베이</v>
          </cell>
          <cell r="L19" t="str">
            <v>잔금</v>
          </cell>
          <cell r="M19" t="str">
            <v>면장완</v>
          </cell>
          <cell r="N19">
            <v>12460000</v>
          </cell>
          <cell r="O19">
            <v>440000</v>
          </cell>
          <cell r="P19">
            <v>12900000</v>
          </cell>
          <cell r="Q19" t="str">
            <v>done</v>
          </cell>
          <cell r="S19" t="str">
            <v>AlphaWorldWide</v>
          </cell>
          <cell r="T19" t="str">
            <v>AlphaWorldWideAlbania</v>
          </cell>
          <cell r="U19" t="str">
            <v>SN-619176-11-19</v>
          </cell>
          <cell r="V19" t="str">
            <v>355 69223 3416</v>
          </cell>
          <cell r="W19" t="str">
            <v xml:space="preserve">Durres, Durres, DURRES, Lagjja nr.11, Rruga Bulevardi, me siperfaqe 30m2 </v>
          </cell>
          <cell r="X19">
            <v>1378</v>
          </cell>
          <cell r="AB19">
            <v>1610</v>
          </cell>
          <cell r="AC19">
            <v>7670</v>
          </cell>
          <cell r="AD19">
            <v>1430</v>
          </cell>
          <cell r="AE19">
            <v>9100</v>
          </cell>
          <cell r="AF19">
            <v>9580</v>
          </cell>
        </row>
        <row r="20">
          <cell r="A20">
            <v>18</v>
          </cell>
          <cell r="B20">
            <v>45901</v>
          </cell>
          <cell r="C20" t="str">
            <v>VOLKSWAGENS GOLF  2.0 TDI BMT</v>
          </cell>
          <cell r="D20" t="str">
            <v>VOLKSWAGENS</v>
          </cell>
          <cell r="E20" t="str">
            <v>GOLF  2.0 TDI BMT</v>
          </cell>
          <cell r="G20" t="str">
            <v>20조4963</v>
          </cell>
          <cell r="H20" t="str">
            <v>WWZZZAUZFW342411</v>
          </cell>
          <cell r="I20">
            <v>45903</v>
          </cell>
          <cell r="J20" t="str">
            <v>신원자동차매매상사(김석희)</v>
          </cell>
          <cell r="L20" t="str">
            <v>잔금</v>
          </cell>
          <cell r="M20" t="str">
            <v>면장완</v>
          </cell>
          <cell r="N20">
            <v>11160000</v>
          </cell>
          <cell r="O20">
            <v>440000</v>
          </cell>
          <cell r="P20">
            <v>11600000</v>
          </cell>
          <cell r="Q20" t="str">
            <v>done</v>
          </cell>
          <cell r="S20" t="str">
            <v>DONI</v>
          </cell>
          <cell r="T20" t="str">
            <v xml:space="preserve"> DONI</v>
          </cell>
          <cell r="U20">
            <v>933682</v>
          </cell>
          <cell r="V20" t="str">
            <v>3 8 3 4 9 3 2 5 7 0 3</v>
          </cell>
          <cell r="W20" t="str">
            <v xml:space="preserve"> HYZRI TALLA OB 16 HY 1 NR 18
 Kosovë</v>
          </cell>
          <cell r="X20">
            <v>1378</v>
          </cell>
          <cell r="AB20">
            <v>1614</v>
          </cell>
          <cell r="AC20">
            <v>6925</v>
          </cell>
          <cell r="AD20">
            <v>1425</v>
          </cell>
          <cell r="AE20">
            <v>8350</v>
          </cell>
          <cell r="AF20">
            <v>7000</v>
          </cell>
        </row>
        <row r="21">
          <cell r="A21">
            <v>19</v>
          </cell>
          <cell r="B21">
            <v>45901</v>
          </cell>
          <cell r="C21" t="str">
            <v>AUDI A4 45 TFSI QUATTRO</v>
          </cell>
          <cell r="D21" t="str">
            <v>AUDI</v>
          </cell>
          <cell r="E21" t="str">
            <v>A4 45 TFSI QUATTRO</v>
          </cell>
          <cell r="G21" t="str">
            <v>05가3778</v>
          </cell>
          <cell r="H21" t="str">
            <v>WAUZZZF43GA095652</v>
          </cell>
          <cell r="I21">
            <v>45903</v>
          </cell>
          <cell r="J21" t="str">
            <v>㈜제이제이오토컴퍼니</v>
          </cell>
          <cell r="L21" t="str">
            <v>잔금</v>
          </cell>
          <cell r="M21" t="str">
            <v>면장완</v>
          </cell>
          <cell r="N21">
            <v>13140000</v>
          </cell>
          <cell r="P21">
            <v>13140000</v>
          </cell>
          <cell r="Q21" t="str">
            <v>done</v>
          </cell>
          <cell r="S21" t="str">
            <v>AlphaWorldWide</v>
          </cell>
          <cell r="T21" t="str">
            <v>AlphaWorldWideAlbania</v>
          </cell>
          <cell r="U21" t="str">
            <v>SN-619176-11-19</v>
          </cell>
          <cell r="V21" t="str">
            <v>355 69223 3416</v>
          </cell>
          <cell r="W21" t="str">
            <v xml:space="preserve">Durres, Durres, DURRES, Lagjja nr.11, Rruga Bulevardi, me siperfaqe 30m2 </v>
          </cell>
          <cell r="X21">
            <v>1378</v>
          </cell>
          <cell r="AB21">
            <v>1614</v>
          </cell>
          <cell r="AC21">
            <v>7734</v>
          </cell>
          <cell r="AD21">
            <v>1511</v>
          </cell>
          <cell r="AE21">
            <v>9245</v>
          </cell>
          <cell r="AF21">
            <v>9500</v>
          </cell>
        </row>
        <row r="22">
          <cell r="A22">
            <v>20</v>
          </cell>
          <cell r="B22">
            <v>45901</v>
          </cell>
          <cell r="C22" t="str">
            <v>BENZ E220 BLUETEC</v>
          </cell>
          <cell r="D22" t="str">
            <v>BENZ</v>
          </cell>
          <cell r="E22" t="str">
            <v>E220 BLUETEC</v>
          </cell>
          <cell r="F22">
            <v>2016</v>
          </cell>
          <cell r="G22" t="str">
            <v>68노5112</v>
          </cell>
          <cell r="H22" t="str">
            <v>WDDHF0ABXGB172347</v>
          </cell>
          <cell r="I22">
            <v>45901</v>
          </cell>
          <cell r="J22" t="str">
            <v>(주) 더드림카</v>
          </cell>
          <cell r="L22" t="str">
            <v>잔금</v>
          </cell>
          <cell r="M22" t="str">
            <v>면장완</v>
          </cell>
          <cell r="N22">
            <v>8900000</v>
          </cell>
          <cell r="O22">
            <v>220000</v>
          </cell>
          <cell r="P22">
            <v>9120000</v>
          </cell>
          <cell r="Q22" t="str">
            <v>done</v>
          </cell>
          <cell r="S22" t="str">
            <v>Calja</v>
          </cell>
          <cell r="T22" t="str">
            <v>Calja</v>
          </cell>
          <cell r="U22" t="str">
            <v>M43323203V</v>
          </cell>
          <cell r="V22" t="str">
            <v>355 69 550 5533</v>
          </cell>
          <cell r="W22" t="str">
            <v>Albania</v>
          </cell>
          <cell r="X22">
            <v>1378</v>
          </cell>
          <cell r="AB22">
            <v>1604</v>
          </cell>
          <cell r="AC22">
            <v>5655</v>
          </cell>
          <cell r="AD22">
            <v>1435</v>
          </cell>
          <cell r="AE22">
            <v>7090</v>
          </cell>
        </row>
        <row r="23">
          <cell r="A23">
            <v>21</v>
          </cell>
          <cell r="B23">
            <v>45901</v>
          </cell>
          <cell r="C23" t="str">
            <v>BMW  M4 COUPLE</v>
          </cell>
          <cell r="D23" t="str">
            <v xml:space="preserve">BMW </v>
          </cell>
          <cell r="E23" t="str">
            <v>M4 COUPLE</v>
          </cell>
          <cell r="G23" t="str">
            <v>333무6231</v>
          </cell>
          <cell r="H23" t="str">
            <v>WBS3R910XFK322172</v>
          </cell>
          <cell r="I23">
            <v>45908</v>
          </cell>
          <cell r="J23" t="str">
            <v>주식 회사 오토베이</v>
          </cell>
          <cell r="L23" t="str">
            <v>잔금</v>
          </cell>
          <cell r="N23">
            <v>3354</v>
          </cell>
          <cell r="P23">
            <v>3354</v>
          </cell>
          <cell r="Q23">
            <v>1</v>
          </cell>
          <cell r="S23" t="str">
            <v xml:space="preserve">DAX IMPORT 🇩🇪 </v>
          </cell>
          <cell r="T23" t="str">
            <v xml:space="preserve">Michael Karl  </v>
          </cell>
          <cell r="U23" t="str">
            <v>LF9N8WZ16</v>
          </cell>
          <cell r="V23" t="str">
            <v>‪+49 471 94189050‬</v>
          </cell>
          <cell r="W23" t="str">
            <v xml:space="preserve">Dorfstr,33C,(82024) Taufkirchen, Germany </v>
          </cell>
          <cell r="X23">
            <v>1378</v>
          </cell>
          <cell r="AB23">
            <v>1614</v>
          </cell>
          <cell r="AC23">
            <v>19860</v>
          </cell>
          <cell r="AE23">
            <v>19860</v>
          </cell>
          <cell r="AF23">
            <v>17652</v>
          </cell>
        </row>
        <row r="24">
          <cell r="A24">
            <v>22</v>
          </cell>
          <cell r="B24">
            <v>45901</v>
          </cell>
          <cell r="C24" t="str">
            <v>BENZ E220 BLUETEC</v>
          </cell>
          <cell r="D24" t="str">
            <v>BENZ</v>
          </cell>
          <cell r="E24" t="str">
            <v>E220 BLUETEC</v>
          </cell>
          <cell r="F24">
            <v>2016</v>
          </cell>
          <cell r="G24" t="str">
            <v>10도0921</v>
          </cell>
          <cell r="H24" t="str">
            <v>WDDHF0AB9GB310945</v>
          </cell>
          <cell r="I24">
            <v>45903</v>
          </cell>
          <cell r="J24" t="str">
            <v>인하모터스</v>
          </cell>
          <cell r="L24" t="str">
            <v>잔금</v>
          </cell>
          <cell r="M24" t="str">
            <v>면장완</v>
          </cell>
          <cell r="N24">
            <v>9300000</v>
          </cell>
          <cell r="O24">
            <v>440000</v>
          </cell>
          <cell r="P24">
            <v>9740000</v>
          </cell>
          <cell r="Q24" t="str">
            <v>done</v>
          </cell>
          <cell r="S24" t="str">
            <v>ATLAS GROUP SH.P.K</v>
          </cell>
          <cell r="T24" t="str">
            <v>ATLAS GROUP SH.P.K</v>
          </cell>
          <cell r="U24">
            <v>812137455</v>
          </cell>
          <cell r="V24">
            <v>38348702207</v>
          </cell>
          <cell r="W24" t="str">
            <v>Xhelal Hajda, p.n. Rahovec</v>
          </cell>
          <cell r="X24">
            <v>1378</v>
          </cell>
          <cell r="Y24">
            <v>1614</v>
          </cell>
          <cell r="AB24">
            <v>1614</v>
          </cell>
          <cell r="AC24">
            <v>6525</v>
          </cell>
          <cell r="AD24">
            <v>1425</v>
          </cell>
          <cell r="AE24">
            <v>7950</v>
          </cell>
        </row>
        <row r="25">
          <cell r="A25">
            <v>23</v>
          </cell>
          <cell r="B25">
            <v>45902</v>
          </cell>
          <cell r="C25" t="str">
            <v>AUDI A7 50 TDI QUATTRO</v>
          </cell>
          <cell r="D25" t="str">
            <v>AUDI</v>
          </cell>
          <cell r="E25" t="str">
            <v>A7 50 TDI QUATTRO</v>
          </cell>
          <cell r="G25" t="str">
            <v>30다7124</v>
          </cell>
          <cell r="H25" t="str">
            <v>WAUZZZ4G1GN020955</v>
          </cell>
          <cell r="I25">
            <v>45903</v>
          </cell>
          <cell r="J25" t="str">
            <v>(주)리더카</v>
          </cell>
          <cell r="L25" t="str">
            <v>잔금</v>
          </cell>
          <cell r="M25" t="str">
            <v>면장완</v>
          </cell>
          <cell r="N25">
            <v>13360000</v>
          </cell>
          <cell r="O25">
            <v>440000</v>
          </cell>
          <cell r="P25">
            <v>13800000</v>
          </cell>
          <cell r="Q25" t="str">
            <v>done</v>
          </cell>
          <cell r="S25" t="str">
            <v>CALJA</v>
          </cell>
          <cell r="T25" t="str">
            <v>Calja</v>
          </cell>
          <cell r="U25" t="str">
            <v>M43323203V</v>
          </cell>
          <cell r="V25" t="str">
            <v>355 69 550 5533</v>
          </cell>
          <cell r="W25" t="str">
            <v>Albania</v>
          </cell>
          <cell r="X25">
            <v>1380</v>
          </cell>
          <cell r="AB25">
            <v>1616</v>
          </cell>
          <cell r="AC25">
            <v>8088</v>
          </cell>
          <cell r="AD25">
            <v>1512</v>
          </cell>
          <cell r="AE25">
            <v>9600</v>
          </cell>
          <cell r="AF25">
            <v>4800</v>
          </cell>
        </row>
        <row r="26">
          <cell r="A26">
            <v>24</v>
          </cell>
          <cell r="B26">
            <v>45902</v>
          </cell>
          <cell r="C26" t="str">
            <v>HYUNDAI SANTAFE</v>
          </cell>
          <cell r="D26" t="str">
            <v>HYUNDAI</v>
          </cell>
          <cell r="E26" t="str">
            <v>SANTAFE</v>
          </cell>
          <cell r="G26" t="str">
            <v>67두2693</v>
          </cell>
          <cell r="H26" t="str">
            <v>KMHSW81UBEU209113</v>
          </cell>
          <cell r="I26">
            <v>45903</v>
          </cell>
          <cell r="J26" t="str">
            <v>코리아모터스</v>
          </cell>
          <cell r="L26" t="str">
            <v>잔금</v>
          </cell>
          <cell r="M26" t="str">
            <v>면장완</v>
          </cell>
          <cell r="N26">
            <v>9200000</v>
          </cell>
          <cell r="P26">
            <v>9200000</v>
          </cell>
          <cell r="Q26" t="str">
            <v>done</v>
          </cell>
          <cell r="S26" t="str">
            <v>CALJA</v>
          </cell>
          <cell r="T26" t="str">
            <v>DEDA KRISTAN</v>
          </cell>
          <cell r="U26" t="str">
            <v>J41017054G</v>
          </cell>
          <cell r="V26" t="str">
            <v>355 69 550 5533</v>
          </cell>
          <cell r="W26" t="str">
            <v>Albania</v>
          </cell>
          <cell r="X26">
            <v>1380</v>
          </cell>
          <cell r="AB26">
            <v>1616</v>
          </cell>
          <cell r="AC26">
            <v>5673</v>
          </cell>
          <cell r="AD26">
            <v>1427</v>
          </cell>
          <cell r="AE26">
            <v>7100</v>
          </cell>
        </row>
        <row r="27">
          <cell r="A27">
            <v>25</v>
          </cell>
          <cell r="B27">
            <v>45903</v>
          </cell>
          <cell r="C27" t="str">
            <v>BMW 435d</v>
          </cell>
          <cell r="D27" t="str">
            <v>BMW</v>
          </cell>
          <cell r="E27" t="str">
            <v>435d</v>
          </cell>
          <cell r="G27" t="str">
            <v>06다0299</v>
          </cell>
          <cell r="H27" t="str">
            <v xml:space="preserve"> WBA4G1106FD667915</v>
          </cell>
          <cell r="J27" t="str">
            <v>경매장 -aj</v>
          </cell>
          <cell r="L27" t="str">
            <v>잔금</v>
          </cell>
          <cell r="M27" t="str">
            <v>도착</v>
          </cell>
          <cell r="N27">
            <v>1715</v>
          </cell>
          <cell r="O27">
            <v>44</v>
          </cell>
          <cell r="P27">
            <v>1759</v>
          </cell>
          <cell r="Q27" t="str">
            <v>done</v>
          </cell>
          <cell r="S27" t="str">
            <v>DONI</v>
          </cell>
          <cell r="T27" t="str">
            <v>DONI</v>
          </cell>
          <cell r="U27">
            <v>933682</v>
          </cell>
          <cell r="V27" t="str">
            <v>3 8 3 4 9 3 2 5 7 0 3</v>
          </cell>
          <cell r="W27" t="str">
            <v xml:space="preserve"> HYZRI TALLA OB 16 HY 1 NR 18
 Kosovë</v>
          </cell>
          <cell r="X27">
            <v>1381</v>
          </cell>
          <cell r="AB27">
            <v>1605</v>
          </cell>
          <cell r="AC27">
            <v>10483</v>
          </cell>
          <cell r="AD27">
            <v>1437</v>
          </cell>
          <cell r="AE27">
            <v>11920</v>
          </cell>
        </row>
        <row r="28">
          <cell r="A28">
            <v>26</v>
          </cell>
          <cell r="B28">
            <v>45904</v>
          </cell>
          <cell r="C28" t="str">
            <v>VOLKSWAGENS Jetta 2.0 TDI BMT Premium</v>
          </cell>
          <cell r="D28" t="str">
            <v>VOLKSWAGENS</v>
          </cell>
          <cell r="E28" t="str">
            <v>Jetta 2.0 TDI BMT Premium</v>
          </cell>
          <cell r="F28">
            <v>2015</v>
          </cell>
          <cell r="G28" t="str">
            <v>11우9975</v>
          </cell>
          <cell r="H28" t="str">
            <v>WVWZZZ16ZFM016568</v>
          </cell>
          <cell r="I28">
            <v>45911</v>
          </cell>
          <cell r="J28" t="str">
            <v>(주)카베이</v>
          </cell>
          <cell r="L28" t="str">
            <v>잔금</v>
          </cell>
          <cell r="M28" t="str">
            <v>50만원 회사통장 나감</v>
          </cell>
          <cell r="N28">
            <v>850</v>
          </cell>
          <cell r="O28">
            <v>44</v>
          </cell>
          <cell r="P28">
            <v>894</v>
          </cell>
          <cell r="Q28" t="str">
            <v>done</v>
          </cell>
          <cell r="S28" t="str">
            <v>Auto Posh SH.P.K</v>
          </cell>
          <cell r="T28" t="str">
            <v>Auto Posh SH.P.K</v>
          </cell>
          <cell r="U28">
            <v>812219427</v>
          </cell>
          <cell r="V28" t="str">
            <v>38345560145</v>
          </cell>
          <cell r="W28" t="str">
            <v xml:space="preserve"> Rruga Jakup Lami, Pn. Greme, Feriza</v>
          </cell>
          <cell r="X28">
            <v>1376</v>
          </cell>
          <cell r="AB28">
            <v>1604</v>
          </cell>
          <cell r="AC28">
            <v>5397</v>
          </cell>
          <cell r="AD28">
            <v>1433</v>
          </cell>
          <cell r="AE28">
            <v>6830</v>
          </cell>
        </row>
        <row r="29">
          <cell r="A29">
            <v>27</v>
          </cell>
          <cell r="B29">
            <v>45904</v>
          </cell>
          <cell r="C29" t="str">
            <v>BENZ Mercedes-AMG GLA45 4Matic</v>
          </cell>
          <cell r="D29" t="str">
            <v>BENZ</v>
          </cell>
          <cell r="E29" t="str">
            <v>Mercedes-AMG GLA45 4Matic</v>
          </cell>
          <cell r="G29" t="str">
            <v>57누0777</v>
          </cell>
          <cell r="H29" t="str">
            <v>WDCTG5CB3GJ254190</v>
          </cell>
          <cell r="I29">
            <v>45908</v>
          </cell>
          <cell r="J29" t="str">
            <v>㈜제이제이오토컴퍼니</v>
          </cell>
          <cell r="L29" t="str">
            <v>잔금</v>
          </cell>
          <cell r="M29" t="str">
            <v>50만원 회사통장 나감</v>
          </cell>
          <cell r="N29">
            <v>1624</v>
          </cell>
          <cell r="O29">
            <v>0</v>
          </cell>
          <cell r="P29">
            <v>1624</v>
          </cell>
          <cell r="Q29" t="str">
            <v>done</v>
          </cell>
          <cell r="S29" t="str">
            <v>RIZA</v>
          </cell>
          <cell r="T29" t="str">
            <v>Berisha Elvi</v>
          </cell>
          <cell r="U29" t="str">
            <v>J90302064T</v>
          </cell>
          <cell r="V29" t="str">
            <v>355 682769063</v>
          </cell>
          <cell r="W29" t="str">
            <v>Albania</v>
          </cell>
          <cell r="X29">
            <v>1376</v>
          </cell>
          <cell r="Y29">
            <v>1604</v>
          </cell>
          <cell r="AB29">
            <v>1604</v>
          </cell>
          <cell r="AC29">
            <v>9682</v>
          </cell>
          <cell r="AD29">
            <v>1518</v>
          </cell>
          <cell r="AE29">
            <v>11200</v>
          </cell>
          <cell r="AF29">
            <v>12550</v>
          </cell>
        </row>
        <row r="30">
          <cell r="A30">
            <v>28</v>
          </cell>
          <cell r="B30">
            <v>45904</v>
          </cell>
          <cell r="C30" t="str">
            <v>HYUNDAI SANTAFE</v>
          </cell>
          <cell r="D30" t="str">
            <v>HYUNDAI</v>
          </cell>
          <cell r="E30" t="str">
            <v>SANTAFE</v>
          </cell>
          <cell r="G30" t="str">
            <v>60구8997</v>
          </cell>
          <cell r="H30" t="str">
            <v>KMHSW81UBDU097864</v>
          </cell>
          <cell r="I30">
            <v>45908</v>
          </cell>
          <cell r="J30" t="str">
            <v>㈜ 현카</v>
          </cell>
          <cell r="L30" t="str">
            <v>잔금</v>
          </cell>
          <cell r="M30" t="str">
            <v>신청</v>
          </cell>
          <cell r="N30">
            <v>780</v>
          </cell>
          <cell r="O30">
            <v>0</v>
          </cell>
          <cell r="P30">
            <v>780</v>
          </cell>
          <cell r="Q30" t="str">
            <v>done</v>
          </cell>
          <cell r="S30" t="str">
            <v>CALJA</v>
          </cell>
          <cell r="T30" t="str">
            <v>Mulla Qamile</v>
          </cell>
          <cell r="U30" t="str">
            <v>M43323203V</v>
          </cell>
          <cell r="V30" t="str">
            <v>355 69 550 5533</v>
          </cell>
          <cell r="W30" t="str">
            <v>Albania</v>
          </cell>
          <cell r="X30">
            <v>1376</v>
          </cell>
          <cell r="AB30">
            <v>1604</v>
          </cell>
          <cell r="AC30">
            <v>4800</v>
          </cell>
          <cell r="AD30">
            <v>1520</v>
          </cell>
          <cell r="AE30">
            <v>6320</v>
          </cell>
          <cell r="AF30">
            <v>6582</v>
          </cell>
        </row>
        <row r="31">
          <cell r="A31">
            <v>29</v>
          </cell>
          <cell r="B31">
            <v>45904</v>
          </cell>
          <cell r="C31" t="str">
            <v>BMW 118D</v>
          </cell>
          <cell r="D31" t="str">
            <v>BMW</v>
          </cell>
          <cell r="E31" t="str">
            <v>118D</v>
          </cell>
          <cell r="F31">
            <v>2015</v>
          </cell>
          <cell r="G31" t="str">
            <v>62고7100</v>
          </cell>
          <cell r="H31" t="str">
            <v>WBA1C1107FJ837926</v>
          </cell>
          <cell r="I31">
            <v>45911</v>
          </cell>
          <cell r="J31" t="str">
            <v>㈜제이제이오토컴퍼니</v>
          </cell>
          <cell r="L31" t="str">
            <v>잔금</v>
          </cell>
          <cell r="M31" t="str">
            <v>50만원 대표님 계약</v>
          </cell>
          <cell r="N31">
            <v>944</v>
          </cell>
          <cell r="O31">
            <v>0</v>
          </cell>
          <cell r="P31">
            <v>944</v>
          </cell>
          <cell r="Q31" t="str">
            <v>done</v>
          </cell>
          <cell r="S31" t="str">
            <v>R.S.h L.L.C.</v>
          </cell>
          <cell r="T31" t="str">
            <v>R.Sh L.L.C.</v>
          </cell>
          <cell r="U31">
            <v>812326016</v>
          </cell>
          <cell r="V31" t="str">
            <v>+383486 611 61</v>
          </cell>
          <cell r="W31" t="str">
            <v>Kosovo</v>
          </cell>
          <cell r="X31">
            <v>1378</v>
          </cell>
          <cell r="AB31">
            <v>1606</v>
          </cell>
          <cell r="AC31">
            <v>5727</v>
          </cell>
          <cell r="AD31">
            <v>1433</v>
          </cell>
          <cell r="AE31">
            <v>7160</v>
          </cell>
          <cell r="AF31">
            <v>7160</v>
          </cell>
        </row>
        <row r="32">
          <cell r="A32">
            <v>30</v>
          </cell>
          <cell r="B32">
            <v>45907</v>
          </cell>
          <cell r="C32" t="str">
            <v>VOLKSWAGENS GOLF 1.4 TSI</v>
          </cell>
          <cell r="D32" t="str">
            <v>VOLKSWAGENS</v>
          </cell>
          <cell r="E32" t="str">
            <v>GOLF 1.4 TSI</v>
          </cell>
          <cell r="G32" t="str">
            <v>11우6183</v>
          </cell>
          <cell r="H32" t="str">
            <v>WVWZZZAUZEW290150</v>
          </cell>
          <cell r="I32">
            <v>45911</v>
          </cell>
          <cell r="J32" t="str">
            <v>㈜무결정카모터스</v>
          </cell>
          <cell r="L32" t="str">
            <v>잔금</v>
          </cell>
          <cell r="M32" t="str">
            <v>50만원 대표님 계약</v>
          </cell>
          <cell r="N32">
            <v>984</v>
          </cell>
          <cell r="O32">
            <v>0</v>
          </cell>
          <cell r="P32">
            <v>984</v>
          </cell>
          <cell r="Q32" t="str">
            <v>done (france)</v>
          </cell>
          <cell r="S32" t="str">
            <v>AlphaWorldWide</v>
          </cell>
          <cell r="T32" t="str">
            <v>AlphaWorldWideAlbania</v>
          </cell>
          <cell r="U32" t="str">
            <v>SN-619176-11-19</v>
          </cell>
          <cell r="V32" t="str">
            <v>355 69223 3416</v>
          </cell>
          <cell r="W32" t="str">
            <v xml:space="preserve">Durres, Durres, DURRES, Lagjja nr.11, Rruga Bulevardi, me siperfaqe 30m2 </v>
          </cell>
          <cell r="X32">
            <v>1378</v>
          </cell>
          <cell r="AB32">
            <v>1613</v>
          </cell>
          <cell r="AC32">
            <v>4830</v>
          </cell>
          <cell r="AD32">
            <v>1047</v>
          </cell>
          <cell r="AE32">
            <v>5877</v>
          </cell>
        </row>
        <row r="33">
          <cell r="A33">
            <v>31</v>
          </cell>
          <cell r="B33">
            <v>45907</v>
          </cell>
          <cell r="C33" t="str">
            <v>AUDI A4 45 TFSI</v>
          </cell>
          <cell r="D33" t="str">
            <v>AUDI</v>
          </cell>
          <cell r="E33" t="str">
            <v>A4 45 TFSI</v>
          </cell>
          <cell r="G33" t="str">
            <v>65무5028</v>
          </cell>
          <cell r="H33" t="str">
            <v>WAUZZZF41GN006234</v>
          </cell>
          <cell r="I33">
            <v>45911</v>
          </cell>
          <cell r="J33" t="str">
            <v>㈜피스모터스</v>
          </cell>
          <cell r="L33" t="str">
            <v>잔금</v>
          </cell>
          <cell r="M33" t="str">
            <v>50만원 대표님 계약</v>
          </cell>
          <cell r="N33">
            <v>1030</v>
          </cell>
          <cell r="O33">
            <v>0</v>
          </cell>
          <cell r="P33">
            <v>1030</v>
          </cell>
          <cell r="Q33" t="str">
            <v>done</v>
          </cell>
          <cell r="S33" t="str">
            <v>CALJA</v>
          </cell>
          <cell r="T33" t="str">
            <v>Calja</v>
          </cell>
          <cell r="U33" t="str">
            <v>M43323203V</v>
          </cell>
          <cell r="V33" t="str">
            <v>355 69 550 5533</v>
          </cell>
          <cell r="W33" t="str">
            <v>Albania</v>
          </cell>
          <cell r="X33">
            <v>1378</v>
          </cell>
          <cell r="AB33">
            <v>1613</v>
          </cell>
          <cell r="AC33">
            <v>6195</v>
          </cell>
          <cell r="AD33">
            <v>1427</v>
          </cell>
          <cell r="AE33">
            <v>7622</v>
          </cell>
          <cell r="AF33">
            <v>4300</v>
          </cell>
        </row>
        <row r="34">
          <cell r="A34">
            <v>32</v>
          </cell>
          <cell r="B34">
            <v>45907</v>
          </cell>
          <cell r="C34" t="str">
            <v>BMW 118d</v>
          </cell>
          <cell r="D34" t="str">
            <v>BMW</v>
          </cell>
          <cell r="E34" t="str">
            <v>118d</v>
          </cell>
          <cell r="G34" t="str">
            <v>38도4384</v>
          </cell>
          <cell r="H34" t="str">
            <v>WBA1S5105H5D29088</v>
          </cell>
          <cell r="J34" t="str">
            <v>경매장- 헤이딜러</v>
          </cell>
          <cell r="L34" t="str">
            <v>잔금</v>
          </cell>
          <cell r="M34" t="str">
            <v>도착</v>
          </cell>
          <cell r="N34">
            <v>880</v>
          </cell>
          <cell r="O34">
            <v>37</v>
          </cell>
          <cell r="P34">
            <v>917</v>
          </cell>
          <cell r="Q34" t="str">
            <v>done</v>
          </cell>
          <cell r="S34" t="str">
            <v>Auto Posh SH.P.K</v>
          </cell>
          <cell r="T34" t="str">
            <v>Auto Posh SH.P.K</v>
          </cell>
          <cell r="U34">
            <v>812219427</v>
          </cell>
          <cell r="V34" t="str">
            <v>38345560145</v>
          </cell>
          <cell r="W34" t="str">
            <v xml:space="preserve"> Rruga Jakup Lami, Pn. Greme, Feriza</v>
          </cell>
          <cell r="X34">
            <v>1378</v>
          </cell>
          <cell r="AB34">
            <v>1613</v>
          </cell>
          <cell r="AC34">
            <v>5573</v>
          </cell>
          <cell r="AD34">
            <v>1427</v>
          </cell>
          <cell r="AE34">
            <v>7000</v>
          </cell>
        </row>
        <row r="35">
          <cell r="A35">
            <v>33</v>
          </cell>
          <cell r="B35">
            <v>45907</v>
          </cell>
          <cell r="C35" t="str">
            <v>BMW 118d</v>
          </cell>
          <cell r="D35" t="str">
            <v>BMW</v>
          </cell>
          <cell r="E35" t="str">
            <v>118d</v>
          </cell>
          <cell r="G35" t="str">
            <v>49우5780</v>
          </cell>
          <cell r="H35" t="str">
            <v>WBA1S5103J5L15127</v>
          </cell>
          <cell r="J35" t="str">
            <v>경매장 -헤이딜러</v>
          </cell>
          <cell r="L35" t="str">
            <v>잔금</v>
          </cell>
          <cell r="M35" t="str">
            <v>도착</v>
          </cell>
          <cell r="N35">
            <v>950</v>
          </cell>
          <cell r="O35">
            <v>42</v>
          </cell>
          <cell r="P35">
            <v>992</v>
          </cell>
          <cell r="Q35" t="str">
            <v>done</v>
          </cell>
          <cell r="S35" t="str">
            <v>R.S.h L.L.C.</v>
          </cell>
          <cell r="T35" t="str">
            <v>R.Sh L.L.C.</v>
          </cell>
          <cell r="U35">
            <v>812326016</v>
          </cell>
          <cell r="V35" t="str">
            <v>+383486 611 61</v>
          </cell>
          <cell r="W35" t="str">
            <v>Kosovo</v>
          </cell>
          <cell r="X35">
            <v>1378</v>
          </cell>
          <cell r="AB35">
            <v>1613</v>
          </cell>
          <cell r="AC35">
            <v>5725</v>
          </cell>
          <cell r="AD35">
            <v>1425</v>
          </cell>
          <cell r="AE35">
            <v>7150</v>
          </cell>
          <cell r="AF35">
            <v>7400</v>
          </cell>
        </row>
        <row r="36">
          <cell r="A36">
            <v>34</v>
          </cell>
          <cell r="B36">
            <v>45908</v>
          </cell>
          <cell r="C36" t="str">
            <v>HYUNDAI i40 Saloon</v>
          </cell>
          <cell r="D36" t="str">
            <v>HYUNDAI</v>
          </cell>
          <cell r="E36" t="str">
            <v>i40 Saloon</v>
          </cell>
          <cell r="G36" t="str">
            <v>31무5670</v>
          </cell>
          <cell r="H36" t="str">
            <v>KMHLC41UBCU022090</v>
          </cell>
          <cell r="I36">
            <v>45912</v>
          </cell>
          <cell r="J36" t="str">
            <v>㈜ 차량 차량</v>
          </cell>
          <cell r="L36" t="str">
            <v>잔금</v>
          </cell>
          <cell r="M36" t="str">
            <v>50만원 회사통장 나감</v>
          </cell>
          <cell r="N36">
            <v>420</v>
          </cell>
          <cell r="O36">
            <v>44</v>
          </cell>
          <cell r="P36">
            <v>464</v>
          </cell>
          <cell r="Q36" t="str">
            <v>done</v>
          </cell>
          <cell r="S36" t="str">
            <v>HYSA</v>
          </cell>
          <cell r="T36" t="str">
            <v>HYSA JUGERS</v>
          </cell>
          <cell r="U36" t="str">
            <v>J90912021M</v>
          </cell>
          <cell r="V36" t="str">
            <v>355 69 690 2972</v>
          </cell>
          <cell r="W36" t="str">
            <v>Albania</v>
          </cell>
          <cell r="X36">
            <v>1376</v>
          </cell>
          <cell r="AB36">
            <v>1610</v>
          </cell>
          <cell r="AC36">
            <v>2997</v>
          </cell>
          <cell r="AD36">
            <v>1428</v>
          </cell>
          <cell r="AE36">
            <v>4425</v>
          </cell>
          <cell r="AF36">
            <v>4700</v>
          </cell>
        </row>
        <row r="37">
          <cell r="A37">
            <v>35</v>
          </cell>
          <cell r="B37">
            <v>45908</v>
          </cell>
          <cell r="C37" t="str">
            <v>Jeep Cherokee</v>
          </cell>
          <cell r="D37" t="str">
            <v>Jeep</v>
          </cell>
          <cell r="E37" t="str">
            <v>Cherokee</v>
          </cell>
          <cell r="G37" t="str">
            <v>53나6175</v>
          </cell>
          <cell r="H37" t="str">
            <v>1C4PJMDY6FW624250</v>
          </cell>
          <cell r="I37">
            <v>45912</v>
          </cell>
          <cell r="J37" t="str">
            <v>(주) 에이엠지모터스</v>
          </cell>
          <cell r="L37" t="str">
            <v>잔금</v>
          </cell>
          <cell r="M37" t="str">
            <v>50만원 대표님 계약</v>
          </cell>
          <cell r="N37">
            <v>770</v>
          </cell>
          <cell r="O37">
            <v>0</v>
          </cell>
          <cell r="P37">
            <v>770</v>
          </cell>
          <cell r="Q37" t="str">
            <v>done</v>
          </cell>
          <cell r="S37" t="str">
            <v>R.S.h L.L.C.</v>
          </cell>
          <cell r="T37" t="str">
            <v>R.Sh L.L.C.</v>
          </cell>
          <cell r="U37">
            <v>812326016</v>
          </cell>
          <cell r="V37" t="str">
            <v>+383486 611 61</v>
          </cell>
          <cell r="W37" t="str">
            <v>Kosovo</v>
          </cell>
          <cell r="X37">
            <v>1376</v>
          </cell>
          <cell r="AB37">
            <v>1610</v>
          </cell>
          <cell r="AC37">
            <v>4727</v>
          </cell>
          <cell r="AD37">
            <v>1513</v>
          </cell>
          <cell r="AE37">
            <v>6240</v>
          </cell>
          <cell r="AF37">
            <v>6240</v>
          </cell>
        </row>
        <row r="38">
          <cell r="A38">
            <v>36</v>
          </cell>
          <cell r="B38">
            <v>45909</v>
          </cell>
          <cell r="C38" t="str">
            <v>VOLKSWAGENS GOLF 1.4 TSI</v>
          </cell>
          <cell r="D38" t="str">
            <v>VOLKSWAGENS</v>
          </cell>
          <cell r="E38" t="str">
            <v>GOLF 1.4 TSI</v>
          </cell>
          <cell r="G38" t="str">
            <v>07너7500</v>
          </cell>
          <cell r="H38" t="str">
            <v>WVWZZZAUZEW346348</v>
          </cell>
          <cell r="I38">
            <v>45911</v>
          </cell>
          <cell r="J38" t="str">
            <v>㈜무한 모터스</v>
          </cell>
          <cell r="L38" t="str">
            <v>잔금</v>
          </cell>
          <cell r="M38" t="str">
            <v>50만원 회사통장 나감</v>
          </cell>
          <cell r="N38">
            <v>720</v>
          </cell>
          <cell r="O38">
            <v>0</v>
          </cell>
          <cell r="P38">
            <v>720</v>
          </cell>
          <cell r="Q38" t="str">
            <v>done (france)</v>
          </cell>
          <cell r="S38" t="str">
            <v xml:space="preserve">AlphaWorldwide </v>
          </cell>
          <cell r="T38" t="str">
            <v>AlphaWorldWideAlbania</v>
          </cell>
          <cell r="U38" t="str">
            <v>SN-619176-11-19</v>
          </cell>
          <cell r="V38" t="str">
            <v>355 69223 3416</v>
          </cell>
          <cell r="W38" t="str">
            <v xml:space="preserve">Durres, Durres, DURRES, Lagjja nr.11, Rruga Bulevardi, me siperfaqe 30m2 </v>
          </cell>
          <cell r="X38">
            <v>1373</v>
          </cell>
          <cell r="AB38">
            <v>1616</v>
          </cell>
          <cell r="AC38">
            <v>4515</v>
          </cell>
          <cell r="AD38">
            <v>1041</v>
          </cell>
          <cell r="AE38">
            <v>5556</v>
          </cell>
        </row>
        <row r="39">
          <cell r="A39">
            <v>37</v>
          </cell>
          <cell r="B39">
            <v>45910</v>
          </cell>
          <cell r="C39" t="str">
            <v>AUDI A4</v>
          </cell>
          <cell r="D39" t="str">
            <v>AUDI</v>
          </cell>
          <cell r="E39" t="str">
            <v>A4</v>
          </cell>
          <cell r="G39" t="str">
            <v>22머6443</v>
          </cell>
          <cell r="H39" t="str">
            <v>WAUZZZ8K2GN006884</v>
          </cell>
          <cell r="J39" t="str">
            <v>경매장 -aj</v>
          </cell>
          <cell r="L39" t="str">
            <v>잔금</v>
          </cell>
          <cell r="M39" t="str">
            <v>도착</v>
          </cell>
          <cell r="N39">
            <v>1020</v>
          </cell>
          <cell r="O39">
            <v>263.67</v>
          </cell>
          <cell r="P39">
            <v>1283.67</v>
          </cell>
          <cell r="Q39" t="str">
            <v>done</v>
          </cell>
          <cell r="S39" t="str">
            <v>DONI</v>
          </cell>
          <cell r="T39" t="str">
            <v>DONI</v>
          </cell>
          <cell r="U39">
            <v>933682</v>
          </cell>
          <cell r="V39" t="str">
            <v>3 8 3 4 9 3 2 5 7 0 3</v>
          </cell>
          <cell r="W39" t="str">
            <v xml:space="preserve"> HYZRI TALLA OB 16 HY 1 NR 18
 Kosovë</v>
          </cell>
          <cell r="X39">
            <v>1376</v>
          </cell>
          <cell r="AB39">
            <v>1609</v>
          </cell>
          <cell r="AC39">
            <v>6070</v>
          </cell>
          <cell r="AD39">
            <v>1430</v>
          </cell>
          <cell r="AE39">
            <v>7500</v>
          </cell>
        </row>
        <row r="40">
          <cell r="A40">
            <v>38</v>
          </cell>
          <cell r="B40">
            <v>45911</v>
          </cell>
          <cell r="C40" t="str">
            <v>AUDI A7 45 TDI QUATTRO</v>
          </cell>
          <cell r="D40" t="str">
            <v>AUDI</v>
          </cell>
          <cell r="E40" t="str">
            <v>A7 45 TDI QUATTRO</v>
          </cell>
          <cell r="G40" t="str">
            <v>01고4596</v>
          </cell>
          <cell r="H40" t="str">
            <v>WAUZZZ4G2FN004875</v>
          </cell>
          <cell r="I40">
            <v>45916</v>
          </cell>
          <cell r="J40" t="str">
            <v>개인매입- 박세훈</v>
          </cell>
          <cell r="L40" t="str">
            <v>잔금</v>
          </cell>
          <cell r="M40" t="str">
            <v>50만원 회사통장 나감</v>
          </cell>
          <cell r="N40">
            <v>1070</v>
          </cell>
          <cell r="O40">
            <v>0</v>
          </cell>
          <cell r="P40">
            <v>1070</v>
          </cell>
          <cell r="Q40" t="str">
            <v>done</v>
          </cell>
          <cell r="S40" t="str">
            <v>CALJA</v>
          </cell>
          <cell r="T40" t="str">
            <v>Calja</v>
          </cell>
          <cell r="U40" t="str">
            <v>M43323203V</v>
          </cell>
          <cell r="V40" t="str">
            <v>355 69 550 5533</v>
          </cell>
          <cell r="W40" t="str">
            <v>Albania</v>
          </cell>
          <cell r="X40">
            <v>1390</v>
          </cell>
          <cell r="AB40">
            <v>1608</v>
          </cell>
          <cell r="AC40">
            <v>6421</v>
          </cell>
          <cell r="AD40">
            <v>1445</v>
          </cell>
          <cell r="AE40">
            <v>7866</v>
          </cell>
          <cell r="AF40">
            <v>4800</v>
          </cell>
        </row>
        <row r="41">
          <cell r="A41">
            <v>39</v>
          </cell>
          <cell r="B41">
            <v>45911</v>
          </cell>
          <cell r="C41" t="str">
            <v>HYUNDAI SANTAFE</v>
          </cell>
          <cell r="D41" t="str">
            <v>HYUNDAI</v>
          </cell>
          <cell r="E41" t="str">
            <v>SANTAFE</v>
          </cell>
          <cell r="G41" t="str">
            <v>293무5471</v>
          </cell>
          <cell r="H41" t="str">
            <v>KMHSW81UBHU728253</v>
          </cell>
          <cell r="I41">
            <v>45912</v>
          </cell>
          <cell r="J41" t="str">
            <v>㈜청담모터스</v>
          </cell>
          <cell r="L41" t="str">
            <v>잔금</v>
          </cell>
          <cell r="M41" t="str">
            <v>50만원 회사통장 나감</v>
          </cell>
          <cell r="N41">
            <v>1270</v>
          </cell>
          <cell r="P41">
            <v>1270</v>
          </cell>
          <cell r="Q41" t="str">
            <v>done</v>
          </cell>
          <cell r="S41" t="str">
            <v>CALJA</v>
          </cell>
          <cell r="T41" t="str">
            <v>Calja</v>
          </cell>
          <cell r="U41" t="str">
            <v>M43323203V</v>
          </cell>
          <cell r="V41" t="str">
            <v>355 69 550 5533</v>
          </cell>
          <cell r="W41" t="str">
            <v>Albania</v>
          </cell>
          <cell r="X41">
            <v>1390</v>
          </cell>
          <cell r="AB41">
            <v>1608</v>
          </cell>
          <cell r="AC41">
            <v>7610</v>
          </cell>
          <cell r="AD41">
            <v>1530</v>
          </cell>
          <cell r="AE41">
            <v>9140</v>
          </cell>
          <cell r="AF41">
            <v>9510</v>
          </cell>
        </row>
        <row r="42">
          <cell r="A42">
            <v>40</v>
          </cell>
          <cell r="B42">
            <v>45912</v>
          </cell>
          <cell r="C42" t="str">
            <v>BENZ E220D</v>
          </cell>
          <cell r="D42" t="str">
            <v>BENZ</v>
          </cell>
          <cell r="E42" t="str">
            <v>E220D</v>
          </cell>
          <cell r="F42">
            <v>2017</v>
          </cell>
          <cell r="G42" t="str">
            <v>62부6718</v>
          </cell>
          <cell r="H42" t="str">
            <v>WDDZF0EB1HA271550</v>
          </cell>
          <cell r="I42">
            <v>45916</v>
          </cell>
          <cell r="J42" t="str">
            <v>㈜신원자동차매매상사</v>
          </cell>
          <cell r="L42" t="str">
            <v>잔금</v>
          </cell>
          <cell r="M42" t="str">
            <v>50만원 대표님 계약</v>
          </cell>
          <cell r="N42">
            <v>1800</v>
          </cell>
          <cell r="O42">
            <v>44</v>
          </cell>
          <cell r="P42">
            <v>1844</v>
          </cell>
          <cell r="Q42" t="str">
            <v>done</v>
          </cell>
          <cell r="S42" t="str">
            <v>Auto Posh SH.P.K</v>
          </cell>
          <cell r="T42" t="str">
            <v>Auto Posh SH.P.K</v>
          </cell>
          <cell r="U42">
            <v>812219427</v>
          </cell>
          <cell r="V42" t="str">
            <v>38345560145</v>
          </cell>
          <cell r="W42" t="str">
            <v xml:space="preserve"> Rruga Jakup Lami, Pn. Greme, Feriza</v>
          </cell>
          <cell r="X42">
            <v>1376</v>
          </cell>
          <cell r="AB42">
            <v>1614</v>
          </cell>
          <cell r="AC42">
            <v>10926</v>
          </cell>
          <cell r="AD42">
            <v>1424</v>
          </cell>
          <cell r="AE42">
            <v>12350</v>
          </cell>
        </row>
        <row r="43">
          <cell r="A43">
            <v>41</v>
          </cell>
          <cell r="B43">
            <v>45912</v>
          </cell>
          <cell r="C43" t="str">
            <v>BENZ CLS250 D 4MATIC</v>
          </cell>
          <cell r="D43" t="str">
            <v>BENZ</v>
          </cell>
          <cell r="E43" t="str">
            <v>CLS250 D 4MATIC</v>
          </cell>
          <cell r="G43" t="str">
            <v>37마2435</v>
          </cell>
          <cell r="H43" t="str">
            <v xml:space="preserve">WDDLJ9HB5GA160714 </v>
          </cell>
          <cell r="I43">
            <v>45916</v>
          </cell>
          <cell r="J43" t="str">
            <v>㈜하랑모터스</v>
          </cell>
          <cell r="L43" t="str">
            <v>잔금</v>
          </cell>
          <cell r="M43" t="str">
            <v>50만원 대표님 계약</v>
          </cell>
          <cell r="N43">
            <v>1590</v>
          </cell>
          <cell r="O43">
            <v>0</v>
          </cell>
          <cell r="P43">
            <v>1590</v>
          </cell>
          <cell r="Q43" t="str">
            <v>done</v>
          </cell>
          <cell r="S43" t="str">
            <v>GAZI</v>
          </cell>
          <cell r="T43" t="str">
            <v>ERALD KUQJA</v>
          </cell>
          <cell r="U43" t="str">
            <v>K41002014T</v>
          </cell>
          <cell r="V43" t="str">
            <v xml:space="preserve">355 69 834 3353 </v>
          </cell>
          <cell r="W43" t="str">
            <v>Albania</v>
          </cell>
          <cell r="X43">
            <v>1376</v>
          </cell>
          <cell r="AB43">
            <v>1614</v>
          </cell>
          <cell r="AC43">
            <v>9456</v>
          </cell>
          <cell r="AD43">
            <v>1424</v>
          </cell>
          <cell r="AE43">
            <v>10880</v>
          </cell>
        </row>
        <row r="44">
          <cell r="A44">
            <v>42</v>
          </cell>
          <cell r="B44">
            <v>45912</v>
          </cell>
          <cell r="C44" t="str">
            <v xml:space="preserve">VOLKSWAGENS CC </v>
          </cell>
          <cell r="D44" t="str">
            <v>VOLKSWAGENS</v>
          </cell>
          <cell r="E44" t="str">
            <v xml:space="preserve">CC </v>
          </cell>
          <cell r="G44" t="str">
            <v>56버0585</v>
          </cell>
          <cell r="H44" t="str">
            <v>WVWZZZ3CZGE510687</v>
          </cell>
          <cell r="J44" t="str">
            <v>경매장 - 현대글로비스</v>
          </cell>
          <cell r="L44" t="str">
            <v>잔금</v>
          </cell>
          <cell r="M44" t="str">
            <v>도착</v>
          </cell>
          <cell r="N44">
            <v>705</v>
          </cell>
          <cell r="O44">
            <v>16</v>
          </cell>
          <cell r="P44">
            <v>721</v>
          </cell>
          <cell r="Q44" t="str">
            <v>done</v>
          </cell>
          <cell r="S44" t="str">
            <v>DONI</v>
          </cell>
          <cell r="T44" t="str">
            <v>DONI</v>
          </cell>
          <cell r="U44">
            <v>933682</v>
          </cell>
          <cell r="V44" t="str">
            <v>3 8 3 4 9 3 2 5 7 0 3</v>
          </cell>
          <cell r="W44" t="str">
            <v xml:space="preserve"> HYZRI TALLA OB 16 HY 1 NR 18
 Kosovë</v>
          </cell>
          <cell r="X44">
            <v>1376</v>
          </cell>
          <cell r="AB44">
            <v>1614</v>
          </cell>
          <cell r="AC44">
            <v>4456</v>
          </cell>
          <cell r="AD44">
            <v>1424</v>
          </cell>
          <cell r="AE44">
            <v>5880</v>
          </cell>
        </row>
        <row r="45">
          <cell r="A45">
            <v>43</v>
          </cell>
          <cell r="B45">
            <v>45912</v>
          </cell>
          <cell r="C45" t="str">
            <v>DS5 2.0 Blue-HDi</v>
          </cell>
          <cell r="D45" t="str">
            <v>DS5</v>
          </cell>
          <cell r="E45" t="str">
            <v>2.0 Blue-HDi</v>
          </cell>
          <cell r="G45" t="str">
            <v>03소0799</v>
          </cell>
          <cell r="H45" t="str">
            <v>VF7KFAHWTGS500233</v>
          </cell>
          <cell r="I45">
            <v>45916</v>
          </cell>
          <cell r="J45" t="str">
            <v>㈜신원자동차매매상사</v>
          </cell>
          <cell r="L45" t="str">
            <v>잔금</v>
          </cell>
          <cell r="M45" t="str">
            <v>50만원 대표님 계약</v>
          </cell>
          <cell r="N45">
            <v>666</v>
          </cell>
          <cell r="O45">
            <v>44</v>
          </cell>
          <cell r="P45">
            <v>710</v>
          </cell>
          <cell r="Q45" t="str">
            <v>done</v>
          </cell>
          <cell r="S45" t="str">
            <v>R.S.h L.L.C.</v>
          </cell>
          <cell r="T45" t="str">
            <v>R.Sh L.L.C.</v>
          </cell>
          <cell r="U45">
            <v>812326016</v>
          </cell>
          <cell r="V45" t="str">
            <v>+383486 611 61</v>
          </cell>
          <cell r="W45" t="str">
            <v>Kosovo</v>
          </cell>
          <cell r="X45">
            <v>1376</v>
          </cell>
          <cell r="AB45">
            <v>1614</v>
          </cell>
          <cell r="AC45">
            <v>4376</v>
          </cell>
          <cell r="AD45">
            <v>1424</v>
          </cell>
          <cell r="AE45">
            <v>5800</v>
          </cell>
          <cell r="AF45">
            <v>5800</v>
          </cell>
        </row>
        <row r="46">
          <cell r="A46">
            <v>44</v>
          </cell>
          <cell r="B46">
            <v>45912</v>
          </cell>
          <cell r="C46" t="str">
            <v>AUDI A6 45 TDI QUATTRO</v>
          </cell>
          <cell r="D46" t="str">
            <v>AUDI</v>
          </cell>
          <cell r="E46" t="str">
            <v>A6 45 TDI QUATTRO</v>
          </cell>
          <cell r="G46" t="str">
            <v>28두9598</v>
          </cell>
          <cell r="H46" t="str">
            <v>WAUZZZ4G0FN025448</v>
          </cell>
          <cell r="I46">
            <v>45916</v>
          </cell>
          <cell r="J46" t="str">
            <v>㈜수호모터스</v>
          </cell>
          <cell r="L46" t="str">
            <v>잔금</v>
          </cell>
          <cell r="M46" t="str">
            <v>50만원 대표님 계약</v>
          </cell>
          <cell r="N46">
            <v>770</v>
          </cell>
          <cell r="O46">
            <v>44</v>
          </cell>
          <cell r="P46">
            <v>814</v>
          </cell>
          <cell r="Q46" t="str">
            <v>done</v>
          </cell>
          <cell r="S46" t="str">
            <v xml:space="preserve">AlphaWorldwide </v>
          </cell>
          <cell r="T46" t="str">
            <v>AlphaWorldWideAlbania</v>
          </cell>
          <cell r="U46" t="str">
            <v>SN-619176-11-19</v>
          </cell>
          <cell r="V46" t="str">
            <v>355 69223 3416</v>
          </cell>
          <cell r="W46" t="str">
            <v xml:space="preserve">Durres, Durres, DURRES, Lagjja nr.11, Rruga Bulevardi, me siperfaqe 30m2 </v>
          </cell>
          <cell r="X46">
            <v>1376</v>
          </cell>
          <cell r="AB46">
            <v>1614</v>
          </cell>
          <cell r="AC46">
            <v>4976</v>
          </cell>
          <cell r="AD46">
            <v>1424</v>
          </cell>
          <cell r="AE46">
            <v>6400</v>
          </cell>
        </row>
        <row r="47">
          <cell r="A47">
            <v>45</v>
          </cell>
          <cell r="B47">
            <v>45912</v>
          </cell>
          <cell r="C47" t="str">
            <v>Citroen C4 PICASSO</v>
          </cell>
          <cell r="D47" t="str">
            <v>Citroen</v>
          </cell>
          <cell r="E47" t="str">
            <v>C4 PICASSO</v>
          </cell>
          <cell r="G47" t="str">
            <v>191수2514</v>
          </cell>
          <cell r="H47" t="str">
            <v>VF73DBHZTGJ517770</v>
          </cell>
          <cell r="I47">
            <v>45919</v>
          </cell>
          <cell r="J47" t="str">
            <v>㈜엥쓰리모터스</v>
          </cell>
          <cell r="L47" t="str">
            <v>잔금</v>
          </cell>
          <cell r="M47" t="str">
            <v>50만원 대표님 계약</v>
          </cell>
          <cell r="N47">
            <v>880</v>
          </cell>
          <cell r="P47">
            <v>880</v>
          </cell>
          <cell r="Q47" t="str">
            <v>done</v>
          </cell>
          <cell r="S47" t="str">
            <v>R.S.h L.L.C.</v>
          </cell>
          <cell r="T47" t="str">
            <v>R.Sh L.L.C.</v>
          </cell>
          <cell r="U47">
            <v>812326016</v>
          </cell>
          <cell r="V47" t="str">
            <v>+383486 611 61</v>
          </cell>
          <cell r="W47" t="str">
            <v>Kosovo</v>
          </cell>
          <cell r="X47">
            <v>1376</v>
          </cell>
          <cell r="AB47">
            <v>1614</v>
          </cell>
          <cell r="AC47">
            <v>5370</v>
          </cell>
          <cell r="AD47">
            <v>1510</v>
          </cell>
          <cell r="AE47">
            <v>6880</v>
          </cell>
          <cell r="AF47">
            <v>6880</v>
          </cell>
        </row>
        <row r="48">
          <cell r="A48">
            <v>46</v>
          </cell>
          <cell r="B48">
            <v>45915</v>
          </cell>
          <cell r="C48" t="str">
            <v>VOLKSWAGENS GOLF 2.0 TDI</v>
          </cell>
          <cell r="D48" t="str">
            <v>VOLKSWAGENS</v>
          </cell>
          <cell r="E48" t="str">
            <v>GOLF 2.0 TDI</v>
          </cell>
          <cell r="G48" t="str">
            <v>166조5203</v>
          </cell>
          <cell r="H48" t="str">
            <v>WVWZZZCDZNW131234</v>
          </cell>
          <cell r="I48">
            <v>45923</v>
          </cell>
          <cell r="J48" t="str">
            <v>㈜ 유카</v>
          </cell>
          <cell r="L48" t="str">
            <v>잔금</v>
          </cell>
          <cell r="M48" t="str">
            <v>50만원 대표님 계약</v>
          </cell>
          <cell r="N48">
            <v>2470</v>
          </cell>
          <cell r="P48">
            <v>2470</v>
          </cell>
          <cell r="Q48" t="str">
            <v>done</v>
          </cell>
          <cell r="S48" t="str">
            <v>DONI</v>
          </cell>
          <cell r="T48" t="str">
            <v>DONI</v>
          </cell>
          <cell r="U48">
            <v>933682</v>
          </cell>
          <cell r="V48" t="str">
            <v>3 8 3 4 9 3 2 5 7 0 3</v>
          </cell>
          <cell r="W48" t="str">
            <v xml:space="preserve"> HYZRI TALLA OB 16 HY 1 NR 18
 Kosovë</v>
          </cell>
          <cell r="X48">
            <v>1374</v>
          </cell>
          <cell r="AB48">
            <v>1612</v>
          </cell>
          <cell r="AC48">
            <v>16325</v>
          </cell>
          <cell r="AD48">
            <v>1425</v>
          </cell>
          <cell r="AE48">
            <v>17750</v>
          </cell>
        </row>
        <row r="49">
          <cell r="A49">
            <v>47</v>
          </cell>
          <cell r="B49">
            <v>45915</v>
          </cell>
          <cell r="C49" t="str">
            <v>RANGE ROVER EVOQUE</v>
          </cell>
          <cell r="D49" t="str">
            <v>RANGE ROVER</v>
          </cell>
          <cell r="E49" t="str">
            <v>EVOQUE</v>
          </cell>
          <cell r="G49" t="str">
            <v>54거1143</v>
          </cell>
          <cell r="H49" t="str">
            <v>SALVA2BN2HH200021</v>
          </cell>
          <cell r="I49">
            <v>45923</v>
          </cell>
          <cell r="J49" t="str">
            <v>㈜ 해동자동차</v>
          </cell>
          <cell r="L49" t="str">
            <v>잔금</v>
          </cell>
          <cell r="M49" t="str">
            <v>50만원 회사통장 나감</v>
          </cell>
          <cell r="N49">
            <v>1316</v>
          </cell>
          <cell r="O49">
            <v>44</v>
          </cell>
          <cell r="P49">
            <v>1360</v>
          </cell>
          <cell r="Q49" t="str">
            <v>done</v>
          </cell>
          <cell r="S49" t="str">
            <v xml:space="preserve">Erion </v>
          </cell>
          <cell r="T49" t="str">
            <v>Erion Gjergji</v>
          </cell>
          <cell r="U49" t="str">
            <v>I90516099R</v>
          </cell>
          <cell r="V49" t="str">
            <v>49 163 6979 099</v>
          </cell>
          <cell r="W49" t="str">
            <v>Albania</v>
          </cell>
          <cell r="X49">
            <v>1374</v>
          </cell>
          <cell r="AB49">
            <v>1612</v>
          </cell>
          <cell r="AC49">
            <v>8090</v>
          </cell>
          <cell r="AD49">
            <v>1510</v>
          </cell>
          <cell r="AE49">
            <v>9600</v>
          </cell>
        </row>
        <row r="50">
          <cell r="A50">
            <v>48</v>
          </cell>
          <cell r="B50">
            <v>45916</v>
          </cell>
          <cell r="C50" t="str">
            <v>AUDI A6 3.0 TDI QUATTRO</v>
          </cell>
          <cell r="D50" t="str">
            <v>AUDI</v>
          </cell>
          <cell r="E50" t="str">
            <v>A6 3.0 TDI QUATTRO</v>
          </cell>
          <cell r="G50" t="str">
            <v>26고2766</v>
          </cell>
          <cell r="H50" t="str">
            <v>WAUZZZ4G2EN060829</v>
          </cell>
          <cell r="I50">
            <v>45923</v>
          </cell>
          <cell r="J50" t="str">
            <v>㈜셀링오토</v>
          </cell>
          <cell r="L50" t="str">
            <v>잔금</v>
          </cell>
          <cell r="M50" t="str">
            <v>50만원 회사통장 나감</v>
          </cell>
          <cell r="N50">
            <v>750</v>
          </cell>
          <cell r="O50">
            <v>0</v>
          </cell>
          <cell r="P50">
            <v>750</v>
          </cell>
          <cell r="Q50" t="str">
            <v>done</v>
          </cell>
          <cell r="S50" t="str">
            <v>CALJA</v>
          </cell>
          <cell r="T50" t="str">
            <v>Calja</v>
          </cell>
          <cell r="U50" t="str">
            <v>M43323203V</v>
          </cell>
          <cell r="V50" t="str">
            <v>355 69 550 5533</v>
          </cell>
          <cell r="W50" t="str">
            <v>Albania</v>
          </cell>
          <cell r="X50">
            <v>1373</v>
          </cell>
          <cell r="AB50">
            <v>1615</v>
          </cell>
          <cell r="AC50">
            <v>4628</v>
          </cell>
          <cell r="AD50">
            <v>1422</v>
          </cell>
          <cell r="AE50">
            <v>6050</v>
          </cell>
          <cell r="AF50">
            <v>6500</v>
          </cell>
        </row>
        <row r="51">
          <cell r="A51">
            <v>49</v>
          </cell>
          <cell r="B51">
            <v>45916</v>
          </cell>
          <cell r="C51" t="str">
            <v>BENZ C220 d</v>
          </cell>
          <cell r="D51" t="str">
            <v>BENZ</v>
          </cell>
          <cell r="E51" t="str">
            <v>C220 d</v>
          </cell>
          <cell r="F51">
            <v>2016</v>
          </cell>
          <cell r="G51" t="str">
            <v>43라0440</v>
          </cell>
          <cell r="H51" t="str">
            <v>WDDWF0EB9GR166175</v>
          </cell>
          <cell r="I51">
            <v>45919</v>
          </cell>
          <cell r="J51" t="str">
            <v>㈜ 오토리안</v>
          </cell>
          <cell r="L51" t="str">
            <v>잔금</v>
          </cell>
          <cell r="M51" t="str">
            <v>50만원 대표님 계약</v>
          </cell>
          <cell r="N51">
            <v>1510</v>
          </cell>
          <cell r="O51">
            <v>0</v>
          </cell>
          <cell r="P51">
            <v>1510</v>
          </cell>
          <cell r="Q51" t="str">
            <v>done</v>
          </cell>
          <cell r="S51" t="str">
            <v>RIZA</v>
          </cell>
          <cell r="T51" t="str">
            <v>Muhamet Tushe</v>
          </cell>
          <cell r="V51" t="str">
            <v>355 682769063</v>
          </cell>
          <cell r="W51" t="str">
            <v>Albania</v>
          </cell>
          <cell r="X51">
            <v>1373</v>
          </cell>
          <cell r="AB51">
            <v>1615</v>
          </cell>
          <cell r="AC51">
            <v>8938</v>
          </cell>
          <cell r="AD51">
            <v>1422</v>
          </cell>
          <cell r="AE51">
            <v>10360</v>
          </cell>
          <cell r="AF51">
            <v>10850</v>
          </cell>
        </row>
        <row r="52">
          <cell r="A52">
            <v>50</v>
          </cell>
          <cell r="B52">
            <v>45916</v>
          </cell>
          <cell r="C52" t="str">
            <v>HYUNDAI ACCENT</v>
          </cell>
          <cell r="D52" t="str">
            <v>HYUNDAI</v>
          </cell>
          <cell r="E52" t="str">
            <v>ACCENT</v>
          </cell>
          <cell r="G52" t="str">
            <v>40고3822</v>
          </cell>
          <cell r="H52" t="str">
            <v>KMHCT41UBCU349217</v>
          </cell>
          <cell r="I52">
            <v>45923</v>
          </cell>
          <cell r="J52" t="str">
            <v>㈜가람자동차상사</v>
          </cell>
          <cell r="L52" t="str">
            <v>잔금</v>
          </cell>
          <cell r="M52" t="str">
            <v>50만원 대표님 계약</v>
          </cell>
          <cell r="N52">
            <v>350</v>
          </cell>
          <cell r="P52">
            <v>350</v>
          </cell>
          <cell r="Q52" t="str">
            <v>done</v>
          </cell>
          <cell r="S52" t="str">
            <v>CALJA</v>
          </cell>
          <cell r="T52" t="str">
            <v>Calja</v>
          </cell>
          <cell r="U52" t="str">
            <v>M43323203V</v>
          </cell>
          <cell r="V52" t="str">
            <v>355 69 550 5533</v>
          </cell>
          <cell r="W52" t="str">
            <v>Albania</v>
          </cell>
          <cell r="X52">
            <v>1373</v>
          </cell>
          <cell r="AB52">
            <v>1615</v>
          </cell>
          <cell r="AC52">
            <v>2408</v>
          </cell>
          <cell r="AD52">
            <v>1422</v>
          </cell>
          <cell r="AE52">
            <v>3830</v>
          </cell>
          <cell r="AF52">
            <v>3900</v>
          </cell>
        </row>
        <row r="53">
          <cell r="A53">
            <v>51</v>
          </cell>
          <cell r="B53">
            <v>45916</v>
          </cell>
          <cell r="C53" t="str">
            <v>HYUNDAI TUCSON</v>
          </cell>
          <cell r="D53" t="str">
            <v>HYUNDAI</v>
          </cell>
          <cell r="E53" t="str">
            <v>TUCSON</v>
          </cell>
          <cell r="G53" t="str">
            <v>22조5528</v>
          </cell>
          <cell r="H53" t="str">
            <v>KMHJ3815GGU057711</v>
          </cell>
          <cell r="I53">
            <v>45923</v>
          </cell>
          <cell r="J53" t="str">
            <v>㈜조선중고차</v>
          </cell>
          <cell r="L53" t="str">
            <v>잔금</v>
          </cell>
          <cell r="M53" t="str">
            <v>50만원 대표님 계약</v>
          </cell>
          <cell r="N53">
            <v>960</v>
          </cell>
          <cell r="P53">
            <v>960</v>
          </cell>
          <cell r="Q53" t="str">
            <v>done</v>
          </cell>
          <cell r="S53" t="str">
            <v>CALJA</v>
          </cell>
          <cell r="T53" t="str">
            <v>Calja</v>
          </cell>
          <cell r="U53" t="str">
            <v>M43323203V</v>
          </cell>
          <cell r="V53" t="str">
            <v>355 69 550 5533</v>
          </cell>
          <cell r="W53" t="str">
            <v>Albania</v>
          </cell>
          <cell r="X53">
            <v>1373</v>
          </cell>
          <cell r="AB53">
            <v>1615</v>
          </cell>
          <cell r="AC53">
            <v>5795</v>
          </cell>
          <cell r="AD53">
            <v>1505</v>
          </cell>
          <cell r="AE53">
            <v>7300</v>
          </cell>
          <cell r="AF53">
            <v>3300</v>
          </cell>
        </row>
        <row r="54">
          <cell r="A54">
            <v>52</v>
          </cell>
          <cell r="B54">
            <v>45917</v>
          </cell>
          <cell r="C54" t="str">
            <v>BENZ E220 D</v>
          </cell>
          <cell r="D54" t="str">
            <v>BENZ</v>
          </cell>
          <cell r="E54" t="str">
            <v>E220 D</v>
          </cell>
          <cell r="F54">
            <v>2017</v>
          </cell>
          <cell r="G54" t="str">
            <v>111누3598</v>
          </cell>
          <cell r="H54" t="str">
            <v>WDDZF0EB6HA226071</v>
          </cell>
          <cell r="I54">
            <v>45923</v>
          </cell>
          <cell r="J54" t="str">
            <v>(주)태영 모터스</v>
          </cell>
          <cell r="L54" t="str">
            <v>잔금</v>
          </cell>
          <cell r="M54" t="str">
            <v>50만원 회사통장 나감</v>
          </cell>
          <cell r="N54">
            <v>1700</v>
          </cell>
          <cell r="P54">
            <v>1700</v>
          </cell>
          <cell r="Q54" t="str">
            <v>done</v>
          </cell>
          <cell r="S54" t="str">
            <v xml:space="preserve">Erion </v>
          </cell>
          <cell r="T54" t="str">
            <v>Erion Gjergji</v>
          </cell>
          <cell r="U54" t="str">
            <v>I90516099R</v>
          </cell>
          <cell r="V54" t="str">
            <v>49 163 6979 099</v>
          </cell>
          <cell r="W54" t="str">
            <v>Albania</v>
          </cell>
          <cell r="X54">
            <v>1364</v>
          </cell>
          <cell r="AB54">
            <v>1619</v>
          </cell>
          <cell r="AC54">
            <v>10093</v>
          </cell>
          <cell r="AD54">
            <v>1407</v>
          </cell>
          <cell r="AE54">
            <v>11500</v>
          </cell>
          <cell r="AF54">
            <v>21100</v>
          </cell>
        </row>
        <row r="55">
          <cell r="A55">
            <v>53</v>
          </cell>
          <cell r="B55">
            <v>45917</v>
          </cell>
          <cell r="C55" t="str">
            <v>VOLKSWAGENS Passat</v>
          </cell>
          <cell r="D55" t="str">
            <v>VOLKSWAGENS</v>
          </cell>
          <cell r="E55" t="str">
            <v>Passat</v>
          </cell>
          <cell r="F55">
            <v>2018</v>
          </cell>
          <cell r="G55" t="str">
            <v>36로5103</v>
          </cell>
          <cell r="H55" t="str">
            <v>WVWZZZ3CZJE152209</v>
          </cell>
          <cell r="I55">
            <v>45923</v>
          </cell>
          <cell r="J55" t="str">
            <v>(주) 신의모터스</v>
          </cell>
          <cell r="L55" t="str">
            <v>잔금</v>
          </cell>
          <cell r="M55" t="str">
            <v>50만원 회사통장 나감</v>
          </cell>
          <cell r="N55">
            <v>1750</v>
          </cell>
          <cell r="O55">
            <v>0</v>
          </cell>
          <cell r="P55">
            <v>1750</v>
          </cell>
          <cell r="Q55" t="str">
            <v>done</v>
          </cell>
          <cell r="S55" t="str">
            <v xml:space="preserve">GENC HETA </v>
          </cell>
          <cell r="T55" t="str">
            <v>GENC HETA</v>
          </cell>
          <cell r="U55">
            <v>182420</v>
          </cell>
          <cell r="V55" t="str">
            <v>377 45 145 283</v>
          </cell>
          <cell r="W55" t="str">
            <v>KOSOVO</v>
          </cell>
          <cell r="X55">
            <v>1364</v>
          </cell>
          <cell r="AB55">
            <v>1619</v>
          </cell>
          <cell r="AC55">
            <v>10393</v>
          </cell>
          <cell r="AD55">
            <v>1407</v>
          </cell>
          <cell r="AE55">
            <v>11800</v>
          </cell>
          <cell r="AF55" t="str">
            <v>300 DEPOSIT</v>
          </cell>
        </row>
        <row r="56">
          <cell r="A56">
            <v>54</v>
          </cell>
          <cell r="B56">
            <v>45917</v>
          </cell>
          <cell r="C56" t="str">
            <v>Peugeot  508 2.0 Blue-HDi</v>
          </cell>
          <cell r="D56" t="str">
            <v xml:space="preserve">Peugeot </v>
          </cell>
          <cell r="E56" t="str">
            <v>508 2.0 Blue-HDi</v>
          </cell>
          <cell r="G56" t="str">
            <v>05소0380</v>
          </cell>
          <cell r="H56" t="str">
            <v>VF38DAHWTGL005242</v>
          </cell>
          <cell r="I56">
            <v>45923</v>
          </cell>
          <cell r="J56" t="str">
            <v>(주)대진상사</v>
          </cell>
          <cell r="L56" t="str">
            <v>잔금</v>
          </cell>
          <cell r="M56" t="str">
            <v>50만원 대표님 계약</v>
          </cell>
          <cell r="N56">
            <v>740</v>
          </cell>
          <cell r="P56">
            <v>740</v>
          </cell>
          <cell r="Q56" t="str">
            <v>done</v>
          </cell>
          <cell r="S56" t="str">
            <v>Auto Posh SH.P.K</v>
          </cell>
          <cell r="T56" t="str">
            <v>Auto Posh SH.P.K</v>
          </cell>
          <cell r="U56">
            <v>812219427</v>
          </cell>
          <cell r="V56" t="str">
            <v>38345560145</v>
          </cell>
          <cell r="W56" t="str">
            <v xml:space="preserve"> Rruga Jakup Lami, Pn. Greme, Feriza</v>
          </cell>
          <cell r="X56">
            <v>1364</v>
          </cell>
          <cell r="AB56">
            <v>1619</v>
          </cell>
          <cell r="AC56">
            <v>4653</v>
          </cell>
          <cell r="AD56">
            <v>1407</v>
          </cell>
          <cell r="AE56">
            <v>6060</v>
          </cell>
        </row>
        <row r="57">
          <cell r="A57">
            <v>55</v>
          </cell>
          <cell r="B57">
            <v>45917</v>
          </cell>
          <cell r="C57" t="str">
            <v>HYUNDAI TUCSON</v>
          </cell>
          <cell r="D57" t="str">
            <v>HYUNDAI</v>
          </cell>
          <cell r="E57" t="str">
            <v>TUCSON</v>
          </cell>
          <cell r="G57" t="str">
            <v>11루1883</v>
          </cell>
          <cell r="H57" t="str">
            <v>KMHJ3815GGU028495</v>
          </cell>
          <cell r="I57">
            <v>45923</v>
          </cell>
          <cell r="J57" t="str">
            <v>(주)조이카모터스자동차매매상사</v>
          </cell>
          <cell r="L57" t="str">
            <v>잔금</v>
          </cell>
          <cell r="M57" t="str">
            <v>50만원 대표님 계약</v>
          </cell>
          <cell r="N57">
            <v>870</v>
          </cell>
          <cell r="P57">
            <v>870</v>
          </cell>
          <cell r="Q57" t="str">
            <v>done</v>
          </cell>
          <cell r="S57" t="str">
            <v>CALJA</v>
          </cell>
          <cell r="T57" t="str">
            <v>Calja</v>
          </cell>
          <cell r="U57" t="str">
            <v>M43323203V</v>
          </cell>
          <cell r="V57" t="str">
            <v>355 69 550 5533</v>
          </cell>
          <cell r="W57" t="str">
            <v>Albania</v>
          </cell>
          <cell r="X57">
            <v>1364</v>
          </cell>
          <cell r="AB57">
            <v>1619</v>
          </cell>
          <cell r="AC57">
            <v>5250</v>
          </cell>
          <cell r="AD57">
            <v>1500</v>
          </cell>
          <cell r="AE57">
            <v>6750</v>
          </cell>
          <cell r="AF57">
            <v>2800</v>
          </cell>
        </row>
        <row r="58">
          <cell r="A58">
            <v>56</v>
          </cell>
          <cell r="B58">
            <v>45917</v>
          </cell>
          <cell r="C58" t="str">
            <v>KIA SPORTAGE</v>
          </cell>
          <cell r="D58" t="str">
            <v>KIA</v>
          </cell>
          <cell r="E58" t="str">
            <v>SPORTAGE</v>
          </cell>
          <cell r="G58" t="str">
            <v>12부0592</v>
          </cell>
          <cell r="H58" t="str">
            <v>KNAP6815GGK027194</v>
          </cell>
          <cell r="I58">
            <v>45923</v>
          </cell>
          <cell r="J58" t="str">
            <v>㈜무결정카모터스</v>
          </cell>
          <cell r="L58" t="str">
            <v>잔금</v>
          </cell>
          <cell r="M58" t="str">
            <v>50만원 대표님 계약</v>
          </cell>
          <cell r="N58">
            <v>985</v>
          </cell>
          <cell r="P58">
            <v>985</v>
          </cell>
          <cell r="Q58" t="str">
            <v>done</v>
          </cell>
          <cell r="S58" t="str">
            <v>RIZA</v>
          </cell>
          <cell r="T58" t="str">
            <v>PRESTIGE RENT</v>
          </cell>
          <cell r="U58" t="str">
            <v>M56929203H</v>
          </cell>
          <cell r="V58" t="str">
            <v>355 682769063</v>
          </cell>
          <cell r="W58" t="str">
            <v>Albania</v>
          </cell>
          <cell r="X58">
            <v>1364</v>
          </cell>
          <cell r="AB58">
            <v>1619</v>
          </cell>
          <cell r="AC58">
            <v>5900</v>
          </cell>
          <cell r="AD58">
            <v>1500</v>
          </cell>
          <cell r="AE58">
            <v>7400</v>
          </cell>
          <cell r="AF58">
            <v>7830</v>
          </cell>
        </row>
        <row r="59">
          <cell r="A59">
            <v>57</v>
          </cell>
          <cell r="B59">
            <v>45917</v>
          </cell>
          <cell r="C59" t="str">
            <v>Peugeot 2008 1.6 Blue-HDi</v>
          </cell>
          <cell r="D59" t="str">
            <v>Peugeot</v>
          </cell>
          <cell r="E59" t="str">
            <v>2008 1.6 Blue-HDi</v>
          </cell>
          <cell r="G59" t="str">
            <v>09저0561</v>
          </cell>
          <cell r="H59" t="str">
            <v>VF3CUBHYMGY004187</v>
          </cell>
          <cell r="J59" t="str">
            <v>경매장 -헤이딜러</v>
          </cell>
          <cell r="L59" t="str">
            <v>잔금</v>
          </cell>
          <cell r="M59" t="str">
            <v>cancel</v>
          </cell>
          <cell r="N59">
            <v>279</v>
          </cell>
          <cell r="P59">
            <v>279</v>
          </cell>
          <cell r="Q59" t="str">
            <v>cancel</v>
          </cell>
          <cell r="S59" t="str">
            <v>R.S.h L.L.C.</v>
          </cell>
          <cell r="T59" t="str">
            <v>R.Sh L.L.C.</v>
          </cell>
          <cell r="U59">
            <v>812326016</v>
          </cell>
          <cell r="V59" t="str">
            <v>+383486 611 61</v>
          </cell>
          <cell r="W59" t="str">
            <v>Kosovo</v>
          </cell>
          <cell r="X59">
            <v>1364</v>
          </cell>
          <cell r="AB59">
            <v>1619</v>
          </cell>
          <cell r="AC59">
            <v>2093</v>
          </cell>
          <cell r="AD59">
            <v>1407</v>
          </cell>
          <cell r="AF59">
            <v>3500</v>
          </cell>
        </row>
        <row r="60">
          <cell r="A60">
            <v>58</v>
          </cell>
          <cell r="B60">
            <v>45917</v>
          </cell>
          <cell r="C60" t="str">
            <v>AUDI A6</v>
          </cell>
          <cell r="D60" t="str">
            <v>AUDI</v>
          </cell>
          <cell r="E60" t="str">
            <v>A6</v>
          </cell>
          <cell r="G60" t="str">
            <v>05도0623</v>
          </cell>
          <cell r="H60" t="str">
            <v>WAUZZZ4G2GN111524</v>
          </cell>
          <cell r="J60" t="str">
            <v>경매장 -aj</v>
          </cell>
          <cell r="L60" t="str">
            <v>잔금</v>
          </cell>
          <cell r="M60" t="str">
            <v>도착</v>
          </cell>
          <cell r="N60">
            <v>1090</v>
          </cell>
          <cell r="O60">
            <v>28</v>
          </cell>
          <cell r="P60">
            <v>1118</v>
          </cell>
          <cell r="Q60" t="str">
            <v>done</v>
          </cell>
          <cell r="S60" t="str">
            <v>DONI</v>
          </cell>
          <cell r="T60" t="str">
            <v>DONI</v>
          </cell>
          <cell r="U60">
            <v>933682</v>
          </cell>
          <cell r="V60" t="str">
            <v>3 8 3 4 9 3 2 5 7 0 3</v>
          </cell>
          <cell r="W60" t="str">
            <v xml:space="preserve"> HYZRI TALLA OB 16 HY 1 NR 18
 Kosovë</v>
          </cell>
          <cell r="X60">
            <v>1364</v>
          </cell>
          <cell r="AB60">
            <v>1619</v>
          </cell>
          <cell r="AC60">
            <v>5408</v>
          </cell>
          <cell r="AD60">
            <v>1407</v>
          </cell>
          <cell r="AE60">
            <v>6815</v>
          </cell>
        </row>
        <row r="61">
          <cell r="A61">
            <v>59</v>
          </cell>
          <cell r="B61">
            <v>45918</v>
          </cell>
          <cell r="C61" t="str">
            <v>VOLKSWAGENS GOLF 7</v>
          </cell>
          <cell r="D61" t="str">
            <v>VOLKSWAGENS</v>
          </cell>
          <cell r="E61" t="str">
            <v>GOLF 7</v>
          </cell>
          <cell r="G61" t="str">
            <v>21모3211</v>
          </cell>
          <cell r="H61" t="str">
            <v>WVWZZZAUZFW243491</v>
          </cell>
          <cell r="J61" t="str">
            <v>경매장- 헤이딜러</v>
          </cell>
          <cell r="L61" t="str">
            <v>잔금</v>
          </cell>
          <cell r="M61" t="str">
            <v>도착</v>
          </cell>
          <cell r="N61">
            <v>1034</v>
          </cell>
          <cell r="O61">
            <v>37</v>
          </cell>
          <cell r="P61">
            <v>1071</v>
          </cell>
          <cell r="Q61" t="str">
            <v>done</v>
          </cell>
          <cell r="S61" t="str">
            <v>Auto Posh SH.P.K</v>
          </cell>
          <cell r="T61" t="str">
            <v>Auto Posh SH.P.K</v>
          </cell>
          <cell r="U61">
            <v>812219427</v>
          </cell>
          <cell r="V61" t="str">
            <v>38345560145</v>
          </cell>
          <cell r="W61" t="str">
            <v xml:space="preserve"> Rruga Jakup Lami, Pn. Greme, Feriza</v>
          </cell>
          <cell r="X61">
            <v>1368</v>
          </cell>
          <cell r="AB61">
            <v>1618</v>
          </cell>
          <cell r="AC61">
            <v>6428</v>
          </cell>
          <cell r="AD61">
            <v>1412</v>
          </cell>
          <cell r="AE61">
            <v>7840</v>
          </cell>
        </row>
        <row r="62">
          <cell r="A62">
            <v>60</v>
          </cell>
          <cell r="B62">
            <v>45918</v>
          </cell>
          <cell r="C62" t="str">
            <v>VOLKSWAGENS GOLF</v>
          </cell>
          <cell r="D62" t="str">
            <v>VOLKSWAGENS</v>
          </cell>
          <cell r="E62" t="str">
            <v>GOLF</v>
          </cell>
          <cell r="G62" t="str">
            <v>50조4561</v>
          </cell>
          <cell r="H62" t="str">
            <v>WVWZZZAUZGW096452</v>
          </cell>
          <cell r="J62" t="str">
            <v>경매장- 헤이딜러</v>
          </cell>
          <cell r="L62" t="str">
            <v>잔금</v>
          </cell>
          <cell r="M62" t="str">
            <v>도착</v>
          </cell>
          <cell r="N62">
            <v>904</v>
          </cell>
          <cell r="O62">
            <v>46</v>
          </cell>
          <cell r="P62">
            <v>950</v>
          </cell>
          <cell r="Q62" t="str">
            <v>done</v>
          </cell>
          <cell r="S62" t="str">
            <v>CALJA</v>
          </cell>
          <cell r="T62" t="str">
            <v>MARKO HYSOLLI</v>
          </cell>
          <cell r="U62" t="str">
            <v>J80706016I</v>
          </cell>
          <cell r="V62" t="str">
            <v>355 69 550 5533</v>
          </cell>
          <cell r="W62" t="str">
            <v>Albania</v>
          </cell>
          <cell r="X62">
            <v>1368</v>
          </cell>
          <cell r="AB62">
            <v>1618</v>
          </cell>
          <cell r="AC62">
            <v>5738</v>
          </cell>
          <cell r="AD62">
            <v>1412</v>
          </cell>
          <cell r="AE62">
            <v>7150</v>
          </cell>
          <cell r="AF62">
            <v>7150</v>
          </cell>
        </row>
        <row r="63">
          <cell r="A63">
            <v>61</v>
          </cell>
          <cell r="B63">
            <v>45918</v>
          </cell>
          <cell r="C63" t="str">
            <v>AUDI A6 35 TDI</v>
          </cell>
          <cell r="D63" t="str">
            <v>AUDI</v>
          </cell>
          <cell r="E63" t="str">
            <v>A6 35 TDI</v>
          </cell>
          <cell r="G63" t="str">
            <v>191로2841</v>
          </cell>
          <cell r="H63" t="str">
            <v xml:space="preserve">WAUZZZ4G3GN165060 </v>
          </cell>
          <cell r="I63">
            <v>45924</v>
          </cell>
          <cell r="J63" t="str">
            <v>㈜ 오토웨이</v>
          </cell>
          <cell r="L63" t="str">
            <v>잔금</v>
          </cell>
          <cell r="M63" t="str">
            <v>50만원 대표님 계약</v>
          </cell>
          <cell r="N63">
            <v>1300</v>
          </cell>
          <cell r="O63">
            <v>44</v>
          </cell>
          <cell r="P63">
            <v>1344</v>
          </cell>
          <cell r="Q63" t="str">
            <v>done</v>
          </cell>
          <cell r="S63" t="str">
            <v xml:space="preserve">GENC HETA </v>
          </cell>
          <cell r="T63" t="str">
            <v>GENC HETA</v>
          </cell>
          <cell r="U63">
            <v>182420</v>
          </cell>
          <cell r="V63" t="str">
            <v>377 45 145 283</v>
          </cell>
          <cell r="W63" t="str">
            <v>KOSOVO</v>
          </cell>
          <cell r="X63">
            <v>1368</v>
          </cell>
          <cell r="AB63">
            <v>1618</v>
          </cell>
          <cell r="AC63">
            <v>7938</v>
          </cell>
          <cell r="AD63">
            <v>1412</v>
          </cell>
          <cell r="AE63">
            <v>9350</v>
          </cell>
        </row>
        <row r="64">
          <cell r="A64">
            <v>62</v>
          </cell>
          <cell r="B64">
            <v>45919</v>
          </cell>
          <cell r="C64" t="str">
            <v>BENZ CLS400 d 4Matic</v>
          </cell>
          <cell r="D64" t="str">
            <v>BENZ</v>
          </cell>
          <cell r="E64" t="str">
            <v>CLS400 d 4Matic</v>
          </cell>
          <cell r="G64" t="str">
            <v>106나7044</v>
          </cell>
          <cell r="H64" t="str">
            <v>WDD2J2DB4KA003953</v>
          </cell>
          <cell r="I64">
            <v>45926</v>
          </cell>
          <cell r="J64" t="str">
            <v>㈜준모터스</v>
          </cell>
          <cell r="L64" t="str">
            <v>잔금</v>
          </cell>
          <cell r="M64" t="str">
            <v>50만원 대표님 계약</v>
          </cell>
          <cell r="N64">
            <v>3180</v>
          </cell>
          <cell r="O64">
            <v>0</v>
          </cell>
          <cell r="P64">
            <v>3180</v>
          </cell>
          <cell r="Q64" t="str">
            <v>done</v>
          </cell>
          <cell r="S64" t="str">
            <v>CALJA</v>
          </cell>
          <cell r="T64" t="str">
            <v>Kotorri Arben</v>
          </cell>
          <cell r="U64" t="str">
            <v>G80906015D</v>
          </cell>
          <cell r="V64" t="str">
            <v>355 69 550 5533</v>
          </cell>
          <cell r="W64" t="str">
            <v>Albania</v>
          </cell>
          <cell r="X64">
            <v>1386</v>
          </cell>
          <cell r="AB64">
            <v>1628</v>
          </cell>
          <cell r="AC64">
            <v>18578</v>
          </cell>
          <cell r="AD64">
            <v>1422</v>
          </cell>
          <cell r="AE64">
            <v>20000</v>
          </cell>
          <cell r="AF64">
            <v>24000</v>
          </cell>
        </row>
        <row r="65">
          <cell r="A65">
            <v>63</v>
          </cell>
          <cell r="B65">
            <v>45920</v>
          </cell>
          <cell r="C65" t="str">
            <v>BENZ E220 BlueTEC</v>
          </cell>
          <cell r="D65" t="str">
            <v>BENZ</v>
          </cell>
          <cell r="E65" t="str">
            <v>E220 BlueTEC</v>
          </cell>
          <cell r="F65">
            <v>2016</v>
          </cell>
          <cell r="G65" t="str">
            <v>02서0567</v>
          </cell>
          <cell r="H65" t="str">
            <v>WDDHF0AB1GB304041</v>
          </cell>
          <cell r="I65">
            <v>45924</v>
          </cell>
          <cell r="J65" t="str">
            <v>㈜내차어때</v>
          </cell>
          <cell r="L65" t="str">
            <v>잔금</v>
          </cell>
          <cell r="M65" t="str">
            <v>50만원 대표님 계약</v>
          </cell>
          <cell r="N65">
            <v>1440</v>
          </cell>
          <cell r="O65">
            <v>44</v>
          </cell>
          <cell r="P65">
            <v>1484</v>
          </cell>
          <cell r="Q65" t="str">
            <v>done</v>
          </cell>
          <cell r="S65" t="str">
            <v xml:space="preserve">Erion </v>
          </cell>
          <cell r="T65" t="str">
            <v>Erion Gjergji</v>
          </cell>
          <cell r="U65" t="str">
            <v>I90516099R</v>
          </cell>
          <cell r="V65" t="str">
            <v>49 163 6979 099</v>
          </cell>
          <cell r="W65" t="str">
            <v>Albania</v>
          </cell>
          <cell r="X65">
            <v>1386</v>
          </cell>
          <cell r="AB65">
            <v>1628</v>
          </cell>
          <cell r="AC65">
            <v>8778</v>
          </cell>
          <cell r="AD65">
            <v>1422</v>
          </cell>
          <cell r="AE65">
            <v>10200</v>
          </cell>
        </row>
        <row r="66">
          <cell r="A66">
            <v>64</v>
          </cell>
          <cell r="B66">
            <v>45920</v>
          </cell>
          <cell r="C66" t="str">
            <v>RENAULT SAMSUNG CLIO</v>
          </cell>
          <cell r="D66" t="str">
            <v>RENAULT SAMSUNG</v>
          </cell>
          <cell r="E66" t="str">
            <v>CLIO</v>
          </cell>
          <cell r="G66" t="str">
            <v>48구3730</v>
          </cell>
          <cell r="H66" t="str">
            <v>VF15RBJ0DJR292961</v>
          </cell>
          <cell r="I66">
            <v>45924</v>
          </cell>
          <cell r="J66" t="str">
            <v>㈜ 차모터스</v>
          </cell>
          <cell r="L66" t="str">
            <v>잔금</v>
          </cell>
          <cell r="M66" t="str">
            <v>50만원 대표님 계약</v>
          </cell>
          <cell r="N66">
            <v>660</v>
          </cell>
          <cell r="O66">
            <v>44</v>
          </cell>
          <cell r="P66">
            <v>704</v>
          </cell>
          <cell r="Q66" t="str">
            <v>done</v>
          </cell>
          <cell r="S66" t="str">
            <v>R.S.h L.L.C.</v>
          </cell>
          <cell r="T66" t="str">
            <v>R.Sh L.L.C.</v>
          </cell>
          <cell r="U66">
            <v>812326016</v>
          </cell>
          <cell r="V66" t="str">
            <v>+383486 611 61</v>
          </cell>
          <cell r="W66" t="str">
            <v>Kosovo</v>
          </cell>
          <cell r="X66">
            <v>1386</v>
          </cell>
          <cell r="AB66">
            <v>1628</v>
          </cell>
          <cell r="AC66">
            <v>4308</v>
          </cell>
          <cell r="AD66">
            <v>1422</v>
          </cell>
          <cell r="AE66">
            <v>5730</v>
          </cell>
          <cell r="AF66">
            <v>5730</v>
          </cell>
        </row>
        <row r="67">
          <cell r="A67">
            <v>65</v>
          </cell>
          <cell r="B67">
            <v>45921</v>
          </cell>
          <cell r="C67" t="str">
            <v>VOLVO XC60D4</v>
          </cell>
          <cell r="D67" t="str">
            <v>VOLVO</v>
          </cell>
          <cell r="E67" t="str">
            <v>XC60D4</v>
          </cell>
          <cell r="G67" t="str">
            <v>142보7861</v>
          </cell>
          <cell r="H67" t="str">
            <v>YV1DZ88K0D2400240</v>
          </cell>
          <cell r="I67">
            <v>45924</v>
          </cell>
          <cell r="J67" t="str">
            <v>㈜나무모터스</v>
          </cell>
          <cell r="L67" t="str">
            <v>잔금</v>
          </cell>
          <cell r="M67" t="str">
            <v>50만원 대표님 계약</v>
          </cell>
          <cell r="N67">
            <v>580</v>
          </cell>
          <cell r="O67">
            <v>44</v>
          </cell>
          <cell r="P67">
            <v>624</v>
          </cell>
          <cell r="Q67" t="str">
            <v>done</v>
          </cell>
          <cell r="S67" t="str">
            <v>AlphaWorldWide</v>
          </cell>
          <cell r="T67" t="str">
            <v>AlphaWorldWideAlbania</v>
          </cell>
          <cell r="U67" t="str">
            <v>SN-619176-11-19</v>
          </cell>
          <cell r="V67" t="str">
            <v>355 69223 3416</v>
          </cell>
          <cell r="W67" t="str">
            <v xml:space="preserve">Durres, Durres, DURRES, Lagjja nr.11, Rruga Bulevardi, me siperfaqe 30m2 </v>
          </cell>
          <cell r="X67">
            <v>1386</v>
          </cell>
          <cell r="AB67">
            <v>1628</v>
          </cell>
          <cell r="AC67">
            <v>3857</v>
          </cell>
          <cell r="AD67">
            <v>1593</v>
          </cell>
          <cell r="AE67">
            <v>5450</v>
          </cell>
        </row>
        <row r="68">
          <cell r="A68">
            <v>66</v>
          </cell>
          <cell r="B68">
            <v>45921</v>
          </cell>
          <cell r="C68" t="str">
            <v>VOLKSWAGENS Golf 2.0 TDI BMT</v>
          </cell>
          <cell r="D68" t="str">
            <v>VOLKSWAGENS</v>
          </cell>
          <cell r="E68" t="str">
            <v>Golf 2.0 TDI BMT</v>
          </cell>
          <cell r="G68" t="str">
            <v>06다0616</v>
          </cell>
          <cell r="H68" t="str">
            <v>WVWZZZAUZFW350063</v>
          </cell>
          <cell r="J68" t="str">
            <v>경매장- 헤이딜러</v>
          </cell>
          <cell r="L68" t="str">
            <v>잔금</v>
          </cell>
          <cell r="M68" t="str">
            <v>도착</v>
          </cell>
          <cell r="N68">
            <v>1014</v>
          </cell>
          <cell r="P68">
            <v>1014</v>
          </cell>
          <cell r="Q68" t="str">
            <v>done</v>
          </cell>
          <cell r="S68" t="str">
            <v>DONI</v>
          </cell>
          <cell r="T68" t="str">
            <v>DONI</v>
          </cell>
          <cell r="U68">
            <v>933682</v>
          </cell>
          <cell r="V68" t="str">
            <v>3 8 3 4 9 3 2 5 7 0 3</v>
          </cell>
          <cell r="W68" t="str">
            <v xml:space="preserve"> HYZRI TALLA OB 16 HY 1 NR 18
 Kosovë</v>
          </cell>
          <cell r="X68">
            <v>1386</v>
          </cell>
          <cell r="AB68">
            <v>1628</v>
          </cell>
          <cell r="AC68">
            <v>6288</v>
          </cell>
          <cell r="AD68">
            <v>1422</v>
          </cell>
          <cell r="AE68">
            <v>7710</v>
          </cell>
        </row>
        <row r="69">
          <cell r="A69">
            <v>67</v>
          </cell>
          <cell r="B69">
            <v>45922</v>
          </cell>
          <cell r="C69" t="str">
            <v>VOLKSWAGENS GOLF 7</v>
          </cell>
          <cell r="D69" t="str">
            <v>VOLKSWAGENS</v>
          </cell>
          <cell r="E69" t="str">
            <v>GOLF 7</v>
          </cell>
          <cell r="G69" t="str">
            <v>52나0368</v>
          </cell>
          <cell r="H69" t="str">
            <v>WVWZZZAUZFW258687</v>
          </cell>
          <cell r="J69" t="str">
            <v>경매장- 헤이딜러</v>
          </cell>
          <cell r="L69" t="str">
            <v>잔금</v>
          </cell>
          <cell r="M69" t="str">
            <v>도착</v>
          </cell>
          <cell r="N69">
            <v>1064</v>
          </cell>
          <cell r="O69">
            <v>37</v>
          </cell>
          <cell r="P69">
            <v>1101</v>
          </cell>
          <cell r="Q69" t="str">
            <v>done</v>
          </cell>
          <cell r="S69" t="str">
            <v>Auto Posh SH.P.K</v>
          </cell>
          <cell r="T69" t="str">
            <v>Auto Posh SH.P.K</v>
          </cell>
          <cell r="U69">
            <v>812219427</v>
          </cell>
          <cell r="V69" t="str">
            <v>38345560145</v>
          </cell>
          <cell r="W69" t="str">
            <v xml:space="preserve"> Rruga Jakup Lami, Pn. Greme, Feriza</v>
          </cell>
          <cell r="X69">
            <v>1383</v>
          </cell>
          <cell r="AB69">
            <v>1622</v>
          </cell>
          <cell r="AC69">
            <v>6525</v>
          </cell>
          <cell r="AD69">
            <v>1425</v>
          </cell>
          <cell r="AE69">
            <v>7950</v>
          </cell>
        </row>
        <row r="70">
          <cell r="A70">
            <v>68</v>
          </cell>
          <cell r="B70">
            <v>45922</v>
          </cell>
          <cell r="C70" t="str">
            <v>JAGUAR XE 2.0D</v>
          </cell>
          <cell r="D70" t="str">
            <v>JAGUAR</v>
          </cell>
          <cell r="E70" t="str">
            <v>XE 2.0D</v>
          </cell>
          <cell r="F70">
            <v>2016</v>
          </cell>
          <cell r="G70" t="str">
            <v>14무0918</v>
          </cell>
          <cell r="H70" t="str">
            <v xml:space="preserve">SAJAB4BNXGA920920 </v>
          </cell>
          <cell r="I70">
            <v>45929</v>
          </cell>
          <cell r="J70" t="str">
            <v>㈜기운모터스</v>
          </cell>
          <cell r="L70" t="str">
            <v>잔금</v>
          </cell>
          <cell r="M70" t="str">
            <v>50만원 회사통장 나감</v>
          </cell>
          <cell r="N70">
            <v>670</v>
          </cell>
          <cell r="P70">
            <v>670</v>
          </cell>
          <cell r="Q70" t="str">
            <v>done</v>
          </cell>
          <cell r="S70" t="str">
            <v>R.S.h L.L.C.</v>
          </cell>
          <cell r="T70" t="str">
            <v>R.Sh L.L.C.</v>
          </cell>
          <cell r="U70">
            <v>812326016</v>
          </cell>
          <cell r="V70" t="str">
            <v>+383486 611 61</v>
          </cell>
          <cell r="W70" t="str">
            <v>Kosovo</v>
          </cell>
          <cell r="X70">
            <v>1383</v>
          </cell>
          <cell r="AB70">
            <v>1622</v>
          </cell>
          <cell r="AC70">
            <v>4130</v>
          </cell>
          <cell r="AD70">
            <v>1424</v>
          </cell>
          <cell r="AE70">
            <v>5554</v>
          </cell>
          <cell r="AF70">
            <v>5554</v>
          </cell>
        </row>
        <row r="71">
          <cell r="A71">
            <v>69</v>
          </cell>
          <cell r="B71">
            <v>45922</v>
          </cell>
          <cell r="C71" t="str">
            <v>HYUNDAI TUCSON</v>
          </cell>
          <cell r="D71" t="str">
            <v>HYUNDAI</v>
          </cell>
          <cell r="E71" t="str">
            <v>TUCSON</v>
          </cell>
          <cell r="G71" t="str">
            <v>29거6460</v>
          </cell>
          <cell r="H71" t="str">
            <v>KMHJ581ABJU682382</v>
          </cell>
          <cell r="I71">
            <v>45929</v>
          </cell>
          <cell r="J71" t="str">
            <v>㈜울트라모터스</v>
          </cell>
          <cell r="L71" t="str">
            <v>잔금</v>
          </cell>
          <cell r="M71" t="str">
            <v>50만원 대표님 계약</v>
          </cell>
          <cell r="N71">
            <v>1354</v>
          </cell>
          <cell r="P71">
            <v>1354</v>
          </cell>
          <cell r="Q71" t="str">
            <v>done</v>
          </cell>
          <cell r="S71" t="str">
            <v>CALJA</v>
          </cell>
          <cell r="T71" t="str">
            <v>Petrit Mema</v>
          </cell>
          <cell r="U71" t="str">
            <v>G30410155O</v>
          </cell>
          <cell r="V71" t="str">
            <v>355 69 550 5533</v>
          </cell>
          <cell r="W71" t="str">
            <v>Albania</v>
          </cell>
          <cell r="X71">
            <v>1383</v>
          </cell>
          <cell r="AB71">
            <v>1622</v>
          </cell>
          <cell r="AC71">
            <v>7990</v>
          </cell>
          <cell r="AD71">
            <v>1510</v>
          </cell>
          <cell r="AE71">
            <v>9500</v>
          </cell>
          <cell r="AF71">
            <v>9700</v>
          </cell>
        </row>
        <row r="72">
          <cell r="A72">
            <v>70</v>
          </cell>
          <cell r="B72">
            <v>45922</v>
          </cell>
          <cell r="C72" t="str">
            <v>VOLKSWAGENS TIGUAN 2.0 TDI</v>
          </cell>
          <cell r="D72" t="str">
            <v>VOLKSWAGENS</v>
          </cell>
          <cell r="E72" t="str">
            <v>TIGUAN 2.0 TDI</v>
          </cell>
          <cell r="G72" t="str">
            <v>64두4262</v>
          </cell>
          <cell r="H72" t="str">
            <v>WVGZZZ5NZJW923916</v>
          </cell>
          <cell r="I72">
            <v>45929</v>
          </cell>
          <cell r="J72" t="str">
            <v>㈜찐모터스</v>
          </cell>
          <cell r="L72" t="str">
            <v>잔금</v>
          </cell>
          <cell r="M72" t="str">
            <v>50만원 대표님 계약</v>
          </cell>
          <cell r="N72">
            <v>1910</v>
          </cell>
          <cell r="P72">
            <v>1910</v>
          </cell>
          <cell r="Q72" t="str">
            <v>done</v>
          </cell>
          <cell r="S72" t="str">
            <v xml:space="preserve">GENC HETA </v>
          </cell>
          <cell r="T72" t="str">
            <v>GENC HETA</v>
          </cell>
          <cell r="U72">
            <v>182420</v>
          </cell>
          <cell r="V72" t="str">
            <v>377 45 145 283</v>
          </cell>
          <cell r="W72" t="str">
            <v>KOSOVO</v>
          </cell>
          <cell r="X72">
            <v>1383</v>
          </cell>
          <cell r="AB72">
            <v>1622</v>
          </cell>
          <cell r="AC72">
            <v>11335</v>
          </cell>
          <cell r="AD72">
            <v>1425</v>
          </cell>
          <cell r="AE72">
            <v>12760</v>
          </cell>
          <cell r="AF72" t="str">
            <v>9650/3178</v>
          </cell>
        </row>
        <row r="73">
          <cell r="A73">
            <v>71</v>
          </cell>
          <cell r="B73">
            <v>45923</v>
          </cell>
          <cell r="C73" t="str">
            <v>BMW 320D</v>
          </cell>
          <cell r="D73" t="str">
            <v>BMW</v>
          </cell>
          <cell r="E73" t="str">
            <v>320D</v>
          </cell>
          <cell r="F73">
            <v>2017</v>
          </cell>
          <cell r="G73" t="str">
            <v>06서1525</v>
          </cell>
          <cell r="H73" t="str">
            <v>WBA8T5108HG817271</v>
          </cell>
          <cell r="I73">
            <v>45925</v>
          </cell>
          <cell r="J73" t="str">
            <v>㈜스타오토모빌</v>
          </cell>
          <cell r="L73" t="str">
            <v>잔금</v>
          </cell>
          <cell r="M73" t="str">
            <v>50만원 회사통장 나감</v>
          </cell>
          <cell r="N73">
            <v>740</v>
          </cell>
          <cell r="P73">
            <v>740</v>
          </cell>
          <cell r="Q73" t="str">
            <v>done</v>
          </cell>
          <cell r="S73" t="str">
            <v>R.S.h L.L.C.</v>
          </cell>
          <cell r="T73" t="str">
            <v>R.Sh L.L.C.</v>
          </cell>
          <cell r="U73">
            <v>812326016</v>
          </cell>
          <cell r="V73" t="str">
            <v>+383486 611 61</v>
          </cell>
          <cell r="W73" t="str">
            <v>Kosovo</v>
          </cell>
          <cell r="X73">
            <v>1380</v>
          </cell>
          <cell r="AB73">
            <v>1629</v>
          </cell>
          <cell r="AC73">
            <v>4625</v>
          </cell>
          <cell r="AD73">
            <v>1415</v>
          </cell>
          <cell r="AE73">
            <v>6040</v>
          </cell>
          <cell r="AF73">
            <v>6040</v>
          </cell>
        </row>
        <row r="74">
          <cell r="A74">
            <v>72</v>
          </cell>
          <cell r="B74">
            <v>45923</v>
          </cell>
          <cell r="C74" t="str">
            <v>BENZ E220D</v>
          </cell>
          <cell r="D74" t="str">
            <v>BENZ</v>
          </cell>
          <cell r="E74" t="str">
            <v>E220D</v>
          </cell>
          <cell r="F74">
            <v>2017</v>
          </cell>
          <cell r="G74" t="str">
            <v>07나4953</v>
          </cell>
          <cell r="H74" t="str">
            <v>WDDZF0EB8KA490593</v>
          </cell>
          <cell r="I74">
            <v>45926</v>
          </cell>
          <cell r="J74" t="str">
            <v>㈜제로모터스</v>
          </cell>
          <cell r="L74" t="str">
            <v>잔금</v>
          </cell>
          <cell r="M74" t="str">
            <v>50만원 회사통장 나감</v>
          </cell>
          <cell r="N74">
            <v>1930</v>
          </cell>
          <cell r="O74">
            <v>44</v>
          </cell>
          <cell r="P74">
            <v>1974</v>
          </cell>
          <cell r="Q74" t="str">
            <v>done</v>
          </cell>
          <cell r="S74" t="str">
            <v>Auto Posh SH.P.K</v>
          </cell>
          <cell r="T74" t="str">
            <v>Auto Posh SH.P.K</v>
          </cell>
          <cell r="U74">
            <v>812219427</v>
          </cell>
          <cell r="V74" t="str">
            <v>38345560145</v>
          </cell>
          <cell r="W74" t="str">
            <v xml:space="preserve"> Rruga Jakup Lami, Pn. Greme, Feriza</v>
          </cell>
          <cell r="X74">
            <v>1380</v>
          </cell>
          <cell r="AB74">
            <v>1629</v>
          </cell>
          <cell r="AC74">
            <v>11485</v>
          </cell>
          <cell r="AD74">
            <v>1415</v>
          </cell>
          <cell r="AE74">
            <v>12900</v>
          </cell>
        </row>
        <row r="75">
          <cell r="A75">
            <v>73</v>
          </cell>
          <cell r="B75">
            <v>45923</v>
          </cell>
          <cell r="C75" t="str">
            <v>HYUNDAI SANTAFE</v>
          </cell>
          <cell r="D75" t="str">
            <v>HYUNDAI</v>
          </cell>
          <cell r="E75" t="str">
            <v>SANTAFE</v>
          </cell>
          <cell r="G75" t="str">
            <v>62조0124</v>
          </cell>
          <cell r="H75" t="str">
            <v>KMHSW81UBGU671549</v>
          </cell>
          <cell r="I75">
            <v>45926</v>
          </cell>
          <cell r="J75" t="str">
            <v>(주)뉴월드모터스</v>
          </cell>
          <cell r="L75" t="str">
            <v>잔금</v>
          </cell>
          <cell r="M75" t="str">
            <v>50만원 대표님 계약</v>
          </cell>
          <cell r="N75">
            <v>1010</v>
          </cell>
          <cell r="P75">
            <v>1010</v>
          </cell>
          <cell r="Q75" t="str">
            <v>done</v>
          </cell>
          <cell r="S75" t="str">
            <v>CALJA</v>
          </cell>
          <cell r="T75" t="str">
            <v>Idriz Disha</v>
          </cell>
          <cell r="U75" t="str">
            <v>F90512149T</v>
          </cell>
          <cell r="V75" t="str">
            <v>355 69 550 5533</v>
          </cell>
          <cell r="W75" t="str">
            <v>Albania</v>
          </cell>
          <cell r="X75">
            <v>1380</v>
          </cell>
          <cell r="AB75">
            <v>1629</v>
          </cell>
          <cell r="AC75">
            <v>6090</v>
          </cell>
          <cell r="AD75">
            <v>1500</v>
          </cell>
          <cell r="AE75">
            <v>7590</v>
          </cell>
          <cell r="AF75">
            <v>8000</v>
          </cell>
        </row>
        <row r="76">
          <cell r="A76">
            <v>74</v>
          </cell>
          <cell r="B76">
            <v>45923</v>
          </cell>
          <cell r="C76" t="str">
            <v>HYUNDAI TUCSON</v>
          </cell>
          <cell r="D76" t="str">
            <v>HYUNDAI</v>
          </cell>
          <cell r="E76" t="str">
            <v>TUCSON</v>
          </cell>
          <cell r="G76" t="str">
            <v>220버5546</v>
          </cell>
          <cell r="H76" t="str">
            <v>KMHJE811BNU052799</v>
          </cell>
          <cell r="I76">
            <v>45925</v>
          </cell>
          <cell r="J76" t="str">
            <v>(주)진모터스</v>
          </cell>
          <cell r="L76" t="str">
            <v>잔금</v>
          </cell>
          <cell r="M76" t="str">
            <v>50만원 대표님 계약</v>
          </cell>
          <cell r="N76">
            <v>2300</v>
          </cell>
          <cell r="P76">
            <v>2300</v>
          </cell>
          <cell r="Q76" t="str">
            <v>done</v>
          </cell>
          <cell r="S76" t="str">
            <v xml:space="preserve">Erion </v>
          </cell>
          <cell r="T76" t="str">
            <v>Erion Gjergji</v>
          </cell>
          <cell r="U76" t="str">
            <v>I90516099R</v>
          </cell>
          <cell r="V76" t="str">
            <v>49 163 6979 099</v>
          </cell>
          <cell r="W76" t="str">
            <v>Albania</v>
          </cell>
          <cell r="X76">
            <v>1380</v>
          </cell>
          <cell r="AB76">
            <v>1629</v>
          </cell>
          <cell r="AC76">
            <v>13500</v>
          </cell>
          <cell r="AD76">
            <v>1500</v>
          </cell>
          <cell r="AE76">
            <v>15000</v>
          </cell>
        </row>
        <row r="77">
          <cell r="A77">
            <v>75</v>
          </cell>
          <cell r="B77">
            <v>45923</v>
          </cell>
          <cell r="C77" t="str">
            <v>AUDI A6 3,0 TDI QUATTRO</v>
          </cell>
          <cell r="D77" t="str">
            <v>AUDI</v>
          </cell>
          <cell r="E77" t="str">
            <v>A6 3,0 TDI QUATTRO</v>
          </cell>
          <cell r="G77" t="str">
            <v>26머8855</v>
          </cell>
          <cell r="H77" t="str">
            <v>WAUZZZ4G7DN038954</v>
          </cell>
          <cell r="I77">
            <v>45925</v>
          </cell>
          <cell r="J77" t="str">
            <v>(주)준모터스</v>
          </cell>
          <cell r="L77" t="str">
            <v>잔금</v>
          </cell>
          <cell r="M77" t="str">
            <v>50만원 대표님 계약</v>
          </cell>
          <cell r="N77">
            <v>750</v>
          </cell>
          <cell r="P77">
            <v>750</v>
          </cell>
          <cell r="Q77" t="str">
            <v>done</v>
          </cell>
          <cell r="S77" t="str">
            <v>CALJA</v>
          </cell>
          <cell r="T77" t="str">
            <v>Armando Hasalla</v>
          </cell>
          <cell r="U77" t="str">
            <v>K41030008A</v>
          </cell>
          <cell r="V77" t="str">
            <v>355 69 550 5533</v>
          </cell>
          <cell r="W77" t="str">
            <v>Albania</v>
          </cell>
          <cell r="X77">
            <v>1380</v>
          </cell>
          <cell r="AB77">
            <v>1629</v>
          </cell>
          <cell r="AC77">
            <v>4605</v>
          </cell>
          <cell r="AD77">
            <v>1415</v>
          </cell>
          <cell r="AE77">
            <v>6020</v>
          </cell>
          <cell r="AF77">
            <v>7420</v>
          </cell>
        </row>
        <row r="78">
          <cell r="A78">
            <v>76</v>
          </cell>
          <cell r="B78">
            <v>45923</v>
          </cell>
          <cell r="C78" t="str">
            <v>Cadillac Escalade</v>
          </cell>
          <cell r="D78" t="str">
            <v>Cadillac</v>
          </cell>
          <cell r="E78" t="str">
            <v>Escalade</v>
          </cell>
          <cell r="G78" t="str">
            <v>64거4994</v>
          </cell>
          <cell r="H78" t="str">
            <v>1GYS4JKJ3FR123881</v>
          </cell>
          <cell r="I78">
            <v>45925</v>
          </cell>
          <cell r="J78" t="str">
            <v>(주)나무모터스</v>
          </cell>
          <cell r="L78" t="str">
            <v>잔금</v>
          </cell>
          <cell r="M78" t="str">
            <v>50만원 대표님 계약</v>
          </cell>
          <cell r="N78">
            <v>2320</v>
          </cell>
          <cell r="O78">
            <v>44</v>
          </cell>
          <cell r="P78">
            <v>2364</v>
          </cell>
          <cell r="Q78" t="str">
            <v>done</v>
          </cell>
          <cell r="S78" t="str">
            <v>HYSA</v>
          </cell>
          <cell r="T78" t="str">
            <v>kamami hurma</v>
          </cell>
          <cell r="V78" t="str">
            <v>355 69 690 2972</v>
          </cell>
          <cell r="W78" t="str">
            <v>Albania</v>
          </cell>
          <cell r="X78">
            <v>1380</v>
          </cell>
          <cell r="AB78">
            <v>1629</v>
          </cell>
          <cell r="AC78">
            <v>12100</v>
          </cell>
          <cell r="AD78">
            <v>1390</v>
          </cell>
          <cell r="AE78">
            <v>13490</v>
          </cell>
          <cell r="AF78">
            <v>13830</v>
          </cell>
        </row>
        <row r="79">
          <cell r="A79">
            <v>77</v>
          </cell>
          <cell r="B79">
            <v>45923</v>
          </cell>
          <cell r="C79" t="str">
            <v>VOLKSWAGENS Jetta 2.0 TDI BMT Premium</v>
          </cell>
          <cell r="D79" t="str">
            <v>VOLKSWAGENS</v>
          </cell>
          <cell r="E79" t="str">
            <v>Jetta 2.0 TDI BMT Premium</v>
          </cell>
          <cell r="F79">
            <v>2015</v>
          </cell>
          <cell r="G79" t="str">
            <v>123누2626</v>
          </cell>
          <cell r="H79" t="str">
            <v>WVWZZZ16ZFM020485</v>
          </cell>
          <cell r="I79">
            <v>45925</v>
          </cell>
          <cell r="J79" t="str">
            <v>(주)드림카마켓</v>
          </cell>
          <cell r="L79" t="str">
            <v>잔금</v>
          </cell>
          <cell r="M79" t="str">
            <v>50만원 회사통장 나감</v>
          </cell>
          <cell r="N79">
            <v>870</v>
          </cell>
          <cell r="P79">
            <v>870</v>
          </cell>
          <cell r="Q79" t="str">
            <v>done</v>
          </cell>
          <cell r="S79" t="str">
            <v>Auto Posh SH.P.K</v>
          </cell>
          <cell r="T79" t="str">
            <v>Auto Posh SH.P.K</v>
          </cell>
          <cell r="U79">
            <v>812219427</v>
          </cell>
          <cell r="V79" t="str">
            <v>38345560145</v>
          </cell>
          <cell r="W79" t="str">
            <v xml:space="preserve"> Rruga Jakup Lami, Pn. Greme, Feriza</v>
          </cell>
          <cell r="X79">
            <v>1380</v>
          </cell>
          <cell r="AB79">
            <v>1629</v>
          </cell>
          <cell r="AC79">
            <v>5285</v>
          </cell>
          <cell r="AD79">
            <v>1415</v>
          </cell>
          <cell r="AE79">
            <v>6700</v>
          </cell>
        </row>
        <row r="80">
          <cell r="A80">
            <v>78</v>
          </cell>
          <cell r="B80">
            <v>45925</v>
          </cell>
          <cell r="C80" t="str">
            <v>HYUNDAI SANTAFE</v>
          </cell>
          <cell r="D80" t="str">
            <v>HYUNDAI</v>
          </cell>
          <cell r="E80" t="str">
            <v>SANTAFE</v>
          </cell>
          <cell r="G80" t="str">
            <v>160루5102</v>
          </cell>
          <cell r="H80" t="str">
            <v>KMHSU81UBGU583453</v>
          </cell>
          <cell r="I80">
            <v>45930</v>
          </cell>
          <cell r="J80" t="str">
            <v>㈜우리들모터스</v>
          </cell>
          <cell r="L80" t="str">
            <v>잔금</v>
          </cell>
          <cell r="M80" t="str">
            <v>50만원 회사통장 나감</v>
          </cell>
          <cell r="N80">
            <v>886</v>
          </cell>
          <cell r="O80">
            <v>44</v>
          </cell>
          <cell r="P80">
            <v>930</v>
          </cell>
          <cell r="Q80" t="str">
            <v>done</v>
          </cell>
          <cell r="S80" t="str">
            <v>hysa</v>
          </cell>
          <cell r="T80" t="str">
            <v>hysa</v>
          </cell>
          <cell r="X80">
            <v>1387</v>
          </cell>
          <cell r="AB80">
            <v>1629</v>
          </cell>
          <cell r="AD80">
            <v>1770</v>
          </cell>
          <cell r="AE80" t="str">
            <v>6165 pound</v>
          </cell>
          <cell r="AF80" t="str">
            <v>6720 pound</v>
          </cell>
        </row>
        <row r="81">
          <cell r="A81">
            <v>79</v>
          </cell>
          <cell r="B81">
            <v>45925</v>
          </cell>
          <cell r="C81" t="str">
            <v>BENZ E220D</v>
          </cell>
          <cell r="D81" t="str">
            <v>BENZ</v>
          </cell>
          <cell r="E81" t="str">
            <v>E220D</v>
          </cell>
          <cell r="F81">
            <v>2017</v>
          </cell>
          <cell r="G81" t="str">
            <v>39부2819</v>
          </cell>
          <cell r="H81" t="str">
            <v>WDDZF0EB2HA218968</v>
          </cell>
          <cell r="I81">
            <v>45929</v>
          </cell>
          <cell r="J81" t="str">
            <v>㈜이차차</v>
          </cell>
          <cell r="L81" t="str">
            <v>잔금</v>
          </cell>
          <cell r="M81" t="str">
            <v>50만원 회사통장 나감</v>
          </cell>
          <cell r="N81">
            <v>1526</v>
          </cell>
          <cell r="O81">
            <v>44</v>
          </cell>
          <cell r="P81">
            <v>1570</v>
          </cell>
          <cell r="Q81" t="str">
            <v>done</v>
          </cell>
          <cell r="S81" t="str">
            <v>CALJA</v>
          </cell>
          <cell r="T81" t="str">
            <v>Calja</v>
          </cell>
          <cell r="U81" t="str">
            <v>M43323203V</v>
          </cell>
          <cell r="V81" t="str">
            <v>355 69 550 5533</v>
          </cell>
          <cell r="W81" t="str">
            <v>Albania</v>
          </cell>
          <cell r="X81">
            <v>1387</v>
          </cell>
          <cell r="AB81">
            <v>1629</v>
          </cell>
          <cell r="AC81">
            <v>9218</v>
          </cell>
          <cell r="AD81">
            <v>1422</v>
          </cell>
          <cell r="AE81">
            <v>10640</v>
          </cell>
          <cell r="AF81">
            <v>7600</v>
          </cell>
        </row>
        <row r="82">
          <cell r="A82">
            <v>80</v>
          </cell>
          <cell r="B82">
            <v>45925</v>
          </cell>
          <cell r="C82" t="str">
            <v>PEUGEOT  3008 1.6</v>
          </cell>
          <cell r="D82" t="str">
            <v xml:space="preserve">PEUGEOT </v>
          </cell>
          <cell r="E82" t="str">
            <v>3008 1.6</v>
          </cell>
          <cell r="G82" t="str">
            <v>65라1586</v>
          </cell>
          <cell r="H82" t="str">
            <v>VF3MCBHZWHS033247</v>
          </cell>
          <cell r="I82">
            <v>45929</v>
          </cell>
          <cell r="J82" t="str">
            <v>(주)다온모터</v>
          </cell>
          <cell r="L82" t="str">
            <v>잔금</v>
          </cell>
          <cell r="M82" t="str">
            <v>50만원 대표님 계약</v>
          </cell>
          <cell r="N82">
            <v>1280</v>
          </cell>
          <cell r="P82">
            <v>1280</v>
          </cell>
          <cell r="Q82" t="str">
            <v>done</v>
          </cell>
          <cell r="S82" t="str">
            <v>R.S.h L.L.C.</v>
          </cell>
          <cell r="T82" t="str">
            <v>R.Sh L.L.C.</v>
          </cell>
          <cell r="U82">
            <v>812326016</v>
          </cell>
          <cell r="V82" t="str">
            <v>+383486 611 61</v>
          </cell>
          <cell r="W82" t="str">
            <v>Kosovo</v>
          </cell>
          <cell r="X82">
            <v>1387</v>
          </cell>
          <cell r="AB82">
            <v>1629</v>
          </cell>
          <cell r="AC82">
            <v>7523</v>
          </cell>
          <cell r="AD82">
            <v>1507</v>
          </cell>
          <cell r="AE82">
            <v>9030</v>
          </cell>
          <cell r="AF82">
            <v>9030</v>
          </cell>
        </row>
        <row r="83">
          <cell r="A83">
            <v>81</v>
          </cell>
          <cell r="B83">
            <v>45925</v>
          </cell>
          <cell r="C83" t="str">
            <v>BMW 528I</v>
          </cell>
          <cell r="D83" t="str">
            <v>BMW</v>
          </cell>
          <cell r="E83" t="str">
            <v>528I</v>
          </cell>
          <cell r="G83" t="str">
            <v>12부9368</v>
          </cell>
          <cell r="H83" t="str">
            <v>WBAFR1109BC854505</v>
          </cell>
          <cell r="I83">
            <v>45931</v>
          </cell>
          <cell r="J83" t="str">
            <v>개인매입- 김현구</v>
          </cell>
          <cell r="L83" t="str">
            <v>잔금</v>
          </cell>
          <cell r="M83" t="str">
            <v>50만원 대표님 계약</v>
          </cell>
          <cell r="N83">
            <v>750</v>
          </cell>
          <cell r="P83">
            <v>750</v>
          </cell>
          <cell r="Q83" t="str">
            <v>done</v>
          </cell>
          <cell r="S83" t="str">
            <v xml:space="preserve">DAX IMPORT 🇩🇪 </v>
          </cell>
          <cell r="T83" t="str">
            <v xml:space="preserve">Michael Karl  </v>
          </cell>
          <cell r="U83" t="str">
            <v>LF9N8WZ16</v>
          </cell>
          <cell r="V83" t="str">
            <v>‪+49 471 94189050‬</v>
          </cell>
          <cell r="W83" t="str">
            <v xml:space="preserve">Dorfstr,33C,(82024) Taufkirchen, Germany </v>
          </cell>
          <cell r="X83">
            <v>1387</v>
          </cell>
          <cell r="AB83">
            <v>1629</v>
          </cell>
          <cell r="AC83">
            <v>4700</v>
          </cell>
          <cell r="AE83">
            <v>4700</v>
          </cell>
          <cell r="AF83">
            <v>8200</v>
          </cell>
        </row>
        <row r="84">
          <cell r="A84">
            <v>82</v>
          </cell>
          <cell r="B84">
            <v>45925</v>
          </cell>
          <cell r="C84" t="str">
            <v>BENZ CLS400 d 4Matic</v>
          </cell>
          <cell r="D84" t="str">
            <v>BENZ</v>
          </cell>
          <cell r="E84" t="str">
            <v>CLS400 d 4Matic</v>
          </cell>
          <cell r="F84">
            <v>2019</v>
          </cell>
          <cell r="G84" t="str">
            <v>40조2767</v>
          </cell>
          <cell r="H84" t="str">
            <v>WDD2J2DBXKA003410</v>
          </cell>
          <cell r="I84">
            <v>45930</v>
          </cell>
          <cell r="J84" t="str">
            <v>(주)오토룩2</v>
          </cell>
          <cell r="L84" t="str">
            <v>잔금</v>
          </cell>
          <cell r="M84" t="str">
            <v>50만원 대표님 계약</v>
          </cell>
          <cell r="N84">
            <v>3614</v>
          </cell>
          <cell r="P84">
            <v>3614</v>
          </cell>
          <cell r="Q84" t="str">
            <v>done</v>
          </cell>
          <cell r="S84" t="str">
            <v>AlphaWorldWide</v>
          </cell>
          <cell r="T84" t="str">
            <v>AlphaWorldWideAlbania</v>
          </cell>
          <cell r="U84" t="str">
            <v>SN-619176-11-19</v>
          </cell>
          <cell r="V84" t="str">
            <v>355 69223 3416</v>
          </cell>
          <cell r="W84" t="str">
            <v xml:space="preserve">Durres, Durres, DURRES, Lagjja nr.11, Rruga Bulevardi, me siperfaqe 30m2 </v>
          </cell>
          <cell r="X84">
            <v>1387</v>
          </cell>
          <cell r="AB84">
            <v>1629</v>
          </cell>
          <cell r="AC84">
            <v>21175</v>
          </cell>
          <cell r="AD84">
            <v>1425</v>
          </cell>
          <cell r="AE84">
            <v>22600</v>
          </cell>
        </row>
        <row r="85">
          <cell r="A85">
            <v>83</v>
          </cell>
          <cell r="B85">
            <v>45925</v>
          </cell>
          <cell r="C85" t="str">
            <v>VOLKSWAGENS GOLF 7</v>
          </cell>
          <cell r="D85" t="str">
            <v>VOLKSWAGENS</v>
          </cell>
          <cell r="E85" t="str">
            <v>GOLF 7</v>
          </cell>
          <cell r="G85" t="str">
            <v xml:space="preserve">53더1621 </v>
          </cell>
          <cell r="H85" t="str">
            <v>WVWZZZAUZFW143842</v>
          </cell>
          <cell r="J85" t="str">
            <v>경매장- 헤이딜러</v>
          </cell>
          <cell r="L85" t="str">
            <v>잔금</v>
          </cell>
          <cell r="M85" t="str">
            <v>도착</v>
          </cell>
          <cell r="N85">
            <v>964</v>
          </cell>
          <cell r="O85">
            <v>46</v>
          </cell>
          <cell r="P85">
            <v>1010</v>
          </cell>
          <cell r="Q85" t="str">
            <v>done</v>
          </cell>
          <cell r="S85" t="str">
            <v>DONI</v>
          </cell>
          <cell r="T85" t="str">
            <v>DONI</v>
          </cell>
          <cell r="U85">
            <v>933682</v>
          </cell>
          <cell r="V85" t="str">
            <v>3 8 3 4 9 3 2 5 7 0 3</v>
          </cell>
          <cell r="W85" t="str">
            <v xml:space="preserve"> HYZRI TALLA OB 16 HY 1 NR 18
 Kosovë</v>
          </cell>
          <cell r="X85">
            <v>1380</v>
          </cell>
          <cell r="AB85">
            <v>1629</v>
          </cell>
          <cell r="AC85">
            <v>6050</v>
          </cell>
          <cell r="AD85">
            <v>1415</v>
          </cell>
          <cell r="AE85">
            <v>7465</v>
          </cell>
        </row>
        <row r="86">
          <cell r="A86">
            <v>84</v>
          </cell>
          <cell r="B86">
            <v>45926</v>
          </cell>
          <cell r="C86" t="str">
            <v>BMW X3</v>
          </cell>
          <cell r="D86" t="str">
            <v>BMW</v>
          </cell>
          <cell r="E86" t="str">
            <v>X3</v>
          </cell>
          <cell r="G86" t="str">
            <v>123마5852</v>
          </cell>
          <cell r="H86" t="str">
            <v>WBAUZ3106L9D22715</v>
          </cell>
          <cell r="I86">
            <v>45931</v>
          </cell>
          <cell r="J86" t="str">
            <v>(주)에스앤케이모터스</v>
          </cell>
          <cell r="L86" t="str">
            <v>잔금</v>
          </cell>
          <cell r="M86" t="str">
            <v>50만원 회사통장 나감</v>
          </cell>
          <cell r="N86">
            <v>3000</v>
          </cell>
          <cell r="P86">
            <v>3000</v>
          </cell>
          <cell r="Q86" t="str">
            <v>done</v>
          </cell>
          <cell r="S86" t="str">
            <v>DONI</v>
          </cell>
          <cell r="T86" t="str">
            <v>DONI</v>
          </cell>
          <cell r="U86">
            <v>933682</v>
          </cell>
          <cell r="V86" t="str">
            <v>3 8 3 4 9 3 2 5 7 0 3</v>
          </cell>
          <cell r="W86" t="str">
            <v xml:space="preserve"> HYZRI TALLA OB 16 HY 1 NR 18
 Kosovë</v>
          </cell>
          <cell r="X86">
            <v>1396</v>
          </cell>
          <cell r="AB86">
            <v>1630</v>
          </cell>
          <cell r="AC86">
            <v>17575</v>
          </cell>
          <cell r="AD86">
            <v>1515</v>
          </cell>
          <cell r="AE86">
            <v>19090</v>
          </cell>
        </row>
        <row r="87">
          <cell r="A87">
            <v>85</v>
          </cell>
          <cell r="B87">
            <v>45926</v>
          </cell>
          <cell r="C87" t="str">
            <v>AUDI SQ5</v>
          </cell>
          <cell r="D87" t="str">
            <v>AUDI</v>
          </cell>
          <cell r="E87" t="str">
            <v>SQ5</v>
          </cell>
          <cell r="F87">
            <v>2015</v>
          </cell>
          <cell r="G87" t="str">
            <v>22너9660</v>
          </cell>
          <cell r="H87" t="str">
            <v>WAUZZZ8R4FA034866</v>
          </cell>
          <cell r="I87">
            <v>45931</v>
          </cell>
          <cell r="J87" t="str">
            <v>(주)홍차</v>
          </cell>
          <cell r="L87" t="str">
            <v>잔금</v>
          </cell>
          <cell r="M87" t="str">
            <v>50만원 회사통장 나감</v>
          </cell>
          <cell r="N87">
            <v>1750</v>
          </cell>
          <cell r="O87">
            <v>44</v>
          </cell>
          <cell r="P87">
            <v>1794</v>
          </cell>
          <cell r="Q87" t="str">
            <v>done</v>
          </cell>
          <cell r="S87" t="str">
            <v>RIZA</v>
          </cell>
          <cell r="T87" t="str">
            <v>Riza Qosja</v>
          </cell>
          <cell r="U87" t="str">
            <v>M33304205K</v>
          </cell>
          <cell r="V87" t="str">
            <v>355 682769063</v>
          </cell>
          <cell r="W87" t="str">
            <v>Albania</v>
          </cell>
          <cell r="X87">
            <v>1396</v>
          </cell>
          <cell r="AB87">
            <v>1630</v>
          </cell>
          <cell r="AC87">
            <v>10485</v>
          </cell>
          <cell r="AD87">
            <v>1515</v>
          </cell>
          <cell r="AE87">
            <v>12000</v>
          </cell>
          <cell r="AF87">
            <v>5000</v>
          </cell>
        </row>
        <row r="88">
          <cell r="A88">
            <v>86</v>
          </cell>
          <cell r="B88">
            <v>45926</v>
          </cell>
          <cell r="C88" t="str">
            <v>BENZ E220D</v>
          </cell>
          <cell r="D88" t="str">
            <v>BENZ</v>
          </cell>
          <cell r="E88" t="str">
            <v>E220D</v>
          </cell>
          <cell r="F88">
            <v>2017</v>
          </cell>
          <cell r="G88" t="str">
            <v>02구4726</v>
          </cell>
          <cell r="H88" t="str">
            <v>WDDZF0EB9HA107432</v>
          </cell>
          <cell r="I88">
            <v>45930</v>
          </cell>
          <cell r="J88" t="str">
            <v>(주)에스와이오토</v>
          </cell>
          <cell r="L88" t="str">
            <v>잔금</v>
          </cell>
          <cell r="M88" t="str">
            <v>50만원 대표님 계약</v>
          </cell>
          <cell r="N88">
            <v>1890</v>
          </cell>
          <cell r="P88">
            <v>1890</v>
          </cell>
          <cell r="Q88" t="str">
            <v>done</v>
          </cell>
          <cell r="S88" t="str">
            <v>CALJA</v>
          </cell>
          <cell r="T88" t="str">
            <v>Aleandro Kodra</v>
          </cell>
          <cell r="U88" t="str">
            <v>K103240103</v>
          </cell>
          <cell r="V88" t="str">
            <v>355 69 550 5533</v>
          </cell>
          <cell r="W88" t="str">
            <v>Albania</v>
          </cell>
          <cell r="X88">
            <v>1396</v>
          </cell>
          <cell r="AB88">
            <v>1630</v>
          </cell>
          <cell r="AC88">
            <v>11020</v>
          </cell>
          <cell r="AD88">
            <v>1430</v>
          </cell>
          <cell r="AE88">
            <v>12450</v>
          </cell>
          <cell r="AF88">
            <v>13850</v>
          </cell>
        </row>
        <row r="89">
          <cell r="A89">
            <v>87</v>
          </cell>
          <cell r="B89">
            <v>45926</v>
          </cell>
          <cell r="C89" t="str">
            <v>AUDI SQ5 3.0 TDI quattro</v>
          </cell>
          <cell r="D89" t="str">
            <v>AUDI</v>
          </cell>
          <cell r="E89" t="str">
            <v>SQ5 3.0 TDI quattro</v>
          </cell>
          <cell r="F89">
            <v>2015</v>
          </cell>
          <cell r="G89" t="str">
            <v>64서3601</v>
          </cell>
          <cell r="H89" t="str">
            <v>WAUZZZ8R3FA012969</v>
          </cell>
          <cell r="I89">
            <v>45929</v>
          </cell>
          <cell r="J89" t="str">
            <v>(주)마이카4</v>
          </cell>
          <cell r="L89" t="str">
            <v>잔금</v>
          </cell>
          <cell r="M89" t="str">
            <v>50만원 대표님 계약</v>
          </cell>
          <cell r="N89">
            <v>1730</v>
          </cell>
          <cell r="P89">
            <v>1730</v>
          </cell>
          <cell r="Q89" t="str">
            <v>done</v>
          </cell>
          <cell r="S89" t="str">
            <v>RIZA</v>
          </cell>
          <cell r="T89" t="str">
            <v>PRESTIGE RENT</v>
          </cell>
          <cell r="U89" t="str">
            <v>M56929203H</v>
          </cell>
          <cell r="V89" t="str">
            <v>355 682769063</v>
          </cell>
          <cell r="W89" t="str">
            <v>Albania</v>
          </cell>
          <cell r="X89">
            <v>1396</v>
          </cell>
          <cell r="AB89">
            <v>1630</v>
          </cell>
          <cell r="AC89">
            <v>10185</v>
          </cell>
          <cell r="AD89">
            <v>1515</v>
          </cell>
          <cell r="AE89">
            <v>11700</v>
          </cell>
          <cell r="AF89">
            <v>12000</v>
          </cell>
        </row>
        <row r="90">
          <cell r="A90">
            <v>88</v>
          </cell>
          <cell r="B90">
            <v>45926</v>
          </cell>
          <cell r="C90" t="str">
            <v>BENZ E350</v>
          </cell>
          <cell r="D90" t="str">
            <v>BENZ</v>
          </cell>
          <cell r="E90" t="str">
            <v>E350</v>
          </cell>
          <cell r="F90">
            <v>2015</v>
          </cell>
          <cell r="G90" t="str">
            <v>11로2248</v>
          </cell>
          <cell r="H90" t="str">
            <v>WDDHF9EB5FB160250</v>
          </cell>
          <cell r="I90">
            <v>45930</v>
          </cell>
          <cell r="J90" t="str">
            <v>(주)청춘카</v>
          </cell>
          <cell r="L90" t="str">
            <v>잔금</v>
          </cell>
          <cell r="M90" t="str">
            <v>50만원 대표님 계약</v>
          </cell>
          <cell r="N90">
            <v>1750</v>
          </cell>
          <cell r="P90">
            <v>1750</v>
          </cell>
          <cell r="Q90" t="str">
            <v>done</v>
          </cell>
          <cell r="S90" t="str">
            <v>CALJA</v>
          </cell>
          <cell r="T90" t="str">
            <v>Enio Selmani</v>
          </cell>
          <cell r="U90" t="str">
            <v>J30112054E</v>
          </cell>
          <cell r="V90" t="str">
            <v>355 69 550 5533</v>
          </cell>
          <cell r="W90" t="str">
            <v>Albania</v>
          </cell>
          <cell r="X90">
            <v>1396</v>
          </cell>
          <cell r="AB90">
            <v>1630</v>
          </cell>
          <cell r="AC90">
            <v>10270</v>
          </cell>
          <cell r="AD90">
            <v>1430</v>
          </cell>
          <cell r="AE90">
            <v>11700</v>
          </cell>
          <cell r="AF90">
            <v>12150</v>
          </cell>
        </row>
        <row r="91">
          <cell r="A91">
            <v>89</v>
          </cell>
          <cell r="B91">
            <v>45926</v>
          </cell>
          <cell r="C91" t="str">
            <v>HYUNDAI SANTAFE</v>
          </cell>
          <cell r="D91" t="str">
            <v>HYUNDAI</v>
          </cell>
          <cell r="E91" t="str">
            <v>SANTAFE</v>
          </cell>
          <cell r="G91" t="str">
            <v>41고0989</v>
          </cell>
          <cell r="H91" t="str">
            <v>KMHSW81UBGU546867</v>
          </cell>
          <cell r="I91">
            <v>45929</v>
          </cell>
          <cell r="J91" t="str">
            <v>(주)태성종합로지스</v>
          </cell>
          <cell r="L91" t="str">
            <v>잔금</v>
          </cell>
          <cell r="M91" t="str">
            <v>50만원 대표님 계약</v>
          </cell>
          <cell r="N91">
            <v>1324</v>
          </cell>
          <cell r="P91">
            <v>1324</v>
          </cell>
          <cell r="Q91" t="str">
            <v>done</v>
          </cell>
          <cell r="S91" t="str">
            <v>CALJA</v>
          </cell>
          <cell r="T91" t="str">
            <v>Irga Sadiku</v>
          </cell>
          <cell r="U91" t="str">
            <v>J95215048R</v>
          </cell>
          <cell r="V91" t="str">
            <v>355 69 550 5533</v>
          </cell>
          <cell r="W91" t="str">
            <v>Albania</v>
          </cell>
          <cell r="X91">
            <v>1396</v>
          </cell>
          <cell r="AB91">
            <v>1630</v>
          </cell>
          <cell r="AC91">
            <v>7770</v>
          </cell>
          <cell r="AD91">
            <v>1515</v>
          </cell>
          <cell r="AE91">
            <v>9285</v>
          </cell>
          <cell r="AF91">
            <v>9400</v>
          </cell>
        </row>
        <row r="92">
          <cell r="A92">
            <v>90</v>
          </cell>
          <cell r="B92">
            <v>45926</v>
          </cell>
          <cell r="C92" t="str">
            <v>BENZ Mercedes-AMG S63 4Matic L</v>
          </cell>
          <cell r="D92" t="str">
            <v>BENZ</v>
          </cell>
          <cell r="E92" t="str">
            <v>Mercedes-AMG S63 4Matic L</v>
          </cell>
          <cell r="F92">
            <v>2016</v>
          </cell>
          <cell r="G92" t="str">
            <v>68도0497</v>
          </cell>
          <cell r="H92" t="str">
            <v>WDDUG7JBXGA271339</v>
          </cell>
          <cell r="I92">
            <v>45940</v>
          </cell>
          <cell r="J92" t="str">
            <v>㈜신성오토모빌</v>
          </cell>
          <cell r="L92" t="str">
            <v>잔금</v>
          </cell>
          <cell r="M92" t="str">
            <v>50만원 대표님 계약</v>
          </cell>
          <cell r="N92">
            <v>4440</v>
          </cell>
          <cell r="P92">
            <v>4440</v>
          </cell>
          <cell r="Q92" t="str">
            <v>france</v>
          </cell>
          <cell r="S92" t="str">
            <v>AlphaWorldWide</v>
          </cell>
          <cell r="T92" t="str">
            <v>AlphaWorldWideAlbania</v>
          </cell>
          <cell r="U92" t="str">
            <v>SN-619176-11-19</v>
          </cell>
          <cell r="V92" t="str">
            <v>355 69223 3416</v>
          </cell>
          <cell r="W92" t="str">
            <v xml:space="preserve">Durres, Durres, DURRES, Lagjja nr.11, Rruga Bulevardi, me siperfaqe 30m2 </v>
          </cell>
          <cell r="X92">
            <v>1396</v>
          </cell>
          <cell r="AB92">
            <v>1630</v>
          </cell>
          <cell r="AC92">
            <v>27890</v>
          </cell>
          <cell r="AD92">
            <v>1842</v>
          </cell>
          <cell r="AE92">
            <v>29732</v>
          </cell>
        </row>
        <row r="93">
          <cell r="A93">
            <v>91</v>
          </cell>
          <cell r="B93">
            <v>45927</v>
          </cell>
          <cell r="C93" t="str">
            <v>HYUNDAI SONATA</v>
          </cell>
          <cell r="D93" t="str">
            <v>HYUNDAI</v>
          </cell>
          <cell r="E93" t="str">
            <v>SONATA</v>
          </cell>
          <cell r="G93" t="str">
            <v>45다0537</v>
          </cell>
          <cell r="H93" t="str">
            <v>KMHE341DBGA190586</v>
          </cell>
          <cell r="I93">
            <v>45931</v>
          </cell>
          <cell r="J93" t="str">
            <v>(주)탑모터스</v>
          </cell>
          <cell r="L93" t="str">
            <v>잔금</v>
          </cell>
          <cell r="M93" t="str">
            <v>50만원 대표님 계약</v>
          </cell>
          <cell r="N93">
            <v>426</v>
          </cell>
          <cell r="O93">
            <v>44</v>
          </cell>
          <cell r="P93">
            <v>470</v>
          </cell>
          <cell r="Q93" t="str">
            <v>done</v>
          </cell>
          <cell r="S93" t="str">
            <v>CALJA</v>
          </cell>
          <cell r="T93" t="str">
            <v>Jurgen Merdani</v>
          </cell>
          <cell r="U93" t="str">
            <v>J60612017S</v>
          </cell>
          <cell r="V93" t="str">
            <v>355 69 550 5533</v>
          </cell>
          <cell r="W93" t="str">
            <v>Albania</v>
          </cell>
          <cell r="X93">
            <v>1396</v>
          </cell>
          <cell r="AB93">
            <v>1630</v>
          </cell>
          <cell r="AC93">
            <v>3520</v>
          </cell>
          <cell r="AD93">
            <v>1430</v>
          </cell>
          <cell r="AE93">
            <v>4950</v>
          </cell>
          <cell r="AF93">
            <v>8550</v>
          </cell>
        </row>
        <row r="94">
          <cell r="A94">
            <v>92</v>
          </cell>
          <cell r="B94">
            <v>45927</v>
          </cell>
          <cell r="C94" t="str">
            <v>VOLKSWAGENS TIGUAN 2.0 TDI</v>
          </cell>
          <cell r="D94" t="str">
            <v>VOLKSWAGENS</v>
          </cell>
          <cell r="E94" t="str">
            <v>TIGUAN 2.0 TDI</v>
          </cell>
          <cell r="G94" t="str">
            <v>69두8431</v>
          </cell>
          <cell r="H94" t="str">
            <v>WVGZZZ5NZJW925679</v>
          </cell>
          <cell r="I94">
            <v>45931</v>
          </cell>
          <cell r="J94" t="str">
            <v>(주)패밀리카</v>
          </cell>
          <cell r="L94" t="str">
            <v>잔금</v>
          </cell>
          <cell r="M94" t="str">
            <v>50만원 대표님 계약</v>
          </cell>
          <cell r="N94">
            <v>1570</v>
          </cell>
          <cell r="P94">
            <v>1570</v>
          </cell>
          <cell r="Q94" t="str">
            <v>done</v>
          </cell>
          <cell r="S94" t="str">
            <v>Auto Posh SH.P.K</v>
          </cell>
          <cell r="T94" t="str">
            <v>Auto Posh SH.P.K</v>
          </cell>
          <cell r="U94">
            <v>812219427</v>
          </cell>
          <cell r="V94" t="str">
            <v>38345560145</v>
          </cell>
          <cell r="W94" t="str">
            <v xml:space="preserve"> Rruga Jakup Lami, Pn. Greme, Feriza</v>
          </cell>
          <cell r="X94">
            <v>1396</v>
          </cell>
          <cell r="AB94">
            <v>1633</v>
          </cell>
          <cell r="AC94">
            <v>9205</v>
          </cell>
          <cell r="AD94">
            <v>1515</v>
          </cell>
          <cell r="AE94">
            <v>10720</v>
          </cell>
        </row>
        <row r="95">
          <cell r="A95">
            <v>93</v>
          </cell>
          <cell r="B95">
            <v>45927</v>
          </cell>
          <cell r="C95" t="str">
            <v>Peugeot 3008 GT 2.0 BLUEHDi</v>
          </cell>
          <cell r="D95" t="str">
            <v>Peugeot</v>
          </cell>
          <cell r="E95" t="str">
            <v>3008 GT 2.0 BLUEHDi</v>
          </cell>
          <cell r="G95" t="str">
            <v>27로9769</v>
          </cell>
          <cell r="H95" t="str">
            <v>VF3MJEHZRKS028880</v>
          </cell>
          <cell r="I95">
            <v>45930</v>
          </cell>
          <cell r="J95" t="str">
            <v>(주)정모터스</v>
          </cell>
          <cell r="L95" t="str">
            <v>잔금</v>
          </cell>
          <cell r="M95" t="str">
            <v>50만원 대표님 계약</v>
          </cell>
          <cell r="N95">
            <v>1500</v>
          </cell>
          <cell r="P95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Q95" t="str">
            <v>done</v>
          </cell>
          <cell r="S95" t="str">
            <v>R.S.h L.L.C.</v>
          </cell>
          <cell r="T95" t="str">
            <v>R.Sh L.L.C.</v>
          </cell>
          <cell r="U95">
            <v>812326016</v>
          </cell>
          <cell r="V95" t="str">
            <v>+383486 611 61</v>
          </cell>
          <cell r="W95" t="str">
            <v>Kosovo</v>
          </cell>
          <cell r="X95">
            <v>1396</v>
          </cell>
          <cell r="AB95">
            <v>1633</v>
          </cell>
          <cell r="AC95">
            <v>8785</v>
          </cell>
          <cell r="AD95">
            <v>1515</v>
          </cell>
          <cell r="AE95">
            <v>10300</v>
          </cell>
          <cell r="AF95">
            <v>10300</v>
          </cell>
        </row>
        <row r="96">
          <cell r="A96">
            <v>94</v>
          </cell>
          <cell r="B96">
            <v>45927</v>
          </cell>
          <cell r="C96" t="str">
            <v>Renault QM3</v>
          </cell>
          <cell r="D96" t="str">
            <v>Renault</v>
          </cell>
          <cell r="E96" t="str">
            <v>QM3</v>
          </cell>
          <cell r="G96" t="str">
            <v>45어8186</v>
          </cell>
          <cell r="H96" t="str">
            <v>VF12R3L1EFW542817</v>
          </cell>
          <cell r="I96">
            <v>45930</v>
          </cell>
          <cell r="J96" t="str">
            <v>(주)모터스퀘어</v>
          </cell>
          <cell r="L96" t="str">
            <v>잔금</v>
          </cell>
          <cell r="M96" t="str">
            <v>50만원 대표님 계약</v>
          </cell>
          <cell r="N96">
            <v>493</v>
          </cell>
          <cell r="P96">
            <v>493</v>
          </cell>
          <cell r="Q96" t="str">
            <v>done</v>
          </cell>
          <cell r="S96" t="str">
            <v>Auto Posh SH.P.K</v>
          </cell>
          <cell r="T96" t="str">
            <v>Auto Posh SH.P.K</v>
          </cell>
          <cell r="U96">
            <v>812219427</v>
          </cell>
          <cell r="V96" t="str">
            <v>38345560145</v>
          </cell>
          <cell r="W96" t="str">
            <v xml:space="preserve"> Rruga Jakup Lami, Pn. Greme, Feriza</v>
          </cell>
          <cell r="X96">
            <v>1396</v>
          </cell>
          <cell r="AB96">
            <v>1633</v>
          </cell>
          <cell r="AC96">
            <v>3002</v>
          </cell>
          <cell r="AD96">
            <v>1430</v>
          </cell>
          <cell r="AE96">
            <v>4432</v>
          </cell>
        </row>
        <row r="97">
          <cell r="A97">
            <v>95</v>
          </cell>
          <cell r="B97">
            <v>45927</v>
          </cell>
          <cell r="C97" t="str">
            <v>Renault QM3</v>
          </cell>
          <cell r="D97" t="str">
            <v>Renault</v>
          </cell>
          <cell r="E97" t="str">
            <v>QM3</v>
          </cell>
          <cell r="G97" t="str">
            <v>63무2743</v>
          </cell>
          <cell r="H97" t="str">
            <v>VF12R3L1EFW746479</v>
          </cell>
          <cell r="I97">
            <v>45929</v>
          </cell>
          <cell r="J97" t="str">
            <v>(주)서청주매매상사</v>
          </cell>
          <cell r="L97" t="str">
            <v>잔금</v>
          </cell>
          <cell r="M97" t="str">
            <v>50만원 대표님 계약</v>
          </cell>
          <cell r="N97">
            <v>490</v>
          </cell>
          <cell r="P97">
            <v>490</v>
          </cell>
          <cell r="Q97" t="str">
            <v>done</v>
          </cell>
          <cell r="S97" t="str">
            <v>Auto Posh SH.P.K</v>
          </cell>
          <cell r="T97" t="str">
            <v>Auto Posh SH.P.K</v>
          </cell>
          <cell r="U97">
            <v>812219427</v>
          </cell>
          <cell r="V97" t="str">
            <v>38345560145</v>
          </cell>
          <cell r="W97" t="str">
            <v xml:space="preserve"> Rruga Jakup Lami, Pn. Greme, Feriza</v>
          </cell>
          <cell r="X97">
            <v>1396</v>
          </cell>
          <cell r="AB97">
            <v>1633</v>
          </cell>
          <cell r="AC97">
            <v>3090</v>
          </cell>
          <cell r="AD97">
            <v>1430</v>
          </cell>
          <cell r="AE97">
            <v>4520</v>
          </cell>
        </row>
        <row r="98">
          <cell r="A98">
            <v>96</v>
          </cell>
          <cell r="B98">
            <v>45927</v>
          </cell>
          <cell r="C98" t="str">
            <v>VOLKSWAGENS GOLF 7</v>
          </cell>
          <cell r="D98" t="str">
            <v>VOLKSWAGENS</v>
          </cell>
          <cell r="E98" t="str">
            <v>GOLF 7</v>
          </cell>
          <cell r="G98" t="str">
            <v>08거9149</v>
          </cell>
          <cell r="H98" t="str">
            <v>WVWZZZAUZGW175938</v>
          </cell>
          <cell r="J98" t="str">
            <v>경매장- 헤이딜러</v>
          </cell>
          <cell r="L98" t="str">
            <v>잔금</v>
          </cell>
          <cell r="M98" t="str">
            <v>미도착</v>
          </cell>
          <cell r="N98">
            <v>1044</v>
          </cell>
          <cell r="O98">
            <v>44</v>
          </cell>
          <cell r="P98">
            <v>1088</v>
          </cell>
          <cell r="Q98" t="str">
            <v>done</v>
          </cell>
          <cell r="S98" t="str">
            <v>DONI</v>
          </cell>
          <cell r="T98" t="str">
            <v>DONI</v>
          </cell>
          <cell r="U98">
            <v>933682</v>
          </cell>
          <cell r="V98" t="str">
            <v>3 8 3 4 9 3 2 5 7 0 3</v>
          </cell>
          <cell r="W98" t="str">
            <v xml:space="preserve"> HYZRI TALLA OB 16 HY 1 NR 18
 Kosovë</v>
          </cell>
          <cell r="X98">
            <v>1396</v>
          </cell>
          <cell r="AB98">
            <v>1633</v>
          </cell>
          <cell r="AC98">
            <v>6450</v>
          </cell>
          <cell r="AD98">
            <v>1430</v>
          </cell>
          <cell r="AE98">
            <v>7880</v>
          </cell>
        </row>
        <row r="99">
          <cell r="A99">
            <v>97</v>
          </cell>
          <cell r="B99">
            <v>45870</v>
          </cell>
          <cell r="C99" t="str">
            <v>AUDI A8</v>
          </cell>
          <cell r="D99" t="str">
            <v>AUDI</v>
          </cell>
          <cell r="E99" t="str">
            <v>A8</v>
          </cell>
          <cell r="G99">
            <v>12738</v>
          </cell>
          <cell r="H99" t="str">
            <v xml:space="preserve">WAUZZZ4H9FN012738 </v>
          </cell>
          <cell r="L99" t="str">
            <v>잔금</v>
          </cell>
          <cell r="Q99" t="str">
            <v>done</v>
          </cell>
          <cell r="S99" t="str">
            <v>SHENDI</v>
          </cell>
          <cell r="T99" t="str">
            <v>Shendi Kurti</v>
          </cell>
          <cell r="U99" t="str">
            <v>P01677345</v>
          </cell>
          <cell r="V99" t="str">
            <v xml:space="preserve"> ‪+4917631741863‬</v>
          </cell>
          <cell r="W99" t="str">
            <v>germany</v>
          </cell>
          <cell r="AC99">
            <v>14150</v>
          </cell>
          <cell r="AD99">
            <v>1430</v>
          </cell>
          <cell r="AE99">
            <v>15580</v>
          </cell>
          <cell r="AF99">
            <v>1360</v>
          </cell>
        </row>
        <row r="100">
          <cell r="A100">
            <v>98</v>
          </cell>
          <cell r="B100">
            <v>45930</v>
          </cell>
          <cell r="C100" t="str">
            <v>FORD KUGA</v>
          </cell>
          <cell r="D100" t="str">
            <v>FORD</v>
          </cell>
          <cell r="E100" t="str">
            <v>KUGA</v>
          </cell>
          <cell r="G100" t="str">
            <v>23두4164</v>
          </cell>
          <cell r="H100" t="str">
            <v>WF0AXXWPMHHM87157</v>
          </cell>
          <cell r="I100">
            <v>45931</v>
          </cell>
          <cell r="J100" t="str">
            <v>㈜카넷</v>
          </cell>
          <cell r="L100" t="str">
            <v>잔금</v>
          </cell>
          <cell r="M100" t="str">
            <v>50만원 회사통장 나감</v>
          </cell>
          <cell r="N100">
            <v>1100</v>
          </cell>
          <cell r="P100">
            <v>1100</v>
          </cell>
          <cell r="Q100" t="str">
            <v>done</v>
          </cell>
          <cell r="S100" t="str">
            <v>ATLAS GROUP SH.P.K</v>
          </cell>
          <cell r="T100" t="str">
            <v>ATLAS GROUP SH.P.K</v>
          </cell>
          <cell r="U100">
            <v>812137455</v>
          </cell>
          <cell r="V100" t="str">
            <v>+38348702207</v>
          </cell>
          <cell r="W100" t="str">
            <v>Xhelal Hajda, p.n. Rahovec</v>
          </cell>
          <cell r="X100">
            <v>1389</v>
          </cell>
          <cell r="AB100">
            <v>1627</v>
          </cell>
          <cell r="AC100">
            <v>6518</v>
          </cell>
          <cell r="AD100">
            <v>1512</v>
          </cell>
          <cell r="AE100">
            <v>8030</v>
          </cell>
        </row>
        <row r="101">
          <cell r="A101">
            <v>99</v>
          </cell>
          <cell r="B101">
            <v>45929</v>
          </cell>
          <cell r="C101" t="str">
            <v>AUDI A6 35 TDI</v>
          </cell>
          <cell r="D101" t="str">
            <v>AUDI</v>
          </cell>
          <cell r="E101" t="str">
            <v>A6 35 TDI</v>
          </cell>
          <cell r="G101" t="str">
            <v>02주4492</v>
          </cell>
          <cell r="H101" t="str">
            <v>WAUZZZ4G4JN061927</v>
          </cell>
          <cell r="I101">
            <v>45931</v>
          </cell>
          <cell r="J101" t="str">
            <v>㈜나이스카</v>
          </cell>
          <cell r="L101" t="str">
            <v>잔금</v>
          </cell>
          <cell r="M101" t="str">
            <v>50만원 대표님 계약</v>
          </cell>
          <cell r="N101">
            <v>1586</v>
          </cell>
          <cell r="O101">
            <v>44</v>
          </cell>
          <cell r="Q101" t="str">
            <v>done</v>
          </cell>
          <cell r="S101" t="str">
            <v>DONI</v>
          </cell>
          <cell r="T101" t="str">
            <v>DONI</v>
          </cell>
          <cell r="U101">
            <v>933682</v>
          </cell>
          <cell r="V101" t="str">
            <v>3 8 3 4 9 3 2 5 7 0 3</v>
          </cell>
          <cell r="W101" t="str">
            <v xml:space="preserve"> HYZRI TALLA OB 16 HY 1 NR 18
 Kosovë</v>
          </cell>
          <cell r="X101">
            <v>1387</v>
          </cell>
          <cell r="AB101">
            <v>1626</v>
          </cell>
          <cell r="AC101">
            <v>9595</v>
          </cell>
          <cell r="AD101">
            <v>1425</v>
          </cell>
          <cell r="AE101">
            <v>11020</v>
          </cell>
        </row>
        <row r="102">
          <cell r="A102">
            <v>100</v>
          </cell>
          <cell r="B102">
            <v>45930</v>
          </cell>
          <cell r="C102" t="str">
            <v>AUDI A7 50 TDI QUATTRO</v>
          </cell>
          <cell r="D102" t="str">
            <v>AUDI</v>
          </cell>
          <cell r="E102" t="str">
            <v>A7 50 TDI QUATTRO</v>
          </cell>
          <cell r="G102" t="str">
            <v>323저5239</v>
          </cell>
          <cell r="H102" t="str">
            <v>WAUZZZ4G3GN013716</v>
          </cell>
          <cell r="I102">
            <v>45940</v>
          </cell>
          <cell r="J102" t="str">
            <v>(주) 해태자동차</v>
          </cell>
          <cell r="L102" t="str">
            <v>잔금</v>
          </cell>
          <cell r="M102" t="str">
            <v>50만원 대표님 계약</v>
          </cell>
          <cell r="N102">
            <v>1460</v>
          </cell>
          <cell r="P102">
            <v>1460</v>
          </cell>
          <cell r="Q102" t="str">
            <v>done</v>
          </cell>
          <cell r="S102" t="str">
            <v>MILO</v>
          </cell>
          <cell r="T102" t="str">
            <v>Kallanxhiu Ronaldo</v>
          </cell>
          <cell r="U102" t="str">
            <v>J81005002O</v>
          </cell>
          <cell r="V102" t="str">
            <v>355 69 682 8331</v>
          </cell>
          <cell r="W102" t="str">
            <v>Albania</v>
          </cell>
          <cell r="X102">
            <v>1389</v>
          </cell>
          <cell r="AB102">
            <v>1627</v>
          </cell>
          <cell r="AC102">
            <v>8568</v>
          </cell>
          <cell r="AD102">
            <v>1512</v>
          </cell>
          <cell r="AE102">
            <v>10080</v>
          </cell>
          <cell r="AF102">
            <v>11000</v>
          </cell>
        </row>
        <row r="103">
          <cell r="A103">
            <v>101</v>
          </cell>
          <cell r="B103">
            <v>45930</v>
          </cell>
          <cell r="C103" t="str">
            <v>AUDI  Q5 45 TDI QUATTRO</v>
          </cell>
          <cell r="D103" t="str">
            <v xml:space="preserve">AUDI </v>
          </cell>
          <cell r="E103" t="str">
            <v>Q5 45 TDI QUATTRO</v>
          </cell>
          <cell r="G103" t="str">
            <v>48조9206</v>
          </cell>
          <cell r="H103" t="str">
            <v>WAUZZZ8R9FA058211</v>
          </cell>
          <cell r="I103">
            <v>45944</v>
          </cell>
          <cell r="J103" t="str">
            <v>(주) 스마일 중고차</v>
          </cell>
          <cell r="L103" t="str">
            <v>잔금</v>
          </cell>
          <cell r="M103" t="str">
            <v>50만원 대표님 계약</v>
          </cell>
          <cell r="N103">
            <v>1700</v>
          </cell>
          <cell r="P103">
            <v>1700</v>
          </cell>
          <cell r="Q103" t="str">
            <v>done</v>
          </cell>
          <cell r="S103" t="str">
            <v>Auto Posh SH.P.K</v>
          </cell>
          <cell r="T103" t="str">
            <v>Auto Posh SH.P.K</v>
          </cell>
          <cell r="U103">
            <v>812219427</v>
          </cell>
          <cell r="V103" t="str">
            <v>38345560145</v>
          </cell>
          <cell r="W103" t="str">
            <v xml:space="preserve"> Rruga Jakup Lami, Pn. Greme, Feriza</v>
          </cell>
          <cell r="X103">
            <v>1389</v>
          </cell>
          <cell r="AB103">
            <v>1627</v>
          </cell>
          <cell r="AC103">
            <v>9988</v>
          </cell>
          <cell r="AD103">
            <v>1512</v>
          </cell>
          <cell r="AE103">
            <v>11500</v>
          </cell>
        </row>
        <row r="104">
          <cell r="A104">
            <v>102</v>
          </cell>
          <cell r="B104">
            <v>45931</v>
          </cell>
          <cell r="C104" t="str">
            <v>BMW X6 M50d</v>
          </cell>
          <cell r="D104" t="str">
            <v>BMW</v>
          </cell>
          <cell r="E104" t="str">
            <v>X6 M50d</v>
          </cell>
          <cell r="F104">
            <v>2015</v>
          </cell>
          <cell r="G104" t="str">
            <v>37고7200</v>
          </cell>
          <cell r="H104" t="str">
            <v>WBAKV6107F0N48921</v>
          </cell>
          <cell r="I104">
            <v>45940</v>
          </cell>
          <cell r="J104" t="str">
            <v>(주)성진모터스</v>
          </cell>
          <cell r="L104" t="str">
            <v>잔금</v>
          </cell>
          <cell r="M104" t="str">
            <v>100만원 회사통장 나감</v>
          </cell>
          <cell r="N104">
            <v>2506</v>
          </cell>
          <cell r="O104">
            <v>44</v>
          </cell>
          <cell r="P104">
            <v>2550</v>
          </cell>
          <cell r="Q104" t="str">
            <v>done</v>
          </cell>
          <cell r="S104" t="str">
            <v>HYSA</v>
          </cell>
          <cell r="T104" t="str">
            <v>HYSA JUGERS</v>
          </cell>
          <cell r="U104" t="str">
            <v>J90912021M</v>
          </cell>
          <cell r="V104" t="str">
            <v>355 69 690 2972</v>
          </cell>
          <cell r="W104" t="str">
            <v>Albania</v>
          </cell>
          <cell r="X104">
            <v>1392</v>
          </cell>
          <cell r="AB104">
            <v>1634</v>
          </cell>
          <cell r="AC104">
            <v>14855</v>
          </cell>
          <cell r="AD104">
            <v>1595</v>
          </cell>
          <cell r="AE104">
            <v>16450</v>
          </cell>
        </row>
        <row r="105">
          <cell r="A105">
            <v>103</v>
          </cell>
          <cell r="B105">
            <v>45931</v>
          </cell>
          <cell r="C105" t="str">
            <v>AUDI  Q2</v>
          </cell>
          <cell r="D105" t="str">
            <v xml:space="preserve">AUDI </v>
          </cell>
          <cell r="E105" t="str">
            <v>Q2</v>
          </cell>
          <cell r="G105" t="str">
            <v>295조1030</v>
          </cell>
          <cell r="H105" t="str">
            <v>WAUZZZGA7PA037788</v>
          </cell>
          <cell r="I105">
            <v>45940</v>
          </cell>
          <cell r="J105" t="str">
            <v>(주)제이제이모터스</v>
          </cell>
          <cell r="L105" t="str">
            <v>잔금</v>
          </cell>
          <cell r="M105" t="str">
            <v>50만원 대표님 계약</v>
          </cell>
          <cell r="N105">
            <v>2600</v>
          </cell>
          <cell r="P105">
            <v>2600</v>
          </cell>
          <cell r="Q105" t="str">
            <v>done</v>
          </cell>
          <cell r="S105" t="str">
            <v>DONI</v>
          </cell>
          <cell r="T105" t="str">
            <v>DONI</v>
          </cell>
          <cell r="U105">
            <v>933682</v>
          </cell>
          <cell r="V105" t="str">
            <v>3 8 3 4 9 3 2 5 7 0 3</v>
          </cell>
          <cell r="W105" t="str">
            <v xml:space="preserve"> HYZRI TALLA OB 16 HY 1 NR 18
 Kosovë</v>
          </cell>
          <cell r="X105">
            <v>1392</v>
          </cell>
          <cell r="AB105">
            <v>1634</v>
          </cell>
          <cell r="AC105">
            <v>15210</v>
          </cell>
          <cell r="AD105">
            <v>1510</v>
          </cell>
          <cell r="AE105">
            <v>16720</v>
          </cell>
        </row>
        <row r="106">
          <cell r="A106">
            <v>104</v>
          </cell>
          <cell r="B106">
            <v>45931</v>
          </cell>
          <cell r="C106" t="str">
            <v>AUDI  A6 45 TDI QUATTRO</v>
          </cell>
          <cell r="D106" t="str">
            <v xml:space="preserve">AUDI </v>
          </cell>
          <cell r="E106" t="str">
            <v>A6 45 TDI QUATTRO</v>
          </cell>
          <cell r="G106" t="str">
            <v>46어6269</v>
          </cell>
          <cell r="H106" t="str">
            <v xml:space="preserve">WAUZZZ4G9FN028591 </v>
          </cell>
          <cell r="I106">
            <v>45943</v>
          </cell>
          <cell r="J106" t="str">
            <v>㈜ V모터스</v>
          </cell>
          <cell r="L106" t="str">
            <v>잔금</v>
          </cell>
          <cell r="M106" t="str">
            <v>50만원 회사통장 나감</v>
          </cell>
          <cell r="N106">
            <v>700</v>
          </cell>
          <cell r="P106">
            <v>700</v>
          </cell>
          <cell r="Q106" t="str">
            <v>done</v>
          </cell>
          <cell r="S106" t="str">
            <v>Auto Posh SH.P.K</v>
          </cell>
          <cell r="T106" t="str">
            <v>Auto Posh SH.P.K</v>
          </cell>
          <cell r="U106">
            <v>812219427</v>
          </cell>
          <cell r="V106" t="str">
            <v>38345560145</v>
          </cell>
          <cell r="W106" t="str">
            <v xml:space="preserve"> Rruga Jakup Lami, Pn. Greme, Feriza</v>
          </cell>
          <cell r="X106">
            <v>1392</v>
          </cell>
          <cell r="AB106">
            <v>1634</v>
          </cell>
          <cell r="AC106">
            <v>4365</v>
          </cell>
          <cell r="AD106">
            <v>1425</v>
          </cell>
          <cell r="AE106">
            <v>5790</v>
          </cell>
        </row>
        <row r="107">
          <cell r="A107">
            <v>105</v>
          </cell>
          <cell r="B107">
            <v>45931</v>
          </cell>
          <cell r="C107" t="str">
            <v>AUDI  A8L 60</v>
          </cell>
          <cell r="D107" t="str">
            <v xml:space="preserve">AUDI </v>
          </cell>
          <cell r="E107" t="str">
            <v>A8L 60</v>
          </cell>
          <cell r="G107" t="str">
            <v>49수0871</v>
          </cell>
          <cell r="H107" t="str">
            <v>WAUZZZ4H1FN035494</v>
          </cell>
          <cell r="I107">
            <v>45944</v>
          </cell>
          <cell r="J107" t="str">
            <v>㈜울트라모터스</v>
          </cell>
          <cell r="L107" t="str">
            <v>잔금</v>
          </cell>
          <cell r="M107" t="str">
            <v>100만원 회사통장 나감</v>
          </cell>
          <cell r="N107">
            <v>1636</v>
          </cell>
          <cell r="O107">
            <v>44</v>
          </cell>
          <cell r="P107">
            <v>1680</v>
          </cell>
          <cell r="Q107" t="str">
            <v>done</v>
          </cell>
          <cell r="S107" t="str">
            <v>MILO</v>
          </cell>
          <cell r="T107" t="str">
            <v>Xhino Mile</v>
          </cell>
          <cell r="U107" t="str">
            <v>J50922017H</v>
          </cell>
          <cell r="V107" t="str">
            <v>355 69 682 8331</v>
          </cell>
          <cell r="W107" t="str">
            <v>Albania</v>
          </cell>
          <cell r="X107">
            <v>1392</v>
          </cell>
          <cell r="AB107">
            <v>1634</v>
          </cell>
          <cell r="AC107">
            <v>9893</v>
          </cell>
          <cell r="AD107">
            <v>1507</v>
          </cell>
          <cell r="AE107">
            <v>11400</v>
          </cell>
        </row>
        <row r="108">
          <cell r="A108">
            <v>106</v>
          </cell>
          <cell r="B108">
            <v>45932</v>
          </cell>
          <cell r="C108" t="str">
            <v>VOLKSWAGENS Tiguan 2.0 TDI</v>
          </cell>
          <cell r="D108" t="str">
            <v>VOLKSWAGENS</v>
          </cell>
          <cell r="E108" t="str">
            <v>Tiguan 2.0 TDI</v>
          </cell>
          <cell r="G108" t="str">
            <v>305구2981</v>
          </cell>
          <cell r="H108" t="str">
            <v>WVGZZZ5NZLW907207</v>
          </cell>
          <cell r="I108">
            <v>45943</v>
          </cell>
          <cell r="J108" t="str">
            <v>㈜한길유씨에스</v>
          </cell>
          <cell r="L108" t="str">
            <v>잔금</v>
          </cell>
          <cell r="M108" t="str">
            <v>50만원 회사통장 나감</v>
          </cell>
          <cell r="N108">
            <v>2156</v>
          </cell>
          <cell r="O108">
            <v>44</v>
          </cell>
          <cell r="P108">
            <v>2200</v>
          </cell>
          <cell r="Q108" t="str">
            <v>done</v>
          </cell>
          <cell r="S108" t="str">
            <v>DONI</v>
          </cell>
          <cell r="T108" t="str">
            <v>DONI</v>
          </cell>
          <cell r="U108">
            <v>933682</v>
          </cell>
          <cell r="V108" t="str">
            <v>3 8 3 4 9 3 2 5 7 0 3</v>
          </cell>
          <cell r="W108" t="str">
            <v xml:space="preserve"> HYZRI TALLA OB 16 HY 1 NR 18
 Kosovë</v>
          </cell>
          <cell r="X108">
            <v>1390</v>
          </cell>
          <cell r="AB108">
            <v>1630</v>
          </cell>
          <cell r="AC108">
            <v>12900</v>
          </cell>
          <cell r="AD108">
            <v>1510</v>
          </cell>
          <cell r="AE108">
            <v>14410</v>
          </cell>
        </row>
        <row r="109">
          <cell r="A109">
            <v>107</v>
          </cell>
          <cell r="B109">
            <v>45932</v>
          </cell>
          <cell r="C109" t="str">
            <v>BENZ GLE350 D 4MATIC COUPE</v>
          </cell>
          <cell r="D109" t="str">
            <v>BENZ</v>
          </cell>
          <cell r="E109" t="str">
            <v>GLE350 D 4MATIC COUPE</v>
          </cell>
          <cell r="F109">
            <v>2017</v>
          </cell>
          <cell r="G109" t="str">
            <v>310루8240</v>
          </cell>
          <cell r="H109" t="str">
            <v>WDCED2EB1HA052267</v>
          </cell>
          <cell r="I109">
            <v>45943</v>
          </cell>
          <cell r="J109" t="str">
            <v>㈜탑라인모터스</v>
          </cell>
          <cell r="L109" t="str">
            <v>잔금</v>
          </cell>
          <cell r="M109" t="str">
            <v>50만원 대표님 계약</v>
          </cell>
          <cell r="N109">
            <v>3306</v>
          </cell>
          <cell r="O109">
            <v>44</v>
          </cell>
          <cell r="P109">
            <v>3350</v>
          </cell>
          <cell r="Q109" t="str">
            <v>done</v>
          </cell>
          <cell r="S109" t="str">
            <v>TAFA</v>
          </cell>
          <cell r="T109" t="str">
            <v>TAFA ALI</v>
          </cell>
          <cell r="U109" t="str">
            <v>I10226024H</v>
          </cell>
          <cell r="V109" t="str">
            <v>355 68 855 8026</v>
          </cell>
          <cell r="W109" t="str">
            <v>ALBANIA</v>
          </cell>
          <cell r="X109">
            <v>1390</v>
          </cell>
          <cell r="AB109">
            <v>1630</v>
          </cell>
          <cell r="AC109">
            <v>19730</v>
          </cell>
          <cell r="AD109">
            <v>1510</v>
          </cell>
          <cell r="AE109">
            <v>21240</v>
          </cell>
        </row>
        <row r="110">
          <cell r="A110">
            <v>108</v>
          </cell>
          <cell r="B110">
            <v>45932</v>
          </cell>
          <cell r="C110" t="str">
            <v>BENZ GLE350 d 4Matic Coupe</v>
          </cell>
          <cell r="D110" t="str">
            <v>BENZ</v>
          </cell>
          <cell r="E110" t="str">
            <v>GLE350 d 4Matic Coupe</v>
          </cell>
          <cell r="F110">
            <v>2017</v>
          </cell>
          <cell r="G110" t="str">
            <v>10보2387</v>
          </cell>
          <cell r="H110" t="str">
            <v>WDCED2EB0HA083316</v>
          </cell>
          <cell r="I110">
            <v>45944</v>
          </cell>
          <cell r="J110" t="str">
            <v>㈜왕카</v>
          </cell>
          <cell r="L110" t="str">
            <v>잔금</v>
          </cell>
          <cell r="M110" t="str">
            <v>50만원 대표님 계약</v>
          </cell>
          <cell r="N110">
            <v>3250</v>
          </cell>
          <cell r="P110">
            <v>3250</v>
          </cell>
          <cell r="Q110" t="str">
            <v>done</v>
          </cell>
          <cell r="S110" t="str">
            <v>TAFA</v>
          </cell>
          <cell r="T110" t="str">
            <v>TAFA ALI</v>
          </cell>
          <cell r="U110" t="str">
            <v>I10226024H</v>
          </cell>
          <cell r="V110" t="str">
            <v>355 68 855 8026</v>
          </cell>
          <cell r="W110" t="str">
            <v>ALBANIA</v>
          </cell>
          <cell r="X110">
            <v>1390</v>
          </cell>
          <cell r="AB110">
            <v>1630</v>
          </cell>
          <cell r="AC110">
            <v>19255</v>
          </cell>
          <cell r="AD110">
            <v>1425</v>
          </cell>
          <cell r="AE110">
            <v>20680</v>
          </cell>
        </row>
        <row r="111">
          <cell r="A111">
            <v>109</v>
          </cell>
          <cell r="B111">
            <v>45932</v>
          </cell>
          <cell r="C111" t="str">
            <v>BENZ C220 BlueTEC</v>
          </cell>
          <cell r="D111" t="str">
            <v>BENZ</v>
          </cell>
          <cell r="E111" t="str">
            <v>C220 BlueTEC</v>
          </cell>
          <cell r="F111">
            <v>2015</v>
          </cell>
          <cell r="G111" t="str">
            <v>16러1747</v>
          </cell>
          <cell r="H111" t="str">
            <v>WDDWF0EB0FF083945</v>
          </cell>
          <cell r="I111">
            <v>45943</v>
          </cell>
          <cell r="J111" t="str">
            <v>㈜수호모터스</v>
          </cell>
          <cell r="L111" t="str">
            <v>잔금</v>
          </cell>
          <cell r="M111" t="str">
            <v>50만원 대표님 계약</v>
          </cell>
          <cell r="N111">
            <v>1100</v>
          </cell>
          <cell r="O111">
            <v>44</v>
          </cell>
          <cell r="P111">
            <v>1144</v>
          </cell>
          <cell r="Q111" t="str">
            <v>done</v>
          </cell>
          <cell r="S111" t="str">
            <v>CALJA</v>
          </cell>
          <cell r="T111" t="str">
            <v>Calja</v>
          </cell>
          <cell r="U111" t="str">
            <v>M43323203V</v>
          </cell>
          <cell r="V111" t="str">
            <v>355 69 550 5533</v>
          </cell>
          <cell r="W111" t="str">
            <v>Albania</v>
          </cell>
          <cell r="X111">
            <v>1390</v>
          </cell>
          <cell r="AB111">
            <v>1630</v>
          </cell>
          <cell r="AC111">
            <v>6745</v>
          </cell>
          <cell r="AD111">
            <v>1425</v>
          </cell>
          <cell r="AE111">
            <v>8170</v>
          </cell>
          <cell r="AF111">
            <v>4370</v>
          </cell>
        </row>
        <row r="112">
          <cell r="A112">
            <v>110</v>
          </cell>
          <cell r="B112">
            <v>45932</v>
          </cell>
          <cell r="C112" t="str">
            <v>BMW 320d</v>
          </cell>
          <cell r="D112" t="str">
            <v>BMW</v>
          </cell>
          <cell r="E112" t="str">
            <v>320d</v>
          </cell>
          <cell r="G112" t="str">
            <v>11루7395</v>
          </cell>
          <cell r="H112" t="str">
            <v>WBA3D3106FK470450</v>
          </cell>
          <cell r="I112">
            <v>45943</v>
          </cell>
          <cell r="J112" t="str">
            <v>㈜연안</v>
          </cell>
          <cell r="L112" t="str">
            <v>잔금</v>
          </cell>
          <cell r="M112" t="str">
            <v>50만원 대표님 계약</v>
          </cell>
          <cell r="N112">
            <v>1030</v>
          </cell>
          <cell r="P112">
            <v>1030</v>
          </cell>
          <cell r="Q112" t="str">
            <v>done</v>
          </cell>
          <cell r="S112" t="str">
            <v>Auto Posh SH.P.K</v>
          </cell>
          <cell r="T112" t="str">
            <v>Auto Posh SH.P.K</v>
          </cell>
          <cell r="U112">
            <v>812219427</v>
          </cell>
          <cell r="V112" t="str">
            <v>38345560145</v>
          </cell>
          <cell r="W112" t="str">
            <v xml:space="preserve"> Rruga Jakup Lami, Pn. Greme, Feriza</v>
          </cell>
          <cell r="X112">
            <v>1390</v>
          </cell>
          <cell r="AB112">
            <v>1630</v>
          </cell>
          <cell r="AC112">
            <v>6145</v>
          </cell>
          <cell r="AD112">
            <v>1425</v>
          </cell>
          <cell r="AE112">
            <v>7570</v>
          </cell>
        </row>
        <row r="113">
          <cell r="A113">
            <v>111</v>
          </cell>
          <cell r="B113">
            <v>45933</v>
          </cell>
          <cell r="C113" t="str">
            <v>BENZ GLE 300 d 4MATIC</v>
          </cell>
          <cell r="D113" t="str">
            <v>BENZ</v>
          </cell>
          <cell r="E113" t="str">
            <v>GLE 300 d 4MATIC</v>
          </cell>
          <cell r="F113">
            <v>2019</v>
          </cell>
          <cell r="G113" t="str">
            <v>325저6881</v>
          </cell>
          <cell r="H113" t="str">
            <v>WDCFB1KB3KA070771</v>
          </cell>
          <cell r="I113">
            <v>45943</v>
          </cell>
          <cell r="J113" t="str">
            <v>㈜팀모터스</v>
          </cell>
          <cell r="L113" t="str">
            <v>잔금</v>
          </cell>
          <cell r="M113" t="str">
            <v>50만원 대표님 계약</v>
          </cell>
          <cell r="N113">
            <v>3900</v>
          </cell>
          <cell r="P113">
            <v>3900</v>
          </cell>
          <cell r="Q113" t="str">
            <v>done</v>
          </cell>
          <cell r="S113" t="str">
            <v>HYSA</v>
          </cell>
          <cell r="T113" t="str">
            <v>HYSA JUGERS</v>
          </cell>
          <cell r="U113" t="str">
            <v>J90912021M</v>
          </cell>
          <cell r="V113" t="str">
            <v>355 69 690 2972</v>
          </cell>
          <cell r="W113" t="str">
            <v>Albania</v>
          </cell>
          <cell r="X113">
            <v>1393</v>
          </cell>
          <cell r="AB113">
            <v>1885</v>
          </cell>
          <cell r="AC113">
            <v>19692</v>
          </cell>
          <cell r="AD113">
            <v>1308</v>
          </cell>
          <cell r="AE113">
            <v>21000</v>
          </cell>
          <cell r="AF113" t="str">
            <v>21320 POUND</v>
          </cell>
        </row>
        <row r="114">
          <cell r="A114">
            <v>112</v>
          </cell>
          <cell r="B114">
            <v>45933</v>
          </cell>
          <cell r="C114" t="str">
            <v>BENZ S350 d</v>
          </cell>
          <cell r="D114" t="str">
            <v>BENZ</v>
          </cell>
          <cell r="E114" t="str">
            <v>S350 d</v>
          </cell>
          <cell r="F114">
            <v>2022</v>
          </cell>
          <cell r="G114" t="str">
            <v>138부9292</v>
          </cell>
          <cell r="H114" t="str">
            <v>W1K6F3AB2NA142545</v>
          </cell>
          <cell r="I114">
            <v>45944</v>
          </cell>
          <cell r="J114" t="str">
            <v>㈜에스원모터스</v>
          </cell>
          <cell r="L114" t="str">
            <v>잔금</v>
          </cell>
          <cell r="M114" t="str">
            <v>50만원 대표님 계약</v>
          </cell>
          <cell r="N114">
            <v>7350</v>
          </cell>
          <cell r="P114">
            <v>7350</v>
          </cell>
          <cell r="Q114" t="str">
            <v>done</v>
          </cell>
          <cell r="S114" t="str">
            <v>VILLA KOHA</v>
          </cell>
          <cell r="T114" t="str">
            <v>VILLA KOHA SH.P.K</v>
          </cell>
          <cell r="U114">
            <v>810039588</v>
          </cell>
          <cell r="V114" t="str">
            <v>383 49247777</v>
          </cell>
          <cell r="W114" t="str">
            <v>KOSOVO</v>
          </cell>
          <cell r="X114">
            <v>1393</v>
          </cell>
          <cell r="AB114">
            <v>1635</v>
          </cell>
          <cell r="AC114">
            <v>42490</v>
          </cell>
          <cell r="AD114">
            <v>1510</v>
          </cell>
          <cell r="AE114">
            <v>44000</v>
          </cell>
        </row>
        <row r="115">
          <cell r="A115">
            <v>113</v>
          </cell>
          <cell r="B115">
            <v>45933</v>
          </cell>
          <cell r="C115" t="str">
            <v>AUDI A6 40 TDI quattro</v>
          </cell>
          <cell r="D115" t="str">
            <v>AUDI</v>
          </cell>
          <cell r="E115" t="str">
            <v>A6 40 TDI quattro</v>
          </cell>
          <cell r="G115" t="str">
            <v>59로0253</v>
          </cell>
          <cell r="H115" t="str">
            <v xml:space="preserve">WAUZZZ4G7GN146849 </v>
          </cell>
          <cell r="I115">
            <v>45940</v>
          </cell>
          <cell r="J115" t="str">
            <v>㈜차본주의</v>
          </cell>
          <cell r="L115" t="str">
            <v>잔금</v>
          </cell>
          <cell r="M115" t="str">
            <v>50만원 대표님 계약</v>
          </cell>
          <cell r="N115">
            <v>1246</v>
          </cell>
          <cell r="O115">
            <v>44</v>
          </cell>
          <cell r="P115">
            <v>1290</v>
          </cell>
          <cell r="Q115" t="str">
            <v>done</v>
          </cell>
          <cell r="S115" t="str">
            <v>Auto Posh SH.P.K</v>
          </cell>
          <cell r="T115" t="str">
            <v>Auto Posh SH.P.K</v>
          </cell>
          <cell r="U115">
            <v>812219427</v>
          </cell>
          <cell r="V115" t="str">
            <v>38345560145</v>
          </cell>
          <cell r="W115" t="str">
            <v xml:space="preserve"> Rruga Jakup Lami, Pn. Greme, Feriza</v>
          </cell>
          <cell r="X115">
            <v>1393</v>
          </cell>
          <cell r="AB115">
            <v>1635</v>
          </cell>
          <cell r="AC115">
            <v>7555</v>
          </cell>
          <cell r="AD115">
            <v>1425</v>
          </cell>
          <cell r="AE115">
            <v>8980</v>
          </cell>
        </row>
        <row r="116">
          <cell r="A116">
            <v>114</v>
          </cell>
          <cell r="B116">
            <v>45933</v>
          </cell>
          <cell r="C116" t="str">
            <v>Renault QM3</v>
          </cell>
          <cell r="D116" t="str">
            <v>Renault</v>
          </cell>
          <cell r="E116" t="str">
            <v>QM3</v>
          </cell>
          <cell r="G116" t="str">
            <v>27오0277</v>
          </cell>
          <cell r="H116" t="str">
            <v>VF12RGJ1DGW141619</v>
          </cell>
          <cell r="I116">
            <v>45944</v>
          </cell>
          <cell r="J116" t="str">
            <v>㈜코리아모터스</v>
          </cell>
          <cell r="L116" t="str">
            <v>잔금</v>
          </cell>
          <cell r="M116" t="str">
            <v>50만원 대표님 계약</v>
          </cell>
          <cell r="N116">
            <v>520</v>
          </cell>
          <cell r="P116">
            <v>520</v>
          </cell>
          <cell r="Q116" t="str">
            <v>done</v>
          </cell>
          <cell r="S116" t="str">
            <v>R.S.h L.L.C.</v>
          </cell>
          <cell r="T116" t="str">
            <v>R.Sh L.L.C.</v>
          </cell>
          <cell r="U116">
            <v>812326016</v>
          </cell>
          <cell r="V116" t="str">
            <v>+383486 611 61</v>
          </cell>
          <cell r="W116" t="str">
            <v>Kosovo</v>
          </cell>
          <cell r="X116">
            <v>1393</v>
          </cell>
          <cell r="AB116">
            <v>1635</v>
          </cell>
          <cell r="AC116">
            <v>3210</v>
          </cell>
          <cell r="AD116">
            <v>1425</v>
          </cell>
          <cell r="AE116">
            <v>4635</v>
          </cell>
          <cell r="AF116">
            <v>4500</v>
          </cell>
        </row>
        <row r="117">
          <cell r="A117">
            <v>115</v>
          </cell>
          <cell r="B117">
            <v>45934</v>
          </cell>
          <cell r="C117" t="str">
            <v>HYUNDAI TUCSON</v>
          </cell>
          <cell r="D117" t="str">
            <v>HYUNDAI</v>
          </cell>
          <cell r="E117" t="str">
            <v>TUCSON</v>
          </cell>
          <cell r="G117" t="str">
            <v>17러0645</v>
          </cell>
          <cell r="H117" t="str">
            <v>KMHJ2815GGU152771</v>
          </cell>
          <cell r="I117">
            <v>45943</v>
          </cell>
          <cell r="J117" t="str">
            <v>㈜ 카담파트너스</v>
          </cell>
          <cell r="L117" t="str">
            <v>잔금</v>
          </cell>
          <cell r="M117" t="str">
            <v>50만원 대표님 계약</v>
          </cell>
          <cell r="N117">
            <v>880</v>
          </cell>
          <cell r="P117">
            <v>880</v>
          </cell>
          <cell r="Q117" t="str">
            <v>done</v>
          </cell>
          <cell r="S117" t="str">
            <v>CALJA</v>
          </cell>
          <cell r="T117" t="str">
            <v>Calja</v>
          </cell>
          <cell r="U117" t="str">
            <v>M43323203V</v>
          </cell>
          <cell r="V117" t="str">
            <v>355 69 550 5533</v>
          </cell>
          <cell r="W117" t="str">
            <v>Albania</v>
          </cell>
          <cell r="X117">
            <v>1393</v>
          </cell>
          <cell r="AB117">
            <v>1635</v>
          </cell>
          <cell r="AC117">
            <v>5375</v>
          </cell>
          <cell r="AD117">
            <v>1425</v>
          </cell>
          <cell r="AE117">
            <v>6800</v>
          </cell>
          <cell r="AF117">
            <v>2800</v>
          </cell>
        </row>
        <row r="118">
          <cell r="A118">
            <v>116</v>
          </cell>
          <cell r="B118">
            <v>45934</v>
          </cell>
          <cell r="C118" t="str">
            <v>BMW 520d xDrive Luxury</v>
          </cell>
          <cell r="D118" t="str">
            <v>BMW</v>
          </cell>
          <cell r="E118" t="str">
            <v>520d xDrive Luxury</v>
          </cell>
          <cell r="G118" t="str">
            <v>180주9152</v>
          </cell>
          <cell r="H118" t="str">
            <v>WBAJF5108KWW01989</v>
          </cell>
          <cell r="I118">
            <v>45944</v>
          </cell>
          <cell r="J118" t="str">
            <v>㈜카리브모터스</v>
          </cell>
          <cell r="L118" t="str">
            <v>잔금</v>
          </cell>
          <cell r="M118" t="str">
            <v>50만원 대표님 계약</v>
          </cell>
          <cell r="N118">
            <v>2090</v>
          </cell>
          <cell r="O118">
            <v>44</v>
          </cell>
          <cell r="P118">
            <v>2134</v>
          </cell>
          <cell r="Q118" t="str">
            <v>done</v>
          </cell>
          <cell r="R118" t="str">
            <v>report done</v>
          </cell>
          <cell r="S118" t="str">
            <v xml:space="preserve">GENC HETA </v>
          </cell>
          <cell r="T118" t="str">
            <v>GENC HETA</v>
          </cell>
          <cell r="U118">
            <v>182420</v>
          </cell>
          <cell r="V118" t="str">
            <v>377 45 145 283</v>
          </cell>
          <cell r="W118" t="str">
            <v>KOSOVO</v>
          </cell>
          <cell r="X118">
            <v>1393</v>
          </cell>
          <cell r="AB118">
            <v>1635</v>
          </cell>
          <cell r="AC118">
            <v>12475</v>
          </cell>
          <cell r="AD118">
            <v>1425</v>
          </cell>
          <cell r="AE118">
            <v>13900</v>
          </cell>
          <cell r="AF118">
            <v>13900</v>
          </cell>
        </row>
        <row r="119">
          <cell r="A119">
            <v>117</v>
          </cell>
          <cell r="B119">
            <v>45935</v>
          </cell>
          <cell r="C119" t="str">
            <v>AUDI A4 30 TDI</v>
          </cell>
          <cell r="D119" t="str">
            <v>AUDI</v>
          </cell>
          <cell r="E119" t="str">
            <v>A4 30 TDI</v>
          </cell>
          <cell r="G119" t="str">
            <v>25부7964</v>
          </cell>
          <cell r="H119" t="str">
            <v>WAUZZZ8K5FN038128</v>
          </cell>
          <cell r="I119">
            <v>45943</v>
          </cell>
          <cell r="J119" t="str">
            <v>㈜오토피아</v>
          </cell>
          <cell r="L119" t="str">
            <v>잔금</v>
          </cell>
          <cell r="M119" t="str">
            <v>50만원 대표님 계약</v>
          </cell>
          <cell r="N119">
            <v>1046</v>
          </cell>
          <cell r="O119">
            <v>44</v>
          </cell>
          <cell r="P119">
            <v>1090</v>
          </cell>
          <cell r="Q119" t="str">
            <v>done</v>
          </cell>
          <cell r="R119" t="str">
            <v>report done</v>
          </cell>
          <cell r="S119" t="str">
            <v>ATLAS GROUP SH.P.K</v>
          </cell>
          <cell r="T119" t="str">
            <v>ATLAS GROUP SH.P.K</v>
          </cell>
          <cell r="U119">
            <v>812137455</v>
          </cell>
          <cell r="V119" t="str">
            <v>+38348702207</v>
          </cell>
          <cell r="W119" t="str">
            <v>Xhelal Hajda, p.n. Rahovec</v>
          </cell>
          <cell r="X119">
            <v>1393</v>
          </cell>
          <cell r="AB119">
            <v>1633</v>
          </cell>
          <cell r="AC119">
            <v>6455</v>
          </cell>
          <cell r="AD119">
            <v>1425</v>
          </cell>
          <cell r="AE119">
            <v>7880</v>
          </cell>
        </row>
        <row r="120">
          <cell r="A120">
            <v>118</v>
          </cell>
          <cell r="B120">
            <v>45937</v>
          </cell>
          <cell r="C120" t="str">
            <v>BMW 320D</v>
          </cell>
          <cell r="D120" t="str">
            <v>BMW</v>
          </cell>
          <cell r="E120" t="str">
            <v>320D</v>
          </cell>
          <cell r="F120">
            <v>2021</v>
          </cell>
          <cell r="G120" t="str">
            <v>255소2411</v>
          </cell>
          <cell r="H120" t="str">
            <v>WBA5V5103MFK06058</v>
          </cell>
          <cell r="I120">
            <v>45944</v>
          </cell>
          <cell r="J120" t="str">
            <v>㈜신원자동차매매상사</v>
          </cell>
          <cell r="L120" t="str">
            <v>잔금</v>
          </cell>
          <cell r="M120" t="str">
            <v>50만원 대표님 계약</v>
          </cell>
          <cell r="N120">
            <v>2346</v>
          </cell>
          <cell r="O120">
            <v>44</v>
          </cell>
          <cell r="P120">
            <v>2390</v>
          </cell>
          <cell r="Q120" t="str">
            <v>done</v>
          </cell>
          <cell r="R120" t="str">
            <v>report done</v>
          </cell>
          <cell r="S120" t="str">
            <v>VILLA KOHA</v>
          </cell>
          <cell r="T120" t="str">
            <v>VILLA KOHA SH.P.K</v>
          </cell>
          <cell r="U120">
            <v>810039588</v>
          </cell>
          <cell r="V120" t="str">
            <v>383 49247777</v>
          </cell>
          <cell r="W120" t="str">
            <v>KOSOVO</v>
          </cell>
          <cell r="X120">
            <v>1393</v>
          </cell>
          <cell r="AB120">
            <v>1633</v>
          </cell>
          <cell r="AC120">
            <v>13975</v>
          </cell>
          <cell r="AD120">
            <v>1425</v>
          </cell>
          <cell r="AE120">
            <v>15400</v>
          </cell>
          <cell r="AF120">
            <v>15400</v>
          </cell>
        </row>
        <row r="121">
          <cell r="A121">
            <v>119</v>
          </cell>
          <cell r="B121">
            <v>45937</v>
          </cell>
          <cell r="C121" t="str">
            <v>VOLKSWAGENS TIGUAN 2.0 TDI 4 MOTION</v>
          </cell>
          <cell r="D121" t="str">
            <v>VOLKSWAGENS</v>
          </cell>
          <cell r="E121" t="str">
            <v>TIGUAN 2.0 TDI 4 MOTION</v>
          </cell>
          <cell r="G121" t="str">
            <v>140거4044</v>
          </cell>
          <cell r="H121" t="str">
            <v>WVGZZZ5NZLW356077</v>
          </cell>
          <cell r="I121">
            <v>45944</v>
          </cell>
          <cell r="J121" t="str">
            <v>㈜위드카</v>
          </cell>
          <cell r="L121" t="str">
            <v>잔금</v>
          </cell>
          <cell r="M121" t="str">
            <v>50만원 대표님 계약</v>
          </cell>
          <cell r="N121">
            <v>2300</v>
          </cell>
          <cell r="P121">
            <v>2300</v>
          </cell>
          <cell r="Q121" t="str">
            <v>done</v>
          </cell>
          <cell r="R121" t="str">
            <v>report done</v>
          </cell>
          <cell r="S121" t="str">
            <v>VILLA KOHA</v>
          </cell>
          <cell r="T121" t="str">
            <v>VILLA KOHA SH.P.K</v>
          </cell>
          <cell r="U121">
            <v>810039588</v>
          </cell>
          <cell r="V121" t="str">
            <v>383 49247777</v>
          </cell>
          <cell r="W121" t="str">
            <v>KOSOVO</v>
          </cell>
          <cell r="X121">
            <v>1393</v>
          </cell>
          <cell r="AB121">
            <v>1633</v>
          </cell>
          <cell r="AC121">
            <v>13460</v>
          </cell>
          <cell r="AD121">
            <v>1510</v>
          </cell>
          <cell r="AE121">
            <v>14970</v>
          </cell>
          <cell r="AF121">
            <v>14970</v>
          </cell>
        </row>
        <row r="122">
          <cell r="A122">
            <v>120</v>
          </cell>
          <cell r="B122">
            <v>45939</v>
          </cell>
          <cell r="C122" t="str">
            <v>HYUNDAI TUCSON</v>
          </cell>
          <cell r="D122" t="str">
            <v>HYUNDAI</v>
          </cell>
          <cell r="E122" t="str">
            <v>TUCSON</v>
          </cell>
          <cell r="G122" t="str">
            <v>172가4114</v>
          </cell>
          <cell r="H122" t="str">
            <v>KMHJC81CBMU007231</v>
          </cell>
          <cell r="I122">
            <v>45944</v>
          </cell>
          <cell r="J122" t="str">
            <v>㈜카넷</v>
          </cell>
          <cell r="L122" t="str">
            <v>잔금</v>
          </cell>
          <cell r="M122" t="str">
            <v>50만원 대표님 계약</v>
          </cell>
          <cell r="N122">
            <v>2000</v>
          </cell>
          <cell r="P122">
            <v>2000</v>
          </cell>
          <cell r="Q122" t="str">
            <v>done</v>
          </cell>
          <cell r="R122" t="str">
            <v>report done</v>
          </cell>
          <cell r="S122" t="str">
            <v>CALJA</v>
          </cell>
          <cell r="T122" t="str">
            <v>Calja</v>
          </cell>
          <cell r="U122" t="str">
            <v>M43323203V</v>
          </cell>
          <cell r="V122" t="str">
            <v>355 69 550 5533</v>
          </cell>
          <cell r="W122" t="str">
            <v>Albania</v>
          </cell>
          <cell r="X122">
            <v>1411</v>
          </cell>
          <cell r="AB122">
            <v>1631</v>
          </cell>
          <cell r="AC122">
            <v>11660</v>
          </cell>
          <cell r="AD122">
            <v>1530</v>
          </cell>
          <cell r="AE122">
            <v>13190</v>
          </cell>
          <cell r="AF122">
            <v>15300</v>
          </cell>
        </row>
        <row r="123">
          <cell r="A123">
            <v>121</v>
          </cell>
          <cell r="B123">
            <v>45939</v>
          </cell>
          <cell r="C123" t="str">
            <v>AUDI A6 50 TDI</v>
          </cell>
          <cell r="D123" t="str">
            <v>AUDI</v>
          </cell>
          <cell r="E123" t="str">
            <v>A6 50 TDI</v>
          </cell>
          <cell r="G123" t="str">
            <v>64무0117</v>
          </cell>
          <cell r="H123" t="str">
            <v>WAUZZZ4G7GN045066</v>
          </cell>
          <cell r="I123">
            <v>45947</v>
          </cell>
          <cell r="J123" t="str">
            <v>㈜유일오토</v>
          </cell>
          <cell r="L123" t="str">
            <v>잔금</v>
          </cell>
          <cell r="M123" t="str">
            <v>50만원 대표님 계약</v>
          </cell>
          <cell r="N123">
            <v>1540</v>
          </cell>
          <cell r="O123">
            <v>44</v>
          </cell>
          <cell r="P123">
            <v>1584</v>
          </cell>
          <cell r="Q123" t="str">
            <v>DONE</v>
          </cell>
          <cell r="R123">
            <v>45955</v>
          </cell>
          <cell r="S123" t="str">
            <v>R.S.h L.L.C.</v>
          </cell>
          <cell r="T123" t="str">
            <v>R.Sh L.L.C.</v>
          </cell>
          <cell r="U123">
            <v>812326016</v>
          </cell>
          <cell r="V123" t="str">
            <v>+383486 611 61</v>
          </cell>
          <cell r="W123" t="str">
            <v>Kosovo</v>
          </cell>
          <cell r="X123">
            <v>1411</v>
          </cell>
          <cell r="AB123">
            <v>1631</v>
          </cell>
          <cell r="AC123">
            <v>9255</v>
          </cell>
          <cell r="AD123">
            <v>1445</v>
          </cell>
          <cell r="AE123">
            <v>10700</v>
          </cell>
        </row>
        <row r="124">
          <cell r="A124">
            <v>122</v>
          </cell>
          <cell r="B124">
            <v>45940</v>
          </cell>
          <cell r="C124" t="str">
            <v>VOLKSWAGENS TIGUAN ALLSPPACE 2,0 TDI</v>
          </cell>
          <cell r="D124" t="str">
            <v>VOLKSWAGENS</v>
          </cell>
          <cell r="E124" t="str">
            <v>TIGUAN ALLSPPACE 2,0 TDI</v>
          </cell>
          <cell r="G124" t="str">
            <v>337노9629</v>
          </cell>
          <cell r="H124" t="str">
            <v>WVGZZZ5NZLM160810</v>
          </cell>
          <cell r="I124">
            <v>45945</v>
          </cell>
          <cell r="J124" t="str">
            <v>㈜진솔모터스</v>
          </cell>
          <cell r="L124" t="str">
            <v>잔금</v>
          </cell>
          <cell r="M124" t="str">
            <v>50만원 회사통장 나감</v>
          </cell>
          <cell r="N124">
            <v>2126</v>
          </cell>
          <cell r="O124">
            <v>44</v>
          </cell>
          <cell r="P124">
            <v>2170</v>
          </cell>
          <cell r="Q124" t="str">
            <v>done</v>
          </cell>
          <cell r="R124" t="str">
            <v>report done</v>
          </cell>
          <cell r="S124" t="str">
            <v>R.S.h L.L.C.</v>
          </cell>
          <cell r="T124" t="str">
            <v>R.Sh L.L.C.</v>
          </cell>
          <cell r="U124">
            <v>812326016</v>
          </cell>
          <cell r="V124" t="str">
            <v>+383486 611 61</v>
          </cell>
          <cell r="W124" t="str">
            <v>Kosovo</v>
          </cell>
          <cell r="X124">
            <v>1422</v>
          </cell>
          <cell r="AB124">
            <v>1649</v>
          </cell>
          <cell r="AC124">
            <v>12893</v>
          </cell>
          <cell r="AD124">
            <v>1527</v>
          </cell>
          <cell r="AE124">
            <v>14420</v>
          </cell>
        </row>
        <row r="125">
          <cell r="A125">
            <v>123</v>
          </cell>
          <cell r="B125">
            <v>45940</v>
          </cell>
          <cell r="C125" t="str">
            <v>BMW 320D</v>
          </cell>
          <cell r="D125" t="str">
            <v>BMW</v>
          </cell>
          <cell r="E125" t="str">
            <v>320D</v>
          </cell>
          <cell r="F125">
            <v>2017</v>
          </cell>
          <cell r="G125" t="str">
            <v>31소8147</v>
          </cell>
          <cell r="H125" t="str">
            <v>WBA8C510XHK643457</v>
          </cell>
          <cell r="I125">
            <v>45945</v>
          </cell>
          <cell r="J125" t="str">
            <v>㈜뉴수성모터스</v>
          </cell>
          <cell r="L125" t="str">
            <v>잔금</v>
          </cell>
          <cell r="M125" t="str">
            <v>50만원 대표님 계약</v>
          </cell>
          <cell r="N125">
            <v>1280</v>
          </cell>
          <cell r="P125">
            <v>1280</v>
          </cell>
          <cell r="Q125" t="str">
            <v>done</v>
          </cell>
          <cell r="R125" t="str">
            <v>report done</v>
          </cell>
          <cell r="S125" t="str">
            <v>Auto Posh SH.P.K</v>
          </cell>
          <cell r="T125" t="str">
            <v>Auto Posh SH.P.K</v>
          </cell>
          <cell r="U125">
            <v>812219427</v>
          </cell>
          <cell r="V125" t="str">
            <v>38345560145</v>
          </cell>
          <cell r="W125" t="str">
            <v xml:space="preserve"> Rruga Jakup Lami, Pn. Greme, Feriza</v>
          </cell>
          <cell r="X125">
            <v>1422</v>
          </cell>
          <cell r="AB125">
            <v>1649</v>
          </cell>
          <cell r="AC125">
            <v>7010</v>
          </cell>
          <cell r="AD125">
            <v>1440</v>
          </cell>
          <cell r="AE125">
            <v>8450</v>
          </cell>
        </row>
        <row r="126">
          <cell r="A126">
            <v>124</v>
          </cell>
          <cell r="B126">
            <v>45940</v>
          </cell>
          <cell r="C126" t="str">
            <v>RENAULT CLIO</v>
          </cell>
          <cell r="D126" t="str">
            <v>RENAULT</v>
          </cell>
          <cell r="E126" t="str">
            <v>CLIO</v>
          </cell>
          <cell r="G126" t="str">
            <v>33조3644</v>
          </cell>
          <cell r="H126" t="str">
            <v>VF15RBJ0DJR293350</v>
          </cell>
          <cell r="I126">
            <v>45945</v>
          </cell>
          <cell r="J126" t="str">
            <v>㈜마이카</v>
          </cell>
          <cell r="L126" t="str">
            <v>잔금</v>
          </cell>
          <cell r="M126" t="str">
            <v>50만원 대표님 계약</v>
          </cell>
          <cell r="N126">
            <v>600</v>
          </cell>
          <cell r="P126">
            <v>600</v>
          </cell>
          <cell r="Q126" t="str">
            <v>done</v>
          </cell>
          <cell r="R126" t="str">
            <v>report done</v>
          </cell>
          <cell r="S126" t="str">
            <v>R.S.h L.L.C.</v>
          </cell>
          <cell r="T126" t="str">
            <v>R.Sh L.L.C.</v>
          </cell>
          <cell r="U126">
            <v>812326016</v>
          </cell>
          <cell r="V126" t="str">
            <v>+383486 611 61</v>
          </cell>
          <cell r="W126" t="str">
            <v>Kosovo</v>
          </cell>
          <cell r="X126">
            <v>1422</v>
          </cell>
          <cell r="AB126">
            <v>1649</v>
          </cell>
          <cell r="AC126">
            <v>3850</v>
          </cell>
          <cell r="AD126">
            <v>1440</v>
          </cell>
          <cell r="AE126">
            <v>5290</v>
          </cell>
          <cell r="AF126">
            <v>5290</v>
          </cell>
        </row>
        <row r="127">
          <cell r="A127">
            <v>125</v>
          </cell>
          <cell r="B127">
            <v>45940</v>
          </cell>
          <cell r="C127" t="str">
            <v>AUDI  A6 40 TDI QUATTRO</v>
          </cell>
          <cell r="D127" t="str">
            <v xml:space="preserve">AUDI </v>
          </cell>
          <cell r="E127" t="str">
            <v>A6 40 TDI QUATTRO</v>
          </cell>
          <cell r="G127" t="str">
            <v>63보0453</v>
          </cell>
          <cell r="H127" t="str">
            <v>WAUZZZ4G9GN154824</v>
          </cell>
          <cell r="I127">
            <v>45945</v>
          </cell>
          <cell r="J127" t="str">
            <v>외부- 개인 매입: 김형설</v>
          </cell>
          <cell r="L127" t="str">
            <v>잔금</v>
          </cell>
          <cell r="M127" t="str">
            <v>50만원 대표님 계약</v>
          </cell>
          <cell r="N127">
            <v>1370</v>
          </cell>
          <cell r="P127">
            <v>1370</v>
          </cell>
          <cell r="Q127" t="str">
            <v>DONE</v>
          </cell>
          <cell r="R127">
            <v>45955</v>
          </cell>
          <cell r="S127" t="str">
            <v>DONI</v>
          </cell>
          <cell r="T127" t="str">
            <v>DONI</v>
          </cell>
          <cell r="U127">
            <v>933682</v>
          </cell>
          <cell r="V127" t="str">
            <v>3 8 3 4 9 3 2 5 7 0 3</v>
          </cell>
          <cell r="W127" t="str">
            <v xml:space="preserve"> HYZRI TALLA OB 16 HY 1 NR 18
 Kosovë</v>
          </cell>
          <cell r="X127">
            <v>1422</v>
          </cell>
          <cell r="AB127">
            <v>1649</v>
          </cell>
          <cell r="AC127">
            <v>8060</v>
          </cell>
          <cell r="AD127">
            <v>1440</v>
          </cell>
          <cell r="AE127">
            <v>9500</v>
          </cell>
        </row>
        <row r="128">
          <cell r="A128">
            <v>126</v>
          </cell>
          <cell r="B128">
            <v>45942</v>
          </cell>
          <cell r="C128" t="str">
            <v xml:space="preserve">VOLKSWAGENS TIGUAN 2.0 TDI </v>
          </cell>
          <cell r="D128" t="str">
            <v>VOLKSWAGENS</v>
          </cell>
          <cell r="E128" t="str">
            <v xml:space="preserve">TIGUAN 2.0 TDI </v>
          </cell>
          <cell r="G128" t="str">
            <v>06루7687</v>
          </cell>
          <cell r="H128" t="str">
            <v>WVGZZZ5NZJW924690</v>
          </cell>
          <cell r="I128">
            <v>45947</v>
          </cell>
          <cell r="J128" t="str">
            <v>㈜다모아모터스</v>
          </cell>
          <cell r="L128" t="str">
            <v>잔금</v>
          </cell>
          <cell r="M128" t="str">
            <v>50만원 대표님 계약</v>
          </cell>
          <cell r="N128">
            <v>1800</v>
          </cell>
          <cell r="O128">
            <v>44</v>
          </cell>
          <cell r="P128">
            <v>1844</v>
          </cell>
          <cell r="Q128" t="str">
            <v>DONE</v>
          </cell>
          <cell r="R128">
            <v>45955</v>
          </cell>
          <cell r="S128" t="str">
            <v>DONI</v>
          </cell>
          <cell r="T128" t="str">
            <v>DONI</v>
          </cell>
          <cell r="U128">
            <v>933682</v>
          </cell>
          <cell r="V128" t="str">
            <v>3 8 3 4 9 3 2 5 7 0 3</v>
          </cell>
          <cell r="W128" t="str">
            <v xml:space="preserve"> HYZRI TALLA OB 16 HY 1 NR 18
 Kosovë</v>
          </cell>
          <cell r="X128">
            <v>1422</v>
          </cell>
          <cell r="AB128">
            <v>1649</v>
          </cell>
          <cell r="AC128">
            <v>10763</v>
          </cell>
          <cell r="AD128">
            <v>1527</v>
          </cell>
          <cell r="AE128">
            <v>12290</v>
          </cell>
          <cell r="AF128">
            <v>13000</v>
          </cell>
        </row>
        <row r="129">
          <cell r="A129">
            <v>127</v>
          </cell>
          <cell r="B129">
            <v>45942</v>
          </cell>
          <cell r="C129" t="str">
            <v>AUDI  A6 40 TDI QUATTRO</v>
          </cell>
          <cell r="D129" t="str">
            <v xml:space="preserve">AUDI </v>
          </cell>
          <cell r="E129" t="str">
            <v>A6 40 TDI QUATTRO</v>
          </cell>
          <cell r="G129" t="str">
            <v>198조8599</v>
          </cell>
          <cell r="H129" t="str">
            <v>WAUZZZF28PN059009</v>
          </cell>
          <cell r="I129">
            <v>45947</v>
          </cell>
          <cell r="J129" t="str">
            <v>㈜위메카</v>
          </cell>
          <cell r="L129" t="str">
            <v>잔금</v>
          </cell>
          <cell r="M129" t="str">
            <v>50만원 대표님 계약</v>
          </cell>
          <cell r="N129">
            <v>3850</v>
          </cell>
          <cell r="P129">
            <v>3850</v>
          </cell>
          <cell r="Q129" t="str">
            <v>DONE</v>
          </cell>
          <cell r="R129">
            <v>45955</v>
          </cell>
          <cell r="S129" t="str">
            <v>Auto Posh SH.P.K</v>
          </cell>
          <cell r="T129" t="str">
            <v>Auto Posh SH.P.K</v>
          </cell>
          <cell r="U129">
            <v>812219427</v>
          </cell>
          <cell r="V129" t="str">
            <v>38345560145</v>
          </cell>
          <cell r="W129" t="str">
            <v xml:space="preserve"> Rruga Jakup Lami, Pn. Greme, Feriza</v>
          </cell>
          <cell r="X129">
            <v>1422</v>
          </cell>
          <cell r="AB129">
            <v>1649</v>
          </cell>
          <cell r="AC129">
            <v>22060</v>
          </cell>
          <cell r="AD129">
            <v>1440</v>
          </cell>
          <cell r="AE129">
            <v>23500</v>
          </cell>
        </row>
        <row r="130">
          <cell r="A130">
            <v>128</v>
          </cell>
          <cell r="B130">
            <v>45943</v>
          </cell>
          <cell r="C130" t="str">
            <v>BMW M3</v>
          </cell>
          <cell r="D130" t="str">
            <v>BMW</v>
          </cell>
          <cell r="E130" t="str">
            <v>M3</v>
          </cell>
          <cell r="G130" t="str">
            <v>64모0639</v>
          </cell>
          <cell r="H130" t="str">
            <v>WBS8M9105G5D80083</v>
          </cell>
          <cell r="I130">
            <v>45950</v>
          </cell>
          <cell r="J130" t="str">
            <v>㈜카톡모터스</v>
          </cell>
          <cell r="K130" t="str">
            <v>부산</v>
          </cell>
          <cell r="L130" t="str">
            <v>잔금</v>
          </cell>
          <cell r="M130" t="str">
            <v>50만원 회사통장 나감</v>
          </cell>
          <cell r="N130">
            <v>2950</v>
          </cell>
          <cell r="P130">
            <v>2950</v>
          </cell>
          <cell r="Q130" t="str">
            <v>DONE</v>
          </cell>
          <cell r="R130">
            <v>45965</v>
          </cell>
          <cell r="S130" t="str">
            <v xml:space="preserve">DAX IMPORT 🇩🇪 </v>
          </cell>
          <cell r="T130" t="str">
            <v xml:space="preserve">Michael Karl  </v>
          </cell>
          <cell r="U130" t="str">
            <v>LF9N8WZ16</v>
          </cell>
          <cell r="V130" t="str">
            <v>‪+49 471 94189050‬</v>
          </cell>
          <cell r="W130" t="str">
            <v xml:space="preserve">Dorfstr,33C,(82024) Taufkirchen, Germany </v>
          </cell>
          <cell r="X130">
            <v>1413</v>
          </cell>
          <cell r="AB130">
            <v>1641</v>
          </cell>
          <cell r="AC130">
            <v>17350</v>
          </cell>
          <cell r="AD130">
            <v>1163</v>
          </cell>
          <cell r="AE130">
            <v>18513</v>
          </cell>
        </row>
        <row r="131">
          <cell r="A131">
            <v>129</v>
          </cell>
          <cell r="B131">
            <v>45943</v>
          </cell>
          <cell r="C131" t="str">
            <v>AUDI A6 40 TDI quattro</v>
          </cell>
          <cell r="D131" t="str">
            <v>AUDI</v>
          </cell>
          <cell r="E131" t="str">
            <v>A6 40 TDI quattro</v>
          </cell>
          <cell r="G131" t="str">
            <v>42너7074</v>
          </cell>
          <cell r="H131" t="str">
            <v>WAUZZZ4G9GN052228</v>
          </cell>
          <cell r="I131">
            <v>45945</v>
          </cell>
          <cell r="J131" t="str">
            <v>㈜골드상사</v>
          </cell>
          <cell r="L131" t="str">
            <v>잔금</v>
          </cell>
          <cell r="M131" t="str">
            <v>50만원 대표님 계약</v>
          </cell>
          <cell r="N131">
            <v>1055</v>
          </cell>
          <cell r="O131">
            <v>44</v>
          </cell>
          <cell r="P131">
            <v>1099</v>
          </cell>
          <cell r="Q131" t="str">
            <v>done</v>
          </cell>
          <cell r="R131" t="str">
            <v>report done</v>
          </cell>
          <cell r="S131" t="str">
            <v>HYSA</v>
          </cell>
          <cell r="T131" t="str">
            <v>Erjon Kusi</v>
          </cell>
          <cell r="U131" t="str">
            <v>I70707010J</v>
          </cell>
          <cell r="V131" t="str">
            <v>355 69 690 2972</v>
          </cell>
          <cell r="W131" t="str">
            <v>Albania</v>
          </cell>
          <cell r="X131">
            <v>1413</v>
          </cell>
          <cell r="AB131">
            <v>1641</v>
          </cell>
          <cell r="AC131">
            <v>6470</v>
          </cell>
          <cell r="AD131">
            <v>1440</v>
          </cell>
          <cell r="AE131">
            <v>7910</v>
          </cell>
          <cell r="AF131">
            <v>9200</v>
          </cell>
        </row>
        <row r="132">
          <cell r="A132">
            <v>130</v>
          </cell>
          <cell r="B132">
            <v>45943</v>
          </cell>
          <cell r="C132" t="str">
            <v>HYUNDAI TUCSON</v>
          </cell>
          <cell r="D132" t="str">
            <v>HYUNDAI</v>
          </cell>
          <cell r="E132" t="str">
            <v>TUCSON</v>
          </cell>
          <cell r="G132" t="str">
            <v>28오3851</v>
          </cell>
          <cell r="H132" t="str">
            <v>KMHJ2815GHU341468</v>
          </cell>
          <cell r="I132">
            <v>45947</v>
          </cell>
          <cell r="J132" t="str">
            <v>㈜좋은차</v>
          </cell>
          <cell r="L132" t="str">
            <v>잔금</v>
          </cell>
          <cell r="M132" t="str">
            <v>50만원 대표님 계약</v>
          </cell>
          <cell r="N132">
            <v>894</v>
          </cell>
          <cell r="P132">
            <v>894</v>
          </cell>
          <cell r="Q132" t="str">
            <v>DONE</v>
          </cell>
          <cell r="R132">
            <v>45955</v>
          </cell>
          <cell r="S132" t="str">
            <v>CALJA</v>
          </cell>
          <cell r="T132" t="str">
            <v>Calja</v>
          </cell>
          <cell r="U132" t="str">
            <v>M43323203V</v>
          </cell>
          <cell r="V132" t="str">
            <v>355 69 550 5533</v>
          </cell>
          <cell r="W132" t="str">
            <v>Albania</v>
          </cell>
          <cell r="X132">
            <v>1413</v>
          </cell>
          <cell r="AB132">
            <v>1641</v>
          </cell>
          <cell r="AC132">
            <v>5326</v>
          </cell>
          <cell r="AD132">
            <v>1524</v>
          </cell>
          <cell r="AE132">
            <v>6850</v>
          </cell>
        </row>
        <row r="133">
          <cell r="A133">
            <v>131</v>
          </cell>
          <cell r="B133">
            <v>45944</v>
          </cell>
          <cell r="C133" t="str">
            <v>HYUNDAI SONATA</v>
          </cell>
          <cell r="D133" t="str">
            <v>HYUNDAI</v>
          </cell>
          <cell r="E133" t="str">
            <v>SONATA</v>
          </cell>
          <cell r="G133" t="str">
            <v>61서2189</v>
          </cell>
          <cell r="H133" t="str">
            <v>KMHE341DBFA008040</v>
          </cell>
          <cell r="I133">
            <v>45950</v>
          </cell>
          <cell r="J133" t="str">
            <v>㈜신드롬모터스</v>
          </cell>
          <cell r="K133" t="str">
            <v>수원</v>
          </cell>
          <cell r="L133" t="str">
            <v>잔금</v>
          </cell>
          <cell r="M133" t="str">
            <v>50만원 회사통장 나감</v>
          </cell>
          <cell r="N133">
            <v>530</v>
          </cell>
          <cell r="P133">
            <v>530</v>
          </cell>
          <cell r="Q133" t="str">
            <v>DONE</v>
          </cell>
          <cell r="R133">
            <v>45955</v>
          </cell>
          <cell r="S133" t="str">
            <v>CALJA</v>
          </cell>
          <cell r="T133" t="str">
            <v>Renato Boja</v>
          </cell>
          <cell r="U133" t="str">
            <v>J00604026R</v>
          </cell>
          <cell r="V133" t="str">
            <v>355 69 550 5533</v>
          </cell>
          <cell r="W133" t="str">
            <v>Albania</v>
          </cell>
          <cell r="X133">
            <v>1415</v>
          </cell>
          <cell r="AB133">
            <v>1639</v>
          </cell>
          <cell r="AC133">
            <v>3293</v>
          </cell>
          <cell r="AD133">
            <v>1442</v>
          </cell>
          <cell r="AE133">
            <v>4735</v>
          </cell>
          <cell r="AF133">
            <v>5335</v>
          </cell>
        </row>
        <row r="134">
          <cell r="A134">
            <v>132</v>
          </cell>
          <cell r="B134">
            <v>45944</v>
          </cell>
          <cell r="C134" t="str">
            <v>BENZ GLK 220 CDI</v>
          </cell>
          <cell r="D134" t="str">
            <v>BENZ</v>
          </cell>
          <cell r="E134" t="str">
            <v>GLK 220 CDI</v>
          </cell>
          <cell r="F134">
            <v>2014</v>
          </cell>
          <cell r="G134" t="str">
            <v>130너2900</v>
          </cell>
          <cell r="H134" t="str">
            <v>WDCGG8EB1EG299185</v>
          </cell>
          <cell r="I134">
            <v>45947</v>
          </cell>
          <cell r="J134" t="str">
            <v>㈜조이카모터스자동차매매상사</v>
          </cell>
          <cell r="L134" t="str">
            <v>잔금</v>
          </cell>
          <cell r="M134" t="str">
            <v>50만원 대표님 계약</v>
          </cell>
          <cell r="N134">
            <v>1030</v>
          </cell>
          <cell r="O134">
            <v>50</v>
          </cell>
          <cell r="P134">
            <v>1080</v>
          </cell>
          <cell r="Q134" t="str">
            <v>DONE</v>
          </cell>
          <cell r="R134">
            <v>45955</v>
          </cell>
          <cell r="S134" t="str">
            <v>CALJA</v>
          </cell>
          <cell r="T134" t="str">
            <v>Anxhela Beko</v>
          </cell>
          <cell r="U134" t="str">
            <v>K16027055D</v>
          </cell>
          <cell r="V134" t="str">
            <v>355 69 550 5533</v>
          </cell>
          <cell r="W134" t="str">
            <v>Albania</v>
          </cell>
          <cell r="X134">
            <v>1415</v>
          </cell>
          <cell r="AB134">
            <v>1639</v>
          </cell>
          <cell r="AC134">
            <v>6353</v>
          </cell>
          <cell r="AD134">
            <v>1527</v>
          </cell>
          <cell r="AE134">
            <v>7880</v>
          </cell>
          <cell r="AF134">
            <v>8480</v>
          </cell>
        </row>
        <row r="135">
          <cell r="A135">
            <v>133</v>
          </cell>
          <cell r="B135">
            <v>45944</v>
          </cell>
          <cell r="C135" t="str">
            <v>BMW X6 M50d</v>
          </cell>
          <cell r="D135" t="str">
            <v>BMW</v>
          </cell>
          <cell r="E135" t="str">
            <v>X6 M50d</v>
          </cell>
          <cell r="F135">
            <v>2020</v>
          </cell>
          <cell r="G135" t="str">
            <v>164라4725</v>
          </cell>
          <cell r="H135" t="str">
            <v>WBAGT2106L9D36395</v>
          </cell>
          <cell r="I135">
            <v>45950</v>
          </cell>
          <cell r="J135" t="str">
            <v>㈜ 더오토프라임</v>
          </cell>
          <cell r="K135" t="str">
            <v>서울</v>
          </cell>
          <cell r="L135" t="str">
            <v>잔금</v>
          </cell>
          <cell r="M135" t="str">
            <v>50만원 대표님 계약</v>
          </cell>
          <cell r="N135">
            <v>6664</v>
          </cell>
          <cell r="P135">
            <v>6664</v>
          </cell>
          <cell r="Q135" t="str">
            <v>DONE</v>
          </cell>
          <cell r="R135">
            <v>45955</v>
          </cell>
          <cell r="S135" t="str">
            <v>R.S.h L.L.C.</v>
          </cell>
          <cell r="T135" t="str">
            <v>R.Sh L.L.C.</v>
          </cell>
          <cell r="U135">
            <v>812326016</v>
          </cell>
          <cell r="V135" t="str">
            <v>+383486 611 61</v>
          </cell>
          <cell r="W135" t="str">
            <v>Kosovo</v>
          </cell>
          <cell r="X135">
            <v>1415</v>
          </cell>
          <cell r="AB135">
            <v>1639</v>
          </cell>
          <cell r="AC135">
            <v>38885</v>
          </cell>
          <cell r="AD135">
            <v>1615</v>
          </cell>
          <cell r="AE135">
            <v>40500</v>
          </cell>
        </row>
        <row r="136">
          <cell r="A136">
            <v>134</v>
          </cell>
          <cell r="B136">
            <v>45945</v>
          </cell>
          <cell r="C136" t="str">
            <v>VOLKSWAGENS GOLF 2.0 TDI</v>
          </cell>
          <cell r="D136" t="str">
            <v>VOLKSWAGENS</v>
          </cell>
          <cell r="E136" t="str">
            <v>GOLF 2.0 TDI</v>
          </cell>
          <cell r="F136">
            <v>2022</v>
          </cell>
          <cell r="G136" t="str">
            <v>390루4170</v>
          </cell>
          <cell r="H136" t="str">
            <v>WVWZZZCDZNW121750</v>
          </cell>
          <cell r="I136">
            <v>45950</v>
          </cell>
          <cell r="J136" t="str">
            <v>㈜마이카2</v>
          </cell>
          <cell r="K136" t="str">
            <v>부산</v>
          </cell>
          <cell r="L136" t="str">
            <v>잔금</v>
          </cell>
          <cell r="M136" t="str">
            <v>50만원 회사통장 나감</v>
          </cell>
          <cell r="N136">
            <v>2550</v>
          </cell>
          <cell r="P136">
            <v>2550</v>
          </cell>
          <cell r="Q136" t="str">
            <v>DONE</v>
          </cell>
          <cell r="R136">
            <v>45955</v>
          </cell>
          <cell r="S136" t="str">
            <v>Auto Posh SH.P.K</v>
          </cell>
          <cell r="T136" t="str">
            <v>Auto Posh SH.P.K</v>
          </cell>
          <cell r="U136">
            <v>812219427</v>
          </cell>
          <cell r="V136" t="str">
            <v>38345560145</v>
          </cell>
          <cell r="W136" t="str">
            <v xml:space="preserve"> Rruga Jakup Lami, Pn. Greme, Feriza</v>
          </cell>
          <cell r="X136">
            <v>1417</v>
          </cell>
          <cell r="AB136">
            <v>1643</v>
          </cell>
          <cell r="AC136">
            <v>14910</v>
          </cell>
          <cell r="AD136">
            <v>1440</v>
          </cell>
          <cell r="AE136">
            <v>16350</v>
          </cell>
        </row>
        <row r="137">
          <cell r="A137">
            <v>135</v>
          </cell>
          <cell r="B137">
            <v>45946</v>
          </cell>
          <cell r="C137" t="str">
            <v>AUDI SQ5</v>
          </cell>
          <cell r="D137" t="str">
            <v>AUDI</v>
          </cell>
          <cell r="E137" t="str">
            <v>SQ5</v>
          </cell>
          <cell r="F137">
            <v>2014</v>
          </cell>
          <cell r="G137" t="str">
            <v>25무4028</v>
          </cell>
          <cell r="H137" t="str">
            <v>WAUZZZ8R8EA131180</v>
          </cell>
          <cell r="I137">
            <v>45952</v>
          </cell>
          <cell r="J137" t="str">
            <v>(주)전진</v>
          </cell>
          <cell r="K137" t="str">
            <v>서울</v>
          </cell>
          <cell r="L137" t="str">
            <v>잔금</v>
          </cell>
          <cell r="M137" t="str">
            <v>50만원 대표님 계약</v>
          </cell>
          <cell r="N137">
            <v>2090</v>
          </cell>
          <cell r="O137">
            <v>44</v>
          </cell>
          <cell r="P137">
            <v>2134</v>
          </cell>
          <cell r="Q137" t="str">
            <v>DONE</v>
          </cell>
          <cell r="R137">
            <v>45955</v>
          </cell>
          <cell r="S137" t="str">
            <v>REDON</v>
          </cell>
          <cell r="T137" t="str">
            <v>Qazim Cala</v>
          </cell>
          <cell r="U137" t="str">
            <v>J71111007R</v>
          </cell>
          <cell r="V137" t="str">
            <v>389 636 5672</v>
          </cell>
          <cell r="W137" t="str">
            <v>Albania</v>
          </cell>
          <cell r="X137">
            <v>1404</v>
          </cell>
          <cell r="AB137">
            <v>1638</v>
          </cell>
          <cell r="AC137">
            <v>12383</v>
          </cell>
          <cell r="AD137">
            <v>1517</v>
          </cell>
          <cell r="AE137">
            <v>13900</v>
          </cell>
        </row>
        <row r="138">
          <cell r="A138">
            <v>136</v>
          </cell>
          <cell r="B138">
            <v>45946</v>
          </cell>
          <cell r="C138" t="str">
            <v xml:space="preserve">BMW 520D </v>
          </cell>
          <cell r="D138" t="str">
            <v>BMW</v>
          </cell>
          <cell r="E138" t="str">
            <v xml:space="preserve">520D </v>
          </cell>
          <cell r="F138">
            <v>2017</v>
          </cell>
          <cell r="G138" t="str">
            <v>360구9479</v>
          </cell>
          <cell r="H138" t="str">
            <v>WBAJC3101HWB59923</v>
          </cell>
          <cell r="I138">
            <v>45951</v>
          </cell>
          <cell r="J138" t="str">
            <v>㈜카메이트</v>
          </cell>
          <cell r="K138" t="str">
            <v>수원</v>
          </cell>
          <cell r="L138" t="str">
            <v>잔금</v>
          </cell>
          <cell r="M138" t="str">
            <v>50만원 회사통장 나감</v>
          </cell>
          <cell r="N138">
            <v>2010</v>
          </cell>
          <cell r="P138">
            <v>2010</v>
          </cell>
          <cell r="Q138" t="str">
            <v>DONE</v>
          </cell>
          <cell r="R138">
            <v>45955</v>
          </cell>
          <cell r="S138" t="str">
            <v>VILLA KOHA</v>
          </cell>
          <cell r="T138" t="str">
            <v>VILLA KOHA SH.P.K</v>
          </cell>
          <cell r="U138">
            <v>810039588</v>
          </cell>
          <cell r="V138" t="str">
            <v>383 49247777</v>
          </cell>
          <cell r="W138" t="str">
            <v>KOSOVO</v>
          </cell>
          <cell r="X138">
            <v>1404</v>
          </cell>
          <cell r="AB138">
            <v>1638</v>
          </cell>
          <cell r="AC138">
            <v>11728</v>
          </cell>
          <cell r="AD138">
            <v>1432</v>
          </cell>
          <cell r="AE138">
            <v>13160</v>
          </cell>
          <cell r="AF138" t="str">
            <v>11550/1610</v>
          </cell>
        </row>
        <row r="139">
          <cell r="A139">
            <v>137</v>
          </cell>
          <cell r="B139">
            <v>45944</v>
          </cell>
          <cell r="C139" t="str">
            <v>Peugeot  2008</v>
          </cell>
          <cell r="D139" t="str">
            <v xml:space="preserve">Peugeot </v>
          </cell>
          <cell r="E139">
            <v>2008</v>
          </cell>
          <cell r="F139">
            <v>2016</v>
          </cell>
          <cell r="G139" t="str">
            <v>20수0541</v>
          </cell>
          <cell r="H139" t="str">
            <v>VF3CU9HP8GY001539</v>
          </cell>
          <cell r="J139" t="str">
            <v>경매장 -헤이딜러</v>
          </cell>
          <cell r="L139" t="str">
            <v>잔금</v>
          </cell>
          <cell r="N139">
            <v>450</v>
          </cell>
          <cell r="O139">
            <v>32</v>
          </cell>
          <cell r="P139">
            <v>482</v>
          </cell>
          <cell r="Q139" t="str">
            <v>DONE</v>
          </cell>
          <cell r="R139">
            <v>45961</v>
          </cell>
          <cell r="S139" t="str">
            <v>R.S.h L.L.C.</v>
          </cell>
          <cell r="T139" t="str">
            <v>R.Sh L.L.C.</v>
          </cell>
          <cell r="U139">
            <v>812326016</v>
          </cell>
          <cell r="V139" t="str">
            <v>+383486 611 61</v>
          </cell>
          <cell r="W139" t="str">
            <v>Kosovo</v>
          </cell>
          <cell r="X139">
            <v>1415</v>
          </cell>
          <cell r="AB139">
            <v>1639</v>
          </cell>
          <cell r="AC139">
            <v>2908</v>
          </cell>
          <cell r="AD139">
            <v>1442</v>
          </cell>
          <cell r="AE139">
            <v>4350</v>
          </cell>
          <cell r="AF139">
            <v>850</v>
          </cell>
        </row>
        <row r="140">
          <cell r="A140">
            <v>138</v>
          </cell>
          <cell r="B140">
            <v>45947</v>
          </cell>
          <cell r="C140" t="str">
            <v>AUDI Q3 Sportback 35 TDI</v>
          </cell>
          <cell r="D140" t="str">
            <v>AUDI</v>
          </cell>
          <cell r="E140" t="str">
            <v>Q3 Sportback 35 TDI</v>
          </cell>
          <cell r="F140">
            <v>2020</v>
          </cell>
          <cell r="G140" t="str">
            <v>174조3563</v>
          </cell>
          <cell r="H140" t="str">
            <v>WAUZZZF35L1111741</v>
          </cell>
          <cell r="I140">
            <v>45951</v>
          </cell>
          <cell r="J140" t="str">
            <v>(주)태안 태안모터스</v>
          </cell>
          <cell r="K140" t="str">
            <v>서울</v>
          </cell>
          <cell r="L140" t="str">
            <v>잔금</v>
          </cell>
          <cell r="M140" t="str">
            <v>100만원 회사통장 나감</v>
          </cell>
          <cell r="N140">
            <v>3200</v>
          </cell>
          <cell r="P140">
            <v>3200</v>
          </cell>
          <cell r="Q140" t="str">
            <v>DONE</v>
          </cell>
          <cell r="R140">
            <v>45955</v>
          </cell>
          <cell r="S140" t="str">
            <v>R.S.h L.L.C.</v>
          </cell>
          <cell r="T140" t="str">
            <v>R.Sh L.L.C.</v>
          </cell>
          <cell r="U140">
            <v>812326016</v>
          </cell>
          <cell r="V140" t="str">
            <v>+383486 611 61</v>
          </cell>
          <cell r="W140" t="str">
            <v>Kosovo</v>
          </cell>
          <cell r="X140">
            <v>1404</v>
          </cell>
          <cell r="AB140">
            <v>1643</v>
          </cell>
          <cell r="AC140">
            <v>18918</v>
          </cell>
          <cell r="AD140">
            <v>1512</v>
          </cell>
          <cell r="AE140">
            <v>20430</v>
          </cell>
        </row>
        <row r="141">
          <cell r="A141">
            <v>139</v>
          </cell>
          <cell r="B141">
            <v>45945</v>
          </cell>
          <cell r="C141" t="str">
            <v>VOLKSWAGENS TIGUAN 2.0 TDI</v>
          </cell>
          <cell r="D141" t="str">
            <v>VOLKSWAGENS</v>
          </cell>
          <cell r="E141" t="str">
            <v>TIGUAN 2.0 TDI</v>
          </cell>
          <cell r="F141">
            <v>2020</v>
          </cell>
          <cell r="G141" t="str">
            <v>179도6534</v>
          </cell>
          <cell r="H141" t="str">
            <v>WVGZZZ5NZLW850388</v>
          </cell>
          <cell r="I141">
            <v>45950</v>
          </cell>
          <cell r="J141" t="str">
            <v>(주)애니원모터스</v>
          </cell>
          <cell r="K141" t="str">
            <v>수원</v>
          </cell>
          <cell r="L141" t="str">
            <v>잔금</v>
          </cell>
          <cell r="M141" t="str">
            <v>50만원 대표님 계약</v>
          </cell>
          <cell r="N141">
            <v>2140</v>
          </cell>
          <cell r="O141">
            <v>45</v>
          </cell>
          <cell r="P141">
            <v>2185</v>
          </cell>
          <cell r="Q141" t="str">
            <v>DONE</v>
          </cell>
          <cell r="R141">
            <v>45955</v>
          </cell>
          <cell r="S141" t="str">
            <v>DONI</v>
          </cell>
          <cell r="T141" t="str">
            <v>DONI</v>
          </cell>
          <cell r="U141">
            <v>933682</v>
          </cell>
          <cell r="V141" t="str">
            <v>3 8 3 4 9 3 2 5 7 0 3</v>
          </cell>
          <cell r="W141" t="str">
            <v xml:space="preserve"> HYZRI TALLA OB 16 HY 1 NR 18
 Kosovë</v>
          </cell>
          <cell r="X141">
            <v>1417</v>
          </cell>
          <cell r="AB141">
            <v>1643</v>
          </cell>
          <cell r="AC141">
            <v>12703</v>
          </cell>
          <cell r="AD141">
            <v>1527</v>
          </cell>
          <cell r="AE141">
            <v>14230</v>
          </cell>
          <cell r="AF141">
            <v>15000</v>
          </cell>
        </row>
        <row r="142">
          <cell r="A142">
            <v>140</v>
          </cell>
          <cell r="B142">
            <v>45947</v>
          </cell>
          <cell r="C142" t="str">
            <v>BENZ E220 d</v>
          </cell>
          <cell r="D142" t="str">
            <v>BENZ</v>
          </cell>
          <cell r="E142" t="str">
            <v>E220 d</v>
          </cell>
          <cell r="F142">
            <v>2017</v>
          </cell>
          <cell r="G142" t="str">
            <v>106조2634</v>
          </cell>
          <cell r="H142" t="str">
            <v xml:space="preserve">WDDZF0EB9HA054781 </v>
          </cell>
          <cell r="I142">
            <v>45951</v>
          </cell>
          <cell r="J142" t="str">
            <v>㈜리원</v>
          </cell>
          <cell r="K142" t="str">
            <v>천안</v>
          </cell>
          <cell r="L142" t="str">
            <v>잔금</v>
          </cell>
          <cell r="M142" t="str">
            <v>50만원 회사통장 나감</v>
          </cell>
          <cell r="N142">
            <v>1900</v>
          </cell>
          <cell r="P142">
            <v>1900</v>
          </cell>
          <cell r="Q142" t="str">
            <v>DONE</v>
          </cell>
          <cell r="R142">
            <v>45955</v>
          </cell>
          <cell r="S142" t="str">
            <v>CALJA</v>
          </cell>
          <cell r="T142" t="str">
            <v>Xhoan Sina</v>
          </cell>
          <cell r="U142" t="str">
            <v>J20824013C</v>
          </cell>
          <cell r="V142" t="str">
            <v>355 69 550 5533</v>
          </cell>
          <cell r="W142" t="str">
            <v>Albania</v>
          </cell>
          <cell r="X142">
            <v>1404</v>
          </cell>
          <cell r="AB142">
            <v>1643</v>
          </cell>
          <cell r="AC142">
            <v>11063</v>
          </cell>
          <cell r="AD142">
            <v>1427</v>
          </cell>
          <cell r="AE142">
            <v>12490</v>
          </cell>
          <cell r="AF142">
            <v>13700</v>
          </cell>
        </row>
        <row r="143">
          <cell r="A143">
            <v>141</v>
          </cell>
          <cell r="B143">
            <v>45947</v>
          </cell>
          <cell r="C143" t="str">
            <v>Peugeot  2008 1.6 e-Hdi</v>
          </cell>
          <cell r="D143" t="str">
            <v xml:space="preserve">Peugeot </v>
          </cell>
          <cell r="E143" t="str">
            <v>2008 1.6 e-Hdi</v>
          </cell>
          <cell r="F143">
            <v>2015</v>
          </cell>
          <cell r="G143" t="str">
            <v>11서8483</v>
          </cell>
          <cell r="H143" t="str">
            <v xml:space="preserve">VF3CU9HP8FY003733 </v>
          </cell>
          <cell r="I143">
            <v>45952</v>
          </cell>
          <cell r="J143" t="str">
            <v>㈜ 코리아모터스</v>
          </cell>
          <cell r="K143" t="str">
            <v>수원</v>
          </cell>
          <cell r="L143" t="str">
            <v>잔금</v>
          </cell>
          <cell r="M143" t="str">
            <v>50만원 회사통장 나감</v>
          </cell>
          <cell r="N143">
            <v>480</v>
          </cell>
          <cell r="P143">
            <v>480</v>
          </cell>
          <cell r="Q143" t="str">
            <v>DONE</v>
          </cell>
          <cell r="R143">
            <v>45955</v>
          </cell>
          <cell r="S143" t="str">
            <v>R.S.h L.L.C.</v>
          </cell>
          <cell r="T143" t="str">
            <v>R.Sh L.L.C.</v>
          </cell>
          <cell r="U143">
            <v>812326016</v>
          </cell>
          <cell r="V143" t="str">
            <v>+383486 611 61</v>
          </cell>
          <cell r="W143" t="str">
            <v>Kosovo</v>
          </cell>
          <cell r="X143">
            <v>1415</v>
          </cell>
          <cell r="AB143">
            <v>1639</v>
          </cell>
          <cell r="AC143">
            <v>2908</v>
          </cell>
          <cell r="AD143">
            <v>1442</v>
          </cell>
          <cell r="AE143">
            <v>4350</v>
          </cell>
        </row>
        <row r="144">
          <cell r="A144">
            <v>142</v>
          </cell>
          <cell r="B144">
            <v>45947</v>
          </cell>
          <cell r="C144" t="str">
            <v>VOLKSWAGENS TOUAREG 3.0 TDI</v>
          </cell>
          <cell r="D144" t="str">
            <v>VOLKSWAGENS</v>
          </cell>
          <cell r="E144" t="str">
            <v>TOUAREG 3.0 TDI</v>
          </cell>
          <cell r="F144">
            <v>2021</v>
          </cell>
          <cell r="G144" t="str">
            <v>108보6840</v>
          </cell>
          <cell r="H144" t="str">
            <v>WVGZZZCRZMD005520</v>
          </cell>
          <cell r="I144">
            <v>45952</v>
          </cell>
          <cell r="J144" t="str">
            <v>(주)에이엠지모터스</v>
          </cell>
          <cell r="K144" t="str">
            <v>인천</v>
          </cell>
          <cell r="L144" t="str">
            <v>잔금</v>
          </cell>
          <cell r="M144" t="str">
            <v>50만원 대표님 계약</v>
          </cell>
          <cell r="N144">
            <v>4350</v>
          </cell>
          <cell r="P144">
            <v>4350</v>
          </cell>
          <cell r="Q144" t="str">
            <v>DONE</v>
          </cell>
          <cell r="R144">
            <v>45955</v>
          </cell>
          <cell r="S144" t="str">
            <v>R.S.h L.L.C.</v>
          </cell>
          <cell r="T144" t="str">
            <v>R.Sh L.L.C.</v>
          </cell>
          <cell r="U144">
            <v>812326016</v>
          </cell>
          <cell r="V144" t="str">
            <v>+383486 611 61</v>
          </cell>
          <cell r="W144" t="str">
            <v>Kosovo</v>
          </cell>
          <cell r="X144">
            <v>1404</v>
          </cell>
          <cell r="AB144">
            <v>1643</v>
          </cell>
          <cell r="AC144">
            <v>25288</v>
          </cell>
          <cell r="AD144">
            <v>1512</v>
          </cell>
          <cell r="AE144">
            <v>26800</v>
          </cell>
          <cell r="AF144">
            <v>25000</v>
          </cell>
        </row>
        <row r="145">
          <cell r="A145">
            <v>143</v>
          </cell>
          <cell r="B145">
            <v>45947</v>
          </cell>
          <cell r="C145" t="str">
            <v>BENZ E350 BLUETEC 4MATIC</v>
          </cell>
          <cell r="D145" t="str">
            <v>BENZ</v>
          </cell>
          <cell r="E145" t="str">
            <v>E350 BLUETEC 4MATIC</v>
          </cell>
          <cell r="F145">
            <v>2016</v>
          </cell>
          <cell r="G145" t="str">
            <v>37라0729</v>
          </cell>
          <cell r="H145" t="str">
            <v>WDDHF9EB1GB251288</v>
          </cell>
          <cell r="I145">
            <v>45953</v>
          </cell>
          <cell r="J145" t="str">
            <v>(주)제이원모터스</v>
          </cell>
          <cell r="L145" t="str">
            <v>잔금</v>
          </cell>
          <cell r="M145" t="str">
            <v>50만원 대표님 계약</v>
          </cell>
          <cell r="N145">
            <v>1254</v>
          </cell>
          <cell r="P145">
            <v>1254</v>
          </cell>
          <cell r="Q145" t="str">
            <v>DONE</v>
          </cell>
          <cell r="R145">
            <v>45955</v>
          </cell>
          <cell r="S145" t="str">
            <v>CALJA</v>
          </cell>
          <cell r="T145" t="str">
            <v>Calja</v>
          </cell>
          <cell r="U145" t="str">
            <v>M43323203V</v>
          </cell>
          <cell r="V145" t="str">
            <v>355 69 550 5533</v>
          </cell>
          <cell r="W145" t="str">
            <v>Albania</v>
          </cell>
          <cell r="X145">
            <v>1404</v>
          </cell>
          <cell r="AB145">
            <v>1643</v>
          </cell>
          <cell r="AC145">
            <v>7313</v>
          </cell>
          <cell r="AD145">
            <v>1427</v>
          </cell>
          <cell r="AE145">
            <v>8740</v>
          </cell>
          <cell r="AF145" t="str">
            <v>CONFIRM</v>
          </cell>
        </row>
        <row r="146">
          <cell r="A146">
            <v>144</v>
          </cell>
          <cell r="B146">
            <v>45947</v>
          </cell>
          <cell r="C146" t="str">
            <v>JAGUAR  XE</v>
          </cell>
          <cell r="D146" t="str">
            <v>JAGUAR</v>
          </cell>
          <cell r="E146" t="str">
            <v xml:space="preserve"> XE</v>
          </cell>
          <cell r="F146">
            <v>2016</v>
          </cell>
          <cell r="G146" t="str">
            <v>54어0405</v>
          </cell>
          <cell r="H146" t="str">
            <v>SAJAB4BN8GA926313</v>
          </cell>
          <cell r="I146">
            <v>45954</v>
          </cell>
          <cell r="J146" t="str">
            <v>(주)뉴카카</v>
          </cell>
          <cell r="L146" t="str">
            <v>잔금</v>
          </cell>
          <cell r="M146" t="str">
            <v>50만원 대표님 계약</v>
          </cell>
          <cell r="N146">
            <v>720</v>
          </cell>
          <cell r="P146">
            <v>720</v>
          </cell>
          <cell r="Q146" t="str">
            <v>DONE</v>
          </cell>
          <cell r="R146">
            <v>45961</v>
          </cell>
          <cell r="S146" t="str">
            <v>R.S.h L.L.C.</v>
          </cell>
          <cell r="T146" t="str">
            <v>R.Sh L.L.C.</v>
          </cell>
          <cell r="U146">
            <v>812326016</v>
          </cell>
          <cell r="V146" t="str">
            <v>+383486 611 61</v>
          </cell>
          <cell r="W146" t="str">
            <v>Kosovo</v>
          </cell>
          <cell r="X146">
            <v>1404</v>
          </cell>
          <cell r="AB146">
            <v>1643</v>
          </cell>
          <cell r="AC146">
            <v>4353</v>
          </cell>
          <cell r="AD146">
            <v>1427</v>
          </cell>
          <cell r="AE146">
            <v>5780</v>
          </cell>
        </row>
        <row r="147">
          <cell r="A147">
            <v>145</v>
          </cell>
          <cell r="B147">
            <v>45947</v>
          </cell>
          <cell r="C147" t="str">
            <v>AUDI S5 3.0 TFSI quattro</v>
          </cell>
          <cell r="D147" t="str">
            <v>AUDI</v>
          </cell>
          <cell r="E147" t="str">
            <v>S5 3.0 TFSI quattro</v>
          </cell>
          <cell r="F147">
            <v>2013</v>
          </cell>
          <cell r="G147" t="str">
            <v>37모3655</v>
          </cell>
          <cell r="H147" t="str">
            <v>WAUZZZ8T4DA000628</v>
          </cell>
          <cell r="I147">
            <v>45954</v>
          </cell>
          <cell r="J147" t="str">
            <v>(주) BULL 모터스</v>
          </cell>
          <cell r="L147" t="str">
            <v>잔금</v>
          </cell>
          <cell r="M147" t="str">
            <v>50만원 대표님 계약</v>
          </cell>
          <cell r="N147">
            <v>1114</v>
          </cell>
          <cell r="P147">
            <v>1114</v>
          </cell>
          <cell r="Q147" t="str">
            <v>DONE</v>
          </cell>
          <cell r="R147">
            <v>45965</v>
          </cell>
          <cell r="S147" t="str">
            <v xml:space="preserve">DAX IMPORT 🇩🇪 </v>
          </cell>
          <cell r="T147" t="str">
            <v xml:space="preserve">Michael Karl  </v>
          </cell>
          <cell r="U147" t="str">
            <v>LF9N8WZ16</v>
          </cell>
          <cell r="V147" t="str">
            <v>‪+49 471 94189050‬</v>
          </cell>
          <cell r="W147" t="str">
            <v xml:space="preserve">Dorfstr,33C,(82024) Taufkirchen, Germany </v>
          </cell>
          <cell r="X147">
            <v>1404</v>
          </cell>
          <cell r="AB147">
            <v>1643</v>
          </cell>
          <cell r="AC147">
            <v>6750</v>
          </cell>
          <cell r="AD147">
            <v>1153</v>
          </cell>
          <cell r="AE147">
            <v>7903</v>
          </cell>
        </row>
        <row r="148">
          <cell r="A148">
            <v>146</v>
          </cell>
          <cell r="B148">
            <v>45948</v>
          </cell>
          <cell r="C148" t="str">
            <v>AUDI A4 35 TDI</v>
          </cell>
          <cell r="D148" t="str">
            <v>AUDI</v>
          </cell>
          <cell r="E148" t="str">
            <v>A4 35 TDI</v>
          </cell>
          <cell r="F148">
            <v>2021</v>
          </cell>
          <cell r="G148" t="str">
            <v>142고7152</v>
          </cell>
          <cell r="H148" t="str">
            <v>WAUZZZF42MN001149</v>
          </cell>
          <cell r="I148">
            <v>45953</v>
          </cell>
          <cell r="J148" t="str">
            <v>㈜살카팔카청주오토월드점</v>
          </cell>
          <cell r="L148" t="str">
            <v>잔금</v>
          </cell>
          <cell r="M148" t="str">
            <v>50만원 대표님 계약</v>
          </cell>
          <cell r="N148">
            <v>2550</v>
          </cell>
          <cell r="P148">
            <v>2550</v>
          </cell>
          <cell r="Q148" t="str">
            <v>DONE</v>
          </cell>
          <cell r="R148">
            <v>45955</v>
          </cell>
          <cell r="S148" t="str">
            <v>Auto Posh SH.P.K</v>
          </cell>
          <cell r="T148" t="str">
            <v>Auto Posh SH.P.K</v>
          </cell>
          <cell r="U148">
            <v>812219427</v>
          </cell>
          <cell r="V148" t="str">
            <v>38345560145</v>
          </cell>
          <cell r="W148" t="str">
            <v xml:space="preserve"> Rruga Jakup Lami, Pn. Greme, Feriza</v>
          </cell>
          <cell r="X148">
            <v>1410</v>
          </cell>
          <cell r="AB148">
            <v>1643</v>
          </cell>
          <cell r="AC148">
            <v>14667</v>
          </cell>
          <cell r="AD148">
            <v>1433</v>
          </cell>
          <cell r="AE148">
            <v>16100</v>
          </cell>
          <cell r="AF148">
            <v>-500</v>
          </cell>
        </row>
        <row r="149">
          <cell r="A149">
            <v>147</v>
          </cell>
          <cell r="B149">
            <v>45948</v>
          </cell>
          <cell r="C149" t="str">
            <v>AUDI A7 50 TDI quattro</v>
          </cell>
          <cell r="D149" t="str">
            <v>AUDI</v>
          </cell>
          <cell r="E149" t="str">
            <v>A7 50 TDI quattro</v>
          </cell>
          <cell r="F149">
            <v>2016</v>
          </cell>
          <cell r="G149" t="str">
            <v>59도5046</v>
          </cell>
          <cell r="H149" t="str">
            <v>WAUZZZ4G6GN013712</v>
          </cell>
          <cell r="I149">
            <v>45954</v>
          </cell>
          <cell r="J149" t="str">
            <v>개인- 이승호</v>
          </cell>
          <cell r="K149" t="str">
            <v>대구</v>
          </cell>
          <cell r="L149" t="str">
            <v>잔금</v>
          </cell>
          <cell r="M149" t="str">
            <v>50만원 대표님 계약</v>
          </cell>
          <cell r="N149">
            <v>1950</v>
          </cell>
          <cell r="P149">
            <v>1950</v>
          </cell>
          <cell r="Q149" t="str">
            <v>DONE</v>
          </cell>
          <cell r="R149">
            <v>45961</v>
          </cell>
          <cell r="S149" t="str">
            <v>RIZA</v>
          </cell>
          <cell r="T149" t="str">
            <v>Riza Qosja</v>
          </cell>
          <cell r="U149" t="str">
            <v>M33304205K</v>
          </cell>
          <cell r="V149" t="str">
            <v>355 682769063</v>
          </cell>
          <cell r="W149" t="str">
            <v>Albania</v>
          </cell>
          <cell r="X149">
            <v>1410</v>
          </cell>
          <cell r="AB149">
            <v>1643</v>
          </cell>
          <cell r="AC149">
            <v>11347</v>
          </cell>
          <cell r="AD149">
            <v>1433</v>
          </cell>
          <cell r="AE149">
            <v>12780</v>
          </cell>
        </row>
        <row r="150">
          <cell r="A150">
            <v>148</v>
          </cell>
          <cell r="B150">
            <v>45950</v>
          </cell>
          <cell r="C150" t="str">
            <v>HYUNDAI SANTAFE</v>
          </cell>
          <cell r="D150" t="str">
            <v>HYUNDAI</v>
          </cell>
          <cell r="E150" t="str">
            <v>SANTAFE</v>
          </cell>
          <cell r="F150">
            <v>2016</v>
          </cell>
          <cell r="G150" t="str">
            <v>20노0110</v>
          </cell>
          <cell r="H150" t="str">
            <v>KMHSW81XDGU693695</v>
          </cell>
          <cell r="I150">
            <v>45953</v>
          </cell>
          <cell r="J150" t="str">
            <v>㈜그린모터스</v>
          </cell>
          <cell r="K150" t="str">
            <v>대구</v>
          </cell>
          <cell r="L150" t="str">
            <v>잔금</v>
          </cell>
          <cell r="M150" t="str">
            <v>50만원 회사통장 나감</v>
          </cell>
          <cell r="N150">
            <v>1260</v>
          </cell>
          <cell r="P150">
            <v>1260</v>
          </cell>
          <cell r="Q150" t="str">
            <v>DONE</v>
          </cell>
          <cell r="R150">
            <v>45955</v>
          </cell>
          <cell r="S150" t="str">
            <v>CALJA</v>
          </cell>
          <cell r="T150" t="str">
            <v>Brian Shehu</v>
          </cell>
          <cell r="U150" t="str">
            <v>J90303031C</v>
          </cell>
          <cell r="V150" t="str">
            <v>355 69 550 5533</v>
          </cell>
          <cell r="W150" t="str">
            <v>Albania</v>
          </cell>
          <cell r="X150">
            <v>1409</v>
          </cell>
          <cell r="AB150">
            <v>1642</v>
          </cell>
          <cell r="AC150">
            <v>7461</v>
          </cell>
          <cell r="AD150">
            <v>1519</v>
          </cell>
          <cell r="AE150">
            <v>8980</v>
          </cell>
          <cell r="AF150">
            <v>9140</v>
          </cell>
        </row>
        <row r="151">
          <cell r="A151">
            <v>149</v>
          </cell>
          <cell r="B151">
            <v>45950</v>
          </cell>
          <cell r="C151" t="str">
            <v>AUDI A6 35 TDI</v>
          </cell>
          <cell r="D151" t="str">
            <v>AUDI</v>
          </cell>
          <cell r="E151" t="str">
            <v>A6 35 TDI</v>
          </cell>
          <cell r="F151">
            <v>2016</v>
          </cell>
          <cell r="G151" t="str">
            <v>49수0953</v>
          </cell>
          <cell r="H151" t="str">
            <v>WAUZZZ4G6GN043230</v>
          </cell>
          <cell r="I151">
            <v>45953</v>
          </cell>
          <cell r="J151" t="str">
            <v>㈜울카</v>
          </cell>
          <cell r="K151" t="str">
            <v>부산</v>
          </cell>
          <cell r="L151" t="str">
            <v>잔금</v>
          </cell>
          <cell r="M151" t="str">
            <v>84만원 회사통장 나감</v>
          </cell>
          <cell r="N151">
            <v>1284</v>
          </cell>
          <cell r="P151">
            <v>1284</v>
          </cell>
          <cell r="Q151" t="str">
            <v>DONE</v>
          </cell>
          <cell r="R151">
            <v>45955</v>
          </cell>
          <cell r="S151" t="str">
            <v>CALJA</v>
          </cell>
          <cell r="T151" t="str">
            <v>Esmerald Sharra</v>
          </cell>
          <cell r="U151" t="str">
            <v>J10407015M</v>
          </cell>
          <cell r="V151" t="str">
            <v>355 69 550 5533</v>
          </cell>
          <cell r="W151" t="str">
            <v>Albania</v>
          </cell>
          <cell r="X151">
            <v>1409</v>
          </cell>
          <cell r="AB151">
            <v>1642</v>
          </cell>
          <cell r="AC151">
            <v>7607</v>
          </cell>
          <cell r="AD151">
            <v>1433</v>
          </cell>
          <cell r="AE151">
            <v>9040</v>
          </cell>
          <cell r="AF151">
            <v>11000</v>
          </cell>
        </row>
        <row r="152">
          <cell r="A152">
            <v>150</v>
          </cell>
          <cell r="B152">
            <v>45950</v>
          </cell>
          <cell r="C152" t="str">
            <v>VOLKSWAGENS Tiguan Allspace 2.0 TDI</v>
          </cell>
          <cell r="D152" t="str">
            <v>VOLKSWAGENS</v>
          </cell>
          <cell r="E152" t="str">
            <v>Tiguan Allspace 2.0 TDI</v>
          </cell>
          <cell r="F152">
            <v>2020</v>
          </cell>
          <cell r="G152" t="str">
            <v>374수3148</v>
          </cell>
          <cell r="H152" t="str">
            <v>WVGZZZ5NZLM177097</v>
          </cell>
          <cell r="I152">
            <v>45954</v>
          </cell>
          <cell r="J152" t="str">
            <v>㈜제이제이오토컴퍼니</v>
          </cell>
          <cell r="K152" t="str">
            <v>인천</v>
          </cell>
          <cell r="L152" t="str">
            <v>잔금</v>
          </cell>
          <cell r="M152" t="str">
            <v>50만원 대표님 계약</v>
          </cell>
          <cell r="N152">
            <v>2120</v>
          </cell>
          <cell r="P152">
            <v>2120</v>
          </cell>
          <cell r="Q152" t="str">
            <v>DONE</v>
          </cell>
          <cell r="R152">
            <v>45961</v>
          </cell>
          <cell r="S152" t="str">
            <v>R.S.h L.L.C.</v>
          </cell>
          <cell r="T152" t="str">
            <v>R.Sh L.L.C.</v>
          </cell>
          <cell r="U152">
            <v>812326016</v>
          </cell>
          <cell r="V152" t="str">
            <v>+383486 611 61</v>
          </cell>
          <cell r="W152" t="str">
            <v>Kosovo</v>
          </cell>
          <cell r="X152">
            <v>1409</v>
          </cell>
          <cell r="AB152">
            <v>1642</v>
          </cell>
          <cell r="AC152">
            <v>12341</v>
          </cell>
          <cell r="AD152">
            <v>1519</v>
          </cell>
          <cell r="AE152">
            <v>13860</v>
          </cell>
        </row>
        <row r="153">
          <cell r="A153">
            <v>151</v>
          </cell>
          <cell r="B153">
            <v>45951</v>
          </cell>
          <cell r="C153" t="str">
            <v>VOLKSWAGENS GOLF</v>
          </cell>
          <cell r="D153" t="str">
            <v>VOLKSWAGENS</v>
          </cell>
          <cell r="E153" t="str">
            <v>GOLF</v>
          </cell>
          <cell r="F153">
            <v>2014</v>
          </cell>
          <cell r="G153" t="str">
            <v>12소0164</v>
          </cell>
          <cell r="H153" t="str">
            <v>WVWZZZAUZEW130533</v>
          </cell>
          <cell r="I153">
            <v>45957</v>
          </cell>
          <cell r="J153" t="str">
            <v>㈜오토피아</v>
          </cell>
          <cell r="K153" t="str">
            <v>부천</v>
          </cell>
          <cell r="L153" t="str">
            <v>잔금</v>
          </cell>
          <cell r="M153" t="str">
            <v>50만원 대표님 계약</v>
          </cell>
          <cell r="N153">
            <v>850</v>
          </cell>
          <cell r="O153">
            <v>44</v>
          </cell>
          <cell r="P153">
            <v>894</v>
          </cell>
          <cell r="Q153" t="str">
            <v>DONE</v>
          </cell>
          <cell r="R153">
            <v>45961</v>
          </cell>
          <cell r="S153" t="str">
            <v>Ervin</v>
          </cell>
          <cell r="T153" t="str">
            <v>Ervin Lici</v>
          </cell>
          <cell r="U153" t="str">
            <v>K51004018Q</v>
          </cell>
          <cell r="V153" t="str">
            <v>355 67 69 41 777</v>
          </cell>
          <cell r="W153" t="str">
            <v>Albania</v>
          </cell>
          <cell r="X153">
            <v>1418</v>
          </cell>
          <cell r="AB153">
            <v>1645</v>
          </cell>
          <cell r="AC153">
            <v>5160</v>
          </cell>
          <cell r="AD153">
            <v>1440</v>
          </cell>
          <cell r="AE153">
            <v>6600</v>
          </cell>
        </row>
        <row r="154">
          <cell r="A154">
            <v>152</v>
          </cell>
          <cell r="B154">
            <v>45951</v>
          </cell>
          <cell r="C154" t="str">
            <v>HYUNDAI TUCSON</v>
          </cell>
          <cell r="D154" t="str">
            <v>HYUNDAI</v>
          </cell>
          <cell r="E154" t="str">
            <v>TUCSON</v>
          </cell>
          <cell r="F154">
            <v>2014</v>
          </cell>
          <cell r="G154" t="str">
            <v>33주2449</v>
          </cell>
          <cell r="H154" t="str">
            <v>KMHJT81VBEU860887</v>
          </cell>
          <cell r="I154">
            <v>45957</v>
          </cell>
          <cell r="J154" t="str">
            <v>㈜두바이모터스</v>
          </cell>
          <cell r="K154" t="str">
            <v>울산</v>
          </cell>
          <cell r="L154" t="str">
            <v>잔금</v>
          </cell>
          <cell r="M154" t="str">
            <v>50만원 대표님 계약</v>
          </cell>
          <cell r="N154">
            <v>580</v>
          </cell>
          <cell r="P154">
            <v>580</v>
          </cell>
          <cell r="Q154" t="str">
            <v>DONE</v>
          </cell>
          <cell r="R154">
            <v>45961</v>
          </cell>
          <cell r="S154" t="str">
            <v>CALJA</v>
          </cell>
          <cell r="T154" t="str">
            <v>Fitrete Basho</v>
          </cell>
          <cell r="U154" t="str">
            <v>G05116068V</v>
          </cell>
          <cell r="V154" t="str">
            <v>355 69 550 5533</v>
          </cell>
          <cell r="W154" t="str">
            <v>Albania</v>
          </cell>
          <cell r="X154">
            <v>1418</v>
          </cell>
          <cell r="AB154">
            <v>1645</v>
          </cell>
          <cell r="AC154">
            <v>3655</v>
          </cell>
          <cell r="AD154">
            <v>1525</v>
          </cell>
          <cell r="AE154">
            <v>5180</v>
          </cell>
          <cell r="AF154">
            <v>6300</v>
          </cell>
        </row>
        <row r="155">
          <cell r="A155">
            <v>153</v>
          </cell>
          <cell r="B155">
            <v>45951</v>
          </cell>
          <cell r="C155" t="str">
            <v>BENZ C220D</v>
          </cell>
          <cell r="D155" t="str">
            <v>BENZ</v>
          </cell>
          <cell r="E155" t="str">
            <v>C220D</v>
          </cell>
          <cell r="F155">
            <v>2019</v>
          </cell>
          <cell r="G155" t="str">
            <v>08구7752</v>
          </cell>
          <cell r="H155" t="str">
            <v>WDDWF1EB0KR523953</v>
          </cell>
          <cell r="I155">
            <v>45954</v>
          </cell>
          <cell r="J155" t="str">
            <v>㈜카카오토</v>
          </cell>
          <cell r="K155" t="str">
            <v>이천시</v>
          </cell>
          <cell r="L155" t="str">
            <v>잔금</v>
          </cell>
          <cell r="M155" t="str">
            <v>50만원 대표님 계약</v>
          </cell>
          <cell r="N155">
            <v>1690</v>
          </cell>
          <cell r="P155">
            <v>1690</v>
          </cell>
          <cell r="Q155" t="str">
            <v>DONE</v>
          </cell>
          <cell r="R155">
            <v>45961</v>
          </cell>
          <cell r="S155" t="str">
            <v>Auto Posh SH.P.K</v>
          </cell>
          <cell r="T155" t="str">
            <v>Auto Posh SH.P.K</v>
          </cell>
          <cell r="U155">
            <v>812219427</v>
          </cell>
          <cell r="V155" t="str">
            <v>38345560145</v>
          </cell>
          <cell r="W155" t="str">
            <v xml:space="preserve"> Rruga Jakup Lami, Pn. Greme, Feriza</v>
          </cell>
          <cell r="X155">
            <v>1418</v>
          </cell>
          <cell r="AB155">
            <v>1645</v>
          </cell>
          <cell r="AC155">
            <v>9830</v>
          </cell>
          <cell r="AD155">
            <v>1440</v>
          </cell>
          <cell r="AE155">
            <v>11270</v>
          </cell>
          <cell r="AF155">
            <v>-500</v>
          </cell>
        </row>
        <row r="156">
          <cell r="A156">
            <v>154</v>
          </cell>
          <cell r="B156">
            <v>45952</v>
          </cell>
          <cell r="C156" t="str">
            <v>VOLKSWAGENS Tiguan Allspace 2.0 TDI</v>
          </cell>
          <cell r="D156" t="str">
            <v>VOLKSWAGENS</v>
          </cell>
          <cell r="E156" t="str">
            <v>Tiguan Allspace 2.0 TDI</v>
          </cell>
          <cell r="F156">
            <v>2020</v>
          </cell>
          <cell r="G156" t="str">
            <v>264더5695</v>
          </cell>
          <cell r="H156" t="str">
            <v>WVGZZZ5NZLM170960</v>
          </cell>
          <cell r="J156" t="str">
            <v>㈜착한중고차</v>
          </cell>
          <cell r="K156" t="str">
            <v>인천</v>
          </cell>
          <cell r="M156" t="str">
            <v>100만원 회사통장 나감</v>
          </cell>
          <cell r="N156">
            <v>2324</v>
          </cell>
          <cell r="P156">
            <v>2324</v>
          </cell>
          <cell r="Q156" t="str">
            <v>cancel</v>
          </cell>
          <cell r="R156" t="str">
            <v>report done</v>
          </cell>
          <cell r="S156" t="str">
            <v>R.S.h L.L.C.</v>
          </cell>
          <cell r="T156" t="str">
            <v>R.Sh L.L.C.</v>
          </cell>
          <cell r="U156">
            <v>812326016</v>
          </cell>
          <cell r="V156" t="str">
            <v>+383486 611 61</v>
          </cell>
          <cell r="W156" t="str">
            <v>Kosovo</v>
          </cell>
          <cell r="X156">
            <v>1415</v>
          </cell>
          <cell r="AB156">
            <v>1642</v>
          </cell>
          <cell r="AE156">
            <v>0</v>
          </cell>
        </row>
        <row r="157">
          <cell r="A157">
            <v>155</v>
          </cell>
          <cell r="B157">
            <v>45952</v>
          </cell>
          <cell r="C157" t="str">
            <v>Citroen C4 Cactus 1.6 BlueHDi</v>
          </cell>
          <cell r="D157" t="str">
            <v>Citroen</v>
          </cell>
          <cell r="E157" t="str">
            <v>C4 Cactus 1.6 BlueHDi</v>
          </cell>
          <cell r="F157">
            <v>2019</v>
          </cell>
          <cell r="G157" t="str">
            <v>01보6657</v>
          </cell>
          <cell r="H157" t="str">
            <v>VF70BBHYHKE500268</v>
          </cell>
          <cell r="I157">
            <v>45958</v>
          </cell>
          <cell r="J157" t="str">
            <v>㈜신원자동차매매상사</v>
          </cell>
          <cell r="K157" t="str">
            <v>수원</v>
          </cell>
          <cell r="L157" t="str">
            <v>잔금</v>
          </cell>
          <cell r="M157" t="str">
            <v>50만원 회사통장 나감</v>
          </cell>
          <cell r="N157">
            <v>1070</v>
          </cell>
          <cell r="P157">
            <v>1070</v>
          </cell>
          <cell r="Q157" t="str">
            <v>DONE</v>
          </cell>
          <cell r="R157">
            <v>45961</v>
          </cell>
          <cell r="S157" t="str">
            <v>R.S.h L.L.C.</v>
          </cell>
          <cell r="T157" t="str">
            <v>R.Sh L.L.C.</v>
          </cell>
          <cell r="U157">
            <v>812326016</v>
          </cell>
          <cell r="V157" t="str">
            <v>+383486 611 61</v>
          </cell>
          <cell r="W157" t="str">
            <v>Kosovo</v>
          </cell>
          <cell r="X157">
            <v>1415</v>
          </cell>
          <cell r="AB157">
            <v>1642</v>
          </cell>
          <cell r="AC157">
            <v>6451</v>
          </cell>
          <cell r="AD157">
            <v>1439</v>
          </cell>
          <cell r="AE157">
            <v>7890</v>
          </cell>
        </row>
        <row r="158">
          <cell r="A158">
            <v>156</v>
          </cell>
          <cell r="B158">
            <v>45952</v>
          </cell>
          <cell r="C158" t="str">
            <v>VOLKSWAGENS Tiguan Allspace 2.0 TDI</v>
          </cell>
          <cell r="D158" t="str">
            <v>VOLKSWAGENS</v>
          </cell>
          <cell r="E158" t="str">
            <v>Tiguan Allspace 2.0 TDI</v>
          </cell>
          <cell r="F158">
            <v>2020</v>
          </cell>
          <cell r="G158" t="str">
            <v>378소8128</v>
          </cell>
          <cell r="H158" t="str">
            <v>WVGZZZ5NZLM121827</v>
          </cell>
          <cell r="I158">
            <v>45958</v>
          </cell>
          <cell r="J158" t="str">
            <v>㈜손오공</v>
          </cell>
          <cell r="K158" t="str">
            <v>서울</v>
          </cell>
          <cell r="L158" t="str">
            <v>잔금</v>
          </cell>
          <cell r="M158" t="str">
            <v>100만원 회사통장 나감</v>
          </cell>
          <cell r="N158">
            <v>2200</v>
          </cell>
          <cell r="O158">
            <v>44</v>
          </cell>
          <cell r="P158">
            <v>2244</v>
          </cell>
          <cell r="Q158" t="str">
            <v>DONE</v>
          </cell>
          <cell r="R158">
            <v>45961</v>
          </cell>
          <cell r="S158" t="str">
            <v>R.S.h L.L.C.</v>
          </cell>
          <cell r="T158" t="str">
            <v>R.Sh L.L.C.</v>
          </cell>
          <cell r="U158">
            <v>812326016</v>
          </cell>
          <cell r="V158" t="str">
            <v>+383486 611 61</v>
          </cell>
          <cell r="W158" t="str">
            <v>Kosovo</v>
          </cell>
          <cell r="X158">
            <v>1415</v>
          </cell>
          <cell r="AB158">
            <v>1642</v>
          </cell>
          <cell r="AC158">
            <v>13065</v>
          </cell>
          <cell r="AD158">
            <v>1525</v>
          </cell>
          <cell r="AE158">
            <v>14590</v>
          </cell>
        </row>
        <row r="159">
          <cell r="A159">
            <v>157</v>
          </cell>
          <cell r="B159">
            <v>45952</v>
          </cell>
          <cell r="C159" t="str">
            <v>HYUNDAI TUCSON</v>
          </cell>
          <cell r="D159" t="str">
            <v>HYUNDAI</v>
          </cell>
          <cell r="E159" t="str">
            <v>TUCSON</v>
          </cell>
          <cell r="F159">
            <v>2016</v>
          </cell>
          <cell r="G159" t="str">
            <v>55루0602</v>
          </cell>
          <cell r="H159" t="str">
            <v>KMHJ3815GGU104721</v>
          </cell>
          <cell r="I159">
            <v>45957</v>
          </cell>
          <cell r="J159" t="str">
            <v>㈜국민자동차</v>
          </cell>
          <cell r="L159" t="str">
            <v>잔금</v>
          </cell>
          <cell r="M159" t="str">
            <v>50만원 대표님 계약</v>
          </cell>
          <cell r="N159">
            <v>830</v>
          </cell>
          <cell r="P159">
            <v>830</v>
          </cell>
          <cell r="Q159" t="str">
            <v>DONE</v>
          </cell>
          <cell r="R159">
            <v>45961</v>
          </cell>
          <cell r="S159" t="str">
            <v>CALJA</v>
          </cell>
          <cell r="T159" t="str">
            <v>Erjon Guri</v>
          </cell>
          <cell r="U159" t="str">
            <v>I90525088B</v>
          </cell>
          <cell r="V159" t="str">
            <v>355 69 550 5533</v>
          </cell>
          <cell r="W159" t="str">
            <v>Albania</v>
          </cell>
          <cell r="X159">
            <v>1415</v>
          </cell>
          <cell r="AB159">
            <v>1642</v>
          </cell>
          <cell r="AC159">
            <v>5055</v>
          </cell>
          <cell r="AD159">
            <v>1525</v>
          </cell>
          <cell r="AE159">
            <v>6580</v>
          </cell>
          <cell r="AF159">
            <v>9580</v>
          </cell>
        </row>
        <row r="160">
          <cell r="A160">
            <v>158</v>
          </cell>
          <cell r="B160">
            <v>45952</v>
          </cell>
          <cell r="C160" t="str">
            <v>HYUNDAI SANTAFE</v>
          </cell>
          <cell r="D160" t="str">
            <v>HYUNDAI</v>
          </cell>
          <cell r="E160" t="str">
            <v>SANTAFE</v>
          </cell>
          <cell r="F160">
            <v>2019</v>
          </cell>
          <cell r="G160" t="str">
            <v>32라8799</v>
          </cell>
          <cell r="H160" t="str">
            <v>KMHS381BBKU135185</v>
          </cell>
          <cell r="J160" t="str">
            <v>경매장 -aj</v>
          </cell>
          <cell r="L160" t="str">
            <v>잔금</v>
          </cell>
          <cell r="N160">
            <v>1675</v>
          </cell>
          <cell r="O160">
            <v>43</v>
          </cell>
          <cell r="P160">
            <v>1718</v>
          </cell>
          <cell r="Q160" t="str">
            <v>DONE</v>
          </cell>
          <cell r="R160">
            <v>45961</v>
          </cell>
          <cell r="S160" t="str">
            <v xml:space="preserve">Erion </v>
          </cell>
          <cell r="T160" t="str">
            <v>Erion Gjergji</v>
          </cell>
          <cell r="U160" t="str">
            <v>I90516099R</v>
          </cell>
          <cell r="V160" t="str">
            <v>49 163 6979 099</v>
          </cell>
          <cell r="W160" t="str">
            <v>Albania</v>
          </cell>
          <cell r="X160">
            <v>1415</v>
          </cell>
          <cell r="AB160">
            <v>1642</v>
          </cell>
          <cell r="AC160">
            <v>9995</v>
          </cell>
          <cell r="AD160">
            <v>1525</v>
          </cell>
          <cell r="AE160">
            <v>11520</v>
          </cell>
        </row>
        <row r="161">
          <cell r="A161">
            <v>159</v>
          </cell>
          <cell r="B161">
            <v>45952</v>
          </cell>
          <cell r="C161" t="str">
            <v>HYUNDAI TUCSON</v>
          </cell>
          <cell r="D161" t="str">
            <v>HYUNDAI</v>
          </cell>
          <cell r="E161" t="str">
            <v>TUCSON</v>
          </cell>
          <cell r="F161">
            <v>2014</v>
          </cell>
          <cell r="G161" t="str">
            <v>14가3264</v>
          </cell>
          <cell r="H161" t="str">
            <v>KMHJT81VBEU842487</v>
          </cell>
          <cell r="J161" t="str">
            <v>경매장 -aj</v>
          </cell>
          <cell r="L161" t="str">
            <v>잔금</v>
          </cell>
          <cell r="N161">
            <v>425</v>
          </cell>
          <cell r="O161">
            <v>11</v>
          </cell>
          <cell r="P161">
            <v>436</v>
          </cell>
          <cell r="Q161" t="str">
            <v>DONE</v>
          </cell>
          <cell r="R161">
            <v>45961</v>
          </cell>
          <cell r="S161" t="str">
            <v xml:space="preserve">Erion </v>
          </cell>
          <cell r="T161" t="str">
            <v>Erion Gjergji</v>
          </cell>
          <cell r="U161" t="str">
            <v>I90516099R</v>
          </cell>
          <cell r="V161" t="str">
            <v>49 163 6979 099</v>
          </cell>
          <cell r="W161" t="str">
            <v>Albania</v>
          </cell>
          <cell r="X161">
            <v>1415</v>
          </cell>
          <cell r="AB161">
            <v>1642</v>
          </cell>
          <cell r="AC161">
            <v>2735</v>
          </cell>
          <cell r="AD161">
            <v>1525</v>
          </cell>
          <cell r="AE161">
            <v>4260</v>
          </cell>
        </row>
        <row r="162">
          <cell r="A162">
            <v>160</v>
          </cell>
          <cell r="B162">
            <v>45953</v>
          </cell>
          <cell r="C162" t="str">
            <v>AUDI A3 Sportback 35 TDI</v>
          </cell>
          <cell r="D162" t="str">
            <v>AUDI</v>
          </cell>
          <cell r="E162" t="str">
            <v>A3 Sportback 35 TDI</v>
          </cell>
          <cell r="F162">
            <v>2015</v>
          </cell>
          <cell r="G162" t="str">
            <v>05서0914</v>
          </cell>
          <cell r="H162" t="str">
            <v>WAUZZZ8V4FA100202 </v>
          </cell>
          <cell r="J162" t="str">
            <v>경매장- 헤이딜러</v>
          </cell>
          <cell r="L162" t="str">
            <v>잔금</v>
          </cell>
          <cell r="N162">
            <v>1214</v>
          </cell>
          <cell r="O162">
            <v>37</v>
          </cell>
          <cell r="P162">
            <v>1251</v>
          </cell>
          <cell r="Q162" t="str">
            <v>DONE</v>
          </cell>
          <cell r="R162">
            <v>45969</v>
          </cell>
          <cell r="S162" t="str">
            <v>DONI</v>
          </cell>
          <cell r="T162" t="str">
            <v>DONI</v>
          </cell>
          <cell r="U162">
            <v>933682</v>
          </cell>
          <cell r="V162" t="str">
            <v>3 8 3 4 9 3 2 5 7 0 3</v>
          </cell>
          <cell r="W162" t="str">
            <v xml:space="preserve"> HYZRI TALLA OB 16 HY 1 NR 18
 Kosovë</v>
          </cell>
          <cell r="X162">
            <v>1415</v>
          </cell>
          <cell r="AB162">
            <v>1642</v>
          </cell>
          <cell r="AC162">
            <v>7430</v>
          </cell>
          <cell r="AD162">
            <v>1440</v>
          </cell>
          <cell r="AE162">
            <v>8870</v>
          </cell>
        </row>
        <row r="163">
          <cell r="A163">
            <v>161</v>
          </cell>
          <cell r="B163">
            <v>45954</v>
          </cell>
          <cell r="C163" t="str">
            <v>HYUNDAI TUCSON</v>
          </cell>
          <cell r="D163" t="str">
            <v>HYUNDAI</v>
          </cell>
          <cell r="E163" t="str">
            <v>TUCSON</v>
          </cell>
          <cell r="F163">
            <v>2017</v>
          </cell>
          <cell r="G163" t="str">
            <v>14우9222</v>
          </cell>
          <cell r="H163" t="str">
            <v>KMHJ3815GHU396913</v>
          </cell>
          <cell r="I163">
            <v>45964</v>
          </cell>
          <cell r="J163" t="str">
            <v>㈜히든모터스</v>
          </cell>
          <cell r="K163" t="str">
            <v>대구</v>
          </cell>
          <cell r="L163" t="str">
            <v>잔금</v>
          </cell>
          <cell r="M163" t="str">
            <v>50만원 대표님 계약</v>
          </cell>
          <cell r="N163">
            <v>970</v>
          </cell>
          <cell r="P163">
            <v>970</v>
          </cell>
          <cell r="Q163" t="str">
            <v>DONE</v>
          </cell>
          <cell r="R163">
            <v>45969</v>
          </cell>
          <cell r="S163" t="str">
            <v>CALJA</v>
          </cell>
          <cell r="T163" t="str">
            <v>Damo Onjea</v>
          </cell>
          <cell r="U163" t="str">
            <v>F60210132S</v>
          </cell>
          <cell r="V163" t="str">
            <v>355 69 550 5533</v>
          </cell>
          <cell r="W163" t="str">
            <v>Albania</v>
          </cell>
          <cell r="X163">
            <v>1421</v>
          </cell>
          <cell r="AB163">
            <v>1650</v>
          </cell>
          <cell r="AC163">
            <v>5766</v>
          </cell>
          <cell r="AD163">
            <v>1524</v>
          </cell>
          <cell r="AE163">
            <v>7290</v>
          </cell>
          <cell r="AF163">
            <v>9800</v>
          </cell>
        </row>
        <row r="164">
          <cell r="A164">
            <v>162</v>
          </cell>
          <cell r="B164">
            <v>45954</v>
          </cell>
          <cell r="C164" t="str">
            <v>KIA STONIC</v>
          </cell>
          <cell r="D164" t="str">
            <v>KIA</v>
          </cell>
          <cell r="E164" t="str">
            <v>STONIC</v>
          </cell>
          <cell r="F164">
            <v>2018</v>
          </cell>
          <cell r="G164" t="str">
            <v>05저7297</v>
          </cell>
          <cell r="H164" t="str">
            <v>KNADC815GJS083167</v>
          </cell>
          <cell r="I164">
            <v>45958</v>
          </cell>
          <cell r="J164" t="str">
            <v>㈜나무모터스</v>
          </cell>
          <cell r="L164" t="str">
            <v>잔금</v>
          </cell>
          <cell r="M164" t="str">
            <v>44만원 회사통장 나감</v>
          </cell>
          <cell r="N164">
            <v>862</v>
          </cell>
          <cell r="P164">
            <v>862</v>
          </cell>
          <cell r="Q164" t="str">
            <v>DONE</v>
          </cell>
          <cell r="R164">
            <v>45961</v>
          </cell>
          <cell r="S164" t="str">
            <v>ATLAS GROUP SH.P.K</v>
          </cell>
          <cell r="T164" t="str">
            <v>ATLAS GROUP SH.P.K</v>
          </cell>
          <cell r="U164">
            <v>812137455</v>
          </cell>
          <cell r="V164" t="str">
            <v>+38348702207</v>
          </cell>
          <cell r="W164" t="str">
            <v>Xhelal Hajda, p.n. Rahovec</v>
          </cell>
          <cell r="X164">
            <v>1421</v>
          </cell>
          <cell r="AB164">
            <v>1650</v>
          </cell>
          <cell r="AC164">
            <v>5222</v>
          </cell>
          <cell r="AD164">
            <v>1438</v>
          </cell>
          <cell r="AE164">
            <v>6660</v>
          </cell>
        </row>
        <row r="165">
          <cell r="A165">
            <v>163</v>
          </cell>
          <cell r="B165">
            <v>45954</v>
          </cell>
          <cell r="C165" t="str">
            <v>VOLKSWAGENS PASSAT GT 2.0 TDI</v>
          </cell>
          <cell r="D165" t="str">
            <v>VOLKSWAGENS</v>
          </cell>
          <cell r="E165" t="str">
            <v>PASSAT GT 2.0 TDI</v>
          </cell>
          <cell r="F165">
            <v>2018</v>
          </cell>
          <cell r="G165" t="str">
            <v>59보2428</v>
          </cell>
          <cell r="H165" t="str">
            <v>WVWZZZ3CZJE119043</v>
          </cell>
          <cell r="I165">
            <v>45959</v>
          </cell>
          <cell r="J165" t="str">
            <v>㈜로또모터스</v>
          </cell>
          <cell r="L165" t="str">
            <v>잔금</v>
          </cell>
          <cell r="M165" t="str">
            <v>50만원 대표님 계약</v>
          </cell>
          <cell r="N165">
            <v>1476</v>
          </cell>
          <cell r="O165">
            <v>44</v>
          </cell>
          <cell r="P165">
            <v>1520</v>
          </cell>
          <cell r="Q165" t="str">
            <v>DONE</v>
          </cell>
          <cell r="R165">
            <v>45961</v>
          </cell>
          <cell r="S165" t="str">
            <v>R.S.h L.L.C.</v>
          </cell>
          <cell r="T165" t="str">
            <v>R.Sh L.L.C.</v>
          </cell>
          <cell r="U165">
            <v>812326016</v>
          </cell>
          <cell r="V165" t="str">
            <v>+383486 611 61</v>
          </cell>
          <cell r="W165" t="str">
            <v>Kosovo</v>
          </cell>
          <cell r="X165">
            <v>1421</v>
          </cell>
          <cell r="AB165">
            <v>1650</v>
          </cell>
          <cell r="AC165">
            <v>8692</v>
          </cell>
          <cell r="AD165">
            <v>1438</v>
          </cell>
          <cell r="AE165">
            <v>10130</v>
          </cell>
        </row>
        <row r="166">
          <cell r="A166">
            <v>164</v>
          </cell>
          <cell r="B166">
            <v>45954</v>
          </cell>
          <cell r="C166" t="str">
            <v>AUDI A6 35 TDI</v>
          </cell>
          <cell r="D166" t="str">
            <v>AUDI</v>
          </cell>
          <cell r="E166" t="str">
            <v>A6 35 TDI</v>
          </cell>
          <cell r="F166">
            <v>2018</v>
          </cell>
          <cell r="G166" t="str">
            <v>52우7873</v>
          </cell>
          <cell r="H166" t="str">
            <v>WAUZZZ4G1JN063098</v>
          </cell>
          <cell r="I166">
            <v>45958</v>
          </cell>
          <cell r="J166" t="str">
            <v>㈜전국자동차</v>
          </cell>
          <cell r="K166" t="str">
            <v>대구</v>
          </cell>
          <cell r="L166" t="str">
            <v>잔금</v>
          </cell>
          <cell r="M166" t="str">
            <v>50만원 대표님 계약</v>
          </cell>
          <cell r="N166">
            <v>1504</v>
          </cell>
          <cell r="P166">
            <v>1504</v>
          </cell>
          <cell r="Q166" t="str">
            <v>DONE</v>
          </cell>
          <cell r="R166">
            <v>45961</v>
          </cell>
          <cell r="S166" t="str">
            <v>ARMIR</v>
          </cell>
          <cell r="T166" t="str">
            <v>VLADI BURIM</v>
          </cell>
          <cell r="U166" t="str">
            <v>ID1661508</v>
          </cell>
          <cell r="V166" t="str">
            <v>383 49 690 998</v>
          </cell>
          <cell r="W166" t="str">
            <v>KOSOVO</v>
          </cell>
          <cell r="X166">
            <v>1421</v>
          </cell>
          <cell r="AB166">
            <v>1650</v>
          </cell>
          <cell r="AC166">
            <v>8812</v>
          </cell>
          <cell r="AD166">
            <v>1438</v>
          </cell>
          <cell r="AE166">
            <v>10250</v>
          </cell>
        </row>
        <row r="167">
          <cell r="A167">
            <v>165</v>
          </cell>
          <cell r="B167">
            <v>45954</v>
          </cell>
          <cell r="C167" t="str">
            <v>HYUNDAI SONATA</v>
          </cell>
          <cell r="D167" t="str">
            <v>HYUNDAI</v>
          </cell>
          <cell r="E167" t="str">
            <v>SONATA</v>
          </cell>
          <cell r="F167">
            <v>2018</v>
          </cell>
          <cell r="G167" t="str">
            <v>156러3764</v>
          </cell>
          <cell r="H167" t="str">
            <v>KMHE341DBJA361873</v>
          </cell>
          <cell r="I167">
            <v>45958</v>
          </cell>
          <cell r="J167" t="str">
            <v>㈜위드카</v>
          </cell>
          <cell r="K167" t="str">
            <v>수원</v>
          </cell>
          <cell r="L167" t="str">
            <v>잔금</v>
          </cell>
          <cell r="M167" t="str">
            <v>50만원 대표님 계약</v>
          </cell>
          <cell r="N167">
            <v>696</v>
          </cell>
          <cell r="O167">
            <v>44</v>
          </cell>
          <cell r="P167">
            <v>740</v>
          </cell>
          <cell r="Q167" t="str">
            <v>DONE</v>
          </cell>
          <cell r="R167">
            <v>45961</v>
          </cell>
          <cell r="S167" t="str">
            <v>CALJA</v>
          </cell>
          <cell r="T167" t="str">
            <v>Kelmend Salla</v>
          </cell>
          <cell r="U167" t="str">
            <v>I81115008W</v>
          </cell>
          <cell r="V167" t="str">
            <v>355 69 550 5533</v>
          </cell>
          <cell r="W167" t="str">
            <v>Albania</v>
          </cell>
          <cell r="X167">
            <v>1421</v>
          </cell>
          <cell r="AB167">
            <v>1650</v>
          </cell>
          <cell r="AC167">
            <v>4462</v>
          </cell>
          <cell r="AD167">
            <v>1438</v>
          </cell>
          <cell r="AE167">
            <v>5900</v>
          </cell>
          <cell r="AF167">
            <v>9550</v>
          </cell>
        </row>
        <row r="168">
          <cell r="A168">
            <v>166</v>
          </cell>
          <cell r="B168">
            <v>45956</v>
          </cell>
          <cell r="C168" t="str">
            <v>Renault QM3</v>
          </cell>
          <cell r="D168" t="str">
            <v>Renault</v>
          </cell>
          <cell r="E168" t="str">
            <v>QM3</v>
          </cell>
          <cell r="F168">
            <v>2016</v>
          </cell>
          <cell r="G168" t="str">
            <v>59나0448</v>
          </cell>
          <cell r="H168" t="str">
            <v>VF12RGJ1DGW265921</v>
          </cell>
          <cell r="I168">
            <v>45959</v>
          </cell>
          <cell r="J168" t="str">
            <v>(주) 리원모터스</v>
          </cell>
          <cell r="K168" t="str">
            <v>천안</v>
          </cell>
          <cell r="L168" t="str">
            <v>잔금</v>
          </cell>
          <cell r="M168" t="str">
            <v>50만원 대표님 계약</v>
          </cell>
          <cell r="N168">
            <v>523</v>
          </cell>
          <cell r="P168">
            <v>523</v>
          </cell>
          <cell r="Q168" t="str">
            <v>DONE</v>
          </cell>
          <cell r="R168">
            <v>45961</v>
          </cell>
          <cell r="S168" t="str">
            <v>R.S.h L.L.C.</v>
          </cell>
          <cell r="T168" t="str">
            <v>R.Sh L.L.C.</v>
          </cell>
          <cell r="U168">
            <v>812326016</v>
          </cell>
          <cell r="V168" t="str">
            <v>+383486 611 61</v>
          </cell>
          <cell r="W168" t="str">
            <v>Kosovo</v>
          </cell>
          <cell r="X168">
            <v>1426</v>
          </cell>
          <cell r="AB168">
            <v>1657</v>
          </cell>
          <cell r="AC168">
            <v>3233</v>
          </cell>
          <cell r="AD168">
            <v>1437</v>
          </cell>
          <cell r="AE168">
            <v>4670</v>
          </cell>
        </row>
        <row r="169">
          <cell r="A169">
            <v>167</v>
          </cell>
          <cell r="B169">
            <v>45956</v>
          </cell>
          <cell r="C169" t="str">
            <v>Peugeot 508 2.0 BlueHDi</v>
          </cell>
          <cell r="D169" t="str">
            <v>Peugeot</v>
          </cell>
          <cell r="E169" t="str">
            <v>508 2.0 BlueHDi</v>
          </cell>
          <cell r="F169">
            <v>2019</v>
          </cell>
          <cell r="G169" t="str">
            <v>50가1113</v>
          </cell>
          <cell r="H169" t="str">
            <v>VR3FHEHZRKY044752</v>
          </cell>
          <cell r="I169">
            <v>45961</v>
          </cell>
          <cell r="J169" t="str">
            <v>(주)세이프중고차</v>
          </cell>
          <cell r="K169" t="str">
            <v>서울</v>
          </cell>
          <cell r="L169" t="str">
            <v>잔금</v>
          </cell>
          <cell r="M169" t="str">
            <v>50만원 회사통장 나감</v>
          </cell>
          <cell r="N169">
            <v>1504</v>
          </cell>
          <cell r="P169">
            <v>1504</v>
          </cell>
          <cell r="Q169" t="str">
            <v>DONE</v>
          </cell>
          <cell r="R169">
            <v>45969</v>
          </cell>
          <cell r="S169" t="str">
            <v>R.S.h L.L.C.</v>
          </cell>
          <cell r="T169" t="str">
            <v>R.Sh L.L.C.</v>
          </cell>
          <cell r="U169">
            <v>812326016</v>
          </cell>
          <cell r="V169" t="str">
            <v>+383486 611 61</v>
          </cell>
          <cell r="W169" t="str">
            <v>Kosovo</v>
          </cell>
          <cell r="X169">
            <v>1426</v>
          </cell>
          <cell r="AB169">
            <v>1657</v>
          </cell>
          <cell r="AC169">
            <v>8703</v>
          </cell>
          <cell r="AD169">
            <v>1437</v>
          </cell>
          <cell r="AE169">
            <v>10140</v>
          </cell>
        </row>
        <row r="170">
          <cell r="A170">
            <v>168</v>
          </cell>
          <cell r="B170">
            <v>45957</v>
          </cell>
          <cell r="C170" t="str">
            <v>VOLKSWAGENS Tiguan 2.0 TDI BMT</v>
          </cell>
          <cell r="D170" t="str">
            <v>VOLKSWAGENS</v>
          </cell>
          <cell r="E170" t="str">
            <v>Tiguan 2.0 TDI BMT</v>
          </cell>
          <cell r="F170">
            <v>2016</v>
          </cell>
          <cell r="G170" t="str">
            <v xml:space="preserve">46저0987   </v>
          </cell>
          <cell r="H170" t="str">
            <v>WVGZZZ5NZGW542339</v>
          </cell>
          <cell r="I170">
            <v>45959</v>
          </cell>
          <cell r="J170" t="str">
            <v>㈜청구모터스</v>
          </cell>
          <cell r="K170" t="str">
            <v>수원</v>
          </cell>
          <cell r="L170" t="str">
            <v>잔금</v>
          </cell>
          <cell r="M170" t="str">
            <v>50만원 회사통장 나감</v>
          </cell>
          <cell r="N170">
            <v>1350</v>
          </cell>
          <cell r="P170">
            <v>1350</v>
          </cell>
          <cell r="Q170" t="str">
            <v>DONE</v>
          </cell>
          <cell r="R170">
            <v>45961</v>
          </cell>
          <cell r="S170" t="str">
            <v>Auto Posh SH.P.K</v>
          </cell>
          <cell r="T170" t="str">
            <v>Auto Posh SH.P.K</v>
          </cell>
          <cell r="U170">
            <v>812219427</v>
          </cell>
          <cell r="V170" t="str">
            <v>38345560145</v>
          </cell>
          <cell r="W170" t="str">
            <v xml:space="preserve"> Rruga Jakup Lami, Pn. Greme, Feriza</v>
          </cell>
          <cell r="X170">
            <v>1422</v>
          </cell>
          <cell r="AB170">
            <v>1653</v>
          </cell>
          <cell r="AC170">
            <v>7817</v>
          </cell>
          <cell r="AD170">
            <v>1523</v>
          </cell>
          <cell r="AE170">
            <v>9340</v>
          </cell>
          <cell r="AF170">
            <v>-500</v>
          </cell>
        </row>
        <row r="171">
          <cell r="A171">
            <v>169</v>
          </cell>
          <cell r="B171">
            <v>45957</v>
          </cell>
          <cell r="C171" t="str">
            <v>BMW 1 M Coupe</v>
          </cell>
          <cell r="D171" t="str">
            <v>BMW</v>
          </cell>
          <cell r="E171" t="str">
            <v>1 M Coupe</v>
          </cell>
          <cell r="F171">
            <v>2012</v>
          </cell>
          <cell r="G171" t="str">
            <v>251주8282</v>
          </cell>
          <cell r="H171" t="str">
            <v>WBSUR9105CVS63594</v>
          </cell>
          <cell r="I171">
            <v>45964</v>
          </cell>
          <cell r="J171" t="str">
            <v>㈜아차차</v>
          </cell>
          <cell r="K171" t="str">
            <v>수원</v>
          </cell>
          <cell r="L171" t="str">
            <v>잔금</v>
          </cell>
          <cell r="M171" t="str">
            <v>50만원 대표님 계약</v>
          </cell>
          <cell r="N171">
            <v>3196</v>
          </cell>
          <cell r="O171">
            <v>44</v>
          </cell>
          <cell r="P171">
            <v>3240</v>
          </cell>
          <cell r="Q171" t="str">
            <v>done</v>
          </cell>
          <cell r="R171">
            <v>45990</v>
          </cell>
          <cell r="S171" t="str">
            <v>Ardijan Qorraj</v>
          </cell>
          <cell r="T171" t="str">
            <v>Ardijan Qorraj</v>
          </cell>
          <cell r="U171" t="str">
            <v>C6YRK7K2F</v>
          </cell>
          <cell r="V171">
            <v>4917655744700</v>
          </cell>
          <cell r="W171" t="str">
            <v>Germany, Piepersweg 35 (41066)</v>
          </cell>
          <cell r="X171">
            <v>1422</v>
          </cell>
          <cell r="AB171">
            <v>1653</v>
          </cell>
          <cell r="AC171">
            <v>18600</v>
          </cell>
          <cell r="AD171" t="str">
            <v>????</v>
          </cell>
          <cell r="AE171">
            <v>18600</v>
          </cell>
        </row>
        <row r="172">
          <cell r="A172">
            <v>170</v>
          </cell>
          <cell r="B172">
            <v>45957</v>
          </cell>
          <cell r="C172" t="str">
            <v>VOLKSWAGENS Tiguan 2.0 TDI</v>
          </cell>
          <cell r="D172" t="str">
            <v>VOLKSWAGENS</v>
          </cell>
          <cell r="E172" t="str">
            <v>Tiguan 2.0 TDI</v>
          </cell>
          <cell r="F172">
            <v>2020</v>
          </cell>
          <cell r="G172" t="str">
            <v>179도6561</v>
          </cell>
          <cell r="H172" t="str">
            <v>WVGZZZ5NZLW856642</v>
          </cell>
          <cell r="I172">
            <v>45959</v>
          </cell>
          <cell r="J172" t="str">
            <v>㈜카피디</v>
          </cell>
          <cell r="K172" t="str">
            <v>부산</v>
          </cell>
          <cell r="L172" t="str">
            <v>잔금</v>
          </cell>
          <cell r="M172" t="str">
            <v>50만원 대표님 계약</v>
          </cell>
          <cell r="N172">
            <v>2190</v>
          </cell>
          <cell r="P172">
            <v>2190</v>
          </cell>
          <cell r="Q172" t="str">
            <v>DONE</v>
          </cell>
          <cell r="R172">
            <v>45961</v>
          </cell>
          <cell r="S172" t="str">
            <v>DONI</v>
          </cell>
          <cell r="T172" t="str">
            <v>DONI</v>
          </cell>
          <cell r="U172">
            <v>933682</v>
          </cell>
          <cell r="V172" t="str">
            <v>3 8 3 4 9 3 2 5 7 0 3</v>
          </cell>
          <cell r="W172" t="str">
            <v xml:space="preserve"> HYZRI TALLA OB 16 HY 1 NR 18
 Kosovë</v>
          </cell>
          <cell r="X172">
            <v>1422</v>
          </cell>
          <cell r="AB172">
            <v>1653</v>
          </cell>
          <cell r="AC172">
            <v>12677</v>
          </cell>
          <cell r="AD172">
            <v>1523</v>
          </cell>
          <cell r="AE172">
            <v>14200</v>
          </cell>
        </row>
        <row r="173">
          <cell r="A173">
            <v>171</v>
          </cell>
          <cell r="B173">
            <v>45957</v>
          </cell>
          <cell r="C173" t="str">
            <v>Renault QM3</v>
          </cell>
          <cell r="D173" t="str">
            <v>Renault</v>
          </cell>
          <cell r="E173" t="str">
            <v>QM3</v>
          </cell>
          <cell r="F173">
            <v>2016</v>
          </cell>
          <cell r="G173" t="str">
            <v>13모0742</v>
          </cell>
          <cell r="H173" t="str">
            <v>VF12RGJ1DGW172181</v>
          </cell>
          <cell r="I173">
            <v>45959</v>
          </cell>
          <cell r="J173" t="str">
            <v>㈜열정모터스</v>
          </cell>
          <cell r="K173" t="str">
            <v>부천</v>
          </cell>
          <cell r="L173" t="str">
            <v>잔금</v>
          </cell>
          <cell r="M173" t="str">
            <v>50만원 대표님 계약</v>
          </cell>
          <cell r="N173">
            <v>554</v>
          </cell>
          <cell r="P173">
            <v>554</v>
          </cell>
          <cell r="Q173" t="str">
            <v>DONE</v>
          </cell>
          <cell r="R173">
            <v>45961</v>
          </cell>
          <cell r="S173" t="str">
            <v>ATLAS GROUP SH.P.K</v>
          </cell>
          <cell r="T173" t="str">
            <v>ATLAS GROUP SH.P.K</v>
          </cell>
          <cell r="U173">
            <v>812137455</v>
          </cell>
          <cell r="V173" t="str">
            <v>+38348702207</v>
          </cell>
          <cell r="W173" t="str">
            <v>Xhelal Hajda, p.n. Rahovec</v>
          </cell>
          <cell r="X173">
            <v>1422</v>
          </cell>
          <cell r="AB173">
            <v>1653</v>
          </cell>
          <cell r="AC173">
            <v>3413</v>
          </cell>
          <cell r="AD173">
            <v>1437</v>
          </cell>
          <cell r="AE173">
            <v>4850</v>
          </cell>
        </row>
        <row r="174">
          <cell r="A174">
            <v>172</v>
          </cell>
          <cell r="B174">
            <v>45957</v>
          </cell>
          <cell r="C174" t="str">
            <v>BMW X4 xDrive20d</v>
          </cell>
          <cell r="D174" t="str">
            <v>BMW</v>
          </cell>
          <cell r="E174" t="str">
            <v>X4 xDrive20d</v>
          </cell>
          <cell r="F174">
            <v>2021</v>
          </cell>
          <cell r="G174" t="str">
            <v>184무3865</v>
          </cell>
          <cell r="H174" t="str">
            <v>WBAVJ910XM9D71173</v>
          </cell>
          <cell r="I174">
            <v>45959</v>
          </cell>
          <cell r="J174" t="str">
            <v>㈜ 에스원모터스</v>
          </cell>
          <cell r="K174" t="str">
            <v>용인</v>
          </cell>
          <cell r="L174" t="str">
            <v>잔금</v>
          </cell>
          <cell r="M174" t="str">
            <v>100만원 대표님 계약</v>
          </cell>
          <cell r="N174">
            <v>3800</v>
          </cell>
          <cell r="P174">
            <v>3800</v>
          </cell>
          <cell r="Q174" t="str">
            <v>DONE</v>
          </cell>
          <cell r="R174">
            <v>45969</v>
          </cell>
          <cell r="S174" t="str">
            <v>SELMANI</v>
          </cell>
          <cell r="T174" t="str">
            <v>ALTIN SELMANI</v>
          </cell>
          <cell r="U174">
            <v>1170964493</v>
          </cell>
          <cell r="V174" t="str">
            <v>383 49 270 366</v>
          </cell>
          <cell r="W174" t="str">
            <v>Kosovo</v>
          </cell>
          <cell r="X174">
            <v>1422</v>
          </cell>
          <cell r="AB174">
            <v>1653</v>
          </cell>
          <cell r="AC174">
            <v>21973</v>
          </cell>
          <cell r="AD174">
            <v>1527</v>
          </cell>
          <cell r="AE174">
            <v>23500</v>
          </cell>
        </row>
        <row r="175">
          <cell r="A175">
            <v>173</v>
          </cell>
          <cell r="B175">
            <v>45958</v>
          </cell>
          <cell r="C175" t="str">
            <v>HYUNDAI SONATA</v>
          </cell>
          <cell r="D175" t="str">
            <v>HYUNDAI</v>
          </cell>
          <cell r="E175" t="str">
            <v>SONATA</v>
          </cell>
          <cell r="F175">
            <v>2016</v>
          </cell>
          <cell r="G175" t="str">
            <v>17저1819</v>
          </cell>
          <cell r="H175" t="str">
            <v>KMHE341DBGA223923</v>
          </cell>
          <cell r="I175">
            <v>45965</v>
          </cell>
          <cell r="J175" t="str">
            <v>㈜세일자동차</v>
          </cell>
          <cell r="K175" t="str">
            <v>대구</v>
          </cell>
          <cell r="L175" t="str">
            <v>잔금</v>
          </cell>
          <cell r="M175" t="str">
            <v>50만원 대표님 계약</v>
          </cell>
          <cell r="N175">
            <v>560</v>
          </cell>
          <cell r="P175">
            <v>560</v>
          </cell>
          <cell r="Q175" t="str">
            <v>DONE</v>
          </cell>
          <cell r="R175">
            <v>45969</v>
          </cell>
          <cell r="S175" t="str">
            <v>CALJA</v>
          </cell>
          <cell r="T175" t="str">
            <v>RENATO XHELILI</v>
          </cell>
          <cell r="U175" t="str">
            <v>J80801021W</v>
          </cell>
          <cell r="V175" t="str">
            <v>355 69 550 5533</v>
          </cell>
          <cell r="W175" t="str">
            <v>Albania</v>
          </cell>
          <cell r="X175">
            <v>1417</v>
          </cell>
          <cell r="AB175">
            <v>1651</v>
          </cell>
          <cell r="AC175">
            <v>3487</v>
          </cell>
          <cell r="AD175">
            <v>1433</v>
          </cell>
          <cell r="AE175">
            <v>4920</v>
          </cell>
          <cell r="AF175">
            <v>5550</v>
          </cell>
        </row>
        <row r="176">
          <cell r="A176">
            <v>174</v>
          </cell>
          <cell r="B176">
            <v>45958</v>
          </cell>
          <cell r="C176" t="str">
            <v>VOLKSWAGENS Tiguan Allspace 2.0 TDI</v>
          </cell>
          <cell r="D176" t="str">
            <v>VOLKSWAGENS</v>
          </cell>
          <cell r="E176" t="str">
            <v>Tiguan Allspace 2.0 TDI</v>
          </cell>
          <cell r="F176">
            <v>2020</v>
          </cell>
          <cell r="G176" t="str">
            <v>162무2232</v>
          </cell>
          <cell r="H176" t="str">
            <v>WVGZZZ5NZLM108208</v>
          </cell>
          <cell r="I176">
            <v>45964</v>
          </cell>
          <cell r="J176" t="str">
            <v>(주)신사모터스</v>
          </cell>
          <cell r="K176" t="str">
            <v>수원</v>
          </cell>
          <cell r="L176" t="str">
            <v>잔금</v>
          </cell>
          <cell r="M176" t="str">
            <v>50만원 대표님 계약</v>
          </cell>
          <cell r="N176">
            <v>2070</v>
          </cell>
          <cell r="P176">
            <v>2070</v>
          </cell>
          <cell r="Q176" t="str">
            <v>DONE</v>
          </cell>
          <cell r="R176">
            <v>45969</v>
          </cell>
          <cell r="S176" t="str">
            <v>R.S.h L.L.C.</v>
          </cell>
          <cell r="T176" t="str">
            <v>R.Sh L.L.C.</v>
          </cell>
          <cell r="U176">
            <v>812326016</v>
          </cell>
          <cell r="V176" t="str">
            <v>+383486 611 61</v>
          </cell>
          <cell r="W176" t="str">
            <v>Kosovo</v>
          </cell>
          <cell r="X176">
            <v>1417</v>
          </cell>
          <cell r="AB176">
            <v>1651</v>
          </cell>
          <cell r="AC176">
            <v>12031</v>
          </cell>
          <cell r="AD176">
            <v>1519</v>
          </cell>
          <cell r="AE176">
            <v>13550</v>
          </cell>
        </row>
        <row r="177">
          <cell r="A177">
            <v>175</v>
          </cell>
          <cell r="B177">
            <v>45958</v>
          </cell>
          <cell r="C177" t="str">
            <v>BENZ E220 d</v>
          </cell>
          <cell r="D177" t="str">
            <v>BENZ</v>
          </cell>
          <cell r="E177" t="str">
            <v>E220 d</v>
          </cell>
          <cell r="F177">
            <v>2017</v>
          </cell>
          <cell r="G177" t="str">
            <v>42서5071</v>
          </cell>
          <cell r="H177" t="str">
            <v>WDDZF0EB9HA158087</v>
          </cell>
          <cell r="I177">
            <v>45964</v>
          </cell>
          <cell r="J177" t="str">
            <v>(주)수호모터스</v>
          </cell>
          <cell r="L177" t="str">
            <v>잔금</v>
          </cell>
          <cell r="M177" t="str">
            <v>50만원 대표님 계약</v>
          </cell>
          <cell r="N177">
            <v>1800</v>
          </cell>
          <cell r="O177">
            <v>44</v>
          </cell>
          <cell r="P177">
            <v>1844</v>
          </cell>
          <cell r="Q177" t="str">
            <v>DONE</v>
          </cell>
          <cell r="R177">
            <v>45969</v>
          </cell>
          <cell r="S177" t="str">
            <v>Auto Posh SH.P.K</v>
          </cell>
          <cell r="T177" t="str">
            <v>Auto Posh SH.P.K</v>
          </cell>
          <cell r="U177">
            <v>812219427</v>
          </cell>
          <cell r="V177" t="str">
            <v>38345560145</v>
          </cell>
          <cell r="W177" t="str">
            <v xml:space="preserve"> Rruga Jakup Lami, Pn. Greme, Feriza</v>
          </cell>
          <cell r="X177">
            <v>1417</v>
          </cell>
          <cell r="AB177">
            <v>1651</v>
          </cell>
          <cell r="AC177">
            <v>10662</v>
          </cell>
          <cell r="AD177">
            <v>1433</v>
          </cell>
          <cell r="AE177">
            <v>12095</v>
          </cell>
          <cell r="AF177">
            <v>-500</v>
          </cell>
        </row>
        <row r="178">
          <cell r="A178">
            <v>176</v>
          </cell>
          <cell r="B178">
            <v>45959</v>
          </cell>
          <cell r="C178" t="str">
            <v>BMW 320d</v>
          </cell>
          <cell r="D178" t="str">
            <v>BMW</v>
          </cell>
          <cell r="E178" t="str">
            <v>320d</v>
          </cell>
          <cell r="F178">
            <v>2017</v>
          </cell>
          <cell r="G178" t="str">
            <v>52너2668</v>
          </cell>
          <cell r="H178" t="str">
            <v>WBA8C5104HA067905</v>
          </cell>
          <cell r="I178">
            <v>45965</v>
          </cell>
          <cell r="J178" t="str">
            <v>트라움모터스</v>
          </cell>
          <cell r="K178" t="str">
            <v>대구</v>
          </cell>
          <cell r="L178" t="str">
            <v>잔금</v>
          </cell>
          <cell r="M178" t="str">
            <v>80만원 회사통장 나감</v>
          </cell>
          <cell r="N178">
            <v>1760</v>
          </cell>
          <cell r="P178">
            <v>1760</v>
          </cell>
          <cell r="Q178" t="str">
            <v>DONE</v>
          </cell>
          <cell r="R178">
            <v>45969</v>
          </cell>
          <cell r="S178" t="str">
            <v>ATLAS GROUP SH.P.K</v>
          </cell>
          <cell r="T178" t="str">
            <v>ATLAS GROUP SH.P.K</v>
          </cell>
          <cell r="U178">
            <v>812137455</v>
          </cell>
          <cell r="V178" t="str">
            <v>+38348702207</v>
          </cell>
          <cell r="W178" t="str">
            <v>Xhelal Hajda, p.n. Rahovec</v>
          </cell>
          <cell r="X178">
            <v>1418</v>
          </cell>
          <cell r="AB178">
            <v>1653</v>
          </cell>
          <cell r="AC178">
            <v>10177</v>
          </cell>
          <cell r="AD178">
            <v>1433</v>
          </cell>
          <cell r="AE178">
            <v>11610</v>
          </cell>
        </row>
        <row r="179">
          <cell r="A179">
            <v>177</v>
          </cell>
          <cell r="B179">
            <v>45966</v>
          </cell>
          <cell r="C179" t="str">
            <v>BMW 320d</v>
          </cell>
          <cell r="D179" t="str">
            <v>BMW</v>
          </cell>
          <cell r="E179" t="str">
            <v>320d</v>
          </cell>
          <cell r="F179">
            <v>2016</v>
          </cell>
          <cell r="G179" t="str">
            <v>69부0774</v>
          </cell>
          <cell r="H179" t="str">
            <v>WBA8C5107GK640403</v>
          </cell>
          <cell r="J179" t="str">
            <v>경매장- 헤이딜러</v>
          </cell>
          <cell r="L179" t="str">
            <v>잔금</v>
          </cell>
          <cell r="N179">
            <v>1214</v>
          </cell>
          <cell r="O179">
            <v>37</v>
          </cell>
          <cell r="P179">
            <v>1251</v>
          </cell>
          <cell r="Q179" t="str">
            <v>DONE</v>
          </cell>
          <cell r="R179">
            <v>45969</v>
          </cell>
          <cell r="S179" t="str">
            <v>DONI</v>
          </cell>
          <cell r="T179" t="str">
            <v>DONI</v>
          </cell>
          <cell r="U179">
            <v>933682</v>
          </cell>
          <cell r="V179" t="str">
            <v>3 8 3 4 9 3 2 5 7 0 3</v>
          </cell>
          <cell r="W179" t="str">
            <v xml:space="preserve"> HYZRI TALLA OB 16 HY 1 NR 18
 Kosovë</v>
          </cell>
          <cell r="X179">
            <v>1433</v>
          </cell>
          <cell r="AB179">
            <v>1645</v>
          </cell>
          <cell r="AC179">
            <v>7305</v>
          </cell>
          <cell r="AD179">
            <v>1455</v>
          </cell>
          <cell r="AE179">
            <v>8760</v>
          </cell>
        </row>
        <row r="180">
          <cell r="A180">
            <v>178</v>
          </cell>
          <cell r="B180">
            <v>45959</v>
          </cell>
          <cell r="C180" t="str">
            <v>KIA SORENTO</v>
          </cell>
          <cell r="D180" t="str">
            <v>KIA</v>
          </cell>
          <cell r="E180" t="str">
            <v>SORENTO</v>
          </cell>
          <cell r="F180">
            <v>2024</v>
          </cell>
          <cell r="G180" t="str">
            <v>364러5925</v>
          </cell>
          <cell r="H180" t="str">
            <v xml:space="preserve">KNARG81BGRA243447 </v>
          </cell>
          <cell r="I180">
            <v>45964</v>
          </cell>
          <cell r="J180" t="str">
            <v>오토플러스㈜</v>
          </cell>
          <cell r="L180" t="str">
            <v>잔금</v>
          </cell>
          <cell r="M180" t="str">
            <v>100만원 회사통장 나감</v>
          </cell>
          <cell r="N180">
            <v>3484</v>
          </cell>
          <cell r="P180">
            <v>3484</v>
          </cell>
          <cell r="Q180" t="str">
            <v>DONE</v>
          </cell>
          <cell r="R180">
            <v>45969</v>
          </cell>
          <cell r="S180" t="str">
            <v>AlphaWorldWide</v>
          </cell>
          <cell r="T180" t="str">
            <v>AlphaWorldWideAlbania</v>
          </cell>
          <cell r="U180" t="str">
            <v>SN-619176-11-19</v>
          </cell>
          <cell r="V180" t="str">
            <v>355 69223 3416</v>
          </cell>
          <cell r="W180" t="str">
            <v xml:space="preserve">Durres, Durres, DURRES, Lagjja nr.11, Rruga Bulevardi, me siperfaqe 30m2 </v>
          </cell>
          <cell r="X180">
            <v>1418</v>
          </cell>
          <cell r="AB180">
            <v>1653</v>
          </cell>
          <cell r="AC180">
            <v>20082</v>
          </cell>
          <cell r="AD180">
            <v>1518</v>
          </cell>
          <cell r="AE180">
            <v>21600</v>
          </cell>
        </row>
        <row r="181">
          <cell r="A181">
            <v>179</v>
          </cell>
          <cell r="B181">
            <v>45966</v>
          </cell>
          <cell r="C181" t="str">
            <v>AUDI A4 30 TDI</v>
          </cell>
          <cell r="D181" t="str">
            <v>AUDI</v>
          </cell>
          <cell r="E181" t="str">
            <v>A4 30 TDI</v>
          </cell>
          <cell r="F181">
            <v>2016</v>
          </cell>
          <cell r="G181" t="str">
            <v>51저0257</v>
          </cell>
          <cell r="H181" t="str">
            <v>WAUZZZ8K0GN010478 </v>
          </cell>
          <cell r="J181" t="str">
            <v>경매장- Kcar</v>
          </cell>
          <cell r="L181" t="str">
            <v>잔금</v>
          </cell>
          <cell r="N181">
            <v>1200</v>
          </cell>
          <cell r="O181">
            <v>26</v>
          </cell>
          <cell r="P181">
            <v>1226</v>
          </cell>
          <cell r="Q181" t="str">
            <v>done</v>
          </cell>
          <cell r="R181">
            <v>45980</v>
          </cell>
          <cell r="S181" t="str">
            <v>DONI</v>
          </cell>
          <cell r="T181" t="str">
            <v>DONI</v>
          </cell>
          <cell r="U181">
            <v>933682</v>
          </cell>
          <cell r="V181" t="str">
            <v>3 8 3 4 9 3 2 5 7 0 3</v>
          </cell>
          <cell r="W181" t="str">
            <v xml:space="preserve"> HYZRI TALLA OB 16 HY 1 NR 18
 Kosovë</v>
          </cell>
          <cell r="X181">
            <v>1433</v>
          </cell>
          <cell r="AB181">
            <v>1645</v>
          </cell>
          <cell r="AC181">
            <v>7125</v>
          </cell>
          <cell r="AD181">
            <v>1455</v>
          </cell>
          <cell r="AE181">
            <v>8580</v>
          </cell>
        </row>
        <row r="182">
          <cell r="A182">
            <v>147</v>
          </cell>
          <cell r="B182">
            <v>45966</v>
          </cell>
          <cell r="C182" t="str">
            <v>HYUNDAI SANTAFE</v>
          </cell>
          <cell r="D182" t="str">
            <v>HYUNDAI</v>
          </cell>
          <cell r="E182" t="str">
            <v>SANTAFE</v>
          </cell>
          <cell r="F182">
            <v>2013</v>
          </cell>
          <cell r="G182" t="str">
            <v>20고6461</v>
          </cell>
          <cell r="H182" t="str">
            <v>KMHSW81UDDU125723</v>
          </cell>
          <cell r="J182" t="str">
            <v>경매장- Kcar</v>
          </cell>
          <cell r="L182" t="str">
            <v>잔금</v>
          </cell>
          <cell r="N182">
            <v>645</v>
          </cell>
          <cell r="O182">
            <v>16</v>
          </cell>
          <cell r="P182">
            <v>661</v>
          </cell>
          <cell r="Q182" t="str">
            <v>DONE</v>
          </cell>
          <cell r="R182">
            <v>45969</v>
          </cell>
          <cell r="S182" t="str">
            <v xml:space="preserve">Erion </v>
          </cell>
          <cell r="T182" t="str">
            <v>Erion Gjergji</v>
          </cell>
          <cell r="U182" t="str">
            <v>I90516099R</v>
          </cell>
          <cell r="V182" t="str">
            <v>49 163 6979 099</v>
          </cell>
          <cell r="W182" t="str">
            <v>Albania</v>
          </cell>
          <cell r="X182">
            <v>1433</v>
          </cell>
          <cell r="AB182">
            <v>1645</v>
          </cell>
          <cell r="AC182">
            <v>4008</v>
          </cell>
          <cell r="AD182">
            <v>1542</v>
          </cell>
          <cell r="AE182">
            <v>5550</v>
          </cell>
        </row>
        <row r="183">
          <cell r="A183">
            <v>181</v>
          </cell>
          <cell r="B183">
            <v>45966</v>
          </cell>
          <cell r="C183" t="str">
            <v>VOLKSWAGENS GOLF 7</v>
          </cell>
          <cell r="D183" t="str">
            <v>VOLKSWAGENS</v>
          </cell>
          <cell r="E183" t="str">
            <v>GOLF 7</v>
          </cell>
          <cell r="F183">
            <v>2014</v>
          </cell>
          <cell r="G183" t="str">
            <v>22머9219</v>
          </cell>
          <cell r="H183" t="str">
            <v>WVWZZZAUZEW013036</v>
          </cell>
          <cell r="J183" t="str">
            <v>경매장- Kcar</v>
          </cell>
          <cell r="L183" t="str">
            <v>잔금</v>
          </cell>
          <cell r="N183">
            <v>580</v>
          </cell>
          <cell r="O183">
            <v>16</v>
          </cell>
          <cell r="P183">
            <v>596</v>
          </cell>
          <cell r="Q183" t="str">
            <v>DONE</v>
          </cell>
          <cell r="R183">
            <v>45969</v>
          </cell>
          <cell r="S183" t="str">
            <v xml:space="preserve">Erion </v>
          </cell>
          <cell r="T183" t="str">
            <v>Erion Gjergji</v>
          </cell>
          <cell r="U183" t="str">
            <v>I90516099R</v>
          </cell>
          <cell r="V183" t="str">
            <v>49 163 6979 099</v>
          </cell>
          <cell r="W183" t="str">
            <v>Albania</v>
          </cell>
          <cell r="X183">
            <v>1433</v>
          </cell>
          <cell r="AB183">
            <v>1645</v>
          </cell>
          <cell r="AC183">
            <v>3625</v>
          </cell>
          <cell r="AD183">
            <v>1455</v>
          </cell>
          <cell r="AE183">
            <v>5080</v>
          </cell>
          <cell r="AF183">
            <v>5080</v>
          </cell>
        </row>
        <row r="184">
          <cell r="A184">
            <v>182</v>
          </cell>
          <cell r="B184">
            <v>45966</v>
          </cell>
          <cell r="C184" t="str">
            <v>AUDI A7</v>
          </cell>
          <cell r="D184" t="str">
            <v>AUDI</v>
          </cell>
          <cell r="E184" t="str">
            <v>A7</v>
          </cell>
          <cell r="F184">
            <v>2013</v>
          </cell>
          <cell r="G184" t="str">
            <v>13라2929</v>
          </cell>
          <cell r="H184" t="str">
            <v>WAUZZZ4G3DN013033</v>
          </cell>
          <cell r="J184" t="str">
            <v>경매장- Kcar</v>
          </cell>
          <cell r="L184" t="str">
            <v>잔금</v>
          </cell>
          <cell r="N184">
            <v>590</v>
          </cell>
          <cell r="O184">
            <v>16</v>
          </cell>
          <cell r="P184">
            <v>606</v>
          </cell>
          <cell r="Q184" t="str">
            <v>DONE</v>
          </cell>
          <cell r="R184">
            <v>45969</v>
          </cell>
          <cell r="S184" t="str">
            <v xml:space="preserve">Erion </v>
          </cell>
          <cell r="T184" t="str">
            <v>Erion Gjergji</v>
          </cell>
          <cell r="U184" t="str">
            <v>I90516099R</v>
          </cell>
          <cell r="V184" t="str">
            <v>49 163 6979 099</v>
          </cell>
          <cell r="W184" t="str">
            <v>Albania</v>
          </cell>
          <cell r="X184">
            <v>1433</v>
          </cell>
          <cell r="AB184">
            <v>1645</v>
          </cell>
          <cell r="AC184">
            <v>3695</v>
          </cell>
          <cell r="AD184">
            <v>1455</v>
          </cell>
          <cell r="AE184">
            <v>5150</v>
          </cell>
          <cell r="AF184">
            <v>5150</v>
          </cell>
        </row>
        <row r="185">
          <cell r="A185">
            <v>183</v>
          </cell>
          <cell r="B185">
            <v>45960</v>
          </cell>
          <cell r="C185" t="str">
            <v>AUDI Q3 35 TDI</v>
          </cell>
          <cell r="D185" t="str">
            <v>AUDI</v>
          </cell>
          <cell r="E185" t="str">
            <v>Q3 35 TDI</v>
          </cell>
          <cell r="F185">
            <v>2020</v>
          </cell>
          <cell r="G185" t="str">
            <v>340모2296</v>
          </cell>
          <cell r="H185" t="str">
            <v>WAUZZZF35L1114171 </v>
          </cell>
          <cell r="I185">
            <v>45965</v>
          </cell>
          <cell r="J185" t="str">
            <v>㈜퍼스트모터스</v>
          </cell>
          <cell r="L185" t="str">
            <v>잔금</v>
          </cell>
          <cell r="M185" t="str">
            <v>50만원 회사통장 나감</v>
          </cell>
          <cell r="N185">
            <v>2520</v>
          </cell>
          <cell r="P185">
            <v>2520</v>
          </cell>
          <cell r="Q185" t="str">
            <v>DONE</v>
          </cell>
          <cell r="R185">
            <v>45969</v>
          </cell>
          <cell r="S185" t="str">
            <v>ATLAS GROUP SH.P.K</v>
          </cell>
          <cell r="T185" t="str">
            <v>ATLAS GROUP SH.P.K</v>
          </cell>
          <cell r="U185">
            <v>812137455</v>
          </cell>
          <cell r="V185" t="str">
            <v>+38348702207</v>
          </cell>
          <cell r="W185" t="str">
            <v>Xhelal Hajda, p.n. Rahovec</v>
          </cell>
          <cell r="X185">
            <v>1417</v>
          </cell>
          <cell r="AB185">
            <v>1637</v>
          </cell>
          <cell r="AC185">
            <v>14678</v>
          </cell>
          <cell r="AD185">
            <v>1532</v>
          </cell>
          <cell r="AE185">
            <v>16210</v>
          </cell>
        </row>
        <row r="186">
          <cell r="A186">
            <v>184</v>
          </cell>
          <cell r="B186">
            <v>45960</v>
          </cell>
          <cell r="C186" t="str">
            <v>BENZ CLS63 AMG 4Matic</v>
          </cell>
          <cell r="D186" t="str">
            <v>BENZ</v>
          </cell>
          <cell r="E186" t="str">
            <v>CLS63 AMG 4Matic</v>
          </cell>
          <cell r="F186">
            <v>2015</v>
          </cell>
          <cell r="G186" t="str">
            <v>02나0707</v>
          </cell>
          <cell r="H186" t="str">
            <v>WDDLJ9CB0FA155152</v>
          </cell>
          <cell r="I186">
            <v>45964</v>
          </cell>
          <cell r="J186" t="str">
            <v>㈜제네럴모터스</v>
          </cell>
          <cell r="L186" t="str">
            <v>잔금</v>
          </cell>
          <cell r="M186" t="str">
            <v>50만원 대표님 계약</v>
          </cell>
          <cell r="N186">
            <v>3100</v>
          </cell>
          <cell r="P186">
            <v>3100</v>
          </cell>
          <cell r="Q186" t="str">
            <v>DONE</v>
          </cell>
          <cell r="R186">
            <v>45965</v>
          </cell>
          <cell r="S186" t="str">
            <v xml:space="preserve">DAX IMPORT 🇩🇪 </v>
          </cell>
          <cell r="T186" t="str">
            <v xml:space="preserve">Michael Karl  </v>
          </cell>
          <cell r="U186" t="str">
            <v>LF9N8WZ16</v>
          </cell>
          <cell r="V186" t="str">
            <v>‪+49 471 94189050‬</v>
          </cell>
          <cell r="W186" t="str">
            <v xml:space="preserve">Dorfstr,33C,(82024) Taufkirchen, Germany </v>
          </cell>
          <cell r="X186">
            <v>1417</v>
          </cell>
          <cell r="AB186">
            <v>1637</v>
          </cell>
          <cell r="AC186">
            <v>18030</v>
          </cell>
          <cell r="AD186">
            <v>1169</v>
          </cell>
          <cell r="AE186">
            <v>19199</v>
          </cell>
        </row>
        <row r="187">
          <cell r="A187">
            <v>185</v>
          </cell>
          <cell r="B187">
            <v>45966</v>
          </cell>
          <cell r="C187" t="str">
            <v>VOLKSWAGENS Polo 5 FL 1.4 TDI BMT</v>
          </cell>
          <cell r="D187" t="str">
            <v>VOLKSWAGENS</v>
          </cell>
          <cell r="E187" t="str">
            <v>Polo 5 FL 1.4 TDI BMT</v>
          </cell>
          <cell r="F187">
            <v>2015</v>
          </cell>
          <cell r="G187" t="str">
            <v>66다0923</v>
          </cell>
          <cell r="H187" t="str">
            <v>WVWZZZ6RZFY316323</v>
          </cell>
          <cell r="J187" t="str">
            <v>경매장-현대글로비스</v>
          </cell>
          <cell r="L187" t="str">
            <v>잔금</v>
          </cell>
          <cell r="N187">
            <v>640</v>
          </cell>
          <cell r="O187">
            <v>14</v>
          </cell>
          <cell r="P187">
            <v>654</v>
          </cell>
          <cell r="Q187" t="str">
            <v>DONE</v>
          </cell>
          <cell r="R187">
            <v>45969</v>
          </cell>
          <cell r="S187" t="str">
            <v>DONI</v>
          </cell>
          <cell r="T187" t="str">
            <v>DONI</v>
          </cell>
          <cell r="U187">
            <v>933682</v>
          </cell>
          <cell r="V187" t="str">
            <v>3 8 3 4 9 3 2 5 7 0 3</v>
          </cell>
          <cell r="W187" t="str">
            <v xml:space="preserve"> HYZRI TALLA OB 16 HY 1 NR 18
 Kosovë</v>
          </cell>
          <cell r="X187">
            <v>1433</v>
          </cell>
          <cell r="AB187">
            <v>1645</v>
          </cell>
          <cell r="AC187">
            <v>3970</v>
          </cell>
          <cell r="AD187">
            <v>1455</v>
          </cell>
          <cell r="AE187">
            <v>5425</v>
          </cell>
        </row>
        <row r="188">
          <cell r="A188">
            <v>186</v>
          </cell>
          <cell r="B188">
            <v>45961</v>
          </cell>
          <cell r="C188" t="str">
            <v>VOLKSWAGENS Tiguan 2.0 TDI BMT</v>
          </cell>
          <cell r="D188" t="str">
            <v>VOLKSWAGENS</v>
          </cell>
          <cell r="E188" t="str">
            <v>Tiguan 2.0 TDI BMT</v>
          </cell>
          <cell r="F188">
            <v>2016</v>
          </cell>
          <cell r="G188" t="str">
            <v>09소0264</v>
          </cell>
          <cell r="H188" t="str">
            <v>WVGZZZ5NZGW079374</v>
          </cell>
          <cell r="I188">
            <v>45967</v>
          </cell>
          <cell r="J188" t="str">
            <v>㈜지엔비오토모빌</v>
          </cell>
          <cell r="K188" t="str">
            <v>대구</v>
          </cell>
          <cell r="L188" t="str">
            <v>잔금</v>
          </cell>
          <cell r="M188" t="str">
            <v>50만원 회사통장 나감</v>
          </cell>
          <cell r="N188">
            <v>1280</v>
          </cell>
          <cell r="P188">
            <v>1280</v>
          </cell>
          <cell r="Q188" t="str">
            <v>DONE</v>
          </cell>
          <cell r="R188">
            <v>45969</v>
          </cell>
          <cell r="S188" t="str">
            <v>ATLAS GROUP SH.P.K</v>
          </cell>
          <cell r="T188" t="str">
            <v>ATLAS GROUP SH.P.K</v>
          </cell>
          <cell r="U188">
            <v>812137455</v>
          </cell>
          <cell r="V188" t="str">
            <v>+38348702207</v>
          </cell>
          <cell r="W188" t="str">
            <v>Xhelal Hajda, p.n. Rahovec</v>
          </cell>
          <cell r="X188">
            <v>1414</v>
          </cell>
          <cell r="AB188">
            <v>1636</v>
          </cell>
          <cell r="AC188">
            <v>7450</v>
          </cell>
          <cell r="AD188">
            <v>1530</v>
          </cell>
          <cell r="AE188">
            <v>8980</v>
          </cell>
        </row>
        <row r="189">
          <cell r="A189">
            <v>187</v>
          </cell>
          <cell r="B189">
            <v>45963</v>
          </cell>
          <cell r="C189" t="str">
            <v>BMW X1 xDrive20d</v>
          </cell>
          <cell r="D189" t="str">
            <v>BMW</v>
          </cell>
          <cell r="E189" t="str">
            <v>X1 xDrive20d</v>
          </cell>
          <cell r="F189">
            <v>2016</v>
          </cell>
          <cell r="G189" t="str">
            <v>159누3410</v>
          </cell>
          <cell r="H189" t="str">
            <v>WBAHU3109GP916939 </v>
          </cell>
          <cell r="I189">
            <v>45966</v>
          </cell>
          <cell r="J189" t="str">
            <v>(주)에이플러스모터스</v>
          </cell>
          <cell r="K189" t="str">
            <v>강서</v>
          </cell>
          <cell r="L189" t="str">
            <v>잔금</v>
          </cell>
          <cell r="M189" t="str">
            <v>50만원 대표님 계약</v>
          </cell>
          <cell r="N189">
            <v>1390</v>
          </cell>
          <cell r="P189">
            <v>1390</v>
          </cell>
          <cell r="Q189" t="str">
            <v>DONE</v>
          </cell>
          <cell r="R189">
            <v>45969</v>
          </cell>
          <cell r="S189" t="str">
            <v>ATLAS GROUP SH.P.K</v>
          </cell>
          <cell r="T189" t="str">
            <v>ATLAS GROUP SH.P.K</v>
          </cell>
          <cell r="U189">
            <v>812137455</v>
          </cell>
          <cell r="V189" t="str">
            <v>+38348702207</v>
          </cell>
          <cell r="W189" t="str">
            <v>Xhelal Hajda, p.n. Rahovec</v>
          </cell>
          <cell r="X189">
            <v>1417</v>
          </cell>
          <cell r="AB189">
            <v>1634</v>
          </cell>
          <cell r="AC189">
            <v>8115</v>
          </cell>
          <cell r="AD189">
            <v>1535</v>
          </cell>
          <cell r="AE189">
            <v>9650</v>
          </cell>
        </row>
        <row r="190">
          <cell r="A190">
            <v>188</v>
          </cell>
          <cell r="B190">
            <v>45963</v>
          </cell>
          <cell r="C190" t="str">
            <v>BMW 420d xDrive Gran Coupe</v>
          </cell>
          <cell r="D190" t="str">
            <v>BMW</v>
          </cell>
          <cell r="E190" t="str">
            <v>420d xDrive Gran Coupe</v>
          </cell>
          <cell r="F190">
            <v>2016</v>
          </cell>
          <cell r="G190" t="str">
            <v>04러0606</v>
          </cell>
          <cell r="H190" t="str">
            <v>WBA4F1105GG606011</v>
          </cell>
          <cell r="I190">
            <v>45966</v>
          </cell>
          <cell r="J190" t="str">
            <v>(주)코오롱모빌리티그룹</v>
          </cell>
          <cell r="K190" t="str">
            <v>용인</v>
          </cell>
          <cell r="L190" t="str">
            <v>잔금</v>
          </cell>
          <cell r="M190" t="str">
            <v>50만원 대표님 계약</v>
          </cell>
          <cell r="N190">
            <v>1340</v>
          </cell>
          <cell r="P190">
            <v>1340</v>
          </cell>
          <cell r="Q190" t="str">
            <v>DONE</v>
          </cell>
          <cell r="R190">
            <v>45969</v>
          </cell>
          <cell r="S190" t="str">
            <v>VILLA KOHA</v>
          </cell>
          <cell r="T190" t="str">
            <v>VILLA KOHA SH.P.K</v>
          </cell>
          <cell r="U190">
            <v>810039588</v>
          </cell>
          <cell r="V190" t="str">
            <v>383 49247777</v>
          </cell>
          <cell r="W190" t="str">
            <v>KOSOVO</v>
          </cell>
          <cell r="X190">
            <v>1417</v>
          </cell>
          <cell r="AB190">
            <v>1634</v>
          </cell>
          <cell r="AC190">
            <v>7817</v>
          </cell>
          <cell r="AD190">
            <v>1448</v>
          </cell>
          <cell r="AE190">
            <v>9265</v>
          </cell>
          <cell r="AF190">
            <v>9265</v>
          </cell>
        </row>
        <row r="191">
          <cell r="A191">
            <v>189</v>
          </cell>
          <cell r="B191">
            <v>45963</v>
          </cell>
          <cell r="C191" t="str">
            <v>BENZ C220 BlueTEC</v>
          </cell>
          <cell r="D191" t="str">
            <v>BENZ</v>
          </cell>
          <cell r="E191" t="str">
            <v>C220 BlueTEC</v>
          </cell>
          <cell r="F191">
            <v>2015</v>
          </cell>
          <cell r="G191" t="str">
            <v>31어7015</v>
          </cell>
          <cell r="H191" t="str">
            <v>WDDWF0EB8FF106808</v>
          </cell>
          <cell r="I191">
            <v>45966</v>
          </cell>
          <cell r="J191" t="str">
            <v>(주)카베이</v>
          </cell>
          <cell r="K191" t="str">
            <v>부천</v>
          </cell>
          <cell r="L191" t="str">
            <v>잔금</v>
          </cell>
          <cell r="M191" t="str">
            <v>50만원 대표님 계약</v>
          </cell>
          <cell r="N191">
            <v>1194</v>
          </cell>
          <cell r="P191">
            <v>1194</v>
          </cell>
          <cell r="Q191" t="str">
            <v>DONE</v>
          </cell>
          <cell r="R191">
            <v>45969</v>
          </cell>
          <cell r="S191" t="str">
            <v>CALJA</v>
          </cell>
          <cell r="T191" t="str">
            <v>FRANCI HALILAJ</v>
          </cell>
          <cell r="U191" t="str">
            <v>K11220035T</v>
          </cell>
          <cell r="V191" t="str">
            <v>355 69 550 5533</v>
          </cell>
          <cell r="W191" t="str">
            <v>Albania</v>
          </cell>
          <cell r="X191">
            <v>1417</v>
          </cell>
          <cell r="AB191">
            <v>1634</v>
          </cell>
          <cell r="AC191">
            <v>7002</v>
          </cell>
          <cell r="AD191">
            <v>1448</v>
          </cell>
          <cell r="AE191">
            <v>8450</v>
          </cell>
          <cell r="AF191">
            <v>9100</v>
          </cell>
        </row>
        <row r="192">
          <cell r="A192">
            <v>190</v>
          </cell>
          <cell r="B192">
            <v>45963</v>
          </cell>
          <cell r="C192" t="str">
            <v>BENZ E250 BlueTEC 4Matic</v>
          </cell>
          <cell r="D192" t="str">
            <v>BENZ</v>
          </cell>
          <cell r="E192" t="str">
            <v>E250 BlueTEC 4Matic</v>
          </cell>
          <cell r="F192">
            <v>2016</v>
          </cell>
          <cell r="G192" t="str">
            <v>60어0210</v>
          </cell>
          <cell r="H192" t="str">
            <v>WDDHF9HB0GB317941</v>
          </cell>
          <cell r="I192">
            <v>45966</v>
          </cell>
          <cell r="J192" t="str">
            <v>(주)뉴카카</v>
          </cell>
          <cell r="L192" t="str">
            <v>잔금</v>
          </cell>
          <cell r="M192" t="str">
            <v>50만원 대표님 계약</v>
          </cell>
          <cell r="N192">
            <v>1144</v>
          </cell>
          <cell r="P192">
            <v>1144</v>
          </cell>
          <cell r="Q192" t="str">
            <v>DONE</v>
          </cell>
          <cell r="R192">
            <v>45969</v>
          </cell>
          <cell r="S192" t="str">
            <v>ATLAS GROUP SH.P.K</v>
          </cell>
          <cell r="T192" t="str">
            <v>ATLAS GROUP SH.P.K</v>
          </cell>
          <cell r="U192">
            <v>812137455</v>
          </cell>
          <cell r="V192" t="str">
            <v>+38348702207</v>
          </cell>
          <cell r="W192" t="str">
            <v>Xhelal Hajda, p.n. Rahovec</v>
          </cell>
          <cell r="X192">
            <v>1417</v>
          </cell>
          <cell r="AB192">
            <v>1634</v>
          </cell>
          <cell r="AC192">
            <v>6722</v>
          </cell>
          <cell r="AD192">
            <v>1448</v>
          </cell>
          <cell r="AE192">
            <v>8170</v>
          </cell>
        </row>
        <row r="193">
          <cell r="A193">
            <v>191</v>
          </cell>
          <cell r="B193">
            <v>45963</v>
          </cell>
          <cell r="C193" t="str">
            <v>BENZ CLA200 d</v>
          </cell>
          <cell r="D193" t="str">
            <v>BENZ</v>
          </cell>
          <cell r="E193" t="str">
            <v>CLA200 d</v>
          </cell>
          <cell r="F193">
            <v>2016</v>
          </cell>
          <cell r="G193" t="str">
            <v>27마0897</v>
          </cell>
          <cell r="H193" t="str">
            <v>WDDSJ0JB1GN337561</v>
          </cell>
          <cell r="I193">
            <v>45967</v>
          </cell>
          <cell r="J193" t="str">
            <v>(주)영광자동차매매상사</v>
          </cell>
          <cell r="L193" t="str">
            <v>잔금</v>
          </cell>
          <cell r="M193" t="str">
            <v>50만원 대표님 계약</v>
          </cell>
          <cell r="N193">
            <v>1300</v>
          </cell>
          <cell r="P193">
            <v>1300</v>
          </cell>
          <cell r="Q193" t="str">
            <v>DONE</v>
          </cell>
          <cell r="R193">
            <v>45969</v>
          </cell>
          <cell r="S193" t="str">
            <v>R.S.h L.L.C.</v>
          </cell>
          <cell r="T193" t="str">
            <v>R.Sh L.L.C.</v>
          </cell>
          <cell r="U193">
            <v>812326016</v>
          </cell>
          <cell r="V193" t="str">
            <v>+383486 611 61</v>
          </cell>
          <cell r="W193" t="str">
            <v>Kosovo</v>
          </cell>
          <cell r="X193">
            <v>1417</v>
          </cell>
          <cell r="AB193">
            <v>1634</v>
          </cell>
          <cell r="AC193">
            <v>7752</v>
          </cell>
          <cell r="AD193">
            <v>1448</v>
          </cell>
          <cell r="AE193">
            <v>9200</v>
          </cell>
        </row>
        <row r="194">
          <cell r="A194">
            <v>192</v>
          </cell>
          <cell r="B194">
            <v>45963</v>
          </cell>
          <cell r="C194" t="str">
            <v>BENZ E220 BlueTEC</v>
          </cell>
          <cell r="D194" t="str">
            <v>BENZ</v>
          </cell>
          <cell r="E194" t="str">
            <v>E220 BlueTEC</v>
          </cell>
          <cell r="F194">
            <v>2016</v>
          </cell>
          <cell r="G194" t="str">
            <v>33로1264</v>
          </cell>
          <cell r="H194" t="str">
            <v>WDDHF0AB9GB289496</v>
          </cell>
          <cell r="I194">
            <v>45966</v>
          </cell>
          <cell r="J194" t="str">
            <v>(주)유레카</v>
          </cell>
          <cell r="L194" t="str">
            <v>잔금</v>
          </cell>
          <cell r="M194" t="str">
            <v>50만원 대표님 계약</v>
          </cell>
          <cell r="N194">
            <v>1180</v>
          </cell>
          <cell r="P194">
            <v>1180</v>
          </cell>
          <cell r="Q194" t="str">
            <v>DONE</v>
          </cell>
          <cell r="R194">
            <v>45969</v>
          </cell>
          <cell r="S194" t="str">
            <v>Auto Posh SH.P.K</v>
          </cell>
          <cell r="T194" t="str">
            <v>Auto Posh SH.P.K</v>
          </cell>
          <cell r="U194">
            <v>812219427</v>
          </cell>
          <cell r="V194">
            <v>38345560145</v>
          </cell>
          <cell r="W194" t="str">
            <v xml:space="preserve"> Rruga Jakup Lami, Pn. Greme, Feriza</v>
          </cell>
          <cell r="X194">
            <v>1417</v>
          </cell>
          <cell r="AB194">
            <v>1634</v>
          </cell>
          <cell r="AC194">
            <v>6952</v>
          </cell>
          <cell r="AD194">
            <v>1448</v>
          </cell>
          <cell r="AE194">
            <v>8400</v>
          </cell>
        </row>
        <row r="195">
          <cell r="A195">
            <v>193</v>
          </cell>
          <cell r="B195">
            <v>45964</v>
          </cell>
          <cell r="C195" t="str">
            <v>BENZ GLC220 d 4Matic</v>
          </cell>
          <cell r="D195" t="str">
            <v>BENZ</v>
          </cell>
          <cell r="E195" t="str">
            <v>GLC220 d 4Matic</v>
          </cell>
          <cell r="F195">
            <v>2018</v>
          </cell>
          <cell r="G195" t="str">
            <v>106도4740</v>
          </cell>
          <cell r="H195" t="str">
            <v>WDC0G0FB9JF449609</v>
          </cell>
          <cell r="I195">
            <v>45967</v>
          </cell>
          <cell r="J195" t="str">
            <v>(주)인하모터스</v>
          </cell>
          <cell r="L195" t="str">
            <v>잔금</v>
          </cell>
          <cell r="M195" t="str">
            <v>50만원 대표님 계약</v>
          </cell>
          <cell r="N195">
            <v>2180</v>
          </cell>
          <cell r="P195">
            <v>2180</v>
          </cell>
          <cell r="Q195" t="str">
            <v>DONE</v>
          </cell>
          <cell r="R195">
            <v>45969</v>
          </cell>
          <cell r="S195" t="str">
            <v>GENC HETA</v>
          </cell>
          <cell r="T195" t="str">
            <v>VISAR KASTRATI</v>
          </cell>
          <cell r="U195">
            <v>2617724</v>
          </cell>
          <cell r="V195" t="str">
            <v>377 45 145 283</v>
          </cell>
          <cell r="W195" t="str">
            <v>KOSOVO</v>
          </cell>
          <cell r="X195">
            <v>1420</v>
          </cell>
          <cell r="AB195">
            <v>1634</v>
          </cell>
          <cell r="AC195">
            <v>12762</v>
          </cell>
          <cell r="AD195">
            <v>1538</v>
          </cell>
          <cell r="AE195">
            <v>14300</v>
          </cell>
          <cell r="AF195" t="str">
            <v xml:space="preserve"> </v>
          </cell>
        </row>
        <row r="196">
          <cell r="A196">
            <v>194</v>
          </cell>
          <cell r="B196">
            <v>45964</v>
          </cell>
          <cell r="C196" t="str">
            <v>BENZ S350 d 4Matic</v>
          </cell>
          <cell r="D196" t="str">
            <v>BENZ</v>
          </cell>
          <cell r="E196" t="str">
            <v>S350 d 4Matic</v>
          </cell>
          <cell r="F196">
            <v>2016</v>
          </cell>
          <cell r="G196" t="str">
            <v>35러0370</v>
          </cell>
          <cell r="H196" t="str">
            <v>WDDUF3DB6GA233677</v>
          </cell>
          <cell r="I196">
            <v>45967</v>
          </cell>
          <cell r="J196" t="str">
            <v>(주)선한모터스</v>
          </cell>
          <cell r="L196" t="str">
            <v>잔금</v>
          </cell>
          <cell r="M196" t="str">
            <v>50만원 대표님 계약</v>
          </cell>
          <cell r="N196">
            <v>2814</v>
          </cell>
          <cell r="P196">
            <v>2814</v>
          </cell>
          <cell r="Q196" t="str">
            <v>DONE</v>
          </cell>
          <cell r="R196">
            <v>45969</v>
          </cell>
          <cell r="S196" t="str">
            <v>HYSA</v>
          </cell>
          <cell r="T196" t="str">
            <v>HYSA JUGERS</v>
          </cell>
          <cell r="U196" t="str">
            <v>J90912021M</v>
          </cell>
          <cell r="V196" t="str">
            <v>355 69 690 2972</v>
          </cell>
          <cell r="W196" t="str">
            <v>Albania</v>
          </cell>
          <cell r="X196">
            <v>1420</v>
          </cell>
          <cell r="AB196">
            <v>1634</v>
          </cell>
          <cell r="AC196">
            <v>16462</v>
          </cell>
          <cell r="AD196">
            <v>1538</v>
          </cell>
          <cell r="AE196">
            <v>18000</v>
          </cell>
        </row>
        <row r="197">
          <cell r="A197">
            <v>195</v>
          </cell>
          <cell r="B197">
            <v>45965</v>
          </cell>
          <cell r="C197" t="str">
            <v>AUDI A7 3.0 TDI QUATTRO</v>
          </cell>
          <cell r="D197" t="str">
            <v>AUDI</v>
          </cell>
          <cell r="E197" t="str">
            <v>A7 3.0 TDI QUATTRO</v>
          </cell>
          <cell r="F197">
            <v>2013</v>
          </cell>
          <cell r="G197" t="str">
            <v>145거5752</v>
          </cell>
          <cell r="H197" t="str">
            <v>WAUZZZ4G8DN151277 </v>
          </cell>
          <cell r="I197">
            <v>45971</v>
          </cell>
          <cell r="J197" t="str">
            <v>㈜케이앤드에스모터스</v>
          </cell>
          <cell r="K197" t="str">
            <v>서율</v>
          </cell>
          <cell r="L197" t="str">
            <v>잔금</v>
          </cell>
          <cell r="M197" t="str">
            <v>50만원 대표님 계약</v>
          </cell>
          <cell r="N197">
            <v>900</v>
          </cell>
          <cell r="P197">
            <v>900</v>
          </cell>
          <cell r="Q197" t="str">
            <v>DONE</v>
          </cell>
          <cell r="R197">
            <v>45978</v>
          </cell>
          <cell r="S197" t="str">
            <v>ERVIN</v>
          </cell>
          <cell r="T197" t="str">
            <v>Delnist Qypi</v>
          </cell>
          <cell r="U197" t="str">
            <v>J20717014S</v>
          </cell>
          <cell r="V197" t="str">
            <v>355 67 69 41 777</v>
          </cell>
          <cell r="W197" t="str">
            <v>Albania</v>
          </cell>
          <cell r="X197">
            <v>1430</v>
          </cell>
          <cell r="AB197">
            <v>1641</v>
          </cell>
          <cell r="AC197">
            <v>5380</v>
          </cell>
          <cell r="AD197">
            <v>1455</v>
          </cell>
          <cell r="AE197">
            <v>6835</v>
          </cell>
        </row>
        <row r="198">
          <cell r="A198">
            <v>196</v>
          </cell>
          <cell r="B198">
            <v>45965</v>
          </cell>
          <cell r="C198" t="str">
            <v>HYUNDAI SANTAFE</v>
          </cell>
          <cell r="D198" t="str">
            <v>HYUNDAI</v>
          </cell>
          <cell r="E198" t="str">
            <v>SANTAFE</v>
          </cell>
          <cell r="F198">
            <v>2016</v>
          </cell>
          <cell r="G198" t="str">
            <v>06머0775</v>
          </cell>
          <cell r="H198" t="str">
            <v>KMHSW81UBGU612477</v>
          </cell>
          <cell r="I198">
            <v>45971</v>
          </cell>
          <cell r="J198" t="str">
            <v>㈜최강모터스</v>
          </cell>
          <cell r="K198" t="str">
            <v>안산</v>
          </cell>
          <cell r="L198" t="str">
            <v>잔금</v>
          </cell>
          <cell r="M198" t="str">
            <v>50만원 대표님 계약</v>
          </cell>
          <cell r="N198">
            <v>1136</v>
          </cell>
          <cell r="O198">
            <v>44</v>
          </cell>
          <cell r="P198">
            <v>1180</v>
          </cell>
          <cell r="Q198" t="str">
            <v>DONE</v>
          </cell>
          <cell r="R198">
            <v>45978</v>
          </cell>
          <cell r="S198" t="str">
            <v>CALJA</v>
          </cell>
          <cell r="T198" t="str">
            <v>KLEJDI PLAKU</v>
          </cell>
          <cell r="U198" t="str">
            <v>J40807043J</v>
          </cell>
          <cell r="V198" t="str">
            <v>355 69 550 5533</v>
          </cell>
          <cell r="W198" t="str">
            <v>Albania</v>
          </cell>
          <cell r="X198">
            <v>1430</v>
          </cell>
          <cell r="AB198">
            <v>1641</v>
          </cell>
          <cell r="AC198">
            <v>6903</v>
          </cell>
          <cell r="AD198">
            <v>1542</v>
          </cell>
          <cell r="AE198">
            <v>8445</v>
          </cell>
          <cell r="AF198">
            <v>9585</v>
          </cell>
        </row>
        <row r="199">
          <cell r="A199">
            <v>197</v>
          </cell>
          <cell r="B199">
            <v>45966</v>
          </cell>
          <cell r="C199" t="str">
            <v>AUDI A7 3.0 TDI QUATTRO</v>
          </cell>
          <cell r="D199" t="str">
            <v>AUDI</v>
          </cell>
          <cell r="E199" t="str">
            <v>A7 3.0 TDI QUATTRO</v>
          </cell>
          <cell r="F199">
            <v>2014</v>
          </cell>
          <cell r="G199" t="str">
            <v>23머3310</v>
          </cell>
          <cell r="H199" t="str">
            <v>WAUZZZ4G9EN124669</v>
          </cell>
          <cell r="I199">
            <v>45971</v>
          </cell>
          <cell r="J199" t="str">
            <v>㈜차랑차랑</v>
          </cell>
          <cell r="K199" t="str">
            <v>부천</v>
          </cell>
          <cell r="L199" t="str">
            <v>잔금</v>
          </cell>
          <cell r="M199" t="str">
            <v>50만원 회사통장 나감</v>
          </cell>
          <cell r="N199">
            <v>850</v>
          </cell>
          <cell r="O199">
            <v>44</v>
          </cell>
          <cell r="P199">
            <v>894</v>
          </cell>
          <cell r="Q199" t="str">
            <v>DONE</v>
          </cell>
          <cell r="R199">
            <v>45978</v>
          </cell>
          <cell r="S199" t="str">
            <v>CALJA</v>
          </cell>
          <cell r="T199" t="str">
            <v>ERNESTO BULLARI</v>
          </cell>
          <cell r="U199" t="str">
            <v>K60726019Q</v>
          </cell>
          <cell r="V199" t="str">
            <v>355 69 550 5533</v>
          </cell>
          <cell r="W199" t="str">
            <v>Albania</v>
          </cell>
          <cell r="X199">
            <v>1433</v>
          </cell>
          <cell r="AB199">
            <v>1645</v>
          </cell>
          <cell r="AC199">
            <v>5315</v>
          </cell>
          <cell r="AD199">
            <v>1455</v>
          </cell>
          <cell r="AE199">
            <v>6770</v>
          </cell>
          <cell r="AF199">
            <v>7200</v>
          </cell>
        </row>
        <row r="200">
          <cell r="A200">
            <v>198</v>
          </cell>
          <cell r="B200">
            <v>45966</v>
          </cell>
          <cell r="C200" t="str">
            <v xml:space="preserve"> DS5 2.0 BlueHDi</v>
          </cell>
          <cell r="E200" t="str">
            <v>DS5 2.0 BlueHDi</v>
          </cell>
          <cell r="F200">
            <v>2017</v>
          </cell>
          <cell r="G200" t="str">
            <v>24버1408</v>
          </cell>
          <cell r="H200" t="str">
            <v>VF7KFAHWTHS500032</v>
          </cell>
          <cell r="J200" t="str">
            <v>경매장 -aj</v>
          </cell>
          <cell r="L200" t="str">
            <v>잔금</v>
          </cell>
          <cell r="N200">
            <v>730</v>
          </cell>
          <cell r="O200">
            <v>19</v>
          </cell>
          <cell r="P200">
            <v>749</v>
          </cell>
          <cell r="Q200" t="str">
            <v>done</v>
          </cell>
          <cell r="R200">
            <v>45980</v>
          </cell>
          <cell r="S200" t="str">
            <v>R.S.h L.L.C.</v>
          </cell>
          <cell r="T200" t="str">
            <v>R.Sh L.L.C.</v>
          </cell>
          <cell r="U200">
            <v>812326016</v>
          </cell>
          <cell r="V200" t="str">
            <v>+383486 611 61</v>
          </cell>
          <cell r="W200" t="str">
            <v>Kosovo</v>
          </cell>
          <cell r="X200">
            <v>1433</v>
          </cell>
          <cell r="AB200">
            <v>1645</v>
          </cell>
          <cell r="AC200">
            <v>4545</v>
          </cell>
          <cell r="AD200">
            <v>1455</v>
          </cell>
          <cell r="AE200">
            <v>6000</v>
          </cell>
        </row>
        <row r="201">
          <cell r="A201">
            <v>199</v>
          </cell>
          <cell r="B201">
            <v>45966</v>
          </cell>
          <cell r="C201" t="str">
            <v>HYUNDAI TUCSON</v>
          </cell>
          <cell r="D201" t="str">
            <v>HYUNDAI</v>
          </cell>
          <cell r="E201" t="str">
            <v>TUCSON</v>
          </cell>
          <cell r="F201">
            <v>2016</v>
          </cell>
          <cell r="G201" t="str">
            <v>45러0956</v>
          </cell>
          <cell r="H201" t="str">
            <v>KMHJ3815GGU156761</v>
          </cell>
          <cell r="I201">
            <v>45971</v>
          </cell>
          <cell r="J201" t="str">
            <v>㈜아람모터스</v>
          </cell>
          <cell r="K201" t="str">
            <v>대구</v>
          </cell>
          <cell r="L201" t="str">
            <v>잔금</v>
          </cell>
          <cell r="M201" t="str">
            <v>50만원 회사통장 나감</v>
          </cell>
          <cell r="N201">
            <v>1000</v>
          </cell>
          <cell r="P201">
            <v>1000</v>
          </cell>
          <cell r="Q201" t="str">
            <v>DONE</v>
          </cell>
          <cell r="R201">
            <v>45978</v>
          </cell>
          <cell r="S201" t="str">
            <v>CALJA</v>
          </cell>
          <cell r="T201" t="str">
            <v>KEVI MALO</v>
          </cell>
          <cell r="U201" t="str">
            <v>K40903040P</v>
          </cell>
          <cell r="V201" t="str">
            <v>355 69 550 5533</v>
          </cell>
          <cell r="W201" t="str">
            <v>Albania</v>
          </cell>
          <cell r="X201">
            <v>1433</v>
          </cell>
          <cell r="AB201">
            <v>1645</v>
          </cell>
          <cell r="AC201">
            <v>5978</v>
          </cell>
          <cell r="AD201">
            <v>1542</v>
          </cell>
          <cell r="AE201">
            <v>7520</v>
          </cell>
          <cell r="AF201">
            <v>8770</v>
          </cell>
        </row>
        <row r="202">
          <cell r="A202">
            <v>200</v>
          </cell>
          <cell r="B202">
            <v>45966</v>
          </cell>
          <cell r="C202" t="str">
            <v>VOLKSWAGENS GOLF 1.4 TSI</v>
          </cell>
          <cell r="D202" t="str">
            <v>VOLKSWAGENS</v>
          </cell>
          <cell r="E202" t="str">
            <v>GOLF 1.4 TSI</v>
          </cell>
          <cell r="G202" t="str">
            <v>61가6441</v>
          </cell>
          <cell r="H202" t="str">
            <v>WVWZZZAUZEW277068</v>
          </cell>
          <cell r="K202" t="str">
            <v>수원</v>
          </cell>
          <cell r="L202" t="str">
            <v>잔금</v>
          </cell>
          <cell r="M202" t="str">
            <v>50만원 대표님 계약</v>
          </cell>
          <cell r="N202">
            <v>850</v>
          </cell>
          <cell r="P202">
            <v>850</v>
          </cell>
          <cell r="Q202" t="str">
            <v>DONE</v>
          </cell>
          <cell r="R202">
            <v>45978</v>
          </cell>
          <cell r="S202" t="str">
            <v>CALJA</v>
          </cell>
          <cell r="T202" t="str">
            <v>Klaudion Deda</v>
          </cell>
          <cell r="U202" t="str">
            <v>J41017053V</v>
          </cell>
          <cell r="V202" t="str">
            <v>355 69 550 5533</v>
          </cell>
          <cell r="W202" t="str">
            <v>Albania</v>
          </cell>
          <cell r="X202">
            <v>1433</v>
          </cell>
          <cell r="AB202">
            <v>1645</v>
          </cell>
          <cell r="AC202">
            <v>5055</v>
          </cell>
          <cell r="AD202">
            <v>1455</v>
          </cell>
          <cell r="AE202">
            <v>6510</v>
          </cell>
          <cell r="AF202">
            <v>9920</v>
          </cell>
        </row>
        <row r="203">
          <cell r="A203">
            <v>201</v>
          </cell>
          <cell r="B203">
            <v>45967</v>
          </cell>
          <cell r="C203" t="str">
            <v>AUDI A4 2.0 TDI</v>
          </cell>
          <cell r="D203" t="str">
            <v>AUDI</v>
          </cell>
          <cell r="E203" t="str">
            <v>A4 2.0 TDI</v>
          </cell>
          <cell r="G203" t="str">
            <v>22러6510</v>
          </cell>
          <cell r="H203" t="str">
            <v>WAUZZZ8K0CA054269</v>
          </cell>
          <cell r="J203" t="str">
            <v>㈜카팔</v>
          </cell>
          <cell r="K203" t="str">
            <v>부천</v>
          </cell>
          <cell r="L203" t="str">
            <v>취소</v>
          </cell>
          <cell r="M203" t="str">
            <v>50만원 회사통장 나감</v>
          </cell>
          <cell r="P203">
            <v>0</v>
          </cell>
          <cell r="Q203" t="str">
            <v>done</v>
          </cell>
          <cell r="R203" t="str">
            <v>report done</v>
          </cell>
          <cell r="X203">
            <v>1430</v>
          </cell>
          <cell r="AB203">
            <v>1644</v>
          </cell>
        </row>
        <row r="204">
          <cell r="A204">
            <v>202</v>
          </cell>
          <cell r="B204">
            <v>45967</v>
          </cell>
          <cell r="C204" t="str">
            <v>AUDI SQ5</v>
          </cell>
          <cell r="D204" t="str">
            <v>AUDI</v>
          </cell>
          <cell r="E204" t="str">
            <v>SQ5</v>
          </cell>
          <cell r="G204" t="str">
            <v>66거4939</v>
          </cell>
          <cell r="H204" t="str">
            <v>WAUZZZ8R0EA104698</v>
          </cell>
          <cell r="J204" t="str">
            <v>경매장- Kcar</v>
          </cell>
          <cell r="L204" t="str">
            <v>잔금</v>
          </cell>
          <cell r="N204">
            <v>1630</v>
          </cell>
          <cell r="O204">
            <v>36</v>
          </cell>
          <cell r="P204">
            <v>1666</v>
          </cell>
          <cell r="Q204" t="str">
            <v>DONE</v>
          </cell>
          <cell r="R204">
            <v>45979</v>
          </cell>
          <cell r="S204" t="str">
            <v xml:space="preserve">Erion </v>
          </cell>
          <cell r="T204" t="str">
            <v>Erion Gjergji</v>
          </cell>
          <cell r="U204" t="str">
            <v>I90516099R</v>
          </cell>
          <cell r="V204" t="str">
            <v>49 163 6979 099</v>
          </cell>
          <cell r="W204" t="str">
            <v>Albania</v>
          </cell>
          <cell r="X204">
            <v>1430</v>
          </cell>
          <cell r="Y204">
            <v>1644</v>
          </cell>
          <cell r="AB204">
            <v>1644</v>
          </cell>
          <cell r="AC204">
            <v>9640</v>
          </cell>
          <cell r="AD204">
            <v>1540</v>
          </cell>
          <cell r="AE204">
            <v>11180</v>
          </cell>
          <cell r="AF204">
            <v>11180</v>
          </cell>
        </row>
        <row r="205">
          <cell r="A205">
            <v>203</v>
          </cell>
          <cell r="B205">
            <v>45968</v>
          </cell>
          <cell r="C205" t="str">
            <v>AUDI SQ5 TDI</v>
          </cell>
          <cell r="D205" t="str">
            <v>AUDI</v>
          </cell>
          <cell r="E205" t="str">
            <v>SQ5 TDI</v>
          </cell>
          <cell r="F205">
            <v>2020</v>
          </cell>
          <cell r="G205" t="str">
            <v>140고8945</v>
          </cell>
          <cell r="H205" t="str">
            <v>WAUZZZFY5L2086765</v>
          </cell>
          <cell r="I205">
            <v>45973</v>
          </cell>
          <cell r="J205" t="str">
            <v>㈜백제모터스</v>
          </cell>
          <cell r="K205" t="str">
            <v>용인</v>
          </cell>
          <cell r="L205" t="str">
            <v>잔금</v>
          </cell>
          <cell r="M205" t="str">
            <v>100만원 회사통장 나감</v>
          </cell>
          <cell r="N205">
            <v>3804</v>
          </cell>
          <cell r="P205">
            <v>3804</v>
          </cell>
          <cell r="Q205" t="str">
            <v>DONE</v>
          </cell>
          <cell r="R205">
            <v>45979</v>
          </cell>
          <cell r="S205" t="str">
            <v>MILO</v>
          </cell>
          <cell r="T205" t="str">
            <v>Gazmend Mollsi</v>
          </cell>
          <cell r="U205" t="str">
            <v>G01204004U</v>
          </cell>
          <cell r="V205" t="str">
            <v>355 69 682 8331</v>
          </cell>
          <cell r="W205" t="str">
            <v>Albania</v>
          </cell>
          <cell r="X205">
            <v>1443</v>
          </cell>
          <cell r="AB205">
            <v>1664</v>
          </cell>
          <cell r="AC205">
            <v>22260</v>
          </cell>
          <cell r="AD205">
            <v>1540</v>
          </cell>
          <cell r="AE205">
            <v>23800</v>
          </cell>
          <cell r="AF205" t="str">
            <v>23900 buyerknow</v>
          </cell>
        </row>
        <row r="206">
          <cell r="A206">
            <v>204</v>
          </cell>
          <cell r="B206">
            <v>45968</v>
          </cell>
          <cell r="C206" t="str">
            <v>RENAULT QM6</v>
          </cell>
          <cell r="D206" t="str">
            <v>RENAULT</v>
          </cell>
          <cell r="E206" t="str">
            <v>QM6</v>
          </cell>
          <cell r="F206">
            <v>2018</v>
          </cell>
          <cell r="G206" t="str">
            <v>57가3466</v>
          </cell>
          <cell r="H206" t="str">
            <v>KNME5C2M6JP036423</v>
          </cell>
          <cell r="I206">
            <v>45974</v>
          </cell>
          <cell r="J206" t="str">
            <v>(주)미소모터스</v>
          </cell>
          <cell r="L206" t="str">
            <v>잔금</v>
          </cell>
          <cell r="M206" t="str">
            <v>50만원 대표님 계약</v>
          </cell>
          <cell r="N206">
            <v>1023</v>
          </cell>
          <cell r="P206">
            <v>1023</v>
          </cell>
          <cell r="Q206" t="str">
            <v>done</v>
          </cell>
          <cell r="R206">
            <v>45980</v>
          </cell>
          <cell r="S206" t="str">
            <v>AlphaWorldWide</v>
          </cell>
          <cell r="T206" t="str">
            <v>AlphaWorldWideAlbania</v>
          </cell>
          <cell r="U206" t="str">
            <v>SN-619176-11-19</v>
          </cell>
          <cell r="V206" t="str">
            <v>355 69223 3416</v>
          </cell>
          <cell r="W206" t="str">
            <v xml:space="preserve">Durres, Durres, DURRES, Lagjja nr.11, Rruga Bulevardi, me siperfaqe 30m2 </v>
          </cell>
          <cell r="X206">
            <v>1443</v>
          </cell>
          <cell r="AB206">
            <v>1664</v>
          </cell>
          <cell r="AC206">
            <v>6015</v>
          </cell>
          <cell r="AD206">
            <v>1535</v>
          </cell>
          <cell r="AE206">
            <v>7550</v>
          </cell>
        </row>
        <row r="207">
          <cell r="A207">
            <v>205</v>
          </cell>
          <cell r="B207">
            <v>45968</v>
          </cell>
          <cell r="C207" t="str">
            <v>RENAULT QM3</v>
          </cell>
          <cell r="D207" t="str">
            <v>RENAULT</v>
          </cell>
          <cell r="E207" t="str">
            <v>QM3</v>
          </cell>
          <cell r="F207">
            <v>2016</v>
          </cell>
          <cell r="G207" t="str">
            <v>34서0659</v>
          </cell>
          <cell r="H207" t="str">
            <v>VF12RGJ1DGW105457</v>
          </cell>
          <cell r="I207">
            <v>45973</v>
          </cell>
          <cell r="J207" t="str">
            <v>경매장-현대글로비스</v>
          </cell>
          <cell r="L207" t="str">
            <v>잔금</v>
          </cell>
          <cell r="N207">
            <v>296</v>
          </cell>
          <cell r="O207">
            <v>11</v>
          </cell>
          <cell r="P207">
            <v>307</v>
          </cell>
          <cell r="Q207" t="str">
            <v>done</v>
          </cell>
          <cell r="R207">
            <v>45980</v>
          </cell>
          <cell r="S207" t="str">
            <v>R.S.h L.L.C.</v>
          </cell>
          <cell r="T207" t="str">
            <v>R.Sh L.L.C.</v>
          </cell>
          <cell r="U207">
            <v>812326016</v>
          </cell>
          <cell r="V207" t="str">
            <v>+383486 611 61</v>
          </cell>
          <cell r="W207" t="str">
            <v>Kosovo</v>
          </cell>
          <cell r="X207">
            <v>1443</v>
          </cell>
          <cell r="AB207">
            <v>1664</v>
          </cell>
          <cell r="AC207">
            <v>2102</v>
          </cell>
          <cell r="AD207">
            <v>1448</v>
          </cell>
          <cell r="AE207">
            <v>3550</v>
          </cell>
        </row>
        <row r="208">
          <cell r="A208">
            <v>206</v>
          </cell>
          <cell r="B208">
            <v>45968</v>
          </cell>
          <cell r="C208" t="str">
            <v>VOLKSWAGENS Tiguan Allspace 2.0 TDI</v>
          </cell>
          <cell r="D208" t="str">
            <v>VOLKSWAGENS</v>
          </cell>
          <cell r="E208" t="str">
            <v>Tiguan Allspace 2.0 TDI</v>
          </cell>
          <cell r="G208" t="str">
            <v>234어3856</v>
          </cell>
          <cell r="H208" t="str">
            <v>WVGZZZ5NZLM180380</v>
          </cell>
          <cell r="I208">
            <v>45974</v>
          </cell>
          <cell r="J208" t="str">
            <v>제이엠모터스</v>
          </cell>
          <cell r="K208" t="str">
            <v>부산</v>
          </cell>
          <cell r="L208" t="str">
            <v>잔금</v>
          </cell>
          <cell r="M208" t="str">
            <v>100만원 회사통장 나감</v>
          </cell>
          <cell r="N208">
            <v>2490</v>
          </cell>
          <cell r="Q208" t="str">
            <v>dONE</v>
          </cell>
          <cell r="R208">
            <v>45980</v>
          </cell>
          <cell r="S208" t="str">
            <v>R.S.h L.L.C.</v>
          </cell>
          <cell r="T208" t="str">
            <v>R.Sh L.L.C.</v>
          </cell>
          <cell r="U208">
            <v>812326016</v>
          </cell>
          <cell r="V208" t="str">
            <v>+383486 611 61</v>
          </cell>
          <cell r="W208" t="str">
            <v>Kosovo</v>
          </cell>
          <cell r="X208">
            <v>1443</v>
          </cell>
          <cell r="AB208">
            <v>1664</v>
          </cell>
          <cell r="AC208">
            <v>14295</v>
          </cell>
          <cell r="AD208">
            <v>1535</v>
          </cell>
          <cell r="AE208">
            <v>15830</v>
          </cell>
        </row>
        <row r="209">
          <cell r="A209">
            <v>207</v>
          </cell>
          <cell r="B209">
            <v>45969</v>
          </cell>
          <cell r="C209" t="str">
            <v>BENZ E220 d</v>
          </cell>
          <cell r="D209" t="str">
            <v>BENZ</v>
          </cell>
          <cell r="E209" t="str">
            <v>E220 d</v>
          </cell>
          <cell r="F209">
            <v>2017</v>
          </cell>
          <cell r="G209" t="str">
            <v>65두0150</v>
          </cell>
          <cell r="H209" t="str">
            <v>WDDZF0EB3HA050807</v>
          </cell>
          <cell r="I209">
            <v>45973</v>
          </cell>
          <cell r="J209" t="str">
            <v>㈜수성자동차</v>
          </cell>
          <cell r="K209" t="str">
            <v>수원</v>
          </cell>
          <cell r="L209" t="str">
            <v>잔금</v>
          </cell>
          <cell r="M209" t="str">
            <v>50만원 대표님 계약</v>
          </cell>
          <cell r="N209">
            <v>1944</v>
          </cell>
          <cell r="P209">
            <v>1944</v>
          </cell>
          <cell r="Q209" t="str">
            <v>DONE</v>
          </cell>
          <cell r="R209">
            <v>45979</v>
          </cell>
          <cell r="S209" t="str">
            <v>Ardijan Qorraj</v>
          </cell>
          <cell r="T209" t="str">
            <v>Ardijan Qorraj</v>
          </cell>
          <cell r="U209" t="str">
            <v>C6YRK7K2F</v>
          </cell>
          <cell r="V209">
            <v>4917655744700</v>
          </cell>
          <cell r="W209" t="str">
            <v>Germany, Piepersweg 35 (41066)</v>
          </cell>
          <cell r="X209">
            <v>1446</v>
          </cell>
          <cell r="AB209">
            <v>1671</v>
          </cell>
          <cell r="AC209">
            <v>10715</v>
          </cell>
          <cell r="AD209">
            <v>1445</v>
          </cell>
          <cell r="AE209">
            <v>12160</v>
          </cell>
        </row>
        <row r="210">
          <cell r="A210">
            <v>208</v>
          </cell>
          <cell r="B210">
            <v>45969</v>
          </cell>
          <cell r="C210" t="str">
            <v>BMW X4 xDrive20d</v>
          </cell>
          <cell r="D210" t="str">
            <v>BMW</v>
          </cell>
          <cell r="E210" t="str">
            <v>X4 xDrive20d</v>
          </cell>
          <cell r="G210" t="str">
            <v>05주1824</v>
          </cell>
          <cell r="H210" t="str">
            <v>WBAXX110XH0T38187</v>
          </cell>
          <cell r="I210">
            <v>45973</v>
          </cell>
          <cell r="J210" t="str">
            <v>㈜모터살롱</v>
          </cell>
          <cell r="K210" t="str">
            <v>서율</v>
          </cell>
          <cell r="L210" t="str">
            <v>잔금</v>
          </cell>
          <cell r="M210" t="str">
            <v>50만원 대표님 계약</v>
          </cell>
          <cell r="N210">
            <v>1730</v>
          </cell>
          <cell r="P210">
            <v>1730</v>
          </cell>
          <cell r="Q210" t="str">
            <v>DONE</v>
          </cell>
          <cell r="R210">
            <v>45979</v>
          </cell>
          <cell r="S210" t="str">
            <v>ATLAS GROUP SH.P.K</v>
          </cell>
          <cell r="T210" t="str">
            <v>ATLAS GROUP SH.P.K</v>
          </cell>
          <cell r="U210">
            <v>812137455</v>
          </cell>
          <cell r="V210" t="str">
            <v>+38348702207</v>
          </cell>
          <cell r="W210" t="str">
            <v>Xhelal Hajda, p.n. Rahovec</v>
          </cell>
          <cell r="X210">
            <v>1446</v>
          </cell>
          <cell r="AB210">
            <v>1671</v>
          </cell>
          <cell r="AC210">
            <v>10038</v>
          </cell>
          <cell r="AD210">
            <v>1532</v>
          </cell>
          <cell r="AE210">
            <v>11570</v>
          </cell>
        </row>
        <row r="211">
          <cell r="A211">
            <v>209</v>
          </cell>
          <cell r="B211">
            <v>45969</v>
          </cell>
          <cell r="C211" t="str">
            <v>Peugeot 208 1.6 BlueHDi</v>
          </cell>
          <cell r="D211" t="str">
            <v>Peugeot</v>
          </cell>
          <cell r="E211" t="str">
            <v>208 1.6 BlueHDi</v>
          </cell>
          <cell r="G211" t="str">
            <v>67거2095</v>
          </cell>
          <cell r="H211" t="str">
            <v>VF3CCBHYMJT001067</v>
          </cell>
          <cell r="I211">
            <v>45973</v>
          </cell>
          <cell r="J211" t="str">
            <v>㈜ 손오공</v>
          </cell>
          <cell r="L211" t="str">
            <v>잔금</v>
          </cell>
          <cell r="M211" t="str">
            <v>50만원 대표님 계약</v>
          </cell>
          <cell r="N211">
            <v>720</v>
          </cell>
          <cell r="P211">
            <v>720</v>
          </cell>
          <cell r="Q211" t="str">
            <v>done</v>
          </cell>
          <cell r="R211">
            <v>45980</v>
          </cell>
          <cell r="S211" t="str">
            <v>R.S.h L.L.C.</v>
          </cell>
          <cell r="T211" t="str">
            <v>R.Sh L.L.C.</v>
          </cell>
          <cell r="U211">
            <v>812326016</v>
          </cell>
          <cell r="V211" t="str">
            <v>+383486 611 61</v>
          </cell>
          <cell r="W211" t="str">
            <v>Kosovo</v>
          </cell>
          <cell r="X211">
            <v>1446</v>
          </cell>
          <cell r="AB211">
            <v>1671</v>
          </cell>
          <cell r="AC211">
            <v>4335</v>
          </cell>
          <cell r="AD211">
            <v>1445</v>
          </cell>
          <cell r="AE211">
            <v>5780</v>
          </cell>
        </row>
        <row r="212">
          <cell r="A212">
            <v>210</v>
          </cell>
          <cell r="B212">
            <v>45969</v>
          </cell>
          <cell r="C212" t="str">
            <v>BENZ AMG C43 4Matic</v>
          </cell>
          <cell r="D212" t="str">
            <v>BENZ</v>
          </cell>
          <cell r="E212" t="str">
            <v>AMG C43 4Matic</v>
          </cell>
          <cell r="G212" t="str">
            <v>159저6260</v>
          </cell>
          <cell r="H212" t="str">
            <v>WDDWF6EB1JF694109</v>
          </cell>
          <cell r="I212">
            <v>45979</v>
          </cell>
          <cell r="J212" t="str">
            <v>㈜명문자동차</v>
          </cell>
          <cell r="K212" t="str">
            <v>수원</v>
          </cell>
          <cell r="L212" t="str">
            <v>잔금</v>
          </cell>
          <cell r="M212" t="str">
            <v>50만원 대표님 계약</v>
          </cell>
          <cell r="N212">
            <v>2250</v>
          </cell>
          <cell r="P212">
            <v>2250</v>
          </cell>
          <cell r="Q212" t="str">
            <v>done</v>
          </cell>
          <cell r="R212">
            <v>45980</v>
          </cell>
          <cell r="S212" t="str">
            <v xml:space="preserve">DAX IMPORT 🇩🇪 </v>
          </cell>
          <cell r="T212" t="str">
            <v xml:space="preserve">Michael Karl  </v>
          </cell>
          <cell r="U212" t="str">
            <v>LF9N8WZ16</v>
          </cell>
          <cell r="V212" t="str">
            <v>‪+49 471 94189050‬</v>
          </cell>
          <cell r="W212" t="str">
            <v xml:space="preserve">Dorfstr,33C,(82024) Taufkirchen, Germany </v>
          </cell>
          <cell r="X212">
            <v>1446</v>
          </cell>
          <cell r="AB212">
            <v>1671</v>
          </cell>
          <cell r="AC212">
            <v>12925</v>
          </cell>
          <cell r="AD212">
            <v>822</v>
          </cell>
          <cell r="AF212">
            <v>15000</v>
          </cell>
        </row>
        <row r="213">
          <cell r="A213">
            <v>211</v>
          </cell>
          <cell r="B213">
            <v>45971</v>
          </cell>
          <cell r="C213" t="str">
            <v>BENZ S350 BlueTEC L</v>
          </cell>
          <cell r="D213" t="str">
            <v>BENZ</v>
          </cell>
          <cell r="E213" t="str">
            <v>S350 BlueTEC L</v>
          </cell>
          <cell r="G213" t="str">
            <v xml:space="preserve">22구4000 </v>
          </cell>
          <cell r="H213" t="str">
            <v>WDDUG3CB3FA148860</v>
          </cell>
          <cell r="I213">
            <v>45975</v>
          </cell>
          <cell r="J213" t="str">
            <v>(주)엔에이치카</v>
          </cell>
          <cell r="L213" t="str">
            <v>잔금</v>
          </cell>
          <cell r="M213" t="str">
            <v>150만원 회사통장 나감</v>
          </cell>
          <cell r="N213">
            <v>2400</v>
          </cell>
          <cell r="O213">
            <v>44</v>
          </cell>
          <cell r="P213">
            <v>2444</v>
          </cell>
          <cell r="Q213" t="str">
            <v>done</v>
          </cell>
          <cell r="R213">
            <v>45980</v>
          </cell>
          <cell r="S213" t="str">
            <v>CALJA</v>
          </cell>
          <cell r="T213" t="str">
            <v>Calja</v>
          </cell>
          <cell r="U213" t="str">
            <v>M43323203V</v>
          </cell>
          <cell r="V213" t="str">
            <v>355 69 550 5533</v>
          </cell>
          <cell r="W213" t="str">
            <v>Albania</v>
          </cell>
          <cell r="X213">
            <v>1439</v>
          </cell>
          <cell r="AB213">
            <v>1663</v>
          </cell>
          <cell r="AC213">
            <v>14168</v>
          </cell>
          <cell r="AD213">
            <v>1532</v>
          </cell>
          <cell r="AE213">
            <v>15700</v>
          </cell>
          <cell r="AF213">
            <v>9900</v>
          </cell>
        </row>
        <row r="214">
          <cell r="A214">
            <v>212</v>
          </cell>
          <cell r="B214">
            <v>45971</v>
          </cell>
          <cell r="C214" t="str">
            <v>VOLKSWAGENS Jetta 2.0 TDI BMT Premium</v>
          </cell>
          <cell r="D214" t="str">
            <v>VOLKSWAGENS</v>
          </cell>
          <cell r="E214" t="str">
            <v>Jetta 2.0 TDI BMT Premium</v>
          </cell>
          <cell r="F214">
            <v>2016</v>
          </cell>
          <cell r="G214" t="str">
            <v>43머0518</v>
          </cell>
          <cell r="H214" t="str">
            <v>WVWZZZ16ZGM014810</v>
          </cell>
          <cell r="I214">
            <v>45974</v>
          </cell>
          <cell r="J214" t="str">
            <v>(주)지엔비오토모빌</v>
          </cell>
          <cell r="K214" t="str">
            <v>대구</v>
          </cell>
          <cell r="L214" t="str">
            <v>잔금</v>
          </cell>
          <cell r="M214" t="str">
            <v>50만원 회사통장 나감</v>
          </cell>
          <cell r="N214">
            <v>1070</v>
          </cell>
          <cell r="P214">
            <v>1070</v>
          </cell>
          <cell r="Q214" t="str">
            <v>done</v>
          </cell>
          <cell r="R214">
            <v>45980</v>
          </cell>
          <cell r="S214" t="str">
            <v>ATLAS GROUP SH.P.K</v>
          </cell>
          <cell r="T214" t="str">
            <v>ATLAS GROUP SH.P.K</v>
          </cell>
          <cell r="U214">
            <v>812137455</v>
          </cell>
          <cell r="V214" t="str">
            <v>+38348702207</v>
          </cell>
          <cell r="W214" t="str">
            <v>Xhelal Hajda, p.n. Rahovec</v>
          </cell>
          <cell r="X214">
            <v>1439</v>
          </cell>
          <cell r="AB214">
            <v>1663</v>
          </cell>
          <cell r="AC214">
            <v>6375</v>
          </cell>
          <cell r="AD214">
            <v>1445</v>
          </cell>
          <cell r="AE214">
            <v>7820</v>
          </cell>
        </row>
        <row r="215">
          <cell r="A215">
            <v>213</v>
          </cell>
          <cell r="B215">
            <v>45973</v>
          </cell>
          <cell r="C215" t="str">
            <v>AUDI S6 4.0 TFSI quattro</v>
          </cell>
          <cell r="D215" t="str">
            <v>AUDI</v>
          </cell>
          <cell r="E215" t="str">
            <v>S6 4.0 TFSI quattro</v>
          </cell>
          <cell r="F215">
            <v>2013</v>
          </cell>
          <cell r="G215" t="str">
            <v xml:space="preserve">38주5876   </v>
          </cell>
          <cell r="H215" t="str">
            <v>WAUZZZ4G6DN139614</v>
          </cell>
          <cell r="I215">
            <v>45979</v>
          </cell>
          <cell r="J215" t="str">
            <v>㈜유라둘 모터스</v>
          </cell>
          <cell r="K215" t="str">
            <v>수원</v>
          </cell>
          <cell r="L215" t="str">
            <v>잔금</v>
          </cell>
          <cell r="M215" t="str">
            <v>50만원 회사통장 나감</v>
          </cell>
          <cell r="N215">
            <v>1710</v>
          </cell>
          <cell r="P215">
            <v>1710</v>
          </cell>
          <cell r="Q215" t="str">
            <v>done</v>
          </cell>
          <cell r="R215">
            <v>45980</v>
          </cell>
          <cell r="S215" t="str">
            <v xml:space="preserve">DAX IMPORT 🇩🇪 </v>
          </cell>
          <cell r="T215" t="str">
            <v xml:space="preserve">Michael Karl  </v>
          </cell>
          <cell r="U215" t="str">
            <v>LF9N8WZ16</v>
          </cell>
          <cell r="V215" t="str">
            <v>‪+49 471 94189050‬</v>
          </cell>
          <cell r="W215" t="str">
            <v xml:space="preserve">Dorfstr,33C,(82024) Taufkirchen, Germany </v>
          </cell>
          <cell r="X215">
            <v>1451</v>
          </cell>
          <cell r="AB215">
            <v>1679</v>
          </cell>
          <cell r="AC215">
            <v>9800</v>
          </cell>
          <cell r="AD215">
            <v>821</v>
          </cell>
          <cell r="AE215">
            <v>9800</v>
          </cell>
          <cell r="AF215">
            <v>9920</v>
          </cell>
        </row>
        <row r="216">
          <cell r="A216">
            <v>214</v>
          </cell>
          <cell r="B216">
            <v>45973</v>
          </cell>
          <cell r="C216" t="str">
            <v>HYUNDAI TUCSON</v>
          </cell>
          <cell r="D216" t="str">
            <v>HYUNDAI</v>
          </cell>
          <cell r="E216" t="str">
            <v>TUCSON</v>
          </cell>
          <cell r="F216">
            <v>2017</v>
          </cell>
          <cell r="G216" t="str">
            <v>19무0325</v>
          </cell>
          <cell r="H216" t="str">
            <v>KMHJ2815GHU335842</v>
          </cell>
          <cell r="I216">
            <v>45974</v>
          </cell>
          <cell r="J216" t="str">
            <v>㈜차사인모터스</v>
          </cell>
          <cell r="K216" t="str">
            <v>수원</v>
          </cell>
          <cell r="L216" t="str">
            <v>잔금</v>
          </cell>
          <cell r="M216" t="str">
            <v>50만원 회사통장 나감</v>
          </cell>
          <cell r="N216">
            <v>786</v>
          </cell>
          <cell r="O216">
            <v>44</v>
          </cell>
          <cell r="P216">
            <v>830</v>
          </cell>
          <cell r="Q216" t="str">
            <v>done</v>
          </cell>
          <cell r="R216">
            <v>45980</v>
          </cell>
          <cell r="S216" t="str">
            <v>CALJA</v>
          </cell>
          <cell r="T216" t="str">
            <v>JULJAN SPAHIU</v>
          </cell>
          <cell r="U216" t="str">
            <v>I00416018K</v>
          </cell>
          <cell r="V216" t="str">
            <v>355 69 550 5533</v>
          </cell>
          <cell r="W216" t="str">
            <v>Albania</v>
          </cell>
          <cell r="X216">
            <v>1451</v>
          </cell>
          <cell r="AB216">
            <v>1679</v>
          </cell>
          <cell r="AC216">
            <v>4900</v>
          </cell>
          <cell r="AD216">
            <v>1530</v>
          </cell>
          <cell r="AE216">
            <v>6430</v>
          </cell>
          <cell r="AF216">
            <v>7700</v>
          </cell>
        </row>
        <row r="217">
          <cell r="A217">
            <v>215</v>
          </cell>
          <cell r="B217">
            <v>45973</v>
          </cell>
          <cell r="C217" t="str">
            <v>BENZ E220</v>
          </cell>
          <cell r="D217" t="str">
            <v>BENZ</v>
          </cell>
          <cell r="E217" t="str">
            <v>E220</v>
          </cell>
          <cell r="F217">
            <v>2018</v>
          </cell>
          <cell r="G217" t="str">
            <v xml:space="preserve">42너5563   </v>
          </cell>
          <cell r="H217" t="str">
            <v>WDDZF0EB3JA361885</v>
          </cell>
          <cell r="I217">
            <v>45975</v>
          </cell>
          <cell r="J217" t="str">
            <v>㈜벧엘자동차2</v>
          </cell>
          <cell r="K217" t="str">
            <v>수원</v>
          </cell>
          <cell r="L217" t="str">
            <v>잔금</v>
          </cell>
          <cell r="M217" t="str">
            <v>100만원 회사통장 나감</v>
          </cell>
          <cell r="N217">
            <v>2300</v>
          </cell>
          <cell r="P217">
            <v>2300</v>
          </cell>
          <cell r="Q217" t="str">
            <v>done</v>
          </cell>
          <cell r="R217">
            <v>45980</v>
          </cell>
          <cell r="S217" t="str">
            <v>Auto Posh SH.P.K</v>
          </cell>
          <cell r="T217" t="str">
            <v>Auto Posh SH.P.K</v>
          </cell>
          <cell r="U217">
            <v>812219427</v>
          </cell>
          <cell r="V217">
            <v>38345560145</v>
          </cell>
          <cell r="W217" t="str">
            <v xml:space="preserve"> Rruga Jakup Lami, Pn. Greme, Feriza</v>
          </cell>
          <cell r="X217">
            <v>1451</v>
          </cell>
          <cell r="AB217">
            <v>1679</v>
          </cell>
          <cell r="AC217">
            <v>13182</v>
          </cell>
          <cell r="AD217">
            <v>1443</v>
          </cell>
          <cell r="AE217">
            <v>14625</v>
          </cell>
          <cell r="AF217">
            <v>14700</v>
          </cell>
        </row>
        <row r="218">
          <cell r="A218">
            <v>216</v>
          </cell>
          <cell r="B218">
            <v>45973</v>
          </cell>
          <cell r="C218" t="str">
            <v>AUDI A8 LWB 3.0 TDI QUATTRO</v>
          </cell>
          <cell r="D218" t="str">
            <v>AUDI</v>
          </cell>
          <cell r="E218" t="str">
            <v>A8 LWB 3.0 TDI QUATTRO</v>
          </cell>
          <cell r="F218">
            <v>2013</v>
          </cell>
          <cell r="G218" t="str">
            <v>19로9769</v>
          </cell>
          <cell r="H218" t="str">
            <v>WAUZZZ4H5DN003676</v>
          </cell>
          <cell r="I218">
            <v>45975</v>
          </cell>
          <cell r="J218" t="str">
            <v>㈜ 케이비씨모터스</v>
          </cell>
          <cell r="K218" t="str">
            <v>광명</v>
          </cell>
          <cell r="L218" t="str">
            <v>잔금</v>
          </cell>
          <cell r="M218" t="str">
            <v>50만원 대표님 계약</v>
          </cell>
          <cell r="N218">
            <v>1114</v>
          </cell>
          <cell r="P218">
            <v>1114</v>
          </cell>
          <cell r="Q218" t="str">
            <v>done</v>
          </cell>
          <cell r="R218">
            <v>45980</v>
          </cell>
          <cell r="S218" t="str">
            <v>CALJA</v>
          </cell>
          <cell r="T218" t="str">
            <v>FITIMTAR BULLARI</v>
          </cell>
          <cell r="U218" t="str">
            <v>H70710012Q</v>
          </cell>
          <cell r="V218" t="str">
            <v>355 69 550 5533</v>
          </cell>
          <cell r="W218" t="str">
            <v>Albania</v>
          </cell>
          <cell r="X218">
            <v>1451</v>
          </cell>
          <cell r="AB218">
            <v>1679</v>
          </cell>
          <cell r="AC218">
            <v>6520</v>
          </cell>
          <cell r="AD218">
            <v>1530</v>
          </cell>
          <cell r="AE218">
            <v>8050</v>
          </cell>
          <cell r="AF218">
            <v>8460</v>
          </cell>
        </row>
        <row r="219">
          <cell r="A219">
            <v>217</v>
          </cell>
          <cell r="B219">
            <v>45973</v>
          </cell>
          <cell r="C219" t="str">
            <v>BMW 520d</v>
          </cell>
          <cell r="D219" t="str">
            <v>BMW</v>
          </cell>
          <cell r="E219" t="str">
            <v>520d</v>
          </cell>
          <cell r="F219">
            <v>2018</v>
          </cell>
          <cell r="G219" t="str">
            <v>273라3841</v>
          </cell>
          <cell r="H219" t="str">
            <v>WBAJC3103JWB81069</v>
          </cell>
          <cell r="I219">
            <v>45974</v>
          </cell>
          <cell r="J219" t="str">
            <v>㈜유한회사 예림모터스</v>
          </cell>
          <cell r="K219" t="str">
            <v>광주</v>
          </cell>
          <cell r="L219" t="str">
            <v>잔금</v>
          </cell>
          <cell r="M219" t="str">
            <v>50만원 대표님 계약</v>
          </cell>
          <cell r="N219">
            <v>1740</v>
          </cell>
          <cell r="P219">
            <v>1740</v>
          </cell>
          <cell r="Q219" t="str">
            <v>done</v>
          </cell>
          <cell r="R219">
            <v>45980</v>
          </cell>
          <cell r="S219" t="str">
            <v>GENC HETA</v>
          </cell>
          <cell r="T219" t="str">
            <v>GENC HETA</v>
          </cell>
          <cell r="U219">
            <v>182420</v>
          </cell>
          <cell r="V219" t="str">
            <v>377 45 145 283</v>
          </cell>
          <cell r="W219" t="str">
            <v>KOSOVO</v>
          </cell>
          <cell r="X219">
            <v>1451</v>
          </cell>
          <cell r="AB219">
            <v>1679</v>
          </cell>
          <cell r="AC219">
            <v>10057</v>
          </cell>
          <cell r="AD219">
            <v>1443</v>
          </cell>
          <cell r="AE219">
            <v>11500</v>
          </cell>
        </row>
        <row r="220">
          <cell r="A220">
            <v>218</v>
          </cell>
          <cell r="B220">
            <v>45973</v>
          </cell>
          <cell r="C220" t="str">
            <v>BMW M5</v>
          </cell>
          <cell r="D220" t="str">
            <v>BMW</v>
          </cell>
          <cell r="E220" t="str">
            <v>M5</v>
          </cell>
          <cell r="F220">
            <v>2014</v>
          </cell>
          <cell r="G220" t="str">
            <v>67구1617</v>
          </cell>
          <cell r="H220" t="str">
            <v>WBSFV9103ED094642</v>
          </cell>
          <cell r="I220">
            <v>45978</v>
          </cell>
          <cell r="J220" t="str">
            <v>(주)아차차매매상사</v>
          </cell>
          <cell r="L220" t="str">
            <v>잔금</v>
          </cell>
          <cell r="M220" t="str">
            <v>100만원 회사통장 나감</v>
          </cell>
          <cell r="N220">
            <v>2850</v>
          </cell>
          <cell r="P220">
            <v>2850</v>
          </cell>
          <cell r="Q220" t="str">
            <v>done</v>
          </cell>
          <cell r="R220">
            <v>45980</v>
          </cell>
          <cell r="S220" t="str">
            <v xml:space="preserve">DAX IMPORT 🇩🇪 </v>
          </cell>
          <cell r="T220" t="str">
            <v xml:space="preserve">Michael Karl  </v>
          </cell>
          <cell r="U220" t="str">
            <v>LF9N8WZ16</v>
          </cell>
          <cell r="V220" t="str">
            <v>‪+49 471 94189050‬</v>
          </cell>
          <cell r="W220" t="str">
            <v xml:space="preserve">Dorfstr,33C,(82024) Taufkirchen, Germany </v>
          </cell>
          <cell r="X220">
            <v>1451</v>
          </cell>
          <cell r="Y220">
            <v>1679</v>
          </cell>
          <cell r="AB220">
            <v>1679</v>
          </cell>
          <cell r="AC220">
            <v>16050</v>
          </cell>
          <cell r="AD220">
            <v>821</v>
          </cell>
          <cell r="AE220">
            <v>16050</v>
          </cell>
          <cell r="AF220">
            <v>19000</v>
          </cell>
        </row>
        <row r="221">
          <cell r="A221">
            <v>219</v>
          </cell>
          <cell r="B221">
            <v>45973</v>
          </cell>
          <cell r="C221" t="str">
            <v>BMW M4 Coupe</v>
          </cell>
          <cell r="D221" t="str">
            <v>BMW</v>
          </cell>
          <cell r="E221" t="str">
            <v>M4 Coupe</v>
          </cell>
          <cell r="F221">
            <v>2016</v>
          </cell>
          <cell r="G221" t="str">
            <v>01버0371</v>
          </cell>
          <cell r="H221" t="str">
            <v>WBS3R9100GK455508</v>
          </cell>
          <cell r="I221">
            <v>45975</v>
          </cell>
          <cell r="J221" t="str">
            <v>(주)위드카</v>
          </cell>
          <cell r="L221" t="str">
            <v>잔금</v>
          </cell>
          <cell r="M221" t="str">
            <v>100만원 회사통장 나감</v>
          </cell>
          <cell r="N221">
            <v>3750</v>
          </cell>
          <cell r="P221">
            <v>3750</v>
          </cell>
          <cell r="Q221" t="str">
            <v>done</v>
          </cell>
          <cell r="R221">
            <v>45980</v>
          </cell>
          <cell r="S221" t="str">
            <v>TAFA</v>
          </cell>
          <cell r="T221" t="str">
            <v>KRESHNIK MECAJ</v>
          </cell>
          <cell r="U221" t="str">
            <v>I80921021J</v>
          </cell>
          <cell r="V221" t="str">
            <v>355 68 855 8026</v>
          </cell>
          <cell r="W221" t="str">
            <v>Albania</v>
          </cell>
          <cell r="X221">
            <v>1451</v>
          </cell>
          <cell r="AB221">
            <v>1679</v>
          </cell>
          <cell r="AC221">
            <v>21627</v>
          </cell>
          <cell r="AD221">
            <v>1443</v>
          </cell>
          <cell r="AE221">
            <v>23070</v>
          </cell>
          <cell r="AF221">
            <v>23730</v>
          </cell>
        </row>
        <row r="222">
          <cell r="A222">
            <v>220</v>
          </cell>
          <cell r="B222">
            <v>45973</v>
          </cell>
          <cell r="C222" t="str">
            <v>AUDI A7 45 TDI quattro</v>
          </cell>
          <cell r="D222" t="str">
            <v>AUDI</v>
          </cell>
          <cell r="E222" t="str">
            <v>A7 45 TDI quattro</v>
          </cell>
          <cell r="F222">
            <v>2015</v>
          </cell>
          <cell r="G222" t="str">
            <v>177거3297</v>
          </cell>
          <cell r="H222" t="str">
            <v>WAUZZZ4G2FN004231</v>
          </cell>
          <cell r="I222">
            <v>45978</v>
          </cell>
          <cell r="J222" t="str">
            <v>(주)우기자동차</v>
          </cell>
          <cell r="L222" t="str">
            <v>잔금</v>
          </cell>
          <cell r="M222" t="str">
            <v>50만원 회사통장 나감</v>
          </cell>
          <cell r="N222">
            <v>1040</v>
          </cell>
          <cell r="P222">
            <v>1040</v>
          </cell>
          <cell r="Q222" t="str">
            <v>DONE</v>
          </cell>
          <cell r="R222">
            <v>45982</v>
          </cell>
          <cell r="S222" t="str">
            <v>CALJA</v>
          </cell>
          <cell r="T222" t="str">
            <v>HENRI BODECI</v>
          </cell>
          <cell r="U222" t="str">
            <v>J50630086K</v>
          </cell>
          <cell r="V222" t="str">
            <v>355 69 550 5533</v>
          </cell>
          <cell r="W222" t="str">
            <v>Albania</v>
          </cell>
          <cell r="X222">
            <v>1451</v>
          </cell>
          <cell r="AB222">
            <v>1679</v>
          </cell>
          <cell r="AC222">
            <v>5997</v>
          </cell>
          <cell r="AD222">
            <v>1443</v>
          </cell>
          <cell r="AE222">
            <v>7440</v>
          </cell>
          <cell r="AF222">
            <v>9960</v>
          </cell>
        </row>
        <row r="223">
          <cell r="A223">
            <v>221</v>
          </cell>
          <cell r="B223">
            <v>45973</v>
          </cell>
          <cell r="C223" t="str">
            <v>BMW 530d M Spor Package WLTP</v>
          </cell>
          <cell r="D223" t="str">
            <v>BMW</v>
          </cell>
          <cell r="E223" t="str">
            <v>530d M Spor Package WLTP</v>
          </cell>
          <cell r="G223" t="str">
            <v>26다1588</v>
          </cell>
          <cell r="H223" t="str">
            <v>WBAJC9100JB279791</v>
          </cell>
          <cell r="I223">
            <v>45975</v>
          </cell>
          <cell r="J223" t="str">
            <v>(주)카플릭스</v>
          </cell>
          <cell r="K223" t="str">
            <v>부산</v>
          </cell>
          <cell r="L223" t="str">
            <v>잔금</v>
          </cell>
          <cell r="M223" t="str">
            <v>50만원 대표님 계약</v>
          </cell>
          <cell r="N223">
            <v>3600</v>
          </cell>
          <cell r="P223">
            <v>3600</v>
          </cell>
          <cell r="Q223" t="str">
            <v>done</v>
          </cell>
          <cell r="R223">
            <v>45980</v>
          </cell>
          <cell r="S223" t="str">
            <v>Auto Posh SH.P.K</v>
          </cell>
          <cell r="T223" t="str">
            <v>Auto Posh SH.P.K</v>
          </cell>
          <cell r="U223">
            <v>812219427</v>
          </cell>
          <cell r="V223">
            <v>38345560145</v>
          </cell>
          <cell r="W223" t="str">
            <v xml:space="preserve"> Rruga Jakup Lami, Pn. Greme, Feriza</v>
          </cell>
          <cell r="X223">
            <v>1451</v>
          </cell>
          <cell r="AB223">
            <v>1679</v>
          </cell>
          <cell r="AC223">
            <v>20557</v>
          </cell>
          <cell r="AD223">
            <v>1443</v>
          </cell>
          <cell r="AE223">
            <v>22000</v>
          </cell>
        </row>
        <row r="224">
          <cell r="A224">
            <v>222</v>
          </cell>
          <cell r="B224">
            <v>45974</v>
          </cell>
          <cell r="C224" t="str">
            <v>VOLKSWAGENS Tiguan 2.0 TDI</v>
          </cell>
          <cell r="D224" t="str">
            <v>VOLKSWAGENS</v>
          </cell>
          <cell r="E224" t="str">
            <v>Tiguan 2.0 TDI</v>
          </cell>
          <cell r="F224">
            <v>2020</v>
          </cell>
          <cell r="G224" t="str">
            <v>159주1960</v>
          </cell>
          <cell r="H224" t="str">
            <v>WVGZZZ5NZLW358627</v>
          </cell>
          <cell r="I224">
            <v>45987</v>
          </cell>
          <cell r="J224" t="str">
            <v>(주)알차이노베이션</v>
          </cell>
          <cell r="L224" t="str">
            <v>잔금</v>
          </cell>
          <cell r="M224" t="str">
            <v>50만원 회사통장 나감</v>
          </cell>
          <cell r="N224">
            <v>2150</v>
          </cell>
          <cell r="P224">
            <v>2150</v>
          </cell>
          <cell r="Q224" t="str">
            <v>done</v>
          </cell>
          <cell r="R224">
            <v>45995</v>
          </cell>
          <cell r="S224" t="str">
            <v>Auto Haus</v>
          </cell>
          <cell r="T224" t="str">
            <v>ENGJELL CANAJ</v>
          </cell>
          <cell r="U224">
            <v>2252750</v>
          </cell>
          <cell r="V224" t="str">
            <v>383 484 80119</v>
          </cell>
          <cell r="W224" t="str">
            <v>KOSOVO</v>
          </cell>
          <cell r="X224">
            <v>1456</v>
          </cell>
          <cell r="AB224">
            <v>1695</v>
          </cell>
          <cell r="AC224">
            <v>12040</v>
          </cell>
          <cell r="AD224">
            <v>1530</v>
          </cell>
          <cell r="AE224">
            <v>13570</v>
          </cell>
        </row>
        <row r="225">
          <cell r="A225">
            <v>223</v>
          </cell>
          <cell r="B225">
            <v>45974</v>
          </cell>
          <cell r="C225" t="str">
            <v>BENZ E220 d 4Matic</v>
          </cell>
          <cell r="D225" t="str">
            <v>BENZ</v>
          </cell>
          <cell r="E225" t="str">
            <v>E220 d 4Matic</v>
          </cell>
          <cell r="F225">
            <v>2017</v>
          </cell>
          <cell r="G225" t="str">
            <v>05라7612</v>
          </cell>
          <cell r="H225" t="str">
            <v>WDDZF0FBXHS225374</v>
          </cell>
          <cell r="I225">
            <v>45975</v>
          </cell>
          <cell r="J225" t="str">
            <v>㈜차투차</v>
          </cell>
          <cell r="L225" t="str">
            <v>잔금</v>
          </cell>
          <cell r="M225" t="str">
            <v>100만원 회사통장 나감</v>
          </cell>
          <cell r="N225">
            <v>2390</v>
          </cell>
          <cell r="O225">
            <v>44</v>
          </cell>
          <cell r="P225">
            <v>2434</v>
          </cell>
          <cell r="Q225" t="str">
            <v>done</v>
          </cell>
          <cell r="R225">
            <v>45980</v>
          </cell>
          <cell r="S225" t="str">
            <v>Auto Posh SH.P.K</v>
          </cell>
          <cell r="T225" t="str">
            <v>Auto Posh SH.P.K</v>
          </cell>
          <cell r="U225">
            <v>812219427</v>
          </cell>
          <cell r="V225">
            <v>38345560145</v>
          </cell>
          <cell r="W225" t="str">
            <v xml:space="preserve"> Rruga Jakup Lami, Pn. Greme, Feriza</v>
          </cell>
          <cell r="X225">
            <v>1456</v>
          </cell>
          <cell r="AB225">
            <v>1695</v>
          </cell>
          <cell r="AC225">
            <v>13765</v>
          </cell>
          <cell r="AD225">
            <v>1435</v>
          </cell>
          <cell r="AE225">
            <v>15200</v>
          </cell>
        </row>
        <row r="226">
          <cell r="A226">
            <v>224</v>
          </cell>
          <cell r="B226">
            <v>45974</v>
          </cell>
          <cell r="C226" t="str">
            <v>AUDI A6 3.0 TDI QUATTRO</v>
          </cell>
          <cell r="D226" t="str">
            <v>AUDI</v>
          </cell>
          <cell r="E226" t="str">
            <v>A6 3.0 TDI QUATTRO</v>
          </cell>
          <cell r="F226">
            <v>2013</v>
          </cell>
          <cell r="G226" t="str">
            <v>52머0876</v>
          </cell>
          <cell r="H226" t="str">
            <v>WAUZZZ4G0DN112263</v>
          </cell>
          <cell r="I226">
            <v>45975</v>
          </cell>
          <cell r="J226" t="str">
            <v>㈜카베이</v>
          </cell>
          <cell r="L226" t="str">
            <v>잔금</v>
          </cell>
          <cell r="M226" t="str">
            <v>50만원 대표님 계약</v>
          </cell>
          <cell r="N226">
            <v>694</v>
          </cell>
          <cell r="P226">
            <v>694</v>
          </cell>
          <cell r="Q226" t="str">
            <v>done</v>
          </cell>
          <cell r="R226">
            <v>45980</v>
          </cell>
          <cell r="S226" t="str">
            <v>CALJA</v>
          </cell>
          <cell r="T226" t="str">
            <v>Flavio Halilaj</v>
          </cell>
          <cell r="U226" t="str">
            <v>K51104027S</v>
          </cell>
          <cell r="V226" t="str">
            <v>355 69 550 5533</v>
          </cell>
          <cell r="W226" t="str">
            <v>Albania</v>
          </cell>
          <cell r="X226">
            <v>1456</v>
          </cell>
          <cell r="AB226">
            <v>1695</v>
          </cell>
          <cell r="AC226">
            <v>4085</v>
          </cell>
          <cell r="AD226">
            <v>1435</v>
          </cell>
          <cell r="AE226">
            <v>5520</v>
          </cell>
          <cell r="AF226">
            <v>6520</v>
          </cell>
        </row>
        <row r="227">
          <cell r="A227">
            <v>225</v>
          </cell>
          <cell r="B227">
            <v>45974</v>
          </cell>
          <cell r="C227" t="str">
            <v>FORD KUGA 2.0 AWD</v>
          </cell>
          <cell r="D227" t="str">
            <v>FORD</v>
          </cell>
          <cell r="E227" t="str">
            <v>KUGA 2.0 AWD</v>
          </cell>
          <cell r="G227" t="str">
            <v>14누1933</v>
          </cell>
          <cell r="H227" t="str">
            <v>WF04XXWPMHHP11449</v>
          </cell>
          <cell r="I227">
            <v>45975</v>
          </cell>
          <cell r="J227" t="str">
            <v>㈜고물상사</v>
          </cell>
          <cell r="L227" t="str">
            <v>잔금</v>
          </cell>
          <cell r="M227" t="str">
            <v>50만원 대표님 계약</v>
          </cell>
          <cell r="N227">
            <v>810</v>
          </cell>
          <cell r="P227">
            <v>810</v>
          </cell>
          <cell r="Q227" t="str">
            <v>done</v>
          </cell>
          <cell r="R227">
            <v>45980</v>
          </cell>
          <cell r="S227" t="str">
            <v>R.S.h L.L.C.</v>
          </cell>
          <cell r="T227" t="str">
            <v>R.Sh L.L.C.</v>
          </cell>
          <cell r="U227">
            <v>812326016</v>
          </cell>
          <cell r="V227" t="str">
            <v>+383486 611 61</v>
          </cell>
          <cell r="W227" t="str">
            <v>Kosovo</v>
          </cell>
          <cell r="X227">
            <v>1456</v>
          </cell>
          <cell r="AB227">
            <v>1695</v>
          </cell>
          <cell r="AC227">
            <v>4740</v>
          </cell>
          <cell r="AD227">
            <v>1520</v>
          </cell>
          <cell r="AE227">
            <v>6260</v>
          </cell>
        </row>
        <row r="228">
          <cell r="A228">
            <v>226</v>
          </cell>
          <cell r="B228">
            <v>45974</v>
          </cell>
          <cell r="C228" t="str">
            <v>Peugeot 2008 1.6 BlueHDi</v>
          </cell>
          <cell r="D228" t="str">
            <v>Peugeot</v>
          </cell>
          <cell r="E228" t="str">
            <v>2008 1.6 BlueHDi</v>
          </cell>
          <cell r="G228" t="str">
            <v>54누6992</v>
          </cell>
          <cell r="H228" t="str">
            <v>VF3CUBHYMGY017409</v>
          </cell>
          <cell r="I228">
            <v>45975</v>
          </cell>
          <cell r="J228" t="str">
            <v>㈜세이프중고차</v>
          </cell>
          <cell r="L228" t="str">
            <v>잔금</v>
          </cell>
          <cell r="M228" t="str">
            <v>50만원 대표님 계약</v>
          </cell>
          <cell r="N228">
            <v>624</v>
          </cell>
          <cell r="P228">
            <v>624</v>
          </cell>
          <cell r="Q228" t="str">
            <v>done</v>
          </cell>
          <cell r="R228">
            <v>45980</v>
          </cell>
          <cell r="S228" t="str">
            <v>R.S.h L.L.C.</v>
          </cell>
          <cell r="T228" t="str">
            <v>R.Sh L.L.C.</v>
          </cell>
          <cell r="U228">
            <v>812326016</v>
          </cell>
          <cell r="V228" t="str">
            <v>+383486 611 61</v>
          </cell>
          <cell r="W228" t="str">
            <v>Kosovo</v>
          </cell>
          <cell r="X228">
            <v>1456</v>
          </cell>
          <cell r="AB228">
            <v>1695</v>
          </cell>
          <cell r="AC228">
            <v>3735</v>
          </cell>
          <cell r="AD228">
            <v>1435</v>
          </cell>
          <cell r="AE228">
            <v>5170</v>
          </cell>
        </row>
        <row r="229">
          <cell r="A229">
            <v>227</v>
          </cell>
          <cell r="B229">
            <v>45975</v>
          </cell>
          <cell r="C229" t="str">
            <v>AUDI A6 3.0 TDI QUATTRO</v>
          </cell>
          <cell r="D229" t="str">
            <v>AUDI</v>
          </cell>
          <cell r="E229" t="str">
            <v>A6 3.0 TDI QUATTRO</v>
          </cell>
          <cell r="G229" t="str">
            <v>45머7596</v>
          </cell>
          <cell r="H229" t="str">
            <v>WAUZZZ4G8CN129391</v>
          </cell>
          <cell r="I229">
            <v>45978</v>
          </cell>
          <cell r="J229" t="str">
            <v>㈜부산중고차매매상사</v>
          </cell>
          <cell r="K229" t="str">
            <v>부산</v>
          </cell>
          <cell r="L229" t="str">
            <v>잔금</v>
          </cell>
          <cell r="M229" t="str">
            <v>50만원 회사통장 나감</v>
          </cell>
          <cell r="N229">
            <v>670</v>
          </cell>
          <cell r="P229">
            <v>670</v>
          </cell>
          <cell r="Q229" t="str">
            <v>done</v>
          </cell>
          <cell r="R229">
            <v>45980</v>
          </cell>
          <cell r="S229" t="str">
            <v>Ervin</v>
          </cell>
          <cell r="T229" t="str">
            <v>Delnist Qypi</v>
          </cell>
          <cell r="U229" t="str">
            <v>J20717014S</v>
          </cell>
          <cell r="V229" t="str">
            <v>355 67 69 41 777</v>
          </cell>
          <cell r="W229" t="str">
            <v>Albania</v>
          </cell>
          <cell r="X229">
            <v>1445</v>
          </cell>
          <cell r="AB229">
            <v>1681</v>
          </cell>
          <cell r="AC229">
            <v>4094</v>
          </cell>
          <cell r="AD229">
            <v>1436</v>
          </cell>
          <cell r="AE229">
            <v>5530</v>
          </cell>
        </row>
        <row r="230">
          <cell r="A230">
            <v>228</v>
          </cell>
          <cell r="B230">
            <v>45975</v>
          </cell>
          <cell r="C230" t="str">
            <v>BENZ E350D</v>
          </cell>
          <cell r="D230" t="str">
            <v>BENZ</v>
          </cell>
          <cell r="E230" t="str">
            <v>E350D</v>
          </cell>
          <cell r="G230" t="str">
            <v>02부2348</v>
          </cell>
          <cell r="H230" t="str">
            <v>WDDZF3DB6HA279081</v>
          </cell>
          <cell r="I230">
            <v>45978</v>
          </cell>
          <cell r="J230" t="str">
            <v>(주)준이카</v>
          </cell>
          <cell r="L230" t="str">
            <v>잔금</v>
          </cell>
          <cell r="M230" t="str">
            <v>50만원 대표님 계약</v>
          </cell>
          <cell r="N230">
            <v>1970</v>
          </cell>
          <cell r="P230">
            <v>1970</v>
          </cell>
          <cell r="Q230" t="str">
            <v>done</v>
          </cell>
          <cell r="R230">
            <v>45980</v>
          </cell>
          <cell r="S230" t="str">
            <v>TAFA</v>
          </cell>
          <cell r="T230" t="str">
            <v>TAFA ALI</v>
          </cell>
          <cell r="U230" t="str">
            <v>I10226024H</v>
          </cell>
          <cell r="V230" t="str">
            <v>355 68 855 8026</v>
          </cell>
          <cell r="W230" t="str">
            <v>ALBANIA</v>
          </cell>
          <cell r="X230">
            <v>1445</v>
          </cell>
          <cell r="AB230">
            <v>1681</v>
          </cell>
          <cell r="AC230">
            <v>11294</v>
          </cell>
          <cell r="AD230">
            <v>1436</v>
          </cell>
          <cell r="AE230">
            <v>12730</v>
          </cell>
        </row>
        <row r="231">
          <cell r="A231">
            <v>229</v>
          </cell>
          <cell r="B231">
            <v>45975</v>
          </cell>
          <cell r="C231" t="str">
            <v>HYUNDAI SANTAFE</v>
          </cell>
          <cell r="D231" t="str">
            <v>HYUNDAI</v>
          </cell>
          <cell r="E231" t="str">
            <v>SANTAFE</v>
          </cell>
          <cell r="G231" t="str">
            <v>42마0310</v>
          </cell>
          <cell r="H231" t="str">
            <v>KMHSW81UBGU593944</v>
          </cell>
          <cell r="I231">
            <v>45978</v>
          </cell>
          <cell r="J231" t="str">
            <v>(주)알뜰중고차</v>
          </cell>
          <cell r="K231" t="str">
            <v>부산</v>
          </cell>
          <cell r="L231" t="str">
            <v>잔금</v>
          </cell>
          <cell r="M231" t="str">
            <v>50만원 대표님 계약</v>
          </cell>
          <cell r="N231">
            <v>1000</v>
          </cell>
          <cell r="P231">
            <v>1000</v>
          </cell>
          <cell r="Q231" t="str">
            <v>done</v>
          </cell>
          <cell r="R231">
            <v>45980</v>
          </cell>
          <cell r="S231" t="str">
            <v>CALJA</v>
          </cell>
          <cell r="T231" t="str">
            <v>DAMIANA MULLA</v>
          </cell>
          <cell r="U231" t="str">
            <v>J05812016U</v>
          </cell>
          <cell r="V231" t="str">
            <v>355 69 550 5533</v>
          </cell>
          <cell r="W231" t="str">
            <v>Albania</v>
          </cell>
          <cell r="X231">
            <v>1445</v>
          </cell>
          <cell r="AB231">
            <v>1681</v>
          </cell>
          <cell r="AC231">
            <v>5868</v>
          </cell>
          <cell r="AD231">
            <v>1522</v>
          </cell>
          <cell r="AE231">
            <v>7390</v>
          </cell>
          <cell r="AF231">
            <v>7600</v>
          </cell>
        </row>
        <row r="232">
          <cell r="A232">
            <v>230</v>
          </cell>
          <cell r="B232">
            <v>45975</v>
          </cell>
          <cell r="C232" t="str">
            <v>MERCEDES AMG C63 COUPLE</v>
          </cell>
          <cell r="D232" t="str">
            <v>MERCEDES</v>
          </cell>
          <cell r="E232" t="str">
            <v>AMG C63 COUPLE</v>
          </cell>
          <cell r="G232" t="str">
            <v>18버3747</v>
          </cell>
          <cell r="H232" t="str">
            <v>WDDWJ8GB6JF700140</v>
          </cell>
          <cell r="I232">
            <v>45978</v>
          </cell>
          <cell r="J232" t="str">
            <v>(주)오토베이</v>
          </cell>
          <cell r="L232" t="str">
            <v>잔금</v>
          </cell>
          <cell r="M232" t="str">
            <v>50만원 대표님 계약</v>
          </cell>
          <cell r="N232">
            <v>4200</v>
          </cell>
          <cell r="P232">
            <v>4200</v>
          </cell>
          <cell r="Q232" t="str">
            <v>done</v>
          </cell>
          <cell r="R232">
            <v>45980</v>
          </cell>
          <cell r="S232" t="str">
            <v xml:space="preserve">DAX IMPORT 🇩🇪 </v>
          </cell>
          <cell r="T232" t="str">
            <v xml:space="preserve">Michael Karl  </v>
          </cell>
          <cell r="U232" t="str">
            <v>LF9N8WZ16</v>
          </cell>
          <cell r="V232" t="str">
            <v>‪+49 471 94189050‬</v>
          </cell>
          <cell r="W232" t="str">
            <v xml:space="preserve">Dorfstr,33C,(82024) Taufkirchen, Germany </v>
          </cell>
          <cell r="X232">
            <v>1445</v>
          </cell>
          <cell r="AB232">
            <v>1681</v>
          </cell>
          <cell r="AC232">
            <v>24000</v>
          </cell>
          <cell r="AD232">
            <v>817</v>
          </cell>
          <cell r="AE232">
            <v>24000</v>
          </cell>
          <cell r="AF232">
            <v>23000</v>
          </cell>
        </row>
        <row r="233">
          <cell r="A233">
            <v>231</v>
          </cell>
          <cell r="B233">
            <v>45975</v>
          </cell>
          <cell r="C233" t="str">
            <v>AUDI A6 45 TDI QUATTRO</v>
          </cell>
          <cell r="D233" t="str">
            <v>AUDI</v>
          </cell>
          <cell r="E233" t="str">
            <v>A6 45 TDI QUATTRO</v>
          </cell>
          <cell r="G233" t="str">
            <v>48누3048</v>
          </cell>
          <cell r="H233" t="str">
            <v>WAUZZZ4G2FN026388</v>
          </cell>
          <cell r="I233">
            <v>45978</v>
          </cell>
          <cell r="J233" t="str">
            <v>(주)제이와이모터스</v>
          </cell>
          <cell r="K233" t="str">
            <v>부천</v>
          </cell>
          <cell r="L233" t="str">
            <v>잔금</v>
          </cell>
          <cell r="M233" t="str">
            <v>50만원 대표님 계약</v>
          </cell>
          <cell r="N233">
            <v>646</v>
          </cell>
          <cell r="O233">
            <v>44</v>
          </cell>
          <cell r="P233">
            <v>690</v>
          </cell>
          <cell r="Q233" t="str">
            <v>done</v>
          </cell>
          <cell r="R233">
            <v>45980</v>
          </cell>
          <cell r="S233" t="str">
            <v>MILO</v>
          </cell>
          <cell r="T233" t="str">
            <v>Emiljan Kamami</v>
          </cell>
          <cell r="U233" t="str">
            <v>J30826014V</v>
          </cell>
          <cell r="V233" t="str">
            <v>355 69 682 8331</v>
          </cell>
          <cell r="W233" t="str">
            <v>Albania</v>
          </cell>
          <cell r="X233">
            <v>1445</v>
          </cell>
          <cell r="AB233">
            <v>1681</v>
          </cell>
          <cell r="AC233">
            <v>4134</v>
          </cell>
          <cell r="AD233">
            <v>1436</v>
          </cell>
          <cell r="AE233">
            <v>5570</v>
          </cell>
          <cell r="AF233">
            <v>3970</v>
          </cell>
        </row>
        <row r="234">
          <cell r="A234">
            <v>232</v>
          </cell>
          <cell r="B234">
            <v>45975</v>
          </cell>
          <cell r="C234" t="str">
            <v>VOLKSWAGENS Jetta 2.0 TDI BMT Premium</v>
          </cell>
          <cell r="D234" t="str">
            <v>VOLKSWAGENS</v>
          </cell>
          <cell r="E234" t="str">
            <v>Jetta 2.0 TDI BMT Premium</v>
          </cell>
          <cell r="F234">
            <v>2016</v>
          </cell>
          <cell r="G234" t="str">
            <v>05도0295</v>
          </cell>
          <cell r="H234" t="str">
            <v>WVWZZZ16ZGM012308</v>
          </cell>
          <cell r="I234">
            <v>45978</v>
          </cell>
          <cell r="J234" t="str">
            <v>경매장-헤이딜러</v>
          </cell>
          <cell r="L234" t="str">
            <v>잔금</v>
          </cell>
          <cell r="N234">
            <v>954</v>
          </cell>
          <cell r="O234">
            <v>37</v>
          </cell>
          <cell r="P234">
            <v>991</v>
          </cell>
          <cell r="Q234" t="str">
            <v>done</v>
          </cell>
          <cell r="R234">
            <v>45980</v>
          </cell>
          <cell r="S234" t="str">
            <v>ATLAS GROUP SH.P.K</v>
          </cell>
          <cell r="T234" t="str">
            <v>ATLAS GROUP SH.P.K</v>
          </cell>
          <cell r="U234">
            <v>812137455</v>
          </cell>
          <cell r="V234" t="str">
            <v>+38348702207</v>
          </cell>
          <cell r="W234" t="str">
            <v>Xhelal Hajda, p.n. Rahovec</v>
          </cell>
          <cell r="X234">
            <v>1445</v>
          </cell>
          <cell r="AB234">
            <v>1681</v>
          </cell>
          <cell r="AC234">
            <v>5844</v>
          </cell>
          <cell r="AD234">
            <v>1436</v>
          </cell>
          <cell r="AE234">
            <v>7280</v>
          </cell>
        </row>
        <row r="235">
          <cell r="A235">
            <v>233</v>
          </cell>
          <cell r="B235">
            <v>45976</v>
          </cell>
          <cell r="C235" t="str">
            <v>AUDI A8L 60</v>
          </cell>
          <cell r="D235" t="str">
            <v>AUDI</v>
          </cell>
          <cell r="E235" t="str">
            <v>A8L 60</v>
          </cell>
          <cell r="G235" t="str">
            <v>155누5205</v>
          </cell>
          <cell r="H235" t="str">
            <v>WAUZZZ4H4FN022710</v>
          </cell>
          <cell r="I235">
            <v>45978</v>
          </cell>
          <cell r="J235" t="str">
            <v>M모터스</v>
          </cell>
          <cell r="L235" t="str">
            <v>잔금</v>
          </cell>
          <cell r="N235">
            <v>1800</v>
          </cell>
          <cell r="P235">
            <v>1800</v>
          </cell>
          <cell r="Q235" t="str">
            <v>done</v>
          </cell>
          <cell r="R235">
            <v>45980</v>
          </cell>
          <cell r="S235" t="str">
            <v>MILO</v>
          </cell>
          <cell r="T235" t="str">
            <v>Emiljan Kamami</v>
          </cell>
          <cell r="U235" t="str">
            <v>J30826014V</v>
          </cell>
          <cell r="V235" t="str">
            <v>355 69 682 8331</v>
          </cell>
          <cell r="W235" t="str">
            <v>Albania</v>
          </cell>
          <cell r="X235">
            <v>1445</v>
          </cell>
          <cell r="AB235">
            <v>1676</v>
          </cell>
          <cell r="AC235">
            <v>10274</v>
          </cell>
          <cell r="AD235">
            <v>1526</v>
          </cell>
          <cell r="AE235">
            <v>11800</v>
          </cell>
          <cell r="AF235" t="str">
            <v>8000/3800</v>
          </cell>
        </row>
        <row r="236">
          <cell r="A236">
            <v>234</v>
          </cell>
          <cell r="B236">
            <v>45980</v>
          </cell>
          <cell r="C236" t="str">
            <v>AUDI Q3</v>
          </cell>
          <cell r="D236" t="str">
            <v>AUDI</v>
          </cell>
          <cell r="E236" t="str">
            <v>Q3</v>
          </cell>
          <cell r="F236">
            <v>2020</v>
          </cell>
          <cell r="G236" t="str">
            <v>157고9777</v>
          </cell>
          <cell r="H236" t="str">
            <v>WAUZZZF37L1061912</v>
          </cell>
          <cell r="I236">
            <v>45985</v>
          </cell>
          <cell r="J236" t="str">
            <v>㈜애플모터스</v>
          </cell>
          <cell r="L236" t="str">
            <v>잔금</v>
          </cell>
          <cell r="M236" t="str">
            <v>50만원 대표님 계약</v>
          </cell>
          <cell r="N236">
            <v>2610</v>
          </cell>
          <cell r="P236">
            <v>2610</v>
          </cell>
          <cell r="Q236" t="str">
            <v>done</v>
          </cell>
          <cell r="R236">
            <v>45990</v>
          </cell>
          <cell r="S236" t="str">
            <v>DONI</v>
          </cell>
          <cell r="T236" t="str">
            <v>DONI</v>
          </cell>
          <cell r="U236">
            <v>933682</v>
          </cell>
          <cell r="V236" t="str">
            <v>3 8 3 4 9 3 2 5 7 0 3</v>
          </cell>
          <cell r="W236" t="str">
            <v xml:space="preserve"> HYZRI TALLA OB 16 HY 1 NR 18
 Kosovë</v>
          </cell>
          <cell r="X236">
            <v>1450</v>
          </cell>
          <cell r="AB236">
            <v>1679</v>
          </cell>
          <cell r="AC236">
            <v>14901</v>
          </cell>
          <cell r="AD236">
            <v>1529</v>
          </cell>
          <cell r="AE236">
            <v>16430</v>
          </cell>
        </row>
        <row r="237">
          <cell r="A237">
            <v>235</v>
          </cell>
          <cell r="B237">
            <v>45980</v>
          </cell>
          <cell r="C237" t="str">
            <v>HYUNDAI TUCSON</v>
          </cell>
          <cell r="D237" t="str">
            <v>HYUNDAI</v>
          </cell>
          <cell r="E237" t="str">
            <v>TUCSON</v>
          </cell>
          <cell r="F237">
            <v>2017</v>
          </cell>
          <cell r="G237" t="str">
            <v>68구0131</v>
          </cell>
          <cell r="H237" t="str">
            <v>KMHJ2815GHU248130</v>
          </cell>
          <cell r="I237">
            <v>45982</v>
          </cell>
          <cell r="J237" t="str">
            <v>㈜별모터스</v>
          </cell>
          <cell r="L237" t="str">
            <v>잔금</v>
          </cell>
          <cell r="M237" t="str">
            <v>50만원 대표님 계약</v>
          </cell>
          <cell r="N237">
            <v>880</v>
          </cell>
          <cell r="P237">
            <v>880</v>
          </cell>
          <cell r="Q237" t="str">
            <v>done</v>
          </cell>
          <cell r="R237">
            <v>45990</v>
          </cell>
          <cell r="S237" t="str">
            <v>CALJA</v>
          </cell>
          <cell r="T237" t="str">
            <v>Calja</v>
          </cell>
          <cell r="U237" t="str">
            <v>M43323203V</v>
          </cell>
          <cell r="V237" t="str">
            <v>355 69 550 5533</v>
          </cell>
          <cell r="W237" t="str">
            <v>Albania</v>
          </cell>
          <cell r="X237">
            <v>1450</v>
          </cell>
          <cell r="AB237">
            <v>1679</v>
          </cell>
          <cell r="AC237">
            <v>5131</v>
          </cell>
          <cell r="AD237">
            <v>1529</v>
          </cell>
          <cell r="AE237">
            <v>6660</v>
          </cell>
          <cell r="AF237">
            <v>2800</v>
          </cell>
        </row>
        <row r="238">
          <cell r="A238">
            <v>236</v>
          </cell>
          <cell r="B238">
            <v>45998</v>
          </cell>
          <cell r="C238" t="str">
            <v>VOLKSWAGENS TIGUAN ALL SPACE</v>
          </cell>
          <cell r="D238" t="str">
            <v>VOLKSWAGENS</v>
          </cell>
          <cell r="E238" t="str">
            <v>TIGUAN ALL SPACE</v>
          </cell>
          <cell r="G238" t="str">
            <v>141주6612</v>
          </cell>
          <cell r="H238" t="str">
            <v xml:space="preserve">WVGZZZ5NZLM127829 </v>
          </cell>
          <cell r="I238" t="str">
            <v>재고</v>
          </cell>
          <cell r="J238" t="str">
            <v>경매장 -헤이딜러</v>
          </cell>
          <cell r="K238" t="str">
            <v>재고</v>
          </cell>
          <cell r="L238" t="str">
            <v>잔금</v>
          </cell>
          <cell r="N238">
            <v>2224</v>
          </cell>
          <cell r="O238">
            <v>40</v>
          </cell>
          <cell r="P238">
            <v>2264</v>
          </cell>
          <cell r="Q238" t="str">
            <v>done</v>
          </cell>
          <cell r="R238">
            <v>12.11</v>
          </cell>
          <cell r="S238" t="str">
            <v>R.S.h L.L.C.</v>
          </cell>
          <cell r="T238" t="str">
            <v>R.Sh L.L.C.</v>
          </cell>
          <cell r="U238">
            <v>812326016</v>
          </cell>
          <cell r="V238" t="str">
            <v>+383486 611 61</v>
          </cell>
          <cell r="W238" t="str">
            <v>Kosovo</v>
          </cell>
          <cell r="X238">
            <v>1461</v>
          </cell>
          <cell r="AB238">
            <v>1700</v>
          </cell>
          <cell r="AC238">
            <v>12729</v>
          </cell>
          <cell r="AD238">
            <v>1521</v>
          </cell>
          <cell r="AE238">
            <v>14250</v>
          </cell>
        </row>
        <row r="239">
          <cell r="A239">
            <v>237</v>
          </cell>
          <cell r="B239">
            <v>45980</v>
          </cell>
          <cell r="C239" t="str">
            <v>BENZ E350</v>
          </cell>
          <cell r="D239" t="str">
            <v>BENZ</v>
          </cell>
          <cell r="E239" t="str">
            <v>E350</v>
          </cell>
          <cell r="G239" t="str">
            <v>46더8756</v>
          </cell>
          <cell r="H239" t="str">
            <v xml:space="preserve">WDDZF3DB2HA205205 </v>
          </cell>
          <cell r="I239">
            <v>45982</v>
          </cell>
          <cell r="J239" t="str">
            <v>㈜왕카</v>
          </cell>
          <cell r="L239" t="str">
            <v>잔금</v>
          </cell>
          <cell r="M239" t="str">
            <v>50만원 회사통장 나감</v>
          </cell>
          <cell r="N239">
            <v>2276</v>
          </cell>
          <cell r="O239">
            <v>44</v>
          </cell>
          <cell r="P239">
            <v>2320</v>
          </cell>
          <cell r="Q239" t="str">
            <v>done</v>
          </cell>
          <cell r="R239">
            <v>45990</v>
          </cell>
          <cell r="S239" t="str">
            <v>ATLAS GROUP SH.P.K</v>
          </cell>
          <cell r="T239" t="str">
            <v>ATLAS GROUP SH.P.K</v>
          </cell>
          <cell r="U239">
            <v>812137455</v>
          </cell>
          <cell r="V239" t="str">
            <v>+38348702207</v>
          </cell>
          <cell r="W239" t="str">
            <v>Xhelal Hajda, p.n. Rahovec</v>
          </cell>
          <cell r="X239">
            <v>1450</v>
          </cell>
          <cell r="AB239">
            <v>1679</v>
          </cell>
          <cell r="AC239">
            <v>13183</v>
          </cell>
          <cell r="AD239">
            <v>1442</v>
          </cell>
          <cell r="AE239">
            <v>14625</v>
          </cell>
        </row>
        <row r="240">
          <cell r="A240">
            <v>238</v>
          </cell>
          <cell r="B240">
            <v>45980</v>
          </cell>
          <cell r="C240" t="str">
            <v>AUDI A8L</v>
          </cell>
          <cell r="D240" t="str">
            <v>AUDI</v>
          </cell>
          <cell r="E240" t="str">
            <v>A8L</v>
          </cell>
          <cell r="G240" t="str">
            <v>242가3226</v>
          </cell>
          <cell r="H240" t="str">
            <v xml:space="preserve">WAUZZZ4H8CN038162 </v>
          </cell>
          <cell r="I240">
            <v>45986</v>
          </cell>
          <cell r="J240" t="str">
            <v>개인-지상용</v>
          </cell>
          <cell r="L240" t="str">
            <v>잔금</v>
          </cell>
          <cell r="M240" t="str">
            <v>50만원 대표님 계약</v>
          </cell>
          <cell r="N240">
            <v>1250</v>
          </cell>
          <cell r="P240">
            <v>1250</v>
          </cell>
          <cell r="Q240" t="str">
            <v>done</v>
          </cell>
          <cell r="R240">
            <v>45990</v>
          </cell>
          <cell r="S240" t="str">
            <v>HYSA</v>
          </cell>
          <cell r="T240" t="str">
            <v>HYSA JUGERS</v>
          </cell>
          <cell r="U240" t="str">
            <v>J90912021M</v>
          </cell>
          <cell r="V240" t="str">
            <v>355 69 690 2972</v>
          </cell>
          <cell r="W240" t="str">
            <v>Albania</v>
          </cell>
          <cell r="X240">
            <v>1450</v>
          </cell>
          <cell r="AB240">
            <v>1679</v>
          </cell>
          <cell r="AC240">
            <v>7161</v>
          </cell>
          <cell r="AD240">
            <v>1529</v>
          </cell>
          <cell r="AE240">
            <v>8690</v>
          </cell>
        </row>
        <row r="241">
          <cell r="A241">
            <v>239</v>
          </cell>
          <cell r="B241">
            <v>45980</v>
          </cell>
          <cell r="C241" t="str">
            <v>Mercedes AMG E63</v>
          </cell>
          <cell r="D241" t="str">
            <v>Mercedes</v>
          </cell>
          <cell r="E241" t="str">
            <v>AMG E63</v>
          </cell>
          <cell r="G241" t="str">
            <v>366저2796</v>
          </cell>
          <cell r="H241" t="str">
            <v xml:space="preserve">WDDZF8JB0JA488579 </v>
          </cell>
          <cell r="I241">
            <v>45985</v>
          </cell>
          <cell r="J241" t="str">
            <v>㈜무결정카모터스</v>
          </cell>
          <cell r="L241" t="str">
            <v>잔금</v>
          </cell>
          <cell r="M241" t="str">
            <v>100만원 회사통장 나감</v>
          </cell>
          <cell r="N241">
            <v>4940</v>
          </cell>
          <cell r="P241">
            <v>4940</v>
          </cell>
          <cell r="Q241" t="str">
            <v>done</v>
          </cell>
          <cell r="R241">
            <v>45996</v>
          </cell>
          <cell r="S241" t="str">
            <v>ANDI</v>
          </cell>
          <cell r="T241" t="str">
            <v>FATBARDHA ZEQJA</v>
          </cell>
          <cell r="U241" t="str">
            <v>G05902128W</v>
          </cell>
          <cell r="V241" t="str">
            <v>355 69 367 4263</v>
          </cell>
          <cell r="W241" t="str">
            <v>Albania</v>
          </cell>
          <cell r="X241">
            <v>1450</v>
          </cell>
          <cell r="AB241">
            <v>1679</v>
          </cell>
          <cell r="AC241">
            <v>27958</v>
          </cell>
          <cell r="AD241">
            <v>1442</v>
          </cell>
          <cell r="AE241">
            <v>29400</v>
          </cell>
          <cell r="AF241">
            <v>16400</v>
          </cell>
        </row>
        <row r="242">
          <cell r="A242">
            <v>240</v>
          </cell>
          <cell r="B242">
            <v>45980</v>
          </cell>
          <cell r="C242" t="str">
            <v>Peugeot 2008</v>
          </cell>
          <cell r="D242" t="str">
            <v>Peugeot</v>
          </cell>
          <cell r="E242">
            <v>2008</v>
          </cell>
          <cell r="G242" t="str">
            <v>12로8324</v>
          </cell>
          <cell r="H242" t="str">
            <v xml:space="preserve">VF3CUBHYMHY002756 </v>
          </cell>
          <cell r="J242" t="str">
            <v>경매장- aj</v>
          </cell>
          <cell r="L242" t="str">
            <v>잔금</v>
          </cell>
          <cell r="N242">
            <v>630</v>
          </cell>
          <cell r="O242">
            <v>16</v>
          </cell>
          <cell r="P242">
            <v>646</v>
          </cell>
          <cell r="Q242" t="str">
            <v>done</v>
          </cell>
          <cell r="R242">
            <v>45990</v>
          </cell>
          <cell r="S242" t="str">
            <v>R.S.h L.L.C.</v>
          </cell>
          <cell r="T242" t="str">
            <v>R.Sh L.L.C.</v>
          </cell>
          <cell r="U242">
            <v>812326016</v>
          </cell>
          <cell r="V242" t="str">
            <v>+383486 611 61</v>
          </cell>
          <cell r="W242" t="str">
            <v>Kosovo</v>
          </cell>
          <cell r="X242">
            <v>1450</v>
          </cell>
          <cell r="AB242">
            <v>1679</v>
          </cell>
          <cell r="AC242">
            <v>3858</v>
          </cell>
          <cell r="AD242">
            <v>1442</v>
          </cell>
          <cell r="AE242">
            <v>5300</v>
          </cell>
        </row>
        <row r="243">
          <cell r="A243">
            <v>241</v>
          </cell>
          <cell r="B243">
            <v>45980</v>
          </cell>
          <cell r="C243" t="str">
            <v>VOLVO XC60D5</v>
          </cell>
          <cell r="D243" t="str">
            <v>VOLVO</v>
          </cell>
          <cell r="E243" t="str">
            <v>XC60D5</v>
          </cell>
          <cell r="G243" t="str">
            <v xml:space="preserve">69도2585 </v>
          </cell>
          <cell r="H243" t="str">
            <v>YV1DZ82K6E2562234</v>
          </cell>
          <cell r="I243">
            <v>45985</v>
          </cell>
          <cell r="J243" t="str">
            <v>㈜라임모터스</v>
          </cell>
          <cell r="K243" t="str">
            <v>부산</v>
          </cell>
          <cell r="L243" t="str">
            <v>잔금</v>
          </cell>
          <cell r="M243" t="str">
            <v>50만원 대표님 계약</v>
          </cell>
          <cell r="N243">
            <v>1310</v>
          </cell>
          <cell r="P243">
            <v>1310</v>
          </cell>
          <cell r="Q243" t="str">
            <v>done</v>
          </cell>
          <cell r="R243">
            <v>45990</v>
          </cell>
          <cell r="S243" t="str">
            <v>CALJA</v>
          </cell>
          <cell r="T243" t="str">
            <v>INDRIT SULEJMAN</v>
          </cell>
          <cell r="U243" t="str">
            <v>J00122050T</v>
          </cell>
          <cell r="V243" t="str">
            <v>355 69 550 5533</v>
          </cell>
          <cell r="W243" t="str">
            <v>Albania</v>
          </cell>
          <cell r="X243">
            <v>1450</v>
          </cell>
          <cell r="AB243">
            <v>1679</v>
          </cell>
          <cell r="AC243">
            <v>7571</v>
          </cell>
          <cell r="AD243">
            <v>1529</v>
          </cell>
          <cell r="AE243">
            <v>9100</v>
          </cell>
          <cell r="AF243">
            <v>10700</v>
          </cell>
        </row>
        <row r="244">
          <cell r="A244">
            <v>242</v>
          </cell>
          <cell r="B244">
            <v>45980</v>
          </cell>
          <cell r="C244" t="str">
            <v>VOLKSWAGENS TIGUAN ALL SPACE</v>
          </cell>
          <cell r="D244" t="str">
            <v>VOLKSWAGENS</v>
          </cell>
          <cell r="E244" t="str">
            <v>TIGUAN ALL SPACE</v>
          </cell>
          <cell r="G244" t="str">
            <v xml:space="preserve">339우2814 </v>
          </cell>
          <cell r="H244" t="str">
            <v>WVGZZZ5NZLM182133</v>
          </cell>
          <cell r="I244">
            <v>45985</v>
          </cell>
          <cell r="L244" t="str">
            <v>잔금</v>
          </cell>
          <cell r="M244" t="str">
            <v>50만원 대표님 계약</v>
          </cell>
          <cell r="N244">
            <v>2600</v>
          </cell>
          <cell r="O244">
            <v>44</v>
          </cell>
          <cell r="P244">
            <v>2644</v>
          </cell>
          <cell r="Q244" t="str">
            <v>done</v>
          </cell>
          <cell r="R244">
            <v>45990</v>
          </cell>
          <cell r="S244" t="str">
            <v>R.S.h L.L.C.</v>
          </cell>
          <cell r="T244" t="str">
            <v>R.Sh L.L.C.</v>
          </cell>
          <cell r="U244">
            <v>812326016</v>
          </cell>
          <cell r="V244" t="str">
            <v>+383486 611 61</v>
          </cell>
          <cell r="W244" t="str">
            <v>Kosovo</v>
          </cell>
          <cell r="X244">
            <v>1450</v>
          </cell>
          <cell r="AB244">
            <v>1679</v>
          </cell>
          <cell r="AC244">
            <v>15061</v>
          </cell>
          <cell r="AD244">
            <v>1529</v>
          </cell>
          <cell r="AE244">
            <v>16590</v>
          </cell>
        </row>
        <row r="245">
          <cell r="A245">
            <v>243</v>
          </cell>
          <cell r="B245">
            <v>45981</v>
          </cell>
          <cell r="C245" t="str">
            <v>BENZ C220</v>
          </cell>
          <cell r="D245" t="str">
            <v>BENZ</v>
          </cell>
          <cell r="E245" t="str">
            <v>C220</v>
          </cell>
          <cell r="G245" t="str">
            <v>124다5861</v>
          </cell>
          <cell r="H245" t="str">
            <v>WDDWF0EB5FF136820</v>
          </cell>
          <cell r="I245">
            <v>45982</v>
          </cell>
          <cell r="J245" t="str">
            <v>(주)제이에스오토</v>
          </cell>
          <cell r="L245" t="str">
            <v>잔금</v>
          </cell>
          <cell r="M245" t="str">
            <v>50만원 회사통장 나감</v>
          </cell>
          <cell r="N245">
            <v>1216</v>
          </cell>
          <cell r="O245">
            <v>44</v>
          </cell>
          <cell r="P245">
            <v>1260</v>
          </cell>
          <cell r="Q245" t="str">
            <v>done</v>
          </cell>
          <cell r="R245">
            <v>45990</v>
          </cell>
          <cell r="S245" t="str">
            <v>CALJA</v>
          </cell>
          <cell r="T245" t="str">
            <v>Calja</v>
          </cell>
          <cell r="U245" t="str">
            <v>M43323203V</v>
          </cell>
          <cell r="V245" t="str">
            <v>355 69 550 5533</v>
          </cell>
          <cell r="W245" t="str">
            <v>Albania</v>
          </cell>
          <cell r="X245">
            <v>1453</v>
          </cell>
          <cell r="AB245">
            <v>1675</v>
          </cell>
          <cell r="AC245">
            <v>7196</v>
          </cell>
          <cell r="AD245">
            <v>1449</v>
          </cell>
          <cell r="AE245">
            <v>8645</v>
          </cell>
          <cell r="AF245">
            <v>4000</v>
          </cell>
        </row>
        <row r="246">
          <cell r="A246">
            <v>244</v>
          </cell>
          <cell r="B246">
            <v>45981</v>
          </cell>
          <cell r="C246" t="str">
            <v>AUDI A7</v>
          </cell>
          <cell r="D246" t="str">
            <v>AUDI</v>
          </cell>
          <cell r="E246" t="str">
            <v>A7</v>
          </cell>
          <cell r="G246" t="str">
            <v>54버1515</v>
          </cell>
          <cell r="H246" t="str">
            <v>WAUZZZ4G0CN125240</v>
          </cell>
          <cell r="I246">
            <v>45982</v>
          </cell>
          <cell r="J246" t="str">
            <v>(주)왕카</v>
          </cell>
          <cell r="L246" t="str">
            <v>잔금</v>
          </cell>
          <cell r="M246" t="str">
            <v>50만원 대표님 계약</v>
          </cell>
          <cell r="N246">
            <v>880</v>
          </cell>
          <cell r="P246">
            <v>880</v>
          </cell>
          <cell r="Q246" t="str">
            <v>done</v>
          </cell>
          <cell r="R246">
            <v>45990</v>
          </cell>
          <cell r="S246" t="str">
            <v>CALJA</v>
          </cell>
          <cell r="T246" t="str">
            <v>Calja</v>
          </cell>
          <cell r="U246" t="str">
            <v>M43323203V</v>
          </cell>
          <cell r="V246" t="str">
            <v>355 69 550 5533</v>
          </cell>
          <cell r="W246" t="str">
            <v>Albania</v>
          </cell>
          <cell r="X246">
            <v>1453</v>
          </cell>
          <cell r="AB246">
            <v>1675</v>
          </cell>
          <cell r="AC246">
            <v>5201</v>
          </cell>
          <cell r="AD246">
            <v>1449</v>
          </cell>
          <cell r="AE246">
            <v>6650</v>
          </cell>
          <cell r="AF246">
            <v>4500</v>
          </cell>
        </row>
        <row r="247">
          <cell r="A247">
            <v>245</v>
          </cell>
          <cell r="B247">
            <v>45981</v>
          </cell>
          <cell r="C247" t="str">
            <v>HYUNDAI I30</v>
          </cell>
          <cell r="D247" t="str">
            <v>HYUNDAI</v>
          </cell>
          <cell r="E247" t="str">
            <v>I30</v>
          </cell>
          <cell r="G247" t="str">
            <v>15가3727</v>
          </cell>
          <cell r="H247" t="str">
            <v>KMHD351UBCU059153</v>
          </cell>
          <cell r="I247">
            <v>45985</v>
          </cell>
          <cell r="J247" t="str">
            <v>(주)브라더샵</v>
          </cell>
          <cell r="L247" t="str">
            <v>잔금</v>
          </cell>
          <cell r="M247" t="str">
            <v>50만원 대표님 계약</v>
          </cell>
          <cell r="N247">
            <v>550</v>
          </cell>
          <cell r="P247">
            <v>550</v>
          </cell>
          <cell r="Q247" t="str">
            <v>done</v>
          </cell>
          <cell r="R247">
            <v>45990</v>
          </cell>
          <cell r="S247" t="str">
            <v>AlphaWorldWide</v>
          </cell>
          <cell r="T247" t="str">
            <v>AlphaWorldWideAlbania</v>
          </cell>
          <cell r="U247" t="str">
            <v>SN-619176-11-19</v>
          </cell>
          <cell r="V247" t="str">
            <v>355 69223 3416</v>
          </cell>
          <cell r="W247" t="str">
            <v xml:space="preserve">Durres, Durres, DURRES, Lagjja nr.11, Rruga Bulevardi, me siperfaqe 30m2 </v>
          </cell>
          <cell r="X247">
            <v>1453</v>
          </cell>
          <cell r="AB247">
            <v>1675</v>
          </cell>
          <cell r="AC247">
            <v>3301</v>
          </cell>
          <cell r="AD247">
            <v>1449</v>
          </cell>
          <cell r="AE247">
            <v>4750</v>
          </cell>
        </row>
        <row r="248">
          <cell r="A248">
            <v>246</v>
          </cell>
          <cell r="B248">
            <v>45981</v>
          </cell>
          <cell r="C248" t="str">
            <v>Peugeot 2008 1.6 BlueHDi</v>
          </cell>
          <cell r="D248" t="str">
            <v>Peugeot</v>
          </cell>
          <cell r="E248" t="str">
            <v>2008 1.6 BlueHDi</v>
          </cell>
          <cell r="G248" t="str">
            <v>12고0190</v>
          </cell>
          <cell r="H248" t="str">
            <v>VF3CUBHYMGY003973</v>
          </cell>
          <cell r="I248">
            <v>45982</v>
          </cell>
          <cell r="J248" t="str">
            <v>(주)제시카</v>
          </cell>
          <cell r="L248" t="str">
            <v>잔금</v>
          </cell>
          <cell r="M248" t="str">
            <v>50만원 대표님 계약</v>
          </cell>
          <cell r="N248">
            <v>594</v>
          </cell>
          <cell r="P248">
            <v>594</v>
          </cell>
          <cell r="Q248" t="str">
            <v>done</v>
          </cell>
          <cell r="R248">
            <v>45990</v>
          </cell>
          <cell r="S248" t="str">
            <v>R.S.h L.L.C.</v>
          </cell>
          <cell r="T248" t="str">
            <v>R.Sh L.L.C.</v>
          </cell>
          <cell r="U248">
            <v>812326016</v>
          </cell>
          <cell r="V248" t="str">
            <v>+383486 611 61</v>
          </cell>
          <cell r="W248" t="str">
            <v>Kosovo</v>
          </cell>
          <cell r="X248">
            <v>1453</v>
          </cell>
          <cell r="AB248">
            <v>1675</v>
          </cell>
          <cell r="AC248">
            <v>3551</v>
          </cell>
          <cell r="AD248">
            <v>1449</v>
          </cell>
          <cell r="AE248">
            <v>5000</v>
          </cell>
        </row>
        <row r="249">
          <cell r="A249">
            <v>247</v>
          </cell>
          <cell r="B249">
            <v>45984</v>
          </cell>
          <cell r="C249" t="str">
            <v>AUDI R8</v>
          </cell>
          <cell r="D249" t="str">
            <v>AUDI</v>
          </cell>
          <cell r="E249" t="str">
            <v>R8</v>
          </cell>
          <cell r="G249" t="str">
            <v>31도3000</v>
          </cell>
          <cell r="H249" t="str">
            <v>WUAZZZ4299N003236</v>
          </cell>
          <cell r="I249">
            <v>46029</v>
          </cell>
          <cell r="J249" t="str">
            <v>(주)좋은자동차</v>
          </cell>
          <cell r="L249" t="str">
            <v>잔금</v>
          </cell>
          <cell r="M249" t="str">
            <v>50만원 대표님 계약</v>
          </cell>
          <cell r="N249">
            <v>3900</v>
          </cell>
          <cell r="P249">
            <v>3900</v>
          </cell>
          <cell r="Q249" t="str">
            <v>germany</v>
          </cell>
          <cell r="R249">
            <v>46030</v>
          </cell>
          <cell r="S249" t="str">
            <v xml:space="preserve">DAX IMPORT 🇩🇪 </v>
          </cell>
          <cell r="T249" t="str">
            <v xml:space="preserve">Michael Karl  </v>
          </cell>
          <cell r="U249" t="str">
            <v>LF9N8WZ16</v>
          </cell>
          <cell r="V249" t="str">
            <v>‪+49 471 94189050‬</v>
          </cell>
          <cell r="W249" t="str">
            <v xml:space="preserve">Dorfstr,33C,(82024) Taufkirchen, Germany </v>
          </cell>
          <cell r="X249">
            <v>1458</v>
          </cell>
          <cell r="AB249">
            <v>1678</v>
          </cell>
          <cell r="AC249">
            <v>22195</v>
          </cell>
          <cell r="AD249">
            <v>1282</v>
          </cell>
          <cell r="AF249">
            <v>22500</v>
          </cell>
        </row>
        <row r="250">
          <cell r="A250">
            <v>248</v>
          </cell>
          <cell r="B250">
            <v>45984</v>
          </cell>
          <cell r="C250" t="str">
            <v>VOLKSWAGENS GOLF</v>
          </cell>
          <cell r="D250" t="str">
            <v>VOLKSWAGENS</v>
          </cell>
          <cell r="E250" t="str">
            <v>GOLF</v>
          </cell>
          <cell r="G250" t="str">
            <v>57서0244</v>
          </cell>
          <cell r="H250" t="str">
            <v>WVWZZZAUZGW046430</v>
          </cell>
          <cell r="I250">
            <v>45986</v>
          </cell>
          <cell r="J250" t="str">
            <v>(주)왕카</v>
          </cell>
          <cell r="L250" t="str">
            <v>잔금</v>
          </cell>
          <cell r="M250" t="str">
            <v>50만원 대표님 계약</v>
          </cell>
          <cell r="N250">
            <v>980</v>
          </cell>
          <cell r="P250">
            <v>980</v>
          </cell>
          <cell r="Q250" t="str">
            <v>done</v>
          </cell>
          <cell r="R250">
            <v>45990</v>
          </cell>
          <cell r="S250" t="str">
            <v>HYSA</v>
          </cell>
          <cell r="T250" t="str">
            <v>HYSA JUGERS</v>
          </cell>
          <cell r="U250" t="str">
            <v>J90912021M</v>
          </cell>
          <cell r="V250" t="str">
            <v>355 69 690 2972</v>
          </cell>
          <cell r="W250" t="str">
            <v>Albania</v>
          </cell>
          <cell r="X250">
            <v>1458</v>
          </cell>
          <cell r="AB250">
            <v>1678</v>
          </cell>
          <cell r="AC250">
            <v>5719</v>
          </cell>
          <cell r="AD250">
            <v>1451</v>
          </cell>
          <cell r="AE250">
            <v>7170</v>
          </cell>
        </row>
        <row r="251">
          <cell r="A251">
            <v>249</v>
          </cell>
          <cell r="B251">
            <v>45984</v>
          </cell>
          <cell r="C251" t="str">
            <v>BENZ S350</v>
          </cell>
          <cell r="D251" t="str">
            <v>BENZ</v>
          </cell>
          <cell r="E251" t="str">
            <v>S350</v>
          </cell>
          <cell r="G251" t="str">
            <v>16어0613</v>
          </cell>
          <cell r="H251" t="str">
            <v>WDDUF3DB3GA251022</v>
          </cell>
          <cell r="I251">
            <v>45987</v>
          </cell>
          <cell r="J251" t="str">
            <v>(주)에스원모터스</v>
          </cell>
          <cell r="L251" t="str">
            <v>잔금</v>
          </cell>
          <cell r="M251" t="str">
            <v>50만원 대표님 계약</v>
          </cell>
          <cell r="N251">
            <v>1640</v>
          </cell>
          <cell r="P251">
            <v>1640</v>
          </cell>
          <cell r="Q251" t="str">
            <v>done</v>
          </cell>
          <cell r="R251">
            <v>45996</v>
          </cell>
          <cell r="S251" t="str">
            <v>TAFA</v>
          </cell>
          <cell r="T251" t="str">
            <v>ANXHELO XHAKAJ</v>
          </cell>
          <cell r="U251" t="str">
            <v>K51201074R</v>
          </cell>
          <cell r="V251" t="str">
            <v>355 68 855 8026</v>
          </cell>
          <cell r="W251" t="str">
            <v>ALBANIA</v>
          </cell>
          <cell r="X251">
            <v>1458</v>
          </cell>
          <cell r="AB251">
            <v>1678</v>
          </cell>
          <cell r="AC251">
            <v>9442</v>
          </cell>
          <cell r="AD251">
            <v>1538</v>
          </cell>
          <cell r="AE251">
            <v>10980</v>
          </cell>
        </row>
        <row r="252">
          <cell r="A252">
            <v>250</v>
          </cell>
          <cell r="B252">
            <v>45985</v>
          </cell>
          <cell r="C252" t="str">
            <v>HYUNDAI I30</v>
          </cell>
          <cell r="D252" t="str">
            <v>HYUNDAI</v>
          </cell>
          <cell r="E252" t="str">
            <v>I30</v>
          </cell>
          <cell r="G252" t="str">
            <v>28어4806</v>
          </cell>
          <cell r="H252" t="str">
            <v>KMHD351UBCU048231</v>
          </cell>
          <cell r="I252">
            <v>45987</v>
          </cell>
          <cell r="J252" t="str">
            <v>(주)비테이모터스</v>
          </cell>
          <cell r="L252" t="str">
            <v>잔금</v>
          </cell>
          <cell r="M252" t="str">
            <v>50만원 대표님 계약</v>
          </cell>
          <cell r="N252">
            <v>800</v>
          </cell>
          <cell r="P252">
            <v>800</v>
          </cell>
          <cell r="Q252" t="str">
            <v>done</v>
          </cell>
          <cell r="R252">
            <v>45990</v>
          </cell>
          <cell r="S252" t="str">
            <v>VILNIK MOTOR</v>
          </cell>
          <cell r="T252" t="str">
            <v>JORDI SEFAJ</v>
          </cell>
          <cell r="U252" t="str">
            <v>J60929008V</v>
          </cell>
          <cell r="V252" t="str">
            <v>355 67 500 2424</v>
          </cell>
          <cell r="W252" t="str">
            <v>Albania</v>
          </cell>
          <cell r="X252">
            <v>1457</v>
          </cell>
          <cell r="AB252">
            <v>1676</v>
          </cell>
          <cell r="AC252">
            <v>4748</v>
          </cell>
          <cell r="AD252">
            <v>1452</v>
          </cell>
          <cell r="AE252">
            <v>6200</v>
          </cell>
        </row>
        <row r="253">
          <cell r="A253">
            <v>251</v>
          </cell>
          <cell r="B253">
            <v>45985</v>
          </cell>
          <cell r="C253" t="str">
            <v>BMW  X6</v>
          </cell>
          <cell r="D253" t="str">
            <v xml:space="preserve">BMW </v>
          </cell>
          <cell r="E253" t="str">
            <v>X6</v>
          </cell>
          <cell r="G253" t="str">
            <v>08머0797</v>
          </cell>
          <cell r="H253" t="str">
            <v>WBAKV2107G0R26035</v>
          </cell>
          <cell r="I253">
            <v>45987</v>
          </cell>
          <cell r="J253" t="str">
            <v>(주)왕카</v>
          </cell>
          <cell r="L253" t="str">
            <v>잔금</v>
          </cell>
          <cell r="M253" t="str">
            <v>50만원 대표님 계약</v>
          </cell>
          <cell r="N253">
            <v>1750</v>
          </cell>
          <cell r="P253">
            <v>1750</v>
          </cell>
          <cell r="Q253" t="str">
            <v>done</v>
          </cell>
          <cell r="R253">
            <v>45990</v>
          </cell>
          <cell r="S253" t="str">
            <v>TAFA</v>
          </cell>
          <cell r="T253" t="str">
            <v>MARSILJO RROKAJ</v>
          </cell>
          <cell r="U253" t="str">
            <v>M52418020A</v>
          </cell>
          <cell r="V253" t="str">
            <v>355 68 855 8026</v>
          </cell>
          <cell r="W253" t="str">
            <v>ALBANIA</v>
          </cell>
          <cell r="X253">
            <v>1457</v>
          </cell>
          <cell r="AB253">
            <v>1676</v>
          </cell>
          <cell r="AC253">
            <v>9964</v>
          </cell>
          <cell r="AD253">
            <v>1626</v>
          </cell>
          <cell r="AE253">
            <v>11590</v>
          </cell>
          <cell r="AF253" t="str">
            <v>4880/6270</v>
          </cell>
        </row>
        <row r="254">
          <cell r="A254">
            <v>252</v>
          </cell>
          <cell r="B254">
            <v>45986</v>
          </cell>
          <cell r="C254" t="str">
            <v>AUDI A7 3.0 TDI quattro</v>
          </cell>
          <cell r="D254" t="str">
            <v>AUDI</v>
          </cell>
          <cell r="E254" t="str">
            <v>A7 3.0 TDI quattro</v>
          </cell>
          <cell r="G254" t="str">
            <v>211주7660</v>
          </cell>
          <cell r="H254" t="str">
            <v>WAUZZZ4G3EN031534</v>
          </cell>
          <cell r="I254">
            <v>45989</v>
          </cell>
          <cell r="J254" t="str">
            <v>㈜최강모터스</v>
          </cell>
          <cell r="L254" t="str">
            <v>잔금</v>
          </cell>
          <cell r="M254" t="str">
            <v>50만원 회사통장 나감</v>
          </cell>
          <cell r="N254">
            <v>1250</v>
          </cell>
          <cell r="P254">
            <v>1250</v>
          </cell>
          <cell r="Q254" t="str">
            <v>done</v>
          </cell>
          <cell r="R254">
            <v>46000</v>
          </cell>
          <cell r="S254" t="str">
            <v>HYSA</v>
          </cell>
          <cell r="T254" t="str">
            <v>HYSA JUGERS</v>
          </cell>
          <cell r="U254" t="str">
            <v>J90912021M</v>
          </cell>
          <cell r="V254" t="str">
            <v>355 69 690 2972</v>
          </cell>
          <cell r="W254" t="str">
            <v>Albania</v>
          </cell>
          <cell r="X254">
            <v>1461</v>
          </cell>
          <cell r="AB254">
            <v>1683</v>
          </cell>
          <cell r="AC254">
            <v>7200</v>
          </cell>
          <cell r="AD254">
            <v>1450</v>
          </cell>
          <cell r="AE254">
            <v>8650</v>
          </cell>
        </row>
        <row r="255">
          <cell r="A255">
            <v>253</v>
          </cell>
          <cell r="B255">
            <v>45986</v>
          </cell>
          <cell r="C255" t="str">
            <v>FORD Ranger Wildtrak</v>
          </cell>
          <cell r="D255" t="str">
            <v>FORD</v>
          </cell>
          <cell r="E255" t="str">
            <v>Ranger Wildtrak</v>
          </cell>
          <cell r="G255" t="str">
            <v>821노8206</v>
          </cell>
          <cell r="H255" t="str">
            <v>6FPPXXMJ2NMK42843</v>
          </cell>
          <cell r="I255">
            <v>45987</v>
          </cell>
          <cell r="J255" t="str">
            <v>(주)로또모터스</v>
          </cell>
          <cell r="L255" t="str">
            <v>잔금</v>
          </cell>
          <cell r="M255" t="str">
            <v>100만원 회사통장 나감</v>
          </cell>
          <cell r="N255">
            <v>2556</v>
          </cell>
          <cell r="O255">
            <v>44</v>
          </cell>
          <cell r="P255">
            <v>2600</v>
          </cell>
          <cell r="Q255" t="str">
            <v>done</v>
          </cell>
          <cell r="R255">
            <v>45990</v>
          </cell>
          <cell r="S255" t="str">
            <v>CALJA</v>
          </cell>
          <cell r="T255" t="str">
            <v>SHAHIN XHIKA</v>
          </cell>
          <cell r="U255" t="str">
            <v>E30615169V</v>
          </cell>
          <cell r="V255" t="str">
            <v>355 69 550 5533</v>
          </cell>
          <cell r="W255" t="str">
            <v>Albania</v>
          </cell>
          <cell r="X255">
            <v>1461</v>
          </cell>
          <cell r="AB255">
            <v>1683</v>
          </cell>
          <cell r="AC255">
            <v>14752</v>
          </cell>
          <cell r="AD255">
            <v>1623</v>
          </cell>
          <cell r="AE255">
            <v>16375</v>
          </cell>
          <cell r="AF255">
            <v>17175</v>
          </cell>
        </row>
        <row r="256">
          <cell r="A256">
            <v>254</v>
          </cell>
          <cell r="B256">
            <v>45986</v>
          </cell>
          <cell r="C256" t="str">
            <v>BENZ C250</v>
          </cell>
          <cell r="D256" t="str">
            <v>BENZ</v>
          </cell>
          <cell r="E256" t="str">
            <v>C250</v>
          </cell>
          <cell r="G256" t="str">
            <v>38모0794</v>
          </cell>
          <cell r="H256" t="str">
            <v>WDDWF0KB3GF380620</v>
          </cell>
          <cell r="I256">
            <v>45989</v>
          </cell>
          <cell r="J256" t="str">
            <v>(주)명문자동차</v>
          </cell>
          <cell r="L256" t="str">
            <v>잔금</v>
          </cell>
          <cell r="M256" t="str">
            <v>50만원 대표님 계약</v>
          </cell>
          <cell r="N256">
            <v>1600</v>
          </cell>
          <cell r="P256">
            <v>1600</v>
          </cell>
          <cell r="Q256" t="str">
            <v>DONE</v>
          </cell>
          <cell r="R256">
            <v>45996</v>
          </cell>
          <cell r="S256" t="str">
            <v>HYSA</v>
          </cell>
          <cell r="T256" t="str">
            <v>HYSA JUGERS</v>
          </cell>
          <cell r="U256" t="str">
            <v>M42902202Q</v>
          </cell>
          <cell r="V256" t="str">
            <v>355 69 690 2972</v>
          </cell>
          <cell r="W256" t="str">
            <v>Albania</v>
          </cell>
          <cell r="X256">
            <v>1461</v>
          </cell>
          <cell r="AB256">
            <v>1683</v>
          </cell>
          <cell r="AC256">
            <v>9100</v>
          </cell>
          <cell r="AD256">
            <v>1450</v>
          </cell>
          <cell r="AE256">
            <v>10550</v>
          </cell>
          <cell r="AF256">
            <v>7593</v>
          </cell>
        </row>
        <row r="257">
          <cell r="A257">
            <v>255</v>
          </cell>
          <cell r="B257">
            <v>45987</v>
          </cell>
          <cell r="C257" t="str">
            <v>BENZ S350</v>
          </cell>
          <cell r="D257" t="str">
            <v>BENZ</v>
          </cell>
          <cell r="E257" t="str">
            <v>S350</v>
          </cell>
          <cell r="G257" t="str">
            <v>144마8300</v>
          </cell>
          <cell r="H257" t="str">
            <v>WDDUG3DB6FA193581</v>
          </cell>
          <cell r="I257">
            <v>45993</v>
          </cell>
          <cell r="J257" t="str">
            <v>㈜합천모터스</v>
          </cell>
          <cell r="K257" t="str">
            <v>대구</v>
          </cell>
          <cell r="L257" t="str">
            <v>잔금</v>
          </cell>
          <cell r="M257" t="str">
            <v>50만원 대표님 계약</v>
          </cell>
          <cell r="N257">
            <v>2750</v>
          </cell>
          <cell r="P257">
            <v>2750</v>
          </cell>
          <cell r="Q257" t="str">
            <v>done</v>
          </cell>
          <cell r="R257">
            <v>45996</v>
          </cell>
          <cell r="S257" t="str">
            <v>HYSA</v>
          </cell>
          <cell r="T257" t="str">
            <v>HYSA JUGERS</v>
          </cell>
          <cell r="U257" t="str">
            <v>M42902202Q</v>
          </cell>
          <cell r="V257" t="str">
            <v>355 69 690 2972</v>
          </cell>
          <cell r="W257" t="str">
            <v>Albania</v>
          </cell>
          <cell r="X257">
            <v>1464</v>
          </cell>
          <cell r="AB257">
            <v>1676</v>
          </cell>
          <cell r="AC257">
            <v>15674</v>
          </cell>
          <cell r="AD257">
            <v>1546</v>
          </cell>
          <cell r="AE257">
            <v>17220</v>
          </cell>
        </row>
        <row r="258">
          <cell r="A258">
            <v>256</v>
          </cell>
          <cell r="B258">
            <v>45987</v>
          </cell>
          <cell r="C258" t="str">
            <v>BMW   320d</v>
          </cell>
          <cell r="D258" t="str">
            <v xml:space="preserve">BMW </v>
          </cell>
          <cell r="E258" t="str">
            <v xml:space="preserve"> 320d</v>
          </cell>
          <cell r="G258" t="str">
            <v>33어0102</v>
          </cell>
          <cell r="H258" t="str">
            <v>WBA8C5102GK636002</v>
          </cell>
          <cell r="I258">
            <v>45988</v>
          </cell>
          <cell r="J258" t="str">
            <v>경매장- aj</v>
          </cell>
          <cell r="L258" t="str">
            <v>잔금</v>
          </cell>
          <cell r="N258">
            <v>520</v>
          </cell>
          <cell r="O258">
            <v>14</v>
          </cell>
          <cell r="P258">
            <v>534</v>
          </cell>
          <cell r="Q258" t="str">
            <v>done</v>
          </cell>
          <cell r="R258">
            <v>12.11</v>
          </cell>
          <cell r="S258" t="str">
            <v>R.S.h L.L.C.</v>
          </cell>
          <cell r="T258" t="str">
            <v>R.Sh L.L.C.</v>
          </cell>
          <cell r="U258">
            <v>812326016</v>
          </cell>
          <cell r="V258" t="str">
            <v>+383486 611 61</v>
          </cell>
          <cell r="W258" t="str">
            <v>Kosovo</v>
          </cell>
          <cell r="X258">
            <v>1464</v>
          </cell>
          <cell r="AB258">
            <v>1676</v>
          </cell>
          <cell r="AC258">
            <v>3241</v>
          </cell>
          <cell r="AD258">
            <v>1459</v>
          </cell>
          <cell r="AE258">
            <v>4700</v>
          </cell>
        </row>
        <row r="259">
          <cell r="A259">
            <v>257</v>
          </cell>
          <cell r="B259">
            <v>45987</v>
          </cell>
          <cell r="C259" t="str">
            <v>AUDI A4 35 TDI quattro</v>
          </cell>
          <cell r="D259" t="str">
            <v>AUDI</v>
          </cell>
          <cell r="E259" t="str">
            <v>A4 35 TDI quattro</v>
          </cell>
          <cell r="G259" t="str">
            <v>11보8164</v>
          </cell>
          <cell r="H259" t="str">
            <v>WAUZZZ8K1FA110028</v>
          </cell>
          <cell r="I259">
            <v>45988</v>
          </cell>
          <cell r="J259" t="str">
            <v>경매장- aj</v>
          </cell>
          <cell r="L259" t="str">
            <v>잔금</v>
          </cell>
          <cell r="N259">
            <v>730</v>
          </cell>
          <cell r="O259">
            <v>19</v>
          </cell>
          <cell r="P259">
            <v>749</v>
          </cell>
          <cell r="Q259" t="str">
            <v>done</v>
          </cell>
          <cell r="R259">
            <v>45996</v>
          </cell>
          <cell r="S259" t="str">
            <v>DONI</v>
          </cell>
          <cell r="T259" t="str">
            <v>DONI</v>
          </cell>
          <cell r="U259">
            <v>933682</v>
          </cell>
          <cell r="V259" t="str">
            <v>3 8 3 4 9 3 2 5 7 0 3</v>
          </cell>
          <cell r="W259" t="str">
            <v xml:space="preserve"> HYZRI TALLA OB 16 HY 1 NR 18
 Kosovë</v>
          </cell>
          <cell r="X259">
            <v>1464</v>
          </cell>
          <cell r="AB259">
            <v>1676</v>
          </cell>
          <cell r="AC259">
            <v>4406</v>
          </cell>
          <cell r="AD259">
            <v>1459</v>
          </cell>
          <cell r="AE259">
            <v>5865</v>
          </cell>
        </row>
        <row r="260">
          <cell r="A260">
            <v>258</v>
          </cell>
          <cell r="B260">
            <v>45987</v>
          </cell>
          <cell r="C260" t="str">
            <v>VOLKSWAGENS Golf 2.0 TDI BMT</v>
          </cell>
          <cell r="D260" t="str">
            <v>VOLKSWAGENS</v>
          </cell>
          <cell r="E260" t="str">
            <v>Golf 2.0 TDI BMT</v>
          </cell>
          <cell r="G260" t="str">
            <v>53마4371</v>
          </cell>
          <cell r="H260" t="str">
            <v>WVWZZZAUZFW234523</v>
          </cell>
          <cell r="I260">
            <v>45988</v>
          </cell>
          <cell r="J260" t="str">
            <v>경매장- aj</v>
          </cell>
          <cell r="L260" t="str">
            <v>잔금</v>
          </cell>
          <cell r="N260">
            <v>875</v>
          </cell>
          <cell r="O260">
            <v>23</v>
          </cell>
          <cell r="P260">
            <v>898</v>
          </cell>
          <cell r="Q260" t="str">
            <v>done</v>
          </cell>
          <cell r="R260">
            <v>45995</v>
          </cell>
          <cell r="S260" t="str">
            <v>DONI</v>
          </cell>
          <cell r="T260" t="str">
            <v>DONI</v>
          </cell>
          <cell r="U260">
            <v>933682</v>
          </cell>
          <cell r="V260" t="str">
            <v>3 8 3 4 9 3 2 5 7 0 3</v>
          </cell>
          <cell r="W260" t="str">
            <v xml:space="preserve"> HYZRI TALLA OB 16 HY 1 NR 18
 Kosovë</v>
          </cell>
          <cell r="X260">
            <v>1464</v>
          </cell>
          <cell r="AB260">
            <v>1676</v>
          </cell>
          <cell r="AC260">
            <v>5221</v>
          </cell>
          <cell r="AD260">
            <v>1459</v>
          </cell>
          <cell r="AE260">
            <v>6680</v>
          </cell>
        </row>
        <row r="261">
          <cell r="A261">
            <v>259</v>
          </cell>
          <cell r="B261">
            <v>45987</v>
          </cell>
          <cell r="C261" t="str">
            <v>VOLKSWAGENS Golf 2.0 TDI BMT</v>
          </cell>
          <cell r="D261" t="str">
            <v>VOLKSWAGENS</v>
          </cell>
          <cell r="E261" t="str">
            <v>Golf 2.0 TDI BMT</v>
          </cell>
          <cell r="G261" t="str">
            <v>59다2357</v>
          </cell>
          <cell r="H261" t="str">
            <v>WVWZZZAUZFW158199</v>
          </cell>
          <cell r="I261">
            <v>45988</v>
          </cell>
          <cell r="J261" t="str">
            <v>경매장- aj</v>
          </cell>
          <cell r="L261" t="str">
            <v>잔금</v>
          </cell>
          <cell r="N261">
            <v>780</v>
          </cell>
          <cell r="O261">
            <v>20</v>
          </cell>
          <cell r="P261">
            <v>800</v>
          </cell>
          <cell r="Q261" t="str">
            <v>done</v>
          </cell>
          <cell r="R261">
            <v>45995</v>
          </cell>
          <cell r="S261" t="str">
            <v>DONI</v>
          </cell>
          <cell r="T261" t="str">
            <v>DONI</v>
          </cell>
          <cell r="U261">
            <v>933682</v>
          </cell>
          <cell r="V261" t="str">
            <v>3 8 3 4 9 3 2 5 7 0 3</v>
          </cell>
          <cell r="W261" t="str">
            <v xml:space="preserve"> HYZRI TALLA OB 16 HY 1 NR 18
 Kosovë</v>
          </cell>
          <cell r="X261">
            <v>1464</v>
          </cell>
          <cell r="AB261">
            <v>1676</v>
          </cell>
          <cell r="AC261">
            <v>4641</v>
          </cell>
          <cell r="AD261">
            <v>1459</v>
          </cell>
          <cell r="AE261">
            <v>6100</v>
          </cell>
        </row>
        <row r="262">
          <cell r="A262">
            <v>260</v>
          </cell>
          <cell r="B262">
            <v>45987</v>
          </cell>
          <cell r="C262" t="str">
            <v>AUDI Q7</v>
          </cell>
          <cell r="D262" t="str">
            <v>AUDI</v>
          </cell>
          <cell r="E262" t="str">
            <v>Q7</v>
          </cell>
          <cell r="G262" t="str">
            <v>109마5073</v>
          </cell>
          <cell r="H262" t="str">
            <v>WAUZZZ4M2LD017701</v>
          </cell>
          <cell r="I262">
            <v>45989</v>
          </cell>
          <cell r="J262" t="str">
            <v>(주) 골드상사</v>
          </cell>
          <cell r="L262" t="str">
            <v>잔금</v>
          </cell>
          <cell r="M262" t="str">
            <v>50만원 대표님 계약</v>
          </cell>
          <cell r="N262">
            <v>5370</v>
          </cell>
          <cell r="P262">
            <v>5370</v>
          </cell>
          <cell r="Q262" t="str">
            <v>done</v>
          </cell>
          <cell r="R262">
            <v>45995</v>
          </cell>
          <cell r="S262" t="str">
            <v>ANDI</v>
          </cell>
          <cell r="T262" t="str">
            <v>FATBARDHA ZEQJA</v>
          </cell>
          <cell r="U262" t="str">
            <v>G05902128W</v>
          </cell>
          <cell r="V262" t="str">
            <v>355 69 367 4263</v>
          </cell>
          <cell r="W262" t="str">
            <v>Albania</v>
          </cell>
          <cell r="X262">
            <v>1464</v>
          </cell>
          <cell r="AB262">
            <v>1676</v>
          </cell>
          <cell r="AC262">
            <v>30599</v>
          </cell>
          <cell r="AD262">
            <v>1546</v>
          </cell>
          <cell r="AE262">
            <v>32145</v>
          </cell>
        </row>
        <row r="263">
          <cell r="A263">
            <v>261</v>
          </cell>
          <cell r="B263">
            <v>45987</v>
          </cell>
          <cell r="C263" t="str">
            <v>PORSCHE CAYENNE DIESEL</v>
          </cell>
          <cell r="D263" t="str">
            <v>PORSCHE</v>
          </cell>
          <cell r="E263" t="str">
            <v>CAYENNE DIESEL</v>
          </cell>
          <cell r="G263" t="str">
            <v>65더9003</v>
          </cell>
          <cell r="H263" t="str">
            <v>WP1AF2927BLA34455</v>
          </cell>
          <cell r="I263">
            <v>45989</v>
          </cell>
          <cell r="J263" t="str">
            <v>(주)해동자동차</v>
          </cell>
          <cell r="L263" t="str">
            <v>잔금</v>
          </cell>
          <cell r="M263" t="str">
            <v>50만원 대표님 계약</v>
          </cell>
          <cell r="N263">
            <v>1306</v>
          </cell>
          <cell r="O263">
            <v>44</v>
          </cell>
          <cell r="P263">
            <v>1350</v>
          </cell>
          <cell r="Q263" t="str">
            <v>done</v>
          </cell>
          <cell r="R263">
            <v>45995</v>
          </cell>
          <cell r="S263" t="str">
            <v>AlphaWorldWide</v>
          </cell>
          <cell r="T263" t="str">
            <v>AlphaWorldWideAlbania</v>
          </cell>
          <cell r="U263" t="str">
            <v>SN-619176-11-19</v>
          </cell>
          <cell r="V263" t="str">
            <v>355 69223 3416</v>
          </cell>
          <cell r="W263" t="str">
            <v xml:space="preserve">Durres, Durres, DURRES, Lagjja nr.11, Rruga Bulevardi, me siperfaqe 30m2 </v>
          </cell>
          <cell r="X263">
            <v>1464</v>
          </cell>
          <cell r="AB263">
            <v>1676</v>
          </cell>
          <cell r="AC263">
            <v>7704</v>
          </cell>
          <cell r="AD263">
            <v>1546</v>
          </cell>
          <cell r="AE263">
            <v>9250</v>
          </cell>
        </row>
        <row r="264">
          <cell r="A264">
            <v>262</v>
          </cell>
          <cell r="B264">
            <v>45988</v>
          </cell>
          <cell r="C264" t="str">
            <v>BMW ACTIVE TOURER</v>
          </cell>
          <cell r="D264" t="str">
            <v>BMW</v>
          </cell>
          <cell r="E264" t="str">
            <v>ACTIVE TOURER</v>
          </cell>
          <cell r="G264" t="str">
            <v>25구0763</v>
          </cell>
          <cell r="H264" t="str">
            <v>WBA2C110XGV703815</v>
          </cell>
          <cell r="I264">
            <v>45993</v>
          </cell>
          <cell r="J264" t="str">
            <v>(주)카메이트</v>
          </cell>
          <cell r="L264" t="str">
            <v>잔금</v>
          </cell>
          <cell r="M264" t="str">
            <v>50만원 회사통장 나감</v>
          </cell>
          <cell r="N264">
            <v>850</v>
          </cell>
          <cell r="P264">
            <v>850</v>
          </cell>
          <cell r="Q264" t="str">
            <v>done</v>
          </cell>
          <cell r="R264">
            <v>12.11</v>
          </cell>
          <cell r="S264" t="str">
            <v>R.S.h L.L.C.</v>
          </cell>
          <cell r="T264" t="str">
            <v>R.Sh L.L.C.</v>
          </cell>
          <cell r="U264">
            <v>812326016</v>
          </cell>
          <cell r="V264" t="str">
            <v>+383486 611 61</v>
          </cell>
          <cell r="W264" t="str">
            <v>Kosovo</v>
          </cell>
          <cell r="X264">
            <v>1451</v>
          </cell>
          <cell r="AB264">
            <v>1684</v>
          </cell>
          <cell r="AC264">
            <v>4961</v>
          </cell>
          <cell r="AD264">
            <v>1439</v>
          </cell>
          <cell r="AE264">
            <v>6400</v>
          </cell>
        </row>
        <row r="265">
          <cell r="A265">
            <v>263</v>
          </cell>
          <cell r="B265">
            <v>45988</v>
          </cell>
          <cell r="C265" t="str">
            <v>AUDI A7 3.0 TFSI quattro</v>
          </cell>
          <cell r="D265" t="str">
            <v>AUDI</v>
          </cell>
          <cell r="E265" t="str">
            <v>A7 3.0 TFSI quattro</v>
          </cell>
          <cell r="G265" t="str">
            <v>25머4050</v>
          </cell>
          <cell r="H265" t="str">
            <v>WAUZZZ4G5DN070639</v>
          </cell>
          <cell r="I265">
            <v>45993</v>
          </cell>
          <cell r="J265" t="str">
            <v>개인매입- 권유형</v>
          </cell>
          <cell r="L265" t="str">
            <v>잔금</v>
          </cell>
          <cell r="M265" t="str">
            <v>50만원 회사통장 나감</v>
          </cell>
          <cell r="N265">
            <v>5427000</v>
          </cell>
          <cell r="P265">
            <v>5427000</v>
          </cell>
          <cell r="Q265" t="str">
            <v>DONE</v>
          </cell>
          <cell r="R265">
            <v>45996</v>
          </cell>
          <cell r="S265" t="str">
            <v>HYSA</v>
          </cell>
          <cell r="T265" t="str">
            <v>HYSA JUGERS</v>
          </cell>
          <cell r="U265" t="str">
            <v>J90912021M</v>
          </cell>
          <cell r="V265" t="str">
            <v>355 69 690 2972</v>
          </cell>
          <cell r="W265" t="str">
            <v>Albania</v>
          </cell>
          <cell r="X265">
            <v>1451</v>
          </cell>
          <cell r="AB265">
            <v>1684</v>
          </cell>
          <cell r="AC265">
            <v>3241</v>
          </cell>
          <cell r="AD265">
            <v>1439</v>
          </cell>
          <cell r="AE265">
            <v>4680</v>
          </cell>
        </row>
        <row r="266">
          <cell r="A266">
            <v>264</v>
          </cell>
          <cell r="B266">
            <v>45988</v>
          </cell>
          <cell r="C266" t="str">
            <v>AUDI A4 30 TDI</v>
          </cell>
          <cell r="D266" t="str">
            <v>AUDI</v>
          </cell>
          <cell r="E266" t="str">
            <v>A4 30 TDI</v>
          </cell>
          <cell r="G266" t="str">
            <v>43주0620</v>
          </cell>
          <cell r="H266" t="str">
            <v>WAUZZZ8KXGN009905</v>
          </cell>
          <cell r="I266">
            <v>45989</v>
          </cell>
          <cell r="J266" t="str">
            <v>경매장- KCAR</v>
          </cell>
          <cell r="L266" t="str">
            <v>잔금</v>
          </cell>
          <cell r="N266">
            <v>910</v>
          </cell>
          <cell r="O266">
            <v>20</v>
          </cell>
          <cell r="P266">
            <v>930</v>
          </cell>
          <cell r="Q266" t="str">
            <v>done</v>
          </cell>
          <cell r="R266">
            <v>12.11</v>
          </cell>
          <cell r="S266" t="str">
            <v>R.S.h L.L.C.</v>
          </cell>
          <cell r="T266" t="str">
            <v>R.Sh L.L.C.</v>
          </cell>
          <cell r="U266">
            <v>812326016</v>
          </cell>
          <cell r="V266" t="str">
            <v>+383486 611 61</v>
          </cell>
          <cell r="W266" t="str">
            <v>Kosovo</v>
          </cell>
          <cell r="X266">
            <v>1451</v>
          </cell>
          <cell r="AB266">
            <v>1684</v>
          </cell>
          <cell r="AC266">
            <v>5411</v>
          </cell>
          <cell r="AD266">
            <v>1439</v>
          </cell>
          <cell r="AE266">
            <v>6850</v>
          </cell>
        </row>
        <row r="267">
          <cell r="A267">
            <v>265</v>
          </cell>
          <cell r="B267">
            <v>45988</v>
          </cell>
          <cell r="C267" t="str">
            <v>BMW 320d</v>
          </cell>
          <cell r="D267" t="str">
            <v>BMW</v>
          </cell>
          <cell r="E267" t="str">
            <v>320d</v>
          </cell>
          <cell r="G267" t="str">
            <v>07마0485</v>
          </cell>
          <cell r="H267" t="str">
            <v>WBA8C5100GK633633</v>
          </cell>
          <cell r="I267">
            <v>45989</v>
          </cell>
          <cell r="J267" t="str">
            <v>경매장- KCAR</v>
          </cell>
          <cell r="L267" t="str">
            <v>잔금</v>
          </cell>
          <cell r="N267">
            <v>690</v>
          </cell>
          <cell r="O267">
            <v>16</v>
          </cell>
          <cell r="P267">
            <v>706</v>
          </cell>
          <cell r="Q267" t="str">
            <v>done</v>
          </cell>
          <cell r="R267">
            <v>12.11</v>
          </cell>
          <cell r="S267" t="str">
            <v>R.S.h L.L.C.</v>
          </cell>
          <cell r="T267" t="str">
            <v>R.Sh L.L.C.</v>
          </cell>
          <cell r="U267">
            <v>812326016</v>
          </cell>
          <cell r="V267" t="str">
            <v>+383486 611 61</v>
          </cell>
          <cell r="W267" t="str">
            <v>Kosovo</v>
          </cell>
          <cell r="X267">
            <v>1451</v>
          </cell>
          <cell r="AB267">
            <v>1684</v>
          </cell>
          <cell r="AC267">
            <v>4171</v>
          </cell>
          <cell r="AD267">
            <v>1439</v>
          </cell>
          <cell r="AE267">
            <v>5610</v>
          </cell>
        </row>
        <row r="268">
          <cell r="A268">
            <v>266</v>
          </cell>
          <cell r="B268">
            <v>45988</v>
          </cell>
          <cell r="C268" t="str">
            <v>AUDI A4</v>
          </cell>
          <cell r="D268" t="str">
            <v>AUDI</v>
          </cell>
          <cell r="E268" t="str">
            <v>A4</v>
          </cell>
          <cell r="G268" t="str">
            <v>54소0414</v>
          </cell>
          <cell r="H268" t="str">
            <v>WAUZZZ8K2GN006481</v>
          </cell>
          <cell r="I268">
            <v>45989</v>
          </cell>
          <cell r="J268" t="str">
            <v>경매장- KCAR</v>
          </cell>
          <cell r="L268" t="str">
            <v>잔금</v>
          </cell>
          <cell r="N268">
            <v>830</v>
          </cell>
          <cell r="O268">
            <v>18</v>
          </cell>
          <cell r="P268">
            <v>848</v>
          </cell>
          <cell r="Q268" t="str">
            <v>done</v>
          </cell>
          <cell r="R268">
            <v>45996</v>
          </cell>
          <cell r="S268" t="str">
            <v>DONI</v>
          </cell>
          <cell r="T268" t="str">
            <v>DONI</v>
          </cell>
          <cell r="U268">
            <v>933682</v>
          </cell>
          <cell r="V268" t="str">
            <v>3 8 3 4 9 3 2 5 7 0 3</v>
          </cell>
          <cell r="W268" t="str">
            <v xml:space="preserve"> HYZRI TALLA OB 16 HY 1 NR 18
 Kosovë</v>
          </cell>
          <cell r="X268">
            <v>1451</v>
          </cell>
          <cell r="AB268">
            <v>1684</v>
          </cell>
          <cell r="AC268">
            <v>4931</v>
          </cell>
          <cell r="AD268">
            <v>1439</v>
          </cell>
          <cell r="AE268">
            <v>6370</v>
          </cell>
        </row>
        <row r="269">
          <cell r="A269">
            <v>267</v>
          </cell>
          <cell r="B269">
            <v>45989</v>
          </cell>
          <cell r="C269" t="str">
            <v>AUDI A7 55 TDI quattro</v>
          </cell>
          <cell r="D269" t="str">
            <v>AUDI</v>
          </cell>
          <cell r="E269" t="str">
            <v>A7 55 TDI quattro</v>
          </cell>
          <cell r="G269" t="str">
            <v>350루9084</v>
          </cell>
          <cell r="H269" t="str">
            <v xml:space="preserve">WAUZZZ4G5FN056145 </v>
          </cell>
          <cell r="I269">
            <v>45996</v>
          </cell>
          <cell r="J269" t="str">
            <v>(주)우진오토모빌</v>
          </cell>
          <cell r="L269" t="str">
            <v>잔금</v>
          </cell>
          <cell r="M269" t="str">
            <v>50만원 대표님 계약</v>
          </cell>
          <cell r="N269">
            <v>1354</v>
          </cell>
          <cell r="P269">
            <v>1354</v>
          </cell>
          <cell r="Q269" t="str">
            <v>done</v>
          </cell>
          <cell r="R269">
            <v>12.11</v>
          </cell>
          <cell r="S269" t="str">
            <v>CALJA</v>
          </cell>
          <cell r="T269" t="str">
            <v>MUSTAFA PEQINI</v>
          </cell>
          <cell r="U269" t="str">
            <v>K50511068H</v>
          </cell>
          <cell r="V269" t="str">
            <v>355 69 550 5533</v>
          </cell>
          <cell r="W269" t="str">
            <v>Albania</v>
          </cell>
          <cell r="X269">
            <v>1452</v>
          </cell>
          <cell r="AB269">
            <v>1683</v>
          </cell>
          <cell r="AC269">
            <v>7759</v>
          </cell>
          <cell r="AD269">
            <v>1441</v>
          </cell>
          <cell r="AE269">
            <v>9200</v>
          </cell>
          <cell r="AF269">
            <v>11900</v>
          </cell>
        </row>
        <row r="270">
          <cell r="A270">
            <v>268</v>
          </cell>
          <cell r="B270">
            <v>45989</v>
          </cell>
          <cell r="C270" t="str">
            <v>Renault QM3</v>
          </cell>
          <cell r="D270" t="str">
            <v>Renault</v>
          </cell>
          <cell r="E270" t="str">
            <v>QM3</v>
          </cell>
          <cell r="G270" t="str">
            <v>54오0223</v>
          </cell>
          <cell r="H270" t="str">
            <v>VF12RGJ1DGW142428</v>
          </cell>
          <cell r="I270">
            <v>45994</v>
          </cell>
          <cell r="J270" t="str">
            <v>(주)동남모터상사</v>
          </cell>
          <cell r="L270" t="str">
            <v>잔금</v>
          </cell>
          <cell r="M270" t="str">
            <v>50만원 대표님 계약</v>
          </cell>
          <cell r="N270">
            <v>640</v>
          </cell>
          <cell r="P270">
            <v>640</v>
          </cell>
          <cell r="Q270" t="str">
            <v>DONE</v>
          </cell>
          <cell r="R270">
            <v>45996</v>
          </cell>
          <cell r="S270" t="str">
            <v>VILLA KOHA</v>
          </cell>
          <cell r="T270" t="str">
            <v>VILLA KOHA SH.P.K</v>
          </cell>
          <cell r="U270">
            <v>810039588</v>
          </cell>
          <cell r="V270" t="str">
            <v>383 49247777</v>
          </cell>
          <cell r="W270" t="str">
            <v>KOSOVO</v>
          </cell>
          <cell r="X270">
            <v>1452</v>
          </cell>
          <cell r="AB270">
            <v>1683</v>
          </cell>
          <cell r="AC270">
            <v>3904</v>
          </cell>
          <cell r="AD270">
            <v>1441</v>
          </cell>
          <cell r="AE270">
            <v>5345</v>
          </cell>
          <cell r="AF270">
            <v>5345</v>
          </cell>
        </row>
        <row r="271">
          <cell r="A271">
            <v>269</v>
          </cell>
          <cell r="B271">
            <v>45989</v>
          </cell>
          <cell r="C271" t="str">
            <v>AUDI SQ5 3.0 TDI quattro</v>
          </cell>
          <cell r="D271" t="str">
            <v>AUDI</v>
          </cell>
          <cell r="E271" t="str">
            <v>SQ5 3.0 TDI quattro</v>
          </cell>
          <cell r="G271" t="str">
            <v>69루9906</v>
          </cell>
          <cell r="H271" t="str">
            <v xml:space="preserve">WAUZZZ8R7FA018290 </v>
          </cell>
          <cell r="I271">
            <v>45994</v>
          </cell>
          <cell r="J271" t="str">
            <v>(주)우진오토모빌</v>
          </cell>
          <cell r="L271" t="str">
            <v>잔금</v>
          </cell>
          <cell r="M271" t="str">
            <v>50만원 대표님 계약</v>
          </cell>
          <cell r="N271">
            <v>1480</v>
          </cell>
          <cell r="P271">
            <v>1480</v>
          </cell>
          <cell r="Q271" t="str">
            <v>DONE</v>
          </cell>
          <cell r="R271">
            <v>45996</v>
          </cell>
          <cell r="S271" t="str">
            <v>HYSA</v>
          </cell>
          <cell r="T271" t="str">
            <v>HYSA JUGERS</v>
          </cell>
          <cell r="U271" t="str">
            <v>J90912021M</v>
          </cell>
          <cell r="V271" t="str">
            <v>355 69 690 2972</v>
          </cell>
          <cell r="W271" t="str">
            <v>Albania</v>
          </cell>
          <cell r="X271">
            <v>1452</v>
          </cell>
          <cell r="AB271">
            <v>1683</v>
          </cell>
          <cell r="AC271">
            <v>8473</v>
          </cell>
          <cell r="AD271">
            <v>1527</v>
          </cell>
          <cell r="AE271">
            <v>10000</v>
          </cell>
        </row>
        <row r="272">
          <cell r="A272">
            <v>270</v>
          </cell>
          <cell r="B272">
            <v>45989</v>
          </cell>
          <cell r="C272" t="str">
            <v>AUDI A3 25 TDI</v>
          </cell>
          <cell r="D272" t="str">
            <v>AUDI</v>
          </cell>
          <cell r="E272" t="str">
            <v>A3 25 TDI</v>
          </cell>
          <cell r="G272" t="str">
            <v>42로1614</v>
          </cell>
          <cell r="H272" t="str">
            <v>WAUZZZ8V9F1126164</v>
          </cell>
          <cell r="I272">
            <v>45994</v>
          </cell>
          <cell r="J272" t="str">
            <v>(주)오토피마</v>
          </cell>
          <cell r="L272" t="str">
            <v>잔금</v>
          </cell>
          <cell r="M272" t="str">
            <v>50만원 대표님 계약</v>
          </cell>
          <cell r="N272">
            <v>880</v>
          </cell>
          <cell r="O272">
            <v>44</v>
          </cell>
          <cell r="P272">
            <v>924</v>
          </cell>
          <cell r="Q272" t="str">
            <v>DONE</v>
          </cell>
          <cell r="R272">
            <v>45996</v>
          </cell>
          <cell r="S272" t="str">
            <v>CALJA</v>
          </cell>
          <cell r="T272" t="str">
            <v>FITIMTAR BULLARI</v>
          </cell>
          <cell r="U272" t="str">
            <v>H70710012Q</v>
          </cell>
          <cell r="V272" t="str">
            <v>355 69 550 5533</v>
          </cell>
          <cell r="W272" t="str">
            <v>Albania</v>
          </cell>
          <cell r="X272">
            <v>1452</v>
          </cell>
          <cell r="AB272">
            <v>1683</v>
          </cell>
          <cell r="AC272">
            <v>5339</v>
          </cell>
          <cell r="AD272">
            <v>1441</v>
          </cell>
          <cell r="AE272">
            <v>6780</v>
          </cell>
          <cell r="AF272">
            <v>8000</v>
          </cell>
        </row>
        <row r="273">
          <cell r="A273">
            <v>271</v>
          </cell>
          <cell r="B273">
            <v>45990</v>
          </cell>
          <cell r="C273" t="str">
            <v>HYUNDAI TUCSON</v>
          </cell>
          <cell r="D273" t="str">
            <v>HYUNDAI</v>
          </cell>
          <cell r="E273" t="str">
            <v>TUCSON</v>
          </cell>
          <cell r="G273" t="str">
            <v>04고0125</v>
          </cell>
          <cell r="H273" t="str">
            <v>KMHJ581ADHU368767</v>
          </cell>
          <cell r="I273">
            <v>45994</v>
          </cell>
          <cell r="J273" t="str">
            <v>(주)제냐모터스</v>
          </cell>
          <cell r="L273" t="str">
            <v>잔금</v>
          </cell>
          <cell r="M273" t="str">
            <v>50만원 대표님 계약</v>
          </cell>
          <cell r="N273">
            <v>1410</v>
          </cell>
          <cell r="P273">
            <v>1410</v>
          </cell>
          <cell r="Q273" t="str">
            <v>DONE</v>
          </cell>
          <cell r="R273">
            <v>45996</v>
          </cell>
          <cell r="S273" t="str">
            <v>CALJA</v>
          </cell>
          <cell r="T273" t="str">
            <v>ERNEST PROTOPAPA</v>
          </cell>
          <cell r="U273" t="str">
            <v>J70103069K</v>
          </cell>
          <cell r="V273" t="str">
            <v>355 69 550 5533</v>
          </cell>
          <cell r="W273" t="str">
            <v>Albania</v>
          </cell>
          <cell r="X273">
            <v>1455</v>
          </cell>
          <cell r="AB273">
            <v>1688</v>
          </cell>
          <cell r="AC273">
            <v>8024</v>
          </cell>
          <cell r="AD273">
            <v>1526</v>
          </cell>
          <cell r="AE273">
            <v>9550</v>
          </cell>
          <cell r="AF273">
            <v>9830</v>
          </cell>
        </row>
        <row r="274">
          <cell r="A274">
            <v>272</v>
          </cell>
          <cell r="B274">
            <v>45990</v>
          </cell>
          <cell r="C274" t="str">
            <v>BENZ E220</v>
          </cell>
          <cell r="D274" t="str">
            <v>BENZ</v>
          </cell>
          <cell r="E274" t="str">
            <v>E220</v>
          </cell>
          <cell r="G274" t="str">
            <v>17로9048</v>
          </cell>
          <cell r="H274" t="str">
            <v>WDDZF0EB7JA428729</v>
          </cell>
          <cell r="I274">
            <v>45994</v>
          </cell>
          <cell r="J274" t="str">
            <v>(주)코리아모터스</v>
          </cell>
          <cell r="L274" t="str">
            <v>잔금</v>
          </cell>
          <cell r="M274" t="str">
            <v>100만원 대표님 계약</v>
          </cell>
          <cell r="N274">
            <v>2190</v>
          </cell>
          <cell r="P274">
            <v>2190</v>
          </cell>
          <cell r="Q274" t="str">
            <v>done</v>
          </cell>
          <cell r="R274">
            <v>46000</v>
          </cell>
          <cell r="S274" t="str">
            <v>ATLAS GROUP SH.P.K</v>
          </cell>
          <cell r="T274" t="str">
            <v>ATLAS GROUP SH.P.K</v>
          </cell>
          <cell r="U274">
            <v>812137455</v>
          </cell>
          <cell r="V274" t="str">
            <v>+38348702207</v>
          </cell>
          <cell r="W274" t="str">
            <v>Xhelal Hajda, p.n. Rahovec</v>
          </cell>
          <cell r="X274">
            <v>1455</v>
          </cell>
          <cell r="AB274">
            <v>1688</v>
          </cell>
          <cell r="AC274">
            <v>12440</v>
          </cell>
          <cell r="AD274">
            <v>1440</v>
          </cell>
          <cell r="AE274">
            <v>13880</v>
          </cell>
        </row>
        <row r="275">
          <cell r="A275">
            <v>273</v>
          </cell>
          <cell r="B275">
            <v>45990</v>
          </cell>
          <cell r="C275" t="str">
            <v xml:space="preserve">PORSCHE CAYENNE </v>
          </cell>
          <cell r="D275" t="str">
            <v>PORSCHE</v>
          </cell>
          <cell r="E275" t="str">
            <v xml:space="preserve">CAYENNE </v>
          </cell>
          <cell r="G275" t="str">
            <v>30러8664</v>
          </cell>
          <cell r="H275" t="str">
            <v>WP1AF2925HKA30662</v>
          </cell>
          <cell r="I275">
            <v>45996</v>
          </cell>
          <cell r="J275" t="str">
            <v>(주)마스터카</v>
          </cell>
          <cell r="L275" t="str">
            <v>잔금</v>
          </cell>
          <cell r="M275" t="str">
            <v>50만원 대표님 계약</v>
          </cell>
          <cell r="N275">
            <v>3930</v>
          </cell>
          <cell r="P275">
            <v>3930</v>
          </cell>
          <cell r="Q275" t="str">
            <v>done</v>
          </cell>
          <cell r="R275">
            <v>46000</v>
          </cell>
          <cell r="S275" t="str">
            <v>VILLA KOHA</v>
          </cell>
          <cell r="T275" t="str">
            <v>VILLA KOHA SH.P.K</v>
          </cell>
          <cell r="U275">
            <v>810039588</v>
          </cell>
          <cell r="V275" t="str">
            <v>383 49247777</v>
          </cell>
          <cell r="W275" t="str">
            <v>KOSOVO</v>
          </cell>
          <cell r="X275">
            <v>1455</v>
          </cell>
          <cell r="AB275">
            <v>1688</v>
          </cell>
          <cell r="AC275">
            <v>22174</v>
          </cell>
          <cell r="AD275">
            <v>1526</v>
          </cell>
          <cell r="AE275">
            <v>23700</v>
          </cell>
          <cell r="AF275">
            <v>23700</v>
          </cell>
        </row>
        <row r="276">
          <cell r="A276">
            <v>274</v>
          </cell>
          <cell r="B276">
            <v>45990</v>
          </cell>
          <cell r="C276" t="str">
            <v>BENZ S350L</v>
          </cell>
          <cell r="D276" t="str">
            <v>BENZ</v>
          </cell>
          <cell r="E276" t="str">
            <v>S350L</v>
          </cell>
          <cell r="G276" t="str">
            <v>14버3988</v>
          </cell>
          <cell r="H276" t="str">
            <v>WDDUG3CB6EA034897</v>
          </cell>
          <cell r="I276">
            <v>45994</v>
          </cell>
          <cell r="J276" t="str">
            <v>(주)신원자동차매매상사</v>
          </cell>
          <cell r="L276" t="str">
            <v>잔금</v>
          </cell>
          <cell r="M276" t="str">
            <v>50만원 대표님 계약</v>
          </cell>
          <cell r="N276">
            <v>2456</v>
          </cell>
          <cell r="O276">
            <v>44</v>
          </cell>
          <cell r="P276">
            <v>2500</v>
          </cell>
          <cell r="Q276" t="str">
            <v>DONE</v>
          </cell>
          <cell r="R276">
            <v>45996</v>
          </cell>
          <cell r="S276" t="str">
            <v>HYSA</v>
          </cell>
          <cell r="T276" t="str">
            <v>HYSA JUGERS</v>
          </cell>
          <cell r="U276" t="str">
            <v>J90912021M</v>
          </cell>
          <cell r="V276" t="str">
            <v>355 69 690 2972</v>
          </cell>
          <cell r="W276" t="str">
            <v>Albania</v>
          </cell>
          <cell r="X276">
            <v>1455</v>
          </cell>
          <cell r="AB276">
            <v>1688</v>
          </cell>
          <cell r="AC276">
            <v>14174</v>
          </cell>
          <cell r="AD276">
            <v>1526</v>
          </cell>
          <cell r="AE276">
            <v>15700</v>
          </cell>
          <cell r="AF276" t="str">
            <v xml:space="preserve"> HYSA INVOICE16000</v>
          </cell>
        </row>
        <row r="277">
          <cell r="A277">
            <v>275</v>
          </cell>
          <cell r="B277">
            <v>45990</v>
          </cell>
          <cell r="C277" t="str">
            <v>AUDI A8L</v>
          </cell>
          <cell r="D277" t="str">
            <v>AUDI</v>
          </cell>
          <cell r="E277" t="str">
            <v>A8L</v>
          </cell>
          <cell r="G277" t="str">
            <v>293무1331</v>
          </cell>
          <cell r="H277" t="str">
            <v>WAUZZZ4H6FN029481</v>
          </cell>
          <cell r="I277">
            <v>45994</v>
          </cell>
          <cell r="J277" t="str">
            <v>(주) 디에이치모터스</v>
          </cell>
          <cell r="L277" t="str">
            <v>잔금</v>
          </cell>
          <cell r="M277" t="str">
            <v>50만원 대표님 계약</v>
          </cell>
          <cell r="N277">
            <v>1800</v>
          </cell>
          <cell r="P277">
            <v>1800</v>
          </cell>
          <cell r="Q277" t="str">
            <v>DONE</v>
          </cell>
          <cell r="R277">
            <v>45996</v>
          </cell>
          <cell r="S277" t="str">
            <v>HYSA</v>
          </cell>
          <cell r="T277" t="str">
            <v>HYSA JUGERS</v>
          </cell>
          <cell r="U277" t="str">
            <v>J90912021M</v>
          </cell>
          <cell r="V277" t="str">
            <v>355 69 690 2972</v>
          </cell>
          <cell r="W277" t="str">
            <v>Albania</v>
          </cell>
          <cell r="X277">
            <v>1455</v>
          </cell>
          <cell r="AB277">
            <v>1688</v>
          </cell>
          <cell r="AC277">
            <v>10174</v>
          </cell>
          <cell r="AD277">
            <v>1526</v>
          </cell>
          <cell r="AE277">
            <v>11700</v>
          </cell>
        </row>
        <row r="278">
          <cell r="A278">
            <v>276</v>
          </cell>
          <cell r="B278">
            <v>45990</v>
          </cell>
          <cell r="C278" t="str">
            <v>Peugeot 2008 1.5 BlueHDi</v>
          </cell>
          <cell r="D278" t="str">
            <v>Peugeot</v>
          </cell>
          <cell r="E278" t="str">
            <v>2008 1.5 BlueHDi</v>
          </cell>
          <cell r="G278" t="str">
            <v>361모3035</v>
          </cell>
          <cell r="H278" t="str">
            <v>VR3UDYHZSMJ563958</v>
          </cell>
          <cell r="I278">
            <v>45994</v>
          </cell>
          <cell r="J278" t="str">
            <v>(주) 설레임 오토모티브</v>
          </cell>
          <cell r="L278" t="str">
            <v>잔금</v>
          </cell>
          <cell r="M278" t="str">
            <v>50만원 대표님 계약</v>
          </cell>
          <cell r="N278">
            <v>1684</v>
          </cell>
          <cell r="P278">
            <v>1684</v>
          </cell>
          <cell r="Q278" t="str">
            <v>DONE</v>
          </cell>
          <cell r="R278">
            <v>45996</v>
          </cell>
          <cell r="S278" t="str">
            <v>Auto Posh SH.P.K</v>
          </cell>
          <cell r="T278" t="str">
            <v>Auto Posh SH.P.K</v>
          </cell>
          <cell r="U278">
            <v>812219427</v>
          </cell>
          <cell r="V278">
            <v>38345560145</v>
          </cell>
          <cell r="W278" t="str">
            <v xml:space="preserve"> Rruga Jakup Lami, Pn. Greme, Feriza</v>
          </cell>
          <cell r="X278">
            <v>1455</v>
          </cell>
          <cell r="AB278">
            <v>1688</v>
          </cell>
          <cell r="AC278">
            <v>9560</v>
          </cell>
          <cell r="AD278">
            <v>1440</v>
          </cell>
          <cell r="AE278">
            <v>11000</v>
          </cell>
        </row>
        <row r="279">
          <cell r="A279">
            <v>277</v>
          </cell>
          <cell r="B279">
            <v>45998</v>
          </cell>
          <cell r="C279" t="str">
            <v>AUDI A4</v>
          </cell>
          <cell r="D279" t="str">
            <v>AUDI</v>
          </cell>
          <cell r="E279" t="str">
            <v>A4</v>
          </cell>
          <cell r="G279" t="str">
            <v>45저0918</v>
          </cell>
          <cell r="H279" t="str">
            <v>WAUZZZ8K5GA011939</v>
          </cell>
          <cell r="J279" t="str">
            <v>경매장- 헤이딜러</v>
          </cell>
          <cell r="K279" t="str">
            <v>STOCK</v>
          </cell>
          <cell r="L279" t="str">
            <v>잔금</v>
          </cell>
          <cell r="M279" t="str">
            <v>50만원 대표님 계약</v>
          </cell>
          <cell r="N279">
            <v>954</v>
          </cell>
          <cell r="O279">
            <v>37</v>
          </cell>
          <cell r="P279">
            <v>991</v>
          </cell>
          <cell r="Q279" t="str">
            <v>done</v>
          </cell>
          <cell r="R279">
            <v>12.11</v>
          </cell>
          <cell r="S279" t="str">
            <v>ATLAS GROUP SH.P.K</v>
          </cell>
          <cell r="T279" t="str">
            <v>ATLAS GROUP SH.P.K</v>
          </cell>
          <cell r="U279">
            <v>812137455</v>
          </cell>
          <cell r="V279" t="str">
            <v>+38348702207</v>
          </cell>
          <cell r="W279" t="str">
            <v>Xhelal Hajda, p.n. Rahovec</v>
          </cell>
          <cell r="X279">
            <v>1461</v>
          </cell>
          <cell r="AB279">
            <v>1700</v>
          </cell>
          <cell r="AC279">
            <v>5705</v>
          </cell>
          <cell r="AD279">
            <v>1435</v>
          </cell>
          <cell r="AE279">
            <v>7140</v>
          </cell>
          <cell r="AF279">
            <v>7140</v>
          </cell>
        </row>
        <row r="280">
          <cell r="A280">
            <v>278</v>
          </cell>
          <cell r="B280">
            <v>46014</v>
          </cell>
          <cell r="C280" t="str">
            <v>AUDI RS5</v>
          </cell>
          <cell r="D280" t="str">
            <v>AUDI</v>
          </cell>
          <cell r="E280" t="str">
            <v>RS5</v>
          </cell>
          <cell r="G280" t="str">
            <v>43거6855</v>
          </cell>
          <cell r="H280" t="str">
            <v>WUAZZZ8T0DA903221</v>
          </cell>
          <cell r="I280">
            <v>46024</v>
          </cell>
          <cell r="J280" t="str">
            <v>(주)신원자동차매매상사</v>
          </cell>
          <cell r="L280" t="str">
            <v>잔금</v>
          </cell>
          <cell r="M280" t="str">
            <v>50만원 대표님 계약</v>
          </cell>
          <cell r="N280">
            <v>2100</v>
          </cell>
          <cell r="P280">
            <v>2100</v>
          </cell>
          <cell r="Q280" t="str">
            <v>done</v>
          </cell>
          <cell r="R280">
            <v>46030</v>
          </cell>
          <cell r="S280" t="str">
            <v xml:space="preserve">DAX IMPORT 🇩🇪 </v>
          </cell>
          <cell r="T280" t="str">
            <v xml:space="preserve">Michael Karl  </v>
          </cell>
          <cell r="U280" t="str">
            <v>LF9N8WZ16</v>
          </cell>
          <cell r="V280" t="str">
            <v>‪+49 471 94189050‬</v>
          </cell>
          <cell r="W280" t="str">
            <v xml:space="preserve">Dorfstr,33C,(82024) Taufkirchen, Germany </v>
          </cell>
          <cell r="X280">
            <v>1468</v>
          </cell>
          <cell r="AB280">
            <v>1728</v>
          </cell>
          <cell r="AC280">
            <v>11920</v>
          </cell>
          <cell r="AD280">
            <v>1232</v>
          </cell>
          <cell r="AF280">
            <v>13180</v>
          </cell>
        </row>
        <row r="281">
          <cell r="A281">
            <v>279</v>
          </cell>
          <cell r="B281">
            <v>45995</v>
          </cell>
          <cell r="C281" t="str">
            <v>VOLKSWAGENS TIGUAN</v>
          </cell>
          <cell r="D281" t="str">
            <v>VOLKSWAGENS</v>
          </cell>
          <cell r="E281" t="str">
            <v>TIGUAN</v>
          </cell>
          <cell r="G281" t="str">
            <v>02노0396</v>
          </cell>
          <cell r="H281" t="str">
            <v>WVGZZZ5NZGW556104</v>
          </cell>
          <cell r="J281" t="str">
            <v>경매장- 헤이딜러</v>
          </cell>
          <cell r="L281" t="str">
            <v>재고</v>
          </cell>
          <cell r="P281">
            <v>0</v>
          </cell>
          <cell r="Q281" t="str">
            <v xml:space="preserve">STOCK </v>
          </cell>
          <cell r="R281" t="str">
            <v xml:space="preserve">STOCK </v>
          </cell>
        </row>
        <row r="282">
          <cell r="A282">
            <v>280</v>
          </cell>
          <cell r="B282">
            <v>45991</v>
          </cell>
          <cell r="C282" t="str">
            <v>BENZ E220</v>
          </cell>
          <cell r="D282" t="str">
            <v>BENZ</v>
          </cell>
          <cell r="E282" t="str">
            <v>E220</v>
          </cell>
          <cell r="G282" t="str">
            <v>345서4137</v>
          </cell>
          <cell r="H282" t="str">
            <v>WDDZF0FB7KA558932</v>
          </cell>
          <cell r="I282">
            <v>45996</v>
          </cell>
          <cell r="J282" t="str">
            <v>(주)다빈치오토</v>
          </cell>
          <cell r="L282" t="str">
            <v>잔금</v>
          </cell>
          <cell r="M282" t="str">
            <v>50만원 대표님 계약</v>
          </cell>
          <cell r="N282">
            <v>2226</v>
          </cell>
          <cell r="O282">
            <v>44</v>
          </cell>
          <cell r="P282">
            <v>2270</v>
          </cell>
          <cell r="Q282" t="str">
            <v>done</v>
          </cell>
          <cell r="R282">
            <v>46000</v>
          </cell>
          <cell r="S282" t="str">
            <v>VILLA KOHA</v>
          </cell>
          <cell r="T282" t="str">
            <v>VILLA KOHA SH.P.K</v>
          </cell>
          <cell r="U282">
            <v>810039588</v>
          </cell>
          <cell r="V282" t="str">
            <v>383 49247777</v>
          </cell>
          <cell r="W282" t="str">
            <v>KOSOVO</v>
          </cell>
          <cell r="X282">
            <v>1455</v>
          </cell>
          <cell r="AB282">
            <v>1688</v>
          </cell>
          <cell r="AC282">
            <v>12860</v>
          </cell>
          <cell r="AD282">
            <v>1440</v>
          </cell>
          <cell r="AE282">
            <v>14300</v>
          </cell>
          <cell r="AF282">
            <v>14300</v>
          </cell>
        </row>
        <row r="283">
          <cell r="A283">
            <v>281</v>
          </cell>
          <cell r="B283">
            <v>45992</v>
          </cell>
          <cell r="C283" t="str">
            <v>HYUNDAI TUCSON</v>
          </cell>
          <cell r="D283" t="str">
            <v>HYUNDAI</v>
          </cell>
          <cell r="E283" t="str">
            <v>TUCSON</v>
          </cell>
          <cell r="G283" t="str">
            <v xml:space="preserve">47두0777  </v>
          </cell>
          <cell r="H283" t="str">
            <v>KMHJ581ABGU070458</v>
          </cell>
          <cell r="I283">
            <v>45993</v>
          </cell>
          <cell r="J283" t="str">
            <v>㈜건모터스</v>
          </cell>
          <cell r="L283" t="str">
            <v>잔금</v>
          </cell>
          <cell r="M283" t="str">
            <v>50만원 회사통장 나감</v>
          </cell>
          <cell r="N283">
            <v>1444</v>
          </cell>
          <cell r="P283">
            <v>1444</v>
          </cell>
          <cell r="Q283" t="str">
            <v>done</v>
          </cell>
          <cell r="R283">
            <v>46000</v>
          </cell>
          <cell r="S283" t="str">
            <v>CALJA</v>
          </cell>
          <cell r="T283" t="str">
            <v>KLAJDI ISMAILAJ</v>
          </cell>
          <cell r="U283" t="str">
            <v>K00605083S</v>
          </cell>
          <cell r="V283" t="str">
            <v>355 69 550 5533</v>
          </cell>
          <cell r="W283" t="str">
            <v>Albania</v>
          </cell>
          <cell r="X283">
            <v>1456</v>
          </cell>
          <cell r="AB283">
            <v>1687</v>
          </cell>
          <cell r="AC283">
            <v>8222</v>
          </cell>
          <cell r="AD283">
            <v>1528</v>
          </cell>
          <cell r="AE283">
            <v>9750</v>
          </cell>
          <cell r="AF283">
            <v>10000</v>
          </cell>
        </row>
        <row r="284">
          <cell r="A284">
            <v>282</v>
          </cell>
          <cell r="B284">
            <v>45992</v>
          </cell>
          <cell r="C284" t="str">
            <v>VOLKSWAGENS GOLF 7</v>
          </cell>
          <cell r="D284" t="str">
            <v>VOLKSWAGENS</v>
          </cell>
          <cell r="E284" t="str">
            <v>GOLF 7</v>
          </cell>
          <cell r="G284" t="str">
            <v xml:space="preserve">31소0543  </v>
          </cell>
          <cell r="H284" t="str">
            <v>WVWZZZAUZGW169283</v>
          </cell>
          <cell r="I284">
            <v>45994</v>
          </cell>
          <cell r="J284" t="str">
            <v>개인매입- 소재은</v>
          </cell>
          <cell r="L284" t="str">
            <v>잔금</v>
          </cell>
          <cell r="M284" t="str">
            <v>50만원 회사통장 나감</v>
          </cell>
          <cell r="N284">
            <v>1200</v>
          </cell>
          <cell r="P284">
            <v>1200</v>
          </cell>
          <cell r="Q284" t="str">
            <v>done</v>
          </cell>
          <cell r="R284">
            <v>12.11</v>
          </cell>
          <cell r="S284" t="str">
            <v>GENC HETA</v>
          </cell>
          <cell r="T284" t="str">
            <v>ERBLIN SALIHU</v>
          </cell>
          <cell r="U284">
            <v>1176370200</v>
          </cell>
          <cell r="V284">
            <v>383049655515</v>
          </cell>
          <cell r="W284" t="str">
            <v>KOSOVO</v>
          </cell>
          <cell r="X284">
            <v>1456</v>
          </cell>
          <cell r="AB284">
            <v>1687</v>
          </cell>
          <cell r="AC284">
            <v>6939</v>
          </cell>
          <cell r="AD284">
            <v>1441</v>
          </cell>
          <cell r="AE284">
            <v>8380</v>
          </cell>
        </row>
        <row r="285">
          <cell r="A285">
            <v>283</v>
          </cell>
          <cell r="B285">
            <v>45992</v>
          </cell>
          <cell r="C285" t="str">
            <v>HYUNDAI SONATA</v>
          </cell>
          <cell r="D285" t="str">
            <v>HYUNDAI</v>
          </cell>
          <cell r="E285" t="str">
            <v>SONATA</v>
          </cell>
          <cell r="G285" t="str">
            <v>337너9252</v>
          </cell>
          <cell r="H285" t="str">
            <v>KMHE341DBJA398995</v>
          </cell>
          <cell r="I285">
            <v>45994</v>
          </cell>
          <cell r="J285" t="str">
            <v>(주)왕카</v>
          </cell>
          <cell r="L285" t="str">
            <v>잔금</v>
          </cell>
          <cell r="M285" t="str">
            <v>50만원 회사통장 나감</v>
          </cell>
          <cell r="N285">
            <v>720</v>
          </cell>
          <cell r="P285">
            <v>720</v>
          </cell>
          <cell r="Q285" t="str">
            <v>DONE</v>
          </cell>
          <cell r="R285">
            <v>45996</v>
          </cell>
          <cell r="S285" t="str">
            <v>CALJA</v>
          </cell>
          <cell r="T285" t="str">
            <v>LUAN KABASHI</v>
          </cell>
          <cell r="U285" t="str">
            <v>G11222010R</v>
          </cell>
          <cell r="V285" t="str">
            <v>355 69 550 5533</v>
          </cell>
          <cell r="W285" t="str">
            <v>Albania</v>
          </cell>
          <cell r="X285">
            <v>1456</v>
          </cell>
          <cell r="AB285">
            <v>1687</v>
          </cell>
          <cell r="AC285">
            <v>4249</v>
          </cell>
          <cell r="AD285">
            <v>1441</v>
          </cell>
          <cell r="AE285">
            <v>5690</v>
          </cell>
          <cell r="AF285">
            <v>5940</v>
          </cell>
        </row>
        <row r="286">
          <cell r="A286">
            <v>284</v>
          </cell>
          <cell r="B286">
            <v>45992</v>
          </cell>
          <cell r="C286" t="str">
            <v>BENZ S350</v>
          </cell>
          <cell r="D286" t="str">
            <v>BENZ</v>
          </cell>
          <cell r="E286" t="str">
            <v>S350</v>
          </cell>
          <cell r="G286" t="str">
            <v>263소8118</v>
          </cell>
          <cell r="H286" t="str">
            <v>WDDUG3CB1FA110012</v>
          </cell>
          <cell r="I286">
            <v>45996</v>
          </cell>
          <cell r="J286" t="str">
            <v>(주) 신원자동차매매</v>
          </cell>
          <cell r="L286" t="str">
            <v>잔금</v>
          </cell>
          <cell r="M286" t="str">
            <v>50만원 대표님 계약</v>
          </cell>
          <cell r="N286">
            <v>2530</v>
          </cell>
          <cell r="P286">
            <v>2530</v>
          </cell>
          <cell r="Q286" t="str">
            <v>done</v>
          </cell>
          <cell r="R286">
            <v>12.11</v>
          </cell>
          <cell r="S286" t="str">
            <v xml:space="preserve">Andrea Kasa </v>
          </cell>
          <cell r="T286" t="str">
            <v>ALBAN HIDA</v>
          </cell>
          <cell r="U286" t="str">
            <v>K30726040I</v>
          </cell>
          <cell r="V286" t="str">
            <v>355 69 746 2556</v>
          </cell>
          <cell r="W286" t="str">
            <v>Albania</v>
          </cell>
          <cell r="X286">
            <v>1456</v>
          </cell>
          <cell r="AB286">
            <v>1687</v>
          </cell>
          <cell r="AC286">
            <v>14372</v>
          </cell>
          <cell r="AD286">
            <v>1528</v>
          </cell>
          <cell r="AE286">
            <v>15900</v>
          </cell>
          <cell r="AF286">
            <v>17000</v>
          </cell>
        </row>
        <row r="287">
          <cell r="A287">
            <v>285</v>
          </cell>
          <cell r="B287">
            <v>45992</v>
          </cell>
          <cell r="C287" t="str">
            <v>HYUNDAI SANTAFE</v>
          </cell>
          <cell r="D287" t="str">
            <v>HYUNDAI</v>
          </cell>
          <cell r="E287" t="str">
            <v>SANTAFE</v>
          </cell>
          <cell r="G287" t="str">
            <v>393루2695</v>
          </cell>
          <cell r="H287" t="str">
            <v>KMHS281BBKU147231</v>
          </cell>
          <cell r="I287">
            <v>45999</v>
          </cell>
          <cell r="J287" t="str">
            <v>(주)강남모터스</v>
          </cell>
          <cell r="L287" t="str">
            <v>잔금</v>
          </cell>
          <cell r="M287" t="str">
            <v>50만원 대표님 계약</v>
          </cell>
          <cell r="N287">
            <v>1630</v>
          </cell>
          <cell r="P287">
            <v>1630</v>
          </cell>
          <cell r="Q287" t="str">
            <v>done</v>
          </cell>
          <cell r="R287">
            <v>12.11</v>
          </cell>
          <cell r="S287" t="str">
            <v xml:space="preserve">Andrea Kasa </v>
          </cell>
          <cell r="T287" t="str">
            <v>KATERINA ZDRAVA</v>
          </cell>
          <cell r="U287" t="str">
            <v>M13601208D</v>
          </cell>
          <cell r="V287" t="str">
            <v>355 69 746 2556</v>
          </cell>
          <cell r="W287" t="str">
            <v>Albania</v>
          </cell>
          <cell r="X287">
            <v>1456</v>
          </cell>
          <cell r="AB287">
            <v>1687</v>
          </cell>
          <cell r="AC287">
            <v>9247</v>
          </cell>
          <cell r="AD287">
            <v>1528</v>
          </cell>
          <cell r="AE287">
            <v>10775</v>
          </cell>
          <cell r="AF287">
            <v>9675</v>
          </cell>
        </row>
        <row r="288">
          <cell r="A288">
            <v>286</v>
          </cell>
          <cell r="B288">
            <v>45993</v>
          </cell>
          <cell r="C288" t="str">
            <v>VOLKSWAGENS TIGUAN</v>
          </cell>
          <cell r="D288" t="str">
            <v>VOLKSWAGENS</v>
          </cell>
          <cell r="E288" t="str">
            <v>TIGUAN</v>
          </cell>
          <cell r="G288" t="str">
            <v>31소0540</v>
          </cell>
          <cell r="H288" t="str">
            <v>WVGZZZ5NZGW050783</v>
          </cell>
          <cell r="I288">
            <v>45994</v>
          </cell>
          <cell r="J288" t="str">
            <v>경매장- 현대글로비스</v>
          </cell>
          <cell r="L288" t="str">
            <v>잔금</v>
          </cell>
          <cell r="N288">
            <v>955</v>
          </cell>
          <cell r="O288">
            <v>21</v>
          </cell>
          <cell r="P288">
            <v>976</v>
          </cell>
          <cell r="Q288" t="str">
            <v>done</v>
          </cell>
          <cell r="R288">
            <v>46000</v>
          </cell>
          <cell r="S288" t="str">
            <v>DONI</v>
          </cell>
          <cell r="T288" t="str">
            <v>DONI</v>
          </cell>
          <cell r="U288">
            <v>933682</v>
          </cell>
          <cell r="V288" t="str">
            <v>3 8 3 4 9 3 2 5 7 0 3</v>
          </cell>
          <cell r="W288" t="str">
            <v xml:space="preserve"> HYZRI TALLA OB 16 HY 1 NR 18
 Kosovë</v>
          </cell>
          <cell r="X288">
            <v>1456</v>
          </cell>
          <cell r="AB288">
            <v>1687</v>
          </cell>
          <cell r="AC288">
            <v>5632</v>
          </cell>
          <cell r="AD288">
            <v>1528</v>
          </cell>
          <cell r="AE288">
            <v>7160</v>
          </cell>
        </row>
        <row r="289">
          <cell r="A289">
            <v>287</v>
          </cell>
          <cell r="B289">
            <v>45998</v>
          </cell>
          <cell r="C289" t="str">
            <v>Peugeot 2008 1.6 BlueHDi</v>
          </cell>
          <cell r="D289" t="str">
            <v>Peugeot</v>
          </cell>
          <cell r="E289" t="str">
            <v>2008 1.6 BlueHDi</v>
          </cell>
          <cell r="G289" t="str">
            <v>27버0295</v>
          </cell>
          <cell r="H289" t="str">
            <v>VF3CUBHYMGY041096</v>
          </cell>
          <cell r="J289" t="str">
            <v>경매장 -헤이딜러</v>
          </cell>
          <cell r="L289" t="str">
            <v>잔금</v>
          </cell>
          <cell r="N289">
            <v>364</v>
          </cell>
          <cell r="O289">
            <v>33</v>
          </cell>
          <cell r="P289">
            <v>397</v>
          </cell>
          <cell r="Q289" t="str">
            <v>done</v>
          </cell>
          <cell r="R289">
            <v>12.11</v>
          </cell>
          <cell r="S289" t="str">
            <v>R.S.h L.L.C.</v>
          </cell>
          <cell r="T289" t="str">
            <v>R.Sh L.L.C.</v>
          </cell>
          <cell r="U289">
            <v>812326016</v>
          </cell>
          <cell r="V289" t="str">
            <v>+383486 611 61</v>
          </cell>
          <cell r="W289" t="str">
            <v>Kosovo</v>
          </cell>
          <cell r="X289">
            <v>1461</v>
          </cell>
          <cell r="AB289">
            <v>1700</v>
          </cell>
          <cell r="AC289">
            <v>2565</v>
          </cell>
          <cell r="AD289">
            <v>1435</v>
          </cell>
          <cell r="AE289">
            <v>4000</v>
          </cell>
          <cell r="AF289" t="str">
            <v>4200 SECRET-200</v>
          </cell>
        </row>
        <row r="290">
          <cell r="A290">
            <v>288</v>
          </cell>
          <cell r="B290">
            <v>45993</v>
          </cell>
          <cell r="C290" t="str">
            <v>BENZ E220</v>
          </cell>
          <cell r="D290" t="str">
            <v>BENZ</v>
          </cell>
          <cell r="E290" t="str">
            <v>E220</v>
          </cell>
          <cell r="G290" t="str">
            <v>263구8682</v>
          </cell>
          <cell r="H290" t="str">
            <v>W1KZF0EB2LA836106</v>
          </cell>
          <cell r="I290">
            <v>45996</v>
          </cell>
          <cell r="J290" t="str">
            <v>㈜진흥자동차</v>
          </cell>
          <cell r="L290" t="str">
            <v>잔금</v>
          </cell>
          <cell r="M290" t="str">
            <v>100만원 회사통장 나감</v>
          </cell>
          <cell r="N290">
            <v>2580</v>
          </cell>
          <cell r="P290">
            <v>2580</v>
          </cell>
          <cell r="Q290" t="str">
            <v>done</v>
          </cell>
          <cell r="R290">
            <v>46000</v>
          </cell>
          <cell r="S290" t="str">
            <v>DONI</v>
          </cell>
          <cell r="T290" t="str">
            <v>DONI</v>
          </cell>
          <cell r="U290">
            <v>933682</v>
          </cell>
          <cell r="V290" t="str">
            <v>3 8 3 4 9 3 2 5 7 0 3</v>
          </cell>
          <cell r="W290" t="str">
            <v xml:space="preserve"> HYZRI TALLA OB 16 HY 1 NR 18
 Kosovë</v>
          </cell>
          <cell r="X290">
            <v>1456</v>
          </cell>
          <cell r="Y290">
            <v>1687</v>
          </cell>
          <cell r="AB290">
            <v>1687</v>
          </cell>
          <cell r="AC290">
            <v>14619</v>
          </cell>
          <cell r="AD290">
            <v>1441</v>
          </cell>
          <cell r="AE290">
            <v>16060</v>
          </cell>
        </row>
        <row r="291">
          <cell r="A291">
            <v>289</v>
          </cell>
          <cell r="B291">
            <v>45994</v>
          </cell>
          <cell r="C291" t="str">
            <v>HYUNDAI i30</v>
          </cell>
          <cell r="D291" t="str">
            <v>HYUNDAI</v>
          </cell>
          <cell r="E291" t="str">
            <v>i30</v>
          </cell>
          <cell r="G291" t="str">
            <v>175구7814</v>
          </cell>
          <cell r="H291" t="str">
            <v>KMHH351AGHU003843</v>
          </cell>
          <cell r="I291">
            <v>45996</v>
          </cell>
          <cell r="J291" t="str">
            <v>(주)황소모터스</v>
          </cell>
          <cell r="L291" t="str">
            <v>잔금</v>
          </cell>
          <cell r="M291" t="str">
            <v>50만원 회사통장 나감</v>
          </cell>
          <cell r="N291">
            <v>850</v>
          </cell>
          <cell r="P291">
            <v>850</v>
          </cell>
          <cell r="Q291" t="str">
            <v>done</v>
          </cell>
          <cell r="R291">
            <v>46000</v>
          </cell>
          <cell r="S291" t="str">
            <v>AlphaWorldWide</v>
          </cell>
          <cell r="T291" t="str">
            <v>AlphaWorldWideAlbania</v>
          </cell>
          <cell r="U291" t="str">
            <v>SN-619176-11-19</v>
          </cell>
          <cell r="V291" t="str">
            <v>355 69223 3416</v>
          </cell>
          <cell r="W291" t="str">
            <v xml:space="preserve">Durres, Durres, DURRES, Lagjja nr.11, Rruga Bulevardi, me siperfaqe 30m2 </v>
          </cell>
          <cell r="X291">
            <v>1456</v>
          </cell>
          <cell r="AB291">
            <v>1687</v>
          </cell>
          <cell r="AC291">
            <v>4949</v>
          </cell>
          <cell r="AD291">
            <v>1441</v>
          </cell>
          <cell r="AE291">
            <v>6390</v>
          </cell>
        </row>
        <row r="292">
          <cell r="A292">
            <v>290</v>
          </cell>
          <cell r="B292">
            <v>45994</v>
          </cell>
          <cell r="C292" t="str">
            <v>AUDI A6</v>
          </cell>
          <cell r="D292" t="str">
            <v>AUDI</v>
          </cell>
          <cell r="E292" t="str">
            <v>A6</v>
          </cell>
          <cell r="G292" t="str">
            <v xml:space="preserve">12서8887 </v>
          </cell>
          <cell r="H292" t="str">
            <v>WAUZZZ4G8EN123979</v>
          </cell>
          <cell r="I292">
            <v>45996</v>
          </cell>
          <cell r="J292" t="str">
            <v>(주) 에스엠모터스</v>
          </cell>
          <cell r="L292" t="str">
            <v>잔금</v>
          </cell>
          <cell r="M292" t="str">
            <v>50만원 회사통장 나감</v>
          </cell>
          <cell r="N292">
            <v>820</v>
          </cell>
          <cell r="P292">
            <v>820</v>
          </cell>
          <cell r="Q292" t="str">
            <v>done</v>
          </cell>
          <cell r="R292">
            <v>46000</v>
          </cell>
          <cell r="S292" t="str">
            <v>CALJA</v>
          </cell>
          <cell r="T292" t="str">
            <v>Redi Hyzenka</v>
          </cell>
          <cell r="U292" t="str">
            <v>J60701052A</v>
          </cell>
          <cell r="V292" t="str">
            <v>355 69 550 5533</v>
          </cell>
          <cell r="W292" t="str">
            <v>Albania</v>
          </cell>
          <cell r="X292">
            <v>1456</v>
          </cell>
          <cell r="AB292">
            <v>1687</v>
          </cell>
          <cell r="AC292">
            <v>4859</v>
          </cell>
          <cell r="AD292">
            <v>1441</v>
          </cell>
          <cell r="AE292">
            <v>6300</v>
          </cell>
          <cell r="AF292">
            <v>8000</v>
          </cell>
        </row>
        <row r="293">
          <cell r="A293">
            <v>291</v>
          </cell>
          <cell r="B293">
            <v>45994</v>
          </cell>
          <cell r="C293" t="str">
            <v>BENZ E220</v>
          </cell>
          <cell r="D293" t="str">
            <v>BENZ</v>
          </cell>
          <cell r="E293" t="str">
            <v>E220</v>
          </cell>
          <cell r="G293" t="str">
            <v>172루4283</v>
          </cell>
          <cell r="H293" t="str">
            <v>WDDZF0EB6HA225048</v>
          </cell>
          <cell r="I293">
            <v>45996</v>
          </cell>
          <cell r="J293" t="str">
            <v>(주)수성자동차</v>
          </cell>
          <cell r="L293" t="str">
            <v>잔금</v>
          </cell>
          <cell r="M293" t="str">
            <v>100만원 회사통장 나감</v>
          </cell>
          <cell r="N293">
            <v>1970</v>
          </cell>
          <cell r="P293">
            <v>1970</v>
          </cell>
          <cell r="Q293" t="str">
            <v>done</v>
          </cell>
          <cell r="R293">
            <v>46000</v>
          </cell>
          <cell r="S293" t="str">
            <v>ATLAS GROUP SH.P.K</v>
          </cell>
          <cell r="T293" t="str">
            <v>ATLAS GROUP SH.P.K</v>
          </cell>
          <cell r="U293">
            <v>812137455</v>
          </cell>
          <cell r="V293" t="str">
            <v>+38348702207</v>
          </cell>
          <cell r="W293" t="str">
            <v>Xhelal Hajda, p.n. Rahovec</v>
          </cell>
          <cell r="X293">
            <v>1456</v>
          </cell>
          <cell r="AB293">
            <v>1687</v>
          </cell>
          <cell r="AC293">
            <v>11159</v>
          </cell>
          <cell r="AD293">
            <v>1441</v>
          </cell>
          <cell r="AE293">
            <v>12600</v>
          </cell>
        </row>
        <row r="294">
          <cell r="A294">
            <v>292</v>
          </cell>
          <cell r="B294">
            <v>45995</v>
          </cell>
          <cell r="C294" t="str">
            <v>HYUNDAI SANTAFE</v>
          </cell>
          <cell r="D294" t="str">
            <v>HYUNDAI</v>
          </cell>
          <cell r="E294" t="str">
            <v>SANTAFE</v>
          </cell>
          <cell r="G294" t="str">
            <v>252모5586</v>
          </cell>
          <cell r="H294" t="str">
            <v>KMHSW81UBGU532366</v>
          </cell>
          <cell r="I294">
            <v>45999</v>
          </cell>
          <cell r="J294" t="str">
            <v>(주)청춘카</v>
          </cell>
          <cell r="L294" t="str">
            <v>잔금</v>
          </cell>
          <cell r="M294" t="str">
            <v>50만원 대표님 계약</v>
          </cell>
          <cell r="N294">
            <v>1155</v>
          </cell>
          <cell r="O294">
            <v>44</v>
          </cell>
          <cell r="P294">
            <v>1199</v>
          </cell>
          <cell r="Q294" t="str">
            <v>done</v>
          </cell>
          <cell r="R294">
            <v>12.11</v>
          </cell>
          <cell r="S294" t="str">
            <v>AlphaWorldWide</v>
          </cell>
          <cell r="T294" t="str">
            <v>AlphaWorldWideAlbania</v>
          </cell>
          <cell r="U294" t="str">
            <v>SN-619176-11-19</v>
          </cell>
          <cell r="V294" t="str">
            <v>355 69223 3416</v>
          </cell>
          <cell r="W294" t="str">
            <v xml:space="preserve">Durres, Durres, DURRES, Lagjja nr.11, Rruga Bulevardi, me siperfaqe 30m2 </v>
          </cell>
          <cell r="X294">
            <v>1459</v>
          </cell>
          <cell r="Y294">
            <v>1687</v>
          </cell>
          <cell r="AB294">
            <v>1700</v>
          </cell>
          <cell r="AC294">
            <v>6806</v>
          </cell>
          <cell r="AD294">
            <v>1519</v>
          </cell>
          <cell r="AE294">
            <v>8325</v>
          </cell>
        </row>
        <row r="295">
          <cell r="A295">
            <v>293</v>
          </cell>
          <cell r="B295">
            <v>45995</v>
          </cell>
          <cell r="C295" t="str">
            <v>FORD MONDEO</v>
          </cell>
          <cell r="D295" t="str">
            <v>FORD</v>
          </cell>
          <cell r="E295" t="str">
            <v>MONDEO</v>
          </cell>
          <cell r="G295" t="str">
            <v>15루0836</v>
          </cell>
          <cell r="H295" t="str">
            <v>WF0DXXWPCFFY44772</v>
          </cell>
          <cell r="I295">
            <v>45999</v>
          </cell>
          <cell r="J295" t="str">
            <v>(주)앨모터스</v>
          </cell>
          <cell r="L295" t="str">
            <v>잔금</v>
          </cell>
          <cell r="M295" t="str">
            <v>50만원 대표님 계약</v>
          </cell>
          <cell r="N295">
            <v>710</v>
          </cell>
          <cell r="P295">
            <v>710</v>
          </cell>
          <cell r="Q295" t="str">
            <v>done</v>
          </cell>
          <cell r="R295">
            <v>12.11</v>
          </cell>
          <cell r="S295" t="str">
            <v>AlphaWorldWide</v>
          </cell>
          <cell r="T295" t="str">
            <v>AlphaWorldWideAlbania</v>
          </cell>
          <cell r="U295" t="str">
            <v>SN-619176-11-19</v>
          </cell>
          <cell r="V295" t="str">
            <v>355 69223 3416</v>
          </cell>
          <cell r="W295" t="str">
            <v xml:space="preserve">Durres, Durres, DURRES, Lagjja nr.11, Rruga Bulevardi, me siperfaqe 30m2 </v>
          </cell>
          <cell r="X295">
            <v>1459</v>
          </cell>
          <cell r="AB295">
            <v>1700</v>
          </cell>
          <cell r="AC295">
            <v>4187</v>
          </cell>
          <cell r="AD295">
            <v>1433</v>
          </cell>
          <cell r="AE295">
            <v>5620</v>
          </cell>
        </row>
        <row r="296">
          <cell r="A296">
            <v>294</v>
          </cell>
          <cell r="B296">
            <v>45995</v>
          </cell>
          <cell r="C296" t="str">
            <v>AUDI A7</v>
          </cell>
          <cell r="D296" t="str">
            <v>AUDI</v>
          </cell>
          <cell r="E296" t="str">
            <v>A7</v>
          </cell>
          <cell r="G296" t="str">
            <v>251루9844</v>
          </cell>
          <cell r="H296" t="str">
            <v>WAUZZZ4G7DN119534</v>
          </cell>
          <cell r="I296">
            <v>45996</v>
          </cell>
          <cell r="J296" t="str">
            <v>(주)모던모터스</v>
          </cell>
          <cell r="L296" t="str">
            <v>잔금</v>
          </cell>
          <cell r="M296" t="str">
            <v>100만원 회사통장 나감</v>
          </cell>
          <cell r="N296">
            <v>1360</v>
          </cell>
          <cell r="P296">
            <v>1360</v>
          </cell>
          <cell r="Q296" t="str">
            <v>done</v>
          </cell>
          <cell r="R296">
            <v>12.11</v>
          </cell>
          <cell r="S296" t="str">
            <v>HYSA</v>
          </cell>
          <cell r="T296" t="str">
            <v>HYSA JUGERS</v>
          </cell>
          <cell r="U296" t="str">
            <v>J90912021M</v>
          </cell>
          <cell r="V296" t="str">
            <v>355 69 690 2972</v>
          </cell>
          <cell r="W296" t="str">
            <v>Albania</v>
          </cell>
          <cell r="X296">
            <v>1459</v>
          </cell>
          <cell r="AB296">
            <v>1700</v>
          </cell>
          <cell r="AC296">
            <v>7817</v>
          </cell>
          <cell r="AD296">
            <v>1433</v>
          </cell>
          <cell r="AE296">
            <v>9250</v>
          </cell>
        </row>
        <row r="297">
          <cell r="A297">
            <v>295</v>
          </cell>
          <cell r="B297">
            <v>45995</v>
          </cell>
          <cell r="C297" t="str">
            <v>RENAULT CLIO</v>
          </cell>
          <cell r="D297" t="str">
            <v>RENAULT</v>
          </cell>
          <cell r="E297" t="str">
            <v>CLIO</v>
          </cell>
          <cell r="G297" t="str">
            <v xml:space="preserve"> 13보4622</v>
          </cell>
          <cell r="H297" t="str">
            <v>VF15RBJ0DJR025172</v>
          </cell>
          <cell r="J297" t="str">
            <v>경매장- KCAR</v>
          </cell>
          <cell r="L297" t="str">
            <v>잔금</v>
          </cell>
          <cell r="N297">
            <v>580</v>
          </cell>
          <cell r="O297">
            <v>16</v>
          </cell>
          <cell r="P297">
            <v>596</v>
          </cell>
          <cell r="Q297" t="str">
            <v>done</v>
          </cell>
          <cell r="R297">
            <v>46009</v>
          </cell>
          <cell r="S297" t="str">
            <v>DONI</v>
          </cell>
          <cell r="T297" t="str">
            <v>DONI</v>
          </cell>
          <cell r="U297">
            <v>933682</v>
          </cell>
          <cell r="V297" t="str">
            <v>3 8 3 4 9 3 2 5 7 0 3</v>
          </cell>
          <cell r="W297" t="str">
            <v xml:space="preserve"> HYZRI TALLA OB 16 HY 1 NR 18
 Kosovë</v>
          </cell>
          <cell r="X297">
            <v>1459</v>
          </cell>
          <cell r="AB297">
            <v>1700</v>
          </cell>
          <cell r="AC297">
            <v>3527</v>
          </cell>
          <cell r="AD297">
            <v>1433</v>
          </cell>
          <cell r="AE297">
            <v>4960</v>
          </cell>
        </row>
        <row r="298">
          <cell r="A298">
            <v>296</v>
          </cell>
          <cell r="B298">
            <v>45995</v>
          </cell>
          <cell r="C298" t="str">
            <v>AUDI A6</v>
          </cell>
          <cell r="D298" t="str">
            <v>AUDI</v>
          </cell>
          <cell r="E298" t="str">
            <v>A6</v>
          </cell>
          <cell r="G298" t="str">
            <v>14더0227</v>
          </cell>
          <cell r="H298" t="str">
            <v>WAUZZZ4GXGN075405</v>
          </cell>
          <cell r="J298" t="str">
            <v>경매장- KCAR</v>
          </cell>
          <cell r="L298" t="str">
            <v>잔금</v>
          </cell>
          <cell r="N298">
            <v>810</v>
          </cell>
          <cell r="O298">
            <v>18</v>
          </cell>
          <cell r="P298">
            <v>828</v>
          </cell>
          <cell r="Q298" t="str">
            <v>done</v>
          </cell>
          <cell r="R298">
            <v>46009</v>
          </cell>
          <cell r="S298" t="str">
            <v xml:space="preserve">Andrea Kasa </v>
          </cell>
          <cell r="T298" t="str">
            <v xml:space="preserve">Andrea Kasa </v>
          </cell>
          <cell r="U298" t="str">
            <v>K30122016U</v>
          </cell>
          <cell r="V298" t="str">
            <v>355 69 746 2556</v>
          </cell>
          <cell r="W298" t="str">
            <v>Albania</v>
          </cell>
          <cell r="X298">
            <v>1459</v>
          </cell>
          <cell r="AB298">
            <v>1700</v>
          </cell>
          <cell r="AC298">
            <v>4867</v>
          </cell>
          <cell r="AD298">
            <v>1433</v>
          </cell>
          <cell r="AE298">
            <v>6300</v>
          </cell>
          <cell r="AF298">
            <v>6300</v>
          </cell>
        </row>
        <row r="299">
          <cell r="A299">
            <v>297</v>
          </cell>
          <cell r="B299">
            <v>45995</v>
          </cell>
          <cell r="C299" t="str">
            <v xml:space="preserve">VOLKSWAGENS CC </v>
          </cell>
          <cell r="D299" t="str">
            <v>VOLKSWAGENS</v>
          </cell>
          <cell r="E299" t="str">
            <v xml:space="preserve">CC </v>
          </cell>
          <cell r="G299" t="str">
            <v>66너0211 </v>
          </cell>
          <cell r="H299" t="str">
            <v>WVWZZZ3CZGE505658</v>
          </cell>
          <cell r="J299" t="str">
            <v>경매장- KCAR</v>
          </cell>
          <cell r="L299" t="str">
            <v>잔금</v>
          </cell>
          <cell r="N299">
            <v>760</v>
          </cell>
          <cell r="O299">
            <v>16</v>
          </cell>
          <cell r="P299">
            <v>776</v>
          </cell>
          <cell r="Q299" t="str">
            <v>done</v>
          </cell>
          <cell r="R299">
            <v>46009</v>
          </cell>
          <cell r="S299" t="str">
            <v>DONI</v>
          </cell>
          <cell r="T299" t="str">
            <v>DONI</v>
          </cell>
          <cell r="U299">
            <v>933682</v>
          </cell>
          <cell r="V299" t="str">
            <v>3 8 3 4 9 3 2 5 7 0 3</v>
          </cell>
          <cell r="W299" t="str">
            <v xml:space="preserve"> HYZRI TALLA OB 16 HY 1 NR 18
 Kosovë</v>
          </cell>
          <cell r="X299">
            <v>1459</v>
          </cell>
          <cell r="AB299">
            <v>1700</v>
          </cell>
          <cell r="AC299">
            <v>4497</v>
          </cell>
          <cell r="AD299">
            <v>1433</v>
          </cell>
          <cell r="AE299">
            <v>5930</v>
          </cell>
        </row>
        <row r="300">
          <cell r="A300">
            <v>298</v>
          </cell>
          <cell r="B300">
            <v>45995</v>
          </cell>
          <cell r="C300" t="str">
            <v>HYUNDAI SANTAFE</v>
          </cell>
          <cell r="D300" t="str">
            <v>HYUNDAI</v>
          </cell>
          <cell r="E300" t="str">
            <v>SANTAFE</v>
          </cell>
          <cell r="G300" t="str">
            <v>57모1502</v>
          </cell>
          <cell r="H300" t="str">
            <v xml:space="preserve">KMHSW81UBEU181520 </v>
          </cell>
          <cell r="I300">
            <v>45999</v>
          </cell>
          <cell r="L300" t="str">
            <v>잔금</v>
          </cell>
          <cell r="M300" t="str">
            <v>50만원 대표님 계약</v>
          </cell>
          <cell r="N300">
            <v>805</v>
          </cell>
          <cell r="P300">
            <v>805</v>
          </cell>
          <cell r="Q300" t="str">
            <v>done</v>
          </cell>
          <cell r="R300">
            <v>12.11</v>
          </cell>
          <cell r="S300" t="str">
            <v>Ervin</v>
          </cell>
          <cell r="T300" t="str">
            <v>AMARILDO KURTI</v>
          </cell>
          <cell r="U300" t="str">
            <v>J80129010L</v>
          </cell>
          <cell r="V300" t="str">
            <v>355 67 69 41 777</v>
          </cell>
          <cell r="W300" t="str">
            <v>Albania</v>
          </cell>
          <cell r="X300">
            <v>1459</v>
          </cell>
          <cell r="AB300">
            <v>1700</v>
          </cell>
          <cell r="AC300">
            <v>4671</v>
          </cell>
          <cell r="AD300">
            <v>1519</v>
          </cell>
          <cell r="AE300">
            <v>6190</v>
          </cell>
          <cell r="AF300">
            <v>6750</v>
          </cell>
        </row>
        <row r="301">
          <cell r="A301">
            <v>299</v>
          </cell>
          <cell r="B301">
            <v>45995</v>
          </cell>
          <cell r="C301" t="str">
            <v xml:space="preserve">AUDI A8L </v>
          </cell>
          <cell r="D301" t="str">
            <v>AUDI</v>
          </cell>
          <cell r="E301" t="str">
            <v xml:space="preserve">A8L </v>
          </cell>
          <cell r="G301" t="str">
            <v>37고7915</v>
          </cell>
          <cell r="H301" t="str">
            <v>WAUZZZ4HXFN038278</v>
          </cell>
          <cell r="I301">
            <v>45999</v>
          </cell>
          <cell r="L301" t="str">
            <v>잔금</v>
          </cell>
          <cell r="M301" t="str">
            <v>50만원 대표님 계약</v>
          </cell>
          <cell r="N301">
            <v>1920</v>
          </cell>
          <cell r="O301">
            <v>44</v>
          </cell>
          <cell r="P301">
            <v>1964</v>
          </cell>
          <cell r="Q301" t="str">
            <v>done</v>
          </cell>
          <cell r="R301">
            <v>12.11</v>
          </cell>
          <cell r="S301" t="str">
            <v>ANDI</v>
          </cell>
          <cell r="T301" t="str">
            <v>ERVISA DEDA</v>
          </cell>
          <cell r="U301" t="str">
            <v>J35826009S</v>
          </cell>
          <cell r="V301" t="str">
            <v>355 69 367 4263</v>
          </cell>
          <cell r="W301" t="str">
            <v>Albania</v>
          </cell>
          <cell r="X301">
            <v>1459</v>
          </cell>
          <cell r="AB301">
            <v>1700</v>
          </cell>
          <cell r="AC301">
            <v>11081</v>
          </cell>
          <cell r="AD301">
            <v>1519</v>
          </cell>
          <cell r="AE301">
            <v>12600</v>
          </cell>
          <cell r="AF301">
            <v>14000</v>
          </cell>
        </row>
        <row r="302">
          <cell r="A302">
            <v>300</v>
          </cell>
          <cell r="B302">
            <v>45995</v>
          </cell>
          <cell r="C302" t="str">
            <v xml:space="preserve">AUDI A6  </v>
          </cell>
          <cell r="D302" t="str">
            <v>AUDI</v>
          </cell>
          <cell r="E302" t="str">
            <v xml:space="preserve">A6  </v>
          </cell>
          <cell r="G302" t="str">
            <v xml:space="preserve">56소0675   </v>
          </cell>
          <cell r="H302" t="str">
            <v>WAUZZZ4G0GN118150</v>
          </cell>
          <cell r="I302">
            <v>45999</v>
          </cell>
          <cell r="L302" t="str">
            <v>잔금</v>
          </cell>
          <cell r="M302" t="str">
            <v>50만원 대표님 계약</v>
          </cell>
          <cell r="N302">
            <v>1300</v>
          </cell>
          <cell r="P302">
            <v>1300</v>
          </cell>
          <cell r="Q302" t="str">
            <v>done</v>
          </cell>
          <cell r="R302">
            <v>12.11</v>
          </cell>
          <cell r="S302" t="str">
            <v>Auto Posh SH.P.K</v>
          </cell>
          <cell r="T302" t="str">
            <v>Auto Posh SH.P.K</v>
          </cell>
          <cell r="U302">
            <v>812219427</v>
          </cell>
          <cell r="V302">
            <v>38345560145</v>
          </cell>
          <cell r="W302" t="str">
            <v xml:space="preserve"> Rruga Jakup Lami, Pn. Greme, Feriza</v>
          </cell>
          <cell r="X302">
            <v>1459</v>
          </cell>
          <cell r="AB302">
            <v>1700</v>
          </cell>
          <cell r="AC302">
            <v>7377</v>
          </cell>
          <cell r="AD302">
            <v>1433</v>
          </cell>
          <cell r="AE302">
            <v>8810</v>
          </cell>
        </row>
        <row r="303">
          <cell r="A303">
            <v>301</v>
          </cell>
          <cell r="B303">
            <v>45995</v>
          </cell>
          <cell r="C303" t="str">
            <v>HYUNDAI TUCSON</v>
          </cell>
          <cell r="D303" t="str">
            <v>HYUNDAI</v>
          </cell>
          <cell r="E303" t="str">
            <v>TUCSON</v>
          </cell>
          <cell r="G303" t="str">
            <v>03나0525</v>
          </cell>
          <cell r="H303" t="str">
            <v xml:space="preserve">KMHJ3815GGU052360 </v>
          </cell>
          <cell r="I303">
            <v>45999</v>
          </cell>
          <cell r="L303" t="str">
            <v>잔금</v>
          </cell>
          <cell r="M303" t="str">
            <v>50만원 대표님 계약</v>
          </cell>
          <cell r="N303">
            <v>920</v>
          </cell>
          <cell r="P303">
            <v>920</v>
          </cell>
          <cell r="Q303" t="str">
            <v>done</v>
          </cell>
          <cell r="R303">
            <v>12.11</v>
          </cell>
          <cell r="S303" t="str">
            <v>CALJA</v>
          </cell>
          <cell r="T303" t="str">
            <v>Blerta Bullari</v>
          </cell>
          <cell r="U303" t="str">
            <v>I15705014M</v>
          </cell>
          <cell r="V303" t="str">
            <v>355 69 550 5533</v>
          </cell>
          <cell r="W303" t="str">
            <v>Albania</v>
          </cell>
          <cell r="X303">
            <v>1459</v>
          </cell>
          <cell r="AB303">
            <v>1700</v>
          </cell>
          <cell r="AC303">
            <v>5301</v>
          </cell>
          <cell r="AD303">
            <v>1519</v>
          </cell>
          <cell r="AE303">
            <v>6820</v>
          </cell>
          <cell r="AF303">
            <v>7080</v>
          </cell>
        </row>
        <row r="304">
          <cell r="A304">
            <v>302</v>
          </cell>
          <cell r="B304">
            <v>45995</v>
          </cell>
          <cell r="C304" t="str">
            <v>AUDI A7</v>
          </cell>
          <cell r="D304" t="str">
            <v>AUDI</v>
          </cell>
          <cell r="E304" t="str">
            <v>A7</v>
          </cell>
          <cell r="G304" t="str">
            <v xml:space="preserve">29오5650 </v>
          </cell>
          <cell r="H304" t="str">
            <v xml:space="preserve">WAUZZZ4G7EN077657 </v>
          </cell>
          <cell r="I304">
            <v>45999</v>
          </cell>
          <cell r="L304" t="str">
            <v>잔금</v>
          </cell>
          <cell r="M304" t="str">
            <v>50만원 대표님 계약</v>
          </cell>
          <cell r="N304">
            <v>1150</v>
          </cell>
          <cell r="P304">
            <v>1150</v>
          </cell>
          <cell r="Q304" t="str">
            <v>done</v>
          </cell>
          <cell r="R304">
            <v>12.11</v>
          </cell>
          <cell r="S304" t="str">
            <v>Ervin</v>
          </cell>
          <cell r="T304" t="str">
            <v>Ervin Lici</v>
          </cell>
          <cell r="U304" t="str">
            <v>K51004018Q</v>
          </cell>
          <cell r="V304" t="str">
            <v>355 67 69 41 777</v>
          </cell>
          <cell r="W304" t="str">
            <v>Albania</v>
          </cell>
          <cell r="X304">
            <v>1459</v>
          </cell>
          <cell r="AB304">
            <v>1700</v>
          </cell>
          <cell r="AC304">
            <v>6517</v>
          </cell>
          <cell r="AD304">
            <v>1433</v>
          </cell>
          <cell r="AE304">
            <v>7950</v>
          </cell>
          <cell r="AF304">
            <v>7950</v>
          </cell>
        </row>
        <row r="305">
          <cell r="A305">
            <v>303</v>
          </cell>
          <cell r="B305">
            <v>45998</v>
          </cell>
          <cell r="C305" t="str">
            <v>HYUNDAI i30</v>
          </cell>
          <cell r="D305" t="str">
            <v>HYUNDAI</v>
          </cell>
          <cell r="E305" t="str">
            <v>i30</v>
          </cell>
          <cell r="G305" t="str">
            <v>22서1772</v>
          </cell>
          <cell r="H305" t="str">
            <v>KMHD351UBCU045847</v>
          </cell>
          <cell r="I305">
            <v>46003</v>
          </cell>
          <cell r="J305" t="str">
            <v>㈜다동이차</v>
          </cell>
          <cell r="L305" t="str">
            <v>잔금</v>
          </cell>
          <cell r="M305" t="str">
            <v>50만원 회사통장 나감</v>
          </cell>
          <cell r="N305">
            <v>644</v>
          </cell>
          <cell r="P305">
            <v>644</v>
          </cell>
          <cell r="Q305" t="str">
            <v>done</v>
          </cell>
          <cell r="R305">
            <v>46009</v>
          </cell>
          <cell r="S305" t="str">
            <v xml:space="preserve">Andrea Kasa </v>
          </cell>
          <cell r="T305" t="str">
            <v>ENDRI HOXHAJ</v>
          </cell>
          <cell r="U305" t="str">
            <v>J21008040M</v>
          </cell>
          <cell r="V305" t="str">
            <v>355 69 746 2556</v>
          </cell>
          <cell r="W305" t="str">
            <v>Albania</v>
          </cell>
          <cell r="X305">
            <v>1461</v>
          </cell>
          <cell r="AB305">
            <v>1700</v>
          </cell>
          <cell r="AC305">
            <v>3815</v>
          </cell>
          <cell r="AD305">
            <v>1435</v>
          </cell>
          <cell r="AE305">
            <v>5250</v>
          </cell>
          <cell r="AF305">
            <v>5830</v>
          </cell>
        </row>
        <row r="306">
          <cell r="A306">
            <v>304</v>
          </cell>
          <cell r="B306">
            <v>45998</v>
          </cell>
          <cell r="C306" t="str">
            <v>AUDI A4</v>
          </cell>
          <cell r="D306" t="str">
            <v>AUDI</v>
          </cell>
          <cell r="E306" t="str">
            <v>A4</v>
          </cell>
          <cell r="G306" t="str">
            <v>21버0882</v>
          </cell>
          <cell r="H306" t="str">
            <v>WAUZZZ8K1GN011039</v>
          </cell>
          <cell r="I306">
            <v>46001</v>
          </cell>
          <cell r="J306" t="str">
            <v>경매장- 현대 글로비스</v>
          </cell>
          <cell r="L306" t="str">
            <v>잔금</v>
          </cell>
          <cell r="N306">
            <v>795</v>
          </cell>
          <cell r="O306">
            <v>17</v>
          </cell>
          <cell r="P306">
            <v>812</v>
          </cell>
          <cell r="Q306" t="str">
            <v>done</v>
          </cell>
          <cell r="R306">
            <v>46009</v>
          </cell>
          <cell r="S306" t="str">
            <v>DONI</v>
          </cell>
          <cell r="T306" t="str">
            <v>DONI</v>
          </cell>
          <cell r="U306">
            <v>933682</v>
          </cell>
          <cell r="V306" t="str">
            <v>3 8 3 4 9 3 2 5 7 0 3</v>
          </cell>
          <cell r="W306" t="str">
            <v xml:space="preserve"> HYZRI TALLA OB 16 HY 1 NR 18
 Kosovë</v>
          </cell>
          <cell r="X306">
            <v>1461</v>
          </cell>
          <cell r="AB306">
            <v>1700</v>
          </cell>
          <cell r="AC306">
            <v>4765</v>
          </cell>
          <cell r="AD306">
            <v>1435</v>
          </cell>
          <cell r="AE306">
            <v>6200</v>
          </cell>
        </row>
        <row r="307">
          <cell r="A307">
            <v>305</v>
          </cell>
          <cell r="B307">
            <v>45998</v>
          </cell>
          <cell r="C307" t="str">
            <v>VOLKSWAGENS POLO 5 FL 1.4 TDI</v>
          </cell>
          <cell r="D307" t="str">
            <v>VOLKSWAGENS</v>
          </cell>
          <cell r="E307" t="str">
            <v>POLO 5 FL 1.4 TDI</v>
          </cell>
          <cell r="G307" t="str">
            <v>58저0405</v>
          </cell>
          <cell r="H307" t="str">
            <v>WVWZZZ6RZGY120815</v>
          </cell>
          <cell r="I307">
            <v>46001</v>
          </cell>
          <cell r="J307" t="str">
            <v>경매장- 현대 글로비스</v>
          </cell>
          <cell r="L307" t="str">
            <v>잔금</v>
          </cell>
          <cell r="N307">
            <v>655</v>
          </cell>
          <cell r="O307">
            <v>14</v>
          </cell>
          <cell r="P307">
            <v>669</v>
          </cell>
          <cell r="Q307" t="str">
            <v>done</v>
          </cell>
          <cell r="R307">
            <v>46009</v>
          </cell>
          <cell r="S307" t="str">
            <v>DONI</v>
          </cell>
          <cell r="T307" t="str">
            <v>DONI</v>
          </cell>
          <cell r="U307">
            <v>933682</v>
          </cell>
          <cell r="V307" t="str">
            <v>3 8 3 4 9 3 2 5 7 0 3</v>
          </cell>
          <cell r="W307" t="str">
            <v xml:space="preserve"> HYZRI TALLA OB 16 HY 1 NR 18
 Kosovë</v>
          </cell>
          <cell r="X307">
            <v>1461</v>
          </cell>
          <cell r="AB307">
            <v>1700</v>
          </cell>
          <cell r="AC307">
            <v>3975</v>
          </cell>
          <cell r="AD307">
            <v>1435</v>
          </cell>
          <cell r="AE307">
            <v>5410</v>
          </cell>
        </row>
        <row r="308">
          <cell r="A308">
            <v>306</v>
          </cell>
          <cell r="B308">
            <v>45998</v>
          </cell>
          <cell r="C308" t="str">
            <v>VOLVO S60D3</v>
          </cell>
          <cell r="D308" t="str">
            <v>VOLVO</v>
          </cell>
          <cell r="E308" t="str">
            <v>S60D3</v>
          </cell>
          <cell r="G308" t="str">
            <v>25고2320</v>
          </cell>
          <cell r="H308" t="str">
            <v>YV1FS79B0J2461399</v>
          </cell>
          <cell r="I308">
            <v>46007</v>
          </cell>
          <cell r="J308" t="str">
            <v>㈜황소모터스</v>
          </cell>
          <cell r="L308" t="str">
            <v>잔금</v>
          </cell>
          <cell r="M308" t="str">
            <v>50만원 대표님 계약</v>
          </cell>
          <cell r="N308">
            <v>920</v>
          </cell>
          <cell r="P308">
            <v>920</v>
          </cell>
          <cell r="Q308" t="str">
            <v>done</v>
          </cell>
          <cell r="R308">
            <v>46015</v>
          </cell>
          <cell r="S308" t="str">
            <v>R.S.h L.L.C.</v>
          </cell>
          <cell r="T308" t="str">
            <v>R.Sh L.L.C.</v>
          </cell>
          <cell r="U308">
            <v>812326016</v>
          </cell>
          <cell r="V308" t="str">
            <v>+383486 611 61</v>
          </cell>
          <cell r="W308" t="str">
            <v>Kosovo</v>
          </cell>
          <cell r="X308">
            <v>1461</v>
          </cell>
          <cell r="AB308">
            <v>1700</v>
          </cell>
          <cell r="AC308">
            <v>5295</v>
          </cell>
          <cell r="AD308">
            <v>1435</v>
          </cell>
          <cell r="AE308">
            <v>6730</v>
          </cell>
        </row>
        <row r="309">
          <cell r="A309">
            <v>307</v>
          </cell>
          <cell r="B309">
            <v>45998</v>
          </cell>
          <cell r="C309" t="str">
            <v>AUDI A7</v>
          </cell>
          <cell r="D309" t="str">
            <v>AUDI</v>
          </cell>
          <cell r="E309" t="str">
            <v>A7</v>
          </cell>
          <cell r="G309" t="str">
            <v xml:space="preserve">56너2112   </v>
          </cell>
          <cell r="H309" t="str">
            <v>WAUZZZ4G1DN020367</v>
          </cell>
          <cell r="I309">
            <v>46003</v>
          </cell>
          <cell r="J309" t="str">
            <v>㈜성진모터스</v>
          </cell>
          <cell r="L309" t="str">
            <v>잔금</v>
          </cell>
          <cell r="M309" t="str">
            <v>50만원 회사통장 나감</v>
          </cell>
          <cell r="N309">
            <v>1000</v>
          </cell>
          <cell r="P309">
            <v>1000</v>
          </cell>
          <cell r="Q309" t="str">
            <v>done</v>
          </cell>
          <cell r="R309">
            <v>46009</v>
          </cell>
          <cell r="S309" t="str">
            <v xml:space="preserve">Andrea Kasa </v>
          </cell>
          <cell r="T309" t="str">
            <v xml:space="preserve">Andrea Kasa </v>
          </cell>
          <cell r="U309" t="str">
            <v>K30122016U</v>
          </cell>
          <cell r="V309" t="str">
            <v>355 69 746 2556</v>
          </cell>
          <cell r="W309" t="str">
            <v>Albania</v>
          </cell>
          <cell r="X309">
            <v>1461</v>
          </cell>
          <cell r="AB309">
            <v>1700</v>
          </cell>
          <cell r="AC309">
            <v>5735</v>
          </cell>
          <cell r="AD309">
            <v>1435</v>
          </cell>
          <cell r="AE309">
            <v>7170</v>
          </cell>
        </row>
        <row r="310">
          <cell r="A310">
            <v>308</v>
          </cell>
          <cell r="B310">
            <v>45998</v>
          </cell>
          <cell r="C310" t="str">
            <v>RENAULT QM3</v>
          </cell>
          <cell r="D310" t="str">
            <v>RENAULT</v>
          </cell>
          <cell r="E310" t="str">
            <v>QM3</v>
          </cell>
          <cell r="F310">
            <v>2016</v>
          </cell>
          <cell r="G310" t="str">
            <v>64오0105</v>
          </cell>
          <cell r="H310" t="str">
            <v>VF12RGJ1DGW115622</v>
          </cell>
          <cell r="I310">
            <v>46003</v>
          </cell>
          <cell r="J310" t="str">
            <v>㈜ 카울렛</v>
          </cell>
          <cell r="L310" t="str">
            <v>잔금</v>
          </cell>
          <cell r="M310" t="str">
            <v>50만원 회사통장 나감</v>
          </cell>
          <cell r="N310">
            <v>580</v>
          </cell>
          <cell r="P310">
            <v>580</v>
          </cell>
          <cell r="Q310" t="str">
            <v>done</v>
          </cell>
          <cell r="R310">
            <v>46009</v>
          </cell>
          <cell r="S310" t="str">
            <v>Auto Posh SH.P.K</v>
          </cell>
          <cell r="T310" t="str">
            <v>Auto Posh SH.P.K</v>
          </cell>
          <cell r="U310">
            <v>812219427</v>
          </cell>
          <cell r="V310">
            <v>38345560145</v>
          </cell>
          <cell r="W310" t="str">
            <v xml:space="preserve"> Rruga Jakup Lami, Pn. Greme, Feriza</v>
          </cell>
          <cell r="X310">
            <v>1461</v>
          </cell>
          <cell r="AB310">
            <v>1700</v>
          </cell>
          <cell r="AC310">
            <v>3425</v>
          </cell>
          <cell r="AD310">
            <v>1435</v>
          </cell>
          <cell r="AE310">
            <v>4860</v>
          </cell>
        </row>
        <row r="311">
          <cell r="A311">
            <v>309</v>
          </cell>
          <cell r="B311">
            <v>46006</v>
          </cell>
          <cell r="C311" t="str">
            <v xml:space="preserve">VOLKSWAGENS GOLF </v>
          </cell>
          <cell r="D311" t="str">
            <v>VOLKSWAGENS</v>
          </cell>
          <cell r="E311" t="str">
            <v xml:space="preserve">GOLF </v>
          </cell>
          <cell r="G311" t="str">
            <v>35수2173</v>
          </cell>
          <cell r="H311" t="str">
            <v xml:space="preserve">WVWZZZAUZFW210210 </v>
          </cell>
          <cell r="J311" t="str">
            <v>경매장-헤이딜러</v>
          </cell>
          <cell r="L311" t="str">
            <v>잔금</v>
          </cell>
          <cell r="N311">
            <v>950</v>
          </cell>
          <cell r="O311">
            <v>84</v>
          </cell>
          <cell r="P311">
            <v>1034</v>
          </cell>
          <cell r="Q311" t="str">
            <v>done</v>
          </cell>
          <cell r="R311">
            <v>46015</v>
          </cell>
          <cell r="S311" t="str">
            <v>CALJA</v>
          </cell>
          <cell r="T311" t="str">
            <v>Calja Marius</v>
          </cell>
          <cell r="U311" t="str">
            <v>M43323203V</v>
          </cell>
          <cell r="V311" t="str">
            <v>355 69 550 5533</v>
          </cell>
          <cell r="W311" t="str">
            <v>Albania</v>
          </cell>
          <cell r="X311">
            <v>1465</v>
          </cell>
          <cell r="AB311">
            <v>1718</v>
          </cell>
          <cell r="AC311">
            <v>5926</v>
          </cell>
          <cell r="AD311">
            <v>1424</v>
          </cell>
          <cell r="AE311">
            <v>7350</v>
          </cell>
          <cell r="AF311">
            <v>4800</v>
          </cell>
        </row>
        <row r="312">
          <cell r="A312">
            <v>310</v>
          </cell>
          <cell r="B312">
            <v>46000</v>
          </cell>
          <cell r="C312" t="str">
            <v>AUDI A7 50 TDI quattro</v>
          </cell>
          <cell r="D312" t="str">
            <v>AUDI</v>
          </cell>
          <cell r="E312" t="str">
            <v>A7 50 TDI quattro</v>
          </cell>
          <cell r="G312" t="str">
            <v>11무8870</v>
          </cell>
          <cell r="H312" t="str">
            <v>WAUZZZ4G8GN017275</v>
          </cell>
          <cell r="I312">
            <v>46003</v>
          </cell>
          <cell r="J312" t="str">
            <v>㈜에이치투모터스</v>
          </cell>
          <cell r="L312" t="str">
            <v>잔금</v>
          </cell>
          <cell r="M312" t="str">
            <v>50만원 대표님 계약</v>
          </cell>
          <cell r="N312">
            <v>1615</v>
          </cell>
          <cell r="P312">
            <v>1615</v>
          </cell>
          <cell r="Q312" t="str">
            <v>done</v>
          </cell>
          <cell r="R312">
            <v>46009</v>
          </cell>
          <cell r="S312" t="str">
            <v>Ervin</v>
          </cell>
          <cell r="T312" t="str">
            <v>Riza Qosja</v>
          </cell>
          <cell r="U312" t="str">
            <v>M33304205K</v>
          </cell>
          <cell r="V312" t="str">
            <v>355 682769063</v>
          </cell>
          <cell r="W312" t="str">
            <v>Albania</v>
          </cell>
          <cell r="X312">
            <v>1455</v>
          </cell>
          <cell r="AB312">
            <v>1694</v>
          </cell>
          <cell r="AC312">
            <v>8876</v>
          </cell>
          <cell r="AD312">
            <v>1434</v>
          </cell>
          <cell r="AE312">
            <v>10310</v>
          </cell>
          <cell r="AF312">
            <v>10310</v>
          </cell>
        </row>
        <row r="313">
          <cell r="A313">
            <v>311</v>
          </cell>
          <cell r="B313">
            <v>46000</v>
          </cell>
          <cell r="C313" t="str">
            <v>VOLKSWAGENS Arteon 2.0 TDI</v>
          </cell>
          <cell r="D313" t="str">
            <v>VOLKSWAGENS</v>
          </cell>
          <cell r="E313" t="str">
            <v>Arteon 2.0 TDI</v>
          </cell>
          <cell r="F313">
            <v>2019</v>
          </cell>
          <cell r="G313" t="str">
            <v>184어3899</v>
          </cell>
          <cell r="H313" t="str">
            <v xml:space="preserve">WVWZZZ3HZKE012188 </v>
          </cell>
          <cell r="I313">
            <v>46003</v>
          </cell>
          <cell r="L313" t="str">
            <v>잔금</v>
          </cell>
          <cell r="M313" t="str">
            <v>50만원 회사통장 나감</v>
          </cell>
          <cell r="N313">
            <v>1780</v>
          </cell>
          <cell r="P313">
            <v>1780</v>
          </cell>
          <cell r="Q313" t="str">
            <v>done</v>
          </cell>
          <cell r="R313">
            <v>46009</v>
          </cell>
          <cell r="S313" t="str">
            <v>VILLA KOHA</v>
          </cell>
          <cell r="T313" t="str">
            <v>VILLA KOHA SH.P.K</v>
          </cell>
          <cell r="U313">
            <v>810039588</v>
          </cell>
          <cell r="V313" t="str">
            <v>383 49247777</v>
          </cell>
          <cell r="W313" t="str">
            <v>KOSOVO</v>
          </cell>
          <cell r="X313">
            <v>1455</v>
          </cell>
          <cell r="AB313">
            <v>1694</v>
          </cell>
          <cell r="AC313">
            <v>10016</v>
          </cell>
          <cell r="AD313">
            <v>1434</v>
          </cell>
          <cell r="AE313">
            <v>11450</v>
          </cell>
          <cell r="AF313">
            <v>11450</v>
          </cell>
        </row>
        <row r="314">
          <cell r="A314">
            <v>312</v>
          </cell>
          <cell r="B314">
            <v>46003</v>
          </cell>
          <cell r="C314" t="str">
            <v>VOLKSWAGENS GOLF</v>
          </cell>
          <cell r="D314" t="str">
            <v>VOLKSWAGENS</v>
          </cell>
          <cell r="E314" t="str">
            <v>GOLF</v>
          </cell>
          <cell r="G314" t="str">
            <v>68더6806</v>
          </cell>
          <cell r="H314" t="str">
            <v>WVWZZZ1KZCW010506</v>
          </cell>
          <cell r="I314">
            <v>46002</v>
          </cell>
          <cell r="J314" t="str">
            <v>경매장- AJ</v>
          </cell>
          <cell r="L314" t="str">
            <v>잔금</v>
          </cell>
          <cell r="N314">
            <v>325</v>
          </cell>
          <cell r="O314">
            <v>11</v>
          </cell>
          <cell r="P314">
            <v>336</v>
          </cell>
          <cell r="Q314" t="str">
            <v>done</v>
          </cell>
          <cell r="R314">
            <v>46009</v>
          </cell>
          <cell r="S314" t="str">
            <v xml:space="preserve">Andrea Kasa </v>
          </cell>
          <cell r="T314" t="str">
            <v xml:space="preserve">Andrea Kasa </v>
          </cell>
          <cell r="U314" t="str">
            <v>K30122016U</v>
          </cell>
          <cell r="V314" t="str">
            <v>355 69 746 2556</v>
          </cell>
          <cell r="W314" t="str">
            <v>Albania</v>
          </cell>
          <cell r="X314">
            <v>1458</v>
          </cell>
          <cell r="AB314">
            <v>1711</v>
          </cell>
          <cell r="AC314">
            <v>1927</v>
          </cell>
          <cell r="AD314">
            <v>1423</v>
          </cell>
          <cell r="AE314">
            <v>3350</v>
          </cell>
        </row>
        <row r="315">
          <cell r="A315">
            <v>313</v>
          </cell>
          <cell r="B315">
            <v>46003</v>
          </cell>
          <cell r="C315" t="str">
            <v>AUDI A6</v>
          </cell>
          <cell r="D315" t="str">
            <v>AUDI</v>
          </cell>
          <cell r="E315" t="str">
            <v>A6</v>
          </cell>
          <cell r="G315" t="str">
            <v>62구6051</v>
          </cell>
          <cell r="H315" t="str">
            <v xml:space="preserve">WAUZZZ4GXEN131338 </v>
          </cell>
          <cell r="I315">
            <v>46002</v>
          </cell>
          <cell r="J315" t="str">
            <v>경매장- AJ</v>
          </cell>
          <cell r="L315" t="str">
            <v>잔금</v>
          </cell>
          <cell r="N315">
            <v>750</v>
          </cell>
          <cell r="O315">
            <v>20</v>
          </cell>
          <cell r="P315">
            <v>770</v>
          </cell>
          <cell r="Q315" t="str">
            <v>done</v>
          </cell>
          <cell r="R315">
            <v>46009</v>
          </cell>
          <cell r="S315" t="str">
            <v xml:space="preserve">Andrea Kasa </v>
          </cell>
          <cell r="T315" t="str">
            <v>Olgert Preci</v>
          </cell>
          <cell r="U315" t="str">
            <v>K10818011C</v>
          </cell>
          <cell r="V315" t="str">
            <v>355 69 746 2556</v>
          </cell>
          <cell r="W315" t="str">
            <v>Albania</v>
          </cell>
          <cell r="X315">
            <v>1458</v>
          </cell>
          <cell r="AB315">
            <v>1711</v>
          </cell>
          <cell r="AC315">
            <v>4727</v>
          </cell>
          <cell r="AD315">
            <v>1423</v>
          </cell>
          <cell r="AE315">
            <v>6150</v>
          </cell>
          <cell r="AF315">
            <v>13150</v>
          </cell>
        </row>
        <row r="316">
          <cell r="A316">
            <v>314</v>
          </cell>
          <cell r="B316">
            <v>46003</v>
          </cell>
          <cell r="C316" t="str">
            <v>AUDI A6</v>
          </cell>
          <cell r="D316" t="str">
            <v>AUDI</v>
          </cell>
          <cell r="E316" t="str">
            <v>A6</v>
          </cell>
          <cell r="G316" t="str">
            <v>59어0450</v>
          </cell>
          <cell r="H316" t="str">
            <v>WAUZZZ4G3GN122354</v>
          </cell>
          <cell r="I316">
            <v>46003</v>
          </cell>
          <cell r="J316" t="str">
            <v>경매장- KCAR</v>
          </cell>
          <cell r="L316" t="str">
            <v>잔금</v>
          </cell>
          <cell r="N316">
            <v>1630</v>
          </cell>
          <cell r="O316">
            <v>40</v>
          </cell>
          <cell r="P316">
            <v>1670</v>
          </cell>
          <cell r="Q316" t="str">
            <v>done</v>
          </cell>
          <cell r="R316">
            <v>46009</v>
          </cell>
          <cell r="S316" t="str">
            <v>DONI</v>
          </cell>
          <cell r="T316" t="str">
            <v>DONI</v>
          </cell>
          <cell r="U316">
            <v>933682</v>
          </cell>
          <cell r="V316" t="str">
            <v>3 8 3 4 9 3 2 5 7 0 3</v>
          </cell>
          <cell r="W316" t="str">
            <v xml:space="preserve"> HYZRI TALLA OB 16 HY 1 NR 18
 Kosovë</v>
          </cell>
          <cell r="X316">
            <v>1458</v>
          </cell>
          <cell r="AB316">
            <v>1711</v>
          </cell>
          <cell r="AC316">
            <v>9367</v>
          </cell>
          <cell r="AD316">
            <v>1423</v>
          </cell>
          <cell r="AE316">
            <v>10790</v>
          </cell>
        </row>
        <row r="317">
          <cell r="A317">
            <v>315</v>
          </cell>
          <cell r="B317">
            <v>46003</v>
          </cell>
          <cell r="C317" t="str">
            <v>VOLKSWAGENS TIGUAN</v>
          </cell>
          <cell r="D317" t="str">
            <v>VOLKSWAGENS</v>
          </cell>
          <cell r="E317" t="str">
            <v>TIGUAN</v>
          </cell>
          <cell r="G317" t="str">
            <v>51모1397</v>
          </cell>
          <cell r="H317" t="str">
            <v>WVGZZZ5NZJW927969</v>
          </cell>
          <cell r="I317">
            <v>46006</v>
          </cell>
          <cell r="J317" t="str">
            <v>㈜무결정카모터스</v>
          </cell>
          <cell r="L317" t="str">
            <v>잔금</v>
          </cell>
          <cell r="M317" t="str">
            <v>50만원 대표님 계약</v>
          </cell>
          <cell r="N317">
            <v>1880</v>
          </cell>
          <cell r="P317">
            <v>1880</v>
          </cell>
          <cell r="Q317" t="str">
            <v>done</v>
          </cell>
          <cell r="R317">
            <v>46009</v>
          </cell>
          <cell r="S317" t="str">
            <v>Auto Posh SH.P.K</v>
          </cell>
          <cell r="T317" t="str">
            <v>Auto Posh SH.P.K</v>
          </cell>
          <cell r="U317">
            <v>812219427</v>
          </cell>
          <cell r="V317" t="str">
            <v>38345560145</v>
          </cell>
          <cell r="W317" t="str">
            <v xml:space="preserve"> Rruga Jakup Lami, Pn. Greme, Feriza</v>
          </cell>
          <cell r="X317">
            <v>1458</v>
          </cell>
          <cell r="AB317">
            <v>1711</v>
          </cell>
          <cell r="AC317">
            <v>10592</v>
          </cell>
          <cell r="AD317">
            <v>1508</v>
          </cell>
          <cell r="AE317">
            <v>12100</v>
          </cell>
        </row>
        <row r="318">
          <cell r="A318">
            <v>316</v>
          </cell>
          <cell r="B318">
            <v>46003</v>
          </cell>
          <cell r="C318" t="str">
            <v>AUDI Q8</v>
          </cell>
          <cell r="D318" t="str">
            <v>AUDI</v>
          </cell>
          <cell r="E318" t="str">
            <v>Q8</v>
          </cell>
          <cell r="G318" t="str">
            <v>193서6040</v>
          </cell>
          <cell r="H318" t="str">
            <v>WAUZZZF16MD005717</v>
          </cell>
          <cell r="I318">
            <v>46006</v>
          </cell>
          <cell r="J318" t="str">
            <v>㈜벙스카</v>
          </cell>
          <cell r="L318" t="str">
            <v>잔금</v>
          </cell>
          <cell r="M318" t="str">
            <v>50만원 대표님 계약</v>
          </cell>
          <cell r="N318">
            <v>5350</v>
          </cell>
          <cell r="P318">
            <v>5350</v>
          </cell>
          <cell r="Q318" t="str">
            <v>done</v>
          </cell>
          <cell r="R318">
            <v>46009</v>
          </cell>
          <cell r="S318" t="str">
            <v>R.S.h L.L.C.</v>
          </cell>
          <cell r="T318" t="str">
            <v>R.Sh L.L.C.</v>
          </cell>
          <cell r="U318">
            <v>812326016</v>
          </cell>
          <cell r="V318" t="str">
            <v>+383486 611 61</v>
          </cell>
          <cell r="W318" t="str">
            <v>Kosovo</v>
          </cell>
          <cell r="X318">
            <v>1458</v>
          </cell>
          <cell r="AB318">
            <v>1711</v>
          </cell>
          <cell r="AC318">
            <v>29906</v>
          </cell>
          <cell r="AD318">
            <v>1594</v>
          </cell>
          <cell r="AE318">
            <v>31500</v>
          </cell>
        </row>
        <row r="319">
          <cell r="A319">
            <v>317</v>
          </cell>
          <cell r="C319" t="str">
            <v>VOLKSWAGENS TIGUAN</v>
          </cell>
          <cell r="D319" t="str">
            <v>VOLKSWAGENS</v>
          </cell>
          <cell r="E319" t="str">
            <v>TIGUAN</v>
          </cell>
          <cell r="G319" t="str">
            <v>14오0961</v>
          </cell>
          <cell r="H319" t="str">
            <v>WVGZZZ5NZGW547848</v>
          </cell>
          <cell r="L319" t="str">
            <v>잔금</v>
          </cell>
          <cell r="P319">
            <v>0</v>
          </cell>
          <cell r="Q319" t="str">
            <v>stock</v>
          </cell>
          <cell r="R319" t="str">
            <v>stock</v>
          </cell>
          <cell r="S319" t="str">
            <v>R.S.h L.L.C.</v>
          </cell>
        </row>
        <row r="320">
          <cell r="A320">
            <v>318</v>
          </cell>
          <cell r="B320">
            <v>46006</v>
          </cell>
          <cell r="C320" t="str">
            <v>BENZ E220</v>
          </cell>
          <cell r="D320" t="str">
            <v>BENZ</v>
          </cell>
          <cell r="E320" t="str">
            <v>E220</v>
          </cell>
          <cell r="G320" t="str">
            <v>250수3937</v>
          </cell>
          <cell r="H320" t="str">
            <v>W1KZF0FBXLA762612</v>
          </cell>
          <cell r="I320">
            <v>46007</v>
          </cell>
          <cell r="J320" t="str">
            <v>(주)케이에스 모터스</v>
          </cell>
          <cell r="L320" t="str">
            <v>잔금</v>
          </cell>
          <cell r="M320" t="str">
            <v>50만원 대표님 계약</v>
          </cell>
          <cell r="N320">
            <v>2850</v>
          </cell>
          <cell r="P320">
            <v>2850</v>
          </cell>
          <cell r="Q320" t="str">
            <v>done</v>
          </cell>
          <cell r="R320">
            <v>46009</v>
          </cell>
          <cell r="S320" t="str">
            <v>Auto Posh SH.P.K</v>
          </cell>
          <cell r="T320" t="str">
            <v>Auto Posh SH.P.K</v>
          </cell>
          <cell r="U320">
            <v>812219427</v>
          </cell>
          <cell r="V320" t="str">
            <v>38345560145</v>
          </cell>
          <cell r="W320" t="str">
            <v xml:space="preserve"> Rruga Jakup Lami, Pn. Greme, Feriza</v>
          </cell>
          <cell r="X320">
            <v>1465</v>
          </cell>
          <cell r="AB320">
            <v>1718</v>
          </cell>
          <cell r="AC320">
            <v>15946</v>
          </cell>
          <cell r="AD320">
            <v>1424</v>
          </cell>
          <cell r="AE320">
            <v>17370</v>
          </cell>
        </row>
        <row r="321">
          <cell r="A321">
            <v>319</v>
          </cell>
          <cell r="B321">
            <v>46006</v>
          </cell>
          <cell r="C321" t="str">
            <v>RENAULT QM3</v>
          </cell>
          <cell r="D321" t="str">
            <v>RENAULT</v>
          </cell>
          <cell r="E321" t="str">
            <v>QM3</v>
          </cell>
          <cell r="G321" t="str">
            <v>19소0824</v>
          </cell>
          <cell r="H321" t="str">
            <v>VF12RGJ1DGW142805</v>
          </cell>
          <cell r="I321">
            <v>46007</v>
          </cell>
          <cell r="J321" t="str">
            <v xml:space="preserve">(주) 수원오토월드 </v>
          </cell>
          <cell r="L321" t="str">
            <v>잔금</v>
          </cell>
          <cell r="M321" t="str">
            <v>50만원 대표님 계약</v>
          </cell>
          <cell r="N321">
            <v>570</v>
          </cell>
          <cell r="P321">
            <v>570</v>
          </cell>
          <cell r="Q321" t="str">
            <v>done</v>
          </cell>
          <cell r="R321">
            <v>46009</v>
          </cell>
          <cell r="S321" t="str">
            <v>Auto Posh SH.P.K</v>
          </cell>
          <cell r="T321" t="str">
            <v>Auto Posh SH.P.K</v>
          </cell>
          <cell r="U321">
            <v>812219427</v>
          </cell>
          <cell r="V321" t="str">
            <v>38345560145</v>
          </cell>
          <cell r="W321" t="str">
            <v xml:space="preserve"> Rruga Jakup Lami, Pn. Greme, Feriza</v>
          </cell>
          <cell r="X321">
            <v>1465</v>
          </cell>
          <cell r="AB321">
            <v>1718</v>
          </cell>
          <cell r="AC321">
            <v>3326</v>
          </cell>
          <cell r="AD321">
            <v>1424</v>
          </cell>
          <cell r="AE321">
            <v>4750</v>
          </cell>
        </row>
        <row r="322">
          <cell r="A322">
            <v>320</v>
          </cell>
          <cell r="B322">
            <v>46006</v>
          </cell>
          <cell r="C322" t="str">
            <v>AUDI Q3</v>
          </cell>
          <cell r="D322" t="str">
            <v>AUDI</v>
          </cell>
          <cell r="E322" t="str">
            <v>Q3</v>
          </cell>
          <cell r="G322" t="str">
            <v>316서7494</v>
          </cell>
          <cell r="H322" t="str">
            <v>WAUZZZF31L1114099</v>
          </cell>
          <cell r="I322">
            <v>45996</v>
          </cell>
          <cell r="J322" t="str">
            <v>(주)엔어이치카</v>
          </cell>
          <cell r="L322" t="str">
            <v>잔금</v>
          </cell>
          <cell r="M322" t="str">
            <v>50만원 대표님 계약</v>
          </cell>
          <cell r="N322">
            <v>2806</v>
          </cell>
          <cell r="O322">
            <v>44</v>
          </cell>
          <cell r="P322">
            <v>2850</v>
          </cell>
          <cell r="Q322" t="str">
            <v>done</v>
          </cell>
          <cell r="R322">
            <v>46009</v>
          </cell>
          <cell r="S322" t="str">
            <v>Auto Posh SH.P.K</v>
          </cell>
          <cell r="T322" t="str">
            <v>Auto Posh SH.P.K</v>
          </cell>
          <cell r="U322">
            <v>812219427</v>
          </cell>
          <cell r="V322" t="str">
            <v>38345560145</v>
          </cell>
          <cell r="W322" t="str">
            <v xml:space="preserve"> Rruga Jakup Lami, Pn. Greme, Feriza</v>
          </cell>
          <cell r="X322">
            <v>1465</v>
          </cell>
          <cell r="AB322">
            <v>1718</v>
          </cell>
          <cell r="AC322">
            <v>15891</v>
          </cell>
          <cell r="AD322">
            <v>1509</v>
          </cell>
          <cell r="AE322">
            <v>17400</v>
          </cell>
        </row>
        <row r="323">
          <cell r="A323">
            <v>321</v>
          </cell>
          <cell r="B323">
            <v>46006</v>
          </cell>
          <cell r="C323" t="str">
            <v>BENZ S350</v>
          </cell>
          <cell r="D323" t="str">
            <v>BENZ</v>
          </cell>
          <cell r="E323" t="str">
            <v>S350</v>
          </cell>
          <cell r="G323" t="str">
            <v>192주8422</v>
          </cell>
          <cell r="H323" t="str">
            <v>WDDUG3CB9FA165548</v>
          </cell>
          <cell r="I323">
            <v>46007</v>
          </cell>
          <cell r="J323" t="str">
            <v>(주)빅보스모터스</v>
          </cell>
          <cell r="L323" t="str">
            <v>잔금</v>
          </cell>
          <cell r="M323" t="str">
            <v>50만원 대표님 계약</v>
          </cell>
          <cell r="N323">
            <v>2820</v>
          </cell>
          <cell r="P323">
            <v>2820</v>
          </cell>
          <cell r="Q323" t="str">
            <v>done</v>
          </cell>
          <cell r="R323">
            <v>46015</v>
          </cell>
          <cell r="S323" t="str">
            <v xml:space="preserve">Andrea Kasa </v>
          </cell>
          <cell r="T323" t="str">
            <v xml:space="preserve">Andrea Kasa </v>
          </cell>
          <cell r="U323" t="str">
            <v>K30122016U</v>
          </cell>
          <cell r="V323" t="str">
            <v>355 69 746 2556</v>
          </cell>
          <cell r="W323" t="str">
            <v>Albania</v>
          </cell>
          <cell r="X323">
            <v>1465</v>
          </cell>
          <cell r="AB323">
            <v>1718</v>
          </cell>
          <cell r="AC323">
            <v>15741</v>
          </cell>
          <cell r="AD323">
            <v>1509</v>
          </cell>
          <cell r="AE323">
            <v>17250</v>
          </cell>
          <cell r="AF323">
            <v>6945</v>
          </cell>
        </row>
        <row r="324">
          <cell r="A324">
            <v>322</v>
          </cell>
          <cell r="B324">
            <v>46006</v>
          </cell>
          <cell r="C324" t="str">
            <v xml:space="preserve">VOLKSWAGENS GOLF </v>
          </cell>
          <cell r="D324" t="str">
            <v>VOLKSWAGENS</v>
          </cell>
          <cell r="E324" t="str">
            <v xml:space="preserve">GOLF </v>
          </cell>
          <cell r="G324" t="str">
            <v>24소6999</v>
          </cell>
          <cell r="H324" t="str">
            <v>WVWZZZAUZFW124616</v>
          </cell>
          <cell r="I324">
            <v>46006</v>
          </cell>
          <cell r="J324" t="str">
            <v>(주) 지오하우스</v>
          </cell>
          <cell r="L324" t="str">
            <v>잔금</v>
          </cell>
          <cell r="M324" t="str">
            <v>50만원 대표님 계약</v>
          </cell>
          <cell r="N324">
            <v>990</v>
          </cell>
          <cell r="P324">
            <v>990</v>
          </cell>
          <cell r="Q324" t="str">
            <v>done</v>
          </cell>
          <cell r="R324">
            <v>46009</v>
          </cell>
          <cell r="S324" t="str">
            <v>AlphaWorldWide</v>
          </cell>
          <cell r="T324" t="str">
            <v>AlphaWorldWideAlbania</v>
          </cell>
          <cell r="U324" t="str">
            <v>SN-619176-11-19</v>
          </cell>
          <cell r="V324" t="str">
            <v>355 69223 3416</v>
          </cell>
          <cell r="W324" t="str">
            <v xml:space="preserve">Durres, Durres, DURRES, Lagjja nr.11, Rruga Bulevardi, me siperfaqe 30m2 </v>
          </cell>
          <cell r="X324">
            <v>1465</v>
          </cell>
          <cell r="AB324">
            <v>1718</v>
          </cell>
          <cell r="AC324">
            <v>5676</v>
          </cell>
          <cell r="AD324">
            <v>1424</v>
          </cell>
          <cell r="AE324">
            <v>7100</v>
          </cell>
          <cell r="AF324">
            <v>7100</v>
          </cell>
        </row>
        <row r="325">
          <cell r="A325">
            <v>323</v>
          </cell>
          <cell r="B325">
            <v>46006</v>
          </cell>
          <cell r="C325" t="str">
            <v>BENZ GLE 350 D 4MATIC COUPLE</v>
          </cell>
          <cell r="D325" t="str">
            <v>BENZ</v>
          </cell>
          <cell r="E325" t="str">
            <v>GLE 350 D 4MATIC COUPLE</v>
          </cell>
          <cell r="G325" t="str">
            <v>47나0387</v>
          </cell>
          <cell r="H325" t="str">
            <v>WDCED2EB9HA054851</v>
          </cell>
          <cell r="I325">
            <v>46008</v>
          </cell>
          <cell r="J325" t="str">
            <v>(주)안동사랑모터스</v>
          </cell>
          <cell r="L325" t="str">
            <v>잔금</v>
          </cell>
          <cell r="M325" t="str">
            <v>50만원 대표님 계약</v>
          </cell>
          <cell r="N325">
            <v>3300</v>
          </cell>
          <cell r="P325">
            <v>3300</v>
          </cell>
          <cell r="Q325" t="str">
            <v>done</v>
          </cell>
          <cell r="R325">
            <v>46015</v>
          </cell>
          <cell r="S325" t="str">
            <v>CALJA</v>
          </cell>
          <cell r="T325" t="str">
            <v>JETMIR LAME</v>
          </cell>
          <cell r="U325" t="str">
            <v>I80916039J</v>
          </cell>
          <cell r="V325" t="str">
            <v>355 69 550 5533</v>
          </cell>
          <cell r="W325" t="str">
            <v>Albania</v>
          </cell>
          <cell r="X325">
            <v>1465</v>
          </cell>
          <cell r="AB325">
            <v>1718</v>
          </cell>
          <cell r="AC325">
            <v>18455</v>
          </cell>
          <cell r="AD325">
            <v>1595</v>
          </cell>
          <cell r="AE325">
            <v>20050</v>
          </cell>
          <cell r="AF325">
            <v>22500</v>
          </cell>
        </row>
        <row r="326">
          <cell r="A326">
            <v>324</v>
          </cell>
          <cell r="B326">
            <v>46006</v>
          </cell>
          <cell r="C326" t="str">
            <v>BMW 520D</v>
          </cell>
          <cell r="D326" t="str">
            <v>BMW</v>
          </cell>
          <cell r="E326" t="str">
            <v>520D</v>
          </cell>
          <cell r="G326" t="str">
            <v>17라2434</v>
          </cell>
          <cell r="H326" t="str">
            <v>WBAFW1102AC642343</v>
          </cell>
          <cell r="I326">
            <v>46006</v>
          </cell>
          <cell r="J326" t="str">
            <v>(주)카팡</v>
          </cell>
          <cell r="L326" t="str">
            <v>잔금</v>
          </cell>
          <cell r="M326" t="str">
            <v>50만원 대표님 계약</v>
          </cell>
          <cell r="N326">
            <v>550</v>
          </cell>
          <cell r="O326">
            <v>44</v>
          </cell>
          <cell r="P326">
            <v>594</v>
          </cell>
          <cell r="Q326" t="str">
            <v>done</v>
          </cell>
          <cell r="R326">
            <v>46009</v>
          </cell>
          <cell r="S326" t="str">
            <v>RIZA</v>
          </cell>
          <cell r="T326" t="str">
            <v>Riza Qosja</v>
          </cell>
          <cell r="U326" t="str">
            <v>M33304205K</v>
          </cell>
          <cell r="V326" t="str">
            <v>355 682769063</v>
          </cell>
          <cell r="W326" t="str">
            <v>Albania</v>
          </cell>
          <cell r="X326">
            <v>1465</v>
          </cell>
          <cell r="AB326">
            <v>1718</v>
          </cell>
          <cell r="AC326">
            <v>3456</v>
          </cell>
          <cell r="AD326">
            <v>1424</v>
          </cell>
          <cell r="AE326">
            <v>4880</v>
          </cell>
          <cell r="AF326">
            <v>2880</v>
          </cell>
        </row>
        <row r="327">
          <cell r="A327">
            <v>325</v>
          </cell>
          <cell r="B327">
            <v>46006</v>
          </cell>
          <cell r="C327" t="str">
            <v>BENZ C220D</v>
          </cell>
          <cell r="D327" t="str">
            <v>BENZ</v>
          </cell>
          <cell r="E327" t="str">
            <v>C220D</v>
          </cell>
          <cell r="G327" t="str">
            <v>36마1129</v>
          </cell>
          <cell r="H327" t="str">
            <v>WDDWF1FB2KR467688</v>
          </cell>
          <cell r="I327">
            <v>46008</v>
          </cell>
          <cell r="J327" t="str">
            <v>㈜서진모터스</v>
          </cell>
          <cell r="L327" t="str">
            <v>잔금</v>
          </cell>
          <cell r="M327" t="str">
            <v>50만원 대표님 계약</v>
          </cell>
          <cell r="N327">
            <v>2390</v>
          </cell>
          <cell r="P327">
            <v>2390</v>
          </cell>
          <cell r="Q327" t="str">
            <v>done</v>
          </cell>
          <cell r="R327">
            <v>46015</v>
          </cell>
          <cell r="S327" t="str">
            <v>DONI</v>
          </cell>
          <cell r="T327" t="str">
            <v>DONI</v>
          </cell>
          <cell r="U327">
            <v>933682</v>
          </cell>
          <cell r="V327" t="str">
            <v>3 8 3 4 9 3 2 5 7 0 3</v>
          </cell>
          <cell r="W327" t="str">
            <v xml:space="preserve"> HYZRI TALLA OB 16 HY 1 NR 18
 Kosovë</v>
          </cell>
          <cell r="X327">
            <v>1463</v>
          </cell>
          <cell r="AB327">
            <v>1716</v>
          </cell>
          <cell r="AC327">
            <v>13316</v>
          </cell>
          <cell r="AD327">
            <v>1424</v>
          </cell>
          <cell r="AE327">
            <v>14740</v>
          </cell>
        </row>
        <row r="328">
          <cell r="A328">
            <v>326</v>
          </cell>
          <cell r="B328">
            <v>46006</v>
          </cell>
          <cell r="C328" t="str">
            <v>VOLVO  V40D3</v>
          </cell>
          <cell r="D328" t="str">
            <v xml:space="preserve">VOLVO </v>
          </cell>
          <cell r="E328" t="str">
            <v>V40D3</v>
          </cell>
          <cell r="G328" t="str">
            <v>40머0217</v>
          </cell>
          <cell r="H328" t="str">
            <v xml:space="preserve">YV1MV79K0G2274388 </v>
          </cell>
          <cell r="I328">
            <v>46007</v>
          </cell>
          <cell r="J328" t="str">
            <v>(주 공은모터스</v>
          </cell>
          <cell r="L328" t="str">
            <v>잔금</v>
          </cell>
          <cell r="M328" t="str">
            <v>50만원 대표님 계약</v>
          </cell>
          <cell r="N328">
            <v>774</v>
          </cell>
          <cell r="P328">
            <v>774</v>
          </cell>
          <cell r="Q328" t="str">
            <v>done</v>
          </cell>
          <cell r="R328">
            <v>46387</v>
          </cell>
          <cell r="S328" t="str">
            <v>Auto Posh SH.P.K</v>
          </cell>
          <cell r="T328" t="str">
            <v>Auto Posh SH.P.K</v>
          </cell>
          <cell r="U328">
            <v>812219427</v>
          </cell>
          <cell r="V328" t="str">
            <v>38345560145</v>
          </cell>
          <cell r="W328" t="str">
            <v xml:space="preserve"> Rruga Jakup Lami, Pn. Greme, Feriza</v>
          </cell>
          <cell r="X328">
            <v>1463</v>
          </cell>
          <cell r="AB328">
            <v>1716</v>
          </cell>
          <cell r="AC328">
            <v>4526</v>
          </cell>
          <cell r="AD328">
            <v>1424</v>
          </cell>
          <cell r="AE328">
            <v>5950</v>
          </cell>
        </row>
        <row r="329">
          <cell r="A329">
            <v>327</v>
          </cell>
          <cell r="B329">
            <v>46007</v>
          </cell>
          <cell r="C329" t="str">
            <v>RENAULT QM3</v>
          </cell>
          <cell r="D329" t="str">
            <v>RENAULT</v>
          </cell>
          <cell r="E329" t="str">
            <v>QM3</v>
          </cell>
          <cell r="G329" t="str">
            <v>64무3323</v>
          </cell>
          <cell r="H329" t="str">
            <v>VF12RGJ1DHW703398</v>
          </cell>
          <cell r="I329">
            <v>46009</v>
          </cell>
          <cell r="J329" t="str">
            <v>(주)킹카</v>
          </cell>
          <cell r="L329" t="str">
            <v>잔금</v>
          </cell>
          <cell r="M329" t="str">
            <v>50만원 대표님 계약</v>
          </cell>
          <cell r="N329">
            <v>650</v>
          </cell>
          <cell r="P329">
            <v>650</v>
          </cell>
          <cell r="Q329" t="str">
            <v>done</v>
          </cell>
          <cell r="R329">
            <v>46015</v>
          </cell>
          <cell r="S329" t="str">
            <v>Auto Posh SH.P.K</v>
          </cell>
          <cell r="T329" t="str">
            <v>Auto Posh SH.P.K</v>
          </cell>
          <cell r="U329">
            <v>812219427</v>
          </cell>
          <cell r="V329" t="str">
            <v>38345560145</v>
          </cell>
          <cell r="W329" t="str">
            <v xml:space="preserve"> Rruga Jakup Lami, Pn. Greme, Feriza</v>
          </cell>
          <cell r="X329">
            <v>1456</v>
          </cell>
          <cell r="AB329">
            <v>1710</v>
          </cell>
          <cell r="AC329">
            <v>3788</v>
          </cell>
          <cell r="AD329">
            <v>1422</v>
          </cell>
          <cell r="AE329">
            <v>5210</v>
          </cell>
        </row>
        <row r="330">
          <cell r="A330">
            <v>328</v>
          </cell>
          <cell r="B330">
            <v>46007</v>
          </cell>
          <cell r="C330" t="str">
            <v>BENZ E220</v>
          </cell>
          <cell r="D330" t="str">
            <v>BENZ</v>
          </cell>
          <cell r="E330" t="str">
            <v>E220</v>
          </cell>
          <cell r="G330" t="str">
            <v>42노0622</v>
          </cell>
          <cell r="H330" t="str">
            <v>WDDHF0AB3GB325344</v>
          </cell>
          <cell r="I330">
            <v>46009</v>
          </cell>
          <cell r="J330" t="str">
            <v>(주)에스오토</v>
          </cell>
          <cell r="L330" t="str">
            <v>잔금</v>
          </cell>
          <cell r="M330" t="str">
            <v>50만원 대표님 계약</v>
          </cell>
          <cell r="N330">
            <v>1000</v>
          </cell>
          <cell r="P330">
            <v>1000</v>
          </cell>
          <cell r="Q330" t="str">
            <v>done</v>
          </cell>
          <cell r="R330">
            <v>46015</v>
          </cell>
          <cell r="S330" t="str">
            <v>Auto Posh SH.P.K</v>
          </cell>
          <cell r="T330" t="str">
            <v>Auto Posh SH.P.K</v>
          </cell>
          <cell r="U330">
            <v>812219427</v>
          </cell>
          <cell r="V330" t="str">
            <v>38345560145</v>
          </cell>
          <cell r="W330" t="str">
            <v xml:space="preserve"> Rruga Jakup Lami, Pn. Greme, Feriza</v>
          </cell>
          <cell r="X330">
            <v>1456</v>
          </cell>
          <cell r="AB330">
            <v>1710</v>
          </cell>
          <cell r="AC330">
            <v>5718</v>
          </cell>
          <cell r="AD330">
            <v>1422</v>
          </cell>
          <cell r="AE330">
            <v>7140</v>
          </cell>
        </row>
        <row r="331">
          <cell r="A331">
            <v>329</v>
          </cell>
          <cell r="B331">
            <v>46007</v>
          </cell>
          <cell r="C331" t="str">
            <v>HYUNDAI I30</v>
          </cell>
          <cell r="D331" t="str">
            <v>HYUNDAI</v>
          </cell>
          <cell r="E331" t="str">
            <v>I30</v>
          </cell>
          <cell r="G331" t="str">
            <v>60우6352</v>
          </cell>
          <cell r="H331" t="str">
            <v>KMHH251AGHU001427</v>
          </cell>
          <cell r="I331">
            <v>46009</v>
          </cell>
          <cell r="J331" t="str">
            <v>(주)왕카</v>
          </cell>
          <cell r="L331" t="str">
            <v>잔금</v>
          </cell>
          <cell r="M331" t="str">
            <v>50만원 회사통장 나감</v>
          </cell>
          <cell r="N331">
            <v>676</v>
          </cell>
          <cell r="O331">
            <v>44</v>
          </cell>
          <cell r="P331">
            <v>720</v>
          </cell>
          <cell r="Q331" t="str">
            <v>done</v>
          </cell>
          <cell r="R331">
            <v>46015</v>
          </cell>
          <cell r="S331" t="str">
            <v>TAFA</v>
          </cell>
          <cell r="T331" t="str">
            <v>Bixhaka Adi</v>
          </cell>
          <cell r="U331" t="str">
            <v>J50829074L</v>
          </cell>
          <cell r="V331" t="str">
            <v>355 68 855 8026</v>
          </cell>
          <cell r="W331" t="str">
            <v>ALBANIA</v>
          </cell>
          <cell r="X331">
            <v>1456</v>
          </cell>
          <cell r="AB331">
            <v>1710</v>
          </cell>
          <cell r="AC331">
            <v>4168</v>
          </cell>
          <cell r="AD331">
            <v>1422</v>
          </cell>
          <cell r="AE331">
            <v>5590</v>
          </cell>
          <cell r="AF331">
            <v>5900</v>
          </cell>
        </row>
        <row r="332">
          <cell r="A332">
            <v>330</v>
          </cell>
          <cell r="B332">
            <v>46008</v>
          </cell>
          <cell r="C332" t="str">
            <v>VOLKSWAGENS PASSAT</v>
          </cell>
          <cell r="D332" t="str">
            <v>VOLKSWAGENS</v>
          </cell>
          <cell r="E332" t="str">
            <v>PASSAT</v>
          </cell>
          <cell r="G332" t="str">
            <v>14루4999</v>
          </cell>
          <cell r="H332" t="str">
            <v>1VWZZZA3ZFC090727</v>
          </cell>
          <cell r="I332">
            <v>46009</v>
          </cell>
          <cell r="L332" t="str">
            <v>잔금</v>
          </cell>
          <cell r="M332" t="str">
            <v>50만원 회사통장 나감</v>
          </cell>
          <cell r="N332">
            <v>624</v>
          </cell>
          <cell r="P332">
            <v>624</v>
          </cell>
          <cell r="Q332" t="str">
            <v>DONE</v>
          </cell>
          <cell r="R332">
            <v>46020</v>
          </cell>
          <cell r="S332" t="str">
            <v>AlphaWorldWide</v>
          </cell>
          <cell r="T332" t="str">
            <v>AlphaWorldWideAlbania</v>
          </cell>
          <cell r="U332" t="str">
            <v>SN-619176-11-19</v>
          </cell>
          <cell r="V332" t="str">
            <v>355 69223 3416</v>
          </cell>
          <cell r="W332" t="str">
            <v xml:space="preserve">Durres, Durres, DURRES, Lagjja nr.11, Rruga Bulevardi, me siperfaqe 30m2 </v>
          </cell>
          <cell r="X332">
            <v>1462</v>
          </cell>
          <cell r="AB332">
            <v>1717</v>
          </cell>
          <cell r="AC332">
            <v>3628</v>
          </cell>
          <cell r="AD332">
            <v>1422</v>
          </cell>
          <cell r="AE332">
            <v>5050</v>
          </cell>
          <cell r="AF332">
            <v>5050</v>
          </cell>
        </row>
        <row r="333">
          <cell r="A333">
            <v>331</v>
          </cell>
          <cell r="B333">
            <v>46008</v>
          </cell>
          <cell r="C333" t="str">
            <v>NISSAN JUKE</v>
          </cell>
          <cell r="D333" t="str">
            <v>NISSAN</v>
          </cell>
          <cell r="E333" t="str">
            <v>JUKE</v>
          </cell>
          <cell r="G333" t="str">
            <v>09거4077</v>
          </cell>
          <cell r="H333" t="str">
            <v>JN1AF58E6HT180503</v>
          </cell>
          <cell r="I333">
            <v>46010</v>
          </cell>
          <cell r="L333" t="str">
            <v>잔금</v>
          </cell>
          <cell r="M333" t="str">
            <v>50만원 대표님 계약</v>
          </cell>
          <cell r="N333">
            <v>800</v>
          </cell>
          <cell r="P333">
            <v>800</v>
          </cell>
          <cell r="Q333" t="str">
            <v>done</v>
          </cell>
          <cell r="R333">
            <v>46015</v>
          </cell>
          <cell r="S333" t="str">
            <v>R.S.h L.L.C.</v>
          </cell>
          <cell r="T333" t="str">
            <v>R.Sh L.L.C.</v>
          </cell>
          <cell r="U333">
            <v>812326016</v>
          </cell>
          <cell r="V333" t="str">
            <v>+383486 611 61</v>
          </cell>
          <cell r="W333" t="str">
            <v>Kosovo</v>
          </cell>
          <cell r="X333">
            <v>1462</v>
          </cell>
          <cell r="AB333">
            <v>1717</v>
          </cell>
          <cell r="AC333">
            <v>4778</v>
          </cell>
          <cell r="AD333">
            <v>1422</v>
          </cell>
          <cell r="AE333">
            <v>6200</v>
          </cell>
        </row>
        <row r="334">
          <cell r="A334">
            <v>332</v>
          </cell>
          <cell r="B334">
            <v>46008</v>
          </cell>
          <cell r="C334" t="str">
            <v>HYUNDAI TUCSON</v>
          </cell>
          <cell r="D334" t="str">
            <v>HYUNDAI</v>
          </cell>
          <cell r="E334" t="str">
            <v>TUCSON</v>
          </cell>
          <cell r="G334" t="str">
            <v>22저0736</v>
          </cell>
          <cell r="H334" t="str">
            <v>KMHJ381ABGU192657</v>
          </cell>
          <cell r="I334">
            <v>46009</v>
          </cell>
          <cell r="J334" t="str">
            <v>㈜에스에치 모터스</v>
          </cell>
          <cell r="L334" t="str">
            <v>잔금</v>
          </cell>
          <cell r="M334" t="str">
            <v>50만원 회사통장 나감</v>
          </cell>
          <cell r="N334">
            <v>1124</v>
          </cell>
          <cell r="P334">
            <v>1124</v>
          </cell>
          <cell r="Q334" t="str">
            <v>done</v>
          </cell>
          <cell r="R334">
            <v>46015</v>
          </cell>
          <cell r="S334" t="str">
            <v>CALJA</v>
          </cell>
          <cell r="T334" t="str">
            <v>Calja Marius</v>
          </cell>
          <cell r="U334" t="str">
            <v>I80916039J</v>
          </cell>
          <cell r="V334" t="str">
            <v>355 69 550 5533</v>
          </cell>
          <cell r="W334" t="str">
            <v>Albania</v>
          </cell>
          <cell r="X334">
            <v>1462</v>
          </cell>
          <cell r="AB334">
            <v>1717</v>
          </cell>
          <cell r="AC334">
            <v>6423</v>
          </cell>
          <cell r="AD334">
            <v>1507</v>
          </cell>
          <cell r="AE334">
            <v>7930</v>
          </cell>
          <cell r="AF334">
            <v>5000</v>
          </cell>
        </row>
        <row r="335">
          <cell r="A335">
            <v>333</v>
          </cell>
          <cell r="B335">
            <v>46008</v>
          </cell>
          <cell r="C335" t="str">
            <v>AUDI A8</v>
          </cell>
          <cell r="D335" t="str">
            <v>AUDI</v>
          </cell>
          <cell r="E335" t="str">
            <v>A8</v>
          </cell>
          <cell r="G335" t="str">
            <v>14더3148</v>
          </cell>
          <cell r="H335" t="str">
            <v>WAUZZZ4H0FN016578</v>
          </cell>
          <cell r="I335">
            <v>46013</v>
          </cell>
          <cell r="J335" t="str">
            <v>(주) 애니원모터스</v>
          </cell>
          <cell r="L335" t="str">
            <v>잔금</v>
          </cell>
          <cell r="M335" t="str">
            <v>50만원 회사통장 나감</v>
          </cell>
          <cell r="N335">
            <v>2020</v>
          </cell>
          <cell r="O335">
            <v>44</v>
          </cell>
          <cell r="P335">
            <v>2064</v>
          </cell>
          <cell r="Q335" t="str">
            <v>done</v>
          </cell>
          <cell r="R335">
            <v>46021</v>
          </cell>
          <cell r="S335" t="str">
            <v>REDON</v>
          </cell>
          <cell r="T335" t="str">
            <v>KRISTIAN XHIKA</v>
          </cell>
          <cell r="U335" t="str">
            <v>K61208011K</v>
          </cell>
          <cell r="V335" t="str">
            <v>389 636 5672</v>
          </cell>
          <cell r="W335" t="str">
            <v>Albania</v>
          </cell>
          <cell r="X335">
            <v>1462</v>
          </cell>
          <cell r="AB335">
            <v>1717</v>
          </cell>
          <cell r="AC335">
            <v>11523</v>
          </cell>
          <cell r="AD335">
            <v>1507</v>
          </cell>
          <cell r="AE335">
            <v>13030</v>
          </cell>
          <cell r="AF335">
            <v>14060</v>
          </cell>
        </row>
        <row r="336">
          <cell r="A336">
            <v>334</v>
          </cell>
          <cell r="B336">
            <v>46008</v>
          </cell>
          <cell r="C336" t="str">
            <v>BENZ E220</v>
          </cell>
          <cell r="D336" t="str">
            <v>BENZ</v>
          </cell>
          <cell r="E336" t="str">
            <v>E220</v>
          </cell>
          <cell r="F336">
            <v>2014</v>
          </cell>
          <cell r="G336" t="str">
            <v>28마6087</v>
          </cell>
          <cell r="H336" t="str">
            <v>WDDHF0CB7EA915868</v>
          </cell>
          <cell r="I336">
            <v>46010</v>
          </cell>
          <cell r="J336" t="str">
            <v>(주로또모터스</v>
          </cell>
          <cell r="L336" t="str">
            <v>잔금</v>
          </cell>
          <cell r="M336" t="str">
            <v>50만원 대표님 계약</v>
          </cell>
          <cell r="N336">
            <v>854</v>
          </cell>
          <cell r="P336">
            <v>854</v>
          </cell>
          <cell r="Q336" t="str">
            <v>done</v>
          </cell>
          <cell r="R336">
            <v>46015</v>
          </cell>
          <cell r="S336" t="str">
            <v>CALJA</v>
          </cell>
          <cell r="T336" t="str">
            <v>Calja Marius</v>
          </cell>
          <cell r="U336" t="str">
            <v>M43323203V</v>
          </cell>
          <cell r="V336" t="str">
            <v>355 69 550 5533</v>
          </cell>
          <cell r="W336" t="str">
            <v>Albania</v>
          </cell>
          <cell r="X336">
            <v>1462</v>
          </cell>
          <cell r="AB336">
            <v>1717</v>
          </cell>
          <cell r="AC336">
            <v>4898</v>
          </cell>
          <cell r="AD336">
            <v>1422</v>
          </cell>
          <cell r="AE336">
            <v>6320</v>
          </cell>
          <cell r="AF336">
            <v>4800</v>
          </cell>
        </row>
        <row r="337">
          <cell r="A337">
            <v>335</v>
          </cell>
          <cell r="B337">
            <v>46008</v>
          </cell>
          <cell r="C337" t="str">
            <v>AUDI A7 50 TDI quattro</v>
          </cell>
          <cell r="D337" t="str">
            <v>AUDI</v>
          </cell>
          <cell r="E337" t="str">
            <v>A7 50 TDI quattro</v>
          </cell>
          <cell r="F337">
            <v>2016</v>
          </cell>
          <cell r="G337" t="str">
            <v>299로2695</v>
          </cell>
          <cell r="H337" t="str">
            <v>WAUZZZ4GXGN173558</v>
          </cell>
          <cell r="I337">
            <v>46010</v>
          </cell>
          <cell r="J337" t="str">
            <v>(주)카베이</v>
          </cell>
          <cell r="L337" t="str">
            <v>잔금</v>
          </cell>
          <cell r="M337" t="str">
            <v>50만원 대표님 계약</v>
          </cell>
          <cell r="N337">
            <v>1636</v>
          </cell>
          <cell r="O337">
            <v>44</v>
          </cell>
          <cell r="P337">
            <v>1680</v>
          </cell>
          <cell r="Q337" t="str">
            <v>done</v>
          </cell>
          <cell r="R337">
            <v>46015</v>
          </cell>
          <cell r="S337" t="str">
            <v>ANDI</v>
          </cell>
          <cell r="T337" t="str">
            <v>ANDI OSMANLLARI</v>
          </cell>
          <cell r="U337" t="str">
            <v>J80217012Q</v>
          </cell>
          <cell r="V337" t="str">
            <v>355 69 367 4263</v>
          </cell>
          <cell r="W337" t="str">
            <v>Albania</v>
          </cell>
          <cell r="X337">
            <v>1462</v>
          </cell>
          <cell r="AB337">
            <v>1717</v>
          </cell>
          <cell r="AC337">
            <v>9368</v>
          </cell>
          <cell r="AD337">
            <v>1422</v>
          </cell>
          <cell r="AE337">
            <v>10790</v>
          </cell>
          <cell r="AF337" t="str">
            <v>6935/4000</v>
          </cell>
        </row>
        <row r="338">
          <cell r="A338">
            <v>336</v>
          </cell>
          <cell r="B338">
            <v>46008</v>
          </cell>
          <cell r="C338" t="str">
            <v>AUDI A7</v>
          </cell>
          <cell r="D338" t="str">
            <v>AUDI</v>
          </cell>
          <cell r="E338" t="str">
            <v>A7</v>
          </cell>
          <cell r="G338" t="str">
            <v>276모9560</v>
          </cell>
          <cell r="H338" t="str">
            <v>WAUZZZ4G5DN157019</v>
          </cell>
          <cell r="J338" t="str">
            <v>경매장- AJ</v>
          </cell>
          <cell r="L338" t="str">
            <v>잔금</v>
          </cell>
          <cell r="N338">
            <v>830</v>
          </cell>
          <cell r="O338">
            <v>22</v>
          </cell>
          <cell r="P338">
            <v>852</v>
          </cell>
          <cell r="Q338" t="str">
            <v>done</v>
          </cell>
          <cell r="R338">
            <v>46015</v>
          </cell>
          <cell r="S338" t="str">
            <v xml:space="preserve">Andrea Kasa </v>
          </cell>
          <cell r="T338" t="str">
            <v>MENDI UZUNI</v>
          </cell>
          <cell r="U338" t="str">
            <v>K51126010T</v>
          </cell>
          <cell r="V338" t="str">
            <v>355 69 746 2556</v>
          </cell>
          <cell r="W338" t="str">
            <v>Albania</v>
          </cell>
          <cell r="X338">
            <v>1462</v>
          </cell>
          <cell r="AB338">
            <v>1717</v>
          </cell>
          <cell r="AC338">
            <v>4968</v>
          </cell>
          <cell r="AD338">
            <v>1422</v>
          </cell>
          <cell r="AE338">
            <v>6390</v>
          </cell>
          <cell r="AF338">
            <v>7890</v>
          </cell>
        </row>
        <row r="339">
          <cell r="A339">
            <v>337</v>
          </cell>
          <cell r="B339">
            <v>46008</v>
          </cell>
          <cell r="C339" t="str">
            <v>AUDI A6</v>
          </cell>
          <cell r="D339" t="str">
            <v>AUDI</v>
          </cell>
          <cell r="E339" t="str">
            <v>A6</v>
          </cell>
          <cell r="G339" t="str">
            <v>27누0260</v>
          </cell>
          <cell r="H339" t="str">
            <v>WAUZZZ4G9GN051564</v>
          </cell>
          <cell r="J339" t="str">
            <v>경매장- AJ</v>
          </cell>
          <cell r="L339" t="str">
            <v>잔금</v>
          </cell>
          <cell r="N339">
            <v>1145</v>
          </cell>
          <cell r="O339">
            <v>29</v>
          </cell>
          <cell r="P339">
            <v>1174</v>
          </cell>
          <cell r="Q339" t="str">
            <v>done</v>
          </cell>
          <cell r="R339">
            <v>46387</v>
          </cell>
          <cell r="S339" t="str">
            <v>DONI</v>
          </cell>
          <cell r="T339" t="str">
            <v>DONI</v>
          </cell>
          <cell r="U339">
            <v>933682</v>
          </cell>
          <cell r="V339" t="str">
            <v>3 8 3 4 9 3 2 5 7 0 3</v>
          </cell>
          <cell r="W339" t="str">
            <v xml:space="preserve"> HYZRI TALLA OB 16 HY 1 NR 18
 Kosovë</v>
          </cell>
          <cell r="X339">
            <v>1462</v>
          </cell>
          <cell r="AB339">
            <v>1717</v>
          </cell>
          <cell r="AC339">
            <v>6598</v>
          </cell>
          <cell r="AD339">
            <v>1422</v>
          </cell>
          <cell r="AE339">
            <v>8020</v>
          </cell>
        </row>
        <row r="340">
          <cell r="A340">
            <v>338</v>
          </cell>
          <cell r="B340">
            <v>46008</v>
          </cell>
          <cell r="C340" t="str">
            <v>AUDI A4</v>
          </cell>
          <cell r="D340" t="str">
            <v>AUDI</v>
          </cell>
          <cell r="E340" t="str">
            <v>A4</v>
          </cell>
          <cell r="G340" t="str">
            <v>58러0180</v>
          </cell>
          <cell r="H340" t="str">
            <v>WAUZZZ8KXGN015543</v>
          </cell>
          <cell r="J340" t="str">
            <v>경매장- AJ</v>
          </cell>
          <cell r="L340" t="str">
            <v>잔금</v>
          </cell>
          <cell r="N340">
            <v>860</v>
          </cell>
          <cell r="O340">
            <v>22</v>
          </cell>
          <cell r="P340">
            <v>882</v>
          </cell>
          <cell r="Q340" t="str">
            <v>done</v>
          </cell>
          <cell r="R340">
            <v>46015</v>
          </cell>
          <cell r="S340" t="str">
            <v>DONI</v>
          </cell>
          <cell r="T340" t="str">
            <v>DONI</v>
          </cell>
          <cell r="U340">
            <v>933682</v>
          </cell>
          <cell r="V340" t="str">
            <v>3 8 3 4 9 3 2 5 7 0 3</v>
          </cell>
          <cell r="W340" t="str">
            <v xml:space="preserve"> HYZRI TALLA OB 16 HY 1 NR 18
 Kosovë</v>
          </cell>
          <cell r="X340">
            <v>1462</v>
          </cell>
          <cell r="AB340">
            <v>1717</v>
          </cell>
          <cell r="AC340">
            <v>5023</v>
          </cell>
          <cell r="AD340">
            <v>1422</v>
          </cell>
          <cell r="AE340">
            <v>6445</v>
          </cell>
        </row>
        <row r="341">
          <cell r="A341">
            <v>339</v>
          </cell>
          <cell r="B341">
            <v>46008</v>
          </cell>
          <cell r="C341" t="str">
            <v>Peugeot 2008 1.6 BlueHDi</v>
          </cell>
          <cell r="D341" t="str">
            <v>Peugeot</v>
          </cell>
          <cell r="E341" t="str">
            <v>2008 1.6 BlueHDi</v>
          </cell>
          <cell r="G341" t="str">
            <v>35주0752</v>
          </cell>
          <cell r="H341" t="str">
            <v xml:space="preserve">VF3CUBHYMGY004053 </v>
          </cell>
          <cell r="I341">
            <v>46015</v>
          </cell>
          <cell r="J341" t="str">
            <v>(주)명진모터스</v>
          </cell>
          <cell r="L341" t="str">
            <v>잔금</v>
          </cell>
          <cell r="M341" t="str">
            <v>50만원 회사통장 나감</v>
          </cell>
          <cell r="N341">
            <v>600</v>
          </cell>
          <cell r="P341">
            <v>600</v>
          </cell>
          <cell r="Q341" t="str">
            <v>done</v>
          </cell>
          <cell r="R341">
            <v>46021</v>
          </cell>
          <cell r="S341" t="str">
            <v>R.S.h L.L.C.</v>
          </cell>
          <cell r="T341" t="str">
            <v>R.Sh L.L.C.</v>
          </cell>
          <cell r="U341">
            <v>812326016</v>
          </cell>
          <cell r="V341" t="str">
            <v>+383486 611 61</v>
          </cell>
          <cell r="W341" t="str">
            <v>Kosovo</v>
          </cell>
          <cell r="X341">
            <v>1462</v>
          </cell>
          <cell r="AB341">
            <v>1717</v>
          </cell>
          <cell r="AC341">
            <v>3508</v>
          </cell>
          <cell r="AD341">
            <v>1422</v>
          </cell>
          <cell r="AE341">
            <v>4930</v>
          </cell>
          <cell r="AF341">
            <v>4930</v>
          </cell>
        </row>
        <row r="342">
          <cell r="A342">
            <v>340</v>
          </cell>
          <cell r="B342">
            <v>46008</v>
          </cell>
          <cell r="C342" t="str">
            <v>AUDI A6</v>
          </cell>
          <cell r="D342" t="str">
            <v>AUDI</v>
          </cell>
          <cell r="E342" t="str">
            <v>A6</v>
          </cell>
          <cell r="G342" t="str">
            <v>14루9732</v>
          </cell>
          <cell r="H342" t="str">
            <v>WAUZZZ4G0GN020591</v>
          </cell>
          <cell r="I342">
            <v>46010</v>
          </cell>
          <cell r="J342" t="str">
            <v>(주)엔터카</v>
          </cell>
          <cell r="L342" t="str">
            <v>잔금</v>
          </cell>
          <cell r="M342" t="str">
            <v>50만원 회사통장 나감</v>
          </cell>
          <cell r="N342">
            <v>1100</v>
          </cell>
          <cell r="P342">
            <v>1100</v>
          </cell>
          <cell r="Q342" t="str">
            <v>done</v>
          </cell>
          <cell r="R342">
            <v>46015</v>
          </cell>
          <cell r="S342" t="str">
            <v xml:space="preserve">Andrea Kasa </v>
          </cell>
          <cell r="T342" t="str">
            <v>Bernal Xhyra</v>
          </cell>
          <cell r="U342" t="str">
            <v>K30122016U</v>
          </cell>
          <cell r="V342" t="str">
            <v>355 69 746 2556</v>
          </cell>
          <cell r="W342" t="str">
            <v>Albania</v>
          </cell>
          <cell r="X342">
            <v>1462</v>
          </cell>
          <cell r="AB342">
            <v>1717</v>
          </cell>
          <cell r="AC342">
            <v>6188</v>
          </cell>
          <cell r="AD342">
            <v>1422</v>
          </cell>
          <cell r="AE342">
            <v>7610</v>
          </cell>
          <cell r="AF342">
            <v>8225</v>
          </cell>
        </row>
        <row r="343">
          <cell r="A343">
            <v>341</v>
          </cell>
          <cell r="B343">
            <v>46012</v>
          </cell>
          <cell r="C343" t="str">
            <v>BMW 520D</v>
          </cell>
          <cell r="D343" t="str">
            <v>BMW</v>
          </cell>
          <cell r="E343" t="str">
            <v>520D</v>
          </cell>
          <cell r="G343" t="str">
            <v>311저2734</v>
          </cell>
          <cell r="H343" t="str">
            <v>WBASES106GG202648</v>
          </cell>
          <cell r="I343">
            <v>46015</v>
          </cell>
          <cell r="J343" t="str">
            <v>(주)청구모터스</v>
          </cell>
          <cell r="L343" t="str">
            <v>잔금</v>
          </cell>
          <cell r="M343" t="str">
            <v>50만원 대표님 계약</v>
          </cell>
          <cell r="N343">
            <v>1420</v>
          </cell>
          <cell r="P343">
            <v>1420</v>
          </cell>
          <cell r="Q343" t="str">
            <v>done</v>
          </cell>
          <cell r="R343">
            <v>46021</v>
          </cell>
          <cell r="S343" t="str">
            <v>ALTIN</v>
          </cell>
          <cell r="T343" t="str">
            <v>ARIANA GASHI</v>
          </cell>
          <cell r="U343">
            <v>2128824</v>
          </cell>
          <cell r="V343" t="str">
            <v>386 49 442 554</v>
          </cell>
          <cell r="W343" t="str">
            <v>Kosovo</v>
          </cell>
          <cell r="X343">
            <v>1466</v>
          </cell>
          <cell r="AB343">
            <v>1718</v>
          </cell>
          <cell r="AC343">
            <v>7920</v>
          </cell>
          <cell r="AD343">
            <v>1425</v>
          </cell>
          <cell r="AE343">
            <v>9345</v>
          </cell>
          <cell r="AF343">
            <v>9345</v>
          </cell>
        </row>
        <row r="344">
          <cell r="A344">
            <v>342</v>
          </cell>
          <cell r="B344">
            <v>46012</v>
          </cell>
          <cell r="C344" t="str">
            <v>HYUNDAI SONATA</v>
          </cell>
          <cell r="D344" t="str">
            <v>HYUNDAI</v>
          </cell>
          <cell r="E344" t="str">
            <v>SONATA</v>
          </cell>
          <cell r="G344" t="str">
            <v>283버5318</v>
          </cell>
          <cell r="H344" t="str">
            <v xml:space="preserve">KMHE341DBFA115301 </v>
          </cell>
          <cell r="I344">
            <v>46015</v>
          </cell>
          <cell r="J344" t="str">
            <v>(주)에스앤케이모터스</v>
          </cell>
          <cell r="L344" t="str">
            <v>잔금</v>
          </cell>
          <cell r="M344" t="str">
            <v>50만원 대표님 계약</v>
          </cell>
          <cell r="N344">
            <v>834</v>
          </cell>
          <cell r="P344">
            <v>834</v>
          </cell>
          <cell r="Q344" t="str">
            <v>DONE</v>
          </cell>
          <cell r="R344">
            <v>46020</v>
          </cell>
          <cell r="S344" t="str">
            <v>RIZA</v>
          </cell>
          <cell r="T344" t="str">
            <v>XHENISA XHARJA</v>
          </cell>
          <cell r="U344" t="str">
            <v>K06229011E</v>
          </cell>
          <cell r="V344" t="str">
            <v>355 682769063</v>
          </cell>
          <cell r="W344" t="str">
            <v>Albania</v>
          </cell>
          <cell r="X344">
            <v>1466</v>
          </cell>
          <cell r="AB344">
            <v>1718</v>
          </cell>
          <cell r="AC344">
            <v>4775</v>
          </cell>
          <cell r="AD344">
            <v>1425</v>
          </cell>
          <cell r="AE344">
            <v>6200</v>
          </cell>
          <cell r="AF344">
            <v>6500</v>
          </cell>
        </row>
        <row r="345">
          <cell r="A345">
            <v>343</v>
          </cell>
          <cell r="B345">
            <v>46012</v>
          </cell>
          <cell r="C345" t="str">
            <v>BENZ GLA 200D</v>
          </cell>
          <cell r="D345" t="str">
            <v>BENZ</v>
          </cell>
          <cell r="E345" t="str">
            <v>GLA 200D</v>
          </cell>
          <cell r="G345" t="str">
            <v>02누3465</v>
          </cell>
          <cell r="H345" t="str">
            <v>WDCTG0JB4HJ313044</v>
          </cell>
          <cell r="I345">
            <v>46013</v>
          </cell>
          <cell r="J345" t="str">
            <v>(주) 시우자동차</v>
          </cell>
          <cell r="L345" t="str">
            <v>잔금</v>
          </cell>
          <cell r="M345" t="str">
            <v>50만원 대표님 계약</v>
          </cell>
          <cell r="N345">
            <v>1450</v>
          </cell>
          <cell r="P345">
            <v>1450</v>
          </cell>
          <cell r="Q345" t="str">
            <v>done</v>
          </cell>
          <cell r="R345">
            <v>46021</v>
          </cell>
          <cell r="S345" t="str">
            <v>R.S.h L.L.C.</v>
          </cell>
          <cell r="T345" t="str">
            <v>R.Sh L.L.C.</v>
          </cell>
          <cell r="U345">
            <v>812326016</v>
          </cell>
          <cell r="V345" t="str">
            <v>+383486 611 61</v>
          </cell>
          <cell r="W345" t="str">
            <v>Kosovo</v>
          </cell>
          <cell r="X345">
            <v>1466</v>
          </cell>
          <cell r="AB345">
            <v>1718</v>
          </cell>
          <cell r="AC345">
            <v>8090</v>
          </cell>
          <cell r="AD345">
            <v>1510</v>
          </cell>
          <cell r="AE345">
            <v>9600</v>
          </cell>
        </row>
        <row r="346">
          <cell r="A346">
            <v>344</v>
          </cell>
          <cell r="B346">
            <v>46012</v>
          </cell>
          <cell r="C346" t="str">
            <v>HYUNDAI TUCSON</v>
          </cell>
          <cell r="D346" t="str">
            <v>HYUNDAI</v>
          </cell>
          <cell r="E346" t="str">
            <v>TUCSON</v>
          </cell>
          <cell r="G346" t="str">
            <v>28도6565</v>
          </cell>
          <cell r="H346" t="str">
            <v>KMHJ3815GGU005200</v>
          </cell>
          <cell r="I346">
            <v>46013</v>
          </cell>
          <cell r="J346" t="str">
            <v>(주) 아인모터스</v>
          </cell>
          <cell r="L346" t="str">
            <v>잔금</v>
          </cell>
          <cell r="M346" t="str">
            <v>50만원 대표님 계약</v>
          </cell>
          <cell r="N346">
            <v>865</v>
          </cell>
          <cell r="P346">
            <v>865</v>
          </cell>
          <cell r="Q346" t="str">
            <v>done</v>
          </cell>
          <cell r="R346">
            <v>46387</v>
          </cell>
          <cell r="S346" t="str">
            <v>AlphaWorldWide</v>
          </cell>
          <cell r="T346" t="str">
            <v>AlphaWorldWideAlbania</v>
          </cell>
          <cell r="U346" t="str">
            <v>SN-619176-11-19</v>
          </cell>
          <cell r="V346" t="str">
            <v>355 69223 3416</v>
          </cell>
          <cell r="W346" t="str">
            <v xml:space="preserve">Durres, Durres, DURRES, Lagjja nr.11, Rruga Bulevardi, me siperfaqe 30m2 </v>
          </cell>
          <cell r="X346">
            <v>1466</v>
          </cell>
          <cell r="AB346">
            <v>1718</v>
          </cell>
          <cell r="AC346">
            <v>5020</v>
          </cell>
          <cell r="AD346">
            <v>1510</v>
          </cell>
          <cell r="AE346">
            <v>6530</v>
          </cell>
          <cell r="AF346">
            <v>6530</v>
          </cell>
        </row>
        <row r="347">
          <cell r="A347">
            <v>345</v>
          </cell>
          <cell r="B347">
            <v>46013</v>
          </cell>
          <cell r="C347" t="str">
            <v>BENZ E220</v>
          </cell>
          <cell r="D347" t="str">
            <v>BENZ</v>
          </cell>
          <cell r="E347" t="str">
            <v>E220</v>
          </cell>
          <cell r="G347" t="str">
            <v>12너5656</v>
          </cell>
          <cell r="H347" t="str">
            <v>WDD1J1EB3HF026057</v>
          </cell>
          <cell r="I347">
            <v>46015</v>
          </cell>
          <cell r="J347" t="str">
            <v>㈜ 빅보스모터스</v>
          </cell>
          <cell r="L347" t="str">
            <v>잔금</v>
          </cell>
          <cell r="M347" t="str">
            <v>100만원 회사통장 나감</v>
          </cell>
          <cell r="N347">
            <v>2150</v>
          </cell>
          <cell r="P347">
            <v>2150</v>
          </cell>
          <cell r="Q347" t="str">
            <v>done</v>
          </cell>
          <cell r="R347">
            <v>46021</v>
          </cell>
          <cell r="S347" t="str">
            <v>Ervin</v>
          </cell>
          <cell r="T347" t="str">
            <v>ADUELA SAKAJANI</v>
          </cell>
          <cell r="U347" t="str">
            <v>K35315032G</v>
          </cell>
          <cell r="V347" t="str">
            <v>355 67 69 41 777</v>
          </cell>
          <cell r="W347" t="str">
            <v>Albania</v>
          </cell>
          <cell r="X347">
            <v>1463</v>
          </cell>
          <cell r="AB347">
            <v>1713</v>
          </cell>
          <cell r="AC347">
            <v>11974</v>
          </cell>
          <cell r="AD347">
            <v>1426</v>
          </cell>
          <cell r="AE347">
            <v>13400</v>
          </cell>
          <cell r="AF347">
            <v>15200</v>
          </cell>
        </row>
        <row r="348">
          <cell r="A348">
            <v>346</v>
          </cell>
          <cell r="B348">
            <v>46013</v>
          </cell>
          <cell r="C348" t="str">
            <v>AUDI A8</v>
          </cell>
          <cell r="D348" t="str">
            <v>AUDI</v>
          </cell>
          <cell r="E348" t="str">
            <v>A8</v>
          </cell>
          <cell r="G348" t="str">
            <v>68가8892</v>
          </cell>
          <cell r="H348" t="str">
            <v>WAUZZZ4H0FN028584</v>
          </cell>
          <cell r="I348">
            <v>46024</v>
          </cell>
          <cell r="J348" t="str">
            <v>외부- 개인 매입: 김은모</v>
          </cell>
          <cell r="L348" t="str">
            <v>잔금</v>
          </cell>
          <cell r="M348" t="str">
            <v>50만원 대표님 계약</v>
          </cell>
          <cell r="N348">
            <v>1800</v>
          </cell>
          <cell r="P348">
            <v>1800</v>
          </cell>
          <cell r="Q348" t="str">
            <v>DONE</v>
          </cell>
          <cell r="R348">
            <v>46035</v>
          </cell>
          <cell r="S348" t="str">
            <v xml:space="preserve">EUROAUTO.AL </v>
          </cell>
          <cell r="T348" t="str">
            <v>Erion Gjergji</v>
          </cell>
          <cell r="U348" t="str">
            <v>I90516099R</v>
          </cell>
          <cell r="V348" t="str">
            <v>49 163 6979 099</v>
          </cell>
          <cell r="W348" t="str">
            <v>Albania</v>
          </cell>
          <cell r="X348">
            <v>1463</v>
          </cell>
          <cell r="AB348">
            <v>1713</v>
          </cell>
          <cell r="AC348">
            <v>10088</v>
          </cell>
          <cell r="AD348">
            <v>1512</v>
          </cell>
          <cell r="AE348">
            <v>11600</v>
          </cell>
          <cell r="AF348">
            <v>11600</v>
          </cell>
        </row>
        <row r="349">
          <cell r="A349">
            <v>347</v>
          </cell>
          <cell r="B349">
            <v>46013</v>
          </cell>
          <cell r="C349" t="str">
            <v>VOLKSWAGENS Jetta 2.0 TDI BMT Premium</v>
          </cell>
          <cell r="D349" t="str">
            <v>VOLKSWAGENS</v>
          </cell>
          <cell r="E349" t="str">
            <v>Jetta 2.0 TDI BMT Premium</v>
          </cell>
          <cell r="G349" t="str">
            <v>62소9504</v>
          </cell>
          <cell r="H349" t="str">
            <v>WVWZZZ16ZGM018842</v>
          </cell>
          <cell r="I349">
            <v>46017</v>
          </cell>
          <cell r="J349" t="str">
            <v>㈜선경모터스</v>
          </cell>
          <cell r="L349" t="str">
            <v>잔금</v>
          </cell>
          <cell r="M349" t="str">
            <v>50만원 대표님 계약</v>
          </cell>
          <cell r="N349">
            <v>750</v>
          </cell>
          <cell r="P349">
            <v>750</v>
          </cell>
          <cell r="Q349" t="str">
            <v>done</v>
          </cell>
          <cell r="R349">
            <v>46387</v>
          </cell>
          <cell r="S349" t="str">
            <v>Auto Posh SH.P.K</v>
          </cell>
          <cell r="T349" t="str">
            <v>Auto Posh SH.P.K</v>
          </cell>
          <cell r="U349">
            <v>812219427</v>
          </cell>
          <cell r="V349" t="str">
            <v>38345560145</v>
          </cell>
          <cell r="W349" t="str">
            <v xml:space="preserve"> Rruga Jakup Lami, Pn. Greme, Feriza</v>
          </cell>
          <cell r="X349">
            <v>1463</v>
          </cell>
          <cell r="AB349">
            <v>1713</v>
          </cell>
          <cell r="AC349">
            <v>4424</v>
          </cell>
          <cell r="AD349">
            <v>1426</v>
          </cell>
          <cell r="AE349">
            <v>5850</v>
          </cell>
        </row>
        <row r="350">
          <cell r="A350">
            <v>348</v>
          </cell>
          <cell r="B350">
            <v>46014</v>
          </cell>
          <cell r="C350" t="str">
            <v>BENZ E220</v>
          </cell>
          <cell r="D350" t="str">
            <v>BENZ</v>
          </cell>
          <cell r="E350" t="str">
            <v>E220</v>
          </cell>
          <cell r="F350">
            <v>2017</v>
          </cell>
          <cell r="G350" t="str">
            <v>237노8535</v>
          </cell>
          <cell r="H350" t="str">
            <v>WDDZF0EB7HA110085</v>
          </cell>
          <cell r="I350">
            <v>46017</v>
          </cell>
          <cell r="J350" t="str">
            <v>㈜해동자동차</v>
          </cell>
          <cell r="L350" t="str">
            <v>잔금</v>
          </cell>
          <cell r="M350" t="str">
            <v>50만원 회사통장 나감</v>
          </cell>
          <cell r="N350">
            <v>1716</v>
          </cell>
          <cell r="O350">
            <v>44</v>
          </cell>
          <cell r="P350">
            <v>1760</v>
          </cell>
          <cell r="Q350" t="str">
            <v>done</v>
          </cell>
          <cell r="R350">
            <v>46387</v>
          </cell>
          <cell r="S350" t="str">
            <v>CALJA</v>
          </cell>
          <cell r="T350" t="str">
            <v>Calja Marius</v>
          </cell>
          <cell r="U350" t="str">
            <v>M43323203V</v>
          </cell>
          <cell r="V350" t="str">
            <v>355 69 550 5533</v>
          </cell>
          <cell r="W350" t="str">
            <v>Albania</v>
          </cell>
          <cell r="X350">
            <v>1468</v>
          </cell>
          <cell r="AB350">
            <v>1728</v>
          </cell>
          <cell r="AC350">
            <v>9751</v>
          </cell>
          <cell r="AD350">
            <v>1419</v>
          </cell>
          <cell r="AE350">
            <v>11170</v>
          </cell>
          <cell r="AF350">
            <v>6800</v>
          </cell>
        </row>
        <row r="351">
          <cell r="A351">
            <v>349</v>
          </cell>
          <cell r="B351">
            <v>46014</v>
          </cell>
          <cell r="C351" t="str">
            <v>AUDI A6</v>
          </cell>
          <cell r="D351" t="str">
            <v>AUDI</v>
          </cell>
          <cell r="E351" t="str">
            <v>A6</v>
          </cell>
          <cell r="F351">
            <v>2016</v>
          </cell>
          <cell r="G351" t="str">
            <v>63러3197</v>
          </cell>
          <cell r="H351" t="str">
            <v>WAUZZZ4GXGN065098</v>
          </cell>
          <cell r="I351">
            <v>46037</v>
          </cell>
          <cell r="J351" t="str">
            <v>㈜ 차랑차랑</v>
          </cell>
          <cell r="L351" t="str">
            <v>잔금</v>
          </cell>
          <cell r="M351" t="str">
            <v>50만원 대표님 계약</v>
          </cell>
          <cell r="N351">
            <v>1110</v>
          </cell>
          <cell r="O351">
            <v>44</v>
          </cell>
          <cell r="P351">
            <v>1154</v>
          </cell>
          <cell r="Q351" t="str">
            <v>DONE</v>
          </cell>
          <cell r="R351">
            <v>46038</v>
          </cell>
          <cell r="S351" t="str">
            <v>REDON</v>
          </cell>
          <cell r="T351" t="str">
            <v>ALBERT AGO</v>
          </cell>
          <cell r="U351" t="str">
            <v>J50808025R</v>
          </cell>
          <cell r="V351" t="str">
            <v>389 636 5672</v>
          </cell>
          <cell r="W351" t="str">
            <v>Albania</v>
          </cell>
          <cell r="X351">
            <v>1468</v>
          </cell>
          <cell r="AB351">
            <v>1728</v>
          </cell>
          <cell r="AC351">
            <v>6451</v>
          </cell>
          <cell r="AD351">
            <v>1419</v>
          </cell>
          <cell r="AE351">
            <v>7870</v>
          </cell>
          <cell r="AF351" t="str">
            <v>7900  car price</v>
          </cell>
        </row>
        <row r="352">
          <cell r="A352">
            <v>350</v>
          </cell>
          <cell r="B352">
            <v>46014</v>
          </cell>
          <cell r="C352" t="str">
            <v>AUDI A6</v>
          </cell>
          <cell r="D352" t="str">
            <v>AUDI</v>
          </cell>
          <cell r="E352" t="str">
            <v>A6</v>
          </cell>
          <cell r="F352">
            <v>2016</v>
          </cell>
          <cell r="G352" t="str">
            <v>198러5393</v>
          </cell>
          <cell r="H352" t="str">
            <v>WAUZZZ4G0GN069483</v>
          </cell>
          <cell r="I352">
            <v>46024</v>
          </cell>
          <cell r="J352" t="str">
            <v>㈜로또모터스</v>
          </cell>
          <cell r="L352" t="str">
            <v>잔금</v>
          </cell>
          <cell r="M352" t="str">
            <v>50만원 대표님 계약</v>
          </cell>
          <cell r="N352">
            <v>1200</v>
          </cell>
          <cell r="P352">
            <v>1200</v>
          </cell>
          <cell r="Q352" t="str">
            <v>done</v>
          </cell>
          <cell r="R352">
            <v>46029</v>
          </cell>
          <cell r="S352" t="str">
            <v>Auto Posh SH.P.K</v>
          </cell>
          <cell r="T352" t="str">
            <v>Auto Posh SH.P.K</v>
          </cell>
          <cell r="U352">
            <v>812219427</v>
          </cell>
          <cell r="V352" t="str">
            <v>38345560145</v>
          </cell>
          <cell r="W352" t="str">
            <v xml:space="preserve"> Rruga Jakup Lami, Pn. Greme, Feriza</v>
          </cell>
          <cell r="X352">
            <v>1468</v>
          </cell>
          <cell r="AB352">
            <v>1728</v>
          </cell>
          <cell r="AC352">
            <v>6666</v>
          </cell>
          <cell r="AD352">
            <v>1419</v>
          </cell>
          <cell r="AE352">
            <v>8085</v>
          </cell>
        </row>
        <row r="353">
          <cell r="A353">
            <v>351</v>
          </cell>
          <cell r="B353">
            <v>46014</v>
          </cell>
          <cell r="C353" t="str">
            <v xml:space="preserve">AUDI Q5 45 </v>
          </cell>
          <cell r="D353" t="str">
            <v>AUDI</v>
          </cell>
          <cell r="E353" t="str">
            <v xml:space="preserve">Q5 45 </v>
          </cell>
          <cell r="F353">
            <v>2020</v>
          </cell>
          <cell r="G353" t="str">
            <v>141서9807</v>
          </cell>
          <cell r="H353" t="str">
            <v>WAUZZZFY2L2075853</v>
          </cell>
          <cell r="I353">
            <v>46024</v>
          </cell>
          <cell r="J353" t="str">
            <v>㈜참좋은모터스</v>
          </cell>
          <cell r="L353" t="str">
            <v>잔금</v>
          </cell>
          <cell r="M353" t="str">
            <v>50만원 대표님 계약</v>
          </cell>
          <cell r="N353">
            <v>2830</v>
          </cell>
          <cell r="P353">
            <v>2830</v>
          </cell>
          <cell r="Q353" t="str">
            <v>DONE</v>
          </cell>
          <cell r="R353">
            <v>46035</v>
          </cell>
          <cell r="S353" t="str">
            <v>Auto Posh SH.P.K</v>
          </cell>
          <cell r="T353" t="str">
            <v>Auto Posh SH.P.K</v>
          </cell>
          <cell r="U353">
            <v>812219427</v>
          </cell>
          <cell r="V353" t="str">
            <v>38345560145</v>
          </cell>
          <cell r="W353" t="str">
            <v xml:space="preserve"> Rruga Jakup Lami, Pn. Greme, Feriza</v>
          </cell>
          <cell r="X353">
            <v>1468</v>
          </cell>
          <cell r="AB353">
            <v>1728</v>
          </cell>
          <cell r="AC353">
            <v>15996</v>
          </cell>
          <cell r="AD353">
            <v>1504</v>
          </cell>
          <cell r="AE353">
            <v>17500</v>
          </cell>
        </row>
        <row r="354">
          <cell r="A354">
            <v>352</v>
          </cell>
          <cell r="B354">
            <v>46017</v>
          </cell>
          <cell r="C354" t="str">
            <v>AUDI A7</v>
          </cell>
          <cell r="D354" t="str">
            <v>AUDI</v>
          </cell>
          <cell r="E354" t="str">
            <v>A7</v>
          </cell>
          <cell r="F354">
            <v>2015</v>
          </cell>
          <cell r="G354" t="str">
            <v>206우3813</v>
          </cell>
          <cell r="H354" t="str">
            <v>WAUZZZ4GXFN009158</v>
          </cell>
          <cell r="I354">
            <v>46024</v>
          </cell>
          <cell r="J354" t="str">
            <v>(주)울트라모터스</v>
          </cell>
          <cell r="L354" t="str">
            <v>잔금</v>
          </cell>
          <cell r="M354" t="str">
            <v>50만원 대표님 계약</v>
          </cell>
          <cell r="N354">
            <v>1476</v>
          </cell>
          <cell r="O354">
            <v>44</v>
          </cell>
          <cell r="P354">
            <v>1520</v>
          </cell>
          <cell r="Q354" t="str">
            <v>done</v>
          </cell>
          <cell r="R354">
            <v>46029</v>
          </cell>
          <cell r="S354" t="str">
            <v>RIZA</v>
          </cell>
          <cell r="T354" t="str">
            <v>PRESTIGE RENT</v>
          </cell>
          <cell r="U354" t="str">
            <v>M56929203H</v>
          </cell>
          <cell r="V354" t="str">
            <v>355 682769063</v>
          </cell>
          <cell r="W354" t="str">
            <v>Albania</v>
          </cell>
          <cell r="X354">
            <v>1439</v>
          </cell>
          <cell r="AB354">
            <v>1696</v>
          </cell>
          <cell r="AC354">
            <v>8583</v>
          </cell>
          <cell r="AD354">
            <v>1417</v>
          </cell>
          <cell r="AE354">
            <v>10000</v>
          </cell>
          <cell r="AF354">
            <v>10500</v>
          </cell>
        </row>
        <row r="355">
          <cell r="A355">
            <v>353</v>
          </cell>
          <cell r="B355">
            <v>46017</v>
          </cell>
          <cell r="C355" t="str">
            <v>AUDI A4 35 TDI</v>
          </cell>
          <cell r="D355" t="str">
            <v>AUDI</v>
          </cell>
          <cell r="E355" t="str">
            <v>A4 35 TDI</v>
          </cell>
          <cell r="F355">
            <v>2018</v>
          </cell>
          <cell r="G355" t="str">
            <v>19러4011</v>
          </cell>
          <cell r="H355" t="str">
            <v>WAUZZZF47JA180291</v>
          </cell>
          <cell r="I355">
            <v>46024</v>
          </cell>
          <cell r="J355" t="str">
            <v>㈜뉴카카</v>
          </cell>
          <cell r="L355" t="str">
            <v>잔금</v>
          </cell>
          <cell r="M355" t="str">
            <v>50만원 대표님 계약</v>
          </cell>
          <cell r="N355">
            <v>2300</v>
          </cell>
          <cell r="P355">
            <v>2300</v>
          </cell>
          <cell r="Q355" t="str">
            <v>done</v>
          </cell>
          <cell r="R355">
            <v>46029</v>
          </cell>
          <cell r="S355" t="str">
            <v>DONI</v>
          </cell>
          <cell r="T355" t="str">
            <v>DONI</v>
          </cell>
          <cell r="U355">
            <v>933682</v>
          </cell>
          <cell r="V355" t="str">
            <v>3 8 3 4 9 3 2 5 7 0 3</v>
          </cell>
          <cell r="W355" t="str">
            <v xml:space="preserve"> HYZRI TALLA OB 16 HY 1 NR 18
 Kosovë</v>
          </cell>
          <cell r="X355">
            <v>1439</v>
          </cell>
          <cell r="AB355">
            <v>1696</v>
          </cell>
          <cell r="AC355">
            <v>13033</v>
          </cell>
          <cell r="AD355">
            <v>1417</v>
          </cell>
          <cell r="AE355">
            <v>14450</v>
          </cell>
          <cell r="AF355">
            <v>14950</v>
          </cell>
        </row>
        <row r="356">
          <cell r="A356">
            <v>354</v>
          </cell>
          <cell r="B356">
            <v>46017</v>
          </cell>
          <cell r="C356" t="str">
            <v>VOLKSWAGENS TIGUAN 2.0 TDI BLUE MOTION</v>
          </cell>
          <cell r="D356" t="str">
            <v>VOLKSWAGENS</v>
          </cell>
          <cell r="E356" t="str">
            <v>TIGUAN 2.0 TDI BLUE MOTION</v>
          </cell>
          <cell r="F356">
            <v>2015</v>
          </cell>
          <cell r="G356" t="str">
            <v>51누9592</v>
          </cell>
          <cell r="H356" t="str">
            <v>WVGZZZ5NZFW013835</v>
          </cell>
          <cell r="I356">
            <v>46024</v>
          </cell>
          <cell r="J356" t="str">
            <v>무결점카모터스</v>
          </cell>
          <cell r="L356" t="str">
            <v>잔금</v>
          </cell>
          <cell r="M356" t="str">
            <v>50만원 대표님 계약</v>
          </cell>
          <cell r="N356">
            <v>630</v>
          </cell>
          <cell r="P356">
            <v>630</v>
          </cell>
          <cell r="Q356" t="str">
            <v>done</v>
          </cell>
          <cell r="R356">
            <v>46029</v>
          </cell>
          <cell r="S356" t="str">
            <v>MILO</v>
          </cell>
          <cell r="T356" t="str">
            <v>XHELILI ADNAND</v>
          </cell>
          <cell r="U356" t="str">
            <v>J00208015K</v>
          </cell>
          <cell r="V356" t="str">
            <v>355 69 682 8331</v>
          </cell>
          <cell r="W356" t="str">
            <v>Albania</v>
          </cell>
          <cell r="X356">
            <v>1439</v>
          </cell>
          <cell r="AB356">
            <v>1696</v>
          </cell>
          <cell r="AC356">
            <v>3733</v>
          </cell>
          <cell r="AD356">
            <v>1502</v>
          </cell>
          <cell r="AE356">
            <v>5235</v>
          </cell>
          <cell r="AF356">
            <v>5235</v>
          </cell>
        </row>
        <row r="357">
          <cell r="A357">
            <v>355</v>
          </cell>
          <cell r="B357">
            <v>46017</v>
          </cell>
          <cell r="C357" t="str">
            <v>AUDI A4 2.0 TDI</v>
          </cell>
          <cell r="D357" t="str">
            <v>AUDI</v>
          </cell>
          <cell r="E357" t="str">
            <v>A4 2.0 TDI</v>
          </cell>
          <cell r="F357">
            <v>2014</v>
          </cell>
          <cell r="G357" t="str">
            <v>15두6745</v>
          </cell>
          <cell r="H357" t="str">
            <v>WAUZZZ8K6EN045345</v>
          </cell>
          <cell r="I357">
            <v>46024</v>
          </cell>
          <cell r="J357" t="str">
            <v>홍차</v>
          </cell>
          <cell r="L357" t="str">
            <v>잔금</v>
          </cell>
          <cell r="M357" t="str">
            <v>50만원 대표님 계약</v>
          </cell>
          <cell r="N357">
            <v>630</v>
          </cell>
          <cell r="P357">
            <v>630</v>
          </cell>
          <cell r="Q357" t="str">
            <v>done</v>
          </cell>
          <cell r="R357">
            <v>46030</v>
          </cell>
          <cell r="S357" t="str">
            <v>MILO</v>
          </cell>
          <cell r="T357" t="str">
            <v>XHELILI ADNAND</v>
          </cell>
          <cell r="U357" t="str">
            <v>J00208015K</v>
          </cell>
          <cell r="V357" t="str">
            <v>355 69 682 8331</v>
          </cell>
          <cell r="W357" t="str">
            <v>Albania</v>
          </cell>
          <cell r="X357">
            <v>1439</v>
          </cell>
          <cell r="AB357">
            <v>1696</v>
          </cell>
          <cell r="AC357">
            <v>3748</v>
          </cell>
          <cell r="AD357">
            <v>1417</v>
          </cell>
          <cell r="AE357">
            <v>5165</v>
          </cell>
          <cell r="AF357">
            <v>5165</v>
          </cell>
        </row>
        <row r="358">
          <cell r="A358">
            <v>356</v>
          </cell>
          <cell r="B358">
            <v>46019</v>
          </cell>
          <cell r="C358" t="str">
            <v>AUDI Q3</v>
          </cell>
          <cell r="D358" t="str">
            <v>AUDI</v>
          </cell>
          <cell r="E358" t="str">
            <v>Q3</v>
          </cell>
          <cell r="F358">
            <v>2020</v>
          </cell>
          <cell r="G358" t="str">
            <v>241누6657</v>
          </cell>
          <cell r="H358" t="str">
            <v xml:space="preserve">WAUZZZF3XL1086965 </v>
          </cell>
          <cell r="I358">
            <v>46027</v>
          </cell>
          <cell r="J358" t="str">
            <v>㈜용일상사</v>
          </cell>
          <cell r="L358" t="str">
            <v>잔금</v>
          </cell>
          <cell r="M358" t="str">
            <v>50만원 대표님 계약</v>
          </cell>
          <cell r="N358">
            <v>2520</v>
          </cell>
          <cell r="P358">
            <v>2520</v>
          </cell>
          <cell r="Q358" t="str">
            <v>done</v>
          </cell>
          <cell r="R358">
            <v>46030</v>
          </cell>
          <cell r="S358" t="str">
            <v>Auto Posh SH.P.K</v>
          </cell>
          <cell r="T358" t="str">
            <v>Auto Posh SH.P.K</v>
          </cell>
          <cell r="U358">
            <v>812219427</v>
          </cell>
          <cell r="V358" t="str">
            <v>38345560145</v>
          </cell>
          <cell r="W358" t="str">
            <v xml:space="preserve"> Rruga Jakup Lami, Pn. Greme, Feriza</v>
          </cell>
          <cell r="X358">
            <v>1431</v>
          </cell>
          <cell r="AB358">
            <v>1684</v>
          </cell>
          <cell r="AC358">
            <v>14196</v>
          </cell>
          <cell r="AD358">
            <v>1504</v>
          </cell>
          <cell r="AE358">
            <v>15700</v>
          </cell>
        </row>
        <row r="359">
          <cell r="A359">
            <v>357</v>
          </cell>
          <cell r="B359">
            <v>46019</v>
          </cell>
          <cell r="C359" t="str">
            <v>Peugeot 5008</v>
          </cell>
          <cell r="D359" t="str">
            <v>Peugeot</v>
          </cell>
          <cell r="E359">
            <v>5008</v>
          </cell>
          <cell r="F359">
            <v>2018</v>
          </cell>
          <cell r="G359" t="str">
            <v>02머1859</v>
          </cell>
          <cell r="H359" t="str">
            <v xml:space="preserve">VF3MJAHWWJL026646 </v>
          </cell>
          <cell r="I359">
            <v>46024</v>
          </cell>
          <cell r="J359" t="str">
            <v>신원모터스</v>
          </cell>
          <cell r="L359" t="str">
            <v>잔금</v>
          </cell>
          <cell r="M359" t="str">
            <v>50만원 대표님 계약</v>
          </cell>
          <cell r="N359">
            <v>1560</v>
          </cell>
          <cell r="P359">
            <v>1560</v>
          </cell>
          <cell r="Q359" t="str">
            <v>HEYMAN</v>
          </cell>
          <cell r="R359">
            <v>46029</v>
          </cell>
          <cell r="S359" t="str">
            <v>R.S.h L.L.C.</v>
          </cell>
          <cell r="T359" t="str">
            <v>R.Sh L.L.C.</v>
          </cell>
          <cell r="U359">
            <v>812326016</v>
          </cell>
          <cell r="V359" t="str">
            <v>+383486 611 61</v>
          </cell>
          <cell r="W359" t="str">
            <v>Kosovo</v>
          </cell>
          <cell r="X359">
            <v>1431</v>
          </cell>
          <cell r="AB359">
            <v>1684</v>
          </cell>
          <cell r="AC359">
            <v>8796</v>
          </cell>
          <cell r="AD359">
            <v>1504</v>
          </cell>
          <cell r="AE359">
            <v>10300</v>
          </cell>
          <cell r="AF359">
            <v>10360</v>
          </cell>
        </row>
        <row r="360">
          <cell r="A360">
            <v>358</v>
          </cell>
          <cell r="B360">
            <v>46019</v>
          </cell>
          <cell r="C360" t="str">
            <v>AUDI A6</v>
          </cell>
          <cell r="D360" t="str">
            <v>AUDI</v>
          </cell>
          <cell r="E360" t="str">
            <v>A6</v>
          </cell>
          <cell r="F360">
            <v>2016</v>
          </cell>
          <cell r="G360" t="str">
            <v>48구0738</v>
          </cell>
          <cell r="H360" t="str">
            <v xml:space="preserve">WAUZZZ4GXGN130533 </v>
          </cell>
          <cell r="I360">
            <v>46027</v>
          </cell>
          <cell r="J360" t="str">
            <v>(주) 이볼브오토모빌</v>
          </cell>
          <cell r="L360" t="str">
            <v>잔금</v>
          </cell>
          <cell r="M360" t="str">
            <v>50만원 대표님 계약</v>
          </cell>
          <cell r="N360">
            <v>1704</v>
          </cell>
          <cell r="P360">
            <v>1704</v>
          </cell>
          <cell r="Q360" t="str">
            <v>done</v>
          </cell>
          <cell r="R360">
            <v>46037</v>
          </cell>
          <cell r="S360" t="str">
            <v>DONI</v>
          </cell>
          <cell r="T360" t="str">
            <v>DONI</v>
          </cell>
          <cell r="U360">
            <v>933682</v>
          </cell>
          <cell r="V360" t="str">
            <v>3 8 3 4 9 3 2 5 7 0 3</v>
          </cell>
          <cell r="W360" t="str">
            <v xml:space="preserve"> HYZRI TALLA OB 16 HY 1 NR 18
 Kosovë</v>
          </cell>
          <cell r="X360">
            <v>1431</v>
          </cell>
          <cell r="AB360">
            <v>1684</v>
          </cell>
          <cell r="AC360">
            <v>9621</v>
          </cell>
          <cell r="AD360">
            <v>1419</v>
          </cell>
          <cell r="AE360">
            <v>11040</v>
          </cell>
          <cell r="AF360">
            <v>11450</v>
          </cell>
        </row>
        <row r="361">
          <cell r="A361">
            <v>359</v>
          </cell>
          <cell r="B361">
            <v>46019</v>
          </cell>
          <cell r="C361" t="str">
            <v>BENZ GLE350 d 4Matic Coupe</v>
          </cell>
          <cell r="D361" t="str">
            <v>BENZ</v>
          </cell>
          <cell r="E361" t="str">
            <v>GLE350 d 4Matic Coupe</v>
          </cell>
          <cell r="F361">
            <v>2017</v>
          </cell>
          <cell r="G361" t="str">
            <v>131머9022</v>
          </cell>
          <cell r="H361" t="str">
            <v xml:space="preserve">WDCED2EB6HA058114 </v>
          </cell>
          <cell r="I361">
            <v>46027</v>
          </cell>
          <cell r="J361" t="str">
            <v>인증모터스㈜</v>
          </cell>
          <cell r="L361" t="str">
            <v>잔금</v>
          </cell>
          <cell r="M361" t="str">
            <v>50만원 대표님 계약</v>
          </cell>
          <cell r="N361">
            <v>3300</v>
          </cell>
          <cell r="P361">
            <v>3300</v>
          </cell>
          <cell r="Q361" t="str">
            <v>DONE</v>
          </cell>
          <cell r="R361">
            <v>46035</v>
          </cell>
          <cell r="S361" t="str">
            <v>RIZA</v>
          </cell>
          <cell r="T361" t="str">
            <v>GENTJAN GOGA</v>
          </cell>
          <cell r="U361" t="str">
            <v>I60830065R</v>
          </cell>
          <cell r="V361" t="str">
            <v>355 682769063</v>
          </cell>
          <cell r="W361" t="str">
            <v>Albania</v>
          </cell>
          <cell r="X361">
            <v>1431</v>
          </cell>
          <cell r="AB361">
            <v>1684</v>
          </cell>
          <cell r="AC361">
            <v>18711</v>
          </cell>
          <cell r="AD361">
            <v>1589</v>
          </cell>
          <cell r="AE361">
            <v>20300</v>
          </cell>
          <cell r="AF361" t="str">
            <v>10000/11300</v>
          </cell>
        </row>
        <row r="362">
          <cell r="A362">
            <v>360</v>
          </cell>
          <cell r="B362">
            <v>46022</v>
          </cell>
          <cell r="C362" t="str">
            <v>BENZ GLC220 d 4Matic</v>
          </cell>
          <cell r="D362" t="str">
            <v>BENZ</v>
          </cell>
          <cell r="E362" t="str">
            <v>GLC220 d 4Matic</v>
          </cell>
          <cell r="G362" t="str">
            <v>60구1094</v>
          </cell>
          <cell r="H362" t="str">
            <v>WDC0G0FB0GF036535</v>
          </cell>
          <cell r="I362">
            <v>46028</v>
          </cell>
          <cell r="J362" t="str">
            <v>(주)앨비모터스</v>
          </cell>
          <cell r="L362" t="str">
            <v>잔금</v>
          </cell>
          <cell r="M362" t="str">
            <v>50만원 대표님 계약</v>
          </cell>
          <cell r="N362">
            <v>1530</v>
          </cell>
          <cell r="P362">
            <v>1530</v>
          </cell>
          <cell r="Q362" t="str">
            <v>DONE</v>
          </cell>
          <cell r="R362">
            <v>46035</v>
          </cell>
          <cell r="S362" t="str">
            <v>CALJA</v>
          </cell>
          <cell r="T362" t="str">
            <v>MARSEL OSMANLLARI</v>
          </cell>
          <cell r="U362" t="str">
            <v>I51001077K</v>
          </cell>
          <cell r="V362" t="str">
            <v>355 69 550 5533</v>
          </cell>
          <cell r="W362" t="str">
            <v>Albania</v>
          </cell>
          <cell r="X362">
            <v>1433</v>
          </cell>
          <cell r="AB362">
            <v>1683</v>
          </cell>
          <cell r="AC362">
            <v>8738</v>
          </cell>
          <cell r="AD362">
            <v>1592</v>
          </cell>
          <cell r="AE362">
            <v>10330</v>
          </cell>
          <cell r="AF362">
            <v>11445</v>
          </cell>
        </row>
        <row r="363">
          <cell r="A363">
            <v>361</v>
          </cell>
          <cell r="B363">
            <v>46022</v>
          </cell>
          <cell r="C363" t="str">
            <v>BENZ S350 BlueTEC L</v>
          </cell>
          <cell r="D363" t="str">
            <v>BENZ</v>
          </cell>
          <cell r="E363" t="str">
            <v>S350 BlueTEC L</v>
          </cell>
          <cell r="G363" t="str">
            <v>271너9223</v>
          </cell>
          <cell r="H363" t="str">
            <v>WDDUG3CB9EA017088</v>
          </cell>
          <cell r="I363">
            <v>46028</v>
          </cell>
          <cell r="J363" t="str">
            <v>(주) 스피드모터스</v>
          </cell>
          <cell r="L363" t="str">
            <v>잔금</v>
          </cell>
          <cell r="M363" t="str">
            <v>50만원 대표님 계약</v>
          </cell>
          <cell r="N363">
            <v>2950</v>
          </cell>
          <cell r="P363">
            <v>2950</v>
          </cell>
          <cell r="Q363" t="str">
            <v>DONE</v>
          </cell>
          <cell r="R363">
            <v>46035</v>
          </cell>
          <cell r="S363" t="str">
            <v>RIZA</v>
          </cell>
          <cell r="T363" t="str">
            <v>Erion Sina</v>
          </cell>
          <cell r="U363" t="str">
            <v>J10113014C</v>
          </cell>
          <cell r="V363" t="str">
            <v>355 682769063</v>
          </cell>
          <cell r="W363" t="str">
            <v>Albania</v>
          </cell>
          <cell r="X363">
            <v>1433</v>
          </cell>
          <cell r="AB363">
            <v>1683</v>
          </cell>
          <cell r="AC363">
            <v>16793</v>
          </cell>
          <cell r="AD363">
            <v>1507</v>
          </cell>
          <cell r="AE363">
            <v>18300</v>
          </cell>
          <cell r="AF363">
            <v>9900</v>
          </cell>
        </row>
        <row r="364">
          <cell r="A364">
            <v>362</v>
          </cell>
          <cell r="B364">
            <v>46022</v>
          </cell>
          <cell r="C364" t="str">
            <v>BENZ GLE350 d 4Matic Coupe</v>
          </cell>
          <cell r="D364" t="str">
            <v>BENZ</v>
          </cell>
          <cell r="E364" t="str">
            <v>GLE350 d 4Matic Coupe</v>
          </cell>
          <cell r="G364" t="str">
            <v>69다1112</v>
          </cell>
          <cell r="H364" t="str">
            <v>WDCED2EB4HA074019</v>
          </cell>
          <cell r="I364">
            <v>46027</v>
          </cell>
          <cell r="J364" t="str">
            <v>(주)스카이모터스</v>
          </cell>
          <cell r="L364" t="str">
            <v>잔금</v>
          </cell>
          <cell r="M364" t="str">
            <v>50만원 대표님 계약</v>
          </cell>
          <cell r="N364">
            <v>3046</v>
          </cell>
          <cell r="O364">
            <v>44</v>
          </cell>
          <cell r="P364">
            <v>3090</v>
          </cell>
          <cell r="Q364" t="str">
            <v>done</v>
          </cell>
          <cell r="R364">
            <v>46030</v>
          </cell>
          <cell r="S364" t="str">
            <v>CALJA</v>
          </cell>
          <cell r="T364" t="str">
            <v>FRANCI HALILAJ</v>
          </cell>
          <cell r="U364" t="str">
            <v>K11220035T</v>
          </cell>
          <cell r="V364" t="str">
            <v>355 69 550 5533</v>
          </cell>
          <cell r="W364" t="str">
            <v>Albania</v>
          </cell>
          <cell r="X364">
            <v>1433</v>
          </cell>
          <cell r="AB364">
            <v>1683</v>
          </cell>
          <cell r="AC364">
            <v>17478</v>
          </cell>
          <cell r="AD364">
            <v>1592</v>
          </cell>
          <cell r="AE364">
            <v>19070</v>
          </cell>
          <cell r="AF364">
            <v>4000</v>
          </cell>
        </row>
        <row r="365">
          <cell r="A365">
            <v>363</v>
          </cell>
          <cell r="B365">
            <v>46022</v>
          </cell>
          <cell r="C365" t="str">
            <v>BMW 520I</v>
          </cell>
          <cell r="D365" t="str">
            <v>BMW</v>
          </cell>
          <cell r="E365" t="str">
            <v>520I</v>
          </cell>
          <cell r="G365" t="str">
            <v>168루8434</v>
          </cell>
          <cell r="H365" t="str">
            <v>WBA21FJ01RCP41998</v>
          </cell>
          <cell r="I365">
            <v>46028</v>
          </cell>
          <cell r="J365" t="str">
            <v>㈜에스제이자동차매매</v>
          </cell>
          <cell r="L365" t="str">
            <v>잔금</v>
          </cell>
          <cell r="M365" t="str">
            <v>50만원 대표님 계약</v>
          </cell>
          <cell r="N365">
            <v>5220</v>
          </cell>
          <cell r="P365">
            <v>5220</v>
          </cell>
          <cell r="Q365" t="str">
            <v>DONE</v>
          </cell>
          <cell r="R365">
            <v>46035</v>
          </cell>
          <cell r="S365" t="str">
            <v>ATLAS GROUP SH.P.K</v>
          </cell>
          <cell r="T365" t="str">
            <v>ATLAS GROUP SH.P.K</v>
          </cell>
          <cell r="U365">
            <v>812137455</v>
          </cell>
          <cell r="V365" t="str">
            <v>+38348702207</v>
          </cell>
          <cell r="W365" t="str">
            <v>Xhelal Hajda, p.n. Rahovec</v>
          </cell>
          <cell r="X365">
            <v>1433</v>
          </cell>
          <cell r="AB365">
            <v>1683</v>
          </cell>
          <cell r="AC365">
            <v>29578</v>
          </cell>
          <cell r="AD365">
            <v>1422</v>
          </cell>
          <cell r="AE365">
            <v>31000</v>
          </cell>
          <cell r="AF365">
            <v>31000</v>
          </cell>
        </row>
        <row r="366">
          <cell r="A366">
            <v>364</v>
          </cell>
          <cell r="B366" t="str">
            <v>2026-01-04+B421H39B366:B399</v>
          </cell>
          <cell r="C366" t="str">
            <v>BMW M3</v>
          </cell>
          <cell r="D366" t="str">
            <v>BMW</v>
          </cell>
          <cell r="E366" t="str">
            <v>M3</v>
          </cell>
          <cell r="G366" t="str">
            <v>64저6415</v>
          </cell>
          <cell r="H366" t="str">
            <v>WBSWD91009P304198</v>
          </cell>
          <cell r="I366">
            <v>46029</v>
          </cell>
          <cell r="J366" t="str">
            <v>(주)우리들모터스</v>
          </cell>
          <cell r="L366" t="str">
            <v>잔금</v>
          </cell>
          <cell r="M366" t="str">
            <v>50만원 대표님 계약</v>
          </cell>
          <cell r="N366">
            <v>2900</v>
          </cell>
          <cell r="P366">
            <v>2900</v>
          </cell>
          <cell r="Q366" t="str">
            <v>germany</v>
          </cell>
          <cell r="R366">
            <v>46030</v>
          </cell>
          <cell r="S366" t="str">
            <v xml:space="preserve">DAX IMPORT 🇩🇪 </v>
          </cell>
          <cell r="T366" t="str">
            <v xml:space="preserve">Michael Karl  </v>
          </cell>
          <cell r="U366" t="str">
            <v>LF9N8WZ16</v>
          </cell>
          <cell r="V366" t="str">
            <v>‪+49 471 94189050‬</v>
          </cell>
          <cell r="W366" t="str">
            <v xml:space="preserve">Dorfstr,33C,(82024) Taufkirchen, Germany </v>
          </cell>
          <cell r="X366">
            <v>1433</v>
          </cell>
          <cell r="AB366">
            <v>1678</v>
          </cell>
          <cell r="AC366">
            <v>16670</v>
          </cell>
          <cell r="AD366">
            <v>1238</v>
          </cell>
          <cell r="AF366">
            <v>13050</v>
          </cell>
        </row>
        <row r="367">
          <cell r="A367">
            <v>365</v>
          </cell>
          <cell r="B367">
            <v>46026</v>
          </cell>
          <cell r="C367" t="str">
            <v>HYUNDAI TUCSON</v>
          </cell>
          <cell r="D367" t="str">
            <v>HYUNDAI</v>
          </cell>
          <cell r="E367" t="str">
            <v>TUCSON</v>
          </cell>
          <cell r="G367" t="str">
            <v>69머0807</v>
          </cell>
          <cell r="H367" t="str">
            <v>KMHJ2815GHU302057</v>
          </cell>
          <cell r="I367">
            <v>46028</v>
          </cell>
          <cell r="J367" t="str">
            <v>㈜골드문 모터스</v>
          </cell>
          <cell r="L367" t="str">
            <v>잔금</v>
          </cell>
          <cell r="M367" t="str">
            <v>50만원 대표님 계약</v>
          </cell>
          <cell r="N367">
            <v>930</v>
          </cell>
          <cell r="P367">
            <v>930</v>
          </cell>
          <cell r="Q367" t="str">
            <v>DONE</v>
          </cell>
          <cell r="R367">
            <v>46035</v>
          </cell>
          <cell r="S367" t="str">
            <v>CALJA</v>
          </cell>
          <cell r="T367" t="str">
            <v>TEQJA ERIND</v>
          </cell>
          <cell r="U367" t="str">
            <v>J80602013H</v>
          </cell>
          <cell r="V367" t="str">
            <v>355 69 550 5533</v>
          </cell>
          <cell r="W367" t="str">
            <v>Albania</v>
          </cell>
          <cell r="X367">
            <v>1433</v>
          </cell>
          <cell r="AB367">
            <v>1678</v>
          </cell>
          <cell r="AC367">
            <v>5438</v>
          </cell>
          <cell r="AD367">
            <v>1512</v>
          </cell>
          <cell r="AE367">
            <v>6950</v>
          </cell>
          <cell r="AF367">
            <v>7550</v>
          </cell>
        </row>
        <row r="368">
          <cell r="A368">
            <v>366</v>
          </cell>
          <cell r="B368">
            <v>46026</v>
          </cell>
          <cell r="C368" t="str">
            <v>VOLKSWAGENS TIGUAN</v>
          </cell>
          <cell r="D368" t="str">
            <v>VOLKSWAGENS</v>
          </cell>
          <cell r="E368" t="str">
            <v>TIGUAN</v>
          </cell>
          <cell r="G368" t="str">
            <v>26누5892</v>
          </cell>
          <cell r="H368" t="str">
            <v xml:space="preserve">WVGZZZ5NZJW964443 </v>
          </cell>
          <cell r="I368">
            <v>46028</v>
          </cell>
          <cell r="J368" t="str">
            <v>㈜ 차모터스</v>
          </cell>
          <cell r="L368" t="str">
            <v>잔금</v>
          </cell>
          <cell r="M368" t="str">
            <v>50만원 대표님 계약</v>
          </cell>
          <cell r="N368">
            <v>1750</v>
          </cell>
          <cell r="P368">
            <v>1750</v>
          </cell>
          <cell r="Q368" t="str">
            <v>DONE</v>
          </cell>
          <cell r="R368">
            <v>46035</v>
          </cell>
          <cell r="S368" t="str">
            <v>VILLA KOHA</v>
          </cell>
          <cell r="T368" t="str">
            <v>BUQUKU SHPK</v>
          </cell>
          <cell r="U368">
            <v>810196461</v>
          </cell>
          <cell r="V368" t="str">
            <v>386 49138853</v>
          </cell>
          <cell r="W368" t="str">
            <v>KOSOVO</v>
          </cell>
          <cell r="X368">
            <v>1433</v>
          </cell>
          <cell r="AB368">
            <v>1678</v>
          </cell>
          <cell r="AC368">
            <v>9958</v>
          </cell>
          <cell r="AD368">
            <v>1512</v>
          </cell>
          <cell r="AE368">
            <v>11470</v>
          </cell>
          <cell r="AF368">
            <v>13200</v>
          </cell>
        </row>
        <row r="369">
          <cell r="A369">
            <v>367</v>
          </cell>
          <cell r="B369">
            <v>46028</v>
          </cell>
          <cell r="C369" t="str">
            <v>BENZ C220</v>
          </cell>
          <cell r="D369" t="str">
            <v>BENZ</v>
          </cell>
          <cell r="E369" t="str">
            <v>C220</v>
          </cell>
          <cell r="G369" t="str">
            <v>11도1228</v>
          </cell>
          <cell r="H369" t="str">
            <v xml:space="preserve"> WDDWF0EB9GF222939</v>
          </cell>
          <cell r="I369">
            <v>46029</v>
          </cell>
          <cell r="J369" t="str">
            <v>365 자동차</v>
          </cell>
          <cell r="L369" t="str">
            <v>잔금</v>
          </cell>
          <cell r="M369" t="str">
            <v>50만원 대표님 계약</v>
          </cell>
          <cell r="N369">
            <v>1260</v>
          </cell>
          <cell r="P369">
            <v>1260</v>
          </cell>
          <cell r="Q369" t="str">
            <v>DONE</v>
          </cell>
          <cell r="R369">
            <v>46035</v>
          </cell>
          <cell r="S369" t="str">
            <v>CALJA</v>
          </cell>
          <cell r="T369" t="str">
            <v>MARSIDA HOXHALLI</v>
          </cell>
          <cell r="U369" t="str">
            <v>I76125063O</v>
          </cell>
          <cell r="V369" t="str">
            <v>355 69 550 5533</v>
          </cell>
          <cell r="W369" t="str">
            <v>Albania</v>
          </cell>
          <cell r="X369">
            <v>1433</v>
          </cell>
          <cell r="AB369">
            <v>1678</v>
          </cell>
          <cell r="AC369">
            <v>7219</v>
          </cell>
          <cell r="AD369">
            <v>1426</v>
          </cell>
          <cell r="AE369">
            <v>8645</v>
          </cell>
          <cell r="AF369">
            <v>9545</v>
          </cell>
        </row>
        <row r="370">
          <cell r="A370">
            <v>368</v>
          </cell>
          <cell r="B370">
            <v>46028</v>
          </cell>
          <cell r="C370" t="str">
            <v>HYUNDAI TUCSON</v>
          </cell>
          <cell r="D370" t="str">
            <v>HYUNDAI</v>
          </cell>
          <cell r="E370" t="str">
            <v>TUCSON</v>
          </cell>
          <cell r="G370" t="str">
            <v>19거2944</v>
          </cell>
          <cell r="H370" t="str">
            <v>KMHJ381ABGU057836</v>
          </cell>
          <cell r="I370">
            <v>46034</v>
          </cell>
          <cell r="J370" t="str">
            <v>㈜ 디엘모터스</v>
          </cell>
          <cell r="L370" t="str">
            <v>잔금</v>
          </cell>
          <cell r="M370" t="str">
            <v>50만원 대표님 계약</v>
          </cell>
          <cell r="N370">
            <v>1124</v>
          </cell>
          <cell r="P370">
            <v>1124</v>
          </cell>
          <cell r="Q370" t="str">
            <v>done</v>
          </cell>
          <cell r="R370">
            <v>46037</v>
          </cell>
          <cell r="S370" t="str">
            <v>CALJA</v>
          </cell>
          <cell r="T370" t="str">
            <v>ENVER PEPETO</v>
          </cell>
          <cell r="U370" t="str">
            <v>I70705078N</v>
          </cell>
          <cell r="V370" t="str">
            <v>355 69 550 5533</v>
          </cell>
          <cell r="W370" t="str">
            <v>Albania</v>
          </cell>
          <cell r="X370">
            <v>1433</v>
          </cell>
          <cell r="AB370">
            <v>1678</v>
          </cell>
          <cell r="AC370">
            <v>6469</v>
          </cell>
          <cell r="AD370">
            <v>1511</v>
          </cell>
          <cell r="AE370">
            <v>7980</v>
          </cell>
          <cell r="AF370">
            <v>8180</v>
          </cell>
        </row>
        <row r="371">
          <cell r="A371">
            <v>369</v>
          </cell>
          <cell r="B371">
            <v>46028</v>
          </cell>
          <cell r="C371" t="str">
            <v>VOLKSWAGENS TIGUAN</v>
          </cell>
          <cell r="D371" t="str">
            <v>VOLKSWAGENS</v>
          </cell>
          <cell r="E371" t="str">
            <v>TIGUAN</v>
          </cell>
          <cell r="G371" t="str">
            <v>33라4830</v>
          </cell>
          <cell r="H371" t="str">
            <v>WVGZZZ5NZJW916532</v>
          </cell>
          <cell r="I371">
            <v>46029</v>
          </cell>
          <cell r="J371" t="str">
            <v>㈜에스제이 모터스</v>
          </cell>
          <cell r="L371" t="str">
            <v>잔금</v>
          </cell>
          <cell r="M371" t="str">
            <v>50만원 대표님 계약</v>
          </cell>
          <cell r="N371">
            <v>1744</v>
          </cell>
          <cell r="P371">
            <v>1744</v>
          </cell>
          <cell r="Q371" t="str">
            <v>done</v>
          </cell>
          <cell r="R371">
            <v>46038</v>
          </cell>
          <cell r="S371" t="str">
            <v>Auto Posh SH.P.K</v>
          </cell>
          <cell r="T371" t="str">
            <v>Auto Posh SH.P.K</v>
          </cell>
          <cell r="U371">
            <v>812219427</v>
          </cell>
          <cell r="V371" t="str">
            <v>38345560145</v>
          </cell>
          <cell r="W371" t="str">
            <v xml:space="preserve"> Rruga Jakup Lami, Pn. Greme, Feriza</v>
          </cell>
          <cell r="X371">
            <v>1433</v>
          </cell>
          <cell r="AB371">
            <v>1678</v>
          </cell>
          <cell r="AC371">
            <v>9959</v>
          </cell>
          <cell r="AD371">
            <v>1511</v>
          </cell>
          <cell r="AE371">
            <v>11470</v>
          </cell>
        </row>
        <row r="372">
          <cell r="A372">
            <v>370</v>
          </cell>
          <cell r="B372">
            <v>46029</v>
          </cell>
          <cell r="C372" t="str">
            <v>AUDI Q5</v>
          </cell>
          <cell r="D372" t="str">
            <v>AUDI</v>
          </cell>
          <cell r="E372" t="str">
            <v>Q5</v>
          </cell>
          <cell r="G372" t="str">
            <v>10저0430</v>
          </cell>
          <cell r="H372" t="str">
            <v>WAUZZZ8R4GA040765</v>
          </cell>
          <cell r="I372">
            <v>46034</v>
          </cell>
          <cell r="J372" t="str">
            <v>㈜알차미노베이션</v>
          </cell>
          <cell r="L372" t="str">
            <v>잔금</v>
          </cell>
          <cell r="M372" t="str">
            <v>50만원 회사통장 나감</v>
          </cell>
          <cell r="N372">
            <v>1550</v>
          </cell>
          <cell r="P372">
            <v>1550</v>
          </cell>
          <cell r="Q372" t="str">
            <v>both</v>
          </cell>
          <cell r="R372">
            <v>46035</v>
          </cell>
          <cell r="S372" t="str">
            <v>DONI</v>
          </cell>
          <cell r="T372" t="str">
            <v>DONI</v>
          </cell>
          <cell r="U372">
            <v>933682</v>
          </cell>
          <cell r="V372" t="str">
            <v>3 8 3 4 9 3 2 5 7 0 3</v>
          </cell>
          <cell r="W372" t="str">
            <v xml:space="preserve"> HYZRI TALLA OB 16 HY 1 NR 18
 Kosovë</v>
          </cell>
          <cell r="X372">
            <v>1435</v>
          </cell>
          <cell r="AB372">
            <v>1676</v>
          </cell>
          <cell r="AC372">
            <v>8854</v>
          </cell>
          <cell r="AD372">
            <v>1516</v>
          </cell>
          <cell r="AE372">
            <v>10370</v>
          </cell>
        </row>
        <row r="373">
          <cell r="A373">
            <v>371</v>
          </cell>
          <cell r="B373">
            <v>46029</v>
          </cell>
          <cell r="C373" t="str">
            <v>KIA CARNIVAL</v>
          </cell>
          <cell r="D373" t="str">
            <v>KIA</v>
          </cell>
          <cell r="E373" t="str">
            <v>CARNIVAL</v>
          </cell>
          <cell r="G373" t="str">
            <v>79모0831</v>
          </cell>
          <cell r="H373" t="str">
            <v xml:space="preserve">KNHMF37ABHS290047  </v>
          </cell>
          <cell r="I373">
            <v>46034</v>
          </cell>
          <cell r="J373" t="str">
            <v>㈜명진모터스</v>
          </cell>
          <cell r="L373" t="str">
            <v>잔금</v>
          </cell>
          <cell r="M373" t="str">
            <v>50만원 대표님 계약</v>
          </cell>
          <cell r="N373">
            <v>830</v>
          </cell>
          <cell r="P373">
            <v>830</v>
          </cell>
          <cell r="Q373" t="str">
            <v>both</v>
          </cell>
          <cell r="R373">
            <v>46038</v>
          </cell>
          <cell r="S373" t="str">
            <v>VILLA KOHA</v>
          </cell>
          <cell r="T373" t="str">
            <v>VILLA KOHA SH.P.K</v>
          </cell>
          <cell r="U373">
            <v>810039588</v>
          </cell>
          <cell r="V373" t="str">
            <v>383 49247777</v>
          </cell>
          <cell r="W373" t="str">
            <v>KOSOVO</v>
          </cell>
          <cell r="X373">
            <v>1435</v>
          </cell>
          <cell r="AB373">
            <v>1676</v>
          </cell>
          <cell r="AC373">
            <v>4849</v>
          </cell>
          <cell r="AD373">
            <v>1601</v>
          </cell>
          <cell r="AE373">
            <v>6450</v>
          </cell>
          <cell r="AF373">
            <v>6450</v>
          </cell>
        </row>
        <row r="374">
          <cell r="A374">
            <v>372</v>
          </cell>
          <cell r="B374">
            <v>46029</v>
          </cell>
          <cell r="C374" t="str">
            <v>AUDI A4</v>
          </cell>
          <cell r="D374" t="str">
            <v>AUDI</v>
          </cell>
          <cell r="E374" t="str">
            <v>A4</v>
          </cell>
          <cell r="G374" t="str">
            <v>26나1814</v>
          </cell>
          <cell r="H374" t="str">
            <v xml:space="preserve">  WAUZZZF45JA167491</v>
          </cell>
          <cell r="I374">
            <v>46034</v>
          </cell>
          <cell r="J374" t="str">
            <v>㈜정우5호점</v>
          </cell>
          <cell r="L374" t="str">
            <v>잔금</v>
          </cell>
          <cell r="M374" t="str">
            <v>50만원 회사통장 나감</v>
          </cell>
          <cell r="N374">
            <v>1870</v>
          </cell>
          <cell r="P374">
            <v>1870</v>
          </cell>
          <cell r="Q374" t="str">
            <v>done</v>
          </cell>
          <cell r="R374">
            <v>46037</v>
          </cell>
          <cell r="S374" t="str">
            <v>DONI</v>
          </cell>
          <cell r="T374" t="str">
            <v>DONI</v>
          </cell>
          <cell r="U374">
            <v>933682</v>
          </cell>
          <cell r="V374" t="str">
            <v>3 8 3 4 9 3 2 5 7 0 3</v>
          </cell>
          <cell r="W374" t="str">
            <v xml:space="preserve"> HYZRI TALLA OB 16 HY 1 NR 18
 Kosovë</v>
          </cell>
          <cell r="X374">
            <v>1435</v>
          </cell>
          <cell r="AB374">
            <v>1676</v>
          </cell>
          <cell r="AC374">
            <v>10680</v>
          </cell>
          <cell r="AD374">
            <v>1430</v>
          </cell>
          <cell r="AE374">
            <v>12110</v>
          </cell>
        </row>
        <row r="375">
          <cell r="A375">
            <v>373</v>
          </cell>
          <cell r="B375">
            <v>46029</v>
          </cell>
          <cell r="C375" t="str">
            <v>KIA SPORTAGE</v>
          </cell>
          <cell r="D375" t="str">
            <v>KIA</v>
          </cell>
          <cell r="E375" t="str">
            <v>SPORTAGE</v>
          </cell>
          <cell r="G375" t="str">
            <v>53나0696</v>
          </cell>
          <cell r="H375" t="str">
            <v>KNAPL813BGK143647</v>
          </cell>
          <cell r="I375">
            <v>46031</v>
          </cell>
          <cell r="J375" t="str">
            <v>개인매입-김논자</v>
          </cell>
          <cell r="K375" t="str">
            <v>AHSHIN</v>
          </cell>
          <cell r="L375" t="str">
            <v>잔금</v>
          </cell>
          <cell r="M375" t="str">
            <v>50만원 회사통장 나감</v>
          </cell>
          <cell r="N375">
            <v>730</v>
          </cell>
          <cell r="P375">
            <v>730</v>
          </cell>
          <cell r="Q375" t="str">
            <v>HEYMAN</v>
          </cell>
          <cell r="R375">
            <v>46037</v>
          </cell>
          <cell r="S375" t="str">
            <v>R.S.h L.L.C.</v>
          </cell>
          <cell r="T375" t="str">
            <v>R.Sh L.L.C.</v>
          </cell>
          <cell r="U375">
            <v>812326016</v>
          </cell>
          <cell r="V375" t="str">
            <v>+383486 611 61</v>
          </cell>
          <cell r="W375" t="str">
            <v>Kosovo</v>
          </cell>
          <cell r="X375">
            <v>1435</v>
          </cell>
          <cell r="AB375">
            <v>1676</v>
          </cell>
          <cell r="AC375">
            <v>4384</v>
          </cell>
          <cell r="AD375">
            <v>1516</v>
          </cell>
          <cell r="AE375">
            <v>5900</v>
          </cell>
        </row>
        <row r="376">
          <cell r="A376">
            <v>374</v>
          </cell>
          <cell r="B376">
            <v>46029</v>
          </cell>
          <cell r="C376" t="str">
            <v>BENZ E220</v>
          </cell>
          <cell r="D376" t="str">
            <v>BENZ</v>
          </cell>
          <cell r="E376" t="str">
            <v>E220</v>
          </cell>
          <cell r="G376" t="str">
            <v>23머3836</v>
          </cell>
          <cell r="H376" t="str">
            <v>WDDHF0CBXEB003407</v>
          </cell>
          <cell r="J376" t="str">
            <v>경매장-AJ</v>
          </cell>
          <cell r="L376" t="str">
            <v>잔금</v>
          </cell>
          <cell r="N376">
            <v>810</v>
          </cell>
          <cell r="O376">
            <v>21</v>
          </cell>
          <cell r="P376">
            <v>831</v>
          </cell>
          <cell r="Q376" t="str">
            <v>DONE</v>
          </cell>
          <cell r="R376">
            <v>46038</v>
          </cell>
          <cell r="S376" t="str">
            <v xml:space="preserve">EUROAUTO.AL </v>
          </cell>
          <cell r="T376" t="str">
            <v>Erion Gjergji</v>
          </cell>
          <cell r="U376" t="str">
            <v>I90516099R</v>
          </cell>
          <cell r="V376" t="str">
            <v>49 163 6979 099</v>
          </cell>
          <cell r="W376" t="str">
            <v>Albania</v>
          </cell>
          <cell r="X376">
            <v>1435</v>
          </cell>
          <cell r="AB376">
            <v>1676</v>
          </cell>
          <cell r="AC376">
            <v>4890</v>
          </cell>
          <cell r="AD376">
            <v>1430</v>
          </cell>
          <cell r="AE376">
            <v>6320</v>
          </cell>
          <cell r="AF376">
            <v>6320</v>
          </cell>
        </row>
        <row r="377">
          <cell r="A377">
            <v>375</v>
          </cell>
          <cell r="B377">
            <v>46033</v>
          </cell>
          <cell r="C377" t="str">
            <v>BENZ C220</v>
          </cell>
          <cell r="D377" t="str">
            <v>BENZ</v>
          </cell>
          <cell r="E377" t="str">
            <v>C220</v>
          </cell>
          <cell r="G377" t="str">
            <v>277루5008</v>
          </cell>
          <cell r="H377" t="str">
            <v xml:space="preserve">WDDWF0EB4JR386234 </v>
          </cell>
          <cell r="I377">
            <v>46034</v>
          </cell>
          <cell r="J377" t="str">
            <v>개인매입- 홍계주, 심미례</v>
          </cell>
          <cell r="L377" t="str">
            <v>잔금</v>
          </cell>
          <cell r="M377" t="str">
            <v>50만원 대표님 계약</v>
          </cell>
          <cell r="N377">
            <v>1650</v>
          </cell>
          <cell r="P377">
            <v>1650</v>
          </cell>
          <cell r="Q377" t="str">
            <v>DONE</v>
          </cell>
          <cell r="R377">
            <v>46037</v>
          </cell>
          <cell r="S377" t="str">
            <v>ATLAS GROUP SH.P.K</v>
          </cell>
          <cell r="T377" t="str">
            <v>ATLAS GROUP SH.P.K</v>
          </cell>
          <cell r="U377">
            <v>812137455</v>
          </cell>
          <cell r="V377" t="str">
            <v>+38348702207</v>
          </cell>
          <cell r="W377" t="str">
            <v>Xhelal Hajda, p.n. Rahovec</v>
          </cell>
          <cell r="X377">
            <v>1445</v>
          </cell>
          <cell r="AB377">
            <v>1682</v>
          </cell>
          <cell r="AC377">
            <v>9465</v>
          </cell>
          <cell r="AD377">
            <v>1435</v>
          </cell>
          <cell r="AE377">
            <v>10900</v>
          </cell>
        </row>
        <row r="378">
          <cell r="A378">
            <v>376</v>
          </cell>
          <cell r="B378">
            <v>46030</v>
          </cell>
          <cell r="C378" t="str">
            <v>BMW 320d</v>
          </cell>
          <cell r="D378" t="str">
            <v>BMW</v>
          </cell>
          <cell r="E378" t="str">
            <v>320d</v>
          </cell>
          <cell r="G378" t="str">
            <v>65어2183</v>
          </cell>
          <cell r="H378" t="str">
            <v xml:space="preserve">WBA8C5100HA073099 </v>
          </cell>
          <cell r="I378">
            <v>46031</v>
          </cell>
          <cell r="J378" t="str">
            <v>㈜ 착한모터스</v>
          </cell>
          <cell r="K378" t="str">
            <v>AHSHIN</v>
          </cell>
          <cell r="L378" t="str">
            <v>잔금</v>
          </cell>
          <cell r="M378" t="str">
            <v>50만원 대표님 계약</v>
          </cell>
          <cell r="N378">
            <v>1304</v>
          </cell>
          <cell r="P378">
            <v>1304</v>
          </cell>
          <cell r="Q378" t="str">
            <v>HEYMAN</v>
          </cell>
          <cell r="R378">
            <v>46037</v>
          </cell>
          <cell r="S378" t="str">
            <v>R.S.h L.L.C.</v>
          </cell>
          <cell r="T378" t="str">
            <v>R.Sh L.L.C.</v>
          </cell>
          <cell r="U378">
            <v>812326016</v>
          </cell>
          <cell r="V378" t="str">
            <v>+383486 611 61</v>
          </cell>
          <cell r="W378" t="str">
            <v>Kosovo</v>
          </cell>
          <cell r="X378">
            <v>1435</v>
          </cell>
          <cell r="AB378">
            <v>1675</v>
          </cell>
          <cell r="AC378">
            <v>7469</v>
          </cell>
          <cell r="AD378">
            <v>1431</v>
          </cell>
          <cell r="AE378">
            <v>8900</v>
          </cell>
        </row>
        <row r="379">
          <cell r="A379">
            <v>377</v>
          </cell>
          <cell r="B379">
            <v>46030</v>
          </cell>
          <cell r="C379" t="str">
            <v>VOLKSWAGENS  Golf 2.0 TDI BMT</v>
          </cell>
          <cell r="D379" t="str">
            <v>VOLKSWAGENS</v>
          </cell>
          <cell r="E379" t="str">
            <v xml:space="preserve"> Golf 2.0 TDI BMT</v>
          </cell>
          <cell r="G379" t="str">
            <v>392소9760</v>
          </cell>
          <cell r="H379" t="str">
            <v>WVWZZZAUZEW419781</v>
          </cell>
          <cell r="I379">
            <v>46034</v>
          </cell>
          <cell r="J379" t="str">
            <v>(주)동카</v>
          </cell>
          <cell r="L379" t="str">
            <v>잔금</v>
          </cell>
          <cell r="M379" t="str">
            <v>50만원 회사통장 나감</v>
          </cell>
          <cell r="N379">
            <v>856</v>
          </cell>
          <cell r="O379">
            <v>44</v>
          </cell>
          <cell r="P379">
            <v>900</v>
          </cell>
          <cell r="Q379" t="str">
            <v>done</v>
          </cell>
          <cell r="R379">
            <v>46037</v>
          </cell>
          <cell r="S379" t="str">
            <v>Ervin</v>
          </cell>
          <cell r="T379" t="str">
            <v>Ervin Lici</v>
          </cell>
          <cell r="U379" t="str">
            <v>K51004018Q</v>
          </cell>
          <cell r="V379" t="str">
            <v>355 67 69 41 777</v>
          </cell>
          <cell r="W379" t="str">
            <v>Albania</v>
          </cell>
          <cell r="X379">
            <v>1435</v>
          </cell>
          <cell r="AB379">
            <v>1675</v>
          </cell>
          <cell r="AC379">
            <v>5259</v>
          </cell>
          <cell r="AD379">
            <v>1431</v>
          </cell>
          <cell r="AE379">
            <v>6690</v>
          </cell>
        </row>
        <row r="380">
          <cell r="A380">
            <v>378</v>
          </cell>
          <cell r="B380">
            <v>46030</v>
          </cell>
          <cell r="C380" t="str">
            <v>BENZ E220</v>
          </cell>
          <cell r="D380" t="str">
            <v>BENZ</v>
          </cell>
          <cell r="E380" t="str">
            <v>E220</v>
          </cell>
          <cell r="G380" t="str">
            <v>47라7902</v>
          </cell>
          <cell r="H380" t="str">
            <v>WDDHF0AB7FB126280</v>
          </cell>
          <cell r="J380" t="str">
            <v>경매장- KCAR</v>
          </cell>
          <cell r="L380" t="str">
            <v>잔금</v>
          </cell>
          <cell r="N380">
            <v>835</v>
          </cell>
          <cell r="O380">
            <v>19</v>
          </cell>
          <cell r="P380">
            <v>854</v>
          </cell>
          <cell r="Q380" t="str">
            <v>DONE</v>
          </cell>
          <cell r="R380">
            <v>46038</v>
          </cell>
          <cell r="S380" t="str">
            <v xml:space="preserve">EUROAUTO.AL </v>
          </cell>
          <cell r="T380" t="str">
            <v>Erion Gjergji</v>
          </cell>
          <cell r="U380" t="str">
            <v>I90516099R</v>
          </cell>
          <cell r="V380" t="str">
            <v>49 163 6979 099</v>
          </cell>
          <cell r="W380" t="str">
            <v>Albania</v>
          </cell>
          <cell r="X380">
            <v>1435</v>
          </cell>
          <cell r="AB380">
            <v>1675</v>
          </cell>
          <cell r="AC380">
            <v>5019</v>
          </cell>
          <cell r="AD380">
            <v>1431</v>
          </cell>
          <cell r="AE380">
            <v>6450</v>
          </cell>
          <cell r="AF380">
            <v>6450</v>
          </cell>
        </row>
        <row r="381">
          <cell r="A381">
            <v>379</v>
          </cell>
          <cell r="B381">
            <v>46033</v>
          </cell>
          <cell r="C381" t="str">
            <v>HYUNDAI TUCSON</v>
          </cell>
          <cell r="D381" t="str">
            <v>HYUNDAI</v>
          </cell>
          <cell r="E381" t="str">
            <v>TUCSON</v>
          </cell>
          <cell r="G381" t="str">
            <v>11보6425</v>
          </cell>
          <cell r="H381" t="str">
            <v>KMHJ581ABGU031642</v>
          </cell>
          <cell r="I381">
            <v>46034</v>
          </cell>
          <cell r="J381" t="str">
            <v>(주)카체인지</v>
          </cell>
          <cell r="L381" t="str">
            <v>잔금</v>
          </cell>
          <cell r="M381" t="str">
            <v>50만원 대표님 계약</v>
          </cell>
          <cell r="N381">
            <v>1176</v>
          </cell>
          <cell r="O381">
            <v>44</v>
          </cell>
          <cell r="P381">
            <v>1220</v>
          </cell>
          <cell r="Q381" t="str">
            <v>done</v>
          </cell>
          <cell r="R381">
            <v>46037</v>
          </cell>
          <cell r="S381" t="str">
            <v>CALJA</v>
          </cell>
          <cell r="T381" t="str">
            <v>LEONARD ONJEA</v>
          </cell>
          <cell r="U381" t="str">
            <v>I10601129J</v>
          </cell>
          <cell r="V381" t="str">
            <v>355 69 550 5533</v>
          </cell>
          <cell r="W381" t="str">
            <v>Albania</v>
          </cell>
          <cell r="X381">
            <v>1445</v>
          </cell>
          <cell r="AB381">
            <v>1682</v>
          </cell>
          <cell r="AC381">
            <v>6979</v>
          </cell>
          <cell r="AD381">
            <v>1521</v>
          </cell>
          <cell r="AE381">
            <v>8500</v>
          </cell>
          <cell r="AF381">
            <v>8700</v>
          </cell>
        </row>
        <row r="382">
          <cell r="A382">
            <v>380</v>
          </cell>
          <cell r="B382">
            <v>46033</v>
          </cell>
          <cell r="C382" t="str">
            <v>AUDI Q5</v>
          </cell>
          <cell r="D382" t="str">
            <v>AUDI</v>
          </cell>
          <cell r="E382" t="str">
            <v>Q5</v>
          </cell>
          <cell r="G382" t="str">
            <v>16조2873</v>
          </cell>
          <cell r="H382" t="str">
            <v xml:space="preserve">WAUZZZ8R4FA017842 </v>
          </cell>
          <cell r="I382">
            <v>46035</v>
          </cell>
          <cell r="J382">
            <v>28</v>
          </cell>
          <cell r="K382" t="str">
            <v>AHSHIN</v>
          </cell>
          <cell r="L382" t="str">
            <v>잔금</v>
          </cell>
          <cell r="M382" t="str">
            <v>50만원 헤이맨통장 나감</v>
          </cell>
          <cell r="N382">
            <v>1220</v>
          </cell>
          <cell r="P382">
            <v>1220</v>
          </cell>
          <cell r="Q382" t="str">
            <v>HEYMAN</v>
          </cell>
          <cell r="R382">
            <v>46037</v>
          </cell>
          <cell r="S382" t="str">
            <v>R.S.h L.L.C.</v>
          </cell>
          <cell r="T382" t="str">
            <v>R.Sh L.L.C.</v>
          </cell>
          <cell r="U382">
            <v>812326016</v>
          </cell>
          <cell r="V382" t="str">
            <v>+383486 611 61</v>
          </cell>
          <cell r="W382" t="str">
            <v>Kosovo</v>
          </cell>
          <cell r="X382">
            <v>1455</v>
          </cell>
          <cell r="AB382">
            <v>1682</v>
          </cell>
          <cell r="AC382">
            <v>6939</v>
          </cell>
          <cell r="AD382">
            <v>1531</v>
          </cell>
          <cell r="AE382">
            <v>8470</v>
          </cell>
          <cell r="AF382">
            <v>8470</v>
          </cell>
        </row>
        <row r="383">
          <cell r="A383">
            <v>381</v>
          </cell>
          <cell r="B383">
            <v>46033</v>
          </cell>
          <cell r="C383" t="str">
            <v>BENZ GLC220 d 4Matic</v>
          </cell>
          <cell r="D383" t="str">
            <v>BENZ</v>
          </cell>
          <cell r="E383" t="str">
            <v>GLC220 d 4Matic</v>
          </cell>
          <cell r="F383" t="str">
            <v>ㅋ</v>
          </cell>
          <cell r="G383" t="str">
            <v>19어0504</v>
          </cell>
          <cell r="H383" t="str">
            <v xml:space="preserve">WDC0G0FB6GF038712 </v>
          </cell>
          <cell r="I383">
            <v>46035</v>
          </cell>
          <cell r="L383" t="str">
            <v>잔금</v>
          </cell>
          <cell r="M383" t="str">
            <v>50만원 대표님 계약</v>
          </cell>
          <cell r="N383">
            <v>2300</v>
          </cell>
          <cell r="O383">
            <v>44</v>
          </cell>
          <cell r="P383">
            <v>2344</v>
          </cell>
          <cell r="Q383" t="str">
            <v>DONE</v>
          </cell>
          <cell r="R383">
            <v>46037</v>
          </cell>
          <cell r="S383" t="str">
            <v>Auto Posh SH.P.K</v>
          </cell>
          <cell r="T383" t="str">
            <v>Auto Posh SH.P.K</v>
          </cell>
          <cell r="U383">
            <v>812219427</v>
          </cell>
          <cell r="V383" t="str">
            <v>38345560145</v>
          </cell>
          <cell r="W383" t="str">
            <v xml:space="preserve"> Rruga Jakup Lami, Pn. Greme, Feriza</v>
          </cell>
          <cell r="X383">
            <v>1455</v>
          </cell>
          <cell r="AB383">
            <v>1682</v>
          </cell>
          <cell r="AC383">
            <v>13269</v>
          </cell>
          <cell r="AD383">
            <v>1531</v>
          </cell>
          <cell r="AE383">
            <v>14800</v>
          </cell>
        </row>
        <row r="384">
          <cell r="A384">
            <v>382</v>
          </cell>
          <cell r="B384">
            <v>46034</v>
          </cell>
          <cell r="C384" t="str">
            <v>BMW X3</v>
          </cell>
          <cell r="D384" t="str">
            <v>BMW</v>
          </cell>
          <cell r="E384" t="str">
            <v>X3</v>
          </cell>
          <cell r="F384" t="str">
            <v>ㅋ</v>
          </cell>
          <cell r="G384" t="str">
            <v>45조0134</v>
          </cell>
          <cell r="H384" t="str">
            <v>WBAWZ5106G0S23694</v>
          </cell>
          <cell r="I384">
            <v>46035</v>
          </cell>
          <cell r="J384" t="str">
            <v>개인매입- 김준섭/ 김준홍</v>
          </cell>
          <cell r="L384" t="str">
            <v>잔금</v>
          </cell>
          <cell r="M384" t="str">
            <v>50만원 회사통장 나감</v>
          </cell>
          <cell r="N384">
            <v>1300</v>
          </cell>
          <cell r="P384">
            <v>1300</v>
          </cell>
          <cell r="Q384" t="str">
            <v>DONE</v>
          </cell>
          <cell r="R384">
            <v>46037</v>
          </cell>
          <cell r="S384" t="str">
            <v>DONI</v>
          </cell>
          <cell r="T384" t="str">
            <v>DONI</v>
          </cell>
          <cell r="U384">
            <v>933682</v>
          </cell>
          <cell r="V384" t="str">
            <v>3 8 3 4 9 3 2 5 7 0 3</v>
          </cell>
          <cell r="W384" t="str">
            <v xml:space="preserve"> HYZRI TALLA OB 16 HY 1 NR 18
 Kosovë</v>
          </cell>
          <cell r="X384">
            <v>1445</v>
          </cell>
          <cell r="AB384">
            <v>1684</v>
          </cell>
          <cell r="AC384">
            <v>7531</v>
          </cell>
          <cell r="AD384">
            <v>1519</v>
          </cell>
          <cell r="AE384">
            <v>9050</v>
          </cell>
        </row>
        <row r="385">
          <cell r="A385">
            <v>383</v>
          </cell>
          <cell r="B385">
            <v>46034</v>
          </cell>
          <cell r="C385" t="str">
            <v>VOLKSWAGENS GOLF</v>
          </cell>
          <cell r="D385" t="str">
            <v>VOLKSWAGENS</v>
          </cell>
          <cell r="E385" t="str">
            <v>GOLF</v>
          </cell>
          <cell r="F385" t="str">
            <v>ㅋ</v>
          </cell>
          <cell r="G385" t="str">
            <v>26너0420</v>
          </cell>
          <cell r="H385" t="str">
            <v>WVWZZZAUZFW299857</v>
          </cell>
          <cell r="I385">
            <v>46035</v>
          </cell>
          <cell r="J385" t="str">
            <v>(주)레인보우</v>
          </cell>
          <cell r="L385" t="str">
            <v>잔금</v>
          </cell>
          <cell r="M385" t="str">
            <v>50만원 대표님 계약</v>
          </cell>
          <cell r="N385">
            <v>980</v>
          </cell>
          <cell r="P385">
            <v>980</v>
          </cell>
          <cell r="Q385" t="str">
            <v>DONE</v>
          </cell>
          <cell r="R385">
            <v>46037</v>
          </cell>
          <cell r="S385" t="str">
            <v>CALJA</v>
          </cell>
          <cell r="T385" t="str">
            <v>Calja Marius</v>
          </cell>
          <cell r="U385" t="str">
            <v>M43323203V</v>
          </cell>
          <cell r="V385" t="str">
            <v>355 69 550 5533</v>
          </cell>
          <cell r="W385" t="str">
            <v>Albania</v>
          </cell>
          <cell r="X385">
            <v>1445</v>
          </cell>
          <cell r="AB385">
            <v>1684</v>
          </cell>
          <cell r="AC385">
            <v>5717</v>
          </cell>
          <cell r="AD385">
            <v>1433</v>
          </cell>
          <cell r="AE385">
            <v>7150</v>
          </cell>
          <cell r="AF385">
            <v>4800</v>
          </cell>
        </row>
        <row r="386">
          <cell r="A386">
            <v>384</v>
          </cell>
          <cell r="B386">
            <v>46034</v>
          </cell>
          <cell r="C386" t="str">
            <v>BENZ S350 D 4MATIC</v>
          </cell>
          <cell r="D386" t="str">
            <v>BENZ</v>
          </cell>
          <cell r="E386" t="str">
            <v>S350 D 4MATIC</v>
          </cell>
          <cell r="F386" t="str">
            <v>ㅋ</v>
          </cell>
          <cell r="G386" t="str">
            <v>140머5769</v>
          </cell>
          <cell r="H386" t="str">
            <v>WDDUF2BB8JA411352</v>
          </cell>
          <cell r="I386">
            <v>46035</v>
          </cell>
          <cell r="J386" t="str">
            <v>(주)유레카</v>
          </cell>
          <cell r="L386" t="str">
            <v>잔금</v>
          </cell>
          <cell r="M386" t="str">
            <v>50만원 대표님 계약</v>
          </cell>
          <cell r="N386">
            <v>3370</v>
          </cell>
          <cell r="O386">
            <v>44</v>
          </cell>
          <cell r="P386">
            <v>3414</v>
          </cell>
          <cell r="Q386" t="str">
            <v>CANCEL</v>
          </cell>
          <cell r="R386" t="str">
            <v>CANCEL</v>
          </cell>
          <cell r="S386" t="str">
            <v>Auto Posh SH.P.K</v>
          </cell>
          <cell r="T386" t="str">
            <v>Auto Posh SH.P.K</v>
          </cell>
          <cell r="U386">
            <v>812219427</v>
          </cell>
          <cell r="V386" t="str">
            <v>38345560145</v>
          </cell>
          <cell r="W386" t="str">
            <v xml:space="preserve"> Rruga Jakup Lami, Pn. Greme, Feriza</v>
          </cell>
          <cell r="X386">
            <v>1445</v>
          </cell>
          <cell r="AB386">
            <v>1684</v>
          </cell>
          <cell r="AC386">
            <v>19381</v>
          </cell>
          <cell r="AD386">
            <v>1519</v>
          </cell>
          <cell r="AE386">
            <v>20900</v>
          </cell>
        </row>
        <row r="387">
          <cell r="A387">
            <v>385</v>
          </cell>
          <cell r="B387">
            <v>46034</v>
          </cell>
          <cell r="C387" t="str">
            <v>VOLKSWAGENS PASSAT</v>
          </cell>
          <cell r="D387" t="str">
            <v>VOLKSWAGENS</v>
          </cell>
          <cell r="E387" t="str">
            <v>PASSAT</v>
          </cell>
          <cell r="G387" t="str">
            <v>39고6479</v>
          </cell>
          <cell r="H387" t="str">
            <v>WVWZZZ3CZJE172251</v>
          </cell>
          <cell r="I387">
            <v>46035</v>
          </cell>
          <cell r="J387" t="str">
            <v>(주)지온컴퍼니</v>
          </cell>
          <cell r="L387" t="str">
            <v>잔금</v>
          </cell>
          <cell r="M387" t="str">
            <v>50만원 대표님 계약</v>
          </cell>
          <cell r="N387">
            <v>2350</v>
          </cell>
          <cell r="P387">
            <v>2350</v>
          </cell>
          <cell r="Q387" t="str">
            <v>DONE</v>
          </cell>
          <cell r="R387">
            <v>46037</v>
          </cell>
          <cell r="S387" t="str">
            <v>ATLAS GROUP SH.P.K</v>
          </cell>
          <cell r="T387" t="str">
            <v>ATLAS GROUP SH.P.K</v>
          </cell>
          <cell r="U387">
            <v>812137455</v>
          </cell>
          <cell r="V387" t="str">
            <v>+38348702207</v>
          </cell>
          <cell r="W387" t="str">
            <v>Xhelal Hajda, p.n. Rahovec</v>
          </cell>
          <cell r="X387">
            <v>1445</v>
          </cell>
          <cell r="AB387">
            <v>1684</v>
          </cell>
          <cell r="AC387">
            <v>13337</v>
          </cell>
          <cell r="AD387">
            <v>1433</v>
          </cell>
          <cell r="AE387">
            <v>14770</v>
          </cell>
        </row>
        <row r="388">
          <cell r="A388">
            <v>386</v>
          </cell>
          <cell r="B388">
            <v>46034</v>
          </cell>
          <cell r="C388" t="str">
            <v>Peugeot 5008</v>
          </cell>
          <cell r="D388" t="str">
            <v>Peugeot</v>
          </cell>
          <cell r="E388">
            <v>5008</v>
          </cell>
          <cell r="F388">
            <v>2019</v>
          </cell>
          <cell r="G388" t="str">
            <v>300너4325</v>
          </cell>
          <cell r="H388" t="str">
            <v xml:space="preserve">VF3MJAHWWKL003208 </v>
          </cell>
          <cell r="I388">
            <v>46036</v>
          </cell>
          <cell r="J388" t="str">
            <v>㈜제이카</v>
          </cell>
          <cell r="K388" t="str">
            <v>AHSHIN</v>
          </cell>
          <cell r="L388" t="str">
            <v>잔금</v>
          </cell>
          <cell r="M388" t="str">
            <v>50만원 헤이맨통장 나감</v>
          </cell>
          <cell r="N388">
            <v>1590</v>
          </cell>
          <cell r="P388">
            <v>1590</v>
          </cell>
          <cell r="Q388" t="str">
            <v>HEYMAN</v>
          </cell>
          <cell r="R388">
            <v>46037</v>
          </cell>
          <cell r="S388" t="str">
            <v>R.S.h L.L.C.</v>
          </cell>
          <cell r="T388" t="str">
            <v>R.Sh L.L.C.</v>
          </cell>
          <cell r="U388">
            <v>812326016</v>
          </cell>
          <cell r="V388" t="str">
            <v>+383486 611 61</v>
          </cell>
          <cell r="W388" t="str">
            <v>Kosovo</v>
          </cell>
          <cell r="X388" t="str">
            <v xml:space="preserve">w </v>
          </cell>
          <cell r="AB388">
            <v>1703</v>
          </cell>
          <cell r="AC388">
            <v>8917</v>
          </cell>
          <cell r="AD388">
            <v>1523</v>
          </cell>
          <cell r="AE388">
            <v>10440</v>
          </cell>
          <cell r="AF388">
            <v>10600</v>
          </cell>
        </row>
        <row r="389">
          <cell r="A389">
            <v>387</v>
          </cell>
          <cell r="B389">
            <v>46034</v>
          </cell>
          <cell r="C389" t="str">
            <v>VOLKSWAGENS TIGUAN</v>
          </cell>
          <cell r="D389" t="str">
            <v>VOLKSWAGENS</v>
          </cell>
          <cell r="E389" t="str">
            <v>TIGUAN</v>
          </cell>
          <cell r="G389" t="str">
            <v>39로4269</v>
          </cell>
          <cell r="H389" t="str">
            <v>WVGZZZ5NZJW919992</v>
          </cell>
          <cell r="I389">
            <v>46036</v>
          </cell>
          <cell r="K389" t="str">
            <v>AHSHIN</v>
          </cell>
          <cell r="L389" t="str">
            <v>잔금</v>
          </cell>
          <cell r="M389" t="str">
            <v>바로 잔금</v>
          </cell>
          <cell r="N389">
            <v>1356</v>
          </cell>
          <cell r="O389">
            <v>44</v>
          </cell>
          <cell r="P389">
            <v>1400</v>
          </cell>
          <cell r="Q389" t="str">
            <v>HEYMAN</v>
          </cell>
          <cell r="R389">
            <v>46037</v>
          </cell>
          <cell r="S389" t="str">
            <v>R.S.h L.L.C.</v>
          </cell>
          <cell r="T389" t="str">
            <v>R.Sh L.L.C.</v>
          </cell>
          <cell r="U389">
            <v>812326016</v>
          </cell>
          <cell r="V389" t="str">
            <v>+383486 611 61</v>
          </cell>
          <cell r="W389" t="str">
            <v>Kosovo</v>
          </cell>
          <cell r="X389">
            <v>1465</v>
          </cell>
          <cell r="AB389">
            <v>1703</v>
          </cell>
          <cell r="AC389">
            <v>7867</v>
          </cell>
          <cell r="AD389">
            <v>1523</v>
          </cell>
          <cell r="AE389">
            <v>9390</v>
          </cell>
        </row>
        <row r="390">
          <cell r="A390">
            <v>388</v>
          </cell>
          <cell r="B390">
            <v>45673</v>
          </cell>
          <cell r="C390" t="str">
            <v xml:space="preserve">BMW 420d </v>
          </cell>
          <cell r="D390" t="str">
            <v>BMW</v>
          </cell>
          <cell r="E390" t="str">
            <v xml:space="preserve">420d </v>
          </cell>
          <cell r="G390" t="str">
            <v>13버0170</v>
          </cell>
          <cell r="H390" t="str">
            <v>WBA4E9107GG592842</v>
          </cell>
          <cell r="I390">
            <v>46041</v>
          </cell>
          <cell r="L390" t="str">
            <v>잔금</v>
          </cell>
          <cell r="M390" t="str">
            <v>50만원 회사통장 나감</v>
          </cell>
          <cell r="N390">
            <v>1270</v>
          </cell>
          <cell r="O390">
            <v>44</v>
          </cell>
          <cell r="P390">
            <v>1314</v>
          </cell>
          <cell r="Q390" t="str">
            <v>done</v>
          </cell>
          <cell r="R390">
            <v>46052</v>
          </cell>
          <cell r="S390" t="str">
            <v>DONI</v>
          </cell>
          <cell r="T390" t="str">
            <v>DONI</v>
          </cell>
          <cell r="U390">
            <v>933682</v>
          </cell>
          <cell r="V390" t="str">
            <v>3 8 3 4 9 3 2 5 7 0 3</v>
          </cell>
          <cell r="W390" t="str">
            <v xml:space="preserve"> HYZRI TALLA OB 16 HY 1 NR 18
 Kosovë</v>
          </cell>
          <cell r="X390">
            <v>1461</v>
          </cell>
          <cell r="AB390">
            <v>1694</v>
          </cell>
          <cell r="AC390">
            <v>7410</v>
          </cell>
          <cell r="AD390">
            <v>1440</v>
          </cell>
          <cell r="AE390">
            <v>8850</v>
          </cell>
        </row>
        <row r="391">
          <cell r="A391">
            <v>389</v>
          </cell>
          <cell r="B391">
            <v>45673</v>
          </cell>
          <cell r="C391" t="str">
            <v>BMW M4</v>
          </cell>
          <cell r="D391" t="str">
            <v>BMW</v>
          </cell>
          <cell r="E391" t="str">
            <v>M4</v>
          </cell>
          <cell r="G391" t="str">
            <v>116가6777</v>
          </cell>
          <cell r="H391" t="str">
            <v xml:space="preserve">WBS4Y9100JAC52934 </v>
          </cell>
          <cell r="I391">
            <v>46045</v>
          </cell>
          <cell r="J391" t="str">
            <v>㈜ 위드카</v>
          </cell>
          <cell r="L391" t="str">
            <v>잔금</v>
          </cell>
          <cell r="M391" t="str">
            <v>100만원 회사통장 나감</v>
          </cell>
          <cell r="N391">
            <v>3566</v>
          </cell>
          <cell r="O391">
            <v>44</v>
          </cell>
          <cell r="P391">
            <v>3610</v>
          </cell>
          <cell r="Q391" t="str">
            <v>germany</v>
          </cell>
          <cell r="R391">
            <v>46050</v>
          </cell>
          <cell r="S391" t="str">
            <v>Ardijan Qorraj</v>
          </cell>
          <cell r="T391" t="str">
            <v>Ardijan Qorraj</v>
          </cell>
          <cell r="U391" t="str">
            <v>C6YRK7K2F</v>
          </cell>
          <cell r="V391">
            <v>4917655744700</v>
          </cell>
          <cell r="W391" t="str">
            <v>Germany, Piepersweg 35 (41066)</v>
          </cell>
          <cell r="X391">
            <v>1461</v>
          </cell>
          <cell r="AB391">
            <v>1694</v>
          </cell>
          <cell r="AC391">
            <v>20200</v>
          </cell>
          <cell r="AD391">
            <v>1078</v>
          </cell>
          <cell r="AF391">
            <v>20450</v>
          </cell>
        </row>
        <row r="392">
          <cell r="A392">
            <v>390</v>
          </cell>
          <cell r="B392">
            <v>45673</v>
          </cell>
          <cell r="C392" t="str">
            <v>AUDI Q3 35 TDI</v>
          </cell>
          <cell r="D392" t="str">
            <v>AUDI</v>
          </cell>
          <cell r="E392" t="str">
            <v>Q3 35 TDI</v>
          </cell>
          <cell r="G392" t="str">
            <v>264가4012</v>
          </cell>
          <cell r="H392" t="str">
            <v>WAUZZZF38L1064415</v>
          </cell>
          <cell r="I392">
            <v>46041</v>
          </cell>
          <cell r="J392" t="str">
            <v>㈜제이제이모터스</v>
          </cell>
          <cell r="L392" t="str">
            <v>잔금</v>
          </cell>
          <cell r="M392" t="str">
            <v>100만원 회사통장 나감</v>
          </cell>
          <cell r="N392">
            <v>2734</v>
          </cell>
          <cell r="P392">
            <v>2734</v>
          </cell>
          <cell r="Q392" t="str">
            <v>done</v>
          </cell>
          <cell r="R392">
            <v>46050</v>
          </cell>
          <cell r="S392" t="str">
            <v>ATLAS GROUP SH.P.K</v>
          </cell>
          <cell r="T392" t="str">
            <v>ATLAS GROUP SH.P.K</v>
          </cell>
          <cell r="U392">
            <v>812137455</v>
          </cell>
          <cell r="V392" t="str">
            <v>+38348702207</v>
          </cell>
          <cell r="W392" t="str">
            <v>Xhelal Hajda, p.n. Rahovec</v>
          </cell>
          <cell r="X392">
            <v>1461</v>
          </cell>
          <cell r="AB392">
            <v>1694</v>
          </cell>
          <cell r="AC392">
            <v>15253</v>
          </cell>
          <cell r="AD392">
            <v>1527</v>
          </cell>
          <cell r="AE392">
            <v>16780</v>
          </cell>
        </row>
        <row r="393">
          <cell r="A393">
            <v>391</v>
          </cell>
          <cell r="B393">
            <v>45673</v>
          </cell>
          <cell r="C393" t="str">
            <v>KIA SPORTAGE</v>
          </cell>
          <cell r="D393" t="str">
            <v>KIA</v>
          </cell>
          <cell r="E393" t="str">
            <v>SPORTAGE</v>
          </cell>
          <cell r="G393" t="str">
            <v>65보6272</v>
          </cell>
          <cell r="H393" t="str">
            <v>KNAPE813DEK640766</v>
          </cell>
          <cell r="I393">
            <v>46041</v>
          </cell>
          <cell r="J393" t="str">
            <v>㈜다동이차</v>
          </cell>
          <cell r="L393" t="str">
            <v>잔금</v>
          </cell>
          <cell r="M393" t="str">
            <v>50만원 회사통장 나감</v>
          </cell>
          <cell r="N393">
            <v>650</v>
          </cell>
          <cell r="P393">
            <v>650</v>
          </cell>
          <cell r="Q393" t="str">
            <v>done</v>
          </cell>
          <cell r="R393">
            <v>46050</v>
          </cell>
          <cell r="S393" t="str">
            <v>CALJA</v>
          </cell>
          <cell r="T393" t="str">
            <v>SUELA DINAJ</v>
          </cell>
          <cell r="U393" t="str">
            <v>J15201121N</v>
          </cell>
          <cell r="V393" t="str">
            <v>355 69 550 5533</v>
          </cell>
          <cell r="W393" t="str">
            <v>Albania</v>
          </cell>
          <cell r="X393">
            <v>1461</v>
          </cell>
          <cell r="AB393">
            <v>1694</v>
          </cell>
          <cell r="AC393">
            <v>3833</v>
          </cell>
          <cell r="AD393">
            <v>1527</v>
          </cell>
          <cell r="AE393">
            <v>5360</v>
          </cell>
          <cell r="AF393">
            <v>6200</v>
          </cell>
        </row>
        <row r="394">
          <cell r="A394">
            <v>392</v>
          </cell>
          <cell r="B394">
            <v>45673</v>
          </cell>
          <cell r="C394" t="str">
            <v>BENZ C220</v>
          </cell>
          <cell r="D394" t="str">
            <v>BENZ</v>
          </cell>
          <cell r="E394" t="str">
            <v>C220</v>
          </cell>
          <cell r="G394" t="str">
            <v>15거6295</v>
          </cell>
          <cell r="H394" t="str">
            <v xml:space="preserve">WDDWF0EBXFF085007 </v>
          </cell>
          <cell r="I394">
            <v>46041</v>
          </cell>
          <cell r="J394" t="str">
            <v>㈜의정부중고차매매상사</v>
          </cell>
          <cell r="L394" t="str">
            <v>잔금</v>
          </cell>
          <cell r="M394" t="str">
            <v>50만원 회사통장 나감</v>
          </cell>
          <cell r="N394">
            <v>1456</v>
          </cell>
          <cell r="O394">
            <v>44</v>
          </cell>
          <cell r="P394">
            <v>1500</v>
          </cell>
          <cell r="Q394" t="str">
            <v>DONE</v>
          </cell>
          <cell r="R394">
            <v>46044</v>
          </cell>
          <cell r="S394" t="str">
            <v>AlphaWorldWide</v>
          </cell>
          <cell r="T394" t="str">
            <v>AlphaWorldWideAlbania</v>
          </cell>
          <cell r="U394" t="str">
            <v>SN-619176-11-19</v>
          </cell>
          <cell r="V394" t="str">
            <v>355 69223 3416</v>
          </cell>
          <cell r="W394" t="str">
            <v xml:space="preserve">Durres, Durres, DURRES, Lagjja nr.11, Rruga Bulevardi, me siperfaqe 30m2 </v>
          </cell>
          <cell r="X394">
            <v>1461</v>
          </cell>
          <cell r="AB394">
            <v>1694</v>
          </cell>
          <cell r="AC394">
            <v>8510</v>
          </cell>
          <cell r="AD394">
            <v>1440</v>
          </cell>
          <cell r="AE394">
            <v>9950</v>
          </cell>
        </row>
        <row r="395">
          <cell r="A395">
            <v>393</v>
          </cell>
          <cell r="B395">
            <v>45675</v>
          </cell>
          <cell r="C395" t="str">
            <v>AUDI A6 35 TDI</v>
          </cell>
          <cell r="D395" t="str">
            <v>AUDI</v>
          </cell>
          <cell r="E395" t="str">
            <v>A6 35 TDI</v>
          </cell>
          <cell r="F395">
            <v>2018</v>
          </cell>
          <cell r="G395" t="str">
            <v>61부5473</v>
          </cell>
          <cell r="H395" t="str">
            <v>WAUZZZ4G4JN121642</v>
          </cell>
          <cell r="I395">
            <v>46042</v>
          </cell>
          <cell r="J395" t="str">
            <v>㈜) 카톡모터스</v>
          </cell>
          <cell r="L395" t="str">
            <v>잔금</v>
          </cell>
          <cell r="M395" t="str">
            <v>50만원 대표님 계약</v>
          </cell>
          <cell r="N395">
            <v>1570</v>
          </cell>
          <cell r="P395">
            <v>1570</v>
          </cell>
          <cell r="Q395" t="str">
            <v>DONE</v>
          </cell>
          <cell r="R395">
            <v>46044</v>
          </cell>
          <cell r="S395" t="str">
            <v>Auto Posh SH.P.K</v>
          </cell>
          <cell r="T395" t="str">
            <v>Auto Posh SH.P.K</v>
          </cell>
          <cell r="U395">
            <v>812219427</v>
          </cell>
          <cell r="V395" t="str">
            <v>38345560145</v>
          </cell>
          <cell r="W395" t="str">
            <v xml:space="preserve"> Rruga Jakup Lami, Pn. Greme, Feriza</v>
          </cell>
          <cell r="X395">
            <v>1461</v>
          </cell>
          <cell r="AB395">
            <v>1694</v>
          </cell>
          <cell r="AC395">
            <v>8940</v>
          </cell>
          <cell r="AD395">
            <v>1440</v>
          </cell>
          <cell r="AE395">
            <v>10380</v>
          </cell>
        </row>
        <row r="396">
          <cell r="A396">
            <v>394</v>
          </cell>
          <cell r="B396">
            <v>45675</v>
          </cell>
          <cell r="C396" t="str">
            <v>BENZ ML350 BLUETEC 4MATIC</v>
          </cell>
          <cell r="D396" t="str">
            <v>BENZ</v>
          </cell>
          <cell r="E396" t="str">
            <v>ML350 BLUETEC 4MATIC</v>
          </cell>
          <cell r="F396">
            <v>2015</v>
          </cell>
          <cell r="G396" t="str">
            <v>51거2676</v>
          </cell>
          <cell r="H396" t="str">
            <v>WDCDA2EBXFA491839</v>
          </cell>
          <cell r="I396">
            <v>46042</v>
          </cell>
          <cell r="J396" t="str">
            <v>㈜모든카갤러시</v>
          </cell>
          <cell r="L396" t="str">
            <v>잔금</v>
          </cell>
          <cell r="M396" t="str">
            <v>50만원 대표님 계약</v>
          </cell>
          <cell r="N396">
            <v>1686</v>
          </cell>
          <cell r="O396">
            <v>44</v>
          </cell>
          <cell r="P396">
            <v>1730</v>
          </cell>
          <cell r="Q396" t="str">
            <v>DONE</v>
          </cell>
          <cell r="R396">
            <v>46044</v>
          </cell>
          <cell r="S396" t="str">
            <v xml:space="preserve">EUROAUTO.AL </v>
          </cell>
          <cell r="T396" t="str">
            <v>Erion Gjergji</v>
          </cell>
          <cell r="U396" t="str">
            <v>I90516099R</v>
          </cell>
          <cell r="V396" t="str">
            <v>49 163 6979 099</v>
          </cell>
          <cell r="W396" t="str">
            <v>Albania</v>
          </cell>
          <cell r="X396">
            <v>1461</v>
          </cell>
          <cell r="AB396">
            <v>1694</v>
          </cell>
          <cell r="AC396">
            <v>9747</v>
          </cell>
          <cell r="AD396">
            <v>1613</v>
          </cell>
          <cell r="AE396">
            <v>11360</v>
          </cell>
          <cell r="AF396">
            <v>11360</v>
          </cell>
        </row>
        <row r="397">
          <cell r="A397">
            <v>395</v>
          </cell>
          <cell r="B397">
            <v>45675</v>
          </cell>
          <cell r="C397" t="str">
            <v>BENZ S350D 4MATIC</v>
          </cell>
          <cell r="D397" t="str">
            <v>BENZ</v>
          </cell>
          <cell r="E397" t="str">
            <v>S350D 4MATIC</v>
          </cell>
          <cell r="F397">
            <v>2018</v>
          </cell>
          <cell r="G397" t="str">
            <v>25가3560</v>
          </cell>
          <cell r="H397" t="str">
            <v>WDDUF2BB3JA369723</v>
          </cell>
          <cell r="I397">
            <v>46042</v>
          </cell>
          <cell r="J397" t="str">
            <v>㈜ 아이모토스</v>
          </cell>
          <cell r="L397" t="str">
            <v>잔금</v>
          </cell>
          <cell r="M397" t="str">
            <v>50만원 대표님 계약</v>
          </cell>
          <cell r="N397">
            <v>3320</v>
          </cell>
          <cell r="P397">
            <v>3320</v>
          </cell>
          <cell r="Q397" t="str">
            <v>DONE</v>
          </cell>
          <cell r="R397">
            <v>46044</v>
          </cell>
          <cell r="S397" t="str">
            <v>Auto Posh SH.P.K</v>
          </cell>
          <cell r="T397" t="str">
            <v>Auto Posh SH.P.K</v>
          </cell>
          <cell r="U397">
            <v>812219427</v>
          </cell>
          <cell r="V397" t="str">
            <v>38345560145</v>
          </cell>
          <cell r="W397" t="str">
            <v xml:space="preserve"> Rruga Jakup Lami, Pn. Greme, Feriza</v>
          </cell>
          <cell r="X397">
            <v>1461</v>
          </cell>
          <cell r="AB397">
            <v>1694</v>
          </cell>
          <cell r="AC397">
            <v>18763</v>
          </cell>
          <cell r="AD397">
            <v>1527</v>
          </cell>
          <cell r="AE397">
            <v>20290</v>
          </cell>
          <cell r="AF397">
            <v>20500</v>
          </cell>
        </row>
        <row r="398">
          <cell r="A398">
            <v>396</v>
          </cell>
          <cell r="B398">
            <v>45675</v>
          </cell>
          <cell r="C398" t="str">
            <v>MASERATI LEVANTE</v>
          </cell>
          <cell r="D398" t="str">
            <v>MASERATI</v>
          </cell>
          <cell r="E398" t="str">
            <v>LEVANTE</v>
          </cell>
          <cell r="G398" t="str">
            <v>328가4040</v>
          </cell>
          <cell r="H398" t="str">
            <v>ZN661TUGXHX244322</v>
          </cell>
          <cell r="I398">
            <v>46042</v>
          </cell>
          <cell r="J398" t="str">
            <v>㈜골드상사</v>
          </cell>
          <cell r="L398" t="str">
            <v>잔금</v>
          </cell>
          <cell r="M398" t="str">
            <v>50만원 대표님 계약</v>
          </cell>
          <cell r="N398">
            <v>1656</v>
          </cell>
          <cell r="O398">
            <v>44</v>
          </cell>
          <cell r="P398">
            <v>1700</v>
          </cell>
          <cell r="Q398" t="str">
            <v>DONE</v>
          </cell>
          <cell r="R398">
            <v>46044</v>
          </cell>
          <cell r="S398" t="str">
            <v>VILLA KOHA</v>
          </cell>
          <cell r="T398" t="str">
            <v>VILLA KOHA SH.P.K</v>
          </cell>
          <cell r="U398">
            <v>810039588</v>
          </cell>
          <cell r="V398" t="str">
            <v>383 49247777</v>
          </cell>
          <cell r="W398" t="str">
            <v>KOSOVO</v>
          </cell>
          <cell r="X398">
            <v>1461</v>
          </cell>
          <cell r="AB398">
            <v>1694</v>
          </cell>
          <cell r="AC398">
            <v>9623</v>
          </cell>
          <cell r="AD398">
            <v>1527</v>
          </cell>
          <cell r="AE398">
            <v>11150</v>
          </cell>
          <cell r="AF398">
            <v>9420</v>
          </cell>
        </row>
        <row r="399">
          <cell r="A399">
            <v>397</v>
          </cell>
          <cell r="B399">
            <v>46040</v>
          </cell>
          <cell r="C399" t="str">
            <v>JAGUAR F-PACE 20D</v>
          </cell>
          <cell r="D399" t="str">
            <v>JAGUAR</v>
          </cell>
          <cell r="E399" t="str">
            <v>F-PACE 20D</v>
          </cell>
          <cell r="G399" t="str">
            <v>232머1590</v>
          </cell>
          <cell r="H399" t="str">
            <v>SADCA2BNXJA268567</v>
          </cell>
          <cell r="I399">
            <v>46048</v>
          </cell>
          <cell r="J399" t="str">
            <v>㈜오토앤오토</v>
          </cell>
          <cell r="K399" t="str">
            <v>GMT</v>
          </cell>
          <cell r="L399" t="str">
            <v>잔금</v>
          </cell>
          <cell r="M399" t="str">
            <v>50만원 헤이맨통장 나감</v>
          </cell>
          <cell r="N399">
            <v>1080</v>
          </cell>
          <cell r="P399">
            <v>1080</v>
          </cell>
          <cell r="Q399" t="str">
            <v>done</v>
          </cell>
          <cell r="R399">
            <v>46052</v>
          </cell>
          <cell r="S399" t="str">
            <v>R.S.h L.L.C.</v>
          </cell>
          <cell r="T399" t="str">
            <v>R.Sh L.L.C.</v>
          </cell>
          <cell r="U399">
            <v>812326016</v>
          </cell>
          <cell r="V399" t="str">
            <v>+383486 611 61</v>
          </cell>
          <cell r="W399" t="str">
            <v>Kosovo</v>
          </cell>
          <cell r="X399">
            <v>1461</v>
          </cell>
          <cell r="AB399">
            <v>1694</v>
          </cell>
          <cell r="AC399">
            <v>6273</v>
          </cell>
          <cell r="AD399">
            <v>1527</v>
          </cell>
          <cell r="AE399">
            <v>7800</v>
          </cell>
        </row>
        <row r="400">
          <cell r="A400">
            <v>398</v>
          </cell>
          <cell r="B400">
            <v>46040</v>
          </cell>
          <cell r="C400" t="str">
            <v>KIA CARNIVAL</v>
          </cell>
          <cell r="D400" t="str">
            <v>KIA</v>
          </cell>
          <cell r="E400" t="str">
            <v>CARNIVAL</v>
          </cell>
          <cell r="G400" t="str">
            <v>104라2951</v>
          </cell>
          <cell r="H400" t="str">
            <v>KNANE81BBMS057893</v>
          </cell>
          <cell r="I400">
            <v>46048</v>
          </cell>
          <cell r="J400" t="str">
            <v>㈜ 제이에스오토</v>
          </cell>
          <cell r="L400" t="str">
            <v>잔금</v>
          </cell>
          <cell r="M400" t="str">
            <v>50만원 이용빈 통장</v>
          </cell>
          <cell r="N400">
            <v>2986</v>
          </cell>
          <cell r="O400">
            <v>44</v>
          </cell>
          <cell r="P400">
            <v>3030</v>
          </cell>
          <cell r="Q400" t="str">
            <v>HEYMAN</v>
          </cell>
          <cell r="R400">
            <v>46065</v>
          </cell>
          <cell r="S400" t="str">
            <v>R.S.h L.L.C.</v>
          </cell>
          <cell r="T400" t="str">
            <v>R.Sh L.L.C.</v>
          </cell>
          <cell r="U400">
            <v>812326016</v>
          </cell>
          <cell r="V400" t="str">
            <v>+383486 611 61</v>
          </cell>
          <cell r="W400" t="str">
            <v>Kosovo</v>
          </cell>
          <cell r="X400">
            <v>1461</v>
          </cell>
          <cell r="AB400">
            <v>1694</v>
          </cell>
          <cell r="AC400">
            <v>16930</v>
          </cell>
          <cell r="AD400" t="str">
            <v>????</v>
          </cell>
        </row>
        <row r="401">
          <cell r="A401">
            <v>399</v>
          </cell>
          <cell r="B401">
            <v>46040</v>
          </cell>
          <cell r="C401" t="str">
            <v>RENAULT CLIO</v>
          </cell>
          <cell r="D401" t="str">
            <v>RENAULT</v>
          </cell>
          <cell r="E401" t="str">
            <v>CLIO</v>
          </cell>
          <cell r="G401" t="str">
            <v>36가2483</v>
          </cell>
          <cell r="H401" t="str">
            <v>VF15RBJ0DJR437869</v>
          </cell>
          <cell r="I401">
            <v>46048</v>
          </cell>
          <cell r="K401" t="str">
            <v>GMT</v>
          </cell>
          <cell r="L401" t="str">
            <v>잔금</v>
          </cell>
          <cell r="M401" t="str">
            <v>50만원 대표님 개인통장</v>
          </cell>
          <cell r="N401">
            <v>630</v>
          </cell>
          <cell r="O401">
            <v>44</v>
          </cell>
          <cell r="P401">
            <v>674</v>
          </cell>
          <cell r="Q401" t="str">
            <v>done</v>
          </cell>
          <cell r="R401">
            <v>46052</v>
          </cell>
          <cell r="S401" t="str">
            <v>R.S.h L.L.C.</v>
          </cell>
          <cell r="T401" t="str">
            <v>R.Sh L.L.C.</v>
          </cell>
          <cell r="U401">
            <v>812326016</v>
          </cell>
          <cell r="V401" t="str">
            <v>+383486 611 61</v>
          </cell>
          <cell r="W401" t="str">
            <v>Kosovo</v>
          </cell>
          <cell r="X401">
            <v>1461</v>
          </cell>
          <cell r="AB401">
            <v>1694</v>
          </cell>
          <cell r="AC401">
            <v>3760</v>
          </cell>
          <cell r="AD401">
            <v>1440</v>
          </cell>
          <cell r="AE401">
            <v>5200</v>
          </cell>
        </row>
        <row r="402">
          <cell r="A402">
            <v>400</v>
          </cell>
          <cell r="B402">
            <v>45678</v>
          </cell>
          <cell r="C402" t="str">
            <v>BMW M3</v>
          </cell>
          <cell r="D402" t="str">
            <v>BMW</v>
          </cell>
          <cell r="E402" t="str">
            <v>M3</v>
          </cell>
          <cell r="F402">
            <v>2016</v>
          </cell>
          <cell r="G402" t="str">
            <v>17고9003</v>
          </cell>
          <cell r="H402" t="str">
            <v>WBS8M9104G5D79894</v>
          </cell>
          <cell r="I402">
            <v>46045</v>
          </cell>
          <cell r="J402" t="str">
            <v>㈜ 해동자동차</v>
          </cell>
          <cell r="L402" t="str">
            <v>잔금</v>
          </cell>
          <cell r="M402" t="str">
            <v>100만원 회사통장 나감</v>
          </cell>
          <cell r="N402">
            <v>3716</v>
          </cell>
          <cell r="O402">
            <v>44</v>
          </cell>
          <cell r="P402">
            <v>3760</v>
          </cell>
          <cell r="Q402" t="str">
            <v>germany</v>
          </cell>
          <cell r="R402">
            <v>46050</v>
          </cell>
          <cell r="S402" t="str">
            <v>Ardijan Qorraj</v>
          </cell>
          <cell r="T402" t="str">
            <v>Ardijan Qorraj</v>
          </cell>
          <cell r="U402" t="str">
            <v>C6YRK7K2F</v>
          </cell>
          <cell r="V402">
            <v>4917655744700</v>
          </cell>
          <cell r="W402" t="str">
            <v>Germany, Piepersweg 35 (41066)</v>
          </cell>
          <cell r="X402">
            <v>1465</v>
          </cell>
          <cell r="AB402">
            <v>1717</v>
          </cell>
          <cell r="AC402">
            <v>21130</v>
          </cell>
          <cell r="AD402">
            <v>1067</v>
          </cell>
          <cell r="AF402">
            <v>21730</v>
          </cell>
        </row>
        <row r="403">
          <cell r="A403">
            <v>401</v>
          </cell>
          <cell r="B403">
            <v>45678</v>
          </cell>
          <cell r="C403" t="str">
            <v>AUDI A7</v>
          </cell>
          <cell r="D403" t="str">
            <v>AUDI</v>
          </cell>
          <cell r="E403" t="str">
            <v>A7</v>
          </cell>
          <cell r="F403">
            <v>2012</v>
          </cell>
          <cell r="G403" t="str">
            <v>57서1910</v>
          </cell>
          <cell r="H403" t="str">
            <v xml:space="preserve"> WAUZZZ4G4CN106464</v>
          </cell>
          <cell r="I403">
            <v>46044</v>
          </cell>
          <cell r="J403" t="str">
            <v>㈜오토웨이</v>
          </cell>
          <cell r="K403">
            <v>1</v>
          </cell>
          <cell r="L403" t="str">
            <v>잔금</v>
          </cell>
          <cell r="M403" t="str">
            <v>50만원 회사통장 나감</v>
          </cell>
          <cell r="N403">
            <v>1044</v>
          </cell>
          <cell r="P403">
            <v>1044</v>
          </cell>
          <cell r="Q403" t="str">
            <v>done</v>
          </cell>
          <cell r="R403">
            <v>46049</v>
          </cell>
          <cell r="S403" t="str">
            <v>RIZA</v>
          </cell>
          <cell r="T403" t="str">
            <v>Riza Qosja</v>
          </cell>
          <cell r="U403" t="str">
            <v>M33304205K</v>
          </cell>
          <cell r="V403" t="str">
            <v>355 682769063</v>
          </cell>
          <cell r="W403" t="str">
            <v>Albania</v>
          </cell>
          <cell r="X403">
            <v>1465</v>
          </cell>
          <cell r="AB403">
            <v>1717</v>
          </cell>
          <cell r="AC403">
            <v>5975</v>
          </cell>
          <cell r="AD403">
            <v>1425</v>
          </cell>
          <cell r="AE403">
            <v>7400</v>
          </cell>
          <cell r="AF403">
            <v>11520</v>
          </cell>
        </row>
        <row r="404">
          <cell r="A404">
            <v>402</v>
          </cell>
          <cell r="B404">
            <v>45678</v>
          </cell>
          <cell r="C404" t="str">
            <v>KIA BONGGO</v>
          </cell>
          <cell r="D404" t="str">
            <v>KIA</v>
          </cell>
          <cell r="E404" t="str">
            <v>BONGGO</v>
          </cell>
          <cell r="F404">
            <v>2012</v>
          </cell>
          <cell r="G404" t="str">
            <v>98라5420</v>
          </cell>
          <cell r="H404" t="str">
            <v xml:space="preserve"> KNCSJZ74ABK575757</v>
          </cell>
          <cell r="I404">
            <v>46048</v>
          </cell>
          <cell r="L404" t="str">
            <v>잔금</v>
          </cell>
          <cell r="M404" t="str">
            <v>50만원 회사통장 나감</v>
          </cell>
          <cell r="N404">
            <v>1000</v>
          </cell>
          <cell r="O404">
            <v>44</v>
          </cell>
          <cell r="P404">
            <v>1044</v>
          </cell>
          <cell r="Q404" t="str">
            <v>DONE</v>
          </cell>
          <cell r="R404">
            <v>46050</v>
          </cell>
          <cell r="S404" t="str">
            <v>Albaroma shpk</v>
          </cell>
          <cell r="T404" t="str">
            <v>Albaroma shpk</v>
          </cell>
          <cell r="U404" t="str">
            <v>K54814201W</v>
          </cell>
          <cell r="V404" t="str">
            <v>44 7387 267606</v>
          </cell>
          <cell r="W404" t="str">
            <v>Albania</v>
          </cell>
          <cell r="X404">
            <v>1465</v>
          </cell>
          <cell r="AB404">
            <v>1717</v>
          </cell>
          <cell r="AC404">
            <v>7135</v>
          </cell>
          <cell r="AD404">
            <v>3365</v>
          </cell>
          <cell r="AE404">
            <v>10500</v>
          </cell>
        </row>
        <row r="405">
          <cell r="A405">
            <v>403</v>
          </cell>
          <cell r="B405">
            <v>45678</v>
          </cell>
          <cell r="C405" t="str">
            <v>BENZ E250</v>
          </cell>
          <cell r="D405" t="str">
            <v>BENZ</v>
          </cell>
          <cell r="E405" t="str">
            <v>E250</v>
          </cell>
          <cell r="G405" t="str">
            <v>253두6220</v>
          </cell>
          <cell r="H405" t="str">
            <v xml:space="preserve">WDDHF8CB4EA887994 </v>
          </cell>
          <cell r="I405">
            <v>46044</v>
          </cell>
          <cell r="J405" t="str">
            <v>㈜셀마카</v>
          </cell>
          <cell r="K405">
            <v>5</v>
          </cell>
          <cell r="L405" t="str">
            <v>잔금</v>
          </cell>
          <cell r="M405" t="str">
            <v>50만원 대표님 계약</v>
          </cell>
          <cell r="N405">
            <v>726</v>
          </cell>
          <cell r="O405">
            <v>44</v>
          </cell>
          <cell r="P405">
            <v>770</v>
          </cell>
          <cell r="Q405" t="str">
            <v>done</v>
          </cell>
          <cell r="R405">
            <v>46049</v>
          </cell>
          <cell r="S405" t="str">
            <v>CALJA</v>
          </cell>
          <cell r="T405" t="str">
            <v>ERNESTO BULLARI</v>
          </cell>
          <cell r="U405" t="str">
            <v>K60726019Q</v>
          </cell>
          <cell r="V405" t="str">
            <v>355 69 550 5533</v>
          </cell>
          <cell r="W405" t="str">
            <v>Albania</v>
          </cell>
          <cell r="X405">
            <v>1465</v>
          </cell>
          <cell r="AB405">
            <v>1717</v>
          </cell>
          <cell r="AC405">
            <v>4495</v>
          </cell>
          <cell r="AD405">
            <v>1425</v>
          </cell>
          <cell r="AE405">
            <v>5920</v>
          </cell>
          <cell r="AF405">
            <v>6220</v>
          </cell>
        </row>
        <row r="406">
          <cell r="A406">
            <v>404</v>
          </cell>
          <cell r="B406">
            <v>45678</v>
          </cell>
          <cell r="C406" t="str">
            <v>BENZ ML350 BLUETEC 4MATIC</v>
          </cell>
          <cell r="D406" t="str">
            <v>BENZ</v>
          </cell>
          <cell r="E406" t="str">
            <v>ML350 BLUETEC 4MATIC</v>
          </cell>
          <cell r="G406" t="str">
            <v>32로4380</v>
          </cell>
          <cell r="H406" t="str">
            <v>WDCDA2EB9EA416919</v>
          </cell>
          <cell r="I406">
            <v>46043</v>
          </cell>
          <cell r="J406" t="str">
            <v>개인매입: 문서정</v>
          </cell>
          <cell r="L406" t="str">
            <v>잔금</v>
          </cell>
          <cell r="M406" t="str">
            <v>50만원 회사통장 나감</v>
          </cell>
          <cell r="N406">
            <v>1425</v>
          </cell>
          <cell r="P406">
            <v>1425</v>
          </cell>
          <cell r="Q406" t="str">
            <v>이용빈 팔았음</v>
          </cell>
          <cell r="R406" t="str">
            <v>재고</v>
          </cell>
          <cell r="S406" t="str">
            <v>재고</v>
          </cell>
          <cell r="X406">
            <v>1465</v>
          </cell>
          <cell r="AB406">
            <v>1717</v>
          </cell>
          <cell r="AC406">
            <v>0</v>
          </cell>
        </row>
        <row r="407">
          <cell r="A407">
            <v>405</v>
          </cell>
          <cell r="B407">
            <v>45678</v>
          </cell>
          <cell r="C407" t="str">
            <v>BENZ S400 d 4MaticL</v>
          </cell>
          <cell r="D407" t="str">
            <v>BENZ</v>
          </cell>
          <cell r="E407" t="str">
            <v>S400 d 4MaticL</v>
          </cell>
          <cell r="G407" t="str">
            <v>05누8046</v>
          </cell>
          <cell r="H407" t="str">
            <v xml:space="preserve"> WDDUG3FBXJA360028</v>
          </cell>
          <cell r="I407">
            <v>46048</v>
          </cell>
          <cell r="J407" t="str">
            <v>㈜뉴카카</v>
          </cell>
          <cell r="L407" t="str">
            <v>잔금</v>
          </cell>
          <cell r="M407" t="str">
            <v>100만원 회사통장 나감</v>
          </cell>
          <cell r="N407">
            <v>4780</v>
          </cell>
          <cell r="P407">
            <v>4780</v>
          </cell>
          <cell r="Q407" t="str">
            <v>germany</v>
          </cell>
          <cell r="R407">
            <v>46050</v>
          </cell>
          <cell r="S407" t="str">
            <v>Ardijan Qorraj</v>
          </cell>
          <cell r="T407" t="str">
            <v>Ardijan Qorraj</v>
          </cell>
          <cell r="U407" t="str">
            <v>C6YRK7K2F</v>
          </cell>
          <cell r="V407">
            <v>4917655744700</v>
          </cell>
          <cell r="W407" t="str">
            <v>Germany, Piepersweg 35 (41066)</v>
          </cell>
          <cell r="X407">
            <v>1465</v>
          </cell>
          <cell r="AB407">
            <v>1717</v>
          </cell>
          <cell r="AC407">
            <v>26700</v>
          </cell>
          <cell r="AD407">
            <v>1067</v>
          </cell>
        </row>
        <row r="408">
          <cell r="A408">
            <v>406</v>
          </cell>
          <cell r="B408">
            <v>45678</v>
          </cell>
          <cell r="C408" t="str">
            <v>BMW 520D</v>
          </cell>
          <cell r="D408" t="str">
            <v>BMW</v>
          </cell>
          <cell r="E408" t="str">
            <v>520D</v>
          </cell>
          <cell r="G408" t="str">
            <v>157모3925</v>
          </cell>
          <cell r="H408" t="str">
            <v xml:space="preserve">WBAJC3106JG997247 </v>
          </cell>
          <cell r="I408">
            <v>46044</v>
          </cell>
          <cell r="J408" t="str">
            <v>㈜ 찐모터스</v>
          </cell>
          <cell r="K408">
            <v>2</v>
          </cell>
          <cell r="L408" t="str">
            <v>잔금</v>
          </cell>
          <cell r="M408" t="str">
            <v>50만원 회사통장 나감</v>
          </cell>
          <cell r="N408">
            <v>1970</v>
          </cell>
          <cell r="P408">
            <v>1970</v>
          </cell>
          <cell r="Q408" t="str">
            <v>done</v>
          </cell>
          <cell r="R408">
            <v>46049</v>
          </cell>
          <cell r="S408" t="str">
            <v>RIZA</v>
          </cell>
          <cell r="T408" t="str">
            <v>Riza Qosja</v>
          </cell>
          <cell r="U408" t="str">
            <v>M33304205K</v>
          </cell>
          <cell r="V408" t="str">
            <v>355 682769063</v>
          </cell>
          <cell r="W408" t="str">
            <v>Albania</v>
          </cell>
          <cell r="X408">
            <v>1465</v>
          </cell>
          <cell r="AB408">
            <v>1717</v>
          </cell>
          <cell r="AC408">
            <v>11105</v>
          </cell>
          <cell r="AD408">
            <v>1425</v>
          </cell>
          <cell r="AE408">
            <v>12530</v>
          </cell>
          <cell r="AF408">
            <v>13390</v>
          </cell>
        </row>
        <row r="409">
          <cell r="A409">
            <v>407</v>
          </cell>
          <cell r="B409">
            <v>45678</v>
          </cell>
          <cell r="C409" t="str">
            <v>JAGUAR XF 20D</v>
          </cell>
          <cell r="D409" t="str">
            <v>JAGUAR</v>
          </cell>
          <cell r="E409" t="str">
            <v>XF 20D</v>
          </cell>
          <cell r="G409" t="str">
            <v>48부3051</v>
          </cell>
          <cell r="H409" t="str">
            <v xml:space="preserve">SAJBB4BNXHCY42276 </v>
          </cell>
          <cell r="I409">
            <v>46048</v>
          </cell>
          <cell r="J409" t="str">
            <v>㈜수호모터스</v>
          </cell>
          <cell r="L409" t="str">
            <v>잔금</v>
          </cell>
          <cell r="M409" t="str">
            <v>50만원 회사통장 나감</v>
          </cell>
          <cell r="N409">
            <v>760</v>
          </cell>
          <cell r="O409">
            <v>44</v>
          </cell>
          <cell r="P409">
            <v>804</v>
          </cell>
          <cell r="Q409" t="str">
            <v>done</v>
          </cell>
          <cell r="R409">
            <v>46052</v>
          </cell>
          <cell r="S409" t="str">
            <v>ATLAS GROUP SH.P.K</v>
          </cell>
          <cell r="T409" t="str">
            <v>ATLAS GROUP SH.P.K</v>
          </cell>
          <cell r="U409">
            <v>812137455</v>
          </cell>
          <cell r="V409" t="str">
            <v>+38348702207</v>
          </cell>
          <cell r="W409" t="str">
            <v>Xhelal Hajda, p.n. Rahovec</v>
          </cell>
          <cell r="X409">
            <v>1465</v>
          </cell>
          <cell r="AB409">
            <v>1717</v>
          </cell>
          <cell r="AC409">
            <v>4685</v>
          </cell>
          <cell r="AD409">
            <v>1425</v>
          </cell>
          <cell r="AE409">
            <v>6110</v>
          </cell>
        </row>
        <row r="410">
          <cell r="A410">
            <v>408</v>
          </cell>
          <cell r="B410">
            <v>45678</v>
          </cell>
          <cell r="C410" t="str">
            <v>BENZ C220 BlueTEC</v>
          </cell>
          <cell r="D410" t="str">
            <v>BENZ</v>
          </cell>
          <cell r="E410" t="str">
            <v>C220 BlueTEC</v>
          </cell>
          <cell r="G410" t="str">
            <v>146보3739</v>
          </cell>
          <cell r="H410" t="str">
            <v xml:space="preserve">WDDWF0EB9FF054671 </v>
          </cell>
          <cell r="I410">
            <v>46044</v>
          </cell>
          <cell r="J410" t="str">
            <v>㈜송도자동차</v>
          </cell>
          <cell r="K410">
            <v>3</v>
          </cell>
          <cell r="L410" t="str">
            <v>잔금</v>
          </cell>
          <cell r="M410" t="str">
            <v>50만원 회사통장 나감</v>
          </cell>
          <cell r="N410">
            <v>1270</v>
          </cell>
          <cell r="P410">
            <v>1270</v>
          </cell>
          <cell r="Q410" t="str">
            <v>done</v>
          </cell>
          <cell r="R410">
            <v>46049</v>
          </cell>
          <cell r="S410" t="str">
            <v>CALJA</v>
          </cell>
          <cell r="T410" t="str">
            <v>GELE ZANI SHPK</v>
          </cell>
          <cell r="U410" t="str">
            <v>L87301801L</v>
          </cell>
          <cell r="V410" t="str">
            <v>355 69 550 5533</v>
          </cell>
          <cell r="W410" t="str">
            <v>Albania</v>
          </cell>
          <cell r="X410">
            <v>1465</v>
          </cell>
          <cell r="AB410">
            <v>1717</v>
          </cell>
          <cell r="AC410">
            <v>7225</v>
          </cell>
          <cell r="AD410">
            <v>1425</v>
          </cell>
          <cell r="AE410">
            <v>8650</v>
          </cell>
          <cell r="AF410">
            <v>17000</v>
          </cell>
        </row>
        <row r="411">
          <cell r="A411">
            <v>409</v>
          </cell>
          <cell r="B411">
            <v>45678</v>
          </cell>
          <cell r="C411" t="str">
            <v>KIA STONIC</v>
          </cell>
          <cell r="D411" t="str">
            <v>KIA</v>
          </cell>
          <cell r="E411" t="str">
            <v>STONIC</v>
          </cell>
          <cell r="G411" t="str">
            <v>05다5402</v>
          </cell>
          <cell r="H411" t="str">
            <v xml:space="preserve">KNADE815GJS111135 </v>
          </cell>
          <cell r="I411">
            <v>46044</v>
          </cell>
          <cell r="J411" t="str">
            <v>㈜해승모터스</v>
          </cell>
          <cell r="K411">
            <v>4</v>
          </cell>
          <cell r="L411" t="str">
            <v>잔금</v>
          </cell>
          <cell r="M411" t="str">
            <v>50만원 회사통장 나감</v>
          </cell>
          <cell r="N411">
            <v>990</v>
          </cell>
          <cell r="P411">
            <v>990</v>
          </cell>
          <cell r="Q411" t="str">
            <v>done</v>
          </cell>
          <cell r="R411">
            <v>46049</v>
          </cell>
          <cell r="S411" t="str">
            <v>ATLAS GROUP SH.P.K</v>
          </cell>
          <cell r="T411" t="str">
            <v>ATLAS GROUP SH.P.K</v>
          </cell>
          <cell r="U411">
            <v>812137455</v>
          </cell>
          <cell r="V411" t="str">
            <v>+38348702207</v>
          </cell>
          <cell r="W411" t="str">
            <v>Xhelal Hajda, p.n. Rahovec</v>
          </cell>
          <cell r="X411">
            <v>1465</v>
          </cell>
          <cell r="AB411">
            <v>1717</v>
          </cell>
          <cell r="AC411">
            <v>5805</v>
          </cell>
          <cell r="AD411">
            <v>1425</v>
          </cell>
          <cell r="AE411">
            <v>7230</v>
          </cell>
        </row>
        <row r="412">
          <cell r="A412">
            <v>410</v>
          </cell>
          <cell r="B412">
            <v>45678</v>
          </cell>
          <cell r="C412" t="str">
            <v>PORSCHE 718 BOXSTAR</v>
          </cell>
          <cell r="D412" t="str">
            <v>PORSCHE</v>
          </cell>
          <cell r="E412" t="str">
            <v>718 BOXSTAR</v>
          </cell>
          <cell r="G412" t="str">
            <v>32마9147</v>
          </cell>
          <cell r="H412" t="str">
            <v xml:space="preserve">WP0CA2982HS223039 </v>
          </cell>
          <cell r="I412">
            <v>46045</v>
          </cell>
          <cell r="J412" t="str">
            <v>㈜에스와이오토</v>
          </cell>
          <cell r="L412" t="str">
            <v>잔금</v>
          </cell>
          <cell r="M412" t="str">
            <v>50만원 대표님 계약</v>
          </cell>
          <cell r="N412">
            <v>3350</v>
          </cell>
          <cell r="P412">
            <v>3350</v>
          </cell>
          <cell r="Q412" t="str">
            <v>done</v>
          </cell>
          <cell r="R412">
            <v>46052</v>
          </cell>
          <cell r="S412" t="str">
            <v>DONI</v>
          </cell>
          <cell r="T412" t="str">
            <v>DONI</v>
          </cell>
          <cell r="U412">
            <v>933682</v>
          </cell>
          <cell r="V412" t="str">
            <v>3 8 3 4 9 3 2 5 7 0 3</v>
          </cell>
          <cell r="W412" t="str">
            <v xml:space="preserve"> HYZRI TALLA OB 16 HY 1 NR 18
 Kosovë</v>
          </cell>
          <cell r="X412">
            <v>1465</v>
          </cell>
          <cell r="AB412">
            <v>1717</v>
          </cell>
          <cell r="AC412">
            <v>18775</v>
          </cell>
          <cell r="AD412">
            <v>1425</v>
          </cell>
          <cell r="AE412">
            <v>20200</v>
          </cell>
          <cell r="AF412">
            <v>20600</v>
          </cell>
        </row>
        <row r="413">
          <cell r="A413">
            <v>411</v>
          </cell>
          <cell r="B413">
            <v>46043</v>
          </cell>
          <cell r="C413" t="str">
            <v>AUDI A6</v>
          </cell>
          <cell r="D413" t="str">
            <v>AUDI</v>
          </cell>
          <cell r="E413" t="str">
            <v>A6</v>
          </cell>
          <cell r="G413" t="str">
            <v>03도1867</v>
          </cell>
          <cell r="H413" t="str">
            <v>WAUZZZ4G7JN111736</v>
          </cell>
          <cell r="I413">
            <v>46048</v>
          </cell>
          <cell r="J413" t="str">
            <v>㈜ 고물상</v>
          </cell>
          <cell r="L413" t="str">
            <v>잔금</v>
          </cell>
          <cell r="M413" t="str">
            <v>50만원 대표님 계약</v>
          </cell>
          <cell r="N413">
            <v>1490</v>
          </cell>
          <cell r="P413">
            <v>1490</v>
          </cell>
          <cell r="Q413" t="str">
            <v>done</v>
          </cell>
          <cell r="R413">
            <v>46052</v>
          </cell>
          <cell r="S413" t="str">
            <v>Auto Posh SH.P.K</v>
          </cell>
          <cell r="T413" t="str">
            <v>Auto Posh SH.P.K</v>
          </cell>
          <cell r="U413">
            <v>812219427</v>
          </cell>
          <cell r="V413" t="str">
            <v>38345560145</v>
          </cell>
          <cell r="W413" t="str">
            <v xml:space="preserve"> Rruga Jakup Lami, Pn. Greme, Feriza</v>
          </cell>
          <cell r="X413">
            <v>1465</v>
          </cell>
          <cell r="AB413">
            <v>1717</v>
          </cell>
          <cell r="AC413">
            <v>8375</v>
          </cell>
          <cell r="AD413">
            <v>1425</v>
          </cell>
          <cell r="AE413">
            <v>9800</v>
          </cell>
        </row>
        <row r="414">
          <cell r="A414">
            <v>412</v>
          </cell>
          <cell r="B414">
            <v>46043</v>
          </cell>
          <cell r="C414" t="str">
            <v>VOLKSWAGENS TIGUAN</v>
          </cell>
          <cell r="D414" t="str">
            <v>VOLKSWAGENS</v>
          </cell>
          <cell r="E414" t="str">
            <v>TIGUAN</v>
          </cell>
          <cell r="F414">
            <v>2018</v>
          </cell>
          <cell r="G414" t="str">
            <v>56주5094</v>
          </cell>
          <cell r="H414" t="str">
            <v xml:space="preserve">WVGZZZ5NZJW918569 </v>
          </cell>
          <cell r="I414">
            <v>46048</v>
          </cell>
          <cell r="J414" t="str">
            <v>㈜세이프중고차</v>
          </cell>
          <cell r="K414" t="str">
            <v>GMT</v>
          </cell>
          <cell r="L414" t="str">
            <v>잔금</v>
          </cell>
          <cell r="M414" t="str">
            <v>50만원 헤이맨통장 나감</v>
          </cell>
          <cell r="N414">
            <v>1904</v>
          </cell>
          <cell r="P414">
            <v>1904</v>
          </cell>
          <cell r="Q414" t="str">
            <v>done</v>
          </cell>
          <cell r="R414">
            <v>46052</v>
          </cell>
          <cell r="S414" t="str">
            <v>R.S.h L.L.C.</v>
          </cell>
          <cell r="T414" t="str">
            <v>R.Sh L.L.C.</v>
          </cell>
          <cell r="U414">
            <v>812326016</v>
          </cell>
          <cell r="V414" t="str">
            <v>+383486 611 61</v>
          </cell>
          <cell r="W414" t="str">
            <v>Kosovo</v>
          </cell>
          <cell r="X414">
            <v>1465</v>
          </cell>
          <cell r="AB414">
            <v>1717</v>
          </cell>
          <cell r="AC414">
            <v>10670</v>
          </cell>
          <cell r="AD414">
            <v>1510</v>
          </cell>
          <cell r="AE414">
            <v>12180</v>
          </cell>
        </row>
        <row r="415">
          <cell r="A415">
            <v>413</v>
          </cell>
          <cell r="B415">
            <v>45678</v>
          </cell>
          <cell r="C415" t="str">
            <v>RANGE ROVER DISCOVERY SPORT</v>
          </cell>
          <cell r="D415" t="str">
            <v>RANGE ROVER</v>
          </cell>
          <cell r="E415" t="str">
            <v>DISCOVERY SPORT</v>
          </cell>
          <cell r="G415" t="str">
            <v>10버6167</v>
          </cell>
          <cell r="H415" t="str">
            <v xml:space="preserve">SALCA2BN1HH712604 </v>
          </cell>
          <cell r="I415">
            <v>46048</v>
          </cell>
          <cell r="J415" t="str">
            <v>㈜ 인하모터스</v>
          </cell>
          <cell r="L415" t="str">
            <v>잔금</v>
          </cell>
          <cell r="M415" t="str">
            <v>50만원 회사통장 나감</v>
          </cell>
          <cell r="N415">
            <v>900</v>
          </cell>
          <cell r="P415">
            <v>900</v>
          </cell>
          <cell r="Q415" t="str">
            <v>done</v>
          </cell>
          <cell r="R415">
            <v>46052</v>
          </cell>
          <cell r="S415" t="str">
            <v>VILLA KOHA</v>
          </cell>
          <cell r="T415" t="str">
            <v>VILLA KOHA SH.P.K</v>
          </cell>
          <cell r="U415">
            <v>810039588</v>
          </cell>
          <cell r="V415" t="str">
            <v>383 49247777</v>
          </cell>
          <cell r="W415" t="str">
            <v>KOSOVO</v>
          </cell>
          <cell r="X415">
            <v>1465</v>
          </cell>
          <cell r="AB415">
            <v>1717</v>
          </cell>
          <cell r="AC415">
            <v>5160</v>
          </cell>
          <cell r="AD415">
            <v>1510</v>
          </cell>
          <cell r="AE415">
            <v>6670</v>
          </cell>
          <cell r="AF415">
            <v>6670</v>
          </cell>
        </row>
        <row r="416">
          <cell r="A416">
            <v>414</v>
          </cell>
          <cell r="B416">
            <v>46043</v>
          </cell>
          <cell r="C416" t="str">
            <v>AUDI A6</v>
          </cell>
          <cell r="D416" t="str">
            <v>AUDI</v>
          </cell>
          <cell r="E416" t="str">
            <v>A6</v>
          </cell>
          <cell r="F416">
            <v>2016</v>
          </cell>
          <cell r="G416" t="str">
            <v>02노0547</v>
          </cell>
          <cell r="H416" t="str">
            <v>WAUZZZ4G5GN099725</v>
          </cell>
          <cell r="I416">
            <v>46048</v>
          </cell>
          <cell r="K416" t="str">
            <v>GMT</v>
          </cell>
          <cell r="L416" t="str">
            <v>잔금</v>
          </cell>
          <cell r="M416" t="str">
            <v>50만원 헤이맨통장 나감</v>
          </cell>
          <cell r="N416">
            <v>1626</v>
          </cell>
          <cell r="O416">
            <v>44</v>
          </cell>
          <cell r="P416">
            <v>1670</v>
          </cell>
          <cell r="Q416" t="str">
            <v>done</v>
          </cell>
          <cell r="R416">
            <v>46052</v>
          </cell>
          <cell r="S416" t="str">
            <v>R.S.h L.L.C.</v>
          </cell>
          <cell r="T416" t="str">
            <v>R.Sh L.L.C.</v>
          </cell>
          <cell r="U416">
            <v>812326016</v>
          </cell>
          <cell r="V416" t="str">
            <v>+383486 611 61</v>
          </cell>
          <cell r="W416" t="str">
            <v>Kosovo</v>
          </cell>
          <cell r="X416">
            <v>1465</v>
          </cell>
          <cell r="AB416">
            <v>1717</v>
          </cell>
          <cell r="AC416">
            <v>9355</v>
          </cell>
          <cell r="AD416">
            <v>1425</v>
          </cell>
          <cell r="AE416">
            <v>10780</v>
          </cell>
          <cell r="AF416">
            <v>10780</v>
          </cell>
        </row>
        <row r="417">
          <cell r="A417">
            <v>415</v>
          </cell>
          <cell r="B417">
            <v>45679</v>
          </cell>
          <cell r="C417" t="str">
            <v>Jeep Cherokee</v>
          </cell>
          <cell r="D417" t="str">
            <v>Jeep</v>
          </cell>
          <cell r="E417" t="str">
            <v>Cherokee</v>
          </cell>
          <cell r="G417" t="str">
            <v>16노1434</v>
          </cell>
          <cell r="H417" t="str">
            <v>1C4PJMJUXGW339974</v>
          </cell>
          <cell r="I417">
            <v>46049</v>
          </cell>
          <cell r="J417" t="str">
            <v>㈜왕카</v>
          </cell>
          <cell r="L417" t="str">
            <v>잔금</v>
          </cell>
          <cell r="M417" t="str">
            <v>50만원 대표님 계약</v>
          </cell>
          <cell r="N417">
            <v>934</v>
          </cell>
          <cell r="P417">
            <v>934</v>
          </cell>
          <cell r="Q417" t="str">
            <v>done</v>
          </cell>
          <cell r="R417">
            <v>46052</v>
          </cell>
          <cell r="S417" t="str">
            <v>ATLAS GROUP SH.P.K</v>
          </cell>
          <cell r="T417" t="str">
            <v>ATLAS GROUP SH.P.K</v>
          </cell>
          <cell r="U417">
            <v>812137455</v>
          </cell>
          <cell r="V417" t="str">
            <v>+38348702207</v>
          </cell>
          <cell r="W417" t="str">
            <v>Xhelal Hajda, p.n. Rahovec</v>
          </cell>
          <cell r="X417">
            <v>1454</v>
          </cell>
          <cell r="AB417">
            <v>1696</v>
          </cell>
          <cell r="AC417">
            <v>5353</v>
          </cell>
          <cell r="AD417">
            <v>1517</v>
          </cell>
          <cell r="AE417">
            <v>6870</v>
          </cell>
          <cell r="AF417">
            <v>6930</v>
          </cell>
        </row>
        <row r="418">
          <cell r="A418">
            <v>416</v>
          </cell>
          <cell r="B418">
            <v>45679</v>
          </cell>
          <cell r="C418" t="str">
            <v>AUDI Q3 35 TDI QUATTRO</v>
          </cell>
          <cell r="D418" t="str">
            <v>AUDI</v>
          </cell>
          <cell r="E418" t="str">
            <v>Q3 35 TDI QUATTRO</v>
          </cell>
          <cell r="G418" t="str">
            <v>22모2955</v>
          </cell>
          <cell r="H418" t="str">
            <v>WAUZZZ8UXFR001246</v>
          </cell>
          <cell r="I418">
            <v>46049</v>
          </cell>
          <cell r="J418" t="str">
            <v>㈜엔에이치카</v>
          </cell>
          <cell r="L418" t="str">
            <v>잔금</v>
          </cell>
          <cell r="M418" t="str">
            <v>50만원 회사통장 나감</v>
          </cell>
          <cell r="N418">
            <v>1126</v>
          </cell>
          <cell r="O418">
            <v>44</v>
          </cell>
          <cell r="P418">
            <v>1170</v>
          </cell>
          <cell r="Q418" t="str">
            <v>done</v>
          </cell>
          <cell r="R418">
            <v>46052</v>
          </cell>
          <cell r="S418" t="str">
            <v xml:space="preserve">Andrea Kasa </v>
          </cell>
          <cell r="T418" t="str">
            <v>HIDA ALBAN</v>
          </cell>
          <cell r="U418" t="str">
            <v>K30726040I</v>
          </cell>
          <cell r="V418" t="str">
            <v>355 69 746 2556</v>
          </cell>
          <cell r="W418" t="str">
            <v>Albania</v>
          </cell>
          <cell r="X418">
            <v>1468</v>
          </cell>
          <cell r="AB418">
            <v>1707</v>
          </cell>
          <cell r="AC418">
            <v>6608</v>
          </cell>
          <cell r="AD418">
            <v>1522</v>
          </cell>
          <cell r="AE418">
            <v>8130</v>
          </cell>
          <cell r="AF418">
            <v>8640</v>
          </cell>
        </row>
        <row r="419">
          <cell r="A419">
            <v>417</v>
          </cell>
          <cell r="B419">
            <v>46044</v>
          </cell>
          <cell r="C419" t="str">
            <v>AUDI Q5</v>
          </cell>
          <cell r="D419" t="str">
            <v>AUDI</v>
          </cell>
          <cell r="E419" t="str">
            <v>Q5</v>
          </cell>
          <cell r="G419" t="str">
            <v>135우3731</v>
          </cell>
          <cell r="H419" t="str">
            <v>WAUZZZFY8M2112213</v>
          </cell>
          <cell r="I419">
            <v>46048</v>
          </cell>
          <cell r="J419" t="str">
            <v>경매장 -현대글로비스</v>
          </cell>
          <cell r="K419" t="str">
            <v>GMT</v>
          </cell>
          <cell r="L419" t="str">
            <v>잔금</v>
          </cell>
          <cell r="N419">
            <v>3430</v>
          </cell>
          <cell r="O419">
            <v>44</v>
          </cell>
          <cell r="P419">
            <v>3474</v>
          </cell>
          <cell r="Q419" t="str">
            <v>done</v>
          </cell>
          <cell r="R419">
            <v>46052</v>
          </cell>
          <cell r="S419" t="str">
            <v>R.S.h L.L.C.</v>
          </cell>
          <cell r="T419" t="str">
            <v>R.Sh L.L.C.</v>
          </cell>
          <cell r="U419">
            <v>812326016</v>
          </cell>
          <cell r="V419" t="str">
            <v>+383486 611 61</v>
          </cell>
          <cell r="W419" t="str">
            <v>Kosovo</v>
          </cell>
          <cell r="X419">
            <v>1468</v>
          </cell>
          <cell r="AB419">
            <v>1707</v>
          </cell>
          <cell r="AC419">
            <v>20878</v>
          </cell>
          <cell r="AD419">
            <v>1522</v>
          </cell>
          <cell r="AE419">
            <v>22400</v>
          </cell>
          <cell r="AF419">
            <v>20960</v>
          </cell>
        </row>
        <row r="420">
          <cell r="A420">
            <v>418</v>
          </cell>
          <cell r="B420">
            <v>46047</v>
          </cell>
          <cell r="C420" t="str">
            <v>BENZ E220d</v>
          </cell>
          <cell r="D420" t="str">
            <v>BENZ</v>
          </cell>
          <cell r="E420" t="str">
            <v>E220d</v>
          </cell>
          <cell r="G420" t="str">
            <v>19조0257</v>
          </cell>
          <cell r="H420" t="str">
            <v xml:space="preserve">WDDZF0EB4HA107760 </v>
          </cell>
          <cell r="I420">
            <v>46049</v>
          </cell>
          <cell r="J420" t="str">
            <v>㈜카베이</v>
          </cell>
          <cell r="L420" t="str">
            <v>잔금</v>
          </cell>
          <cell r="M420" t="str">
            <v>100만원 대표님 계약</v>
          </cell>
          <cell r="N420">
            <v>1750</v>
          </cell>
          <cell r="P420">
            <v>1750</v>
          </cell>
          <cell r="Q420" t="str">
            <v>done</v>
          </cell>
          <cell r="R420">
            <v>46052</v>
          </cell>
          <cell r="S420" t="str">
            <v>Auto Posh SH.P.K</v>
          </cell>
          <cell r="T420" t="str">
            <v>Auto Posh SH.P.K</v>
          </cell>
          <cell r="U420">
            <v>812219427</v>
          </cell>
          <cell r="V420" t="str">
            <v>38345560145</v>
          </cell>
          <cell r="W420" t="str">
            <v xml:space="preserve"> Rruga Jakup Lami, Pn. Greme, Feriza</v>
          </cell>
          <cell r="X420">
            <v>1441</v>
          </cell>
          <cell r="AB420">
            <v>1711</v>
          </cell>
          <cell r="AC420">
            <v>9823</v>
          </cell>
          <cell r="AD420">
            <v>1407</v>
          </cell>
          <cell r="AE420">
            <v>11230</v>
          </cell>
        </row>
        <row r="421">
          <cell r="A421">
            <v>419</v>
          </cell>
          <cell r="B421">
            <v>46047</v>
          </cell>
          <cell r="C421" t="str">
            <v>HYUNDAI SANTAFE</v>
          </cell>
          <cell r="D421" t="str">
            <v>HYUNDAI</v>
          </cell>
          <cell r="E421" t="str">
            <v>SANTAFE</v>
          </cell>
          <cell r="G421" t="str">
            <v>48더4348</v>
          </cell>
          <cell r="H421" t="str">
            <v>KMHSW81UBJU828201</v>
          </cell>
          <cell r="I421">
            <v>46049</v>
          </cell>
          <cell r="J421" t="str">
            <v>㈜ 브라더 모터스</v>
          </cell>
          <cell r="L421" t="str">
            <v>잔금</v>
          </cell>
          <cell r="M421" t="str">
            <v>50만원 대표님 계약</v>
          </cell>
          <cell r="N421">
            <v>1080</v>
          </cell>
          <cell r="P421">
            <v>1080</v>
          </cell>
          <cell r="Q421" t="str">
            <v>done</v>
          </cell>
          <cell r="R421">
            <v>46052</v>
          </cell>
          <cell r="S421" t="str">
            <v>Auto Posh SH.P.K</v>
          </cell>
          <cell r="T421" t="str">
            <v>Auto Posh SH.P.K</v>
          </cell>
          <cell r="U421">
            <v>812219427</v>
          </cell>
          <cell r="V421" t="str">
            <v>38345560145</v>
          </cell>
          <cell r="W421" t="str">
            <v xml:space="preserve"> Rruga Jakup Lami, Pn. Greme, Feriza</v>
          </cell>
          <cell r="X421">
            <v>1441</v>
          </cell>
          <cell r="AB421">
            <v>1711</v>
          </cell>
          <cell r="AC421">
            <v>6109</v>
          </cell>
          <cell r="AD421">
            <v>1491</v>
          </cell>
          <cell r="AE421">
            <v>7600</v>
          </cell>
        </row>
        <row r="422">
          <cell r="A422">
            <v>420</v>
          </cell>
          <cell r="B422">
            <v>46047</v>
          </cell>
          <cell r="C422" t="str">
            <v>BENZ E220d</v>
          </cell>
          <cell r="D422" t="str">
            <v>BENZ</v>
          </cell>
          <cell r="E422" t="str">
            <v>E220d</v>
          </cell>
          <cell r="G422" t="str">
            <v>144저3647</v>
          </cell>
          <cell r="H422" t="str">
            <v>WDDZF0EB2JA404905</v>
          </cell>
          <cell r="I422">
            <v>46050</v>
          </cell>
          <cell r="J422" t="str">
            <v>㈜ 유레카</v>
          </cell>
          <cell r="L422" t="str">
            <v>잔금</v>
          </cell>
          <cell r="M422" t="str">
            <v>50만원 대표님 계약</v>
          </cell>
          <cell r="N422">
            <v>1710</v>
          </cell>
          <cell r="P422">
            <v>1710</v>
          </cell>
          <cell r="Q422" t="str">
            <v>done</v>
          </cell>
          <cell r="R422">
            <v>46052</v>
          </cell>
          <cell r="S422" t="str">
            <v>Auto Posh SH.P.K</v>
          </cell>
          <cell r="T422" t="str">
            <v>Auto Posh SH.P.K</v>
          </cell>
          <cell r="U422">
            <v>812219427</v>
          </cell>
          <cell r="V422" t="str">
            <v>38345560145</v>
          </cell>
          <cell r="W422" t="str">
            <v xml:space="preserve"> Rruga Jakup Lami, Pn. Greme, Feriza</v>
          </cell>
          <cell r="X422">
            <v>1441</v>
          </cell>
          <cell r="AB422">
            <v>1711</v>
          </cell>
          <cell r="AC422">
            <v>9593</v>
          </cell>
          <cell r="AD422">
            <v>1407</v>
          </cell>
          <cell r="AE422">
            <v>11000</v>
          </cell>
        </row>
        <row r="423">
          <cell r="A423">
            <v>421</v>
          </cell>
          <cell r="B423">
            <v>46047</v>
          </cell>
          <cell r="C423" t="str">
            <v>BENZ E220d</v>
          </cell>
          <cell r="D423" t="str">
            <v>BENZ</v>
          </cell>
          <cell r="E423" t="str">
            <v>E220d</v>
          </cell>
          <cell r="G423" t="str">
            <v>28다0162</v>
          </cell>
          <cell r="H423" t="str">
            <v xml:space="preserve">WDDZF0EB0HA051476 </v>
          </cell>
          <cell r="I423">
            <v>46050</v>
          </cell>
          <cell r="J423" t="str">
            <v>㈜월드코터스</v>
          </cell>
          <cell r="L423" t="str">
            <v>잔금</v>
          </cell>
          <cell r="M423" t="str">
            <v>50만원 대표님 계약</v>
          </cell>
          <cell r="N423">
            <v>1596</v>
          </cell>
          <cell r="O423">
            <v>44</v>
          </cell>
          <cell r="P423">
            <v>1640</v>
          </cell>
          <cell r="Q423" t="str">
            <v>done</v>
          </cell>
          <cell r="R423">
            <v>46052</v>
          </cell>
          <cell r="S423" t="str">
            <v>Auto Posh SH.P.K</v>
          </cell>
          <cell r="T423" t="str">
            <v>Auto Posh SH.P.K</v>
          </cell>
          <cell r="U423">
            <v>812219427</v>
          </cell>
          <cell r="V423" t="str">
            <v>38345560145</v>
          </cell>
          <cell r="W423" t="str">
            <v xml:space="preserve"> Rruga Jakup Lami, Pn. Greme, Feriza</v>
          </cell>
          <cell r="X423">
            <v>1441</v>
          </cell>
          <cell r="AB423">
            <v>1711</v>
          </cell>
          <cell r="AC423">
            <v>9223</v>
          </cell>
          <cell r="AD423">
            <v>1407</v>
          </cell>
          <cell r="AE423">
            <v>10630</v>
          </cell>
          <cell r="AF423">
            <v>10650</v>
          </cell>
        </row>
        <row r="424">
          <cell r="A424">
            <v>422</v>
          </cell>
          <cell r="B424">
            <v>46047</v>
          </cell>
          <cell r="C424" t="str">
            <v>VOLVO S90</v>
          </cell>
          <cell r="D424" t="str">
            <v>VOLVO</v>
          </cell>
          <cell r="E424" t="str">
            <v>S90</v>
          </cell>
          <cell r="G424" t="str">
            <v>207다7502</v>
          </cell>
          <cell r="H424" t="str">
            <v>LVYPT062CMP237367</v>
          </cell>
          <cell r="I424">
            <v>46049</v>
          </cell>
          <cell r="J424" t="str">
            <v>㈜ 차란차 주식회사 수원오토월드 지점</v>
          </cell>
          <cell r="L424" t="str">
            <v>잔금</v>
          </cell>
          <cell r="M424" t="str">
            <v>100만원 대표님 계약</v>
          </cell>
          <cell r="N424">
            <v>3716</v>
          </cell>
          <cell r="P424">
            <v>3716</v>
          </cell>
          <cell r="Q424" t="str">
            <v>done</v>
          </cell>
          <cell r="R424">
            <v>46052</v>
          </cell>
          <cell r="S424" t="str">
            <v>ATLAS GROUP SH.P.K</v>
          </cell>
          <cell r="T424" t="str">
            <v>ATLAS GROUP SH.P.K</v>
          </cell>
          <cell r="U424">
            <v>812137455</v>
          </cell>
          <cell r="V424" t="str">
            <v>+38348702207</v>
          </cell>
          <cell r="W424" t="str">
            <v>Xhelal Hajda, p.n. Rahovec</v>
          </cell>
          <cell r="X424">
            <v>1441</v>
          </cell>
          <cell r="AB424">
            <v>1711</v>
          </cell>
          <cell r="AC424">
            <v>20943</v>
          </cell>
          <cell r="AD424">
            <v>1407</v>
          </cell>
          <cell r="AE424">
            <v>22350</v>
          </cell>
        </row>
        <row r="425">
          <cell r="A425">
            <v>423</v>
          </cell>
          <cell r="B425">
            <v>46049</v>
          </cell>
          <cell r="C425" t="str">
            <v>VOLKSWAGENS TIGUAN</v>
          </cell>
          <cell r="D425" t="str">
            <v>VOLKSWAGENS</v>
          </cell>
          <cell r="E425" t="str">
            <v>TIGUAN</v>
          </cell>
          <cell r="G425" t="str">
            <v>17모0989</v>
          </cell>
          <cell r="H425" t="str">
            <v>WVGZZZ5NZGW562908</v>
          </cell>
          <cell r="I425">
            <v>46048</v>
          </cell>
          <cell r="J425" t="str">
            <v>경매장 - 헤이딜러</v>
          </cell>
          <cell r="L425" t="str">
            <v>잔금</v>
          </cell>
          <cell r="N425">
            <v>1054</v>
          </cell>
          <cell r="O425">
            <v>35</v>
          </cell>
          <cell r="P425">
            <v>1089</v>
          </cell>
          <cell r="Q425" t="str">
            <v>done</v>
          </cell>
          <cell r="R425">
            <v>46052</v>
          </cell>
          <cell r="S425" t="str">
            <v>DONI</v>
          </cell>
          <cell r="T425" t="str">
            <v>DONI</v>
          </cell>
          <cell r="U425">
            <v>933682</v>
          </cell>
          <cell r="V425" t="str">
            <v>3 8 3 4 9 3 2 5 7 0 3</v>
          </cell>
          <cell r="W425" t="str">
            <v xml:space="preserve"> HYZRI TALLA OB 16 HY 1 NR 18
 Kosovë</v>
          </cell>
          <cell r="X425">
            <v>1436</v>
          </cell>
          <cell r="AB425">
            <v>1705</v>
          </cell>
          <cell r="AC425">
            <v>6229</v>
          </cell>
          <cell r="AD425">
            <v>1491</v>
          </cell>
          <cell r="AE425">
            <v>7720</v>
          </cell>
        </row>
        <row r="426">
          <cell r="A426">
            <v>424</v>
          </cell>
          <cell r="B426">
            <v>46049</v>
          </cell>
          <cell r="C426" t="str">
            <v>BMW 320d M Sport Package WLTP</v>
          </cell>
          <cell r="D426" t="str">
            <v>BMW</v>
          </cell>
          <cell r="E426" t="str">
            <v>320d M Sport Package WLTP</v>
          </cell>
          <cell r="G426" t="str">
            <v>33수1702</v>
          </cell>
          <cell r="H426" t="str">
            <v>WBA8C5102J5L45540</v>
          </cell>
          <cell r="I426">
            <v>46050</v>
          </cell>
          <cell r="J426" t="str">
            <v>경매장 - 헤이딜러</v>
          </cell>
          <cell r="L426" t="str">
            <v>잔금</v>
          </cell>
          <cell r="N426">
            <v>1200</v>
          </cell>
          <cell r="O426">
            <v>25</v>
          </cell>
          <cell r="P426">
            <v>1225</v>
          </cell>
          <cell r="Q426" t="str">
            <v>done</v>
          </cell>
          <cell r="R426">
            <v>46052</v>
          </cell>
          <cell r="S426" t="str">
            <v>DONI</v>
          </cell>
          <cell r="T426" t="str">
            <v>DONI</v>
          </cell>
          <cell r="U426">
            <v>933682</v>
          </cell>
          <cell r="V426" t="str">
            <v>3 8 3 4 9 3 2 5 7 0 3</v>
          </cell>
          <cell r="W426" t="str">
            <v xml:space="preserve"> HYZRI TALLA OB 16 HY 1 NR 18
 Kosovë</v>
          </cell>
          <cell r="X426">
            <v>1436</v>
          </cell>
          <cell r="AB426">
            <v>1705</v>
          </cell>
          <cell r="AC426">
            <v>7293</v>
          </cell>
          <cell r="AD426">
            <v>1407</v>
          </cell>
          <cell r="AE426">
            <v>8700</v>
          </cell>
          <cell r="AF426">
            <v>8750</v>
          </cell>
        </row>
        <row r="427">
          <cell r="A427">
            <v>425</v>
          </cell>
          <cell r="B427">
            <v>46049</v>
          </cell>
          <cell r="C427" t="str">
            <v>BENZ S350 BlueTEC</v>
          </cell>
          <cell r="D427" t="str">
            <v>BENZ</v>
          </cell>
          <cell r="E427" t="str">
            <v>S350 BlueTEC</v>
          </cell>
          <cell r="G427" t="str">
            <v>11보9366</v>
          </cell>
          <cell r="H427" t="str">
            <v>WDDUF3CB9FA164130</v>
          </cell>
          <cell r="I427">
            <v>46050</v>
          </cell>
          <cell r="J427" t="str">
            <v>㈜ 스마일 자동차</v>
          </cell>
          <cell r="L427" t="str">
            <v>잔금</v>
          </cell>
          <cell r="M427" t="str">
            <v>100만원 대표님 계약</v>
          </cell>
          <cell r="N427">
            <v>2104</v>
          </cell>
          <cell r="P427">
            <v>2104</v>
          </cell>
          <cell r="Q427" t="str">
            <v>done</v>
          </cell>
          <cell r="R427">
            <v>46052</v>
          </cell>
          <cell r="S427" t="str">
            <v>GAZI</v>
          </cell>
          <cell r="T427" t="str">
            <v>BRACJA ANDREA</v>
          </cell>
          <cell r="U427" t="str">
            <v>K30419015G</v>
          </cell>
          <cell r="V427" t="str">
            <v xml:space="preserve">355 69 834 3353 </v>
          </cell>
          <cell r="W427" t="str">
            <v>Albania</v>
          </cell>
          <cell r="X427">
            <v>1436</v>
          </cell>
          <cell r="AB427">
            <v>1705</v>
          </cell>
          <cell r="AC427">
            <v>11839</v>
          </cell>
          <cell r="AD427">
            <v>1491</v>
          </cell>
          <cell r="AE427">
            <v>13330</v>
          </cell>
          <cell r="AF427">
            <v>6000</v>
          </cell>
        </row>
        <row r="428">
          <cell r="A428">
            <v>426</v>
          </cell>
          <cell r="B428">
            <v>46059</v>
          </cell>
          <cell r="C428" t="str">
            <v>BENZ E300</v>
          </cell>
          <cell r="D428" t="str">
            <v>BENZ</v>
          </cell>
          <cell r="E428" t="str">
            <v>E300</v>
          </cell>
          <cell r="G428" t="str">
            <v>24가5004</v>
          </cell>
          <cell r="H428" t="str">
            <v>WDDHF5EB4AA131538</v>
          </cell>
          <cell r="J428" t="str">
            <v>경매장- AJ</v>
          </cell>
          <cell r="L428" t="str">
            <v>잔금</v>
          </cell>
          <cell r="N428">
            <v>420</v>
          </cell>
          <cell r="O428">
            <v>17</v>
          </cell>
          <cell r="P428">
            <v>437</v>
          </cell>
          <cell r="Q428" t="str">
            <v>DONE</v>
          </cell>
          <cell r="R428">
            <v>46063</v>
          </cell>
          <cell r="S428" t="str">
            <v xml:space="preserve">Andrea Kasa </v>
          </cell>
          <cell r="T428" t="str">
            <v>ANA KASA</v>
          </cell>
          <cell r="U428" t="str">
            <v>I35516015C</v>
          </cell>
          <cell r="V428" t="str">
            <v>355 69 746 2556</v>
          </cell>
          <cell r="W428" t="str">
            <v>Albania</v>
          </cell>
          <cell r="X428">
            <v>1458</v>
          </cell>
          <cell r="AB428">
            <v>1717</v>
          </cell>
          <cell r="AC428">
            <v>2702</v>
          </cell>
          <cell r="AD428">
            <v>1418</v>
          </cell>
          <cell r="AE428">
            <v>4120</v>
          </cell>
          <cell r="AF428">
            <v>10000</v>
          </cell>
        </row>
        <row r="429">
          <cell r="A429">
            <v>427</v>
          </cell>
          <cell r="B429">
            <v>46050</v>
          </cell>
          <cell r="C429" t="str">
            <v>CHEVROLET CRUZE</v>
          </cell>
          <cell r="D429" t="str">
            <v>CHEVROLET</v>
          </cell>
          <cell r="E429" t="str">
            <v>CRUZE</v>
          </cell>
          <cell r="G429" t="str">
            <v>27모8276</v>
          </cell>
          <cell r="H429" t="str">
            <v>KLAJA69CDGK341594</v>
          </cell>
          <cell r="I429">
            <v>46049</v>
          </cell>
          <cell r="K429" t="str">
            <v>GMT</v>
          </cell>
          <cell r="L429" t="str">
            <v>잔금</v>
          </cell>
          <cell r="M429" t="str">
            <v>헤이맨</v>
          </cell>
          <cell r="N429">
            <v>344</v>
          </cell>
          <cell r="P429">
            <v>344</v>
          </cell>
          <cell r="Q429" t="str">
            <v>done</v>
          </cell>
          <cell r="R429">
            <v>46052</v>
          </cell>
          <cell r="S429" t="str">
            <v>R.S.h L.L.C.</v>
          </cell>
          <cell r="T429" t="str">
            <v>R.Sh L.L.C.</v>
          </cell>
          <cell r="U429">
            <v>812326016</v>
          </cell>
          <cell r="V429" t="str">
            <v>+383486 611 61</v>
          </cell>
          <cell r="W429" t="str">
            <v>Kosovo</v>
          </cell>
          <cell r="X429">
            <v>1465</v>
          </cell>
          <cell r="AB429">
            <v>1717</v>
          </cell>
          <cell r="AC429">
            <v>2175</v>
          </cell>
          <cell r="AD429">
            <v>1425</v>
          </cell>
          <cell r="AE429">
            <v>3600</v>
          </cell>
          <cell r="AF429">
            <v>3600</v>
          </cell>
        </row>
        <row r="430">
          <cell r="A430">
            <v>428</v>
          </cell>
          <cell r="B430">
            <v>46059</v>
          </cell>
          <cell r="C430" t="str">
            <v>VOLKSWAGENS GOLF</v>
          </cell>
          <cell r="D430" t="str">
            <v>VOLKSWAGENS</v>
          </cell>
          <cell r="E430" t="str">
            <v>GOLF</v>
          </cell>
          <cell r="G430" t="str">
            <v>46구0259</v>
          </cell>
          <cell r="H430" t="str">
            <v>WVWZZZAUZGW098979</v>
          </cell>
          <cell r="J430" t="str">
            <v>경매장 - 헤이딜러</v>
          </cell>
          <cell r="L430" t="str">
            <v>잔금</v>
          </cell>
          <cell r="N430">
            <v>1044</v>
          </cell>
          <cell r="O430">
            <v>37</v>
          </cell>
          <cell r="P430">
            <v>1081</v>
          </cell>
          <cell r="Q430" t="str">
            <v>DONE</v>
          </cell>
          <cell r="R430">
            <v>46063</v>
          </cell>
          <cell r="S430" t="str">
            <v>DONI</v>
          </cell>
          <cell r="T430" t="str">
            <v>DONI</v>
          </cell>
          <cell r="U430">
            <v>933682</v>
          </cell>
          <cell r="V430" t="str">
            <v>3 8 3 4 9 3 2 5 7 0 3</v>
          </cell>
          <cell r="W430" t="str">
            <v xml:space="preserve"> HYZRI TALLA OB 16 HY 1 NR 18
 Kosovë</v>
          </cell>
          <cell r="X430">
            <v>1458</v>
          </cell>
          <cell r="AB430">
            <v>1717</v>
          </cell>
          <cell r="AC430">
            <v>6152</v>
          </cell>
          <cell r="AD430">
            <v>1418</v>
          </cell>
          <cell r="AE430">
            <v>7570</v>
          </cell>
        </row>
        <row r="431">
          <cell r="A431">
            <v>429</v>
          </cell>
          <cell r="B431">
            <v>46051</v>
          </cell>
          <cell r="C431" t="str">
            <v>BENZ GLK220D</v>
          </cell>
          <cell r="D431" t="str">
            <v>BENZ</v>
          </cell>
          <cell r="E431" t="str">
            <v>GLK220D</v>
          </cell>
          <cell r="G431" t="str">
            <v>21도9229</v>
          </cell>
          <cell r="H431" t="str">
            <v>WDCGG8EB2EG160649</v>
          </cell>
          <cell r="I431">
            <v>46058</v>
          </cell>
          <cell r="J431" t="str">
            <v>㈜카팔</v>
          </cell>
          <cell r="L431" t="str">
            <v>잔금</v>
          </cell>
          <cell r="M431" t="str">
            <v>50만원 회사통장 나감</v>
          </cell>
          <cell r="N431">
            <v>880</v>
          </cell>
          <cell r="O431">
            <v>44</v>
          </cell>
          <cell r="P431">
            <v>924</v>
          </cell>
          <cell r="Q431" t="str">
            <v>DONE</v>
          </cell>
          <cell r="R431">
            <v>46063</v>
          </cell>
          <cell r="S431" t="str">
            <v>CALJA</v>
          </cell>
          <cell r="T431" t="str">
            <v>Calja Marius</v>
          </cell>
          <cell r="U431" t="str">
            <v>M43323203V</v>
          </cell>
          <cell r="V431" t="str">
            <v>355 69 550 5533</v>
          </cell>
          <cell r="W431" t="str">
            <v>Albania</v>
          </cell>
          <cell r="X431">
            <v>1421</v>
          </cell>
          <cell r="AB431">
            <v>1700</v>
          </cell>
          <cell r="AC431">
            <v>4270</v>
          </cell>
          <cell r="AD431">
            <v>1480</v>
          </cell>
          <cell r="AE431">
            <v>5750</v>
          </cell>
          <cell r="AF431">
            <v>4800</v>
          </cell>
        </row>
        <row r="432">
          <cell r="A432">
            <v>430</v>
          </cell>
          <cell r="B432">
            <v>46051</v>
          </cell>
          <cell r="C432" t="str">
            <v>BENZ C220D</v>
          </cell>
          <cell r="D432" t="str">
            <v>BENZ</v>
          </cell>
          <cell r="E432" t="str">
            <v>C220D</v>
          </cell>
          <cell r="G432" t="str">
            <v>54다3368</v>
          </cell>
          <cell r="H432" t="str">
            <v>WDDWF0FB0HR217305</v>
          </cell>
          <cell r="I432">
            <v>46055</v>
          </cell>
          <cell r="J432" t="str">
            <v>㈜애미원모터스</v>
          </cell>
          <cell r="L432" t="str">
            <v>잔금</v>
          </cell>
          <cell r="M432" t="str">
            <v>50만원 대표님 계약</v>
          </cell>
          <cell r="N432">
            <v>1670</v>
          </cell>
          <cell r="O432">
            <v>44</v>
          </cell>
          <cell r="P432">
            <v>1714</v>
          </cell>
          <cell r="Q432" t="str">
            <v>DONE</v>
          </cell>
          <cell r="R432">
            <v>46063</v>
          </cell>
          <cell r="S432" t="str">
            <v>ATLAS GROUP SH.P.K</v>
          </cell>
          <cell r="T432" t="str">
            <v>ATLAS GROUP SH.P.K</v>
          </cell>
          <cell r="U432">
            <v>812137455</v>
          </cell>
          <cell r="V432" t="str">
            <v>+38348702207</v>
          </cell>
          <cell r="W432" t="str">
            <v>Xhelal Hajda, p.n. Rahovec</v>
          </cell>
          <cell r="X432">
            <v>1421</v>
          </cell>
          <cell r="AB432">
            <v>1700</v>
          </cell>
          <cell r="AC432">
            <v>9654</v>
          </cell>
          <cell r="AD432">
            <v>1396</v>
          </cell>
          <cell r="AE432">
            <v>11050</v>
          </cell>
          <cell r="AF432">
            <v>11110</v>
          </cell>
        </row>
        <row r="433">
          <cell r="A433">
            <v>431</v>
          </cell>
          <cell r="B433">
            <v>46051</v>
          </cell>
          <cell r="C433" t="str">
            <v>RENAULT QM3</v>
          </cell>
          <cell r="D433" t="str">
            <v>RENAULT</v>
          </cell>
          <cell r="E433" t="str">
            <v>QM3</v>
          </cell>
          <cell r="G433" t="str">
            <v>69도7304</v>
          </cell>
          <cell r="H433" t="str">
            <v>VF12RGJ1DHW703475</v>
          </cell>
          <cell r="J433" t="str">
            <v>경매장- Kcar</v>
          </cell>
          <cell r="K433" t="str">
            <v>HAESHIN</v>
          </cell>
          <cell r="L433" t="str">
            <v>잔금</v>
          </cell>
          <cell r="P433">
            <v>0</v>
          </cell>
          <cell r="Q433" t="str">
            <v>HEYMAN</v>
          </cell>
          <cell r="R433">
            <v>46063</v>
          </cell>
          <cell r="S433" t="str">
            <v>R.S.h L.L.C.</v>
          </cell>
          <cell r="T433" t="str">
            <v>R.Sh L.L.C.</v>
          </cell>
          <cell r="U433">
            <v>812326016</v>
          </cell>
          <cell r="V433" t="str">
            <v>+383486 611 61</v>
          </cell>
          <cell r="W433" t="str">
            <v>Kosovo</v>
          </cell>
          <cell r="X433">
            <v>1421</v>
          </cell>
          <cell r="AB433">
            <v>1700</v>
          </cell>
          <cell r="AC433">
            <v>3425</v>
          </cell>
          <cell r="AD433">
            <v>1145</v>
          </cell>
          <cell r="AE433">
            <v>4820</v>
          </cell>
          <cell r="AF433">
            <v>4820</v>
          </cell>
        </row>
        <row r="434">
          <cell r="A434">
            <v>432</v>
          </cell>
          <cell r="B434">
            <v>46051</v>
          </cell>
          <cell r="C434" t="str">
            <v>BMW 118D</v>
          </cell>
          <cell r="D434" t="str">
            <v>BMW</v>
          </cell>
          <cell r="E434" t="str">
            <v>118D</v>
          </cell>
          <cell r="G434" t="str">
            <v>67서8622</v>
          </cell>
          <cell r="H434" t="str">
            <v>WBA1C1108FV319638</v>
          </cell>
          <cell r="I434">
            <v>46059</v>
          </cell>
          <cell r="J434" t="str">
            <v>㈜카베이</v>
          </cell>
          <cell r="L434" t="str">
            <v>잔금</v>
          </cell>
          <cell r="M434" t="str">
            <v>50만원 회사통장 나감</v>
          </cell>
          <cell r="N434">
            <v>570</v>
          </cell>
          <cell r="O434">
            <v>44</v>
          </cell>
          <cell r="P434">
            <v>614</v>
          </cell>
          <cell r="Q434" t="str">
            <v>DONE</v>
          </cell>
          <cell r="R434">
            <v>46063</v>
          </cell>
          <cell r="S434" t="str">
            <v xml:space="preserve">Andrea Kasa </v>
          </cell>
          <cell r="T434" t="str">
            <v xml:space="preserve">Andrea Kasa </v>
          </cell>
          <cell r="U434" t="str">
            <v>K30122016U</v>
          </cell>
          <cell r="V434" t="str">
            <v>355 69 746 2556</v>
          </cell>
          <cell r="W434" t="str">
            <v>Albania</v>
          </cell>
          <cell r="X434">
            <v>1421</v>
          </cell>
          <cell r="AB434">
            <v>1700</v>
          </cell>
          <cell r="AC434">
            <v>3554</v>
          </cell>
          <cell r="AD434">
            <v>1396</v>
          </cell>
          <cell r="AE434">
            <v>4950</v>
          </cell>
          <cell r="AF434">
            <v>6180</v>
          </cell>
        </row>
        <row r="435">
          <cell r="A435">
            <v>433</v>
          </cell>
          <cell r="B435">
            <v>46051</v>
          </cell>
          <cell r="C435" t="str">
            <v>AUDI Q3</v>
          </cell>
          <cell r="D435" t="str">
            <v>AUDI</v>
          </cell>
          <cell r="E435" t="str">
            <v>Q3</v>
          </cell>
          <cell r="G435" t="str">
            <v>66나5307</v>
          </cell>
          <cell r="H435" t="str">
            <v>WAUZZZ8U1DR049117</v>
          </cell>
          <cell r="I435">
            <v>46055</v>
          </cell>
          <cell r="J435" t="str">
            <v>㈜ 디에이치모터스</v>
          </cell>
          <cell r="L435" t="str">
            <v>잔금</v>
          </cell>
          <cell r="M435" t="str">
            <v>50만원 대표님 계약</v>
          </cell>
          <cell r="N435">
            <v>1260</v>
          </cell>
          <cell r="P435">
            <v>1260</v>
          </cell>
          <cell r="Q435" t="str">
            <v>DONE</v>
          </cell>
          <cell r="R435">
            <v>46063</v>
          </cell>
          <cell r="S435" t="str">
            <v>Andi</v>
          </cell>
          <cell r="T435" t="str">
            <v>Hirije Jata</v>
          </cell>
          <cell r="U435" t="str">
            <v>J35810057D</v>
          </cell>
          <cell r="V435" t="str">
            <v>355 69 367 4263</v>
          </cell>
          <cell r="W435" t="str">
            <v>Albania</v>
          </cell>
          <cell r="X435">
            <v>1421</v>
          </cell>
          <cell r="AB435">
            <v>1700</v>
          </cell>
          <cell r="AC435">
            <v>7170</v>
          </cell>
          <cell r="AD435">
            <v>1480</v>
          </cell>
          <cell r="AE435">
            <v>8650</v>
          </cell>
          <cell r="AF435">
            <v>9500</v>
          </cell>
        </row>
        <row r="436">
          <cell r="A436">
            <v>434</v>
          </cell>
          <cell r="B436">
            <v>46055</v>
          </cell>
          <cell r="C436" t="str">
            <v>AUDI SQ7</v>
          </cell>
          <cell r="D436" t="str">
            <v>AUDI</v>
          </cell>
          <cell r="E436" t="str">
            <v>SQ7</v>
          </cell>
          <cell r="G436" t="str">
            <v xml:space="preserve">351보1691  </v>
          </cell>
          <cell r="H436" t="str">
            <v>WAUZZZ4M9TD007974</v>
          </cell>
          <cell r="I436">
            <v>46062</v>
          </cell>
          <cell r="J436" t="str">
            <v>㈜ 류내이션</v>
          </cell>
          <cell r="L436" t="str">
            <v>잔금</v>
          </cell>
          <cell r="M436" t="str">
            <v>100만원 회사통장 나감</v>
          </cell>
          <cell r="N436">
            <v>16500</v>
          </cell>
          <cell r="O436">
            <v>44</v>
          </cell>
          <cell r="P436">
            <v>16544</v>
          </cell>
          <cell r="Q436" t="str">
            <v>DONE</v>
          </cell>
          <cell r="R436">
            <v>46064</v>
          </cell>
          <cell r="S436" t="str">
            <v>AlphaWorldWide</v>
          </cell>
          <cell r="T436" t="str">
            <v>AlphaWorldWideAlbania</v>
          </cell>
          <cell r="U436" t="str">
            <v>SN-619176-11-19</v>
          </cell>
          <cell r="V436" t="str">
            <v>355 69223 3416</v>
          </cell>
          <cell r="W436" t="str">
            <v xml:space="preserve">Durres, Durres, DURRES, Lagjja nr.11, Rruga Bulevardi, me siperfaqe 30m2 </v>
          </cell>
          <cell r="X436">
            <v>1437</v>
          </cell>
          <cell r="AB436">
            <v>1704</v>
          </cell>
          <cell r="AC436">
            <v>91798</v>
          </cell>
          <cell r="AD436">
            <v>1577</v>
          </cell>
          <cell r="AE436">
            <v>93375</v>
          </cell>
        </row>
        <row r="437">
          <cell r="A437">
            <v>435</v>
          </cell>
          <cell r="B437">
            <v>46051</v>
          </cell>
          <cell r="C437" t="str">
            <v>VOLKSWAGENS Arteon 2.0 TDI</v>
          </cell>
          <cell r="D437" t="str">
            <v>VOLKSWAGENS</v>
          </cell>
          <cell r="E437" t="str">
            <v>Arteon 2.0 TDI</v>
          </cell>
          <cell r="G437" t="str">
            <v>133어4838</v>
          </cell>
          <cell r="H437" t="str">
            <v>WVWZZZ3HZKE012718</v>
          </cell>
          <cell r="I437">
            <v>46059</v>
          </cell>
          <cell r="J437" t="str">
            <v>㈜서원모터스</v>
          </cell>
          <cell r="L437" t="str">
            <v>잔금</v>
          </cell>
          <cell r="M437" t="str">
            <v>100만원 회사통장 나감</v>
          </cell>
          <cell r="N437">
            <v>2340</v>
          </cell>
          <cell r="P437">
            <v>2340</v>
          </cell>
          <cell r="Q437" t="str">
            <v>DONE</v>
          </cell>
          <cell r="R437">
            <v>46064</v>
          </cell>
          <cell r="S437" t="str">
            <v>DONI</v>
          </cell>
          <cell r="T437" t="str">
            <v>DONI</v>
          </cell>
          <cell r="U437">
            <v>933682</v>
          </cell>
          <cell r="V437" t="str">
            <v>3 8 3 4 9 3 2 5 7 0 3</v>
          </cell>
          <cell r="W437" t="str">
            <v xml:space="preserve"> HYZRI TALLA OB 16 HY 1 NR 18
 Kosovë</v>
          </cell>
          <cell r="X437">
            <v>1421</v>
          </cell>
          <cell r="AB437">
            <v>1700</v>
          </cell>
          <cell r="AC437">
            <v>13304</v>
          </cell>
          <cell r="AD437">
            <v>1396</v>
          </cell>
          <cell r="AE437">
            <v>14700</v>
          </cell>
        </row>
        <row r="438">
          <cell r="A438">
            <v>436</v>
          </cell>
          <cell r="B438">
            <v>46051</v>
          </cell>
          <cell r="C438" t="str">
            <v>HYUNDAI TUCSON</v>
          </cell>
          <cell r="D438" t="str">
            <v>HYUNDAI</v>
          </cell>
          <cell r="E438" t="str">
            <v>TUCSON</v>
          </cell>
          <cell r="G438" t="str">
            <v>24서4150</v>
          </cell>
          <cell r="H438" t="str">
            <v>KMHJ2815GGU089696</v>
          </cell>
          <cell r="I438">
            <v>46058</v>
          </cell>
          <cell r="J438" t="str">
            <v>㈜도애모터스</v>
          </cell>
          <cell r="L438" t="str">
            <v>잔금</v>
          </cell>
          <cell r="M438" t="str">
            <v>50만원 회사통장 나감</v>
          </cell>
          <cell r="N438">
            <v>790</v>
          </cell>
          <cell r="P438">
            <v>790</v>
          </cell>
          <cell r="Q438" t="str">
            <v>DONE</v>
          </cell>
          <cell r="R438">
            <v>46063</v>
          </cell>
          <cell r="S438" t="str">
            <v>CALJA</v>
          </cell>
          <cell r="T438" t="str">
            <v>FABIO SPAHIU</v>
          </cell>
          <cell r="U438" t="str">
            <v>K70411009S</v>
          </cell>
          <cell r="V438" t="str">
            <v>355 69 550 5533</v>
          </cell>
          <cell r="W438" t="str">
            <v>Albania</v>
          </cell>
          <cell r="X438">
            <v>1421</v>
          </cell>
          <cell r="AB438">
            <v>1700</v>
          </cell>
          <cell r="AC438">
            <v>4580</v>
          </cell>
          <cell r="AD438">
            <v>1480</v>
          </cell>
          <cell r="AE438">
            <v>6060</v>
          </cell>
          <cell r="AF438">
            <v>7320</v>
          </cell>
        </row>
        <row r="439">
          <cell r="A439">
            <v>437</v>
          </cell>
          <cell r="B439">
            <v>46055</v>
          </cell>
          <cell r="C439" t="str">
            <v>Nissan Qashqai</v>
          </cell>
          <cell r="D439" t="str">
            <v>Nissan</v>
          </cell>
          <cell r="E439" t="str">
            <v>Qashqai</v>
          </cell>
          <cell r="G439" t="str">
            <v>23서0986</v>
          </cell>
          <cell r="H439" t="str">
            <v>SJNDJ18E5GA522082 </v>
          </cell>
          <cell r="I439">
            <v>46059</v>
          </cell>
          <cell r="J439" t="str">
            <v>㈜인하모터스</v>
          </cell>
          <cell r="L439" t="str">
            <v>잔금</v>
          </cell>
          <cell r="M439" t="str">
            <v>50만원 대표님 계약</v>
          </cell>
          <cell r="N439">
            <v>900</v>
          </cell>
          <cell r="P439">
            <v>900</v>
          </cell>
          <cell r="Q439" t="str">
            <v>DONE</v>
          </cell>
          <cell r="R439">
            <v>46063</v>
          </cell>
          <cell r="S439" t="str">
            <v>ARMIR</v>
          </cell>
          <cell r="T439" t="str">
            <v>IMERAJ GJEMAJL</v>
          </cell>
          <cell r="U439" t="str">
            <v>ID02632383</v>
          </cell>
          <cell r="V439" t="str">
            <v>383 49 690 998</v>
          </cell>
          <cell r="W439" t="str">
            <v>KOSOVO</v>
          </cell>
          <cell r="X439">
            <v>1437</v>
          </cell>
          <cell r="AB439">
            <v>1704</v>
          </cell>
          <cell r="AC439">
            <v>5177</v>
          </cell>
          <cell r="AD439">
            <v>1493</v>
          </cell>
          <cell r="AE439">
            <v>6670</v>
          </cell>
          <cell r="AF439">
            <v>6670</v>
          </cell>
        </row>
        <row r="440">
          <cell r="A440">
            <v>438</v>
          </cell>
          <cell r="B440">
            <v>46051</v>
          </cell>
          <cell r="C440" t="str">
            <v>JEEP Wrangler</v>
          </cell>
          <cell r="D440" t="str">
            <v>JEEP</v>
          </cell>
          <cell r="E440" t="str">
            <v>Wrangler</v>
          </cell>
          <cell r="G440" t="str">
            <v>38서6082</v>
          </cell>
          <cell r="H440" t="str">
            <v>1C4BJWF5XDL596962</v>
          </cell>
          <cell r="I440">
            <v>46059</v>
          </cell>
          <cell r="J440" t="str">
            <v>㈜ 윤이 자동차</v>
          </cell>
          <cell r="L440" t="str">
            <v>잔금</v>
          </cell>
          <cell r="M440" t="str">
            <v>50만원 대표님 계약</v>
          </cell>
          <cell r="N440">
            <v>1390</v>
          </cell>
          <cell r="P440">
            <v>1390</v>
          </cell>
          <cell r="Q440" t="str">
            <v>DONE</v>
          </cell>
          <cell r="R440">
            <v>46063</v>
          </cell>
          <cell r="S440" t="str">
            <v>Andi</v>
          </cell>
          <cell r="T440" t="str">
            <v>ANDI OSMANLLARI</v>
          </cell>
          <cell r="U440" t="str">
            <v>J80217012Q</v>
          </cell>
          <cell r="V440" t="str">
            <v>355 69 367 4263</v>
          </cell>
          <cell r="W440" t="str">
            <v>Albania</v>
          </cell>
          <cell r="X440">
            <v>1421</v>
          </cell>
          <cell r="AB440">
            <v>1700</v>
          </cell>
          <cell r="AC440">
            <v>7970</v>
          </cell>
          <cell r="AD440">
            <v>1480</v>
          </cell>
          <cell r="AE440">
            <v>9450</v>
          </cell>
          <cell r="AF440">
            <v>8600</v>
          </cell>
        </row>
        <row r="441">
          <cell r="A441">
            <v>439</v>
          </cell>
          <cell r="B441">
            <v>46055</v>
          </cell>
          <cell r="C441" t="str">
            <v>VOLKSWAGENS TIGUAN</v>
          </cell>
          <cell r="D441" t="str">
            <v>VOLKSWAGENS</v>
          </cell>
          <cell r="E441" t="str">
            <v>TIGUAN</v>
          </cell>
          <cell r="G441" t="str">
            <v>14오0961</v>
          </cell>
          <cell r="H441" t="str">
            <v>WVGZZZ5NZGW547848</v>
          </cell>
          <cell r="J441" t="str">
            <v>경매장 -헤이딜러</v>
          </cell>
          <cell r="K441" t="str">
            <v>HAESHIN</v>
          </cell>
          <cell r="L441" t="str">
            <v>잔금</v>
          </cell>
          <cell r="N441">
            <v>854</v>
          </cell>
          <cell r="O441">
            <v>46</v>
          </cell>
          <cell r="P441">
            <v>0</v>
          </cell>
          <cell r="Q441" t="str">
            <v>HEYMAN</v>
          </cell>
          <cell r="R441">
            <v>46063</v>
          </cell>
          <cell r="S441" t="str">
            <v>R.S.h L.L.C.</v>
          </cell>
          <cell r="T441" t="str">
            <v>R.Sh L.L.C.</v>
          </cell>
          <cell r="U441">
            <v>812326016</v>
          </cell>
          <cell r="V441" t="str">
            <v>+383486 611 61</v>
          </cell>
          <cell r="W441" t="str">
            <v>Kosovo</v>
          </cell>
          <cell r="X441">
            <v>1437</v>
          </cell>
          <cell r="AB441">
            <v>1704</v>
          </cell>
          <cell r="AC441">
            <v>5710</v>
          </cell>
          <cell r="AD441">
            <v>1240</v>
          </cell>
          <cell r="AE441">
            <v>7200</v>
          </cell>
          <cell r="AF441">
            <v>7200</v>
          </cell>
        </row>
        <row r="442">
          <cell r="A442">
            <v>440</v>
          </cell>
          <cell r="B442">
            <v>46055</v>
          </cell>
          <cell r="C442" t="str">
            <v>AUDI A7</v>
          </cell>
          <cell r="D442" t="str">
            <v>AUDI</v>
          </cell>
          <cell r="E442" t="str">
            <v>A7</v>
          </cell>
          <cell r="G442" t="str">
            <v>27수3771</v>
          </cell>
          <cell r="H442" t="str">
            <v>WAUZZZ4G4CN088662</v>
          </cell>
          <cell r="I442">
            <v>46064</v>
          </cell>
          <cell r="J442" t="str">
            <v>㈜나무모터스</v>
          </cell>
          <cell r="L442" t="str">
            <v>잔금</v>
          </cell>
          <cell r="M442" t="str">
            <v>50만원 대표님 계약</v>
          </cell>
          <cell r="N442">
            <v>910</v>
          </cell>
          <cell r="O442">
            <v>44</v>
          </cell>
          <cell r="P442">
            <v>954</v>
          </cell>
          <cell r="Q442" t="str">
            <v>DONE</v>
          </cell>
          <cell r="R442">
            <v>46065</v>
          </cell>
          <cell r="S442" t="str">
            <v>CALJA</v>
          </cell>
          <cell r="T442" t="str">
            <v>EDMOND TUCI</v>
          </cell>
          <cell r="U442" t="str">
            <v>J60410034P</v>
          </cell>
          <cell r="V442" t="str">
            <v>355 69 550 5533</v>
          </cell>
          <cell r="W442" t="str">
            <v>Albania</v>
          </cell>
          <cell r="X442">
            <v>1437</v>
          </cell>
          <cell r="AB442">
            <v>1704</v>
          </cell>
          <cell r="AC442">
            <v>5442</v>
          </cell>
          <cell r="AD442">
            <v>1408</v>
          </cell>
          <cell r="AE442">
            <v>6850</v>
          </cell>
          <cell r="AF442">
            <v>9800</v>
          </cell>
        </row>
        <row r="443">
          <cell r="A443">
            <v>441</v>
          </cell>
          <cell r="B443">
            <v>46055</v>
          </cell>
          <cell r="C443" t="str">
            <v>BMW 320d</v>
          </cell>
          <cell r="D443" t="str">
            <v>BMW</v>
          </cell>
          <cell r="E443" t="str">
            <v>320d</v>
          </cell>
          <cell r="G443" t="str">
            <v>125모2376</v>
          </cell>
          <cell r="H443" t="str">
            <v>WBA8C5104JA075475</v>
          </cell>
          <cell r="I443">
            <v>46059</v>
          </cell>
          <cell r="J443" t="str">
            <v>㈜ 유니앤모터스</v>
          </cell>
          <cell r="K443" t="str">
            <v>SANGSHIN</v>
          </cell>
          <cell r="L443" t="str">
            <v>잔금</v>
          </cell>
          <cell r="M443" t="str">
            <v>50만원 헤이맨통장 나감</v>
          </cell>
          <cell r="N443">
            <v>1690</v>
          </cell>
          <cell r="P443">
            <v>1690</v>
          </cell>
          <cell r="Q443" t="str">
            <v>HEYMAN</v>
          </cell>
          <cell r="R443">
            <v>46063</v>
          </cell>
          <cell r="S443" t="str">
            <v>R.S.h L.L.C.</v>
          </cell>
          <cell r="T443" t="str">
            <v>R.Sh L.L.C.</v>
          </cell>
          <cell r="U443">
            <v>812326016</v>
          </cell>
          <cell r="V443" t="str">
            <v>+383486 611 61</v>
          </cell>
          <cell r="W443" t="str">
            <v>Kosovo</v>
          </cell>
          <cell r="X443">
            <v>1438</v>
          </cell>
          <cell r="AB443">
            <v>1699</v>
          </cell>
          <cell r="AC443">
            <v>9455</v>
          </cell>
          <cell r="AD443">
            <v>1160</v>
          </cell>
          <cell r="AE443">
            <v>10870</v>
          </cell>
          <cell r="AF443">
            <v>10920</v>
          </cell>
        </row>
        <row r="444">
          <cell r="A444">
            <v>442</v>
          </cell>
          <cell r="B444">
            <v>46057</v>
          </cell>
          <cell r="C444" t="str">
            <v>FORD KUGA</v>
          </cell>
          <cell r="D444" t="str">
            <v>FORD</v>
          </cell>
          <cell r="E444" t="str">
            <v>KUGA</v>
          </cell>
          <cell r="G444" t="str">
            <v>29너0203</v>
          </cell>
          <cell r="H444" t="str">
            <v>WF0AXXWPMGGA11839</v>
          </cell>
          <cell r="I444">
            <v>46059</v>
          </cell>
          <cell r="J444" t="str">
            <v>㈜ 유레카</v>
          </cell>
          <cell r="L444" t="str">
            <v>잔금</v>
          </cell>
          <cell r="M444" t="str">
            <v>50만원 대표님 계약</v>
          </cell>
          <cell r="N444">
            <v>654</v>
          </cell>
          <cell r="P444">
            <v>654</v>
          </cell>
          <cell r="Q444" t="str">
            <v>DONE</v>
          </cell>
          <cell r="R444">
            <v>46063</v>
          </cell>
          <cell r="S444" t="str">
            <v>ATLAS GROUP SH.P.K</v>
          </cell>
          <cell r="T444" t="str">
            <v>ATLAS GROUP SH.P.K</v>
          </cell>
          <cell r="U444">
            <v>812137455</v>
          </cell>
          <cell r="V444" t="str">
            <v>+38348702207</v>
          </cell>
          <cell r="W444" t="str">
            <v>Xhelal Hajda, p.n. Rahovec</v>
          </cell>
          <cell r="X444">
            <v>1438</v>
          </cell>
          <cell r="AB444">
            <v>1699</v>
          </cell>
          <cell r="AC444">
            <v>3882</v>
          </cell>
          <cell r="AD444">
            <v>1498</v>
          </cell>
          <cell r="AE444">
            <v>5380</v>
          </cell>
          <cell r="AF444">
            <v>5420</v>
          </cell>
        </row>
        <row r="445">
          <cell r="A445">
            <v>443</v>
          </cell>
          <cell r="B445">
            <v>46057</v>
          </cell>
          <cell r="C445" t="str">
            <v>JEEP WRANGLER</v>
          </cell>
          <cell r="D445" t="str">
            <v>JEEP</v>
          </cell>
          <cell r="E445" t="str">
            <v>WRANGLER</v>
          </cell>
          <cell r="G445" t="str">
            <v>19보1931</v>
          </cell>
          <cell r="H445" t="str">
            <v>1C4HJWE51FL603831</v>
          </cell>
          <cell r="I445">
            <v>46062</v>
          </cell>
          <cell r="J445" t="str">
            <v>㈜전진</v>
          </cell>
          <cell r="L445" t="str">
            <v>잔금</v>
          </cell>
          <cell r="M445" t="str">
            <v>100만원 회사통장 나감</v>
          </cell>
          <cell r="N445">
            <v>3300</v>
          </cell>
          <cell r="O445">
            <v>44</v>
          </cell>
          <cell r="P445">
            <v>3344</v>
          </cell>
          <cell r="Q445" t="str">
            <v>DONE</v>
          </cell>
          <cell r="R445">
            <v>46064</v>
          </cell>
          <cell r="S445" t="str">
            <v>TAFA</v>
          </cell>
          <cell r="T445" t="str">
            <v>Renato Musagalliu</v>
          </cell>
          <cell r="U445" t="str">
            <v>I80801017Q</v>
          </cell>
          <cell r="V445" t="str">
            <v>355 68 855 8026</v>
          </cell>
          <cell r="W445" t="str">
            <v>ALBANIA</v>
          </cell>
          <cell r="X445">
            <v>1438</v>
          </cell>
          <cell r="AB445">
            <v>1699</v>
          </cell>
          <cell r="AC445">
            <v>18887</v>
          </cell>
          <cell r="AD445">
            <v>1498</v>
          </cell>
          <cell r="AE445">
            <v>20385</v>
          </cell>
          <cell r="AF445">
            <v>20470</v>
          </cell>
        </row>
        <row r="446">
          <cell r="A446">
            <v>444</v>
          </cell>
          <cell r="B446">
            <v>46057</v>
          </cell>
          <cell r="C446" t="str">
            <v>AUDI A7</v>
          </cell>
          <cell r="D446" t="str">
            <v>AUDI</v>
          </cell>
          <cell r="E446" t="str">
            <v>A7</v>
          </cell>
          <cell r="G446" t="str">
            <v>41소7076</v>
          </cell>
          <cell r="H446" t="str">
            <v>WAUZZZ4G8EN002563</v>
          </cell>
          <cell r="I446">
            <v>46059</v>
          </cell>
          <cell r="J446" t="str">
            <v>㈜인하 모터스</v>
          </cell>
          <cell r="L446" t="str">
            <v>잔금</v>
          </cell>
          <cell r="M446" t="str">
            <v>50만원 회사통장 나감</v>
          </cell>
          <cell r="N446">
            <v>980</v>
          </cell>
          <cell r="P446">
            <v>980</v>
          </cell>
          <cell r="Q446" t="str">
            <v>DONE</v>
          </cell>
          <cell r="R446">
            <v>46064</v>
          </cell>
          <cell r="S446" t="str">
            <v>Ervin</v>
          </cell>
          <cell r="T446" t="str">
            <v>JETNOR HAKA</v>
          </cell>
          <cell r="U446" t="str">
            <v>J31106022I</v>
          </cell>
          <cell r="V446" t="str">
            <v>355 67 69 41 777</v>
          </cell>
          <cell r="W446" t="str">
            <v>Albania</v>
          </cell>
          <cell r="X446">
            <v>1438</v>
          </cell>
          <cell r="AB446">
            <v>1699</v>
          </cell>
          <cell r="AC446">
            <v>5636</v>
          </cell>
          <cell r="AD446">
            <v>1414</v>
          </cell>
          <cell r="AE446">
            <v>7050</v>
          </cell>
          <cell r="AF446">
            <v>4490</v>
          </cell>
        </row>
        <row r="447">
          <cell r="A447">
            <v>445</v>
          </cell>
          <cell r="B447">
            <v>46057</v>
          </cell>
          <cell r="C447" t="str">
            <v>BMW X6</v>
          </cell>
          <cell r="D447" t="str">
            <v>BMW</v>
          </cell>
          <cell r="E447" t="str">
            <v>X6</v>
          </cell>
          <cell r="G447" t="str">
            <v>19오7414</v>
          </cell>
          <cell r="H447" t="str">
            <v>WBAKV4105G0P73635</v>
          </cell>
          <cell r="I447">
            <v>46059</v>
          </cell>
          <cell r="J447" t="str">
            <v>㈜ 파인뱅크</v>
          </cell>
          <cell r="L447" t="str">
            <v>잔금</v>
          </cell>
          <cell r="M447" t="str">
            <v>100만원 헤이맨통장 나감</v>
          </cell>
          <cell r="N447">
            <v>2844</v>
          </cell>
          <cell r="P447">
            <v>2844</v>
          </cell>
          <cell r="Q447" t="str">
            <v>HEYMAN</v>
          </cell>
          <cell r="R447">
            <v>46063</v>
          </cell>
          <cell r="S447" t="str">
            <v>R.S.h L.L.C.</v>
          </cell>
          <cell r="T447" t="str">
            <v>R.Sh L.L.C.</v>
          </cell>
          <cell r="U447">
            <v>812326016</v>
          </cell>
          <cell r="V447" t="str">
            <v>+383486 611 61</v>
          </cell>
          <cell r="W447" t="str">
            <v>Kosovo</v>
          </cell>
          <cell r="X447">
            <v>1438</v>
          </cell>
          <cell r="AB447">
            <v>1699</v>
          </cell>
          <cell r="AC447">
            <v>16071</v>
          </cell>
          <cell r="AD447">
            <v>1329</v>
          </cell>
          <cell r="AE447">
            <v>17650</v>
          </cell>
        </row>
        <row r="448">
          <cell r="A448">
            <v>446</v>
          </cell>
          <cell r="B448">
            <v>46059</v>
          </cell>
          <cell r="C448" t="str">
            <v>VOLKSWAGENS TIGUAN</v>
          </cell>
          <cell r="D448" t="str">
            <v>VOLKSWAGENS</v>
          </cell>
          <cell r="E448" t="str">
            <v>TIGUAN</v>
          </cell>
          <cell r="G448" t="str">
            <v>04러0437</v>
          </cell>
          <cell r="H448" t="str">
            <v>WVGZZZ5NZGW604064</v>
          </cell>
          <cell r="J448" t="str">
            <v>경매장- AJ</v>
          </cell>
          <cell r="L448" t="str">
            <v>잔금</v>
          </cell>
          <cell r="N448">
            <v>1095</v>
          </cell>
          <cell r="O448">
            <v>28</v>
          </cell>
          <cell r="P448">
            <v>1123</v>
          </cell>
          <cell r="Q448" t="str">
            <v>done</v>
          </cell>
          <cell r="R448">
            <v>46063</v>
          </cell>
          <cell r="S448" t="str">
            <v>DONI</v>
          </cell>
          <cell r="T448" t="str">
            <v>DONI</v>
          </cell>
          <cell r="U448">
            <v>933682</v>
          </cell>
          <cell r="V448" t="str">
            <v>3 8 3 4 9 3 2 5 7 0 3</v>
          </cell>
          <cell r="W448" t="str">
            <v xml:space="preserve"> HYZRI TALLA OB 16 HY 1 NR 18
 Kosovë</v>
          </cell>
          <cell r="X448">
            <v>1458</v>
          </cell>
          <cell r="AB448">
            <v>1717</v>
          </cell>
          <cell r="AC448">
            <v>6377</v>
          </cell>
          <cell r="AD448">
            <v>1503</v>
          </cell>
          <cell r="AE448">
            <v>7880</v>
          </cell>
        </row>
        <row r="449">
          <cell r="A449">
            <v>447</v>
          </cell>
          <cell r="B449">
            <v>46057</v>
          </cell>
          <cell r="C449" t="str">
            <v>BENZ E220</v>
          </cell>
          <cell r="D449" t="str">
            <v>BENZ</v>
          </cell>
          <cell r="E449" t="str">
            <v>E220</v>
          </cell>
          <cell r="G449" t="str">
            <v>45머8841</v>
          </cell>
          <cell r="H449" t="str">
            <v>WDDHF0CB3EA865664</v>
          </cell>
          <cell r="J449" t="str">
            <v>경매장- AJ</v>
          </cell>
          <cell r="L449" t="str">
            <v>잔금</v>
          </cell>
          <cell r="N449">
            <v>620</v>
          </cell>
          <cell r="O449">
            <v>16</v>
          </cell>
          <cell r="P449">
            <v>636</v>
          </cell>
          <cell r="Q449" t="str">
            <v>DONE</v>
          </cell>
          <cell r="R449">
            <v>46064</v>
          </cell>
          <cell r="S449" t="str">
            <v xml:space="preserve">Andrea Kasa </v>
          </cell>
          <cell r="T449" t="str">
            <v xml:space="preserve">Andrea Kasa </v>
          </cell>
          <cell r="U449" t="str">
            <v>K30122016U</v>
          </cell>
          <cell r="V449" t="str">
            <v>355 69 746 2556</v>
          </cell>
          <cell r="W449" t="str">
            <v>Albania</v>
          </cell>
          <cell r="X449">
            <v>1458</v>
          </cell>
          <cell r="AB449">
            <v>1717</v>
          </cell>
          <cell r="AC449">
            <v>3762</v>
          </cell>
          <cell r="AD449">
            <v>1418</v>
          </cell>
          <cell r="AE449">
            <v>5180</v>
          </cell>
          <cell r="AF449">
            <v>5180</v>
          </cell>
        </row>
        <row r="450">
          <cell r="A450">
            <v>448</v>
          </cell>
          <cell r="B450">
            <v>46057</v>
          </cell>
          <cell r="C450" t="str">
            <v>PEUGEOT 2008</v>
          </cell>
          <cell r="D450" t="str">
            <v>PEUGEOT</v>
          </cell>
          <cell r="E450">
            <v>2008</v>
          </cell>
          <cell r="G450" t="str">
            <v>31소4633</v>
          </cell>
          <cell r="H450" t="str">
            <v>VF3CUBHYMHY001090</v>
          </cell>
          <cell r="J450" t="str">
            <v>경매장- AJ</v>
          </cell>
          <cell r="L450" t="str">
            <v>잔금</v>
          </cell>
          <cell r="N450">
            <v>515</v>
          </cell>
          <cell r="O450">
            <v>16</v>
          </cell>
          <cell r="P450">
            <v>531</v>
          </cell>
          <cell r="Q450" t="str">
            <v>HEYMAN</v>
          </cell>
          <cell r="R450">
            <v>46063</v>
          </cell>
          <cell r="S450" t="str">
            <v>R.S.h L.L.C.</v>
          </cell>
          <cell r="T450" t="str">
            <v>R.Sh L.L.C.</v>
          </cell>
          <cell r="U450">
            <v>812326016</v>
          </cell>
          <cell r="V450" t="str">
            <v>+383486 611 61</v>
          </cell>
          <cell r="W450" t="str">
            <v>Kosovo</v>
          </cell>
          <cell r="X450">
            <v>1438</v>
          </cell>
          <cell r="AB450">
            <v>1699</v>
          </cell>
          <cell r="AC450">
            <v>3175</v>
          </cell>
          <cell r="AD450">
            <v>1160</v>
          </cell>
          <cell r="AE450">
            <v>4590</v>
          </cell>
        </row>
        <row r="451">
          <cell r="A451">
            <v>449</v>
          </cell>
          <cell r="B451">
            <v>46057</v>
          </cell>
          <cell r="C451" t="str">
            <v>AUDI A6</v>
          </cell>
          <cell r="D451" t="str">
            <v>AUDI</v>
          </cell>
          <cell r="E451" t="str">
            <v>A6</v>
          </cell>
          <cell r="G451" t="str">
            <v>32모2548</v>
          </cell>
          <cell r="H451" t="str">
            <v>WAUZZZ4G9EN069219</v>
          </cell>
          <cell r="J451" t="str">
            <v>경매장- KCAR</v>
          </cell>
          <cell r="L451" t="str">
            <v>잔금</v>
          </cell>
          <cell r="N451">
            <v>615</v>
          </cell>
          <cell r="O451">
            <v>16</v>
          </cell>
          <cell r="P451">
            <v>631</v>
          </cell>
          <cell r="Q451" t="str">
            <v>DONE</v>
          </cell>
          <cell r="R451">
            <v>46065</v>
          </cell>
          <cell r="S451" t="str">
            <v xml:space="preserve">Andrea Kasa </v>
          </cell>
          <cell r="T451" t="str">
            <v>SLLAMI ERGI</v>
          </cell>
          <cell r="U451" t="str">
            <v>K50620075P</v>
          </cell>
          <cell r="V451" t="str">
            <v>355 69 746 2556</v>
          </cell>
          <cell r="W451" t="str">
            <v>Albania</v>
          </cell>
          <cell r="X451">
            <v>1458</v>
          </cell>
          <cell r="AB451">
            <v>1717</v>
          </cell>
          <cell r="AC451">
            <v>3762</v>
          </cell>
          <cell r="AD451">
            <v>1418</v>
          </cell>
          <cell r="AE451">
            <v>5180</v>
          </cell>
          <cell r="AF451">
            <v>11930</v>
          </cell>
        </row>
        <row r="452">
          <cell r="A452">
            <v>450</v>
          </cell>
          <cell r="B452">
            <v>46057</v>
          </cell>
          <cell r="C452" t="str">
            <v>JAGUAR XE 20D</v>
          </cell>
          <cell r="D452" t="str">
            <v>JAGUAR</v>
          </cell>
          <cell r="E452" t="str">
            <v>XE 20D</v>
          </cell>
          <cell r="G452" t="str">
            <v>45머8904</v>
          </cell>
          <cell r="H452" t="str">
            <v>SAJAA4BN9HCP01617</v>
          </cell>
          <cell r="I452">
            <v>46062</v>
          </cell>
          <cell r="J452" t="str">
            <v>㈜오토라인자동차매매상사</v>
          </cell>
          <cell r="L452" t="str">
            <v>잔금</v>
          </cell>
          <cell r="M452" t="str">
            <v>50만원 회사통장 나감</v>
          </cell>
          <cell r="N452">
            <v>594</v>
          </cell>
          <cell r="P452">
            <v>594</v>
          </cell>
          <cell r="Q452" t="str">
            <v>DONE</v>
          </cell>
          <cell r="R452">
            <v>46065</v>
          </cell>
          <cell r="S452" t="str">
            <v>VILLA KOHA</v>
          </cell>
          <cell r="T452" t="str">
            <v>VILLA KOHA SH.P.K</v>
          </cell>
          <cell r="U452">
            <v>810039588</v>
          </cell>
          <cell r="V452" t="str">
            <v>383 49247777</v>
          </cell>
          <cell r="W452" t="str">
            <v>KOSOVO</v>
          </cell>
          <cell r="X452">
            <v>1458</v>
          </cell>
          <cell r="AB452">
            <v>1717</v>
          </cell>
          <cell r="AC452">
            <v>3532</v>
          </cell>
          <cell r="AD452">
            <v>1418</v>
          </cell>
          <cell r="AE452">
            <v>4950</v>
          </cell>
        </row>
        <row r="453">
          <cell r="A453">
            <v>451</v>
          </cell>
          <cell r="B453">
            <v>46057</v>
          </cell>
          <cell r="C453" t="str">
            <v>BENZ C220</v>
          </cell>
          <cell r="D453" t="str">
            <v>BENZ</v>
          </cell>
          <cell r="E453" t="str">
            <v>C220</v>
          </cell>
          <cell r="G453" t="str">
            <v>32마4965</v>
          </cell>
          <cell r="H453" t="str">
            <v>WDDWF0EB4FF181246</v>
          </cell>
          <cell r="I453">
            <v>46062</v>
          </cell>
          <cell r="J453" t="str">
            <v>㈜오토프라임</v>
          </cell>
          <cell r="L453" t="str">
            <v>잔금</v>
          </cell>
          <cell r="M453" t="str">
            <v>100만원 회사통장 나감</v>
          </cell>
          <cell r="N453">
            <v>1244</v>
          </cell>
          <cell r="P453">
            <v>1244</v>
          </cell>
          <cell r="Q453" t="str">
            <v>DONE</v>
          </cell>
          <cell r="R453">
            <v>46064</v>
          </cell>
          <cell r="S453" t="str">
            <v>RIZA</v>
          </cell>
          <cell r="T453" t="str">
            <v>ENDRI DRAZHI</v>
          </cell>
          <cell r="U453" t="str">
            <v>J40818020D</v>
          </cell>
          <cell r="V453" t="str">
            <v>355 682769063</v>
          </cell>
          <cell r="W453" t="str">
            <v>Albania</v>
          </cell>
          <cell r="X453">
            <v>1458</v>
          </cell>
          <cell r="AB453">
            <v>1717</v>
          </cell>
          <cell r="AC453">
            <v>7032</v>
          </cell>
          <cell r="AD453">
            <v>1418</v>
          </cell>
          <cell r="AE453">
            <v>8450</v>
          </cell>
          <cell r="AF453">
            <v>9000</v>
          </cell>
        </row>
        <row r="454">
          <cell r="A454">
            <v>452</v>
          </cell>
          <cell r="B454">
            <v>46057</v>
          </cell>
          <cell r="C454" t="str">
            <v>HYUNDAI SANTAFE</v>
          </cell>
          <cell r="D454" t="str">
            <v>HYUNDAI</v>
          </cell>
          <cell r="E454" t="str">
            <v>SANTAFE</v>
          </cell>
          <cell r="G454" t="str">
            <v>169너1232</v>
          </cell>
          <cell r="H454" t="str">
            <v>KMHS581HHMU320143</v>
          </cell>
          <cell r="I454">
            <v>46062</v>
          </cell>
          <cell r="J454" t="str">
            <v>㈜에이엠지모터스</v>
          </cell>
          <cell r="L454" t="str">
            <v>잔금</v>
          </cell>
          <cell r="M454" t="str">
            <v>100만원 대표님 계약</v>
          </cell>
          <cell r="N454">
            <v>3156</v>
          </cell>
          <cell r="O454">
            <v>44</v>
          </cell>
          <cell r="P454">
            <v>3200</v>
          </cell>
          <cell r="Q454" t="str">
            <v>DONE</v>
          </cell>
          <cell r="R454">
            <v>46064</v>
          </cell>
          <cell r="S454" t="str">
            <v>TAFA</v>
          </cell>
          <cell r="T454" t="str">
            <v>MARSILJO RROKAJ</v>
          </cell>
          <cell r="U454" t="str">
            <v>K40605082O</v>
          </cell>
          <cell r="V454" t="str">
            <v>355 68 855 8026</v>
          </cell>
          <cell r="W454" t="str">
            <v>ALBANIA</v>
          </cell>
          <cell r="X454">
            <v>1458</v>
          </cell>
          <cell r="AB454">
            <v>1717</v>
          </cell>
          <cell r="AC454">
            <v>17997</v>
          </cell>
          <cell r="AD454">
            <v>1503</v>
          </cell>
          <cell r="AE454">
            <v>19500</v>
          </cell>
          <cell r="AF454">
            <v>19500</v>
          </cell>
        </row>
        <row r="455">
          <cell r="A455">
            <v>453</v>
          </cell>
          <cell r="B455">
            <v>46057</v>
          </cell>
          <cell r="C455" t="str">
            <v>HYUNDAI TUCSON</v>
          </cell>
          <cell r="D455" t="str">
            <v>HYUNDAI</v>
          </cell>
          <cell r="E455" t="str">
            <v>TUCSON</v>
          </cell>
          <cell r="G455" t="str">
            <v>20조4244</v>
          </cell>
          <cell r="H455" t="str">
            <v>KMHJ3815GGU048608</v>
          </cell>
          <cell r="J455" t="str">
            <v>경매장- KCAR</v>
          </cell>
          <cell r="L455" t="str">
            <v>잔금</v>
          </cell>
          <cell r="N455">
            <v>935</v>
          </cell>
          <cell r="O455">
            <v>20</v>
          </cell>
          <cell r="P455">
            <v>955</v>
          </cell>
          <cell r="Q455" t="str">
            <v>DONE</v>
          </cell>
          <cell r="R455">
            <v>46065</v>
          </cell>
          <cell r="S455" t="str">
            <v>CALJA</v>
          </cell>
          <cell r="T455" t="str">
            <v>ARLIND BODECI</v>
          </cell>
          <cell r="U455" t="str">
            <v>I90722087H</v>
          </cell>
          <cell r="V455" t="str">
            <v>355 69 550 5533</v>
          </cell>
          <cell r="W455" t="str">
            <v>Albania</v>
          </cell>
          <cell r="X455">
            <v>1437</v>
          </cell>
          <cell r="AB455">
            <v>1704</v>
          </cell>
          <cell r="AC455">
            <v>5407</v>
          </cell>
          <cell r="AD455">
            <v>1493</v>
          </cell>
          <cell r="AE455">
            <v>6900</v>
          </cell>
          <cell r="AF455">
            <v>5750</v>
          </cell>
        </row>
        <row r="456">
          <cell r="A456">
            <v>454</v>
          </cell>
          <cell r="B456">
            <v>46057</v>
          </cell>
          <cell r="C456" t="str">
            <v>HYUNDAI TUCSON</v>
          </cell>
          <cell r="D456" t="str">
            <v>HYUNDAI</v>
          </cell>
          <cell r="E456" t="str">
            <v>TUCSON</v>
          </cell>
          <cell r="G456" t="str">
            <v>28루8858</v>
          </cell>
          <cell r="H456" t="str">
            <v>KMHJ581ADHU210319</v>
          </cell>
          <cell r="I456">
            <v>46063</v>
          </cell>
          <cell r="J456" t="str">
            <v>㈜진주모터스</v>
          </cell>
          <cell r="L456" t="str">
            <v>잔금</v>
          </cell>
          <cell r="M456" t="str">
            <v>50만원 대표님 계약</v>
          </cell>
          <cell r="N456">
            <v>1220</v>
          </cell>
          <cell r="P456">
            <v>1220</v>
          </cell>
          <cell r="Q456" t="str">
            <v>DONE</v>
          </cell>
          <cell r="R456">
            <v>46065</v>
          </cell>
          <cell r="S456" t="str">
            <v>CALJA</v>
          </cell>
          <cell r="T456" t="str">
            <v>Calja Marius</v>
          </cell>
          <cell r="U456" t="str">
            <v>M43323203V</v>
          </cell>
          <cell r="V456" t="str">
            <v>355 69 550 5533</v>
          </cell>
          <cell r="W456" t="str">
            <v>Albania</v>
          </cell>
          <cell r="X456">
            <v>1458</v>
          </cell>
          <cell r="AB456">
            <v>1717</v>
          </cell>
          <cell r="AC456">
            <v>7127</v>
          </cell>
          <cell r="AD456">
            <v>1503</v>
          </cell>
          <cell r="AE456">
            <v>8630</v>
          </cell>
          <cell r="AF456">
            <v>9630</v>
          </cell>
        </row>
        <row r="457">
          <cell r="A457">
            <v>455</v>
          </cell>
          <cell r="B457">
            <v>46057</v>
          </cell>
          <cell r="C457" t="str">
            <v>HYUNDAI TUCSON</v>
          </cell>
          <cell r="D457" t="str">
            <v>HYUNDAI</v>
          </cell>
          <cell r="E457" t="str">
            <v>TUCSON</v>
          </cell>
          <cell r="G457" t="str">
            <v>177더3379</v>
          </cell>
          <cell r="H457" t="str">
            <v>KMHJ5815GJU676430 </v>
          </cell>
          <cell r="I457">
            <v>46062</v>
          </cell>
          <cell r="J457" t="str">
            <v>경매장- 현대글로비스</v>
          </cell>
          <cell r="L457" t="str">
            <v>잔금</v>
          </cell>
          <cell r="N457">
            <v>750</v>
          </cell>
          <cell r="O457">
            <v>17</v>
          </cell>
          <cell r="P457">
            <v>767</v>
          </cell>
          <cell r="Q457" t="str">
            <v>HEYMAN</v>
          </cell>
          <cell r="R457">
            <v>46084</v>
          </cell>
          <cell r="S457" t="str">
            <v>MANTAS</v>
          </cell>
          <cell r="T457" t="str">
            <v>UAB GRALIS</v>
          </cell>
          <cell r="U457">
            <v>179285533</v>
          </cell>
          <cell r="V457" t="str">
            <v>370 (618) 11 666</v>
          </cell>
          <cell r="W457" t="str">
            <v xml:space="preserve">Jūros g. 33, Tauragė  </v>
          </cell>
          <cell r="X457">
            <v>1458</v>
          </cell>
          <cell r="AB457">
            <v>1717</v>
          </cell>
          <cell r="AC457">
            <v>5300</v>
          </cell>
          <cell r="AD457">
            <v>975</v>
          </cell>
        </row>
        <row r="458">
          <cell r="A458">
            <v>456</v>
          </cell>
          <cell r="B458">
            <v>46057</v>
          </cell>
          <cell r="C458" t="str">
            <v>AUDI SQ5</v>
          </cell>
          <cell r="D458" t="str">
            <v>AUDI</v>
          </cell>
          <cell r="E458" t="str">
            <v>SQ5</v>
          </cell>
          <cell r="G458" t="str">
            <v>36머1544</v>
          </cell>
          <cell r="H458" t="str">
            <v>WAUZZZ8R5FA070422</v>
          </cell>
          <cell r="I458">
            <v>46062</v>
          </cell>
          <cell r="J458" t="str">
            <v>㈜신사모터스</v>
          </cell>
          <cell r="L458" t="str">
            <v>잔금</v>
          </cell>
          <cell r="M458" t="str">
            <v>50만원 회사통장 나감</v>
          </cell>
          <cell r="N458">
            <v>1500</v>
          </cell>
          <cell r="P458">
            <v>1500</v>
          </cell>
          <cell r="Q458" t="str">
            <v>DONE</v>
          </cell>
          <cell r="R458">
            <v>46064</v>
          </cell>
          <cell r="S458" t="str">
            <v>RIZA</v>
          </cell>
          <cell r="T458" t="str">
            <v>DRAGOTI ENEA</v>
          </cell>
          <cell r="U458" t="str">
            <v>J80930080U</v>
          </cell>
          <cell r="V458" t="str">
            <v>355 682769063</v>
          </cell>
          <cell r="W458" t="str">
            <v>Albania</v>
          </cell>
          <cell r="X458">
            <v>1458</v>
          </cell>
          <cell r="AB458">
            <v>1717</v>
          </cell>
          <cell r="AC458">
            <v>8367</v>
          </cell>
          <cell r="AD458">
            <v>1503</v>
          </cell>
          <cell r="AE458">
            <v>9870</v>
          </cell>
          <cell r="AF458">
            <v>10700</v>
          </cell>
        </row>
        <row r="459">
          <cell r="A459">
            <v>457</v>
          </cell>
          <cell r="B459">
            <v>46057</v>
          </cell>
          <cell r="C459" t="str">
            <v>AUDI A6</v>
          </cell>
          <cell r="D459" t="str">
            <v>AUDI</v>
          </cell>
          <cell r="E459" t="str">
            <v>A6</v>
          </cell>
          <cell r="G459" t="str">
            <v>58루1770</v>
          </cell>
          <cell r="H459" t="str">
            <v>WAUZZZ4G1FN006679</v>
          </cell>
          <cell r="I459">
            <v>46062</v>
          </cell>
          <cell r="J459" t="str">
            <v>경매장- 현대글로비스</v>
          </cell>
          <cell r="L459" t="str">
            <v>잔금</v>
          </cell>
          <cell r="N459">
            <v>605</v>
          </cell>
          <cell r="O459">
            <v>17</v>
          </cell>
          <cell r="P459">
            <v>622</v>
          </cell>
          <cell r="Q459" t="str">
            <v>HEYMAN</v>
          </cell>
          <cell r="R459">
            <v>46084</v>
          </cell>
          <cell r="S459" t="str">
            <v>MANTAS</v>
          </cell>
          <cell r="T459" t="str">
            <v>UAB GRALIS</v>
          </cell>
          <cell r="U459">
            <v>179285533</v>
          </cell>
          <cell r="V459" t="str">
            <v>370 (618) 11 666</v>
          </cell>
          <cell r="W459" t="str">
            <v xml:space="preserve">Jūros g. 33, Tauragė  </v>
          </cell>
          <cell r="X459">
            <v>1458</v>
          </cell>
          <cell r="AB459">
            <v>1717</v>
          </cell>
          <cell r="AC459">
            <v>4300</v>
          </cell>
          <cell r="AD459">
            <v>975</v>
          </cell>
        </row>
        <row r="460">
          <cell r="A460">
            <v>458</v>
          </cell>
          <cell r="B460">
            <v>46057</v>
          </cell>
          <cell r="C460" t="str">
            <v>BENZ C250</v>
          </cell>
          <cell r="D460" t="str">
            <v>BENZ</v>
          </cell>
          <cell r="E460" t="str">
            <v>C250</v>
          </cell>
          <cell r="G460" t="str">
            <v>26다0252</v>
          </cell>
          <cell r="H460" t="str">
            <v>WDDWF0KB1HR238606</v>
          </cell>
          <cell r="I460">
            <v>46062</v>
          </cell>
          <cell r="J460" t="str">
            <v>㈜제이디모터스</v>
          </cell>
          <cell r="L460" t="str">
            <v>잔금</v>
          </cell>
          <cell r="M460" t="str">
            <v>100만원 대표님 계약</v>
          </cell>
          <cell r="N460">
            <v>1570</v>
          </cell>
          <cell r="O460">
            <v>44</v>
          </cell>
          <cell r="P460">
            <v>1614</v>
          </cell>
          <cell r="Q460" t="str">
            <v>DONE</v>
          </cell>
          <cell r="R460">
            <v>46064</v>
          </cell>
          <cell r="S460" t="str">
            <v>HYSA</v>
          </cell>
          <cell r="T460" t="str">
            <v>FERINAND LLOSHI</v>
          </cell>
          <cell r="U460" t="str">
            <v>K71108008L</v>
          </cell>
          <cell r="V460" t="str">
            <v>355 69 690 2972</v>
          </cell>
          <cell r="W460" t="str">
            <v>Albania</v>
          </cell>
          <cell r="X460">
            <v>1458</v>
          </cell>
          <cell r="AB460">
            <v>1717</v>
          </cell>
          <cell r="AC460">
            <v>9002</v>
          </cell>
          <cell r="AD460">
            <v>1418</v>
          </cell>
          <cell r="AE460">
            <v>10420</v>
          </cell>
          <cell r="AF460">
            <v>10420</v>
          </cell>
        </row>
        <row r="461">
          <cell r="A461">
            <v>459</v>
          </cell>
          <cell r="B461">
            <v>46057</v>
          </cell>
          <cell r="C461" t="str">
            <v>BENZ S350</v>
          </cell>
          <cell r="D461" t="str">
            <v>BENZ</v>
          </cell>
          <cell r="E461" t="str">
            <v>S350</v>
          </cell>
          <cell r="G461" t="str">
            <v>15오1126</v>
          </cell>
          <cell r="H461" t="str">
            <v>WDDUF3DB1FA068782</v>
          </cell>
          <cell r="I461">
            <v>46062</v>
          </cell>
          <cell r="J461" t="str">
            <v>㈜더뷰유 모처스</v>
          </cell>
          <cell r="L461" t="str">
            <v>잔금</v>
          </cell>
          <cell r="M461" t="str">
            <v>100만원 대표님 계약</v>
          </cell>
          <cell r="N461">
            <v>2750</v>
          </cell>
          <cell r="P461">
            <v>2750</v>
          </cell>
          <cell r="Q461" t="str">
            <v>DONE</v>
          </cell>
          <cell r="R461">
            <v>46065</v>
          </cell>
          <cell r="S461" t="str">
            <v>Andi</v>
          </cell>
          <cell r="T461" t="str">
            <v>DURICI ERBLIN</v>
          </cell>
          <cell r="U461" t="str">
            <v>J60114005N</v>
          </cell>
          <cell r="V461" t="str">
            <v>355 69 367 4263</v>
          </cell>
          <cell r="W461" t="str">
            <v>Albania</v>
          </cell>
          <cell r="X461">
            <v>1458</v>
          </cell>
          <cell r="AB461">
            <v>1717</v>
          </cell>
          <cell r="AC461">
            <v>15297</v>
          </cell>
          <cell r="AD461">
            <v>1503</v>
          </cell>
          <cell r="AE461">
            <v>16800</v>
          </cell>
          <cell r="AF461">
            <v>7800</v>
          </cell>
        </row>
        <row r="462">
          <cell r="A462">
            <v>460</v>
          </cell>
          <cell r="B462">
            <v>46057</v>
          </cell>
          <cell r="C462" t="str">
            <v>AUDI A7</v>
          </cell>
          <cell r="D462" t="str">
            <v>AUDI</v>
          </cell>
          <cell r="E462" t="str">
            <v>A7</v>
          </cell>
          <cell r="G462" t="str">
            <v>57거0917</v>
          </cell>
          <cell r="H462" t="str">
            <v>WAUZZZ4G1GN032524</v>
          </cell>
          <cell r="I462">
            <v>46062</v>
          </cell>
          <cell r="J462" t="str">
            <v>㈜우주상사</v>
          </cell>
          <cell r="L462" t="str">
            <v>잔금</v>
          </cell>
          <cell r="M462" t="str">
            <v>100만원 대표님 계약</v>
          </cell>
          <cell r="N462">
            <v>1380</v>
          </cell>
          <cell r="P462">
            <v>1380</v>
          </cell>
          <cell r="Q462" t="str">
            <v>DONE</v>
          </cell>
          <cell r="R462">
            <v>46065</v>
          </cell>
          <cell r="S462" t="str">
            <v>CALJA</v>
          </cell>
          <cell r="T462" t="str">
            <v>KOCO FABIO</v>
          </cell>
          <cell r="U462" t="str">
            <v>K20324055J</v>
          </cell>
          <cell r="V462" t="str">
            <v>355 69 550 5533</v>
          </cell>
          <cell r="W462" t="str">
            <v>Albania</v>
          </cell>
          <cell r="X462">
            <v>1458</v>
          </cell>
          <cell r="AB462">
            <v>1717</v>
          </cell>
          <cell r="AC462">
            <v>7832</v>
          </cell>
          <cell r="AD462">
            <v>1418</v>
          </cell>
          <cell r="AE462">
            <v>9250</v>
          </cell>
          <cell r="AF462">
            <v>9330</v>
          </cell>
        </row>
        <row r="463">
          <cell r="A463">
            <v>461</v>
          </cell>
          <cell r="B463">
            <v>46057</v>
          </cell>
          <cell r="C463" t="str">
            <v>BENZ AMG GT 43</v>
          </cell>
          <cell r="D463" t="str">
            <v>BENZ</v>
          </cell>
          <cell r="E463" t="str">
            <v>AMG GT 43</v>
          </cell>
          <cell r="G463" t="str">
            <v>142도7198</v>
          </cell>
          <cell r="H463" t="str">
            <v>W1K7X5KB2MA043198</v>
          </cell>
          <cell r="I463">
            <v>46062</v>
          </cell>
          <cell r="J463" t="str">
            <v>㈜원오토모빌</v>
          </cell>
          <cell r="L463" t="str">
            <v>잔금</v>
          </cell>
          <cell r="M463" t="str">
            <v>100만원 대표님 계약</v>
          </cell>
          <cell r="N463">
            <v>5500</v>
          </cell>
          <cell r="P463">
            <v>5500</v>
          </cell>
          <cell r="Q463" t="str">
            <v>DONE</v>
          </cell>
          <cell r="R463">
            <v>46064</v>
          </cell>
          <cell r="S463" t="str">
            <v>RIZA</v>
          </cell>
          <cell r="T463" t="str">
            <v>Riza Qosja</v>
          </cell>
          <cell r="U463" t="str">
            <v>K20614016R</v>
          </cell>
          <cell r="V463" t="str">
            <v>355 682769063</v>
          </cell>
          <cell r="W463" t="str">
            <v>Albania</v>
          </cell>
          <cell r="X463">
            <v>1458</v>
          </cell>
          <cell r="AB463">
            <v>1717</v>
          </cell>
          <cell r="AC463">
            <v>30382</v>
          </cell>
          <cell r="AD463">
            <v>1418</v>
          </cell>
          <cell r="AE463">
            <v>31800</v>
          </cell>
          <cell r="AF463">
            <v>23050</v>
          </cell>
        </row>
        <row r="464">
          <cell r="A464">
            <v>462</v>
          </cell>
          <cell r="B464">
            <v>46057</v>
          </cell>
          <cell r="C464" t="str">
            <v>BMW M3</v>
          </cell>
          <cell r="D464" t="str">
            <v>BMW</v>
          </cell>
          <cell r="E464" t="str">
            <v>M3</v>
          </cell>
          <cell r="G464" t="str">
            <v>32마5373</v>
          </cell>
          <cell r="H464" t="str">
            <v>WBSWD9102AP306474</v>
          </cell>
          <cell r="I464">
            <v>46063</v>
          </cell>
          <cell r="J464" t="str">
            <v>개인매입- 정지훈/ 박운희</v>
          </cell>
          <cell r="L464" t="str">
            <v>잔금</v>
          </cell>
          <cell r="M464" t="str">
            <v>100만원 대표님 계약</v>
          </cell>
          <cell r="N464">
            <v>3110</v>
          </cell>
          <cell r="P464">
            <v>3110</v>
          </cell>
          <cell r="Q464" t="str">
            <v>GERMANY</v>
          </cell>
          <cell r="R464" t="str">
            <v>출고</v>
          </cell>
          <cell r="S464" t="str">
            <v xml:space="preserve">DAX IMPORT 🇩🇪 </v>
          </cell>
          <cell r="T464" t="str">
            <v xml:space="preserve">Michael Karl  </v>
          </cell>
          <cell r="U464" t="str">
            <v>LF9N8WZ16</v>
          </cell>
          <cell r="V464" t="str">
            <v>‪+49 471 94189050‬</v>
          </cell>
          <cell r="W464" t="str">
            <v xml:space="preserve">Dorfstr,33C,(82024) Taufkirchen, Germany </v>
          </cell>
          <cell r="X464">
            <v>1458</v>
          </cell>
          <cell r="AB464">
            <v>1717</v>
          </cell>
          <cell r="AC464">
            <v>17320</v>
          </cell>
        </row>
        <row r="465">
          <cell r="A465">
            <v>463</v>
          </cell>
          <cell r="B465">
            <v>46057</v>
          </cell>
          <cell r="C465" t="str">
            <v>BENZ AMG GT</v>
          </cell>
          <cell r="D465" t="str">
            <v>BENZ</v>
          </cell>
          <cell r="E465" t="str">
            <v>AMG GT</v>
          </cell>
          <cell r="G465" t="str">
            <v>56수6666</v>
          </cell>
          <cell r="H465" t="str">
            <v>WDDYJ7HA9GA010705</v>
          </cell>
          <cell r="I465">
            <v>46064</v>
          </cell>
          <cell r="J465" t="str">
            <v>(주)엠카이모터스</v>
          </cell>
          <cell r="L465" t="str">
            <v>잔금</v>
          </cell>
          <cell r="M465" t="str">
            <v>100만원 대표님 계약</v>
          </cell>
          <cell r="N465">
            <v>5820</v>
          </cell>
          <cell r="P465">
            <v>5820</v>
          </cell>
          <cell r="Q465" t="str">
            <v>GERMANY</v>
          </cell>
          <cell r="R465">
            <v>46065</v>
          </cell>
          <cell r="S465" t="str">
            <v>Ardijan Qorraj</v>
          </cell>
          <cell r="T465" t="str">
            <v>Ardijan Qorraj</v>
          </cell>
          <cell r="U465" t="str">
            <v>C6YRK7K2F</v>
          </cell>
          <cell r="V465">
            <v>4917655744700</v>
          </cell>
          <cell r="W465" t="str">
            <v>Germany, Piepersweg 35 (41066)</v>
          </cell>
          <cell r="X465">
            <v>1446</v>
          </cell>
          <cell r="AB465">
            <v>1720</v>
          </cell>
          <cell r="AC465">
            <v>32500</v>
          </cell>
          <cell r="AD465">
            <v>980</v>
          </cell>
        </row>
        <row r="466">
          <cell r="A466">
            <v>464</v>
          </cell>
          <cell r="B466">
            <v>46062</v>
          </cell>
          <cell r="C466" t="str">
            <v>VOLVO XC90D5</v>
          </cell>
          <cell r="D466" t="str">
            <v>VOLVO</v>
          </cell>
          <cell r="E466" t="str">
            <v>XC90D5</v>
          </cell>
          <cell r="G466" t="str">
            <v>100오4676</v>
          </cell>
          <cell r="H466" t="str">
            <v>YV1LF68TCJ1362749</v>
          </cell>
          <cell r="I466">
            <v>46063</v>
          </cell>
          <cell r="J466" t="str">
            <v>(주)우송모터스</v>
          </cell>
          <cell r="L466" t="str">
            <v>잔금</v>
          </cell>
          <cell r="M466" t="str">
            <v>50만원 대표님 계약</v>
          </cell>
          <cell r="N466">
            <v>2844</v>
          </cell>
          <cell r="P466">
            <v>2844</v>
          </cell>
          <cell r="Q466" t="str">
            <v>DONE</v>
          </cell>
          <cell r="R466">
            <v>46065</v>
          </cell>
          <cell r="S466" t="str">
            <v>Auto Posh SH.P.K</v>
          </cell>
          <cell r="T466" t="str">
            <v>Auto Posh SH.P.K</v>
          </cell>
          <cell r="U466">
            <v>812219427</v>
          </cell>
          <cell r="V466" t="str">
            <v>38345560145</v>
          </cell>
          <cell r="W466" t="str">
            <v xml:space="preserve"> Rruga Jakup Lami, Pn. Greme, Feriza</v>
          </cell>
          <cell r="X466">
            <v>1458</v>
          </cell>
          <cell r="AB466">
            <v>1717</v>
          </cell>
          <cell r="AC466">
            <v>15672</v>
          </cell>
          <cell r="AD466">
            <v>1333</v>
          </cell>
          <cell r="AF466">
            <v>17260</v>
          </cell>
        </row>
        <row r="467">
          <cell r="A467">
            <v>465</v>
          </cell>
          <cell r="B467">
            <v>46062</v>
          </cell>
          <cell r="C467" t="str">
            <v>HYUNDAI TUCSON</v>
          </cell>
          <cell r="D467" t="str">
            <v>HYUNDAI</v>
          </cell>
          <cell r="E467" t="str">
            <v>TUCSON</v>
          </cell>
          <cell r="G467" t="str">
            <v>24루1434</v>
          </cell>
          <cell r="H467" t="str">
            <v>KMHJ3815GGU193284</v>
          </cell>
          <cell r="I467">
            <v>46063</v>
          </cell>
          <cell r="J467" t="str">
            <v>(주)타다모터스</v>
          </cell>
          <cell r="L467" t="str">
            <v>잔금</v>
          </cell>
          <cell r="M467" t="str">
            <v>50만원 대표님 계약</v>
          </cell>
          <cell r="N467">
            <v>1130</v>
          </cell>
          <cell r="P467">
            <v>1130</v>
          </cell>
          <cell r="Q467" t="str">
            <v>DONE</v>
          </cell>
          <cell r="R467">
            <v>46065</v>
          </cell>
          <cell r="S467" t="str">
            <v>CALJA</v>
          </cell>
          <cell r="T467" t="str">
            <v>JANCA NDERIM</v>
          </cell>
          <cell r="U467" t="str">
            <v>I30218005J</v>
          </cell>
          <cell r="V467" t="str">
            <v>355 69 550 5533</v>
          </cell>
          <cell r="W467" t="str">
            <v>Albania</v>
          </cell>
          <cell r="X467">
            <v>1458</v>
          </cell>
          <cell r="AB467">
            <v>1717</v>
          </cell>
          <cell r="AC467">
            <v>6447</v>
          </cell>
          <cell r="AD467">
            <v>1248</v>
          </cell>
          <cell r="AE467">
            <v>7950</v>
          </cell>
          <cell r="AF467">
            <v>13030</v>
          </cell>
        </row>
        <row r="468">
          <cell r="A468">
            <v>466</v>
          </cell>
          <cell r="B468">
            <v>46062</v>
          </cell>
          <cell r="C468" t="str">
            <v>BENZ GLE 350D 4MATIC COUPE</v>
          </cell>
          <cell r="D468" t="str">
            <v>BENZ</v>
          </cell>
          <cell r="E468" t="str">
            <v>GLE 350D 4MATIC COUPE</v>
          </cell>
          <cell r="G468" t="str">
            <v>28러9001</v>
          </cell>
          <cell r="H468" t="str">
            <v>WDCED2EB6HA067444</v>
          </cell>
          <cell r="I468">
            <v>46063</v>
          </cell>
          <cell r="J468" t="str">
            <v>㈜케이스상사</v>
          </cell>
          <cell r="L468" t="str">
            <v>잔금</v>
          </cell>
          <cell r="M468" t="str">
            <v>100만원 대표님 계약</v>
          </cell>
          <cell r="N468">
            <v>3400</v>
          </cell>
          <cell r="P468">
            <v>3400</v>
          </cell>
          <cell r="Q468" t="str">
            <v>DONE</v>
          </cell>
          <cell r="R468">
            <v>46065</v>
          </cell>
          <cell r="S468" t="str">
            <v>CALJA</v>
          </cell>
          <cell r="T468" t="str">
            <v>ALBE</v>
          </cell>
          <cell r="U468" t="str">
            <v>K31727025S</v>
          </cell>
          <cell r="V468" t="str">
            <v>355 69 550 5533</v>
          </cell>
          <cell r="W468" t="str">
            <v>Albania</v>
          </cell>
          <cell r="X468">
            <v>1446</v>
          </cell>
          <cell r="AB468">
            <v>1720</v>
          </cell>
          <cell r="AC468">
            <v>18930</v>
          </cell>
          <cell r="AD468">
            <v>1320</v>
          </cell>
          <cell r="AE468">
            <v>20500</v>
          </cell>
          <cell r="AF468">
            <v>11700</v>
          </cell>
        </row>
        <row r="469">
          <cell r="A469">
            <v>467</v>
          </cell>
          <cell r="B469">
            <v>46063</v>
          </cell>
          <cell r="C469" t="str">
            <v>AUDI A6</v>
          </cell>
          <cell r="D469" t="str">
            <v>AUDI</v>
          </cell>
          <cell r="E469" t="str">
            <v>A6</v>
          </cell>
          <cell r="G469" t="str">
            <v>328마4025</v>
          </cell>
          <cell r="H469" t="str">
            <v>WAUZZZF29LN022982</v>
          </cell>
          <cell r="I469">
            <v>46064</v>
          </cell>
          <cell r="J469" t="str">
            <v>㈜우리들모터스</v>
          </cell>
          <cell r="L469" t="str">
            <v>잔금</v>
          </cell>
          <cell r="M469" t="str">
            <v>100만원 회사통장 나감</v>
          </cell>
          <cell r="N469">
            <v>2950</v>
          </cell>
          <cell r="P469">
            <v>2950</v>
          </cell>
          <cell r="Q469" t="str">
            <v>DONE</v>
          </cell>
          <cell r="R469">
            <v>46065</v>
          </cell>
          <cell r="S469" t="str">
            <v>DONI</v>
          </cell>
          <cell r="T469" t="str">
            <v>DONI</v>
          </cell>
          <cell r="U469">
            <v>933682</v>
          </cell>
          <cell r="V469" t="str">
            <v>3 8 3 4 9 3 2 5 7 0 3</v>
          </cell>
          <cell r="W469" t="str">
            <v xml:space="preserve"> HYZRI TALLA OB 16 HY 1 NR 18
 Kosovë</v>
          </cell>
          <cell r="X469">
            <v>1446</v>
          </cell>
          <cell r="AB469">
            <v>1720</v>
          </cell>
          <cell r="AC469">
            <v>16398</v>
          </cell>
          <cell r="AD469">
            <v>1152</v>
          </cell>
          <cell r="AE469">
            <v>17550</v>
          </cell>
          <cell r="AF469">
            <v>17760</v>
          </cell>
        </row>
        <row r="470">
          <cell r="A470">
            <v>468</v>
          </cell>
          <cell r="B470">
            <v>46063</v>
          </cell>
          <cell r="C470" t="str">
            <v>MINI COUNTRYMAN</v>
          </cell>
          <cell r="D470" t="str">
            <v>MINI</v>
          </cell>
          <cell r="E470" t="str">
            <v>COUNTRYMAN</v>
          </cell>
          <cell r="G470" t="str">
            <v>46주4259</v>
          </cell>
          <cell r="H470" t="str">
            <v>WMWXD5109FWT60630</v>
          </cell>
          <cell r="I470">
            <v>46063</v>
          </cell>
          <cell r="L470" t="str">
            <v>잔금</v>
          </cell>
          <cell r="N470">
            <v>326</v>
          </cell>
          <cell r="O470">
            <v>16</v>
          </cell>
          <cell r="P470">
            <v>342</v>
          </cell>
          <cell r="Q470" t="str">
            <v>HEYMAN</v>
          </cell>
          <cell r="R470">
            <v>46084</v>
          </cell>
          <cell r="S470" t="str">
            <v>MANTAS</v>
          </cell>
          <cell r="T470" t="str">
            <v>UAB GRALIS</v>
          </cell>
          <cell r="U470">
            <v>179285533</v>
          </cell>
          <cell r="V470" t="str">
            <v>370 (618) 11 666</v>
          </cell>
          <cell r="W470" t="str">
            <v xml:space="preserve">Jūros g. 33, Tauragė  </v>
          </cell>
          <cell r="X470">
            <v>1446</v>
          </cell>
          <cell r="AB470">
            <v>1720</v>
          </cell>
          <cell r="AC470">
            <v>2600</v>
          </cell>
          <cell r="AD470">
            <v>975</v>
          </cell>
        </row>
        <row r="471">
          <cell r="A471">
            <v>469</v>
          </cell>
          <cell r="B471">
            <v>46063</v>
          </cell>
          <cell r="C471" t="str">
            <v>BENZ C200 COUPLE</v>
          </cell>
          <cell r="D471" t="str">
            <v>BENZ</v>
          </cell>
          <cell r="E471" t="str">
            <v>C200 COUPLE</v>
          </cell>
          <cell r="G471" t="str">
            <v>12도1941</v>
          </cell>
          <cell r="H471" t="str">
            <v>WDDWJ4CB4GF318082</v>
          </cell>
          <cell r="I471">
            <v>46064</v>
          </cell>
          <cell r="J471" t="str">
            <v>(주)아이오토스</v>
          </cell>
          <cell r="L471" t="str">
            <v>잔금</v>
          </cell>
          <cell r="M471" t="str">
            <v>100만원 대표님 계약</v>
          </cell>
          <cell r="N471">
            <v>1620</v>
          </cell>
          <cell r="P471">
            <v>1620</v>
          </cell>
          <cell r="Q471" t="str">
            <v>GERMANY</v>
          </cell>
          <cell r="R471">
            <v>46065</v>
          </cell>
          <cell r="S471" t="str">
            <v>Ardijan Qorraj</v>
          </cell>
          <cell r="T471" t="str">
            <v>Ardijan Qorraj</v>
          </cell>
          <cell r="U471" t="str">
            <v>C6YRK7K2F</v>
          </cell>
          <cell r="V471">
            <v>4917655744700</v>
          </cell>
          <cell r="W471" t="str">
            <v>Germany, Piepersweg 35 (41066)</v>
          </cell>
          <cell r="X471">
            <v>1446</v>
          </cell>
          <cell r="AB471">
            <v>1720</v>
          </cell>
          <cell r="AC471">
            <v>9050</v>
          </cell>
          <cell r="AD471">
            <v>980</v>
          </cell>
          <cell r="AF471">
            <v>9100</v>
          </cell>
        </row>
        <row r="472">
          <cell r="A472">
            <v>470</v>
          </cell>
          <cell r="B472">
            <v>46063</v>
          </cell>
          <cell r="C472" t="str">
            <v>VOLKSWAGENS GOLF</v>
          </cell>
          <cell r="D472" t="str">
            <v>VOLKSWAGENS</v>
          </cell>
          <cell r="E472" t="str">
            <v>GOLF</v>
          </cell>
          <cell r="G472" t="str">
            <v>38노7884</v>
          </cell>
          <cell r="H472" t="str">
            <v>WVWZZZAUZDW152781</v>
          </cell>
          <cell r="I472">
            <v>46064</v>
          </cell>
          <cell r="J472" t="str">
            <v>(주)해피온카</v>
          </cell>
          <cell r="L472" t="str">
            <v>잔금</v>
          </cell>
          <cell r="M472" t="str">
            <v>50만원 회사통장 나감</v>
          </cell>
          <cell r="N472">
            <v>790</v>
          </cell>
          <cell r="P472">
            <v>790</v>
          </cell>
          <cell r="Q472" t="str">
            <v>DONE</v>
          </cell>
          <cell r="R472">
            <v>46065</v>
          </cell>
          <cell r="S472" t="str">
            <v>CALJA</v>
          </cell>
          <cell r="T472" t="str">
            <v>KOCO FABIO</v>
          </cell>
          <cell r="U472" t="str">
            <v>K20324055J</v>
          </cell>
          <cell r="V472" t="str">
            <v>355 69 550 5533</v>
          </cell>
          <cell r="W472" t="str">
            <v>Albania</v>
          </cell>
          <cell r="X472">
            <v>1446</v>
          </cell>
          <cell r="AB472">
            <v>1720</v>
          </cell>
          <cell r="AC472">
            <v>4548</v>
          </cell>
          <cell r="AD472">
            <v>1152</v>
          </cell>
          <cell r="AE472">
            <v>5700</v>
          </cell>
          <cell r="AF472">
            <v>5950</v>
          </cell>
        </row>
        <row r="473">
          <cell r="A473">
            <v>471</v>
          </cell>
          <cell r="B473">
            <v>46063</v>
          </cell>
          <cell r="C473" t="str">
            <v>AUDI A6</v>
          </cell>
          <cell r="D473" t="str">
            <v>AUDI</v>
          </cell>
          <cell r="E473" t="str">
            <v>A6</v>
          </cell>
          <cell r="G473" t="str">
            <v>21가9012</v>
          </cell>
          <cell r="H473" t="str">
            <v>WAUZZZ4G8GN168696</v>
          </cell>
          <cell r="I473">
            <v>46064</v>
          </cell>
          <cell r="J473" t="str">
            <v>(주)서울모터스</v>
          </cell>
          <cell r="L473" t="str">
            <v>잔금</v>
          </cell>
          <cell r="M473" t="str">
            <v>50만원 대표님 계약</v>
          </cell>
          <cell r="N473">
            <v>1450</v>
          </cell>
          <cell r="P473">
            <v>1450</v>
          </cell>
          <cell r="Q473" t="str">
            <v>DONE</v>
          </cell>
          <cell r="R473">
            <v>46065</v>
          </cell>
          <cell r="S473" t="str">
            <v>CALJA</v>
          </cell>
          <cell r="T473" t="str">
            <v>LEDJON KARDIU</v>
          </cell>
          <cell r="U473" t="str">
            <v>K60910080L</v>
          </cell>
          <cell r="V473" t="str">
            <v>355 69 550 5533</v>
          </cell>
          <cell r="W473" t="str">
            <v>Albania</v>
          </cell>
          <cell r="X473">
            <v>1446</v>
          </cell>
          <cell r="AB473">
            <v>1720</v>
          </cell>
          <cell r="AC473">
            <v>8148</v>
          </cell>
          <cell r="AD473">
            <v>1152</v>
          </cell>
          <cell r="AE473">
            <v>9300</v>
          </cell>
          <cell r="AF473">
            <v>11400</v>
          </cell>
        </row>
        <row r="474">
          <cell r="A474">
            <v>472</v>
          </cell>
          <cell r="B474">
            <v>46063</v>
          </cell>
          <cell r="C474" t="str">
            <v>VOLKSWAGENS Tiguan 2.0 TDI 4Motion</v>
          </cell>
          <cell r="D474" t="str">
            <v>VOLKSWAGENS</v>
          </cell>
          <cell r="E474" t="str">
            <v>Tiguan 2.0 TDI 4Motion</v>
          </cell>
          <cell r="G474" t="str">
            <v>35다2965</v>
          </cell>
          <cell r="H474" t="str">
            <v>WVGZZZ5NZJW937586</v>
          </cell>
          <cell r="I474">
            <v>46078</v>
          </cell>
          <cell r="L474" t="str">
            <v>잔금</v>
          </cell>
          <cell r="M474" t="str">
            <v>100만원 헤이맨계약</v>
          </cell>
          <cell r="N474">
            <v>2284</v>
          </cell>
          <cell r="P474">
            <v>2284</v>
          </cell>
          <cell r="Q474" t="str">
            <v>DONE</v>
          </cell>
          <cell r="R474">
            <v>46086</v>
          </cell>
          <cell r="S474" t="str">
            <v>R.S.h L.L.C.</v>
          </cell>
          <cell r="T474" t="str">
            <v>R.Sh L.L.C.</v>
          </cell>
          <cell r="U474">
            <v>812326016</v>
          </cell>
          <cell r="V474" t="str">
            <v>+383486 611 61</v>
          </cell>
          <cell r="W474" t="str">
            <v>Kosovo</v>
          </cell>
          <cell r="X474">
            <v>1446</v>
          </cell>
          <cell r="AB474">
            <v>1720</v>
          </cell>
          <cell r="AC474">
            <v>12714</v>
          </cell>
          <cell r="AD474">
            <v>1236</v>
          </cell>
          <cell r="AE474">
            <v>13950</v>
          </cell>
          <cell r="AF474">
            <v>14000</v>
          </cell>
        </row>
        <row r="475">
          <cell r="A475">
            <v>473</v>
          </cell>
          <cell r="B475">
            <v>46063</v>
          </cell>
          <cell r="C475" t="str">
            <v>VOLKSWAGENS Touareg 3.0TDI</v>
          </cell>
          <cell r="D475" t="str">
            <v>VOLKSWAGENS</v>
          </cell>
          <cell r="E475" t="str">
            <v>Touareg 3.0TDI</v>
          </cell>
          <cell r="G475" t="str">
            <v>268다3265</v>
          </cell>
          <cell r="H475" t="str">
            <v>WVGZZZCR9RD022396</v>
          </cell>
          <cell r="I475">
            <v>46076</v>
          </cell>
          <cell r="L475" t="str">
            <v>잔금</v>
          </cell>
          <cell r="M475" t="str">
            <v>500만원 헤이맨계약</v>
          </cell>
          <cell r="N475">
            <v>8350</v>
          </cell>
          <cell r="P475">
            <v>8350</v>
          </cell>
          <cell r="Q475" t="str">
            <v>DONE</v>
          </cell>
          <cell r="R475">
            <v>46086</v>
          </cell>
          <cell r="S475" t="str">
            <v>R.S.h L.L.C.</v>
          </cell>
          <cell r="T475" t="str">
            <v>R.Sh L.L.C.</v>
          </cell>
          <cell r="U475">
            <v>812326016</v>
          </cell>
          <cell r="V475" t="str">
            <v>+383486 611 61</v>
          </cell>
          <cell r="W475" t="str">
            <v>Kosovo</v>
          </cell>
          <cell r="X475">
            <v>1446</v>
          </cell>
          <cell r="AB475">
            <v>1720</v>
          </cell>
          <cell r="AC475">
            <v>46464</v>
          </cell>
          <cell r="AD475">
            <v>1236</v>
          </cell>
          <cell r="AE475">
            <v>47700</v>
          </cell>
          <cell r="AF475">
            <v>47700</v>
          </cell>
        </row>
        <row r="476">
          <cell r="A476">
            <v>474</v>
          </cell>
          <cell r="B476">
            <v>46063</v>
          </cell>
          <cell r="C476" t="str">
            <v>AUDI SQ5</v>
          </cell>
          <cell r="D476" t="str">
            <v>AUDI</v>
          </cell>
          <cell r="E476" t="str">
            <v>SQ5</v>
          </cell>
          <cell r="G476" t="str">
            <v>62마1111</v>
          </cell>
          <cell r="H476" t="str">
            <v>WAUZZZ8R4EA095388</v>
          </cell>
          <cell r="I476">
            <v>46064</v>
          </cell>
          <cell r="J476" t="str">
            <v>(주)인하모터스</v>
          </cell>
          <cell r="L476" t="str">
            <v>잔금</v>
          </cell>
          <cell r="M476" t="str">
            <v>50만원 대표님 계약</v>
          </cell>
          <cell r="N476">
            <v>1416</v>
          </cell>
          <cell r="O476">
            <v>44</v>
          </cell>
          <cell r="P476">
            <v>1460</v>
          </cell>
          <cell r="Q476" t="str">
            <v>DONE</v>
          </cell>
          <cell r="R476">
            <v>46065</v>
          </cell>
          <cell r="S476" t="str">
            <v>CALJA</v>
          </cell>
          <cell r="T476" t="str">
            <v>FITIMTAR BULLARI</v>
          </cell>
          <cell r="U476" t="str">
            <v>H70710012Q</v>
          </cell>
          <cell r="V476" t="str">
            <v>355 69 550 5533</v>
          </cell>
          <cell r="W476" t="str">
            <v>Albania</v>
          </cell>
          <cell r="X476">
            <v>1446</v>
          </cell>
          <cell r="AB476">
            <v>1720</v>
          </cell>
          <cell r="AC476">
            <v>8124</v>
          </cell>
          <cell r="AD476">
            <v>1236</v>
          </cell>
          <cell r="AE476">
            <v>9360</v>
          </cell>
          <cell r="AF476">
            <v>9960</v>
          </cell>
        </row>
        <row r="477">
          <cell r="A477">
            <v>475</v>
          </cell>
          <cell r="B477">
            <v>46063</v>
          </cell>
          <cell r="C477" t="str">
            <v>BMW 7SERIES</v>
          </cell>
          <cell r="D477" t="str">
            <v>BMW</v>
          </cell>
          <cell r="E477" t="str">
            <v>7SERIES</v>
          </cell>
          <cell r="G477" t="str">
            <v>37라3696</v>
          </cell>
          <cell r="H477" t="str">
            <v>WBA7G6100GG679892</v>
          </cell>
          <cell r="L477" t="str">
            <v>잔금</v>
          </cell>
          <cell r="P477">
            <v>0</v>
          </cell>
          <cell r="Q477" t="str">
            <v>HEYMAN</v>
          </cell>
          <cell r="R477">
            <v>46084</v>
          </cell>
          <cell r="S477" t="str">
            <v>MANTAS</v>
          </cell>
          <cell r="T477" t="str">
            <v>UAB GRALIS</v>
          </cell>
          <cell r="U477">
            <v>179285533</v>
          </cell>
          <cell r="V477" t="str">
            <v>370 (618) 11 666</v>
          </cell>
          <cell r="W477" t="str">
            <v xml:space="preserve">Jūros g. 33, Tauragė  </v>
          </cell>
          <cell r="AC477">
            <v>9000</v>
          </cell>
          <cell r="AD477">
            <v>975</v>
          </cell>
        </row>
        <row r="478">
          <cell r="A478">
            <v>476</v>
          </cell>
          <cell r="B478">
            <v>46064</v>
          </cell>
          <cell r="C478" t="str">
            <v>VOLKSWAGENS TIGUAN</v>
          </cell>
          <cell r="D478" t="str">
            <v>VOLKSWAGENS</v>
          </cell>
          <cell r="E478" t="str">
            <v>TIGUAN</v>
          </cell>
          <cell r="G478" t="str">
            <v>46부0898</v>
          </cell>
          <cell r="H478" t="str">
            <v>WVGZZZ5NZGW596147</v>
          </cell>
          <cell r="I478">
            <v>46072</v>
          </cell>
          <cell r="J478" t="str">
            <v>경매장-헤이딜러</v>
          </cell>
          <cell r="L478" t="str">
            <v>잔금</v>
          </cell>
          <cell r="N478">
            <v>1054</v>
          </cell>
          <cell r="O478">
            <v>36</v>
          </cell>
          <cell r="P478">
            <v>1090</v>
          </cell>
          <cell r="Q478" t="str">
            <v>DONE</v>
          </cell>
          <cell r="R478">
            <v>46079</v>
          </cell>
          <cell r="S478" t="str">
            <v>DONI</v>
          </cell>
          <cell r="T478" t="str">
            <v>DONI</v>
          </cell>
          <cell r="U478">
            <v>933682</v>
          </cell>
          <cell r="V478" t="str">
            <v>3 8 3 4 9 3 2 5 7 0 3</v>
          </cell>
          <cell r="W478" t="str">
            <v xml:space="preserve"> HYZRI TALLA OB 16 HY 1 NR 18
 Kosovë</v>
          </cell>
          <cell r="X478">
            <v>1446</v>
          </cell>
          <cell r="AB478">
            <v>1720</v>
          </cell>
          <cell r="AC478">
            <v>6314</v>
          </cell>
          <cell r="AD478">
            <v>1236</v>
          </cell>
          <cell r="AE478">
            <v>7550</v>
          </cell>
        </row>
        <row r="479">
          <cell r="A479">
            <v>477</v>
          </cell>
          <cell r="B479">
            <v>46064</v>
          </cell>
          <cell r="C479" t="str">
            <v>BENZ C63</v>
          </cell>
          <cell r="D479" t="str">
            <v>BENZ</v>
          </cell>
          <cell r="E479" t="str">
            <v>C63</v>
          </cell>
          <cell r="G479" t="str">
            <v>64부0362</v>
          </cell>
          <cell r="H479" t="str">
            <v>WDDWJ8HBXGF379193</v>
          </cell>
          <cell r="I479">
            <v>46072</v>
          </cell>
          <cell r="J479" t="str">
            <v>(주)카톡모터스</v>
          </cell>
          <cell r="L479" t="str">
            <v>잔금</v>
          </cell>
          <cell r="M479" t="str">
            <v>200만원 회사통장 나감</v>
          </cell>
          <cell r="N479">
            <v>4000</v>
          </cell>
          <cell r="Q479" t="str">
            <v>GERMANY</v>
          </cell>
          <cell r="R479" t="str">
            <v>출고</v>
          </cell>
          <cell r="S479" t="str">
            <v xml:space="preserve">DAX IMPORT 🇩🇪 </v>
          </cell>
          <cell r="T479" t="str">
            <v xml:space="preserve">Michael Karl  </v>
          </cell>
          <cell r="U479" t="str">
            <v>LF9N8WZ16</v>
          </cell>
          <cell r="V479" t="str">
            <v>‪+49 471 94189050‬</v>
          </cell>
          <cell r="W479" t="str">
            <v xml:space="preserve">Dorfstr,33C,(82024) Taufkirchen, Germany </v>
          </cell>
          <cell r="X479">
            <v>1458</v>
          </cell>
          <cell r="AB479">
            <v>1716</v>
          </cell>
          <cell r="AC479">
            <v>22360</v>
          </cell>
          <cell r="AF479">
            <v>22760</v>
          </cell>
        </row>
        <row r="480">
          <cell r="A480">
            <v>478</v>
          </cell>
          <cell r="B480">
            <v>46064</v>
          </cell>
          <cell r="C480" t="str">
            <v>BENZ C220</v>
          </cell>
          <cell r="D480" t="str">
            <v>BENZ</v>
          </cell>
          <cell r="E480" t="str">
            <v>C220</v>
          </cell>
          <cell r="G480" t="str">
            <v>55우2255</v>
          </cell>
          <cell r="H480" t="str">
            <v>WDDWF0EB9FF101679</v>
          </cell>
          <cell r="I480">
            <v>46065</v>
          </cell>
          <cell r="J480" t="str">
            <v>개인매입- 박혜민</v>
          </cell>
          <cell r="L480" t="str">
            <v>잔금</v>
          </cell>
          <cell r="M480" t="str">
            <v>50만원 회사통장 나감</v>
          </cell>
          <cell r="N480">
            <v>1200</v>
          </cell>
          <cell r="P480">
            <v>1200</v>
          </cell>
          <cell r="Q480" t="str">
            <v>done</v>
          </cell>
          <cell r="R480">
            <v>46077</v>
          </cell>
          <cell r="S480" t="str">
            <v>CALJA</v>
          </cell>
          <cell r="T480" t="str">
            <v>ANJA SHABANI</v>
          </cell>
          <cell r="U480" t="str">
            <v>K45815012I</v>
          </cell>
          <cell r="V480" t="str">
            <v>355 69 550 5533</v>
          </cell>
          <cell r="W480" t="str">
            <v>Albania</v>
          </cell>
          <cell r="X480">
            <v>1451</v>
          </cell>
          <cell r="AB480">
            <v>1705</v>
          </cell>
          <cell r="AC480">
            <v>6834</v>
          </cell>
          <cell r="AD480">
            <v>1166</v>
          </cell>
          <cell r="AE480">
            <v>8000</v>
          </cell>
          <cell r="AF480">
            <v>8550</v>
          </cell>
        </row>
        <row r="481">
          <cell r="A481">
            <v>479</v>
          </cell>
          <cell r="B481">
            <v>46064</v>
          </cell>
          <cell r="C481" t="str">
            <v>BMW M3</v>
          </cell>
          <cell r="D481" t="str">
            <v>BMW</v>
          </cell>
          <cell r="E481" t="str">
            <v>M3</v>
          </cell>
          <cell r="G481" t="str">
            <v>61더5473</v>
          </cell>
          <cell r="H481" t="str">
            <v>WBSWD91089P304594</v>
          </cell>
          <cell r="I481">
            <v>46066</v>
          </cell>
          <cell r="J481" t="str">
            <v>(주)씨피오토오티브</v>
          </cell>
          <cell r="L481" t="str">
            <v>잔금</v>
          </cell>
          <cell r="M481" t="str">
            <v>100만원 대표님 계약</v>
          </cell>
          <cell r="N481">
            <v>3956</v>
          </cell>
          <cell r="O481">
            <v>44</v>
          </cell>
          <cell r="P481">
            <v>4000</v>
          </cell>
          <cell r="Q481" t="str">
            <v>GERMANY</v>
          </cell>
          <cell r="R481" t="str">
            <v>출고</v>
          </cell>
          <cell r="S481" t="str">
            <v xml:space="preserve">DAX IMPORT 🇩🇪 </v>
          </cell>
          <cell r="T481" t="str">
            <v xml:space="preserve">Michael Karl  </v>
          </cell>
          <cell r="U481" t="str">
            <v>LF9N8WZ16</v>
          </cell>
          <cell r="V481" t="str">
            <v>‪+49 471 94189050‬</v>
          </cell>
          <cell r="W481" t="str">
            <v xml:space="preserve">Dorfstr,33C,(82024) Taufkirchen, Germany </v>
          </cell>
          <cell r="X481">
            <v>1458</v>
          </cell>
          <cell r="AB481">
            <v>1716</v>
          </cell>
          <cell r="AC481">
            <v>22370</v>
          </cell>
          <cell r="AF481">
            <v>22870</v>
          </cell>
        </row>
        <row r="482">
          <cell r="A482">
            <v>480</v>
          </cell>
          <cell r="B482">
            <v>46070</v>
          </cell>
          <cell r="C482" t="str">
            <v>RANGER ROVER 4.4D</v>
          </cell>
          <cell r="D482" t="str">
            <v>RANGER</v>
          </cell>
          <cell r="E482" t="str">
            <v>ROVER 4.4D</v>
          </cell>
          <cell r="G482" t="str">
            <v>227러9200</v>
          </cell>
          <cell r="H482" t="str">
            <v>SALGA2BJXJA396732</v>
          </cell>
          <cell r="I482">
            <v>46073</v>
          </cell>
          <cell r="J482" t="str">
            <v>(주) 달인중고차</v>
          </cell>
          <cell r="L482" t="str">
            <v>잔금</v>
          </cell>
          <cell r="M482" t="str">
            <v>100만원 회사통장 나감</v>
          </cell>
          <cell r="N482">
            <v>4000</v>
          </cell>
          <cell r="P482">
            <v>4000</v>
          </cell>
          <cell r="Q482" t="str">
            <v>done</v>
          </cell>
          <cell r="R482">
            <v>46080</v>
          </cell>
          <cell r="S482" t="str">
            <v>TAFA</v>
          </cell>
          <cell r="T482" t="str">
            <v>KRESHNIK MECAJ</v>
          </cell>
          <cell r="U482" t="str">
            <v>I80921021J</v>
          </cell>
          <cell r="V482" t="str">
            <v>355 68 855 8026</v>
          </cell>
          <cell r="W482" t="str">
            <v>ALBANIA</v>
          </cell>
          <cell r="X482">
            <v>1437</v>
          </cell>
          <cell r="AB482">
            <v>1701</v>
          </cell>
          <cell r="AC482">
            <v>22424</v>
          </cell>
          <cell r="AD482">
            <v>1326</v>
          </cell>
          <cell r="AE482">
            <v>23750</v>
          </cell>
          <cell r="AF482">
            <v>23750</v>
          </cell>
        </row>
        <row r="483">
          <cell r="A483">
            <v>481</v>
          </cell>
          <cell r="B483">
            <v>46070</v>
          </cell>
          <cell r="C483" t="str">
            <v>BMW 2 SERIES</v>
          </cell>
          <cell r="D483" t="str">
            <v>BMW</v>
          </cell>
          <cell r="E483" t="str">
            <v>2 SERIES</v>
          </cell>
          <cell r="H483" t="str">
            <v>WBA2C1108GV703411</v>
          </cell>
          <cell r="I483">
            <v>46072</v>
          </cell>
          <cell r="J483" t="str">
            <v>경매장-헤이딜러</v>
          </cell>
          <cell r="L483" t="str">
            <v>잔금</v>
          </cell>
          <cell r="M483" t="str">
            <v>CANCEL</v>
          </cell>
          <cell r="S483" t="str">
            <v>DONI</v>
          </cell>
          <cell r="T483" t="str">
            <v>DONI</v>
          </cell>
          <cell r="U483">
            <v>933682</v>
          </cell>
          <cell r="V483" t="str">
            <v>3 8 3 4 9 3 2 5 7 0 3</v>
          </cell>
          <cell r="W483" t="str">
            <v xml:space="preserve"> HYZRI TALLA OB 16 HY 1 NR 18
 Kosovë</v>
          </cell>
          <cell r="X483">
            <v>1439</v>
          </cell>
          <cell r="AB483">
            <v>1695</v>
          </cell>
          <cell r="AC483">
            <v>-1163</v>
          </cell>
          <cell r="AD483">
            <v>1163</v>
          </cell>
        </row>
        <row r="484">
          <cell r="A484">
            <v>482</v>
          </cell>
          <cell r="B484">
            <v>46063</v>
          </cell>
          <cell r="C484" t="str">
            <v>AUDI A8</v>
          </cell>
          <cell r="D484" t="str">
            <v>AUDI</v>
          </cell>
          <cell r="E484" t="str">
            <v>A8</v>
          </cell>
          <cell r="G484" t="str">
            <v>47누8199</v>
          </cell>
          <cell r="H484" t="str">
            <v>WAUZZZ4H1DN013234</v>
          </cell>
          <cell r="I484">
            <v>46073</v>
          </cell>
          <cell r="J484" t="str">
            <v>(주)모터살롱</v>
          </cell>
          <cell r="L484" t="str">
            <v>잔금</v>
          </cell>
          <cell r="M484" t="str">
            <v>50만원 대표님 계약</v>
          </cell>
          <cell r="N484">
            <v>1000</v>
          </cell>
          <cell r="P484">
            <v>1000</v>
          </cell>
          <cell r="Q484" t="str">
            <v>DONE</v>
          </cell>
          <cell r="R484">
            <v>46079</v>
          </cell>
          <cell r="S484" t="str">
            <v>CALJA</v>
          </cell>
          <cell r="T484" t="str">
            <v>ANDON HAXHIRAJ</v>
          </cell>
          <cell r="U484" t="str">
            <v>H71224064J</v>
          </cell>
          <cell r="V484" t="str">
            <v>355 69 550 5533</v>
          </cell>
          <cell r="W484" t="str">
            <v>Albania</v>
          </cell>
          <cell r="X484">
            <v>1431</v>
          </cell>
          <cell r="AB484">
            <v>1695</v>
          </cell>
          <cell r="AC484">
            <v>5789</v>
          </cell>
          <cell r="AD484">
            <v>1241</v>
          </cell>
          <cell r="AE484">
            <v>7030</v>
          </cell>
          <cell r="AF484">
            <v>10500</v>
          </cell>
        </row>
        <row r="485">
          <cell r="A485">
            <v>483</v>
          </cell>
          <cell r="B485">
            <v>46063</v>
          </cell>
          <cell r="C485" t="str">
            <v>BENZ GLS 400</v>
          </cell>
          <cell r="D485" t="str">
            <v>BENZ</v>
          </cell>
          <cell r="E485" t="str">
            <v>GLS 400</v>
          </cell>
          <cell r="G485" t="str">
            <v>158루2687</v>
          </cell>
          <cell r="H485" t="str">
            <v>W1NFF2DE3LA292583</v>
          </cell>
          <cell r="I485">
            <v>46073</v>
          </cell>
          <cell r="J485" t="str">
            <v>개인매입- 박효진</v>
          </cell>
          <cell r="L485" t="str">
            <v>잔금</v>
          </cell>
          <cell r="M485" t="str">
            <v>100만원 대표님 계약</v>
          </cell>
          <cell r="N485">
            <v>8100</v>
          </cell>
          <cell r="P485">
            <v>8100</v>
          </cell>
          <cell r="Q485" t="str">
            <v>done</v>
          </cell>
          <cell r="R485">
            <v>46080</v>
          </cell>
          <cell r="S485" t="str">
            <v>Auto Posh SH.P.K</v>
          </cell>
          <cell r="T485" t="str">
            <v>Auto Posh SH.P.K</v>
          </cell>
          <cell r="U485">
            <v>812219427</v>
          </cell>
          <cell r="V485" t="str">
            <v>38345560145</v>
          </cell>
          <cell r="W485" t="str">
            <v xml:space="preserve"> Rruga Jakup Lami, Pn. Greme, Feriza</v>
          </cell>
          <cell r="X485">
            <v>1458</v>
          </cell>
          <cell r="AB485">
            <v>1718</v>
          </cell>
          <cell r="AC485">
            <v>44668</v>
          </cell>
          <cell r="AD485">
            <v>1332</v>
          </cell>
          <cell r="AE485">
            <v>46000</v>
          </cell>
        </row>
        <row r="486">
          <cell r="A486">
            <v>484</v>
          </cell>
          <cell r="B486">
            <v>46063</v>
          </cell>
          <cell r="C486" t="str">
            <v>BMW 330I</v>
          </cell>
          <cell r="D486" t="str">
            <v>BMW</v>
          </cell>
          <cell r="E486" t="str">
            <v>330I</v>
          </cell>
          <cell r="G486" t="str">
            <v>23너7115</v>
          </cell>
          <cell r="H486" t="str">
            <v>WBA8B9109JA826371</v>
          </cell>
          <cell r="I486">
            <v>46066</v>
          </cell>
          <cell r="L486" t="str">
            <v>잔금</v>
          </cell>
          <cell r="M486" t="str">
            <v>100만원 대표님 계약</v>
          </cell>
          <cell r="N486">
            <v>2050</v>
          </cell>
          <cell r="O486">
            <v>44</v>
          </cell>
          <cell r="P486">
            <v>2094</v>
          </cell>
          <cell r="Q486" t="str">
            <v>GERMANY</v>
          </cell>
          <cell r="R486" t="str">
            <v>출고</v>
          </cell>
          <cell r="S486" t="str">
            <v xml:space="preserve">DAX IMPORT 🇩🇪 </v>
          </cell>
          <cell r="T486" t="str">
            <v xml:space="preserve">Michael Karl  </v>
          </cell>
          <cell r="U486" t="str">
            <v>LF9N8WZ16</v>
          </cell>
          <cell r="V486" t="str">
            <v>‪+49 471 94189050‬</v>
          </cell>
          <cell r="W486" t="str">
            <v xml:space="preserve">Dorfstr,33C,(82024) Taufkirchen, Germany </v>
          </cell>
          <cell r="X486">
            <v>1458</v>
          </cell>
          <cell r="Y486">
            <v>1716</v>
          </cell>
          <cell r="AB486">
            <v>1716</v>
          </cell>
          <cell r="AC486">
            <v>11730</v>
          </cell>
        </row>
        <row r="487">
          <cell r="A487">
            <v>485</v>
          </cell>
          <cell r="B487">
            <v>46063</v>
          </cell>
          <cell r="C487" t="str">
            <v>BENZ S350L</v>
          </cell>
          <cell r="D487" t="str">
            <v>BENZ</v>
          </cell>
          <cell r="E487" t="str">
            <v>S350L</v>
          </cell>
          <cell r="G487" t="str">
            <v>244다6507</v>
          </cell>
          <cell r="H487" t="str">
            <v>WDDUG3CBXFA156115</v>
          </cell>
          <cell r="I487">
            <v>46066</v>
          </cell>
          <cell r="J487" t="str">
            <v>(주)안산상사</v>
          </cell>
          <cell r="L487" t="str">
            <v>잔금</v>
          </cell>
          <cell r="M487" t="str">
            <v>100만원 대표님 계약</v>
          </cell>
          <cell r="N487">
            <v>2856</v>
          </cell>
          <cell r="O487">
            <v>44</v>
          </cell>
          <cell r="P487">
            <v>2900</v>
          </cell>
          <cell r="Q487" t="str">
            <v>DONE</v>
          </cell>
          <cell r="R487">
            <v>46073</v>
          </cell>
          <cell r="S487" t="str">
            <v>HYSA</v>
          </cell>
          <cell r="T487" t="str">
            <v>HYSA JUGERS</v>
          </cell>
          <cell r="U487">
            <v>12042219</v>
          </cell>
          <cell r="V487" t="str">
            <v>355 69 690 2972</v>
          </cell>
          <cell r="W487" t="str">
            <v>Albania</v>
          </cell>
          <cell r="X487">
            <v>1445</v>
          </cell>
          <cell r="AB487">
            <v>1718</v>
          </cell>
          <cell r="AC487">
            <v>16264</v>
          </cell>
          <cell r="AD487">
            <v>1236</v>
          </cell>
          <cell r="AE487">
            <v>17500</v>
          </cell>
          <cell r="AF487">
            <v>17650</v>
          </cell>
        </row>
        <row r="488">
          <cell r="A488">
            <v>486</v>
          </cell>
          <cell r="B488">
            <v>46070</v>
          </cell>
          <cell r="C488" t="str">
            <v>BENZ S350 D 4MATIC</v>
          </cell>
          <cell r="D488" t="str">
            <v>BENZ</v>
          </cell>
          <cell r="E488" t="str">
            <v>S350 D 4MATIC</v>
          </cell>
          <cell r="G488" t="str">
            <v>14두5402</v>
          </cell>
          <cell r="H488" t="str">
            <v>WDDUFEDB9HA312407</v>
          </cell>
          <cell r="I488">
            <v>46072</v>
          </cell>
          <cell r="J488" t="str">
            <v>(주) 제이디 모터스</v>
          </cell>
          <cell r="L488" t="str">
            <v>잔금</v>
          </cell>
          <cell r="M488" t="str">
            <v>100만원 대표님 계약</v>
          </cell>
          <cell r="N488">
            <v>3000</v>
          </cell>
          <cell r="P488">
            <v>3000</v>
          </cell>
          <cell r="Q488" t="str">
            <v>done</v>
          </cell>
          <cell r="R488">
            <v>46077</v>
          </cell>
          <cell r="S488" t="str">
            <v>AlphaWorldWide</v>
          </cell>
          <cell r="T488" t="str">
            <v>AlphaWorldWideAlbania</v>
          </cell>
          <cell r="U488" t="str">
            <v>SN-619176-11-19</v>
          </cell>
          <cell r="V488" t="str">
            <v>355 69223 3416</v>
          </cell>
          <cell r="W488" t="str">
            <v xml:space="preserve">Durres, Durres, DURRES, Lagjja nr.11, Rruga Bulevardi, me siperfaqe 30m2 </v>
          </cell>
          <cell r="X488">
            <v>1431</v>
          </cell>
          <cell r="AB488">
            <v>1695</v>
          </cell>
          <cell r="AC488">
            <v>16959</v>
          </cell>
          <cell r="AD488">
            <v>1241</v>
          </cell>
          <cell r="AE488">
            <v>18200</v>
          </cell>
          <cell r="AF488">
            <v>18200</v>
          </cell>
        </row>
        <row r="489">
          <cell r="A489">
            <v>487</v>
          </cell>
          <cell r="B489">
            <v>46071</v>
          </cell>
          <cell r="C489" t="str">
            <v>AUDI Q3</v>
          </cell>
          <cell r="D489" t="str">
            <v>AUDI</v>
          </cell>
          <cell r="E489" t="str">
            <v>Q3</v>
          </cell>
          <cell r="G489" t="str">
            <v>26마5575</v>
          </cell>
          <cell r="H489" t="str">
            <v>WAUZZZ8U6ER051480</v>
          </cell>
          <cell r="I489">
            <v>46072</v>
          </cell>
          <cell r="J489" t="str">
            <v>(주)에이투지네트웍스</v>
          </cell>
          <cell r="L489" t="str">
            <v>잔금</v>
          </cell>
          <cell r="M489" t="str">
            <v>50만원 대표님 계약</v>
          </cell>
          <cell r="N489">
            <v>1080</v>
          </cell>
          <cell r="P489">
            <v>0</v>
          </cell>
          <cell r="Q489" t="str">
            <v>done</v>
          </cell>
          <cell r="R489">
            <v>46077</v>
          </cell>
          <cell r="S489" t="str">
            <v xml:space="preserve">Andrea Kasa </v>
          </cell>
          <cell r="T489" t="str">
            <v>BUZANI NEVJANA</v>
          </cell>
          <cell r="U489" t="str">
            <v>H45317012A</v>
          </cell>
          <cell r="V489" t="str">
            <v>355 69 746 2556</v>
          </cell>
          <cell r="W489" t="str">
            <v>Albania</v>
          </cell>
          <cell r="X489">
            <v>1437</v>
          </cell>
          <cell r="AB489">
            <v>1701</v>
          </cell>
          <cell r="AC489">
            <v>6158</v>
          </cell>
          <cell r="AD489">
            <v>1242</v>
          </cell>
          <cell r="AE489">
            <v>7400</v>
          </cell>
          <cell r="AF489">
            <v>8550</v>
          </cell>
        </row>
        <row r="490">
          <cell r="A490">
            <v>488</v>
          </cell>
          <cell r="B490">
            <v>46070</v>
          </cell>
          <cell r="C490" t="str">
            <v>BENZ S350</v>
          </cell>
          <cell r="D490" t="str">
            <v>BENZ</v>
          </cell>
          <cell r="E490" t="str">
            <v>S350</v>
          </cell>
          <cell r="G490" t="str">
            <v>270라6123</v>
          </cell>
          <cell r="H490" t="str">
            <v>WDDUF3DB3GA248508</v>
          </cell>
          <cell r="I490">
            <v>46072</v>
          </cell>
          <cell r="J490" t="str">
            <v>(주)신수원자동차</v>
          </cell>
          <cell r="L490" t="str">
            <v>잔금</v>
          </cell>
          <cell r="M490" t="str">
            <v>100만원 대표님 계약</v>
          </cell>
          <cell r="N490">
            <v>2400</v>
          </cell>
          <cell r="P490">
            <v>0</v>
          </cell>
          <cell r="Q490" t="str">
            <v>done</v>
          </cell>
          <cell r="R490">
            <v>46077</v>
          </cell>
          <cell r="S490" t="str">
            <v>CALJA</v>
          </cell>
          <cell r="T490" t="str">
            <v>Calja</v>
          </cell>
          <cell r="U490" t="str">
            <v>M43323203V</v>
          </cell>
          <cell r="V490" t="str">
            <v>355 69 550 5533</v>
          </cell>
          <cell r="W490" t="str">
            <v>Albania</v>
          </cell>
          <cell r="X490">
            <v>1437</v>
          </cell>
          <cell r="AB490">
            <v>1701</v>
          </cell>
          <cell r="AC490">
            <v>13558</v>
          </cell>
          <cell r="AD490">
            <v>1242</v>
          </cell>
          <cell r="AE490">
            <v>14800</v>
          </cell>
          <cell r="AF490">
            <v>15480</v>
          </cell>
        </row>
        <row r="491">
          <cell r="A491">
            <v>489</v>
          </cell>
          <cell r="B491">
            <v>46070</v>
          </cell>
          <cell r="C491" t="str">
            <v>AUDI A6</v>
          </cell>
          <cell r="D491" t="str">
            <v>AUDI</v>
          </cell>
          <cell r="E491" t="str">
            <v>A6</v>
          </cell>
          <cell r="G491" t="str">
            <v>105더4081</v>
          </cell>
          <cell r="H491" t="str">
            <v>WAUZZZ4GXEN137527</v>
          </cell>
          <cell r="I491">
            <v>46073</v>
          </cell>
          <cell r="J491" t="str">
            <v>(주)수호모터스</v>
          </cell>
          <cell r="L491" t="str">
            <v>잔금</v>
          </cell>
          <cell r="M491" t="str">
            <v>50만원 대표님 계약</v>
          </cell>
          <cell r="N491">
            <v>574</v>
          </cell>
          <cell r="P491">
            <v>0</v>
          </cell>
          <cell r="Q491" t="str">
            <v>DONE</v>
          </cell>
          <cell r="R491">
            <v>46079</v>
          </cell>
          <cell r="S491" t="str">
            <v>RIZA</v>
          </cell>
          <cell r="T491" t="str">
            <v>PRESTIGE RENT</v>
          </cell>
          <cell r="U491" t="str">
            <v>M56929203H</v>
          </cell>
          <cell r="V491" t="str">
            <v>355 682769063</v>
          </cell>
          <cell r="W491" t="str">
            <v>Albania</v>
          </cell>
          <cell r="X491">
            <v>1437</v>
          </cell>
          <cell r="AB491">
            <v>1701</v>
          </cell>
          <cell r="AC491">
            <v>3443</v>
          </cell>
          <cell r="AD491">
            <v>1157</v>
          </cell>
          <cell r="AE491">
            <v>4600</v>
          </cell>
          <cell r="AF491">
            <v>5100</v>
          </cell>
        </row>
        <row r="492">
          <cell r="A492">
            <v>490</v>
          </cell>
          <cell r="B492">
            <v>46070</v>
          </cell>
          <cell r="C492" t="str">
            <v>AUDI Q5</v>
          </cell>
          <cell r="D492" t="str">
            <v>AUDI</v>
          </cell>
          <cell r="E492" t="str">
            <v>Q5</v>
          </cell>
          <cell r="G492" t="str">
            <v>223버1291</v>
          </cell>
          <cell r="H492" t="str">
            <v>WAUZZZFY0L2077262</v>
          </cell>
          <cell r="I492">
            <v>46078</v>
          </cell>
          <cell r="J492" t="str">
            <v>(주)다정자동차매매상사</v>
          </cell>
          <cell r="L492" t="str">
            <v>잔금</v>
          </cell>
          <cell r="M492" t="str">
            <v>100만원 대표님 계약</v>
          </cell>
          <cell r="N492">
            <v>2680</v>
          </cell>
          <cell r="P492">
            <v>0</v>
          </cell>
          <cell r="Q492" t="str">
            <v>done</v>
          </cell>
          <cell r="R492">
            <v>46080</v>
          </cell>
          <cell r="S492" t="str">
            <v>TAFA</v>
          </cell>
          <cell r="T492" t="str">
            <v>MARSILJO RROKAJ</v>
          </cell>
          <cell r="U492" t="str">
            <v>K40605082O</v>
          </cell>
          <cell r="V492" t="str">
            <v>355 68 855 8026</v>
          </cell>
          <cell r="W492" t="str">
            <v>ALBANIA</v>
          </cell>
          <cell r="X492">
            <v>1437</v>
          </cell>
          <cell r="AB492">
            <v>1701</v>
          </cell>
          <cell r="AC492">
            <v>15058</v>
          </cell>
          <cell r="AD492">
            <v>1242</v>
          </cell>
          <cell r="AE492">
            <v>16300</v>
          </cell>
          <cell r="AF492">
            <v>16300</v>
          </cell>
        </row>
        <row r="493">
          <cell r="A493">
            <v>491</v>
          </cell>
          <cell r="B493">
            <v>46068</v>
          </cell>
          <cell r="C493" t="str">
            <v>AUDI A6</v>
          </cell>
          <cell r="D493" t="str">
            <v>AUDI</v>
          </cell>
          <cell r="E493" t="str">
            <v>A6</v>
          </cell>
          <cell r="G493" t="str">
            <v>48버0786</v>
          </cell>
          <cell r="H493" t="str">
            <v>WAUZZZ4GXGN033784</v>
          </cell>
          <cell r="I493">
            <v>46072</v>
          </cell>
          <cell r="J493" t="str">
            <v>(주)차카</v>
          </cell>
          <cell r="L493" t="str">
            <v>잔금</v>
          </cell>
          <cell r="M493" t="str">
            <v>50만원 대표님 계약</v>
          </cell>
          <cell r="N493">
            <v>1344</v>
          </cell>
          <cell r="P493">
            <v>0</v>
          </cell>
          <cell r="Q493" t="str">
            <v>done</v>
          </cell>
          <cell r="R493">
            <v>46077</v>
          </cell>
          <cell r="S493" t="str">
            <v>CALJA</v>
          </cell>
          <cell r="T493" t="str">
            <v>Mulla Qamile</v>
          </cell>
          <cell r="U493" t="str">
            <v>F96219032D</v>
          </cell>
          <cell r="V493" t="str">
            <v>355 69 550 5533</v>
          </cell>
          <cell r="W493" t="str">
            <v>Albania</v>
          </cell>
          <cell r="X493">
            <v>1437</v>
          </cell>
          <cell r="AB493">
            <v>1701</v>
          </cell>
          <cell r="AC493">
            <v>7593</v>
          </cell>
          <cell r="AD493">
            <v>1157</v>
          </cell>
          <cell r="AE493">
            <v>8750</v>
          </cell>
          <cell r="AF493">
            <v>9100</v>
          </cell>
        </row>
        <row r="494">
          <cell r="A494">
            <v>492</v>
          </cell>
          <cell r="B494">
            <v>46070</v>
          </cell>
          <cell r="C494" t="str">
            <v>AUDI A4</v>
          </cell>
          <cell r="D494" t="str">
            <v>AUDI</v>
          </cell>
          <cell r="E494" t="str">
            <v>A4</v>
          </cell>
          <cell r="G494" t="str">
            <v>67모0486</v>
          </cell>
          <cell r="H494" t="str">
            <v>WAUZZZ8K0GN018340</v>
          </cell>
          <cell r="I494">
            <v>46072</v>
          </cell>
          <cell r="J494" t="str">
            <v>경매장-헤이딜러</v>
          </cell>
          <cell r="L494" t="str">
            <v>잔금</v>
          </cell>
          <cell r="N494">
            <v>1184</v>
          </cell>
          <cell r="O494">
            <v>53</v>
          </cell>
          <cell r="P494">
            <v>0</v>
          </cell>
          <cell r="Q494" t="str">
            <v>DONE</v>
          </cell>
          <cell r="R494">
            <v>46087</v>
          </cell>
          <cell r="S494" t="str">
            <v>DONI</v>
          </cell>
          <cell r="T494" t="str">
            <v>DONI</v>
          </cell>
          <cell r="U494">
            <v>933682</v>
          </cell>
          <cell r="V494" t="str">
            <v>3 8 3 4 9 3 2 5 7 0 3</v>
          </cell>
          <cell r="W494" t="str">
            <v xml:space="preserve"> HYZRI TALLA OB 16 HY 1 NR 18
 Kosovë</v>
          </cell>
          <cell r="X494">
            <v>1439</v>
          </cell>
          <cell r="AB494">
            <v>1695</v>
          </cell>
          <cell r="AC494">
            <v>7127</v>
          </cell>
          <cell r="AD494">
            <v>1163</v>
          </cell>
          <cell r="AE494">
            <v>8290</v>
          </cell>
        </row>
        <row r="495">
          <cell r="A495">
            <v>493</v>
          </cell>
          <cell r="B495">
            <v>46073</v>
          </cell>
          <cell r="C495" t="str">
            <v>BMW  640</v>
          </cell>
          <cell r="D495" t="str">
            <v xml:space="preserve">BMW </v>
          </cell>
          <cell r="E495">
            <v>640</v>
          </cell>
          <cell r="G495" t="str">
            <v>203거7365</v>
          </cell>
          <cell r="H495" t="str">
            <v>WBA6A810XED865334</v>
          </cell>
          <cell r="I495">
            <v>46077</v>
          </cell>
          <cell r="J495" t="str">
            <v>㈜위드카</v>
          </cell>
          <cell r="L495" t="str">
            <v>잔금</v>
          </cell>
          <cell r="M495" t="str">
            <v>50만원 회사통장 나감</v>
          </cell>
          <cell r="N495">
            <v>884</v>
          </cell>
          <cell r="P495">
            <v>0</v>
          </cell>
          <cell r="Q495" t="str">
            <v>DONE</v>
          </cell>
          <cell r="R495">
            <v>46079</v>
          </cell>
          <cell r="S495" t="str">
            <v>CALJA</v>
          </cell>
          <cell r="T495" t="str">
            <v>BLERTA BULLARI</v>
          </cell>
          <cell r="U495" t="str">
            <v>I15705014M</v>
          </cell>
          <cell r="V495" t="str">
            <v>355 69 550 5533</v>
          </cell>
          <cell r="W495" t="str">
            <v>Albania</v>
          </cell>
          <cell r="X495">
            <v>1437</v>
          </cell>
          <cell r="AB495">
            <v>1691</v>
          </cell>
          <cell r="AC495">
            <v>5106</v>
          </cell>
          <cell r="AD495">
            <v>1164</v>
          </cell>
          <cell r="AE495">
            <v>6270</v>
          </cell>
          <cell r="AF495">
            <v>6670</v>
          </cell>
        </row>
        <row r="496">
          <cell r="A496">
            <v>494</v>
          </cell>
          <cell r="B496">
            <v>46073</v>
          </cell>
          <cell r="C496" t="str">
            <v>BENZ GLA200D 4MATIC</v>
          </cell>
          <cell r="D496" t="str">
            <v>BENZ</v>
          </cell>
          <cell r="E496" t="str">
            <v>GLA200D 4MATIC</v>
          </cell>
          <cell r="G496" t="str">
            <v>04오0260</v>
          </cell>
          <cell r="H496" t="str">
            <v>WDCTG0CB4GJ246599 </v>
          </cell>
          <cell r="I496">
            <v>46078</v>
          </cell>
          <cell r="L496" t="str">
            <v>잔금</v>
          </cell>
          <cell r="M496" t="str">
            <v>50만원 회사통장 나감</v>
          </cell>
          <cell r="N496">
            <v>1180</v>
          </cell>
          <cell r="Q496" t="str">
            <v>DONE</v>
          </cell>
          <cell r="R496">
            <v>46086</v>
          </cell>
          <cell r="S496" t="str">
            <v>R.S.h L.L.C.</v>
          </cell>
          <cell r="T496" t="str">
            <v>R.Sh L.L.C.</v>
          </cell>
          <cell r="U496">
            <v>812326016</v>
          </cell>
          <cell r="V496" t="str">
            <v>+383486 611 61</v>
          </cell>
          <cell r="W496" t="str">
            <v>Kosovo</v>
          </cell>
          <cell r="X496">
            <v>1437</v>
          </cell>
          <cell r="AB496">
            <v>1691</v>
          </cell>
          <cell r="AC496">
            <v>6750</v>
          </cell>
          <cell r="AD496">
            <v>1250</v>
          </cell>
          <cell r="AE496">
            <v>8000</v>
          </cell>
          <cell r="AF496">
            <v>8000</v>
          </cell>
        </row>
        <row r="497">
          <cell r="A497">
            <v>495</v>
          </cell>
          <cell r="B497">
            <v>46075</v>
          </cell>
          <cell r="C497" t="str">
            <v>HYUNDAI SANTAFE</v>
          </cell>
          <cell r="D497" t="str">
            <v>HYUNDAI</v>
          </cell>
          <cell r="E497" t="str">
            <v>SANTAFE</v>
          </cell>
          <cell r="G497" t="str">
            <v>23다2768</v>
          </cell>
          <cell r="H497" t="str">
            <v>KMHSW81UBDU135610</v>
          </cell>
          <cell r="I497">
            <v>46077</v>
          </cell>
          <cell r="J497" t="str">
            <v>㈜탑모터스</v>
          </cell>
          <cell r="L497" t="str">
            <v>잔금</v>
          </cell>
          <cell r="M497" t="str">
            <v>50만원 대표님 계약</v>
          </cell>
          <cell r="N497">
            <v>840</v>
          </cell>
          <cell r="P497">
            <v>0</v>
          </cell>
          <cell r="Q497" t="str">
            <v>DONE</v>
          </cell>
          <cell r="R497">
            <v>46079</v>
          </cell>
          <cell r="S497" t="str">
            <v>CALJA</v>
          </cell>
          <cell r="T497" t="str">
            <v>MUCO SHKELQIM</v>
          </cell>
          <cell r="U497" t="str">
            <v>G01127037Q</v>
          </cell>
          <cell r="V497" t="str">
            <v>355 69 550 5533</v>
          </cell>
          <cell r="W497" t="str">
            <v>Albania</v>
          </cell>
          <cell r="X497">
            <v>1434</v>
          </cell>
          <cell r="AB497">
            <v>1684</v>
          </cell>
          <cell r="AC497">
            <v>5048</v>
          </cell>
          <cell r="AD497">
            <v>1252</v>
          </cell>
          <cell r="AE497">
            <v>6300</v>
          </cell>
          <cell r="AF497">
            <v>8200</v>
          </cell>
        </row>
        <row r="498">
          <cell r="A498">
            <v>496</v>
          </cell>
          <cell r="B498">
            <v>46075</v>
          </cell>
          <cell r="C498" t="str">
            <v>JAGUAR XE 20d</v>
          </cell>
          <cell r="D498" t="str">
            <v>JAGUAR</v>
          </cell>
          <cell r="E498" t="str">
            <v>XE 20d</v>
          </cell>
          <cell r="G498" t="str">
            <v>09부9142</v>
          </cell>
          <cell r="H498" t="str">
            <v>SAJAB4BN0HA950655</v>
          </cell>
          <cell r="I498">
            <v>46174</v>
          </cell>
          <cell r="J498" t="str">
            <v>경매장 -헤이딜러</v>
          </cell>
          <cell r="L498" t="str">
            <v>잔금</v>
          </cell>
          <cell r="M498" t="str">
            <v>취소</v>
          </cell>
          <cell r="S498" t="str">
            <v>R.S.h L.L.C.</v>
          </cell>
          <cell r="T498" t="str">
            <v>R.Sh L.L.C.</v>
          </cell>
          <cell r="U498">
            <v>812326016</v>
          </cell>
          <cell r="V498" t="str">
            <v>+383486 611 61</v>
          </cell>
          <cell r="W498" t="str">
            <v>Kosovo</v>
          </cell>
          <cell r="AC498">
            <v>0</v>
          </cell>
        </row>
        <row r="499">
          <cell r="A499">
            <v>497</v>
          </cell>
          <cell r="B499">
            <v>46075</v>
          </cell>
          <cell r="C499" t="str">
            <v>BMW  2 SERIES</v>
          </cell>
          <cell r="D499" t="str">
            <v xml:space="preserve">BMW </v>
          </cell>
          <cell r="E499" t="str">
            <v>2 SERIES</v>
          </cell>
          <cell r="G499" t="str">
            <v>57소4834</v>
          </cell>
          <cell r="H499" t="str">
            <v>WBA2C1109HV972647</v>
          </cell>
          <cell r="I499">
            <v>46084</v>
          </cell>
          <cell r="J499" t="str">
            <v>경매장-헤이딜러</v>
          </cell>
          <cell r="L499" t="str">
            <v>잔금</v>
          </cell>
          <cell r="N499">
            <v>904</v>
          </cell>
          <cell r="O499">
            <v>36</v>
          </cell>
          <cell r="P499">
            <v>0</v>
          </cell>
          <cell r="Q499" t="str">
            <v>DONE</v>
          </cell>
          <cell r="R499">
            <v>46087</v>
          </cell>
          <cell r="S499" t="str">
            <v>DONI</v>
          </cell>
          <cell r="T499" t="str">
            <v>DONI</v>
          </cell>
          <cell r="U499">
            <v>933682</v>
          </cell>
          <cell r="V499" t="str">
            <v>3 8 3 4 9 3 2 5 7 0 3</v>
          </cell>
          <cell r="W499" t="str">
            <v xml:space="preserve"> HYZRI TALLA OB 16 HY 1 NR 18
 Kosovë</v>
          </cell>
          <cell r="X499">
            <v>1439</v>
          </cell>
          <cell r="AB499">
            <v>1695</v>
          </cell>
          <cell r="AC499">
            <v>5487</v>
          </cell>
          <cell r="AD499">
            <v>1163</v>
          </cell>
          <cell r="AE499">
            <v>6650</v>
          </cell>
        </row>
        <row r="500">
          <cell r="A500">
            <v>498</v>
          </cell>
          <cell r="B500">
            <v>46084</v>
          </cell>
          <cell r="C500" t="str">
            <v>RENAULT QM3</v>
          </cell>
          <cell r="D500" t="str">
            <v>RENAULT</v>
          </cell>
          <cell r="E500" t="str">
            <v>QM3</v>
          </cell>
          <cell r="G500" t="str">
            <v>46부3945</v>
          </cell>
          <cell r="H500" t="str">
            <v>VF12RGJ1DHW353182</v>
          </cell>
          <cell r="I500">
            <v>46080</v>
          </cell>
          <cell r="J500" t="str">
            <v>경매장 -헤이딜러</v>
          </cell>
          <cell r="L500" t="str">
            <v>잔금</v>
          </cell>
          <cell r="N500">
            <v>495</v>
          </cell>
          <cell r="O500">
            <v>36</v>
          </cell>
          <cell r="P500">
            <v>0</v>
          </cell>
          <cell r="Q500" t="str">
            <v>DONE</v>
          </cell>
          <cell r="R500">
            <v>46086</v>
          </cell>
          <cell r="S500" t="str">
            <v>R.S.h L.L.C.</v>
          </cell>
          <cell r="T500" t="str">
            <v>R.Sh L.L.C.</v>
          </cell>
          <cell r="U500">
            <v>812326016</v>
          </cell>
          <cell r="V500" t="str">
            <v>+383486 611 61</v>
          </cell>
          <cell r="W500" t="str">
            <v>Kosovo</v>
          </cell>
          <cell r="X500">
            <v>1450</v>
          </cell>
          <cell r="AB500">
            <v>1695</v>
          </cell>
          <cell r="AC500">
            <v>3178</v>
          </cell>
          <cell r="AD500">
            <v>1172</v>
          </cell>
          <cell r="AE500">
            <v>4350</v>
          </cell>
        </row>
        <row r="501">
          <cell r="A501">
            <v>499</v>
          </cell>
          <cell r="B501">
            <v>46075</v>
          </cell>
          <cell r="C501" t="str">
            <v>RENAULT CLIO</v>
          </cell>
          <cell r="D501" t="str">
            <v>RENAULT</v>
          </cell>
          <cell r="E501" t="str">
            <v>CLIO</v>
          </cell>
          <cell r="G501" t="str">
            <v>302누4135</v>
          </cell>
          <cell r="H501" t="str">
            <v>VF1R9800XKR942985</v>
          </cell>
          <cell r="J501" t="str">
            <v>경매장-헤이딜러</v>
          </cell>
          <cell r="K501">
            <v>46078</v>
          </cell>
          <cell r="L501" t="str">
            <v>잔금</v>
          </cell>
          <cell r="N501">
            <v>624</v>
          </cell>
          <cell r="P501">
            <v>0</v>
          </cell>
          <cell r="Q501" t="str">
            <v>DONE</v>
          </cell>
          <cell r="R501">
            <v>46087</v>
          </cell>
          <cell r="S501" t="str">
            <v>DONI</v>
          </cell>
          <cell r="T501" t="str">
            <v>DONI</v>
          </cell>
          <cell r="U501">
            <v>933682</v>
          </cell>
          <cell r="V501" t="str">
            <v>3 8 3 4 9 3 2 5 7 0 3</v>
          </cell>
          <cell r="W501" t="str">
            <v xml:space="preserve"> HYZRI TALLA OB 16 HY 1 NR 18
 Kosovë</v>
          </cell>
          <cell r="X501">
            <v>1433</v>
          </cell>
          <cell r="AB501">
            <v>1688</v>
          </cell>
          <cell r="AC501">
            <v>3957</v>
          </cell>
          <cell r="AD501">
            <v>1163</v>
          </cell>
          <cell r="AE501">
            <v>5120</v>
          </cell>
        </row>
        <row r="502">
          <cell r="A502">
            <v>500</v>
          </cell>
          <cell r="B502">
            <v>46077</v>
          </cell>
          <cell r="C502" t="str">
            <v>HYUNDAI TUCSON</v>
          </cell>
          <cell r="D502" t="str">
            <v>HYUNDAI</v>
          </cell>
          <cell r="E502" t="str">
            <v>TUCSON</v>
          </cell>
          <cell r="G502" t="str">
            <v>276어7913</v>
          </cell>
          <cell r="H502" t="str">
            <v>KMHJ381ABKU147277</v>
          </cell>
          <cell r="I502">
            <v>99</v>
          </cell>
          <cell r="J502" t="str">
            <v>(주)한결모터스</v>
          </cell>
          <cell r="L502" t="str">
            <v>잔금</v>
          </cell>
          <cell r="M502" t="str">
            <v>50만원 대표님 계약</v>
          </cell>
          <cell r="N502">
            <v>1580</v>
          </cell>
          <cell r="P502">
            <v>0</v>
          </cell>
          <cell r="Q502" t="str">
            <v>done</v>
          </cell>
          <cell r="R502">
            <v>46080</v>
          </cell>
          <cell r="S502" t="str">
            <v xml:space="preserve">Andrea Kasa </v>
          </cell>
          <cell r="T502" t="str">
            <v>JETA KARAJ</v>
          </cell>
          <cell r="U502" t="str">
            <v>I15721066F</v>
          </cell>
          <cell r="V502" t="str">
            <v>355 69 746 2556</v>
          </cell>
          <cell r="W502" t="str">
            <v>Albania</v>
          </cell>
          <cell r="X502">
            <v>1433</v>
          </cell>
          <cell r="AB502">
            <v>1688</v>
          </cell>
          <cell r="AC502">
            <v>9032</v>
          </cell>
          <cell r="AD502">
            <v>1248</v>
          </cell>
          <cell r="AE502">
            <v>10280</v>
          </cell>
          <cell r="AF502">
            <v>11280</v>
          </cell>
        </row>
        <row r="503">
          <cell r="A503">
            <v>501</v>
          </cell>
          <cell r="B503">
            <v>46077</v>
          </cell>
          <cell r="C503" t="str">
            <v>BMW 520D</v>
          </cell>
          <cell r="D503" t="str">
            <v>BMW</v>
          </cell>
          <cell r="E503" t="str">
            <v>520D</v>
          </cell>
          <cell r="G503" t="str">
            <v>24루8828</v>
          </cell>
          <cell r="H503" t="str">
            <v>WBAFW1105BC654150</v>
          </cell>
          <cell r="I503">
            <v>46078</v>
          </cell>
          <cell r="J503" t="str">
            <v>(주)카팔</v>
          </cell>
          <cell r="L503" t="str">
            <v>잔금</v>
          </cell>
          <cell r="M503" t="str">
            <v>50만원 대표님 계약</v>
          </cell>
          <cell r="N503">
            <v>540</v>
          </cell>
          <cell r="P503">
            <v>540</v>
          </cell>
          <cell r="Q503" t="str">
            <v>done</v>
          </cell>
          <cell r="R503">
            <v>46080</v>
          </cell>
          <cell r="S503" t="str">
            <v>RIZA</v>
          </cell>
          <cell r="T503" t="str">
            <v>KLEANT DOSTI</v>
          </cell>
          <cell r="U503" t="str">
            <v>J81005012V</v>
          </cell>
          <cell r="V503" t="str">
            <v>355 682769063</v>
          </cell>
          <cell r="W503" t="str">
            <v>Albania</v>
          </cell>
          <cell r="X503">
            <v>1433</v>
          </cell>
          <cell r="AB503">
            <v>1688</v>
          </cell>
          <cell r="AC503">
            <v>3257</v>
          </cell>
          <cell r="AD503">
            <v>1163</v>
          </cell>
          <cell r="AE503">
            <v>4420</v>
          </cell>
          <cell r="AF503">
            <v>4950</v>
          </cell>
        </row>
        <row r="504">
          <cell r="A504">
            <v>502</v>
          </cell>
          <cell r="B504">
            <v>46077</v>
          </cell>
          <cell r="C504" t="str">
            <v>BMW 320d</v>
          </cell>
          <cell r="D504" t="str">
            <v>BMW</v>
          </cell>
          <cell r="E504" t="str">
            <v>320d</v>
          </cell>
          <cell r="G504" t="str">
            <v>24저4529</v>
          </cell>
          <cell r="H504" t="str">
            <v>WBA8C5109HK857498</v>
          </cell>
          <cell r="I504">
            <v>46078</v>
          </cell>
          <cell r="L504" t="str">
            <v>잔금</v>
          </cell>
          <cell r="M504" t="str">
            <v>50만원 회사통장 나감</v>
          </cell>
          <cell r="N504">
            <v>1750</v>
          </cell>
          <cell r="P504">
            <v>1750</v>
          </cell>
          <cell r="Q504" t="str">
            <v>DONE</v>
          </cell>
          <cell r="R504">
            <v>46087</v>
          </cell>
          <cell r="S504" t="str">
            <v>R.S.h L.L.C.</v>
          </cell>
          <cell r="T504" t="str">
            <v>R.Sh L.L.C.</v>
          </cell>
          <cell r="U504">
            <v>812326016</v>
          </cell>
          <cell r="V504" t="str">
            <v>+383486 611 61</v>
          </cell>
          <cell r="W504" t="str">
            <v>Kosovo</v>
          </cell>
          <cell r="X504">
            <v>1433</v>
          </cell>
          <cell r="AB504">
            <v>1688</v>
          </cell>
          <cell r="AC504">
            <v>9897</v>
          </cell>
          <cell r="AD504">
            <v>1163</v>
          </cell>
          <cell r="AE504">
            <v>11060</v>
          </cell>
          <cell r="AF504">
            <v>11060</v>
          </cell>
        </row>
        <row r="505">
          <cell r="A505">
            <v>503</v>
          </cell>
          <cell r="B505">
            <v>46078</v>
          </cell>
          <cell r="C505" t="str">
            <v>VOLKSWAGENS GOLF</v>
          </cell>
          <cell r="D505" t="str">
            <v>VOLKSWAGENS</v>
          </cell>
          <cell r="E505" t="str">
            <v>GOLF</v>
          </cell>
          <cell r="G505" t="str">
            <v>36서9704</v>
          </cell>
          <cell r="H505" t="str">
            <v>WVWZZZAUZFW165203</v>
          </cell>
          <cell r="I505">
            <v>46079</v>
          </cell>
          <cell r="J505" t="str">
            <v>경매장 - AJ</v>
          </cell>
          <cell r="L505" t="str">
            <v>잔금</v>
          </cell>
          <cell r="N505">
            <v>1030</v>
          </cell>
          <cell r="O505">
            <v>26</v>
          </cell>
          <cell r="P505">
            <v>1056</v>
          </cell>
          <cell r="Q505" t="str">
            <v>DONE</v>
          </cell>
          <cell r="R505">
            <v>46090</v>
          </cell>
          <cell r="S505" t="str">
            <v xml:space="preserve">Andrea Kasa </v>
          </cell>
          <cell r="T505" t="str">
            <v xml:space="preserve">Andrea Kasa </v>
          </cell>
          <cell r="U505" t="str">
            <v>K30122016U</v>
          </cell>
          <cell r="V505" t="str">
            <v>355 69 746 2556</v>
          </cell>
          <cell r="W505" t="str">
            <v>Albania</v>
          </cell>
          <cell r="X505">
            <v>1428</v>
          </cell>
          <cell r="AB505">
            <v>1681</v>
          </cell>
          <cell r="AC505">
            <v>6066</v>
          </cell>
          <cell r="AD505">
            <v>1164</v>
          </cell>
          <cell r="AE505">
            <v>7230</v>
          </cell>
        </row>
        <row r="506">
          <cell r="A506">
            <v>504</v>
          </cell>
          <cell r="B506">
            <v>46078</v>
          </cell>
          <cell r="C506" t="str">
            <v>BENZ S350</v>
          </cell>
          <cell r="D506" t="str">
            <v>BENZ</v>
          </cell>
          <cell r="E506" t="str">
            <v>S350</v>
          </cell>
          <cell r="G506" t="str">
            <v>264주1733</v>
          </cell>
          <cell r="H506" t="str">
            <v>WDDUG3CB0EA013978</v>
          </cell>
          <cell r="J506" t="str">
            <v>(주) 골드상사</v>
          </cell>
          <cell r="L506" t="str">
            <v>취소</v>
          </cell>
          <cell r="M506" t="str">
            <v>50만원 대표님 계약</v>
          </cell>
          <cell r="N506" t="str">
            <v>DONE</v>
          </cell>
          <cell r="S506" t="str">
            <v>ERVIN</v>
          </cell>
          <cell r="T506" t="str">
            <v>Ervin Lici</v>
          </cell>
          <cell r="U506" t="str">
            <v>K51004018Q</v>
          </cell>
          <cell r="V506" t="str">
            <v>355 67 69 41 777</v>
          </cell>
          <cell r="W506" t="str">
            <v>Albania</v>
          </cell>
          <cell r="X506">
            <v>1428</v>
          </cell>
          <cell r="AB506">
            <v>1681</v>
          </cell>
          <cell r="AC506">
            <v>11451</v>
          </cell>
          <cell r="AD506">
            <v>1249</v>
          </cell>
          <cell r="AE506">
            <v>12700</v>
          </cell>
        </row>
        <row r="507">
          <cell r="A507">
            <v>505</v>
          </cell>
          <cell r="B507">
            <v>46078</v>
          </cell>
          <cell r="C507" t="str">
            <v>AUDI A7</v>
          </cell>
          <cell r="D507" t="str">
            <v>AUDI</v>
          </cell>
          <cell r="E507" t="str">
            <v>A7</v>
          </cell>
          <cell r="G507" t="str">
            <v>12보0101</v>
          </cell>
          <cell r="H507" t="str">
            <v>WAUZZZ4G9EN019954</v>
          </cell>
          <cell r="I507">
            <v>46079</v>
          </cell>
          <cell r="J507" t="str">
            <v>(주)아인모터스</v>
          </cell>
          <cell r="K507">
            <v>46079</v>
          </cell>
          <cell r="L507" t="str">
            <v>잔금</v>
          </cell>
          <cell r="M507" t="str">
            <v>50만원 대표님 계약</v>
          </cell>
          <cell r="N507">
            <v>1340</v>
          </cell>
          <cell r="P507">
            <v>1340</v>
          </cell>
          <cell r="Q507" t="str">
            <v>DONE</v>
          </cell>
          <cell r="R507">
            <v>46085</v>
          </cell>
          <cell r="S507" t="str">
            <v xml:space="preserve">Andrea Kasa </v>
          </cell>
          <cell r="T507" t="str">
            <v xml:space="preserve">Andrea Kasa </v>
          </cell>
          <cell r="U507" t="str">
            <v>K30122016U</v>
          </cell>
          <cell r="V507" t="str">
            <v>355 69 746 2556</v>
          </cell>
          <cell r="W507" t="str">
            <v>Albania</v>
          </cell>
          <cell r="X507">
            <v>1428</v>
          </cell>
          <cell r="AB507">
            <v>1681</v>
          </cell>
          <cell r="AC507">
            <v>7586</v>
          </cell>
          <cell r="AD507">
            <v>1164</v>
          </cell>
          <cell r="AE507">
            <v>8750</v>
          </cell>
        </row>
        <row r="508">
          <cell r="A508">
            <v>506</v>
          </cell>
          <cell r="B508">
            <v>46078</v>
          </cell>
          <cell r="C508" t="str">
            <v>BMW 2SERIES</v>
          </cell>
          <cell r="D508" t="str">
            <v>BMW</v>
          </cell>
          <cell r="E508" t="str">
            <v>2SERIES</v>
          </cell>
          <cell r="G508" t="str">
            <v>23조0798</v>
          </cell>
          <cell r="H508" t="str">
            <v>WBA2C1108GV703411</v>
          </cell>
          <cell r="I508">
            <v>46079</v>
          </cell>
          <cell r="J508" t="str">
            <v>경매장 - AJ</v>
          </cell>
          <cell r="L508" t="str">
            <v>잔금</v>
          </cell>
          <cell r="N508">
            <v>685</v>
          </cell>
          <cell r="O508">
            <v>18</v>
          </cell>
          <cell r="P508">
            <v>703</v>
          </cell>
          <cell r="Q508" t="str">
            <v>DONE</v>
          </cell>
          <cell r="R508">
            <v>46090</v>
          </cell>
          <cell r="S508" t="str">
            <v>DONI</v>
          </cell>
          <cell r="T508" t="str">
            <v>DONI</v>
          </cell>
          <cell r="U508">
            <v>933682</v>
          </cell>
          <cell r="V508" t="str">
            <v>3 8 3 4 9 3 2 5 7 0 3</v>
          </cell>
          <cell r="W508" t="str">
            <v xml:space="preserve"> HYZRI TALLA OB 16 HY 1 NR 18
 Kosovë</v>
          </cell>
          <cell r="X508">
            <v>1428</v>
          </cell>
          <cell r="AB508">
            <v>1681</v>
          </cell>
          <cell r="AC508">
            <v>4136</v>
          </cell>
          <cell r="AD508">
            <v>1164</v>
          </cell>
          <cell r="AE508">
            <v>5300</v>
          </cell>
        </row>
        <row r="509">
          <cell r="A509">
            <v>507</v>
          </cell>
          <cell r="B509">
            <v>46079</v>
          </cell>
          <cell r="C509" t="str">
            <v>BMW M4</v>
          </cell>
          <cell r="D509" t="str">
            <v>BMW</v>
          </cell>
          <cell r="E509" t="str">
            <v>M4</v>
          </cell>
          <cell r="G509" t="str">
            <v>279조7544</v>
          </cell>
          <cell r="H509" t="str">
            <v>WBS3R9106HK862914</v>
          </cell>
          <cell r="I509">
            <v>46084</v>
          </cell>
          <cell r="J509" t="str">
            <v>㈜왕카</v>
          </cell>
          <cell r="L509" t="str">
            <v>잔금</v>
          </cell>
          <cell r="M509" t="str">
            <v>100 회사통장 나감</v>
          </cell>
          <cell r="N509">
            <v>2800</v>
          </cell>
          <cell r="P509">
            <v>2800</v>
          </cell>
          <cell r="Q509" t="str">
            <v>DONE</v>
          </cell>
          <cell r="R509">
            <v>46099</v>
          </cell>
          <cell r="S509" t="str">
            <v>Ardijan Qorraj</v>
          </cell>
          <cell r="T509" t="str">
            <v>Ardijan Qorraj</v>
          </cell>
          <cell r="U509" t="str">
            <v>C6YRK7K2F</v>
          </cell>
          <cell r="V509">
            <v>4917655744700</v>
          </cell>
          <cell r="W509" t="str">
            <v>Germany, Piepersweg 35 (41066)</v>
          </cell>
          <cell r="X509">
            <v>1438</v>
          </cell>
          <cell r="AB509">
            <v>1695</v>
          </cell>
          <cell r="AC509">
            <v>15980</v>
          </cell>
        </row>
        <row r="510">
          <cell r="A510">
            <v>508</v>
          </cell>
          <cell r="B510">
            <v>46083</v>
          </cell>
          <cell r="C510" t="str">
            <v>BMW 7 SERIES</v>
          </cell>
          <cell r="D510" t="str">
            <v>BMW</v>
          </cell>
          <cell r="E510" t="str">
            <v>7 SERIES</v>
          </cell>
          <cell r="G510" t="str">
            <v>33거1279</v>
          </cell>
          <cell r="H510" t="str">
            <v>WBAGJ61050DH18911</v>
          </cell>
          <cell r="I510">
            <v>46084</v>
          </cell>
          <cell r="J510" t="str">
            <v>㈜극동모터스</v>
          </cell>
          <cell r="L510" t="str">
            <v>잔금</v>
          </cell>
          <cell r="M510" t="str">
            <v>50만원 회사통장 나감</v>
          </cell>
          <cell r="N510">
            <v>550</v>
          </cell>
          <cell r="P510">
            <v>550</v>
          </cell>
          <cell r="Q510" t="str">
            <v>DONE</v>
          </cell>
          <cell r="R510">
            <v>46085</v>
          </cell>
          <cell r="S510" t="str">
            <v xml:space="preserve">DAX IMPORT 🇩🇪 </v>
          </cell>
          <cell r="T510" t="str">
            <v xml:space="preserve">Michael Karl  </v>
          </cell>
          <cell r="U510" t="str">
            <v>LF9N8WZ16</v>
          </cell>
          <cell r="V510" t="str">
            <v>‪+49 471 94189050‬</v>
          </cell>
          <cell r="W510" t="str">
            <v xml:space="preserve">Dorfstr,33C,(82024) Taufkirchen, Germany </v>
          </cell>
          <cell r="X510">
            <v>1453</v>
          </cell>
          <cell r="AB510">
            <v>1703</v>
          </cell>
          <cell r="AC510">
            <v>3535</v>
          </cell>
        </row>
        <row r="511">
          <cell r="A511">
            <v>509</v>
          </cell>
          <cell r="B511">
            <v>46079</v>
          </cell>
          <cell r="C511" t="str">
            <v>AUDI A6</v>
          </cell>
          <cell r="D511" t="str">
            <v>AUDI</v>
          </cell>
          <cell r="E511" t="str">
            <v>A6</v>
          </cell>
          <cell r="G511" t="str">
            <v>05너4990</v>
          </cell>
          <cell r="H511" t="str">
            <v>WAUZZZ4G4JN120748</v>
          </cell>
          <cell r="I511">
            <v>46084</v>
          </cell>
          <cell r="J511" t="str">
            <v>경매장-헤이딜러</v>
          </cell>
          <cell r="L511" t="str">
            <v>잔금</v>
          </cell>
          <cell r="N511">
            <v>1304</v>
          </cell>
          <cell r="O511">
            <v>37</v>
          </cell>
          <cell r="P511">
            <v>1341</v>
          </cell>
          <cell r="Q511" t="str">
            <v>DONE</v>
          </cell>
          <cell r="R511">
            <v>46090</v>
          </cell>
          <cell r="S511" t="str">
            <v>DONI</v>
          </cell>
          <cell r="T511" t="str">
            <v>DONI</v>
          </cell>
          <cell r="U511">
            <v>933682</v>
          </cell>
          <cell r="V511" t="str">
            <v>3 8 3 4 9 3 2 5 7 0 3</v>
          </cell>
          <cell r="W511" t="str">
            <v xml:space="preserve"> HYZRI TALLA OB 16 HY 1 NR 18
 Kosovë</v>
          </cell>
          <cell r="X511">
            <v>1464</v>
          </cell>
          <cell r="AB511">
            <v>1698</v>
          </cell>
          <cell r="AC511">
            <v>7569</v>
          </cell>
          <cell r="AD511">
            <v>1181</v>
          </cell>
          <cell r="AE511">
            <v>8750</v>
          </cell>
        </row>
        <row r="512">
          <cell r="A512">
            <v>510</v>
          </cell>
          <cell r="B512">
            <v>46080</v>
          </cell>
          <cell r="C512" t="str">
            <v>VOLKSWAGENS TIGUAN</v>
          </cell>
          <cell r="D512" t="str">
            <v>VOLKSWAGENS</v>
          </cell>
          <cell r="E512" t="str">
            <v>TIGUAN</v>
          </cell>
          <cell r="G512" t="str">
            <v>37러0215</v>
          </cell>
          <cell r="H512" t="str">
            <v>WVGZZZ5NZGW020287</v>
          </cell>
          <cell r="I512">
            <v>46060</v>
          </cell>
          <cell r="J512" t="str">
            <v>경매장-헤이딜러</v>
          </cell>
          <cell r="L512" t="str">
            <v>잔금</v>
          </cell>
          <cell r="N512">
            <v>1284</v>
          </cell>
          <cell r="O512">
            <v>40</v>
          </cell>
          <cell r="P512">
            <v>1324</v>
          </cell>
          <cell r="Q512" t="str">
            <v>DONE</v>
          </cell>
          <cell r="R512">
            <v>46087</v>
          </cell>
          <cell r="S512" t="str">
            <v>DONI</v>
          </cell>
          <cell r="T512" t="str">
            <v>DONI</v>
          </cell>
          <cell r="U512">
            <v>933682</v>
          </cell>
          <cell r="V512" t="str">
            <v>3 8 3 4 9 3 2 5 7 0 3</v>
          </cell>
          <cell r="W512" t="str">
            <v xml:space="preserve"> HYZRI TALLA OB 16 HY 1 NR 18
 Kosovë</v>
          </cell>
          <cell r="X512">
            <v>1423</v>
          </cell>
          <cell r="AB512">
            <v>1678</v>
          </cell>
          <cell r="AC512">
            <v>7553</v>
          </cell>
          <cell r="AD512">
            <v>1247</v>
          </cell>
          <cell r="AE512">
            <v>8800</v>
          </cell>
        </row>
        <row r="513">
          <cell r="A513">
            <v>511</v>
          </cell>
          <cell r="B513">
            <v>46079</v>
          </cell>
          <cell r="C513" t="str">
            <v>VOLKSWAGENS TIGUAN</v>
          </cell>
          <cell r="D513" t="str">
            <v>VOLKSWAGENS</v>
          </cell>
          <cell r="E513" t="str">
            <v>TIGUAN</v>
          </cell>
          <cell r="G513" t="str">
            <v>16머0576</v>
          </cell>
          <cell r="H513" t="str">
            <v>WVGZZZ5NZGW069767</v>
          </cell>
          <cell r="I513">
            <v>46086</v>
          </cell>
          <cell r="J513" t="str">
            <v>경매장-헤이딜러</v>
          </cell>
          <cell r="L513" t="str">
            <v>잔금</v>
          </cell>
          <cell r="N513">
            <v>1044</v>
          </cell>
          <cell r="O513">
            <v>37</v>
          </cell>
          <cell r="P513">
            <v>1081</v>
          </cell>
          <cell r="Q513" t="str">
            <v>DONE</v>
          </cell>
          <cell r="R513">
            <v>46090</v>
          </cell>
          <cell r="S513" t="str">
            <v>DONI</v>
          </cell>
          <cell r="T513" t="str">
            <v>DONI</v>
          </cell>
          <cell r="U513">
            <v>933682</v>
          </cell>
          <cell r="V513" t="str">
            <v>3 8 3 4 9 3 2 5 7 0 3</v>
          </cell>
          <cell r="W513" t="str">
            <v xml:space="preserve"> HYZRI TALLA OB 16 HY 1 NR 18
 Kosovë</v>
          </cell>
          <cell r="X513">
            <v>1464</v>
          </cell>
          <cell r="AB513">
            <v>1698</v>
          </cell>
          <cell r="AC513">
            <v>6183</v>
          </cell>
          <cell r="AD513">
            <v>1267</v>
          </cell>
          <cell r="AE513">
            <v>7450</v>
          </cell>
        </row>
        <row r="514">
          <cell r="A514">
            <v>512</v>
          </cell>
          <cell r="B514">
            <v>46085</v>
          </cell>
          <cell r="C514" t="str">
            <v>VOLKSWAGENS GOLF 7</v>
          </cell>
          <cell r="D514" t="str">
            <v>VOLKSWAGENS</v>
          </cell>
          <cell r="E514" t="str">
            <v>GOLF 7</v>
          </cell>
          <cell r="G514" t="str">
            <v>42보0418</v>
          </cell>
          <cell r="H514" t="str">
            <v>WVWZZZAUZGW148353</v>
          </cell>
          <cell r="I514">
            <v>46085</v>
          </cell>
          <cell r="J514" t="str">
            <v>경매장-헤이딜러</v>
          </cell>
          <cell r="L514" t="str">
            <v>잔금</v>
          </cell>
          <cell r="N514">
            <v>1304</v>
          </cell>
          <cell r="O514">
            <v>37</v>
          </cell>
          <cell r="P514">
            <v>1341</v>
          </cell>
          <cell r="Q514" t="str">
            <v>DONE</v>
          </cell>
          <cell r="R514">
            <v>46090</v>
          </cell>
          <cell r="S514" t="str">
            <v>DONI</v>
          </cell>
          <cell r="T514" t="str">
            <v>DONI</v>
          </cell>
          <cell r="U514">
            <v>933682</v>
          </cell>
          <cell r="V514" t="str">
            <v>3 8 3 4 9 3 2 5 7 0 3</v>
          </cell>
          <cell r="W514" t="str">
            <v xml:space="preserve"> HYZRI TALLA OB 16 HY 1 NR 18
 Kosovë</v>
          </cell>
          <cell r="X514">
            <v>1464</v>
          </cell>
          <cell r="AB514">
            <v>1698</v>
          </cell>
          <cell r="AC514">
            <v>7549</v>
          </cell>
          <cell r="AD514">
            <v>1181</v>
          </cell>
          <cell r="AE514">
            <v>8730</v>
          </cell>
        </row>
        <row r="515">
          <cell r="A515">
            <v>513</v>
          </cell>
          <cell r="B515">
            <v>46083</v>
          </cell>
          <cell r="C515" t="str">
            <v>LAMBORGHINI GALLARDO LP560-4</v>
          </cell>
          <cell r="D515" t="str">
            <v>LAMBORGHINI</v>
          </cell>
          <cell r="E515" t="str">
            <v>GALLARDO LP560-4</v>
          </cell>
          <cell r="G515" t="str">
            <v>52수0111</v>
          </cell>
          <cell r="H515" t="str">
            <v>ZHWGE54T79LA07695</v>
          </cell>
          <cell r="I515">
            <v>46084</v>
          </cell>
          <cell r="J515" t="str">
            <v>(주)차사인모터스</v>
          </cell>
          <cell r="L515" t="str">
            <v>잔금</v>
          </cell>
          <cell r="M515" t="str">
            <v>150 회사통장 나감</v>
          </cell>
          <cell r="N515">
            <v>7544</v>
          </cell>
          <cell r="P515">
            <v>7544</v>
          </cell>
          <cell r="Q515" t="str">
            <v>DONE</v>
          </cell>
          <cell r="R515">
            <v>46085</v>
          </cell>
          <cell r="S515" t="str">
            <v xml:space="preserve">DAX IMPORT 🇩🇪 </v>
          </cell>
          <cell r="T515" t="str">
            <v xml:space="preserve">Michael Karl  </v>
          </cell>
          <cell r="U515" t="str">
            <v>LF9N8WZ16</v>
          </cell>
          <cell r="V515" t="str">
            <v>‪+49 471 94189050‬</v>
          </cell>
          <cell r="W515" t="str">
            <v xml:space="preserve">Dorfstr,33C,(82024) Taufkirchen, Germany </v>
          </cell>
          <cell r="X515">
            <v>1453</v>
          </cell>
          <cell r="AB515">
            <v>1703</v>
          </cell>
          <cell r="AC515">
            <v>42520</v>
          </cell>
          <cell r="AF515">
            <v>43500</v>
          </cell>
        </row>
        <row r="516">
          <cell r="A516">
            <v>514</v>
          </cell>
          <cell r="B516">
            <v>46079</v>
          </cell>
          <cell r="C516" t="str">
            <v>HYUNDAI TUCSON</v>
          </cell>
          <cell r="D516" t="str">
            <v>HYUNDAI</v>
          </cell>
          <cell r="E516" t="str">
            <v>TUCSON</v>
          </cell>
          <cell r="G516" t="str">
            <v>153주4099</v>
          </cell>
          <cell r="H516" t="str">
            <v>KMHJ3815GHU241857</v>
          </cell>
          <cell r="I516">
            <v>46080</v>
          </cell>
          <cell r="J516" t="str">
            <v>(주)에스케이알씨오토 주식회사</v>
          </cell>
          <cell r="K516">
            <v>46080</v>
          </cell>
          <cell r="L516" t="str">
            <v>잔금</v>
          </cell>
          <cell r="M516" t="str">
            <v>50만원 회사통장 나감</v>
          </cell>
          <cell r="N516">
            <v>766</v>
          </cell>
          <cell r="O516">
            <v>44</v>
          </cell>
          <cell r="P516">
            <v>810</v>
          </cell>
          <cell r="Q516" t="str">
            <v>DONE</v>
          </cell>
          <cell r="R516">
            <v>46085</v>
          </cell>
          <cell r="S516" t="str">
            <v>CALJA</v>
          </cell>
          <cell r="T516" t="str">
            <v>ERNESTO BULLARI</v>
          </cell>
          <cell r="U516" t="str">
            <v>K60726019Q</v>
          </cell>
          <cell r="V516" t="str">
            <v>355 69 550 5533</v>
          </cell>
          <cell r="W516" t="str">
            <v>Albania</v>
          </cell>
          <cell r="X516">
            <v>1414</v>
          </cell>
          <cell r="AB516">
            <v>1669</v>
          </cell>
          <cell r="AC516">
            <v>4785</v>
          </cell>
          <cell r="AD516">
            <v>1245</v>
          </cell>
          <cell r="AE516">
            <v>6030</v>
          </cell>
          <cell r="AF516">
            <v>6430</v>
          </cell>
        </row>
        <row r="517">
          <cell r="A517">
            <v>515</v>
          </cell>
          <cell r="B517">
            <v>46080</v>
          </cell>
          <cell r="C517" t="str">
            <v>AUDI A3</v>
          </cell>
          <cell r="D517" t="str">
            <v>AUDI</v>
          </cell>
          <cell r="E517" t="str">
            <v>A3</v>
          </cell>
          <cell r="G517" t="str">
            <v>23마0251</v>
          </cell>
          <cell r="H517" t="str">
            <v>WAUZZZ8V6G1042157</v>
          </cell>
          <cell r="I517">
            <v>46080</v>
          </cell>
          <cell r="J517" t="str">
            <v>경매장-헤이딜러</v>
          </cell>
          <cell r="L517" t="str">
            <v>잔금</v>
          </cell>
          <cell r="N517">
            <v>1214</v>
          </cell>
          <cell r="O517">
            <v>50</v>
          </cell>
          <cell r="P517">
            <v>1264</v>
          </cell>
          <cell r="Q517" t="str">
            <v>DONE</v>
          </cell>
          <cell r="R517">
            <v>46087</v>
          </cell>
          <cell r="S517" t="str">
            <v>DONI</v>
          </cell>
          <cell r="T517" t="str">
            <v>DONI</v>
          </cell>
          <cell r="U517">
            <v>933682</v>
          </cell>
          <cell r="V517" t="str">
            <v>3 8 3 4 9 3 2 5 7 0 3</v>
          </cell>
          <cell r="W517" t="str">
            <v xml:space="preserve"> HYZRI TALLA OB 16 HY 1 NR 18
 Kosovë</v>
          </cell>
          <cell r="X517">
            <v>1423</v>
          </cell>
          <cell r="AB517">
            <v>1678</v>
          </cell>
          <cell r="AC517">
            <v>7288</v>
          </cell>
          <cell r="AD517">
            <v>1162</v>
          </cell>
          <cell r="AE517">
            <v>8450</v>
          </cell>
        </row>
        <row r="518">
          <cell r="A518">
            <v>516</v>
          </cell>
          <cell r="B518">
            <v>46079</v>
          </cell>
          <cell r="C518" t="str">
            <v>HYUNDAI TUCSON</v>
          </cell>
          <cell r="D518" t="str">
            <v>HYUNDAI</v>
          </cell>
          <cell r="E518" t="str">
            <v>TUCSON</v>
          </cell>
          <cell r="G518" t="str">
            <v>21소6553</v>
          </cell>
          <cell r="H518" t="str">
            <v>KMHJ581ABJU514346</v>
          </cell>
          <cell r="I518">
            <v>46080</v>
          </cell>
          <cell r="J518" t="str">
            <v>(주)우성모터스</v>
          </cell>
          <cell r="K518">
            <v>46080</v>
          </cell>
          <cell r="L518" t="str">
            <v>잔금</v>
          </cell>
          <cell r="M518" t="str">
            <v>50만원 대표님 계약</v>
          </cell>
          <cell r="N518">
            <v>1280</v>
          </cell>
          <cell r="P518">
            <v>1280</v>
          </cell>
          <cell r="Q518" t="str">
            <v>DONE</v>
          </cell>
          <cell r="R518">
            <v>46087</v>
          </cell>
          <cell r="S518" t="str">
            <v>CALJA</v>
          </cell>
          <cell r="T518" t="str">
            <v>FATOS DAUTI</v>
          </cell>
          <cell r="U518" t="str">
            <v>H20802085B</v>
          </cell>
          <cell r="V518" t="str">
            <v>355 69 550 5533</v>
          </cell>
          <cell r="W518" t="str">
            <v>Albania</v>
          </cell>
          <cell r="X518">
            <v>1414</v>
          </cell>
          <cell r="AB518">
            <v>1669</v>
          </cell>
          <cell r="AC518">
            <v>7355</v>
          </cell>
          <cell r="AD518">
            <v>1245</v>
          </cell>
          <cell r="AE518">
            <v>8600</v>
          </cell>
          <cell r="AF518">
            <v>9800</v>
          </cell>
        </row>
        <row r="519">
          <cell r="A519">
            <v>517</v>
          </cell>
          <cell r="B519">
            <v>46079</v>
          </cell>
          <cell r="C519" t="str">
            <v>BENZ C220D 4MATIC</v>
          </cell>
          <cell r="D519" t="str">
            <v>BENZ</v>
          </cell>
          <cell r="E519" t="str">
            <v>C220D 4MATIC</v>
          </cell>
          <cell r="G519" t="str">
            <v>43라3949</v>
          </cell>
          <cell r="H519" t="str">
            <v>WDDWF1FB2KR465701</v>
          </cell>
          <cell r="I519">
            <v>46080</v>
          </cell>
          <cell r="K519">
            <v>46080</v>
          </cell>
          <cell r="L519" t="str">
            <v>잔금</v>
          </cell>
          <cell r="M519" t="str">
            <v>50만원 대표님 계약</v>
          </cell>
          <cell r="N519">
            <v>2296</v>
          </cell>
          <cell r="O519">
            <v>44</v>
          </cell>
          <cell r="P519">
            <v>2340</v>
          </cell>
          <cell r="Q519" t="str">
            <v>DONE</v>
          </cell>
          <cell r="R519">
            <v>46087</v>
          </cell>
          <cell r="S519" t="str">
            <v>VILLA KOHA</v>
          </cell>
          <cell r="T519" t="str">
            <v>VILLA KOHA SH.P.K</v>
          </cell>
          <cell r="U519">
            <v>810039588</v>
          </cell>
          <cell r="V519" t="str">
            <v>383 49247777</v>
          </cell>
          <cell r="W519" t="str">
            <v>KOSOVO</v>
          </cell>
          <cell r="X519">
            <v>1414</v>
          </cell>
          <cell r="AB519">
            <v>1669</v>
          </cell>
          <cell r="AC519">
            <v>13329</v>
          </cell>
          <cell r="AD519">
            <v>1161</v>
          </cell>
          <cell r="AE519">
            <v>14490</v>
          </cell>
          <cell r="AF519">
            <v>14540</v>
          </cell>
        </row>
        <row r="520">
          <cell r="A520">
            <v>518</v>
          </cell>
          <cell r="B520">
            <v>46079</v>
          </cell>
          <cell r="C520" t="str">
            <v>HYUNDAI TUCSON</v>
          </cell>
          <cell r="D520" t="str">
            <v>HYUNDAI</v>
          </cell>
          <cell r="E520" t="str">
            <v>TUCSON</v>
          </cell>
          <cell r="G520" t="str">
            <v>66소2374</v>
          </cell>
          <cell r="H520" t="str">
            <v>KMHJ581ABGU001982</v>
          </cell>
          <cell r="I520">
            <v>46080</v>
          </cell>
          <cell r="J520" t="str">
            <v>(주)디에이치모터스</v>
          </cell>
          <cell r="K520">
            <v>46080</v>
          </cell>
          <cell r="L520" t="str">
            <v>잔금</v>
          </cell>
          <cell r="M520" t="str">
            <v>50만원 대표님 계약</v>
          </cell>
          <cell r="N520">
            <v>1374</v>
          </cell>
          <cell r="P520">
            <v>1374</v>
          </cell>
          <cell r="Q520" t="str">
            <v>DONE</v>
          </cell>
          <cell r="R520">
            <v>46085</v>
          </cell>
          <cell r="S520" t="str">
            <v>CALJA</v>
          </cell>
          <cell r="T520" t="str">
            <v>INDRIT SELMANI</v>
          </cell>
          <cell r="U520" t="str">
            <v>J10731066A</v>
          </cell>
          <cell r="V520" t="str">
            <v>355 69 550 5533</v>
          </cell>
          <cell r="W520" t="str">
            <v>Albania</v>
          </cell>
          <cell r="X520">
            <v>1414</v>
          </cell>
          <cell r="AB520">
            <v>1669</v>
          </cell>
          <cell r="AC520">
            <v>7875</v>
          </cell>
          <cell r="AD520">
            <v>1245</v>
          </cell>
          <cell r="AE520">
            <v>9120</v>
          </cell>
          <cell r="AF520">
            <v>9270</v>
          </cell>
        </row>
        <row r="521">
          <cell r="A521">
            <v>519</v>
          </cell>
          <cell r="B521">
            <v>46083</v>
          </cell>
          <cell r="C521" t="str">
            <v>BMW M3</v>
          </cell>
          <cell r="D521" t="str">
            <v>BMW</v>
          </cell>
          <cell r="E521" t="str">
            <v>M3</v>
          </cell>
          <cell r="G521" t="str">
            <v>35마6940</v>
          </cell>
          <cell r="H521" t="str">
            <v>WBSKG9101DJ454788</v>
          </cell>
          <cell r="I521">
            <v>46084</v>
          </cell>
          <cell r="J521" t="str">
            <v>(주) 그랜드모터스</v>
          </cell>
          <cell r="L521" t="str">
            <v>잔금</v>
          </cell>
          <cell r="M521" t="str">
            <v>100 회사통장 나감</v>
          </cell>
          <cell r="N521">
            <v>3600</v>
          </cell>
          <cell r="P521">
            <v>3600</v>
          </cell>
          <cell r="Q521" t="str">
            <v>DONE</v>
          </cell>
          <cell r="R521">
            <v>46085</v>
          </cell>
          <cell r="S521" t="str">
            <v xml:space="preserve">DAX IMPORT 🇩🇪 </v>
          </cell>
          <cell r="T521" t="str">
            <v xml:space="preserve">Michael Karl  </v>
          </cell>
          <cell r="U521" t="str">
            <v>LF9N8WZ16</v>
          </cell>
          <cell r="V521" t="str">
            <v>‪+49 471 94189050‬</v>
          </cell>
          <cell r="W521" t="str">
            <v xml:space="preserve">Dorfstr,33C,(82024) Taufkirchen, Germany </v>
          </cell>
          <cell r="X521">
            <v>1453</v>
          </cell>
          <cell r="AB521">
            <v>1703</v>
          </cell>
          <cell r="AC521">
            <v>20430</v>
          </cell>
        </row>
        <row r="522">
          <cell r="A522">
            <v>520</v>
          </cell>
          <cell r="B522">
            <v>46084</v>
          </cell>
          <cell r="C522" t="str">
            <v>AUDI A3</v>
          </cell>
          <cell r="D522" t="str">
            <v>AUDI</v>
          </cell>
          <cell r="E522" t="str">
            <v>A3</v>
          </cell>
          <cell r="G522" t="str">
            <v>08어0823</v>
          </cell>
          <cell r="H522" t="str">
            <v>WAUZZZ8V1GA044639</v>
          </cell>
          <cell r="I522">
            <v>46084</v>
          </cell>
          <cell r="L522" t="str">
            <v>잔금</v>
          </cell>
          <cell r="M522" t="str">
            <v>50만원 회사통장 나감</v>
          </cell>
          <cell r="N522">
            <v>1370</v>
          </cell>
          <cell r="P522">
            <v>1370</v>
          </cell>
          <cell r="Q522" t="str">
            <v>DONE</v>
          </cell>
          <cell r="R522">
            <v>46086</v>
          </cell>
          <cell r="S522" t="str">
            <v>R.S.h L.L.C.</v>
          </cell>
          <cell r="T522" t="str">
            <v>R.Sh L.L.C.</v>
          </cell>
          <cell r="U522">
            <v>812326016</v>
          </cell>
          <cell r="V522" t="str">
            <v>+383486 611 61</v>
          </cell>
          <cell r="W522" t="str">
            <v>Kosovo</v>
          </cell>
          <cell r="X522">
            <v>1453</v>
          </cell>
          <cell r="AB522">
            <v>1703</v>
          </cell>
          <cell r="AC522">
            <v>7751</v>
          </cell>
          <cell r="AD522">
            <v>1169</v>
          </cell>
          <cell r="AE522">
            <v>8920</v>
          </cell>
          <cell r="AF522">
            <v>20</v>
          </cell>
        </row>
        <row r="523">
          <cell r="A523">
            <v>521</v>
          </cell>
          <cell r="B523">
            <v>46084</v>
          </cell>
          <cell r="C523" t="str">
            <v>BENZ C220</v>
          </cell>
          <cell r="D523" t="str">
            <v>BENZ</v>
          </cell>
          <cell r="E523" t="str">
            <v>C220</v>
          </cell>
          <cell r="G523" t="str">
            <v>03모4519</v>
          </cell>
          <cell r="H523" t="str">
            <v>WDDWF0EB4GR202192</v>
          </cell>
          <cell r="I523">
            <v>46086</v>
          </cell>
          <cell r="J523" t="str">
            <v>㈜ 오토스토리</v>
          </cell>
          <cell r="L523" t="str">
            <v>잔금</v>
          </cell>
          <cell r="M523" t="str">
            <v>50만원 대표님 계약</v>
          </cell>
          <cell r="N523">
            <v>1654</v>
          </cell>
          <cell r="P523">
            <v>1654</v>
          </cell>
          <cell r="Q523" t="str">
            <v>done</v>
          </cell>
          <cell r="R523">
            <v>46090</v>
          </cell>
          <cell r="S523" t="str">
            <v>ATLAS GROUP SH.P.K</v>
          </cell>
          <cell r="T523" t="str">
            <v>ATLAS GROUP SH.P.K</v>
          </cell>
          <cell r="U523">
            <v>812137455</v>
          </cell>
          <cell r="V523" t="str">
            <v>+38348702207</v>
          </cell>
          <cell r="W523" t="str">
            <v>Xhelal Hajda, p.n. Rahovec</v>
          </cell>
          <cell r="X523">
            <v>1450</v>
          </cell>
          <cell r="AB523">
            <v>1695</v>
          </cell>
          <cell r="AC523">
            <v>9328</v>
          </cell>
          <cell r="AD523">
            <v>1172</v>
          </cell>
          <cell r="AE523">
            <v>10500</v>
          </cell>
          <cell r="AF523">
            <v>10500</v>
          </cell>
        </row>
        <row r="524">
          <cell r="A524">
            <v>522</v>
          </cell>
          <cell r="B524">
            <v>46084</v>
          </cell>
          <cell r="C524" t="str">
            <v>BMW X3</v>
          </cell>
          <cell r="D524" t="str">
            <v>BMW</v>
          </cell>
          <cell r="E524" t="str">
            <v>X3</v>
          </cell>
          <cell r="G524" t="str">
            <v>178너3660</v>
          </cell>
          <cell r="H524" t="str">
            <v>WBAWZ510XG0M28662</v>
          </cell>
          <cell r="I524">
            <v>46085</v>
          </cell>
          <cell r="J524" t="str">
            <v>㈜우성모터스</v>
          </cell>
          <cell r="L524" t="str">
            <v>잔금</v>
          </cell>
          <cell r="M524" t="str">
            <v>50만원 대표님 계약</v>
          </cell>
          <cell r="N524">
            <v>1370</v>
          </cell>
          <cell r="P524">
            <v>1370</v>
          </cell>
          <cell r="Q524" t="str">
            <v>DONE</v>
          </cell>
          <cell r="R524">
            <v>46090</v>
          </cell>
          <cell r="S524" t="str">
            <v>VILLA KOHA</v>
          </cell>
          <cell r="T524" t="str">
            <v>VILLA KOHA SH.P.K</v>
          </cell>
          <cell r="U524">
            <v>810039588</v>
          </cell>
          <cell r="V524" t="str">
            <v>383 49247777</v>
          </cell>
          <cell r="W524" t="str">
            <v>KOSOVO</v>
          </cell>
          <cell r="X524">
            <v>1450</v>
          </cell>
          <cell r="AB524">
            <v>1695</v>
          </cell>
          <cell r="AC524">
            <v>7793</v>
          </cell>
          <cell r="AD524">
            <v>1257</v>
          </cell>
          <cell r="AE524">
            <v>9050</v>
          </cell>
          <cell r="AF524">
            <v>9050</v>
          </cell>
        </row>
        <row r="525">
          <cell r="A525">
            <v>523</v>
          </cell>
          <cell r="B525">
            <v>46084</v>
          </cell>
          <cell r="C525" t="str">
            <v>BENZ E220</v>
          </cell>
          <cell r="D525" t="str">
            <v>BENZ</v>
          </cell>
          <cell r="E525" t="str">
            <v>E220</v>
          </cell>
          <cell r="G525" t="str">
            <v>07우0510</v>
          </cell>
          <cell r="H525" t="str">
            <v>WDDZF0EB2HA043671 </v>
          </cell>
          <cell r="I525">
            <v>46085</v>
          </cell>
          <cell r="J525" t="str">
            <v>㈜해동 자동차</v>
          </cell>
          <cell r="L525" t="str">
            <v>잔금</v>
          </cell>
          <cell r="M525" t="str">
            <v>50만원 대표님 계약</v>
          </cell>
          <cell r="N525">
            <v>1920</v>
          </cell>
          <cell r="P525">
            <v>1920</v>
          </cell>
          <cell r="Q525" t="str">
            <v>DONE</v>
          </cell>
          <cell r="R525">
            <v>46092</v>
          </cell>
          <cell r="S525" t="str">
            <v>ATLAS GROUP SH.P.K</v>
          </cell>
          <cell r="T525" t="str">
            <v>ATLAS GROUP SH.P.K</v>
          </cell>
          <cell r="U525">
            <v>812137455</v>
          </cell>
          <cell r="V525" t="str">
            <v>+38348702207</v>
          </cell>
          <cell r="W525" t="str">
            <v>Xhelal Hajda, p.n. Rahovec</v>
          </cell>
          <cell r="X525">
            <v>1450</v>
          </cell>
          <cell r="AB525">
            <v>1695</v>
          </cell>
          <cell r="AC525">
            <v>10828</v>
          </cell>
          <cell r="AD525">
            <v>1172</v>
          </cell>
          <cell r="AE525">
            <v>12000</v>
          </cell>
          <cell r="AF525">
            <v>12000</v>
          </cell>
        </row>
        <row r="526">
          <cell r="A526">
            <v>524</v>
          </cell>
          <cell r="B526">
            <v>46084</v>
          </cell>
          <cell r="C526" t="str">
            <v>AUDI RS7</v>
          </cell>
          <cell r="D526" t="str">
            <v>AUDI</v>
          </cell>
          <cell r="E526" t="str">
            <v>RS7</v>
          </cell>
          <cell r="G526" t="str">
            <v>256루6207</v>
          </cell>
          <cell r="H526" t="str">
            <v>WAUZZZ4GXCN174459 </v>
          </cell>
          <cell r="I526">
            <v>46085</v>
          </cell>
          <cell r="J526" t="str">
            <v>㈜달빛모터스</v>
          </cell>
          <cell r="L526" t="str">
            <v>잔금</v>
          </cell>
          <cell r="M526" t="str">
            <v>70만원 대표님 계약</v>
          </cell>
          <cell r="N526">
            <v>1230</v>
          </cell>
          <cell r="P526">
            <v>1230</v>
          </cell>
          <cell r="Q526" t="str">
            <v>DONE</v>
          </cell>
          <cell r="R526">
            <v>46090</v>
          </cell>
          <cell r="S526" t="str">
            <v xml:space="preserve">Andrea Kasa </v>
          </cell>
          <cell r="T526" t="str">
            <v xml:space="preserve">Andrea Kasa </v>
          </cell>
          <cell r="U526" t="str">
            <v>K30122016U</v>
          </cell>
          <cell r="V526" t="str">
            <v>355 69 746 2556</v>
          </cell>
          <cell r="W526" t="str">
            <v>Albania</v>
          </cell>
          <cell r="X526">
            <v>1450</v>
          </cell>
          <cell r="AB526">
            <v>1695</v>
          </cell>
          <cell r="AC526">
            <v>7088</v>
          </cell>
          <cell r="AD526">
            <v>1172</v>
          </cell>
          <cell r="AE526">
            <v>8260</v>
          </cell>
        </row>
        <row r="527">
          <cell r="A527">
            <v>525</v>
          </cell>
          <cell r="B527">
            <v>46084</v>
          </cell>
          <cell r="C527" t="str">
            <v>VOLKSWAGENS GOLF 7</v>
          </cell>
          <cell r="D527" t="str">
            <v>VOLKSWAGENS</v>
          </cell>
          <cell r="E527" t="str">
            <v>GOLF 7</v>
          </cell>
          <cell r="G527" t="str">
            <v>26너9723</v>
          </cell>
          <cell r="H527" t="str">
            <v>WVWZZZAUZGW145950</v>
          </cell>
          <cell r="I527">
            <v>46085</v>
          </cell>
          <cell r="J527" t="str">
            <v>경매장-헤이딜러</v>
          </cell>
          <cell r="L527" t="str">
            <v>잔금</v>
          </cell>
          <cell r="N527">
            <v>1024</v>
          </cell>
          <cell r="O527">
            <v>49</v>
          </cell>
          <cell r="P527">
            <v>1073</v>
          </cell>
          <cell r="Q527" t="str">
            <v>DONE</v>
          </cell>
          <cell r="R527">
            <v>46090</v>
          </cell>
          <cell r="S527" t="str">
            <v>DONI</v>
          </cell>
          <cell r="T527" t="str">
            <v>DONI</v>
          </cell>
          <cell r="U527">
            <v>933682</v>
          </cell>
          <cell r="V527" t="str">
            <v>3 8 3 4 9 3 2 5 7 0 3</v>
          </cell>
          <cell r="W527" t="str">
            <v xml:space="preserve"> HYZRI TALLA OB 16 HY 1 NR 18
 Kosovë</v>
          </cell>
          <cell r="X527">
            <v>1464</v>
          </cell>
          <cell r="AB527">
            <v>1698</v>
          </cell>
          <cell r="AC527">
            <v>6089</v>
          </cell>
          <cell r="AD527">
            <v>1181</v>
          </cell>
          <cell r="AE527">
            <v>7270</v>
          </cell>
        </row>
        <row r="528">
          <cell r="A528">
            <v>526</v>
          </cell>
          <cell r="B528">
            <v>46084</v>
          </cell>
          <cell r="C528" t="str">
            <v>RANGOVER DISCOVERY SPORT</v>
          </cell>
          <cell r="D528" t="str">
            <v>RANGOVER</v>
          </cell>
          <cell r="E528" t="str">
            <v>DISCOVERY SPORT</v>
          </cell>
          <cell r="G528" t="str">
            <v>55부0807</v>
          </cell>
          <cell r="H528" t="str">
            <v>SALCA2BN6GH611170</v>
          </cell>
          <cell r="I528">
            <v>46090</v>
          </cell>
          <cell r="J528" t="str">
            <v>경매장 -헤이딜러</v>
          </cell>
          <cell r="K528" t="str">
            <v>HAESHIN</v>
          </cell>
          <cell r="L528" t="str">
            <v>잔금</v>
          </cell>
          <cell r="N528">
            <v>608</v>
          </cell>
          <cell r="O528">
            <v>42</v>
          </cell>
          <cell r="P528">
            <v>650</v>
          </cell>
          <cell r="Q528" t="str">
            <v>done</v>
          </cell>
          <cell r="R528">
            <v>46098</v>
          </cell>
          <cell r="S528" t="str">
            <v>R.S.h L.L.C.</v>
          </cell>
          <cell r="T528" t="str">
            <v>R.Sh L.L.C.</v>
          </cell>
          <cell r="U528">
            <v>812326016</v>
          </cell>
          <cell r="V528" t="str">
            <v>+383486 611 61</v>
          </cell>
          <cell r="W528" t="str">
            <v>Kosovo</v>
          </cell>
          <cell r="X528">
            <v>1450</v>
          </cell>
          <cell r="AB528">
            <v>1695</v>
          </cell>
          <cell r="AC528">
            <v>3948</v>
          </cell>
          <cell r="AD528">
            <v>1257</v>
          </cell>
          <cell r="AE528">
            <v>5205</v>
          </cell>
          <cell r="AF528">
            <v>5100</v>
          </cell>
        </row>
        <row r="529">
          <cell r="A529">
            <v>527</v>
          </cell>
          <cell r="B529">
            <v>46084</v>
          </cell>
          <cell r="C529" t="str">
            <v>VOLKSWAGENS GOLF 7</v>
          </cell>
          <cell r="D529" t="str">
            <v>VOLKSWAGENS</v>
          </cell>
          <cell r="E529" t="str">
            <v>GOLF 7</v>
          </cell>
          <cell r="G529" t="str">
            <v>43무3019</v>
          </cell>
          <cell r="H529" t="str">
            <v>WVWZZZAUZFW205616</v>
          </cell>
          <cell r="I529">
            <v>46085</v>
          </cell>
          <cell r="J529" t="str">
            <v>㈜천마상사</v>
          </cell>
          <cell r="L529" t="str">
            <v>잔금</v>
          </cell>
          <cell r="M529" t="str">
            <v>50만원 회사토장 계약</v>
          </cell>
          <cell r="N529">
            <v>840</v>
          </cell>
          <cell r="P529">
            <v>840</v>
          </cell>
          <cell r="Q529" t="str">
            <v>DONE</v>
          </cell>
          <cell r="R529">
            <v>46090</v>
          </cell>
          <cell r="S529" t="str">
            <v>CALJA</v>
          </cell>
          <cell r="T529" t="str">
            <v>DISHNA XHEVAHIRE</v>
          </cell>
          <cell r="U529" t="str">
            <v>F95325221O</v>
          </cell>
          <cell r="V529" t="str">
            <v>355 69 550 5533</v>
          </cell>
          <cell r="W529" t="str">
            <v>Albania</v>
          </cell>
          <cell r="X529">
            <v>1450</v>
          </cell>
          <cell r="AB529">
            <v>1695</v>
          </cell>
          <cell r="AC529">
            <v>4783</v>
          </cell>
          <cell r="AD529">
            <v>1257</v>
          </cell>
          <cell r="AE529">
            <v>6040</v>
          </cell>
          <cell r="AF529">
            <v>9850</v>
          </cell>
        </row>
        <row r="530">
          <cell r="A530">
            <v>528</v>
          </cell>
          <cell r="B530">
            <v>46085</v>
          </cell>
          <cell r="C530" t="str">
            <v>BENZ C220D</v>
          </cell>
          <cell r="D530" t="str">
            <v>BENZ</v>
          </cell>
          <cell r="E530" t="str">
            <v>C220D</v>
          </cell>
          <cell r="G530" t="str">
            <v>123구7167</v>
          </cell>
          <cell r="H530" t="str">
            <v>WDDWF0EB2HR210809</v>
          </cell>
          <cell r="I530">
            <v>46086</v>
          </cell>
          <cell r="J530" t="str">
            <v>㈜토토자동차</v>
          </cell>
          <cell r="L530" t="str">
            <v>잔금</v>
          </cell>
          <cell r="M530" t="str">
            <v>50만원 대표님 계약</v>
          </cell>
          <cell r="N530">
            <v>1594</v>
          </cell>
          <cell r="P530">
            <v>1594</v>
          </cell>
          <cell r="Q530" t="str">
            <v>DONE</v>
          </cell>
          <cell r="R530">
            <v>46092</v>
          </cell>
          <cell r="S530" t="str">
            <v>ATLAS GROUP SH.P.K</v>
          </cell>
          <cell r="T530" t="str">
            <v>ATLAS GROUP SH.P.K</v>
          </cell>
          <cell r="U530">
            <v>812137455</v>
          </cell>
          <cell r="V530" t="str">
            <v>+38348702207</v>
          </cell>
          <cell r="W530" t="str">
            <v>Xhelal Hajda, p.n. Rahovec</v>
          </cell>
          <cell r="X530">
            <v>1464</v>
          </cell>
          <cell r="AB530">
            <v>1698</v>
          </cell>
          <cell r="AC530">
            <v>8979</v>
          </cell>
          <cell r="AD530">
            <v>1181</v>
          </cell>
          <cell r="AE530">
            <v>10160</v>
          </cell>
          <cell r="AF530">
            <v>10160</v>
          </cell>
        </row>
        <row r="531">
          <cell r="A531">
            <v>529</v>
          </cell>
          <cell r="B531">
            <v>46085</v>
          </cell>
          <cell r="C531" t="str">
            <v>BMW X1 xDrive18d</v>
          </cell>
          <cell r="D531" t="str">
            <v>BMW</v>
          </cell>
          <cell r="E531" t="str">
            <v>X1 xDrive18d</v>
          </cell>
          <cell r="G531" t="str">
            <v>02보2058</v>
          </cell>
          <cell r="H531" t="str">
            <v>WBAJH7100J3G06807</v>
          </cell>
          <cell r="I531">
            <v>46086</v>
          </cell>
          <cell r="J531" t="str">
            <v>㈜다둥이차</v>
          </cell>
          <cell r="L531" t="str">
            <v>잔금</v>
          </cell>
          <cell r="M531" t="str">
            <v>50만원 대표님 계약</v>
          </cell>
          <cell r="N531">
            <v>1530</v>
          </cell>
          <cell r="P531">
            <v>1530</v>
          </cell>
          <cell r="Q531" t="str">
            <v>DONE</v>
          </cell>
          <cell r="R531">
            <v>46090</v>
          </cell>
          <cell r="S531" t="str">
            <v>ATLAS GROUP SH.P.K</v>
          </cell>
          <cell r="T531" t="str">
            <v>ATLAS GROUP SH.P.K</v>
          </cell>
          <cell r="U531">
            <v>812137455</v>
          </cell>
          <cell r="V531" t="str">
            <v>+38348702207</v>
          </cell>
          <cell r="W531" t="str">
            <v>Xhelal Hajda, p.n. Rahovec</v>
          </cell>
          <cell r="X531">
            <v>1464</v>
          </cell>
          <cell r="AB531">
            <v>1698</v>
          </cell>
          <cell r="AC531">
            <v>8633</v>
          </cell>
          <cell r="AD531">
            <v>1267</v>
          </cell>
          <cell r="AE531">
            <v>9900</v>
          </cell>
          <cell r="AF531">
            <v>9900</v>
          </cell>
        </row>
        <row r="532">
          <cell r="A532">
            <v>530</v>
          </cell>
          <cell r="B532">
            <v>46085</v>
          </cell>
          <cell r="C532" t="str">
            <v>VOLKSWAGENS GOLF 7</v>
          </cell>
          <cell r="D532" t="str">
            <v>VOLKSWAGENS</v>
          </cell>
          <cell r="E532" t="str">
            <v>GOLF 7</v>
          </cell>
          <cell r="G532" t="str">
            <v>69더4941</v>
          </cell>
          <cell r="H532" t="str">
            <v>WVWZZZAUZEW152051</v>
          </cell>
          <cell r="I532">
            <v>46086</v>
          </cell>
          <cell r="J532" t="str">
            <v>㈜세이프중고차</v>
          </cell>
          <cell r="L532" t="str">
            <v>잔금</v>
          </cell>
          <cell r="M532" t="str">
            <v>50만원 회사토장 계약</v>
          </cell>
          <cell r="N532">
            <v>660</v>
          </cell>
          <cell r="P532">
            <v>660</v>
          </cell>
          <cell r="Q532" t="str">
            <v>DONE</v>
          </cell>
          <cell r="R532">
            <v>46090</v>
          </cell>
          <cell r="S532" t="str">
            <v>REDON</v>
          </cell>
          <cell r="T532" t="str">
            <v>TAFANI NAZMI</v>
          </cell>
          <cell r="U532" t="str">
            <v>E70910002M</v>
          </cell>
          <cell r="V532" t="str">
            <v>389 636 5672</v>
          </cell>
          <cell r="W532" t="str">
            <v>Albania</v>
          </cell>
          <cell r="X532">
            <v>1464</v>
          </cell>
          <cell r="AB532">
            <v>1698</v>
          </cell>
          <cell r="AC532">
            <v>3869</v>
          </cell>
          <cell r="AD532">
            <v>1181</v>
          </cell>
          <cell r="AE532">
            <v>5050</v>
          </cell>
          <cell r="AF532">
            <v>5600</v>
          </cell>
        </row>
        <row r="533">
          <cell r="A533">
            <v>531</v>
          </cell>
          <cell r="B533">
            <v>46085</v>
          </cell>
          <cell r="C533" t="str">
            <v>AUDI A7</v>
          </cell>
          <cell r="D533" t="str">
            <v>AUDI</v>
          </cell>
          <cell r="E533" t="str">
            <v>A7</v>
          </cell>
          <cell r="G533" t="str">
            <v>47거0330</v>
          </cell>
          <cell r="H533" t="str">
            <v>WAUZZZ4G2GN038364 </v>
          </cell>
          <cell r="I533">
            <v>46086</v>
          </cell>
          <cell r="J533" t="str">
            <v>㈜골드상사</v>
          </cell>
          <cell r="L533" t="str">
            <v>잔금</v>
          </cell>
          <cell r="M533" t="str">
            <v>50만원 회사토장 계약</v>
          </cell>
          <cell r="N533">
            <v>1546</v>
          </cell>
          <cell r="O533">
            <v>44</v>
          </cell>
          <cell r="P533">
            <v>1590</v>
          </cell>
          <cell r="Q533" t="str">
            <v>DONE</v>
          </cell>
          <cell r="R533">
            <v>46090</v>
          </cell>
          <cell r="S533" t="str">
            <v xml:space="preserve">Andrea Kasa </v>
          </cell>
          <cell r="T533" t="str">
            <v>DERVISHI ELSA</v>
          </cell>
          <cell r="U533" t="str">
            <v>H76012159P</v>
          </cell>
          <cell r="V533" t="str">
            <v>355 69 746 2556</v>
          </cell>
          <cell r="W533" t="str">
            <v>Albania</v>
          </cell>
          <cell r="X533">
            <v>1464</v>
          </cell>
          <cell r="AB533">
            <v>1697</v>
          </cell>
          <cell r="AC533">
            <v>8939</v>
          </cell>
          <cell r="AD533">
            <v>1181</v>
          </cell>
          <cell r="AE533">
            <v>10120</v>
          </cell>
          <cell r="AF533">
            <v>11190</v>
          </cell>
        </row>
        <row r="534">
          <cell r="A534">
            <v>532</v>
          </cell>
          <cell r="B534">
            <v>46086</v>
          </cell>
          <cell r="C534" t="str">
            <v>PEUGEOT  3008</v>
          </cell>
          <cell r="D534" t="str">
            <v xml:space="preserve">PEUGEOT </v>
          </cell>
          <cell r="E534">
            <v>3008</v>
          </cell>
          <cell r="G534" t="str">
            <v>45마9515</v>
          </cell>
          <cell r="H534" t="str">
            <v>VF3MCBHZWHS019308</v>
          </cell>
          <cell r="I534">
            <v>46086</v>
          </cell>
          <cell r="J534" t="str">
            <v>㈜카베에</v>
          </cell>
          <cell r="L534" t="str">
            <v>잔금</v>
          </cell>
          <cell r="M534" t="str">
            <v>50만원 회사토장 계약</v>
          </cell>
          <cell r="N534">
            <v>1070</v>
          </cell>
          <cell r="O534">
            <v>44</v>
          </cell>
          <cell r="P534">
            <v>1114</v>
          </cell>
          <cell r="Q534" t="str">
            <v>DONE</v>
          </cell>
          <cell r="R534">
            <v>46087</v>
          </cell>
          <cell r="S534" t="str">
            <v>R.S.h L.L.C.</v>
          </cell>
          <cell r="T534" t="str">
            <v>R.Sh L.L.C.</v>
          </cell>
          <cell r="U534">
            <v>812326016</v>
          </cell>
          <cell r="V534" t="str">
            <v>+383486 611 61</v>
          </cell>
          <cell r="W534" t="str">
            <v>Kosovo</v>
          </cell>
          <cell r="X534">
            <v>1464</v>
          </cell>
          <cell r="AB534">
            <v>1698</v>
          </cell>
          <cell r="AC534">
            <v>6303</v>
          </cell>
          <cell r="AD534">
            <v>1267</v>
          </cell>
          <cell r="AE534">
            <v>7570</v>
          </cell>
        </row>
        <row r="535">
          <cell r="A535">
            <v>533</v>
          </cell>
          <cell r="B535">
            <v>46086</v>
          </cell>
          <cell r="C535" t="str">
            <v>PEUGEOT  208</v>
          </cell>
          <cell r="D535" t="str">
            <v xml:space="preserve">PEUGEOT </v>
          </cell>
          <cell r="E535">
            <v>208</v>
          </cell>
          <cell r="G535" t="str">
            <v>01로3063</v>
          </cell>
          <cell r="H535" t="str">
            <v>VF3CCBHYMHT003517</v>
          </cell>
          <cell r="I535">
            <v>46086</v>
          </cell>
          <cell r="L535" t="str">
            <v>잔금</v>
          </cell>
          <cell r="M535" t="str">
            <v>50만원 회사토장 계약</v>
          </cell>
          <cell r="N535">
            <v>604</v>
          </cell>
          <cell r="P535">
            <v>604</v>
          </cell>
          <cell r="Q535" t="str">
            <v>DONE</v>
          </cell>
          <cell r="R535">
            <v>46087</v>
          </cell>
          <cell r="S535" t="str">
            <v>R.S.h L.L.C.</v>
          </cell>
          <cell r="T535" t="str">
            <v>R.Sh L.L.C.</v>
          </cell>
          <cell r="U535">
            <v>812326016</v>
          </cell>
          <cell r="V535" t="str">
            <v>+383486 611 61</v>
          </cell>
          <cell r="W535" t="str">
            <v>Kosovo</v>
          </cell>
          <cell r="X535">
            <v>1464</v>
          </cell>
          <cell r="AB535">
            <v>1698</v>
          </cell>
          <cell r="AC535">
            <v>3559</v>
          </cell>
          <cell r="AD535">
            <v>1181</v>
          </cell>
          <cell r="AE535">
            <v>4740</v>
          </cell>
        </row>
        <row r="536">
          <cell r="A536">
            <v>534</v>
          </cell>
          <cell r="B536">
            <v>46085</v>
          </cell>
          <cell r="C536" t="str">
            <v>AUDI A6</v>
          </cell>
          <cell r="D536" t="str">
            <v>AUDI</v>
          </cell>
          <cell r="E536" t="str">
            <v>A6</v>
          </cell>
          <cell r="G536" t="str">
            <v>43조6899</v>
          </cell>
          <cell r="H536" t="str">
            <v>WAUZZZ4G7JN063039</v>
          </cell>
          <cell r="I536">
            <v>46086</v>
          </cell>
          <cell r="J536" t="str">
            <v>경매장- AJ</v>
          </cell>
          <cell r="L536" t="str">
            <v>잔금</v>
          </cell>
          <cell r="N536">
            <v>1265</v>
          </cell>
          <cell r="O536">
            <v>32</v>
          </cell>
          <cell r="P536">
            <v>1297</v>
          </cell>
          <cell r="Q536" t="str">
            <v>DONE</v>
          </cell>
          <cell r="R536">
            <v>46092</v>
          </cell>
          <cell r="S536" t="str">
            <v>DONI</v>
          </cell>
          <cell r="T536" t="str">
            <v>DONI</v>
          </cell>
          <cell r="U536">
            <v>933682</v>
          </cell>
          <cell r="V536" t="str">
            <v>3 8 3 4 9 3 2 5 7 0 3</v>
          </cell>
          <cell r="W536" t="str">
            <v xml:space="preserve"> HYZRI TALLA OB 16 HY 1 NR 18
 Kosovë</v>
          </cell>
          <cell r="X536">
            <v>1464</v>
          </cell>
          <cell r="AB536">
            <v>1698</v>
          </cell>
          <cell r="AC536">
            <v>7309</v>
          </cell>
          <cell r="AD536">
            <v>1181</v>
          </cell>
          <cell r="AE536">
            <v>8490</v>
          </cell>
        </row>
        <row r="537">
          <cell r="A537">
            <v>535</v>
          </cell>
          <cell r="B537">
            <v>46085</v>
          </cell>
          <cell r="C537" t="str">
            <v>BENZ E250</v>
          </cell>
          <cell r="D537" t="str">
            <v>BENZ</v>
          </cell>
          <cell r="E537" t="str">
            <v>E250</v>
          </cell>
          <cell r="G537" t="str">
            <v>61러9821</v>
          </cell>
          <cell r="H537" t="str">
            <v>WDDHF8CB6EA893599</v>
          </cell>
          <cell r="I537">
            <v>46086</v>
          </cell>
          <cell r="J537" t="str">
            <v>경매장- AJ</v>
          </cell>
          <cell r="L537" t="str">
            <v>잔금</v>
          </cell>
          <cell r="N537">
            <v>710</v>
          </cell>
          <cell r="O537">
            <v>19</v>
          </cell>
          <cell r="P537">
            <v>729</v>
          </cell>
          <cell r="Q537" t="str">
            <v>DONE</v>
          </cell>
          <cell r="R537">
            <v>46092</v>
          </cell>
          <cell r="S537" t="str">
            <v xml:space="preserve">Andrea Kasa </v>
          </cell>
          <cell r="T537" t="str">
            <v>KUSI ERJON</v>
          </cell>
          <cell r="U537" t="str">
            <v>I70707010J</v>
          </cell>
          <cell r="V537" t="str">
            <v>355 69 746 2556</v>
          </cell>
          <cell r="W537" t="str">
            <v>Albania</v>
          </cell>
          <cell r="X537">
            <v>1464</v>
          </cell>
          <cell r="AB537">
            <v>1698</v>
          </cell>
          <cell r="AC537">
            <v>4294</v>
          </cell>
          <cell r="AD537">
            <v>1181</v>
          </cell>
          <cell r="AE537">
            <v>5475</v>
          </cell>
          <cell r="AF537">
            <v>7270</v>
          </cell>
        </row>
        <row r="538">
          <cell r="A538">
            <v>536</v>
          </cell>
          <cell r="B538">
            <v>46085</v>
          </cell>
          <cell r="C538" t="str">
            <v>PEUGEOT  2008</v>
          </cell>
          <cell r="D538" t="str">
            <v xml:space="preserve">PEUGEOT </v>
          </cell>
          <cell r="E538">
            <v>2008</v>
          </cell>
          <cell r="G538" t="str">
            <v>41버8752</v>
          </cell>
          <cell r="H538" t="str">
            <v>VF3CUBHYMJY000592</v>
          </cell>
          <cell r="I538">
            <v>46086</v>
          </cell>
          <cell r="J538" t="str">
            <v>(주) 고물상사</v>
          </cell>
          <cell r="L538" t="str">
            <v>잔금</v>
          </cell>
          <cell r="M538" t="str">
            <v>50만원 대표님 계약</v>
          </cell>
          <cell r="N538">
            <v>740</v>
          </cell>
          <cell r="P538">
            <v>740</v>
          </cell>
          <cell r="Q538" t="str">
            <v>DONE</v>
          </cell>
          <cell r="R538">
            <v>46087</v>
          </cell>
          <cell r="S538" t="str">
            <v>R.S.h L.L.C.</v>
          </cell>
          <cell r="T538" t="str">
            <v>R.Sh L.L.C.</v>
          </cell>
          <cell r="U538">
            <v>812326016</v>
          </cell>
          <cell r="V538" t="str">
            <v>+383486 611 61</v>
          </cell>
          <cell r="W538" t="str">
            <v>Kosovo</v>
          </cell>
          <cell r="X538">
            <v>1464</v>
          </cell>
          <cell r="AB538">
            <v>1698</v>
          </cell>
          <cell r="AC538">
            <v>4319</v>
          </cell>
          <cell r="AD538">
            <v>1181</v>
          </cell>
          <cell r="AE538">
            <v>5500</v>
          </cell>
        </row>
        <row r="539">
          <cell r="A539">
            <v>537</v>
          </cell>
          <cell r="B539">
            <v>46085</v>
          </cell>
          <cell r="C539" t="str">
            <v>AUDI A7</v>
          </cell>
          <cell r="D539" t="str">
            <v>AUDI</v>
          </cell>
          <cell r="E539" t="str">
            <v>A7</v>
          </cell>
          <cell r="G539" t="str">
            <v>23누7757</v>
          </cell>
          <cell r="H539" t="str">
            <v>WAUZZZ4G8EN082205</v>
          </cell>
          <cell r="I539">
            <v>46087</v>
          </cell>
          <cell r="L539" t="str">
            <v>잔금</v>
          </cell>
          <cell r="M539" t="str">
            <v>50만원 대표님 계약</v>
          </cell>
          <cell r="N539">
            <v>1300</v>
          </cell>
          <cell r="P539">
            <v>1300</v>
          </cell>
          <cell r="Q539" t="str">
            <v>done</v>
          </cell>
          <cell r="R539">
            <v>46092</v>
          </cell>
          <cell r="S539" t="str">
            <v>RIZA</v>
          </cell>
          <cell r="T539" t="str">
            <v>Riza Qosja</v>
          </cell>
          <cell r="U539" t="str">
            <v>M33304205K</v>
          </cell>
          <cell r="V539" t="str">
            <v>355 682769063</v>
          </cell>
          <cell r="W539" t="str">
            <v>Albania</v>
          </cell>
          <cell r="X539">
            <v>1447</v>
          </cell>
          <cell r="AB539">
            <v>1683</v>
          </cell>
          <cell r="AC539">
            <v>7422</v>
          </cell>
          <cell r="AD539">
            <v>1178</v>
          </cell>
          <cell r="AE539">
            <v>8600</v>
          </cell>
          <cell r="AF539">
            <v>9180</v>
          </cell>
        </row>
        <row r="540">
          <cell r="A540">
            <v>538</v>
          </cell>
          <cell r="B540">
            <v>46085</v>
          </cell>
          <cell r="C540" t="str">
            <v>Citroen DS3</v>
          </cell>
          <cell r="D540" t="str">
            <v>Citroen</v>
          </cell>
          <cell r="E540" t="str">
            <v>DS3</v>
          </cell>
          <cell r="G540" t="str">
            <v>45보6214</v>
          </cell>
          <cell r="H540" t="str">
            <v>VF7SBBHYMHW500568</v>
          </cell>
          <cell r="I540">
            <v>46086</v>
          </cell>
          <cell r="J540" t="str">
            <v>(주)월드모터스</v>
          </cell>
          <cell r="L540" t="str">
            <v>잔금</v>
          </cell>
          <cell r="M540" t="str">
            <v>50만원 대표님 계약</v>
          </cell>
          <cell r="N540">
            <v>414</v>
          </cell>
          <cell r="P540">
            <v>414</v>
          </cell>
          <cell r="Q540" t="str">
            <v>DONE</v>
          </cell>
          <cell r="R540">
            <v>46087</v>
          </cell>
          <cell r="S540" t="str">
            <v>R.S.h L.L.C.</v>
          </cell>
          <cell r="T540" t="str">
            <v>R.Sh L.L.C.</v>
          </cell>
          <cell r="U540">
            <v>812326016</v>
          </cell>
          <cell r="V540" t="str">
            <v>+383486 611 61</v>
          </cell>
          <cell r="W540" t="str">
            <v>Kosovo</v>
          </cell>
          <cell r="X540">
            <v>1464</v>
          </cell>
          <cell r="AB540">
            <v>1698</v>
          </cell>
          <cell r="AC540">
            <v>2509</v>
          </cell>
          <cell r="AD540">
            <v>1181</v>
          </cell>
          <cell r="AE540">
            <v>3690</v>
          </cell>
        </row>
        <row r="541">
          <cell r="A541">
            <v>539</v>
          </cell>
          <cell r="B541">
            <v>46086</v>
          </cell>
          <cell r="C541" t="str">
            <v>VOLKSWAGENS GOLF 7</v>
          </cell>
          <cell r="D541" t="str">
            <v>VOLKSWAGENS</v>
          </cell>
          <cell r="E541" t="str">
            <v>GOLF 7</v>
          </cell>
          <cell r="G541" t="str">
            <v>15구0199</v>
          </cell>
          <cell r="H541" t="str">
            <v>WVWZZZAUZGW085045</v>
          </cell>
          <cell r="I541">
            <v>46090</v>
          </cell>
          <cell r="J541" t="str">
            <v>경매장-헤이딜러</v>
          </cell>
          <cell r="L541" t="str">
            <v>잔금</v>
          </cell>
          <cell r="N541">
            <v>954</v>
          </cell>
          <cell r="O541">
            <v>37</v>
          </cell>
          <cell r="P541">
            <v>991</v>
          </cell>
          <cell r="Q541" t="str">
            <v>DONE</v>
          </cell>
          <cell r="R541">
            <v>46150</v>
          </cell>
          <cell r="S541" t="str">
            <v>DONI</v>
          </cell>
          <cell r="T541" t="str">
            <v>DONI</v>
          </cell>
          <cell r="U541">
            <v>933682</v>
          </cell>
          <cell r="V541" t="str">
            <v>3 8 3 4 9 3 2 5 7 0 3</v>
          </cell>
          <cell r="W541" t="str">
            <v xml:space="preserve"> HYZRI TALLA OB 16 HY 1 NR 18
 Kosovë</v>
          </cell>
          <cell r="X541">
            <v>1461</v>
          </cell>
          <cell r="AB541">
            <v>1729</v>
          </cell>
          <cell r="AC541">
            <v>5641</v>
          </cell>
          <cell r="AD541">
            <v>1259</v>
          </cell>
          <cell r="AE541">
            <v>6900</v>
          </cell>
        </row>
        <row r="542">
          <cell r="A542">
            <v>540</v>
          </cell>
          <cell r="B542">
            <v>46086</v>
          </cell>
          <cell r="C542" t="str">
            <v>AUDI SQ5</v>
          </cell>
          <cell r="D542" t="str">
            <v>AUDI</v>
          </cell>
          <cell r="E542" t="str">
            <v>SQ5</v>
          </cell>
          <cell r="G542" t="str">
            <v>54버9429</v>
          </cell>
          <cell r="H542" t="str">
            <v>WAUZZZ8R8AA082539</v>
          </cell>
          <cell r="I542">
            <v>46087</v>
          </cell>
          <cell r="J542" t="str">
            <v>경매장-KCAR</v>
          </cell>
          <cell r="L542" t="str">
            <v>잔금</v>
          </cell>
          <cell r="N542">
            <v>380</v>
          </cell>
          <cell r="O542">
            <v>16</v>
          </cell>
          <cell r="P542">
            <v>396</v>
          </cell>
          <cell r="Q542" t="str">
            <v>done</v>
          </cell>
          <cell r="R542">
            <v>46097</v>
          </cell>
          <cell r="S542" t="str">
            <v xml:space="preserve">EUROAUTO.AL </v>
          </cell>
          <cell r="T542" t="str">
            <v>Erion Gjergji</v>
          </cell>
          <cell r="U542" t="str">
            <v>I90516099R</v>
          </cell>
          <cell r="V542" t="str">
            <v>49 163 6979 099</v>
          </cell>
          <cell r="W542" t="str">
            <v>Albania</v>
          </cell>
          <cell r="X542">
            <v>1464</v>
          </cell>
          <cell r="AB542">
            <v>1698</v>
          </cell>
          <cell r="AC542">
            <v>2453</v>
          </cell>
          <cell r="AD542">
            <v>1267</v>
          </cell>
          <cell r="AE542">
            <v>3720</v>
          </cell>
          <cell r="AF542">
            <v>3720</v>
          </cell>
        </row>
        <row r="543">
          <cell r="A543">
            <v>541</v>
          </cell>
          <cell r="B543">
            <v>46086</v>
          </cell>
          <cell r="C543" t="str">
            <v>AUDI A6</v>
          </cell>
          <cell r="D543" t="str">
            <v>AUDI</v>
          </cell>
          <cell r="E543" t="str">
            <v>A6</v>
          </cell>
          <cell r="G543" t="str">
            <v>03머0212</v>
          </cell>
          <cell r="H543" t="str">
            <v>WAUZZZ4G8GN173915</v>
          </cell>
          <cell r="I543">
            <v>46087</v>
          </cell>
          <cell r="J543" t="str">
            <v>경매장-KCAR</v>
          </cell>
          <cell r="L543" t="str">
            <v>잔금</v>
          </cell>
          <cell r="N543">
            <v>1145</v>
          </cell>
          <cell r="O543">
            <v>26</v>
          </cell>
          <cell r="P543">
            <v>1171</v>
          </cell>
          <cell r="Q543" t="str">
            <v>done</v>
          </cell>
          <cell r="R543">
            <v>46097</v>
          </cell>
          <cell r="S543" t="str">
            <v xml:space="preserve">EUROAUTO.AL </v>
          </cell>
          <cell r="T543" t="str">
            <v>Erion Gjergji</v>
          </cell>
          <cell r="U543" t="str">
            <v>I90516099R</v>
          </cell>
          <cell r="V543" t="str">
            <v>49 163 6979 099</v>
          </cell>
          <cell r="W543" t="str">
            <v>Albania</v>
          </cell>
          <cell r="X543">
            <v>1464</v>
          </cell>
          <cell r="AB543">
            <v>1698</v>
          </cell>
          <cell r="AC543">
            <v>6639</v>
          </cell>
          <cell r="AD543">
            <v>1181</v>
          </cell>
          <cell r="AE543">
            <v>7820</v>
          </cell>
          <cell r="AF543">
            <v>7820</v>
          </cell>
        </row>
        <row r="544">
          <cell r="A544">
            <v>542</v>
          </cell>
          <cell r="B544">
            <v>46086</v>
          </cell>
          <cell r="C544" t="str">
            <v>HYUNDAI I30</v>
          </cell>
          <cell r="D544" t="str">
            <v>HYUNDAI</v>
          </cell>
          <cell r="E544" t="str">
            <v>I30</v>
          </cell>
          <cell r="G544" t="str">
            <v>67누3119</v>
          </cell>
          <cell r="H544" t="str">
            <v xml:space="preserve">KMHD351UBCU014033 </v>
          </cell>
          <cell r="I544">
            <v>46087</v>
          </cell>
          <cell r="J544" t="str">
            <v>경매장-KCAR</v>
          </cell>
          <cell r="L544" t="str">
            <v>잔금</v>
          </cell>
          <cell r="N544">
            <v>385</v>
          </cell>
          <cell r="O544">
            <v>16</v>
          </cell>
          <cell r="P544">
            <v>401</v>
          </cell>
          <cell r="Q544" t="str">
            <v>DONE</v>
          </cell>
          <cell r="R544">
            <v>46097</v>
          </cell>
          <cell r="S544" t="str">
            <v xml:space="preserve">EUROAUTO.AL </v>
          </cell>
          <cell r="T544" t="str">
            <v>Erion Gjergji</v>
          </cell>
          <cell r="U544" t="str">
            <v>I90516099R</v>
          </cell>
          <cell r="V544" t="str">
            <v>49 163 6979 099</v>
          </cell>
          <cell r="W544" t="str">
            <v>Albania</v>
          </cell>
          <cell r="X544">
            <v>1464</v>
          </cell>
          <cell r="AB544">
            <v>1698</v>
          </cell>
          <cell r="AC544">
            <v>2269</v>
          </cell>
          <cell r="AD544">
            <v>1181</v>
          </cell>
          <cell r="AE544">
            <v>3450</v>
          </cell>
          <cell r="AF544">
            <v>3450</v>
          </cell>
        </row>
        <row r="545">
          <cell r="A545">
            <v>543</v>
          </cell>
          <cell r="B545">
            <v>46086</v>
          </cell>
          <cell r="C545" t="str">
            <v>BENZ CLS</v>
          </cell>
          <cell r="D545" t="str">
            <v>BENZ</v>
          </cell>
          <cell r="E545" t="str">
            <v>CLS</v>
          </cell>
          <cell r="G545" t="str">
            <v>326오9447</v>
          </cell>
          <cell r="H545" t="str">
            <v>WDDLJ9HB6FA144939</v>
          </cell>
          <cell r="I545">
            <v>46087</v>
          </cell>
          <cell r="J545" t="str">
            <v>㈜원모터스</v>
          </cell>
          <cell r="L545" t="str">
            <v>잔금</v>
          </cell>
          <cell r="M545" t="str">
            <v>50만원 대표님 계약</v>
          </cell>
          <cell r="N545">
            <v>1090</v>
          </cell>
          <cell r="P545">
            <v>1090</v>
          </cell>
          <cell r="Q545" t="str">
            <v>DONE</v>
          </cell>
          <cell r="R545">
            <v>46092</v>
          </cell>
          <cell r="S545" t="str">
            <v>CALJA</v>
          </cell>
          <cell r="T545" t="str">
            <v>EMILJO BUFI</v>
          </cell>
          <cell r="U545" t="str">
            <v>K50620011K</v>
          </cell>
          <cell r="V545" t="str">
            <v>355 69 550 5533</v>
          </cell>
          <cell r="W545" t="str">
            <v>Albania</v>
          </cell>
          <cell r="X545">
            <v>1447</v>
          </cell>
          <cell r="AB545">
            <v>1683</v>
          </cell>
          <cell r="AC545">
            <v>6222</v>
          </cell>
          <cell r="AD545">
            <v>1178</v>
          </cell>
          <cell r="AE545">
            <v>7400</v>
          </cell>
          <cell r="AF545">
            <v>8100</v>
          </cell>
        </row>
        <row r="546">
          <cell r="A546">
            <v>544</v>
          </cell>
          <cell r="B546">
            <v>46086</v>
          </cell>
          <cell r="C546" t="str">
            <v>BENZ C220CDI</v>
          </cell>
          <cell r="D546" t="str">
            <v>BENZ</v>
          </cell>
          <cell r="E546" t="str">
            <v>C220CDI</v>
          </cell>
          <cell r="G546" t="str">
            <v>28도5500</v>
          </cell>
          <cell r="H546" t="str">
            <v>WDDGF8EB5EA927329</v>
          </cell>
          <cell r="I546">
            <v>46087</v>
          </cell>
          <cell r="J546" t="str">
            <v>㈜에이치오토모티브</v>
          </cell>
          <cell r="L546" t="str">
            <v>잔금</v>
          </cell>
          <cell r="M546" t="str">
            <v>50만원 대표님 계약</v>
          </cell>
          <cell r="N546">
            <v>860</v>
          </cell>
          <cell r="O546">
            <v>44</v>
          </cell>
          <cell r="P546">
            <v>904</v>
          </cell>
          <cell r="Q546" t="str">
            <v>DONE</v>
          </cell>
          <cell r="R546">
            <v>46093</v>
          </cell>
          <cell r="S546" t="str">
            <v>HYSA</v>
          </cell>
          <cell r="T546" t="str">
            <v xml:space="preserve"> Pavle Kokanov</v>
          </cell>
          <cell r="U546" t="str">
            <v>012042219</v>
          </cell>
          <cell r="V546" t="str">
            <v>355 69 690 2972</v>
          </cell>
          <cell r="W546" t="str">
            <v>Albania</v>
          </cell>
          <cell r="X546">
            <v>1447</v>
          </cell>
          <cell r="AB546">
            <v>1683</v>
          </cell>
          <cell r="AC546">
            <v>5222</v>
          </cell>
          <cell r="AD546">
            <v>1178</v>
          </cell>
          <cell r="AE546">
            <v>6400</v>
          </cell>
          <cell r="AF546">
            <v>8500</v>
          </cell>
        </row>
        <row r="547">
          <cell r="A547">
            <v>545</v>
          </cell>
          <cell r="B547">
            <v>46086</v>
          </cell>
          <cell r="C547" t="str">
            <v>HYUNDAI TUCSON</v>
          </cell>
          <cell r="D547" t="str">
            <v>HYUNDAI</v>
          </cell>
          <cell r="E547" t="str">
            <v>TUCSON</v>
          </cell>
          <cell r="G547" t="str">
            <v>19다0738</v>
          </cell>
          <cell r="H547" t="str">
            <v>KMHJ581ABHU275262</v>
          </cell>
          <cell r="I547">
            <v>46087</v>
          </cell>
          <cell r="J547" t="str">
            <v>㈜와이비모터스</v>
          </cell>
          <cell r="L547" t="str">
            <v>잔금</v>
          </cell>
          <cell r="M547" t="str">
            <v>50만원 대표님 계약</v>
          </cell>
          <cell r="N547">
            <v>1201</v>
          </cell>
          <cell r="O547">
            <v>44</v>
          </cell>
          <cell r="P547">
            <v>1245</v>
          </cell>
          <cell r="Q547" t="str">
            <v>DONE</v>
          </cell>
          <cell r="R547">
            <v>46092</v>
          </cell>
          <cell r="S547" t="str">
            <v>CALJA</v>
          </cell>
          <cell r="T547" t="str">
            <v>Shorri Gildiar</v>
          </cell>
          <cell r="U547" t="str">
            <v>J604121054Q</v>
          </cell>
          <cell r="V547" t="str">
            <v>355 69 550 5533</v>
          </cell>
          <cell r="W547" t="str">
            <v>Albania</v>
          </cell>
          <cell r="X547">
            <v>1447</v>
          </cell>
          <cell r="AB547">
            <v>1683</v>
          </cell>
          <cell r="AC547">
            <v>7073</v>
          </cell>
          <cell r="AD547">
            <v>1267</v>
          </cell>
          <cell r="AE547">
            <v>8340</v>
          </cell>
          <cell r="AF547">
            <v>8500</v>
          </cell>
        </row>
        <row r="548">
          <cell r="A548">
            <v>546</v>
          </cell>
          <cell r="B548">
            <v>46086</v>
          </cell>
          <cell r="C548" t="str">
            <v>VOLKSWAGENS POLO</v>
          </cell>
          <cell r="D548" t="str">
            <v>VOLKSWAGENS</v>
          </cell>
          <cell r="E548" t="str">
            <v>POLO</v>
          </cell>
          <cell r="G548" t="str">
            <v>18마0931</v>
          </cell>
          <cell r="H548" t="str">
            <v>WVWZZZ6RZFY263073</v>
          </cell>
          <cell r="I548">
            <v>46087</v>
          </cell>
          <cell r="J548" t="str">
            <v>㈜차랑차랑</v>
          </cell>
          <cell r="L548" t="str">
            <v>잔금</v>
          </cell>
          <cell r="M548" t="str">
            <v>50만원 대표님 계약</v>
          </cell>
          <cell r="N548">
            <v>534</v>
          </cell>
          <cell r="O548">
            <v>44</v>
          </cell>
          <cell r="P548">
            <v>578</v>
          </cell>
          <cell r="Q548" t="str">
            <v>DONE</v>
          </cell>
          <cell r="R548">
            <v>46092</v>
          </cell>
          <cell r="S548" t="str">
            <v xml:space="preserve">Andrea Kasa </v>
          </cell>
          <cell r="T548" t="str">
            <v>MULLAHU SAVJAN</v>
          </cell>
          <cell r="U548" t="str">
            <v>K71122020I</v>
          </cell>
          <cell r="V548" t="str">
            <v>355 69 746 2556</v>
          </cell>
          <cell r="W548" t="str">
            <v>Albania</v>
          </cell>
          <cell r="X548">
            <v>1447</v>
          </cell>
          <cell r="AB548">
            <v>1683</v>
          </cell>
          <cell r="AC548">
            <v>3422</v>
          </cell>
          <cell r="AD548">
            <v>1178</v>
          </cell>
          <cell r="AE548">
            <v>4600</v>
          </cell>
          <cell r="AF548">
            <v>6200</v>
          </cell>
        </row>
        <row r="549">
          <cell r="A549">
            <v>547</v>
          </cell>
          <cell r="B549">
            <v>46086</v>
          </cell>
          <cell r="C549" t="str">
            <v>PEUGEOT  308</v>
          </cell>
          <cell r="D549" t="str">
            <v xml:space="preserve">PEUGEOT </v>
          </cell>
          <cell r="E549">
            <v>308</v>
          </cell>
          <cell r="G549" t="str">
            <v>29도8561</v>
          </cell>
          <cell r="H549" t="str">
            <v>VF3LBBHZWHS004628</v>
          </cell>
          <cell r="I549">
            <v>46097</v>
          </cell>
          <cell r="J549" t="str">
            <v>경매장 -헤이딜러</v>
          </cell>
          <cell r="K549" t="str">
            <v>HAESHIN</v>
          </cell>
          <cell r="L549" t="str">
            <v>잔금</v>
          </cell>
          <cell r="N549">
            <v>741</v>
          </cell>
          <cell r="P549">
            <v>741</v>
          </cell>
          <cell r="Q549" t="str">
            <v>DONE</v>
          </cell>
          <cell r="R549">
            <v>46100</v>
          </cell>
          <cell r="S549" t="str">
            <v>R.S.h L.L.C.</v>
          </cell>
          <cell r="T549" t="str">
            <v>R.Sh L.L.C.</v>
          </cell>
          <cell r="U549">
            <v>812326016</v>
          </cell>
          <cell r="V549" t="str">
            <v>+383486 611 61</v>
          </cell>
          <cell r="W549" t="str">
            <v>Kosovo</v>
          </cell>
          <cell r="X549">
            <v>1478</v>
          </cell>
          <cell r="AB549">
            <v>1698</v>
          </cell>
          <cell r="AC549">
            <v>4553</v>
          </cell>
          <cell r="AD549">
            <v>1297</v>
          </cell>
          <cell r="AE549">
            <v>5850</v>
          </cell>
        </row>
        <row r="550">
          <cell r="A550">
            <v>548</v>
          </cell>
          <cell r="B550">
            <v>46087</v>
          </cell>
          <cell r="C550" t="str">
            <v>HYUNDAI TUCSON</v>
          </cell>
          <cell r="D550" t="str">
            <v>HYUNDAI</v>
          </cell>
          <cell r="E550" t="str">
            <v>TUCSON</v>
          </cell>
          <cell r="G550" t="str">
            <v>18모9345</v>
          </cell>
          <cell r="H550" t="str">
            <v>KMHJ581ABJU542622</v>
          </cell>
          <cell r="I550">
            <v>46090</v>
          </cell>
          <cell r="J550" t="str">
            <v>㈜구루마</v>
          </cell>
          <cell r="L550" t="str">
            <v>잔금</v>
          </cell>
          <cell r="M550" t="str">
            <v>말소 안 됨</v>
          </cell>
          <cell r="N550">
            <v>1250</v>
          </cell>
          <cell r="P550">
            <v>1250</v>
          </cell>
          <cell r="Q550" t="str">
            <v>DONE</v>
          </cell>
          <cell r="R550">
            <v>46107</v>
          </cell>
          <cell r="S550" t="str">
            <v>CALJA</v>
          </cell>
          <cell r="T550" t="str">
            <v>RESILI TELA</v>
          </cell>
          <cell r="U550" t="str">
            <v>G50412125F</v>
          </cell>
          <cell r="V550" t="str">
            <v>355 69 550 5533</v>
          </cell>
          <cell r="W550" t="str">
            <v>Albania</v>
          </cell>
          <cell r="X550">
            <v>1464</v>
          </cell>
          <cell r="AB550">
            <v>1698</v>
          </cell>
          <cell r="AC550">
            <v>7063</v>
          </cell>
          <cell r="AD550">
            <v>1267</v>
          </cell>
          <cell r="AE550">
            <v>8330</v>
          </cell>
          <cell r="AF550">
            <v>8500</v>
          </cell>
        </row>
        <row r="551">
          <cell r="A551">
            <v>549</v>
          </cell>
          <cell r="B551">
            <v>46087</v>
          </cell>
          <cell r="C551" t="str">
            <v>AUDI A7</v>
          </cell>
          <cell r="D551" t="str">
            <v>AUDI</v>
          </cell>
          <cell r="E551" t="str">
            <v>A7</v>
          </cell>
          <cell r="G551" t="str">
            <v>11어5911</v>
          </cell>
          <cell r="H551" t="str">
            <v>WAUZZZ4G4GN015863</v>
          </cell>
          <cell r="I551">
            <v>46090</v>
          </cell>
          <cell r="J551" t="str">
            <v>㈜클린오토</v>
          </cell>
          <cell r="L551" t="str">
            <v>잔금</v>
          </cell>
          <cell r="M551" t="str">
            <v>50만원 회사토장 계약</v>
          </cell>
          <cell r="N551">
            <v>1356</v>
          </cell>
          <cell r="O551">
            <v>44</v>
          </cell>
          <cell r="P551">
            <v>1400</v>
          </cell>
          <cell r="Q551" t="str">
            <v>DONE</v>
          </cell>
          <cell r="R551">
            <v>46092</v>
          </cell>
          <cell r="S551" t="str">
            <v>RIZA</v>
          </cell>
          <cell r="T551" t="str">
            <v xml:space="preserve">KARAMETI ARDIAN </v>
          </cell>
          <cell r="U551" t="str">
            <v>K30725014O</v>
          </cell>
          <cell r="V551" t="str">
            <v>355 69 746 2556</v>
          </cell>
          <cell r="W551" t="str">
            <v>Albania</v>
          </cell>
          <cell r="X551">
            <v>1470</v>
          </cell>
          <cell r="AB551">
            <v>1709</v>
          </cell>
          <cell r="AC551">
            <v>7872</v>
          </cell>
          <cell r="AD551">
            <v>1178</v>
          </cell>
          <cell r="AE551">
            <v>9050</v>
          </cell>
          <cell r="AF551">
            <v>9100</v>
          </cell>
        </row>
        <row r="552">
          <cell r="A552">
            <v>550</v>
          </cell>
          <cell r="B552">
            <v>46087</v>
          </cell>
          <cell r="C552" t="str">
            <v>AUDI A3</v>
          </cell>
          <cell r="D552" t="str">
            <v>AUDI</v>
          </cell>
          <cell r="E552" t="str">
            <v>A3</v>
          </cell>
          <cell r="G552" t="str">
            <v>140부2791</v>
          </cell>
          <cell r="H552" t="str">
            <v>WAUZZZ8VXG1034689</v>
          </cell>
          <cell r="I552">
            <v>46090</v>
          </cell>
          <cell r="J552" t="str">
            <v>경매장-헤이딜러</v>
          </cell>
          <cell r="L552" t="str">
            <v>잔금</v>
          </cell>
          <cell r="N552">
            <v>924</v>
          </cell>
          <cell r="O552">
            <v>37</v>
          </cell>
          <cell r="P552">
            <v>961</v>
          </cell>
          <cell r="Q552" t="str">
            <v>DONE</v>
          </cell>
          <cell r="R552">
            <v>46115</v>
          </cell>
          <cell r="S552" t="str">
            <v>DONI</v>
          </cell>
          <cell r="T552" t="str">
            <v>DONI</v>
          </cell>
          <cell r="U552">
            <v>933682</v>
          </cell>
          <cell r="V552" t="str">
            <v>3 8 3 4 9 3 2 5 7 0 3</v>
          </cell>
          <cell r="W552" t="str">
            <v xml:space="preserve"> HYZRI TALLA OB 16 HY 1 NR 18
 Kosovë</v>
          </cell>
          <cell r="X552">
            <v>1484</v>
          </cell>
          <cell r="AB552">
            <v>1694</v>
          </cell>
          <cell r="AC552">
            <v>5470</v>
          </cell>
          <cell r="AD552">
            <v>1200</v>
          </cell>
          <cell r="AE552">
            <v>6670</v>
          </cell>
          <cell r="AF552">
            <v>6730</v>
          </cell>
        </row>
        <row r="553">
          <cell r="A553">
            <v>551</v>
          </cell>
          <cell r="B553">
            <v>46087</v>
          </cell>
          <cell r="C553" t="str">
            <v>PEUGEOT  3008</v>
          </cell>
          <cell r="D553" t="str">
            <v xml:space="preserve">PEUGEOT </v>
          </cell>
          <cell r="E553">
            <v>3008</v>
          </cell>
          <cell r="G553" t="str">
            <v>07로8721</v>
          </cell>
          <cell r="H553" t="str">
            <v>VF3MCBHZWJS036848</v>
          </cell>
          <cell r="I553">
            <v>46093</v>
          </cell>
          <cell r="J553" t="str">
            <v>㈜ 블루오토</v>
          </cell>
          <cell r="K553" t="str">
            <v>HAESHIN</v>
          </cell>
          <cell r="L553" t="str">
            <v>잔금</v>
          </cell>
          <cell r="M553" t="str">
            <v>100만원 회사토장 계약</v>
          </cell>
          <cell r="N553">
            <v>1660</v>
          </cell>
          <cell r="P553">
            <v>1660</v>
          </cell>
          <cell r="Q553" t="str">
            <v>done</v>
          </cell>
          <cell r="R553">
            <v>46101</v>
          </cell>
          <cell r="S553" t="str">
            <v>R.S.h L.L.C.</v>
          </cell>
          <cell r="T553" t="str">
            <v>R.Sh L.L.C.</v>
          </cell>
          <cell r="U553">
            <v>812326016</v>
          </cell>
          <cell r="V553" t="str">
            <v>+383486 611 61</v>
          </cell>
          <cell r="W553" t="str">
            <v>Kosovo</v>
          </cell>
          <cell r="X553">
            <v>1454</v>
          </cell>
          <cell r="AB553">
            <v>1691</v>
          </cell>
          <cell r="AC553">
            <v>9471</v>
          </cell>
          <cell r="AD553">
            <v>1264</v>
          </cell>
          <cell r="AE553">
            <v>10735</v>
          </cell>
        </row>
        <row r="554">
          <cell r="A554">
            <v>552</v>
          </cell>
          <cell r="B554">
            <v>46087</v>
          </cell>
          <cell r="C554" t="str">
            <v>VOLKSWAGENS TIGUAN</v>
          </cell>
          <cell r="D554" t="str">
            <v>VOLKSWAGENS</v>
          </cell>
          <cell r="E554" t="str">
            <v>TIGUAN</v>
          </cell>
          <cell r="G554" t="str">
            <v>69고0154</v>
          </cell>
          <cell r="H554" t="str">
            <v>WVGZZZ5NZGW551416</v>
          </cell>
          <cell r="I554">
            <v>46090</v>
          </cell>
          <cell r="J554" t="str">
            <v>㈜스카이모터스자동차매매상사</v>
          </cell>
          <cell r="L554" t="str">
            <v>잔금</v>
          </cell>
          <cell r="M554" t="str">
            <v>50만원 회사토장 계약</v>
          </cell>
          <cell r="N554">
            <v>1200</v>
          </cell>
          <cell r="P554">
            <v>1200</v>
          </cell>
          <cell r="Q554" t="str">
            <v>DONE</v>
          </cell>
          <cell r="R554">
            <v>46092</v>
          </cell>
          <cell r="S554" t="str">
            <v>Auto Posh SH.P.K</v>
          </cell>
          <cell r="T554" t="str">
            <v>Auto Posh SH.P.K</v>
          </cell>
          <cell r="U554">
            <v>812219427</v>
          </cell>
          <cell r="V554" t="str">
            <v>38345560145</v>
          </cell>
          <cell r="W554" t="str">
            <v>KOSOVO</v>
          </cell>
          <cell r="X554">
            <v>1470</v>
          </cell>
          <cell r="AB554">
            <v>1709</v>
          </cell>
          <cell r="AC554">
            <v>6781</v>
          </cell>
          <cell r="AD554">
            <v>1264</v>
          </cell>
          <cell r="AE554">
            <v>8045</v>
          </cell>
        </row>
        <row r="555">
          <cell r="A555">
            <v>553</v>
          </cell>
          <cell r="B555">
            <v>46089</v>
          </cell>
          <cell r="C555" t="str">
            <v>BMW 7SERIES</v>
          </cell>
          <cell r="D555" t="str">
            <v>BMW</v>
          </cell>
          <cell r="E555" t="str">
            <v>7SERIES</v>
          </cell>
          <cell r="G555" t="str">
            <v>41어0689</v>
          </cell>
          <cell r="H555" t="str">
            <v>WBA7G6106GG509732</v>
          </cell>
          <cell r="I555">
            <v>46091</v>
          </cell>
          <cell r="J555" t="str">
            <v>㈜신원자동차</v>
          </cell>
          <cell r="K555">
            <v>46091</v>
          </cell>
          <cell r="L555" t="str">
            <v>잔금</v>
          </cell>
          <cell r="M555" t="str">
            <v>50만원 대표님 계약</v>
          </cell>
          <cell r="N555">
            <v>1830</v>
          </cell>
          <cell r="O555">
            <v>44</v>
          </cell>
          <cell r="P555">
            <v>1874</v>
          </cell>
          <cell r="Q555" t="str">
            <v>DONE</v>
          </cell>
          <cell r="R555">
            <v>46093</v>
          </cell>
          <cell r="S555" t="str">
            <v>TAFA</v>
          </cell>
          <cell r="T555" t="str">
            <v>TAFA ALI</v>
          </cell>
          <cell r="U555" t="str">
            <v>I10226024H</v>
          </cell>
          <cell r="V555" t="str">
            <v>355 68 855 8026</v>
          </cell>
          <cell r="W555" t="str">
            <v>ALBANIA</v>
          </cell>
          <cell r="X555">
            <v>1470</v>
          </cell>
          <cell r="AB555">
            <v>1709</v>
          </cell>
          <cell r="AC555">
            <v>10536</v>
          </cell>
          <cell r="AD555">
            <v>1264</v>
          </cell>
          <cell r="AE555">
            <v>11800</v>
          </cell>
        </row>
        <row r="556">
          <cell r="A556">
            <v>554</v>
          </cell>
          <cell r="B556">
            <v>46089</v>
          </cell>
          <cell r="C556" t="str">
            <v>BENZ E220</v>
          </cell>
          <cell r="D556" t="str">
            <v>BENZ</v>
          </cell>
          <cell r="E556" t="str">
            <v>E220</v>
          </cell>
          <cell r="G556" t="str">
            <v>02거7719</v>
          </cell>
          <cell r="H556" t="str">
            <v>WDDZF0EB5KA516843</v>
          </cell>
          <cell r="I556">
            <v>46094</v>
          </cell>
          <cell r="J556" t="str">
            <v>㈜ 우진오토모빌</v>
          </cell>
          <cell r="K556">
            <v>46094</v>
          </cell>
          <cell r="L556" t="str">
            <v>잔금</v>
          </cell>
          <cell r="M556" t="str">
            <v>100만원 대표님 계약</v>
          </cell>
          <cell r="N556">
            <v>2390</v>
          </cell>
          <cell r="P556">
            <v>2390</v>
          </cell>
          <cell r="Q556" t="str">
            <v>DONE</v>
          </cell>
          <cell r="R556">
            <v>46100</v>
          </cell>
          <cell r="S556" t="str">
            <v>ATLAS GROUP SH.P.K</v>
          </cell>
          <cell r="T556" t="str">
            <v>ATLAS GROUP SH.P.K</v>
          </cell>
          <cell r="U556">
            <v>812137455</v>
          </cell>
          <cell r="V556" t="str">
            <v>+38348702207</v>
          </cell>
          <cell r="W556" t="str">
            <v>Xhelal Hajda, p.n. Rahovec</v>
          </cell>
          <cell r="X556">
            <v>1470</v>
          </cell>
          <cell r="AB556">
            <v>1709</v>
          </cell>
          <cell r="AC556">
            <v>13552</v>
          </cell>
          <cell r="AD556">
            <v>1178</v>
          </cell>
          <cell r="AE556">
            <v>14730</v>
          </cell>
          <cell r="AF556">
            <v>14730</v>
          </cell>
        </row>
        <row r="557">
          <cell r="A557">
            <v>555</v>
          </cell>
          <cell r="B557">
            <v>46089</v>
          </cell>
          <cell r="C557" t="str">
            <v>BMW 320D</v>
          </cell>
          <cell r="D557" t="str">
            <v>BMW</v>
          </cell>
          <cell r="E557" t="str">
            <v>320D</v>
          </cell>
          <cell r="G557" t="str">
            <v>31나0239</v>
          </cell>
          <cell r="H557" t="str">
            <v xml:space="preserve">WBA8C9107GK653319 </v>
          </cell>
          <cell r="I557">
            <v>46093</v>
          </cell>
          <cell r="J557" t="str">
            <v>㈜착한모터스</v>
          </cell>
          <cell r="L557" t="str">
            <v>잔금</v>
          </cell>
          <cell r="M557" t="str">
            <v>50만원 대표님 계약</v>
          </cell>
          <cell r="N557">
            <v>1196</v>
          </cell>
          <cell r="O557">
            <v>44</v>
          </cell>
          <cell r="P557">
            <v>1240</v>
          </cell>
          <cell r="Q557" t="str">
            <v>DONE</v>
          </cell>
          <cell r="R557">
            <v>46100</v>
          </cell>
          <cell r="S557" t="str">
            <v>VILLA KOHA</v>
          </cell>
          <cell r="T557" t="str">
            <v>VILLA KOHA SH.P.K</v>
          </cell>
          <cell r="U557">
            <v>810039588</v>
          </cell>
          <cell r="V557" t="str">
            <v>383 49247777</v>
          </cell>
          <cell r="W557" t="str">
            <v>KOSOVO</v>
          </cell>
          <cell r="X557">
            <v>1470</v>
          </cell>
          <cell r="AB557">
            <v>1709</v>
          </cell>
          <cell r="AC557">
            <v>6972</v>
          </cell>
          <cell r="AD557">
            <v>1178</v>
          </cell>
          <cell r="AE557">
            <v>8150</v>
          </cell>
          <cell r="AF557">
            <v>8150</v>
          </cell>
        </row>
        <row r="558">
          <cell r="A558">
            <v>556</v>
          </cell>
          <cell r="B558">
            <v>46089</v>
          </cell>
          <cell r="C558" t="str">
            <v>BENZ E220</v>
          </cell>
          <cell r="D558" t="str">
            <v>BENZ</v>
          </cell>
          <cell r="E558" t="str">
            <v>E220</v>
          </cell>
          <cell r="G558" t="str">
            <v>08두9415</v>
          </cell>
          <cell r="H558" t="str">
            <v>WDDHF0CB6EB080436</v>
          </cell>
          <cell r="I558">
            <v>46090</v>
          </cell>
          <cell r="J558" t="str">
            <v>㈜바른모터스</v>
          </cell>
          <cell r="L558" t="str">
            <v>잔금</v>
          </cell>
          <cell r="M558" t="str">
            <v>50만원 대표님 계약</v>
          </cell>
          <cell r="N558">
            <v>880</v>
          </cell>
          <cell r="P558">
            <v>880</v>
          </cell>
          <cell r="Q558" t="str">
            <v>DONE</v>
          </cell>
          <cell r="R558">
            <v>46092</v>
          </cell>
          <cell r="S558" t="str">
            <v>TAFA</v>
          </cell>
          <cell r="T558" t="str">
            <v>MECAJ KRESHNIK</v>
          </cell>
          <cell r="U558" t="str">
            <v>I10226024H</v>
          </cell>
          <cell r="V558" t="str">
            <v>355 68 855 8026</v>
          </cell>
          <cell r="W558" t="str">
            <v>ALBANIA</v>
          </cell>
          <cell r="X558">
            <v>1470</v>
          </cell>
          <cell r="AB558">
            <v>1709</v>
          </cell>
          <cell r="AC558">
            <v>5092</v>
          </cell>
          <cell r="AD558">
            <v>1178</v>
          </cell>
          <cell r="AE558">
            <v>6270</v>
          </cell>
          <cell r="AF558">
            <v>6270</v>
          </cell>
        </row>
        <row r="559">
          <cell r="A559">
            <v>557</v>
          </cell>
          <cell r="B559">
            <v>46089</v>
          </cell>
          <cell r="C559" t="str">
            <v>NISSAN Qashqai</v>
          </cell>
          <cell r="D559" t="str">
            <v>NISSAN</v>
          </cell>
          <cell r="E559" t="str">
            <v>Qashqai</v>
          </cell>
          <cell r="G559" t="str">
            <v>03조0914</v>
          </cell>
          <cell r="H559" t="str">
            <v>SJNDJ18E0GA488472</v>
          </cell>
          <cell r="J559" t="str">
            <v>경매장 -헤이딜러</v>
          </cell>
          <cell r="K559" t="str">
            <v>HAESHIN</v>
          </cell>
          <cell r="L559" t="str">
            <v>잔금</v>
          </cell>
          <cell r="N559">
            <v>888</v>
          </cell>
          <cell r="O559">
            <v>37</v>
          </cell>
          <cell r="P559">
            <v>925</v>
          </cell>
          <cell r="Q559" t="str">
            <v>done</v>
          </cell>
          <cell r="R559">
            <v>46098</v>
          </cell>
          <cell r="S559" t="str">
            <v>R.S.h L.L.C.</v>
          </cell>
          <cell r="T559" t="str">
            <v>R.Sh L.L.C.</v>
          </cell>
          <cell r="U559">
            <v>812326016</v>
          </cell>
          <cell r="V559" t="str">
            <v>+383486 611 61</v>
          </cell>
          <cell r="W559" t="str">
            <v>Kosovo</v>
          </cell>
          <cell r="X559">
            <v>1469</v>
          </cell>
          <cell r="AB559">
            <v>1694</v>
          </cell>
          <cell r="AC559">
            <v>5421</v>
          </cell>
          <cell r="AD559">
            <v>1274</v>
          </cell>
          <cell r="AE559">
            <v>6695</v>
          </cell>
        </row>
        <row r="560">
          <cell r="A560">
            <v>558</v>
          </cell>
          <cell r="B560">
            <v>46089</v>
          </cell>
          <cell r="C560" t="str">
            <v>PEUGEOT  3008</v>
          </cell>
          <cell r="D560" t="str">
            <v xml:space="preserve">PEUGEOT </v>
          </cell>
          <cell r="E560">
            <v>3008</v>
          </cell>
          <cell r="G560" t="str">
            <v>387무3706</v>
          </cell>
          <cell r="H560" t="str">
            <v>VF3MJEHZRKS034711</v>
          </cell>
          <cell r="J560" t="str">
            <v>경매장 -헤이딜러</v>
          </cell>
          <cell r="K560" t="str">
            <v>HAESHIN</v>
          </cell>
          <cell r="L560" t="str">
            <v>잔금</v>
          </cell>
          <cell r="N560">
            <v>660</v>
          </cell>
          <cell r="O560">
            <v>45</v>
          </cell>
          <cell r="P560">
            <v>705</v>
          </cell>
          <cell r="Q560" t="str">
            <v>done</v>
          </cell>
          <cell r="R560">
            <v>46098</v>
          </cell>
          <cell r="S560" t="str">
            <v>R.S.h L.L.C.</v>
          </cell>
          <cell r="T560" t="str">
            <v>R.Sh L.L.C.</v>
          </cell>
          <cell r="U560">
            <v>812326016</v>
          </cell>
          <cell r="V560" t="str">
            <v>+383486 611 61</v>
          </cell>
          <cell r="W560" t="str">
            <v>Kosovo</v>
          </cell>
          <cell r="X560">
            <v>1469</v>
          </cell>
          <cell r="AB560">
            <v>1694</v>
          </cell>
          <cell r="AC560">
            <v>4281</v>
          </cell>
          <cell r="AD560">
            <v>1274</v>
          </cell>
          <cell r="AE560">
            <v>5555</v>
          </cell>
        </row>
        <row r="561">
          <cell r="A561">
            <v>559</v>
          </cell>
          <cell r="B561">
            <v>46090</v>
          </cell>
          <cell r="C561" t="str">
            <v>BMW 320D</v>
          </cell>
          <cell r="D561" t="str">
            <v>BMW</v>
          </cell>
          <cell r="E561" t="str">
            <v>320D</v>
          </cell>
          <cell r="G561" t="str">
            <v>07노6199</v>
          </cell>
          <cell r="H561" t="str">
            <v>WBA8C5100JK736297</v>
          </cell>
          <cell r="J561" t="str">
            <v>경매장 -헤이딜러</v>
          </cell>
          <cell r="L561" t="str">
            <v>잔금</v>
          </cell>
          <cell r="N561">
            <v>1399</v>
          </cell>
          <cell r="O561">
            <v>53</v>
          </cell>
          <cell r="P561">
            <v>1452</v>
          </cell>
          <cell r="Q561" t="str">
            <v>DONE</v>
          </cell>
          <cell r="R561">
            <v>46150</v>
          </cell>
          <cell r="S561" t="str">
            <v>DONI</v>
          </cell>
          <cell r="T561" t="str">
            <v>DONI</v>
          </cell>
          <cell r="U561">
            <v>933682</v>
          </cell>
          <cell r="V561" t="str">
            <v>3 8 3 4 9 3 2 5 7 0 3</v>
          </cell>
          <cell r="W561" t="str">
            <v xml:space="preserve"> HYZRI TALLA OB 16 HY 1 NR 18
 Kosovë</v>
          </cell>
          <cell r="X561">
            <v>1461</v>
          </cell>
          <cell r="AB561">
            <v>1729</v>
          </cell>
          <cell r="AC561">
            <v>8121</v>
          </cell>
          <cell r="AD561">
            <v>1259</v>
          </cell>
          <cell r="AE561">
            <v>9380</v>
          </cell>
        </row>
        <row r="562">
          <cell r="A562">
            <v>560</v>
          </cell>
          <cell r="B562">
            <v>46090</v>
          </cell>
          <cell r="C562" t="str">
            <v>AUDI A3</v>
          </cell>
          <cell r="D562" t="str">
            <v>AUDI</v>
          </cell>
          <cell r="E562" t="str">
            <v>A3</v>
          </cell>
          <cell r="G562" t="str">
            <v>52노0674</v>
          </cell>
          <cell r="H562" t="str">
            <v>WAUZZZ8V3G1057618</v>
          </cell>
          <cell r="J562" t="str">
            <v>경매장 -헤이딜러</v>
          </cell>
          <cell r="L562" t="str">
            <v>재고</v>
          </cell>
          <cell r="N562">
            <v>954</v>
          </cell>
          <cell r="O562">
            <v>37</v>
          </cell>
          <cell r="P562">
            <v>991</v>
          </cell>
          <cell r="Q562" t="str">
            <v>DONE</v>
          </cell>
          <cell r="R562">
            <v>46101</v>
          </cell>
          <cell r="S562" t="str">
            <v>DONI</v>
          </cell>
          <cell r="T562" t="str">
            <v>DONI</v>
          </cell>
          <cell r="U562">
            <v>933682</v>
          </cell>
          <cell r="V562" t="str">
            <v>3 8 3 4 9 3 2 5 7 0 3</v>
          </cell>
          <cell r="W562" t="str">
            <v xml:space="preserve"> HYZRI TALLA OB 16 HY 1 NR 18
 Kosovë</v>
          </cell>
          <cell r="X562">
            <v>1495</v>
          </cell>
          <cell r="AB562">
            <v>1741</v>
          </cell>
          <cell r="AC562">
            <v>5512</v>
          </cell>
          <cell r="AD562">
            <v>1408</v>
          </cell>
          <cell r="AE562">
            <v>6920</v>
          </cell>
        </row>
        <row r="563">
          <cell r="A563">
            <v>561</v>
          </cell>
          <cell r="B563">
            <v>46090</v>
          </cell>
          <cell r="C563" t="str">
            <v>VOLKSWAGENS T-ROC</v>
          </cell>
          <cell r="D563" t="str">
            <v>VOLKSWAGENS</v>
          </cell>
          <cell r="E563" t="str">
            <v>T-ROC</v>
          </cell>
          <cell r="G563" t="str">
            <v>252로3404</v>
          </cell>
          <cell r="H563" t="str">
            <v>WVGZZZA1ZMV032312</v>
          </cell>
          <cell r="I563">
            <v>46093</v>
          </cell>
          <cell r="J563" t="str">
            <v>(주)진모터스</v>
          </cell>
          <cell r="L563" t="str">
            <v>잔금</v>
          </cell>
          <cell r="M563" t="str">
            <v>100만원 회사토장 계약</v>
          </cell>
          <cell r="N563">
            <v>2164</v>
          </cell>
          <cell r="P563">
            <v>2164</v>
          </cell>
          <cell r="Q563" t="str">
            <v>DONE</v>
          </cell>
          <cell r="R563">
            <v>46099</v>
          </cell>
          <cell r="S563" t="str">
            <v>DONI</v>
          </cell>
          <cell r="T563" t="str">
            <v>DONI</v>
          </cell>
          <cell r="U563">
            <v>933682</v>
          </cell>
          <cell r="V563" t="str">
            <v>3 8 3 4 9 3 2 5 7 0 3</v>
          </cell>
          <cell r="W563" t="str">
            <v xml:space="preserve"> HYZRI TALLA OB 16 HY 1 NR 18
 Kosovë</v>
          </cell>
          <cell r="X563">
            <v>1470</v>
          </cell>
          <cell r="AB563">
            <v>1709</v>
          </cell>
          <cell r="AC563">
            <v>12116</v>
          </cell>
          <cell r="AD563">
            <v>1264</v>
          </cell>
          <cell r="AE563">
            <v>13380</v>
          </cell>
        </row>
        <row r="564">
          <cell r="A564">
            <v>562</v>
          </cell>
          <cell r="B564">
            <v>46089</v>
          </cell>
          <cell r="C564" t="str">
            <v>AUDI A6</v>
          </cell>
          <cell r="D564" t="str">
            <v>AUDI</v>
          </cell>
          <cell r="E564" t="str">
            <v>A6</v>
          </cell>
          <cell r="G564" t="str">
            <v>15다0831</v>
          </cell>
          <cell r="H564" t="str">
            <v>WAUZZZ4G3GN050877</v>
          </cell>
          <cell r="I564">
            <v>46091</v>
          </cell>
          <cell r="J564" t="str">
            <v>(주)제노모터스</v>
          </cell>
          <cell r="K564">
            <v>46091</v>
          </cell>
          <cell r="L564" t="str">
            <v>잔금</v>
          </cell>
          <cell r="M564" t="str">
            <v>50만원 회사토장 계약</v>
          </cell>
          <cell r="N564">
            <v>930</v>
          </cell>
          <cell r="P564">
            <v>930</v>
          </cell>
          <cell r="Q564" t="str">
            <v>DONE</v>
          </cell>
          <cell r="R564">
            <v>46093</v>
          </cell>
          <cell r="S564" t="str">
            <v>CALJA</v>
          </cell>
          <cell r="T564" t="str">
            <v>Calja</v>
          </cell>
          <cell r="U564" t="str">
            <v>M43323203V</v>
          </cell>
          <cell r="V564" t="str">
            <v>355 69 550 5533</v>
          </cell>
          <cell r="W564" t="str">
            <v>Albania</v>
          </cell>
          <cell r="X564">
            <v>1470</v>
          </cell>
          <cell r="AB564">
            <v>1709</v>
          </cell>
          <cell r="AC564">
            <v>5322</v>
          </cell>
          <cell r="AD564">
            <v>1178</v>
          </cell>
          <cell r="AE564">
            <v>6500</v>
          </cell>
          <cell r="AF564">
            <v>6500</v>
          </cell>
        </row>
        <row r="565">
          <cell r="A565">
            <v>563</v>
          </cell>
          <cell r="B565">
            <v>46090</v>
          </cell>
          <cell r="C565" t="str">
            <v>HYUNDAI SANTAFE</v>
          </cell>
          <cell r="D565" t="str">
            <v>HYUNDAI</v>
          </cell>
          <cell r="E565" t="str">
            <v>SANTAFE</v>
          </cell>
          <cell r="G565" t="str">
            <v>24로1365</v>
          </cell>
          <cell r="H565" t="str">
            <v>KMHSW81XBDU140669</v>
          </cell>
          <cell r="I565">
            <v>46092</v>
          </cell>
          <cell r="L565" t="str">
            <v>잔금</v>
          </cell>
          <cell r="M565" t="str">
            <v>50만원 대표님 계약</v>
          </cell>
          <cell r="N565">
            <v>920</v>
          </cell>
          <cell r="P565">
            <v>920</v>
          </cell>
          <cell r="Q565" t="str">
            <v>DONE</v>
          </cell>
          <cell r="R565" t="str">
            <v>REPORT DONE</v>
          </cell>
          <cell r="S565" t="str">
            <v>AlphaWorldWide</v>
          </cell>
          <cell r="T565" t="str">
            <v>AlphaWorldWideAlbania</v>
          </cell>
          <cell r="U565" t="str">
            <v>SN-619176-11-19</v>
          </cell>
          <cell r="V565" t="str">
            <v>355 69223 3416</v>
          </cell>
          <cell r="W565" t="str">
            <v xml:space="preserve">Durres, Durres, DURRES, Lagjja nr.11, Rruga Bulevardi, me siperfaqe 30m2 </v>
          </cell>
          <cell r="X565">
            <v>1456</v>
          </cell>
          <cell r="AB565">
            <v>1693</v>
          </cell>
          <cell r="AC565">
            <v>5386</v>
          </cell>
          <cell r="AD565">
            <v>1264</v>
          </cell>
          <cell r="AE565">
            <v>6650</v>
          </cell>
          <cell r="AF565">
            <v>5900</v>
          </cell>
        </row>
        <row r="566">
          <cell r="A566">
            <v>564</v>
          </cell>
          <cell r="B566">
            <v>46090</v>
          </cell>
          <cell r="C566" t="str">
            <v>NISSAN Qashqai</v>
          </cell>
          <cell r="D566" t="str">
            <v>NISSAN</v>
          </cell>
          <cell r="E566" t="str">
            <v>Qashqai</v>
          </cell>
          <cell r="G566" t="str">
            <v>35러0869</v>
          </cell>
          <cell r="H566" t="str">
            <v>SJNDJ18E2GA479210</v>
          </cell>
          <cell r="I566">
            <v>46092</v>
          </cell>
          <cell r="L566" t="str">
            <v>잔금</v>
          </cell>
          <cell r="M566" t="str">
            <v>50만원 대표님 계약</v>
          </cell>
          <cell r="N566">
            <v>930</v>
          </cell>
          <cell r="P566">
            <v>930</v>
          </cell>
          <cell r="Q566" t="str">
            <v>done</v>
          </cell>
          <cell r="R566">
            <v>46098</v>
          </cell>
          <cell r="S566" t="str">
            <v>CALJA</v>
          </cell>
          <cell r="T566" t="str">
            <v>METANI BUKURI</v>
          </cell>
          <cell r="U566" t="str">
            <v>J35201118S</v>
          </cell>
          <cell r="V566" t="str">
            <v>355 69 550 5533</v>
          </cell>
          <cell r="W566" t="str">
            <v>Albania</v>
          </cell>
          <cell r="X566">
            <v>1456</v>
          </cell>
          <cell r="AB566">
            <v>1693</v>
          </cell>
          <cell r="AC566">
            <v>5336</v>
          </cell>
          <cell r="AD566">
            <v>1264</v>
          </cell>
          <cell r="AE566">
            <v>6600</v>
          </cell>
          <cell r="AF566">
            <v>7500</v>
          </cell>
        </row>
        <row r="567">
          <cell r="A567">
            <v>565</v>
          </cell>
          <cell r="B567">
            <v>46091</v>
          </cell>
          <cell r="C567" t="str">
            <v>BENZ E220</v>
          </cell>
          <cell r="D567" t="str">
            <v>BENZ</v>
          </cell>
          <cell r="E567" t="str">
            <v>E220</v>
          </cell>
          <cell r="G567" t="str">
            <v>59오6582</v>
          </cell>
          <cell r="H567" t="str">
            <v>WDDZF0EB3HA171143</v>
          </cell>
          <cell r="I567">
            <v>46094</v>
          </cell>
          <cell r="J567" t="str">
            <v>㈜천마상사</v>
          </cell>
          <cell r="K567">
            <v>46094</v>
          </cell>
          <cell r="L567" t="str">
            <v>잔금</v>
          </cell>
          <cell r="M567" t="str">
            <v>50만원 회사토장 계약</v>
          </cell>
          <cell r="N567">
            <v>1890</v>
          </cell>
          <cell r="P567">
            <v>1890</v>
          </cell>
          <cell r="Q567" t="str">
            <v>DONE</v>
          </cell>
          <cell r="R567">
            <v>46099</v>
          </cell>
          <cell r="S567" t="str">
            <v>ATLAS GROUP SH.P.K</v>
          </cell>
          <cell r="T567" t="str">
            <v>ATLAS GROUP SH.P.K</v>
          </cell>
          <cell r="U567">
            <v>812137455</v>
          </cell>
          <cell r="V567" t="str">
            <v>+38348702207</v>
          </cell>
          <cell r="W567" t="str">
            <v>Xhelal Hajda, p.n. Rahovec</v>
          </cell>
          <cell r="X567">
            <v>1454</v>
          </cell>
          <cell r="AB567">
            <v>1691</v>
          </cell>
          <cell r="AC567">
            <v>10672</v>
          </cell>
          <cell r="AD567">
            <v>1178</v>
          </cell>
          <cell r="AE567">
            <v>11850</v>
          </cell>
          <cell r="AF567">
            <v>11850</v>
          </cell>
        </row>
        <row r="568">
          <cell r="A568">
            <v>566</v>
          </cell>
          <cell r="B568">
            <v>46091</v>
          </cell>
          <cell r="C568" t="str">
            <v>RENAULT QM3</v>
          </cell>
          <cell r="D568" t="str">
            <v>RENAULT</v>
          </cell>
          <cell r="E568" t="str">
            <v>QM3</v>
          </cell>
          <cell r="G568" t="str">
            <v>54서0842</v>
          </cell>
          <cell r="H568" t="str">
            <v>VF12RGJ1DGW141074</v>
          </cell>
          <cell r="I568">
            <v>46092</v>
          </cell>
          <cell r="J568" t="str">
            <v>(주)차톡</v>
          </cell>
          <cell r="L568" t="str">
            <v>잔금</v>
          </cell>
          <cell r="M568" t="str">
            <v>50만원 대표님 계약</v>
          </cell>
          <cell r="N568">
            <v>645</v>
          </cell>
          <cell r="P568">
            <v>645</v>
          </cell>
          <cell r="Q568" t="str">
            <v>done</v>
          </cell>
          <cell r="R568">
            <v>46097</v>
          </cell>
          <cell r="S568" t="str">
            <v>Auto Posh SH.P.K</v>
          </cell>
          <cell r="T568" t="str">
            <v>Auto Posh SH.P.K</v>
          </cell>
          <cell r="U568">
            <v>812219427</v>
          </cell>
          <cell r="V568" t="str">
            <v>38345560145</v>
          </cell>
          <cell r="W568" t="str">
            <v>KOSOVO</v>
          </cell>
          <cell r="X568">
            <v>1456</v>
          </cell>
          <cell r="AB568">
            <v>1693</v>
          </cell>
          <cell r="AC568">
            <v>3782</v>
          </cell>
          <cell r="AD568">
            <v>1178</v>
          </cell>
          <cell r="AE568">
            <v>4960</v>
          </cell>
        </row>
        <row r="569">
          <cell r="A569">
            <v>567</v>
          </cell>
          <cell r="B569">
            <v>46091</v>
          </cell>
          <cell r="C569" t="str">
            <v>BENZ CLS63</v>
          </cell>
          <cell r="D569" t="str">
            <v>BENZ</v>
          </cell>
          <cell r="E569" t="str">
            <v>CLS63</v>
          </cell>
          <cell r="G569" t="str">
            <v>26수2989</v>
          </cell>
          <cell r="H569" t="str">
            <v>WDDLJ7EB4DA065937</v>
          </cell>
          <cell r="I569">
            <v>46094</v>
          </cell>
          <cell r="J569" t="str">
            <v>㈜왕카</v>
          </cell>
          <cell r="K569">
            <v>46094</v>
          </cell>
          <cell r="L569" t="str">
            <v>잔금</v>
          </cell>
          <cell r="M569" t="str">
            <v>50만원 대표님 계약</v>
          </cell>
          <cell r="N569">
            <v>2380</v>
          </cell>
          <cell r="P569">
            <v>2380</v>
          </cell>
          <cell r="Q569" t="str">
            <v>DONE</v>
          </cell>
          <cell r="R569">
            <v>46099</v>
          </cell>
          <cell r="S569" t="str">
            <v>Ardijan Qorraj</v>
          </cell>
          <cell r="T569" t="str">
            <v>Ardijan Qorraj</v>
          </cell>
          <cell r="U569" t="str">
            <v>C6YRK7K2F</v>
          </cell>
          <cell r="V569">
            <v>4917655744700</v>
          </cell>
          <cell r="W569" t="str">
            <v>Germany, Piepersweg 35 (41066)</v>
          </cell>
          <cell r="X569">
            <v>1456</v>
          </cell>
          <cell r="AB569">
            <v>1693</v>
          </cell>
          <cell r="AC569">
            <v>13450</v>
          </cell>
          <cell r="AE569">
            <v>13450</v>
          </cell>
        </row>
        <row r="570">
          <cell r="A570">
            <v>568</v>
          </cell>
          <cell r="B570">
            <v>46091</v>
          </cell>
          <cell r="C570" t="str">
            <v>VOLKSWAGENS TIGUAN</v>
          </cell>
          <cell r="D570" t="str">
            <v>VOLKSWAGENS</v>
          </cell>
          <cell r="E570" t="str">
            <v>TIGUAN</v>
          </cell>
          <cell r="G570" t="str">
            <v>34로0852</v>
          </cell>
          <cell r="H570" t="str">
            <v>WVGZZZ5NZGW560372</v>
          </cell>
          <cell r="I570">
            <v>46093</v>
          </cell>
          <cell r="J570" t="str">
            <v>㈜플랜오토</v>
          </cell>
          <cell r="L570" t="str">
            <v>잔금</v>
          </cell>
          <cell r="M570" t="str">
            <v>100만원 회사통장 나감</v>
          </cell>
          <cell r="N570">
            <v>1374</v>
          </cell>
          <cell r="P570">
            <v>1374</v>
          </cell>
          <cell r="Q570" t="str">
            <v>done</v>
          </cell>
          <cell r="R570">
            <v>46097</v>
          </cell>
          <cell r="S570" t="str">
            <v>VILLA KOHA</v>
          </cell>
          <cell r="T570" t="str">
            <v>VILLA KOHA SH.P.K</v>
          </cell>
          <cell r="U570">
            <v>810039588</v>
          </cell>
          <cell r="V570" t="str">
            <v>383 49247777</v>
          </cell>
          <cell r="W570" t="str">
            <v>KOSOVO</v>
          </cell>
          <cell r="X570">
            <v>1456</v>
          </cell>
          <cell r="AB570">
            <v>1693</v>
          </cell>
          <cell r="AC570">
            <v>7756</v>
          </cell>
          <cell r="AD570">
            <v>1264</v>
          </cell>
          <cell r="AE570">
            <v>9020</v>
          </cell>
          <cell r="AF570">
            <v>9020</v>
          </cell>
        </row>
        <row r="571">
          <cell r="A571">
            <v>569</v>
          </cell>
          <cell r="B571">
            <v>46092</v>
          </cell>
          <cell r="C571" t="str">
            <v>BENZ S63</v>
          </cell>
          <cell r="D571" t="str">
            <v>BENZ</v>
          </cell>
          <cell r="E571" t="str">
            <v>S63</v>
          </cell>
          <cell r="G571" t="str">
            <v>399소9700</v>
          </cell>
          <cell r="H571" t="str">
            <v>WDDXJ8JB9JA034272</v>
          </cell>
          <cell r="I571">
            <v>46094</v>
          </cell>
          <cell r="J571" t="str">
            <v>개인매입- 허광무</v>
          </cell>
          <cell r="K571">
            <v>46094</v>
          </cell>
          <cell r="L571" t="str">
            <v>잔금</v>
          </cell>
          <cell r="M571" t="str">
            <v>100만원 회사통장 나감</v>
          </cell>
          <cell r="N571">
            <v>7950</v>
          </cell>
          <cell r="P571">
            <v>7950</v>
          </cell>
          <cell r="Q571" t="str">
            <v>DONE</v>
          </cell>
          <cell r="R571">
            <v>46099</v>
          </cell>
          <cell r="S571" t="str">
            <v>Ardijan Qorraj</v>
          </cell>
          <cell r="T571" t="str">
            <v>Ardijan Qorraj</v>
          </cell>
          <cell r="U571" t="str">
            <v>C6YRK7K2F</v>
          </cell>
          <cell r="V571">
            <v>4917655744700</v>
          </cell>
          <cell r="W571" t="str">
            <v>Germany, Piepersweg 35 (41066)</v>
          </cell>
          <cell r="X571">
            <v>1476</v>
          </cell>
          <cell r="AB571">
            <v>1700</v>
          </cell>
          <cell r="AC571">
            <v>44900</v>
          </cell>
          <cell r="AF571">
            <v>45150</v>
          </cell>
        </row>
        <row r="572">
          <cell r="A572">
            <v>570</v>
          </cell>
          <cell r="B572">
            <v>46092</v>
          </cell>
          <cell r="C572" t="str">
            <v>AUDI A6</v>
          </cell>
          <cell r="D572" t="str">
            <v>AUDI</v>
          </cell>
          <cell r="E572" t="str">
            <v>A6</v>
          </cell>
          <cell r="G572" t="str">
            <v>38소0986</v>
          </cell>
          <cell r="H572" t="str">
            <v>WAUZZZ4G4GN103635</v>
          </cell>
          <cell r="I572">
            <v>46093</v>
          </cell>
          <cell r="J572" t="str">
            <v>㈜ 카톡모터스</v>
          </cell>
          <cell r="L572" t="str">
            <v>잔금</v>
          </cell>
          <cell r="M572" t="str">
            <v>50만원 회사토장 계약</v>
          </cell>
          <cell r="N572">
            <v>1266</v>
          </cell>
          <cell r="O572">
            <v>44</v>
          </cell>
          <cell r="P572">
            <v>1310</v>
          </cell>
          <cell r="Q572" t="str">
            <v>DONE</v>
          </cell>
          <cell r="R572">
            <v>46097</v>
          </cell>
          <cell r="S572" t="str">
            <v>Auto Posh SH.P.K</v>
          </cell>
          <cell r="T572" t="str">
            <v>Auto Posh SH.P.K</v>
          </cell>
          <cell r="U572">
            <v>812219427</v>
          </cell>
          <cell r="V572" t="str">
            <v>38345560145</v>
          </cell>
          <cell r="W572" t="str">
            <v>KOSOVO</v>
          </cell>
          <cell r="X572">
            <v>1456</v>
          </cell>
          <cell r="AB572">
            <v>1693</v>
          </cell>
          <cell r="AC572">
            <v>7472</v>
          </cell>
          <cell r="AD572">
            <v>1178</v>
          </cell>
          <cell r="AE572">
            <v>8650</v>
          </cell>
        </row>
        <row r="573">
          <cell r="A573">
            <v>571</v>
          </cell>
          <cell r="B573">
            <v>46092</v>
          </cell>
          <cell r="C573" t="str">
            <v>HYUNDAI TUCSON</v>
          </cell>
          <cell r="D573" t="str">
            <v>HYUNDAI</v>
          </cell>
          <cell r="E573" t="str">
            <v>TUCSON</v>
          </cell>
          <cell r="G573" t="str">
            <v>48누1595</v>
          </cell>
          <cell r="H573" t="str">
            <v>KMHJ581ABGU002373</v>
          </cell>
          <cell r="I573">
            <v>46093</v>
          </cell>
          <cell r="J573" t="str">
            <v>경매장- AJ</v>
          </cell>
          <cell r="L573" t="str">
            <v>잔금</v>
          </cell>
          <cell r="N573">
            <v>990</v>
          </cell>
          <cell r="O573">
            <v>25</v>
          </cell>
          <cell r="P573">
            <v>1015</v>
          </cell>
          <cell r="Q573" t="str">
            <v>DONE</v>
          </cell>
          <cell r="R573">
            <v>46097</v>
          </cell>
          <cell r="S573" t="str">
            <v xml:space="preserve">EUROAUTO.AL </v>
          </cell>
          <cell r="T573" t="str">
            <v>Erion Gjergji</v>
          </cell>
          <cell r="U573" t="str">
            <v>I90516099R</v>
          </cell>
          <cell r="V573" t="str">
            <v>49 163 6979 099</v>
          </cell>
          <cell r="W573" t="str">
            <v>Albania</v>
          </cell>
          <cell r="X573">
            <v>1456</v>
          </cell>
          <cell r="AB573">
            <v>1693</v>
          </cell>
          <cell r="AC573">
            <v>5706</v>
          </cell>
          <cell r="AD573">
            <v>1264</v>
          </cell>
          <cell r="AE573">
            <v>6970</v>
          </cell>
          <cell r="AF573">
            <v>6970</v>
          </cell>
        </row>
        <row r="574">
          <cell r="A574">
            <v>572</v>
          </cell>
          <cell r="B574">
            <v>46092</v>
          </cell>
          <cell r="C574" t="str">
            <v>BENZ E250</v>
          </cell>
          <cell r="D574" t="str">
            <v>BENZ</v>
          </cell>
          <cell r="E574" t="str">
            <v>E250</v>
          </cell>
          <cell r="G574" t="str">
            <v>47로4366</v>
          </cell>
          <cell r="H574" t="str">
            <v>WDDHF9HB1FB167353</v>
          </cell>
          <cell r="I574">
            <v>46093</v>
          </cell>
          <cell r="J574" t="str">
            <v>경매장- AJ</v>
          </cell>
          <cell r="L574" t="str">
            <v>잔금</v>
          </cell>
          <cell r="N574">
            <v>870</v>
          </cell>
          <cell r="O574">
            <v>23</v>
          </cell>
          <cell r="P574">
            <v>893</v>
          </cell>
          <cell r="Q574" t="str">
            <v>DONE</v>
          </cell>
          <cell r="R574">
            <v>46099</v>
          </cell>
          <cell r="S574" t="str">
            <v xml:space="preserve">Andrea Kasa </v>
          </cell>
          <cell r="T574" t="str">
            <v>Bufi Markeljan</v>
          </cell>
          <cell r="U574" t="str">
            <v>J80424032C</v>
          </cell>
          <cell r="V574" t="str">
            <v>355 69 746 2556</v>
          </cell>
          <cell r="W574" t="str">
            <v>Albania</v>
          </cell>
          <cell r="X574">
            <v>1469</v>
          </cell>
          <cell r="AB574">
            <v>1694</v>
          </cell>
          <cell r="AC574">
            <v>5132</v>
          </cell>
          <cell r="AD574">
            <v>1188</v>
          </cell>
          <cell r="AE574">
            <v>6320</v>
          </cell>
          <cell r="AF574">
            <v>16000</v>
          </cell>
        </row>
        <row r="575">
          <cell r="A575">
            <v>573</v>
          </cell>
          <cell r="B575">
            <v>46093</v>
          </cell>
          <cell r="C575" t="str">
            <v>BENZ C220</v>
          </cell>
          <cell r="D575" t="str">
            <v>BENZ</v>
          </cell>
          <cell r="E575" t="str">
            <v>C220</v>
          </cell>
          <cell r="G575" t="str">
            <v>28우4169</v>
          </cell>
          <cell r="H575" t="str">
            <v>WDDWF0EB8FF039904</v>
          </cell>
          <cell r="I575">
            <v>46094</v>
          </cell>
          <cell r="K575">
            <v>46094</v>
          </cell>
          <cell r="L575" t="str">
            <v>잔금</v>
          </cell>
          <cell r="M575" t="str">
            <v>70만원 회사통장 나감</v>
          </cell>
          <cell r="N575">
            <v>1076</v>
          </cell>
          <cell r="O575">
            <v>44</v>
          </cell>
          <cell r="Q575" t="str">
            <v>DONE</v>
          </cell>
          <cell r="R575">
            <v>46100</v>
          </cell>
          <cell r="S575" t="str">
            <v xml:space="preserve">Andrea Kasa </v>
          </cell>
          <cell r="T575" t="str">
            <v xml:space="preserve">Andrea Kasa </v>
          </cell>
          <cell r="U575" t="str">
            <v>K30122016U</v>
          </cell>
          <cell r="V575" t="str">
            <v>355 69 746 2556</v>
          </cell>
          <cell r="W575" t="str">
            <v>Albania</v>
          </cell>
          <cell r="X575">
            <v>1469</v>
          </cell>
          <cell r="AB575">
            <v>1694</v>
          </cell>
          <cell r="AC575">
            <v>6352</v>
          </cell>
          <cell r="AD575">
            <v>1188</v>
          </cell>
          <cell r="AE575">
            <v>7540</v>
          </cell>
        </row>
        <row r="576">
          <cell r="A576">
            <v>574</v>
          </cell>
          <cell r="B576">
            <v>46093</v>
          </cell>
          <cell r="C576" t="str">
            <v>BENZ C450</v>
          </cell>
          <cell r="D576" t="str">
            <v>BENZ</v>
          </cell>
          <cell r="E576" t="str">
            <v>C450</v>
          </cell>
          <cell r="G576" t="str">
            <v>07도0434</v>
          </cell>
          <cell r="H576" t="str">
            <v>WDDWF6EB3GF286333</v>
          </cell>
          <cell r="I576">
            <v>46097</v>
          </cell>
          <cell r="J576" t="str">
            <v>(주)위드카</v>
          </cell>
          <cell r="K576" t="str">
            <v>수원 - 010 2439 6656/ 1시</v>
          </cell>
          <cell r="L576" t="str">
            <v>잔금</v>
          </cell>
          <cell r="M576" t="str">
            <v>50만원 회사통장 계약</v>
          </cell>
          <cell r="N576">
            <v>1750</v>
          </cell>
          <cell r="P576">
            <v>1750</v>
          </cell>
          <cell r="Q576" t="str">
            <v>DONE</v>
          </cell>
          <cell r="R576">
            <v>46104</v>
          </cell>
          <cell r="S576" t="str">
            <v>BEN</v>
          </cell>
          <cell r="T576" t="str">
            <v>Evo Prestige &amp; Classic Cars</v>
          </cell>
          <cell r="U576" t="str">
            <v>945.390.052.00013</v>
          </cell>
          <cell r="V576" t="str">
            <v xml:space="preserve"> 33 649 5005 94</v>
          </cell>
          <cell r="W576" t="str">
            <v>2 rue de le ferronnerie 
43000 Polignac</v>
          </cell>
          <cell r="X576">
            <v>1469</v>
          </cell>
          <cell r="AB576">
            <v>1694</v>
          </cell>
          <cell r="AC576">
            <v>10000</v>
          </cell>
          <cell r="AD576">
            <v>1500</v>
          </cell>
          <cell r="AE576">
            <v>11800</v>
          </cell>
          <cell r="AF576">
            <v>11800</v>
          </cell>
        </row>
        <row r="577">
          <cell r="A577">
            <v>575</v>
          </cell>
          <cell r="B577">
            <v>46094</v>
          </cell>
          <cell r="C577" t="str">
            <v>PEUGEOT 308 1.6 BLUE-HDI</v>
          </cell>
          <cell r="D577" t="str">
            <v>PEUGEOT</v>
          </cell>
          <cell r="E577" t="str">
            <v>308 1.6 BLUE-HDI</v>
          </cell>
          <cell r="G577" t="str">
            <v>34서0548</v>
          </cell>
          <cell r="H577" t="str">
            <v>VF3LBBHZWGS003765</v>
          </cell>
          <cell r="I577">
            <v>46097</v>
          </cell>
          <cell r="J577" t="str">
            <v>(주) 카메이트</v>
          </cell>
          <cell r="K577" t="str">
            <v>수원 0- 010 9146 4770/ 1시</v>
          </cell>
          <cell r="L577" t="str">
            <v>잔금</v>
          </cell>
          <cell r="M577" t="str">
            <v>50만원 회사통장 계약</v>
          </cell>
          <cell r="N577">
            <v>620</v>
          </cell>
          <cell r="P577">
            <v>620</v>
          </cell>
          <cell r="Q577" t="str">
            <v>DONE</v>
          </cell>
          <cell r="R577">
            <v>46099</v>
          </cell>
          <cell r="S577" t="str">
            <v>Auto Posh SH.P.K</v>
          </cell>
          <cell r="T577" t="str">
            <v>Auto Posh SH.P.K</v>
          </cell>
          <cell r="U577">
            <v>812219427</v>
          </cell>
          <cell r="V577" t="str">
            <v>38345560145</v>
          </cell>
          <cell r="W577" t="str">
            <v>KOSOVO</v>
          </cell>
          <cell r="X577">
            <v>1476</v>
          </cell>
          <cell r="AB577">
            <v>1700</v>
          </cell>
          <cell r="AC577">
            <v>3620</v>
          </cell>
          <cell r="AD577">
            <v>1190</v>
          </cell>
          <cell r="AE577">
            <v>4810</v>
          </cell>
        </row>
        <row r="578">
          <cell r="A578">
            <v>576</v>
          </cell>
          <cell r="B578">
            <v>46094</v>
          </cell>
          <cell r="C578" t="str">
            <v>VOLKSWAGENS GOLF</v>
          </cell>
          <cell r="D578" t="str">
            <v>VOLKSWAGENS</v>
          </cell>
          <cell r="E578" t="str">
            <v>GOLF</v>
          </cell>
          <cell r="G578" t="str">
            <v>54보6399</v>
          </cell>
          <cell r="H578" t="str">
            <v>WVWZZZAUZFW292902</v>
          </cell>
          <cell r="I578">
            <v>46097</v>
          </cell>
          <cell r="J578" t="str">
            <v>㈜제에디모터스</v>
          </cell>
          <cell r="K578" t="str">
            <v>부천 - 010 3354 2320</v>
          </cell>
          <cell r="L578" t="str">
            <v>잔금</v>
          </cell>
          <cell r="M578" t="str">
            <v>50만원 회사통장 계약</v>
          </cell>
          <cell r="N578">
            <v>960</v>
          </cell>
          <cell r="P578">
            <v>960</v>
          </cell>
          <cell r="Q578" t="str">
            <v>DONE</v>
          </cell>
          <cell r="R578">
            <v>46099</v>
          </cell>
          <cell r="S578" t="str">
            <v>Auto Posh SH.P.K</v>
          </cell>
          <cell r="T578" t="str">
            <v>Auto Posh SH.P.K</v>
          </cell>
          <cell r="U578">
            <v>812219427</v>
          </cell>
          <cell r="V578" t="str">
            <v>38345560145</v>
          </cell>
          <cell r="W578" t="str">
            <v>KOSOVO</v>
          </cell>
          <cell r="X578">
            <v>1476</v>
          </cell>
          <cell r="AB578">
            <v>1700</v>
          </cell>
          <cell r="AC578">
            <v>5450</v>
          </cell>
          <cell r="AD578">
            <v>1190</v>
          </cell>
          <cell r="AE578">
            <v>6640</v>
          </cell>
        </row>
        <row r="579">
          <cell r="A579">
            <v>577</v>
          </cell>
          <cell r="B579">
            <v>46094</v>
          </cell>
          <cell r="C579" t="str">
            <v>DISCOVERY SPORT</v>
          </cell>
          <cell r="D579" t="str">
            <v>DISCOVERY</v>
          </cell>
          <cell r="E579" t="str">
            <v>SPORT</v>
          </cell>
          <cell r="G579" t="str">
            <v>37부4716</v>
          </cell>
          <cell r="H579" t="str">
            <v>SALCA2BN1HH703224</v>
          </cell>
          <cell r="I579">
            <v>46097</v>
          </cell>
          <cell r="J579" t="str">
            <v>㈜인하모터스</v>
          </cell>
          <cell r="K579" t="str">
            <v>부천 010 5202 4181/ 1시</v>
          </cell>
          <cell r="L579" t="str">
            <v>잔금</v>
          </cell>
          <cell r="M579" t="str">
            <v>50만원 회사통장 계약</v>
          </cell>
          <cell r="N579">
            <v>780</v>
          </cell>
          <cell r="O579">
            <v>44</v>
          </cell>
          <cell r="P579">
            <v>824</v>
          </cell>
          <cell r="Q579" t="str">
            <v>DONE</v>
          </cell>
          <cell r="R579">
            <v>46099</v>
          </cell>
          <cell r="S579" t="str">
            <v>Auto Posh SH.P.K</v>
          </cell>
          <cell r="T579" t="str">
            <v>Auto Posh SH.P.K</v>
          </cell>
          <cell r="U579">
            <v>812219427</v>
          </cell>
          <cell r="V579" t="str">
            <v>38345560145</v>
          </cell>
          <cell r="W579" t="str">
            <v>KOSOVO</v>
          </cell>
          <cell r="X579">
            <v>1476</v>
          </cell>
          <cell r="AB579">
            <v>1700</v>
          </cell>
          <cell r="AC579">
            <v>4754</v>
          </cell>
          <cell r="AD579">
            <v>1276</v>
          </cell>
          <cell r="AE579">
            <v>6030</v>
          </cell>
        </row>
        <row r="580">
          <cell r="A580">
            <v>578</v>
          </cell>
          <cell r="B580">
            <v>46094</v>
          </cell>
          <cell r="C580" t="str">
            <v>HYUNDAI TUCSON</v>
          </cell>
          <cell r="D580" t="str">
            <v>HYUNDAI</v>
          </cell>
          <cell r="E580" t="str">
            <v>TUCSON</v>
          </cell>
          <cell r="G580" t="str">
            <v>394루8045</v>
          </cell>
          <cell r="H580" t="str">
            <v xml:space="preserve">KMHJC81CBMU013178 </v>
          </cell>
          <cell r="I580">
            <v>46097</v>
          </cell>
          <cell r="J580" t="str">
            <v>㈜ 차차</v>
          </cell>
          <cell r="K580" t="str">
            <v>㈜수원- 010 7778 5575</v>
          </cell>
          <cell r="L580" t="str">
            <v>잔금</v>
          </cell>
          <cell r="M580" t="str">
            <v>50만원 회사통장 계약</v>
          </cell>
          <cell r="N580">
            <v>1820</v>
          </cell>
          <cell r="O580">
            <v>44</v>
          </cell>
          <cell r="P580">
            <v>1864</v>
          </cell>
          <cell r="Q580" t="str">
            <v>DONE</v>
          </cell>
          <cell r="R580">
            <v>46099</v>
          </cell>
          <cell r="S580" t="str">
            <v>Ervin</v>
          </cell>
          <cell r="T580" t="str">
            <v>DRITAN HYSA</v>
          </cell>
          <cell r="U580" t="str">
            <v>H61117003M</v>
          </cell>
          <cell r="V580" t="str">
            <v>355 67 69 41 777</v>
          </cell>
          <cell r="W580" t="str">
            <v>Albania</v>
          </cell>
          <cell r="X580">
            <v>1476</v>
          </cell>
          <cell r="AB580">
            <v>1700</v>
          </cell>
          <cell r="AC580">
            <v>10524</v>
          </cell>
          <cell r="AD580">
            <v>1276</v>
          </cell>
          <cell r="AE580">
            <v>11800</v>
          </cell>
          <cell r="AF580">
            <v>12200</v>
          </cell>
        </row>
        <row r="581">
          <cell r="A581">
            <v>579</v>
          </cell>
          <cell r="B581">
            <v>46094</v>
          </cell>
          <cell r="C581" t="str">
            <v>BMW 320D</v>
          </cell>
          <cell r="D581" t="str">
            <v>BMW</v>
          </cell>
          <cell r="E581" t="str">
            <v>320D</v>
          </cell>
          <cell r="G581" t="str">
            <v>10서3549</v>
          </cell>
          <cell r="H581" t="str">
            <v xml:space="preserve">WBA8C5106JK733694 </v>
          </cell>
          <cell r="I581">
            <v>46094</v>
          </cell>
          <cell r="J581" t="str">
            <v>㈜참졸은 자동차</v>
          </cell>
          <cell r="K581" t="str">
            <v>HAESHIN</v>
          </cell>
          <cell r="L581" t="str">
            <v>잔금</v>
          </cell>
          <cell r="M581" t="str">
            <v>50만원 대표님 계약</v>
          </cell>
          <cell r="N581">
            <v>1380</v>
          </cell>
          <cell r="P581">
            <v>1380</v>
          </cell>
          <cell r="Q581" t="str">
            <v>done</v>
          </cell>
          <cell r="R581">
            <v>46098</v>
          </cell>
          <cell r="S581" t="str">
            <v>R.S.h L.L.C.</v>
          </cell>
          <cell r="T581" t="str">
            <v>R.Sh L.L.C.</v>
          </cell>
          <cell r="U581">
            <v>812326016</v>
          </cell>
          <cell r="V581" t="str">
            <v>+383486 611 61</v>
          </cell>
          <cell r="W581" t="str">
            <v>Kosovo</v>
          </cell>
          <cell r="X581">
            <v>1476</v>
          </cell>
          <cell r="AB581">
            <v>1700</v>
          </cell>
          <cell r="AC581">
            <v>7811</v>
          </cell>
          <cell r="AD581">
            <v>1189</v>
          </cell>
          <cell r="AE581">
            <v>9000</v>
          </cell>
        </row>
        <row r="582">
          <cell r="A582">
            <v>580</v>
          </cell>
          <cell r="B582">
            <v>46094</v>
          </cell>
          <cell r="C582" t="str">
            <v>BMW 218D</v>
          </cell>
          <cell r="D582" t="str">
            <v>BMW</v>
          </cell>
          <cell r="E582" t="str">
            <v>218D</v>
          </cell>
          <cell r="G582" t="str">
            <v>229누9007</v>
          </cell>
          <cell r="H582" t="str">
            <v>WBA31AM03M7H21078</v>
          </cell>
          <cell r="I582">
            <v>46094</v>
          </cell>
          <cell r="J582" t="str">
            <v>㈜참졸은 자동차</v>
          </cell>
          <cell r="K582" t="str">
            <v>HAESHIN</v>
          </cell>
          <cell r="L582" t="str">
            <v>잔금</v>
          </cell>
          <cell r="M582" t="str">
            <v>100만원 회사통장 계약</v>
          </cell>
          <cell r="N582">
            <v>2140</v>
          </cell>
          <cell r="O582">
            <v>44</v>
          </cell>
          <cell r="P582">
            <v>2184</v>
          </cell>
          <cell r="Q582" t="str">
            <v>done</v>
          </cell>
          <cell r="R582">
            <v>46098</v>
          </cell>
          <cell r="S582" t="str">
            <v>R.S.h L.L.C.</v>
          </cell>
          <cell r="T582" t="str">
            <v>R.Sh L.L.C.</v>
          </cell>
          <cell r="U582">
            <v>812326016</v>
          </cell>
          <cell r="V582" t="str">
            <v>+383486 611 61</v>
          </cell>
          <cell r="W582" t="str">
            <v>Kosovo</v>
          </cell>
          <cell r="X582">
            <v>1476</v>
          </cell>
          <cell r="AB582">
            <v>1700</v>
          </cell>
          <cell r="AC582">
            <v>12310</v>
          </cell>
          <cell r="AD582">
            <v>1190</v>
          </cell>
          <cell r="AE582">
            <v>13500</v>
          </cell>
        </row>
        <row r="583">
          <cell r="A583">
            <v>581</v>
          </cell>
          <cell r="B583">
            <v>46093</v>
          </cell>
          <cell r="C583" t="str">
            <v>AUDI A7</v>
          </cell>
          <cell r="D583" t="str">
            <v>AUDI</v>
          </cell>
          <cell r="E583" t="str">
            <v>A7</v>
          </cell>
          <cell r="G583" t="str">
            <v>69오7250</v>
          </cell>
          <cell r="H583" t="str">
            <v>WAUZZZ4G7EN038888</v>
          </cell>
          <cell r="I583">
            <v>46095</v>
          </cell>
          <cell r="J583" t="str">
            <v>경매장- KCAR</v>
          </cell>
          <cell r="K583" t="str">
            <v>gmt 04/22</v>
          </cell>
          <cell r="L583" t="str">
            <v>잔금</v>
          </cell>
          <cell r="M583" t="str">
            <v>말소 안 됨</v>
          </cell>
          <cell r="N583">
            <v>840</v>
          </cell>
          <cell r="O583">
            <v>19</v>
          </cell>
          <cell r="P583">
            <v>859</v>
          </cell>
          <cell r="Q583" t="str">
            <v>done</v>
          </cell>
          <cell r="R583">
            <v>46106</v>
          </cell>
          <cell r="S583" t="str">
            <v xml:space="preserve">Andrea Kasa </v>
          </cell>
          <cell r="T583" t="str">
            <v>Erald Gjevori</v>
          </cell>
          <cell r="U583" t="str">
            <v>I80321086E</v>
          </cell>
          <cell r="V583" t="str">
            <v>355 69 746 2556</v>
          </cell>
          <cell r="W583" t="str">
            <v>Albania</v>
          </cell>
          <cell r="X583">
            <v>1476</v>
          </cell>
          <cell r="AB583">
            <v>1700</v>
          </cell>
          <cell r="AC583">
            <v>4961</v>
          </cell>
          <cell r="AD583">
            <v>1189</v>
          </cell>
          <cell r="AE583">
            <v>6150</v>
          </cell>
          <cell r="AF583">
            <v>14000</v>
          </cell>
        </row>
        <row r="584">
          <cell r="A584">
            <v>582</v>
          </cell>
          <cell r="B584">
            <v>45731</v>
          </cell>
          <cell r="C584" t="str">
            <v>LAMBORGHINI GALLARDO COUPE</v>
          </cell>
          <cell r="D584" t="str">
            <v>LAMBORGHINI</v>
          </cell>
          <cell r="E584" t="str">
            <v>GALLARDO COUPE</v>
          </cell>
          <cell r="G584" t="str">
            <v>62머0140</v>
          </cell>
          <cell r="H584" t="str">
            <v>ZHWGE12T18LA06472</v>
          </cell>
          <cell r="I584">
            <v>46099</v>
          </cell>
          <cell r="J584" t="str">
            <v>㈜ 장안오토렌드</v>
          </cell>
          <cell r="L584" t="str">
            <v>잔금</v>
          </cell>
          <cell r="M584" t="str">
            <v>300만원 대표님 계약</v>
          </cell>
          <cell r="N584">
            <v>6500</v>
          </cell>
          <cell r="P584">
            <v>6500</v>
          </cell>
          <cell r="Q584" t="str">
            <v>done</v>
          </cell>
          <cell r="R584">
            <v>46113</v>
          </cell>
          <cell r="S584" t="str">
            <v>DAX IMPORT</v>
          </cell>
          <cell r="T584" t="str">
            <v xml:space="preserve">Michael Karl  </v>
          </cell>
          <cell r="U584" t="str">
            <v>LF9N8WZ16</v>
          </cell>
          <cell r="V584" t="str">
            <v>‪+49 471 94189050‬</v>
          </cell>
          <cell r="W584" t="str">
            <v xml:space="preserve">Dorfstr,33C,(82024) Taufkirchen, Germany </v>
          </cell>
          <cell r="X584">
            <v>1484</v>
          </cell>
          <cell r="AB584">
            <v>1698</v>
          </cell>
          <cell r="AC584">
            <v>36860</v>
          </cell>
        </row>
        <row r="585">
          <cell r="A585">
            <v>583</v>
          </cell>
          <cell r="B585">
            <v>45731</v>
          </cell>
          <cell r="C585" t="str">
            <v>BMW  M3</v>
          </cell>
          <cell r="D585" t="str">
            <v xml:space="preserve">BMW </v>
          </cell>
          <cell r="E585" t="str">
            <v>M3</v>
          </cell>
          <cell r="G585" t="str">
            <v>62마1295</v>
          </cell>
          <cell r="H585" t="str">
            <v>WBSKG9102BE686242</v>
          </cell>
          <cell r="I585">
            <v>46099</v>
          </cell>
          <cell r="J585" t="str">
            <v>개인매입- ROH JACE KYOUNG TEK</v>
          </cell>
          <cell r="L585" t="str">
            <v>잔금</v>
          </cell>
          <cell r="M585" t="str">
            <v>100만원 대표님 계약</v>
          </cell>
          <cell r="N585">
            <v>6800</v>
          </cell>
          <cell r="P585">
            <v>6800</v>
          </cell>
          <cell r="Q585" t="str">
            <v>done</v>
          </cell>
          <cell r="R585">
            <v>46113</v>
          </cell>
          <cell r="S585" t="str">
            <v>DAX IMPORT</v>
          </cell>
          <cell r="T585" t="str">
            <v xml:space="preserve">Michael Karl  </v>
          </cell>
          <cell r="U585" t="str">
            <v>LF9N8WZ16</v>
          </cell>
          <cell r="V585" t="str">
            <v>‪+49 471 94189050‬</v>
          </cell>
          <cell r="W585" t="str">
            <v xml:space="preserve">Dorfstr,33C,(82024) Taufkirchen, Germany </v>
          </cell>
          <cell r="X585">
            <v>1484</v>
          </cell>
          <cell r="AB585">
            <v>1698</v>
          </cell>
          <cell r="AC585">
            <v>38490</v>
          </cell>
        </row>
        <row r="586">
          <cell r="A586">
            <v>584</v>
          </cell>
          <cell r="B586">
            <v>45731</v>
          </cell>
          <cell r="C586" t="str">
            <v>BMW  X1</v>
          </cell>
          <cell r="D586" t="str">
            <v xml:space="preserve">BMW </v>
          </cell>
          <cell r="E586" t="str">
            <v>X1</v>
          </cell>
          <cell r="G586" t="str">
            <v>66저0403</v>
          </cell>
          <cell r="H586" t="str">
            <v xml:space="preserve">WBAHU3105G5E38100 </v>
          </cell>
          <cell r="I586">
            <v>46098</v>
          </cell>
          <cell r="J586" t="str">
            <v>㈜청춘카</v>
          </cell>
          <cell r="K586" t="str">
            <v>HAESHIN</v>
          </cell>
          <cell r="L586" t="str">
            <v>잔금</v>
          </cell>
          <cell r="M586" t="str">
            <v>50만원 대표님 계약</v>
          </cell>
          <cell r="N586">
            <v>1680</v>
          </cell>
          <cell r="P586">
            <v>1680</v>
          </cell>
          <cell r="Q586" t="str">
            <v>done</v>
          </cell>
          <cell r="R586">
            <v>46101</v>
          </cell>
          <cell r="S586" t="str">
            <v>R.S.h L.L.C.</v>
          </cell>
          <cell r="T586" t="str">
            <v>R.Sh L.L.C.</v>
          </cell>
          <cell r="U586">
            <v>812326016</v>
          </cell>
          <cell r="V586" t="str">
            <v>+383486 611 61</v>
          </cell>
          <cell r="W586" t="str">
            <v>Kosovo</v>
          </cell>
          <cell r="X586">
            <v>1484</v>
          </cell>
          <cell r="AB586">
            <v>1694</v>
          </cell>
          <cell r="AC586">
            <v>9422</v>
          </cell>
          <cell r="AD586">
            <v>1288</v>
          </cell>
          <cell r="AE586">
            <v>10710</v>
          </cell>
        </row>
        <row r="587">
          <cell r="A587">
            <v>585</v>
          </cell>
          <cell r="B587">
            <v>46096</v>
          </cell>
          <cell r="C587" t="str">
            <v>VOLKSWAGENS POLO</v>
          </cell>
          <cell r="D587" t="str">
            <v>VOLKSWAGENS</v>
          </cell>
          <cell r="E587" t="str">
            <v>POLO</v>
          </cell>
          <cell r="G587" t="str">
            <v>56루0221</v>
          </cell>
          <cell r="H587" t="str">
            <v>WVWZZZ6RZFY313061</v>
          </cell>
          <cell r="I587">
            <v>46097</v>
          </cell>
          <cell r="J587" t="str">
            <v>㈜엘리트모터스</v>
          </cell>
          <cell r="K587" t="str">
            <v>부천 - 010 5596 9585</v>
          </cell>
          <cell r="L587" t="str">
            <v>잔금</v>
          </cell>
          <cell r="M587" t="str">
            <v>50만원 대표님 계약</v>
          </cell>
          <cell r="N587">
            <v>570</v>
          </cell>
          <cell r="P587">
            <v>570</v>
          </cell>
          <cell r="Q587" t="str">
            <v>DONE</v>
          </cell>
          <cell r="R587">
            <v>46099</v>
          </cell>
          <cell r="S587" t="str">
            <v xml:space="preserve">Andrea Kasa </v>
          </cell>
          <cell r="T587" t="str">
            <v>RUZHDI SLLAMI</v>
          </cell>
          <cell r="U587" t="str">
            <v>G90406002E</v>
          </cell>
          <cell r="V587" t="str">
            <v>355 69 746 2556</v>
          </cell>
          <cell r="W587" t="str">
            <v>Albania</v>
          </cell>
          <cell r="X587">
            <v>1484</v>
          </cell>
          <cell r="AB587">
            <v>1694</v>
          </cell>
          <cell r="AC587">
            <v>3340</v>
          </cell>
          <cell r="AD587">
            <v>1200</v>
          </cell>
          <cell r="AE587">
            <v>4540</v>
          </cell>
          <cell r="AF587">
            <v>10720</v>
          </cell>
        </row>
        <row r="588">
          <cell r="A588">
            <v>586</v>
          </cell>
          <cell r="B588">
            <v>46096</v>
          </cell>
          <cell r="C588" t="str">
            <v>VOLKSWAGENS POLO</v>
          </cell>
          <cell r="D588" t="str">
            <v>VOLKSWAGENS</v>
          </cell>
          <cell r="E588" t="str">
            <v>POLO</v>
          </cell>
          <cell r="G588" t="str">
            <v>290주2550</v>
          </cell>
          <cell r="H588" t="str">
            <v>WVWZZZ6RZGY018915</v>
          </cell>
          <cell r="I588">
            <v>46097</v>
          </cell>
          <cell r="J588" t="str">
            <v>㈜명문자동차</v>
          </cell>
          <cell r="K588" t="str">
            <v>gmt 04/22</v>
          </cell>
          <cell r="L588" t="str">
            <v>잔금</v>
          </cell>
          <cell r="M588" t="str">
            <v>50만원 대표님 계약</v>
          </cell>
          <cell r="N588">
            <v>690</v>
          </cell>
          <cell r="P588">
            <v>690</v>
          </cell>
          <cell r="Q588" t="str">
            <v>DONE</v>
          </cell>
          <cell r="R588">
            <v>46099</v>
          </cell>
          <cell r="S588" t="str">
            <v xml:space="preserve">Andrea Kasa </v>
          </cell>
          <cell r="T588" t="str">
            <v xml:space="preserve">Andrea Kasa </v>
          </cell>
          <cell r="U588" t="str">
            <v>K30122016U</v>
          </cell>
          <cell r="V588" t="str">
            <v>355 69 746 2556</v>
          </cell>
          <cell r="W588" t="str">
            <v>Albania</v>
          </cell>
          <cell r="X588">
            <v>1484</v>
          </cell>
          <cell r="AB588">
            <v>1694</v>
          </cell>
          <cell r="AC588">
            <v>3980</v>
          </cell>
          <cell r="AD588">
            <v>1200</v>
          </cell>
          <cell r="AE588">
            <v>5180</v>
          </cell>
        </row>
        <row r="589">
          <cell r="A589">
            <v>587</v>
          </cell>
          <cell r="B589">
            <v>46096</v>
          </cell>
          <cell r="C589" t="str">
            <v>HYUNDAI TUCSON</v>
          </cell>
          <cell r="D589" t="str">
            <v>HYUNDAI</v>
          </cell>
          <cell r="E589" t="str">
            <v>TUCSON</v>
          </cell>
          <cell r="G589" t="str">
            <v>01루3872</v>
          </cell>
          <cell r="H589" t="str">
            <v>KMHJ3815GGU027268</v>
          </cell>
          <cell r="I589">
            <v>46097</v>
          </cell>
          <cell r="J589" t="str">
            <v>㈜모터스퀘어</v>
          </cell>
          <cell r="K589" t="str">
            <v>인천 - 010-5577 3321</v>
          </cell>
          <cell r="L589" t="str">
            <v>잔금</v>
          </cell>
          <cell r="M589" t="str">
            <v>50만원 대표님 계약</v>
          </cell>
          <cell r="N589">
            <v>900</v>
          </cell>
          <cell r="P589">
            <v>900</v>
          </cell>
          <cell r="Q589" t="str">
            <v>DONE</v>
          </cell>
          <cell r="R589">
            <v>46099</v>
          </cell>
          <cell r="S589" t="str">
            <v>RIZA</v>
          </cell>
          <cell r="T589" t="str">
            <v>Riza Qosja</v>
          </cell>
          <cell r="U589" t="str">
            <v>M33304205K</v>
          </cell>
          <cell r="V589" t="str">
            <v>355 682769063</v>
          </cell>
          <cell r="W589" t="str">
            <v>Albania</v>
          </cell>
          <cell r="X589">
            <v>1484</v>
          </cell>
          <cell r="AB589">
            <v>1694</v>
          </cell>
          <cell r="AC589">
            <v>5142</v>
          </cell>
          <cell r="AD589">
            <v>1288</v>
          </cell>
          <cell r="AE589">
            <v>6430</v>
          </cell>
          <cell r="AF589">
            <v>6400</v>
          </cell>
        </row>
        <row r="590">
          <cell r="A590">
            <v>588</v>
          </cell>
          <cell r="B590">
            <v>46096</v>
          </cell>
          <cell r="C590" t="str">
            <v>BENZ S350</v>
          </cell>
          <cell r="D590" t="str">
            <v>BENZ</v>
          </cell>
          <cell r="E590" t="str">
            <v>S350</v>
          </cell>
          <cell r="G590" t="str">
            <v>179저4601</v>
          </cell>
          <cell r="H590" t="str">
            <v>WDDUF3CB2EA011538</v>
          </cell>
          <cell r="I590">
            <v>46097</v>
          </cell>
          <cell r="J590" t="str">
            <v>(주)차카</v>
          </cell>
          <cell r="K590" t="str">
            <v>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v>
          </cell>
          <cell r="L590" t="str">
            <v>잔금</v>
          </cell>
          <cell r="M590" t="str">
            <v>100만원 대표님 계약</v>
          </cell>
          <cell r="N590">
            <v>2200</v>
          </cell>
          <cell r="P590">
            <v>2200</v>
          </cell>
          <cell r="Q590" t="str">
            <v>DONE</v>
          </cell>
          <cell r="R590">
            <v>46099</v>
          </cell>
          <cell r="S590" t="str">
            <v>HYSA</v>
          </cell>
          <cell r="T590" t="str">
            <v>HYSA JUGERS</v>
          </cell>
          <cell r="U590">
            <v>12042219</v>
          </cell>
          <cell r="V590" t="str">
            <v>355 69 690 2972</v>
          </cell>
          <cell r="W590" t="str">
            <v>Albania</v>
          </cell>
          <cell r="X590">
            <v>1484</v>
          </cell>
          <cell r="AB590">
            <v>1698</v>
          </cell>
          <cell r="AC590">
            <v>12365</v>
          </cell>
          <cell r="AD590">
            <v>1285</v>
          </cell>
          <cell r="AE590">
            <v>13650</v>
          </cell>
          <cell r="AF590">
            <v>13650</v>
          </cell>
        </row>
        <row r="591">
          <cell r="A591">
            <v>589</v>
          </cell>
          <cell r="B591">
            <v>46097</v>
          </cell>
          <cell r="C591" t="str">
            <v>BENZ C450</v>
          </cell>
          <cell r="D591" t="str">
            <v>BENZ</v>
          </cell>
          <cell r="E591" t="str">
            <v>C450</v>
          </cell>
          <cell r="G591" t="str">
            <v xml:space="preserve">36모0879  </v>
          </cell>
          <cell r="H591" t="str">
            <v>WDDWF6EB1GF300763</v>
          </cell>
          <cell r="I591">
            <v>46097</v>
          </cell>
          <cell r="L591" t="str">
            <v>잔금</v>
          </cell>
          <cell r="N591">
            <v>2180</v>
          </cell>
          <cell r="O591">
            <v>38.5</v>
          </cell>
          <cell r="P591">
            <v>2218.5</v>
          </cell>
          <cell r="Q591" t="str">
            <v>DONE</v>
          </cell>
          <cell r="R591">
            <v>46104</v>
          </cell>
          <cell r="S591" t="str">
            <v>BEN</v>
          </cell>
          <cell r="T591" t="str">
            <v>Evo Prestige &amp; Classic Cars</v>
          </cell>
          <cell r="U591" t="str">
            <v>945.390.052.00013</v>
          </cell>
          <cell r="V591" t="str">
            <v xml:space="preserve"> 33 649 5005 94</v>
          </cell>
          <cell r="W591" t="str">
            <v>2 rue de le ferronnerie 
43000 Polignac</v>
          </cell>
          <cell r="X591">
            <v>1484</v>
          </cell>
          <cell r="AB591">
            <v>1694</v>
          </cell>
          <cell r="AC591">
            <v>12450</v>
          </cell>
          <cell r="AF591">
            <v>14000</v>
          </cell>
        </row>
        <row r="592">
          <cell r="A592">
            <v>590</v>
          </cell>
          <cell r="B592">
            <v>46097</v>
          </cell>
          <cell r="C592" t="str">
            <v>BENZ E220D</v>
          </cell>
          <cell r="D592" t="str">
            <v>BENZ</v>
          </cell>
          <cell r="E592" t="str">
            <v>E220D</v>
          </cell>
          <cell r="G592" t="str">
            <v>64고0130</v>
          </cell>
          <cell r="H592" t="str">
            <v xml:space="preserve">WDDZF0EB1HA105738 </v>
          </cell>
          <cell r="I592">
            <v>46098</v>
          </cell>
          <cell r="L592" t="str">
            <v>잔금</v>
          </cell>
          <cell r="M592" t="str">
            <v>50만원 회사통장 계약</v>
          </cell>
          <cell r="N592">
            <v>1960</v>
          </cell>
          <cell r="P592">
            <v>1960</v>
          </cell>
          <cell r="Q592" t="str">
            <v>DONE</v>
          </cell>
          <cell r="R592">
            <v>46099</v>
          </cell>
          <cell r="S592" t="str">
            <v>Ardijan Qorraj</v>
          </cell>
          <cell r="T592" t="str">
            <v>Ardijan Qorraj</v>
          </cell>
          <cell r="U592" t="str">
            <v>C6YRK7K2F</v>
          </cell>
          <cell r="V592">
            <v>4917655744700</v>
          </cell>
          <cell r="W592" t="str">
            <v>Germany, Piepersweg 35 (41066)</v>
          </cell>
          <cell r="X592">
            <v>1484</v>
          </cell>
          <cell r="AB592">
            <v>1694</v>
          </cell>
          <cell r="AC592">
            <v>11100</v>
          </cell>
        </row>
        <row r="593">
          <cell r="A593">
            <v>591</v>
          </cell>
          <cell r="B593">
            <v>46098</v>
          </cell>
          <cell r="C593" t="str">
            <v>KIA CARNIVAL</v>
          </cell>
          <cell r="D593" t="str">
            <v>KIA</v>
          </cell>
          <cell r="E593" t="str">
            <v>CARNIVAL</v>
          </cell>
          <cell r="G593" t="str">
            <v>53하7412</v>
          </cell>
          <cell r="H593" t="str">
            <v>KNAMB81ABKS505491</v>
          </cell>
          <cell r="I593">
            <v>46099</v>
          </cell>
          <cell r="J593" t="str">
            <v>경매장- sk rental</v>
          </cell>
          <cell r="K593" t="str">
            <v>HEYMAN</v>
          </cell>
          <cell r="L593" t="str">
            <v>잔금</v>
          </cell>
          <cell r="N593">
            <v>730</v>
          </cell>
          <cell r="O593">
            <v>16</v>
          </cell>
          <cell r="P593">
            <v>746</v>
          </cell>
          <cell r="Q593" t="str">
            <v>done</v>
          </cell>
          <cell r="R593" t="str">
            <v>con2</v>
          </cell>
          <cell r="S593" t="str">
            <v>MANTAS</v>
          </cell>
          <cell r="T593" t="str">
            <v>UAB GRALIS</v>
          </cell>
          <cell r="U593">
            <v>179285533</v>
          </cell>
          <cell r="V593" t="str">
            <v>370 (618) 11 666</v>
          </cell>
          <cell r="W593" t="str">
            <v xml:space="preserve">Jūros g. 33, Tauragė  </v>
          </cell>
          <cell r="X593">
            <v>1490</v>
          </cell>
          <cell r="AC593">
            <v>5070</v>
          </cell>
          <cell r="AD593">
            <v>1550</v>
          </cell>
          <cell r="AE593">
            <v>6620</v>
          </cell>
        </row>
        <row r="594">
          <cell r="A594">
            <v>592</v>
          </cell>
          <cell r="B594">
            <v>46099</v>
          </cell>
          <cell r="C594" t="str">
            <v>HYUNDAI SANTAFE</v>
          </cell>
          <cell r="D594" t="str">
            <v>HYUNDAI</v>
          </cell>
          <cell r="E594" t="str">
            <v>SANTAFE</v>
          </cell>
          <cell r="G594" t="str">
            <v>10도0518</v>
          </cell>
          <cell r="H594" t="str">
            <v xml:space="preserve">KMHSW81UBHU711555 </v>
          </cell>
          <cell r="I594">
            <v>46101</v>
          </cell>
          <cell r="J594" t="str">
            <v>㈜조은모터스</v>
          </cell>
          <cell r="L594" t="str">
            <v>잔금</v>
          </cell>
          <cell r="M594" t="str">
            <v>50만원 대표님 계약</v>
          </cell>
          <cell r="N594">
            <v>1250</v>
          </cell>
          <cell r="P594">
            <v>1250</v>
          </cell>
          <cell r="Q594" t="str">
            <v>done</v>
          </cell>
          <cell r="R594">
            <v>46105</v>
          </cell>
          <cell r="S594" t="str">
            <v>CALJA</v>
          </cell>
          <cell r="T594" t="str">
            <v>DACI AGRON</v>
          </cell>
          <cell r="U594" t="str">
            <v>J00711029K</v>
          </cell>
          <cell r="V594" t="str">
            <v>355 69 550 5533</v>
          </cell>
          <cell r="W594" t="str">
            <v>Albania</v>
          </cell>
          <cell r="X594">
            <v>1473</v>
          </cell>
          <cell r="AB594">
            <v>1700</v>
          </cell>
          <cell r="AC594">
            <v>7132</v>
          </cell>
          <cell r="AD594">
            <v>1378</v>
          </cell>
          <cell r="AE594">
            <v>8510</v>
          </cell>
          <cell r="AF594">
            <v>10850</v>
          </cell>
        </row>
        <row r="595">
          <cell r="A595">
            <v>593</v>
          </cell>
          <cell r="B595">
            <v>46099</v>
          </cell>
          <cell r="C595" t="str">
            <v>VOLKSWAGENS GOLF GTI</v>
          </cell>
          <cell r="D595" t="str">
            <v>VOLKSWAGENS</v>
          </cell>
          <cell r="E595" t="str">
            <v>GOLF GTI</v>
          </cell>
          <cell r="G595" t="str">
            <v>29서9224</v>
          </cell>
          <cell r="H595" t="str">
            <v>WVWZZZAUZFW236853</v>
          </cell>
          <cell r="I595">
            <v>46101</v>
          </cell>
          <cell r="J595" t="str">
            <v>㈜아차차</v>
          </cell>
          <cell r="L595" t="str">
            <v>잔금</v>
          </cell>
          <cell r="M595" t="str">
            <v>50만원 회사통장 계약</v>
          </cell>
          <cell r="N595">
            <v>906</v>
          </cell>
          <cell r="O595">
            <v>44</v>
          </cell>
          <cell r="P595">
            <v>950</v>
          </cell>
          <cell r="Q595" t="str">
            <v>done</v>
          </cell>
          <cell r="R595">
            <v>46105</v>
          </cell>
          <cell r="S595" t="str">
            <v>HYSA</v>
          </cell>
          <cell r="T595" t="str">
            <v xml:space="preserve">HYSA KRISELA </v>
          </cell>
          <cell r="U595" t="str">
            <v>J95606012H</v>
          </cell>
          <cell r="V595" t="str">
            <v>355 69 690 2972</v>
          </cell>
          <cell r="W595" t="str">
            <v>Albania</v>
          </cell>
          <cell r="X595">
            <v>1473</v>
          </cell>
          <cell r="AB595">
            <v>1700</v>
          </cell>
          <cell r="AC595">
            <v>5489</v>
          </cell>
          <cell r="AD595">
            <v>1291</v>
          </cell>
          <cell r="AE595">
            <v>6780</v>
          </cell>
          <cell r="AF595">
            <v>6780</v>
          </cell>
        </row>
        <row r="596">
          <cell r="A596">
            <v>594</v>
          </cell>
          <cell r="B596">
            <v>46099</v>
          </cell>
          <cell r="C596" t="str">
            <v>MINI Cooper COUNTRYMAN</v>
          </cell>
          <cell r="D596" t="str">
            <v>MINI Cooper</v>
          </cell>
          <cell r="E596" t="str">
            <v>COUNTRYMAN</v>
          </cell>
          <cell r="G596" t="str">
            <v>67버0129</v>
          </cell>
          <cell r="H596" t="str">
            <v>WMWXD5106GWU10580</v>
          </cell>
          <cell r="I596">
            <v>46101</v>
          </cell>
          <cell r="J596" t="str">
            <v>㈜아이엠모터스</v>
          </cell>
          <cell r="K596" t="str">
            <v>㈜아이엠모터스</v>
          </cell>
          <cell r="L596" t="str">
            <v>잔금</v>
          </cell>
          <cell r="M596" t="str">
            <v>50만원 대표님 계약</v>
          </cell>
          <cell r="N596">
            <v>600</v>
          </cell>
          <cell r="P596">
            <v>600</v>
          </cell>
          <cell r="Q596" t="str">
            <v>done</v>
          </cell>
          <cell r="R596">
            <v>46105</v>
          </cell>
          <cell r="S596" t="str">
            <v>VILLA KOHA</v>
          </cell>
          <cell r="T596" t="str">
            <v>VILLA KOHA SH.P.K</v>
          </cell>
          <cell r="U596">
            <v>810039588</v>
          </cell>
          <cell r="V596" t="str">
            <v>383 49247777</v>
          </cell>
          <cell r="W596" t="str">
            <v>KOSOVO</v>
          </cell>
          <cell r="X596">
            <v>1473</v>
          </cell>
          <cell r="AB596">
            <v>1700</v>
          </cell>
          <cell r="AC596">
            <v>3729</v>
          </cell>
          <cell r="AD596">
            <v>1291</v>
          </cell>
          <cell r="AE596">
            <v>5020</v>
          </cell>
          <cell r="AF596">
            <v>5020</v>
          </cell>
        </row>
        <row r="597">
          <cell r="A597">
            <v>595</v>
          </cell>
          <cell r="B597">
            <v>46100</v>
          </cell>
          <cell r="C597" t="str">
            <v>AUDI A7</v>
          </cell>
          <cell r="D597" t="str">
            <v>AUDI</v>
          </cell>
          <cell r="E597" t="str">
            <v>A7</v>
          </cell>
          <cell r="G597" t="str">
            <v>27루1000</v>
          </cell>
          <cell r="H597" t="str">
            <v>WAUZZZ4G8GN071742</v>
          </cell>
          <cell r="I597">
            <v>46101</v>
          </cell>
          <cell r="J597" t="str">
            <v>㈜왕카</v>
          </cell>
          <cell r="K597" t="str">
            <v>㈜왕카</v>
          </cell>
          <cell r="L597" t="str">
            <v>잔금</v>
          </cell>
          <cell r="M597" t="str">
            <v>100만원 대표님 계약</v>
          </cell>
          <cell r="N597">
            <v>2150</v>
          </cell>
          <cell r="P597">
            <v>2150</v>
          </cell>
          <cell r="Q597" t="str">
            <v>done</v>
          </cell>
          <cell r="R597">
            <v>46105</v>
          </cell>
          <cell r="S597" t="str">
            <v>CALJA</v>
          </cell>
          <cell r="T597" t="str">
            <v>Isufaj Agron</v>
          </cell>
          <cell r="U597" t="str">
            <v>J20225131Q</v>
          </cell>
          <cell r="V597" t="str">
            <v>355 69 550 5533</v>
          </cell>
          <cell r="W597" t="str">
            <v>Albania</v>
          </cell>
          <cell r="X597">
            <v>1485</v>
          </cell>
          <cell r="AB597">
            <v>1703</v>
          </cell>
          <cell r="AC597">
            <v>12101</v>
          </cell>
          <cell r="AD597">
            <v>1299</v>
          </cell>
          <cell r="AE597">
            <v>13400</v>
          </cell>
          <cell r="AF597">
            <v>14500</v>
          </cell>
        </row>
        <row r="598">
          <cell r="A598">
            <v>596</v>
          </cell>
          <cell r="B598">
            <v>46100</v>
          </cell>
          <cell r="C598" t="str">
            <v>BENZ E220D</v>
          </cell>
          <cell r="D598" t="str">
            <v>BENZ</v>
          </cell>
          <cell r="E598" t="str">
            <v>E220D</v>
          </cell>
          <cell r="G598" t="str">
            <v>09거0175</v>
          </cell>
          <cell r="H598" t="str">
            <v>WDDZF0EB3HA028029</v>
          </cell>
          <cell r="I598">
            <v>46105</v>
          </cell>
          <cell r="J598" t="str">
            <v>㈜준모터스</v>
          </cell>
          <cell r="K598" t="str">
            <v>㈜준모터스</v>
          </cell>
          <cell r="L598" t="str">
            <v>잔금</v>
          </cell>
          <cell r="M598" t="str">
            <v>50만원 대표님 계약</v>
          </cell>
          <cell r="N598">
            <v>1600</v>
          </cell>
          <cell r="P598">
            <v>1600</v>
          </cell>
          <cell r="Q598" t="str">
            <v>DONE</v>
          </cell>
          <cell r="R598">
            <v>46107</v>
          </cell>
          <cell r="S598" t="str">
            <v>CALJA</v>
          </cell>
          <cell r="T598" t="str">
            <v>Calja</v>
          </cell>
          <cell r="U598" t="str">
            <v>M43323203V</v>
          </cell>
          <cell r="V598" t="str">
            <v>355 69 550 5533</v>
          </cell>
          <cell r="W598" t="str">
            <v>Albania</v>
          </cell>
          <cell r="X598">
            <v>1485</v>
          </cell>
          <cell r="AB598">
            <v>1703</v>
          </cell>
          <cell r="AC598">
            <v>8951</v>
          </cell>
          <cell r="AD598">
            <v>1299</v>
          </cell>
          <cell r="AE598">
            <v>10250</v>
          </cell>
          <cell r="AF598">
            <v>11350</v>
          </cell>
        </row>
        <row r="599">
          <cell r="A599">
            <v>597</v>
          </cell>
          <cell r="B599">
            <v>46100</v>
          </cell>
          <cell r="C599" t="str">
            <v>BENZ CLA</v>
          </cell>
          <cell r="D599" t="str">
            <v>BENZ</v>
          </cell>
          <cell r="E599" t="str">
            <v>CLA</v>
          </cell>
          <cell r="G599" t="str">
            <v>204고2445</v>
          </cell>
          <cell r="H599" t="str">
            <v>WDDSJ0BB0EN045850</v>
          </cell>
          <cell r="I599">
            <v>46101</v>
          </cell>
          <cell r="J599" t="str">
            <v>경매장 - AJ</v>
          </cell>
          <cell r="K599" t="str">
            <v>gmt 04/22</v>
          </cell>
          <cell r="L599" t="str">
            <v>잔금</v>
          </cell>
          <cell r="N599">
            <v>830</v>
          </cell>
          <cell r="O599">
            <v>21</v>
          </cell>
          <cell r="P599">
            <v>851</v>
          </cell>
          <cell r="Q599" t="str">
            <v>DONE</v>
          </cell>
          <cell r="R599">
            <v>46107</v>
          </cell>
          <cell r="S599" t="str">
            <v xml:space="preserve">Andrea Kasa </v>
          </cell>
          <cell r="T599" t="str">
            <v xml:space="preserve">Andrea Kasa </v>
          </cell>
          <cell r="U599" t="str">
            <v>K30122016U</v>
          </cell>
          <cell r="V599" t="str">
            <v>355 69 746 2556</v>
          </cell>
          <cell r="W599" t="str">
            <v>Albania</v>
          </cell>
          <cell r="X599">
            <v>1485</v>
          </cell>
          <cell r="AB599">
            <v>1703</v>
          </cell>
          <cell r="AC599">
            <v>4901</v>
          </cell>
          <cell r="AD599">
            <v>1299</v>
          </cell>
          <cell r="AE599">
            <v>6200</v>
          </cell>
        </row>
        <row r="600">
          <cell r="A600">
            <v>598</v>
          </cell>
          <cell r="B600">
            <v>46100</v>
          </cell>
          <cell r="C600" t="str">
            <v>AUDI Q3</v>
          </cell>
          <cell r="D600" t="str">
            <v>AUDI</v>
          </cell>
          <cell r="E600" t="str">
            <v>Q3</v>
          </cell>
          <cell r="G600" t="str">
            <v>37고2916</v>
          </cell>
          <cell r="H600" t="str">
            <v>WAUZZZ8U3DR046106</v>
          </cell>
          <cell r="I600">
            <v>46101</v>
          </cell>
          <cell r="J600" t="str">
            <v>경매장 - AJ</v>
          </cell>
          <cell r="K600" t="str">
            <v>sangshin 4/26</v>
          </cell>
          <cell r="L600" t="str">
            <v>잔금</v>
          </cell>
          <cell r="N600">
            <v>720</v>
          </cell>
          <cell r="O600">
            <v>18</v>
          </cell>
          <cell r="P600">
            <v>738</v>
          </cell>
          <cell r="Q600" t="str">
            <v>DONE</v>
          </cell>
          <cell r="R600">
            <v>46107</v>
          </cell>
          <cell r="S600" t="str">
            <v xml:space="preserve">Andrea Kasa </v>
          </cell>
          <cell r="T600" t="str">
            <v>UZUNI NEXHMIJE</v>
          </cell>
          <cell r="U600" t="str">
            <v>I555424006W</v>
          </cell>
          <cell r="V600" t="str">
            <v>355 69 746 2556</v>
          </cell>
          <cell r="W600" t="str">
            <v>Albania</v>
          </cell>
          <cell r="X600">
            <v>1485</v>
          </cell>
          <cell r="AB600">
            <v>1703</v>
          </cell>
          <cell r="AC600">
            <v>4273</v>
          </cell>
          <cell r="AD600">
            <v>1387</v>
          </cell>
          <cell r="AE600">
            <v>5660</v>
          </cell>
          <cell r="AF600">
            <v>10500</v>
          </cell>
        </row>
        <row r="601">
          <cell r="A601">
            <v>599</v>
          </cell>
          <cell r="B601">
            <v>46100</v>
          </cell>
          <cell r="C601" t="str">
            <v>BENZ CLS</v>
          </cell>
          <cell r="D601" t="str">
            <v>BENZ</v>
          </cell>
          <cell r="E601" t="str">
            <v>CLS</v>
          </cell>
          <cell r="G601" t="str">
            <v>67머9278</v>
          </cell>
          <cell r="H601" t="str">
            <v>WDDLJ5KB3CA037165</v>
          </cell>
          <cell r="I601">
            <v>46101</v>
          </cell>
          <cell r="J601" t="str">
            <v>경매장 - AJ</v>
          </cell>
          <cell r="K601" t="str">
            <v>gmt 04/22</v>
          </cell>
          <cell r="L601" t="str">
            <v>잔금</v>
          </cell>
          <cell r="N601">
            <v>640</v>
          </cell>
          <cell r="O601">
            <v>16</v>
          </cell>
          <cell r="P601">
            <v>656</v>
          </cell>
          <cell r="Q601" t="str">
            <v>DONE</v>
          </cell>
          <cell r="R601">
            <v>46107</v>
          </cell>
          <cell r="S601" t="str">
            <v xml:space="preserve">Andrea Kasa </v>
          </cell>
          <cell r="T601" t="str">
            <v>Marselo Gjuzi</v>
          </cell>
          <cell r="U601" t="str">
            <v>K50310031L</v>
          </cell>
          <cell r="V601" t="str">
            <v>355 69 746 2556</v>
          </cell>
          <cell r="W601" t="str">
            <v>Albania</v>
          </cell>
          <cell r="X601">
            <v>1485</v>
          </cell>
          <cell r="AB601">
            <v>1703</v>
          </cell>
          <cell r="AC601">
            <v>3851</v>
          </cell>
          <cell r="AD601">
            <v>1299</v>
          </cell>
          <cell r="AE601">
            <v>5150</v>
          </cell>
          <cell r="AF601">
            <v>6150</v>
          </cell>
        </row>
        <row r="602">
          <cell r="A602">
            <v>600</v>
          </cell>
          <cell r="B602">
            <v>46100</v>
          </cell>
          <cell r="C602" t="str">
            <v>HYUNDAI TUCSON</v>
          </cell>
          <cell r="D602" t="str">
            <v>HYUNDAI</v>
          </cell>
          <cell r="E602" t="str">
            <v>TUCSON</v>
          </cell>
          <cell r="G602" t="str">
            <v>09주2556</v>
          </cell>
          <cell r="H602" t="str">
            <v>KMHJ581ABJU773857</v>
          </cell>
          <cell r="I602">
            <v>46104</v>
          </cell>
          <cell r="J602" t="str">
            <v>㈜ M- 모터스</v>
          </cell>
          <cell r="L602" t="str">
            <v>잔금</v>
          </cell>
          <cell r="M602" t="str">
            <v>50만원 대표님 계약</v>
          </cell>
          <cell r="N602">
            <v>1250</v>
          </cell>
          <cell r="P602">
            <v>1250</v>
          </cell>
          <cell r="Q602" t="str">
            <v>done</v>
          </cell>
          <cell r="R602">
            <v>46106</v>
          </cell>
          <cell r="S602" t="str">
            <v>CALJA</v>
          </cell>
          <cell r="T602" t="str">
            <v>SHEHAJ ERVIS</v>
          </cell>
          <cell r="U602" t="str">
            <v>J20218106A</v>
          </cell>
          <cell r="V602" t="str">
            <v>355 69 550 5533</v>
          </cell>
          <cell r="W602" t="str">
            <v>Albania</v>
          </cell>
          <cell r="X602">
            <v>1485</v>
          </cell>
          <cell r="AB602">
            <v>1703</v>
          </cell>
          <cell r="AC602">
            <v>7042</v>
          </cell>
          <cell r="AD602">
            <v>1378</v>
          </cell>
          <cell r="AE602">
            <v>8420</v>
          </cell>
          <cell r="AF602">
            <v>9580</v>
          </cell>
        </row>
        <row r="603">
          <cell r="A603">
            <v>601</v>
          </cell>
          <cell r="B603">
            <v>46101</v>
          </cell>
          <cell r="C603" t="str">
            <v>RENAULT QM6</v>
          </cell>
          <cell r="D603" t="str">
            <v>RENAULT</v>
          </cell>
          <cell r="E603" t="str">
            <v>QM6</v>
          </cell>
          <cell r="G603" t="str">
            <v>61라1361</v>
          </cell>
          <cell r="H603" t="str">
            <v xml:space="preserve">KNME5C2M5HP021115 </v>
          </cell>
          <cell r="I603">
            <v>46107</v>
          </cell>
          <cell r="J603" t="str">
            <v>㈜ 드림카마켓</v>
          </cell>
          <cell r="K603" t="str">
            <v>sangshin</v>
          </cell>
          <cell r="L603" t="str">
            <v>잔금</v>
          </cell>
          <cell r="M603" t="str">
            <v>50만원 회사통장 계약</v>
          </cell>
          <cell r="N603">
            <v>990</v>
          </cell>
          <cell r="P603">
            <v>990</v>
          </cell>
          <cell r="Q603" t="str">
            <v>done</v>
          </cell>
          <cell r="R603">
            <v>46118</v>
          </cell>
          <cell r="S603" t="str">
            <v>R.S.h L.L.C.</v>
          </cell>
          <cell r="T603" t="str">
            <v>R.Sh L.L.C.</v>
          </cell>
          <cell r="U603">
            <v>812326016</v>
          </cell>
          <cell r="V603" t="str">
            <v>+383486 611 61</v>
          </cell>
          <cell r="W603" t="str">
            <v>Kosovo</v>
          </cell>
          <cell r="X603">
            <v>1490</v>
          </cell>
          <cell r="AB603">
            <v>1707</v>
          </cell>
          <cell r="AC603">
            <v>5632</v>
          </cell>
          <cell r="AD603">
            <v>1388</v>
          </cell>
          <cell r="AE603">
            <v>7020</v>
          </cell>
        </row>
        <row r="604">
          <cell r="A604">
            <v>602</v>
          </cell>
          <cell r="B604">
            <v>46101</v>
          </cell>
          <cell r="C604" t="str">
            <v>RENAULT QM3</v>
          </cell>
          <cell r="D604" t="str">
            <v>RENAULT</v>
          </cell>
          <cell r="E604" t="str">
            <v>QM3</v>
          </cell>
          <cell r="G604" t="str">
            <v>09구5200</v>
          </cell>
          <cell r="H604" t="str">
            <v xml:space="preserve"> VF1S87003KW983250 </v>
          </cell>
          <cell r="I604">
            <v>46107</v>
          </cell>
          <cell r="J604" t="str">
            <v>㈜블루오토</v>
          </cell>
          <cell r="K604" t="str">
            <v>HEYMAN</v>
          </cell>
          <cell r="L604" t="str">
            <v>잔금</v>
          </cell>
          <cell r="M604" t="str">
            <v>50만원 회사통장 계약</v>
          </cell>
          <cell r="N604">
            <v>760</v>
          </cell>
          <cell r="P604">
            <v>760</v>
          </cell>
          <cell r="Q604" t="str">
            <v>done</v>
          </cell>
          <cell r="R604">
            <v>46119</v>
          </cell>
          <cell r="S604" t="str">
            <v>R.S.h L.L.C.</v>
          </cell>
          <cell r="T604" t="str">
            <v>R.Sh L.L.C.</v>
          </cell>
          <cell r="U604">
            <v>812326016</v>
          </cell>
          <cell r="V604" t="str">
            <v>+383486 611 61</v>
          </cell>
          <cell r="W604" t="str">
            <v>Kosovo</v>
          </cell>
          <cell r="X604">
            <v>1490</v>
          </cell>
          <cell r="AB604">
            <v>1707</v>
          </cell>
          <cell r="AC604">
            <v>4399</v>
          </cell>
          <cell r="AD604">
            <v>1301</v>
          </cell>
          <cell r="AE604">
            <v>5700</v>
          </cell>
          <cell r="AF604">
            <v>5700</v>
          </cell>
        </row>
        <row r="605">
          <cell r="A605">
            <v>603</v>
          </cell>
          <cell r="B605">
            <v>46101</v>
          </cell>
          <cell r="C605" t="str">
            <v>AUDI A8L</v>
          </cell>
          <cell r="D605" t="str">
            <v>AUDI</v>
          </cell>
          <cell r="E605" t="str">
            <v>A8L</v>
          </cell>
          <cell r="G605" t="str">
            <v>57소4745</v>
          </cell>
          <cell r="H605" t="str">
            <v xml:space="preserve"> WAUZZZ4H7EN007634</v>
          </cell>
          <cell r="I605">
            <v>46105</v>
          </cell>
          <cell r="J605" t="str">
            <v>㈜골드상사</v>
          </cell>
          <cell r="L605" t="str">
            <v>잔금</v>
          </cell>
          <cell r="M605" t="str">
            <v>50만원 회사통장 계약</v>
          </cell>
          <cell r="N605">
            <v>786</v>
          </cell>
          <cell r="O605">
            <v>44</v>
          </cell>
          <cell r="P605">
            <v>830</v>
          </cell>
          <cell r="Q605" t="str">
            <v>DONE</v>
          </cell>
          <cell r="R605">
            <v>46107</v>
          </cell>
          <cell r="S605" t="str">
            <v>RIZA</v>
          </cell>
          <cell r="T605" t="str">
            <v>PRESTIGE RENT</v>
          </cell>
          <cell r="U605" t="str">
            <v>M56929203H</v>
          </cell>
          <cell r="V605" t="str">
            <v>355 682769063</v>
          </cell>
          <cell r="W605" t="str">
            <v>Albania</v>
          </cell>
          <cell r="X605">
            <v>1490</v>
          </cell>
          <cell r="AB605">
            <v>1707</v>
          </cell>
          <cell r="AC605">
            <v>4812</v>
          </cell>
          <cell r="AD605">
            <v>1388</v>
          </cell>
          <cell r="AE605">
            <v>6200</v>
          </cell>
          <cell r="AF605">
            <v>6720</v>
          </cell>
        </row>
        <row r="606">
          <cell r="A606">
            <v>604</v>
          </cell>
          <cell r="B606">
            <v>46101</v>
          </cell>
          <cell r="C606" t="str">
            <v>VOLKSWAGENS Jetta 2.0 TDI BMT Premium</v>
          </cell>
          <cell r="D606" t="str">
            <v>VOLKSWAGENS</v>
          </cell>
          <cell r="E606" t="str">
            <v>Jetta 2.0 TDI BMT Premium</v>
          </cell>
          <cell r="G606" t="str">
            <v>02노0947</v>
          </cell>
          <cell r="H606" t="str">
            <v>WVWZZZ16ZGM002407</v>
          </cell>
          <cell r="I606">
            <v>46104</v>
          </cell>
          <cell r="J606" t="str">
            <v>㈜픽카소</v>
          </cell>
          <cell r="L606" t="str">
            <v>잔금</v>
          </cell>
          <cell r="M606" t="str">
            <v>50만원 회사통장 계약</v>
          </cell>
          <cell r="N606">
            <v>985</v>
          </cell>
          <cell r="P606">
            <v>985</v>
          </cell>
          <cell r="Q606" t="str">
            <v>done</v>
          </cell>
          <cell r="R606">
            <v>46106</v>
          </cell>
          <cell r="S606" t="str">
            <v>ATLAS GROUP SH.P.K</v>
          </cell>
          <cell r="T606" t="str">
            <v>ATLAS GROUP SH.P.K</v>
          </cell>
          <cell r="U606">
            <v>812137455</v>
          </cell>
          <cell r="V606" t="str">
            <v>+38348702207</v>
          </cell>
          <cell r="W606" t="str">
            <v>Xhelal Hajda, p.n. Rahovec</v>
          </cell>
          <cell r="X606">
            <v>1490</v>
          </cell>
          <cell r="AB606">
            <v>1707</v>
          </cell>
          <cell r="AC606">
            <v>5569</v>
          </cell>
          <cell r="AD606">
            <v>1301</v>
          </cell>
          <cell r="AE606">
            <v>6870</v>
          </cell>
          <cell r="AF606">
            <v>6870</v>
          </cell>
        </row>
        <row r="607">
          <cell r="A607">
            <v>605</v>
          </cell>
          <cell r="B607">
            <v>46103</v>
          </cell>
          <cell r="C607" t="str">
            <v>BENZ C220D</v>
          </cell>
          <cell r="D607" t="str">
            <v>BENZ</v>
          </cell>
          <cell r="E607" t="str">
            <v>C220D</v>
          </cell>
          <cell r="G607" t="str">
            <v>233러1319</v>
          </cell>
          <cell r="H607" t="str">
            <v>WDDWF0EB5GF275296</v>
          </cell>
          <cell r="I607">
            <v>46106</v>
          </cell>
          <cell r="J607" t="str">
            <v>개인매입- 이서영</v>
          </cell>
          <cell r="L607" t="str">
            <v>잔금</v>
          </cell>
          <cell r="M607" t="str">
            <v>50만원 회사통장 계약</v>
          </cell>
          <cell r="N607">
            <v>1140</v>
          </cell>
          <cell r="P607">
            <v>1140</v>
          </cell>
          <cell r="Q607" t="str">
            <v>DONE</v>
          </cell>
          <cell r="R607">
            <v>46109</v>
          </cell>
          <cell r="S607" t="str">
            <v>CALJA</v>
          </cell>
          <cell r="T607" t="str">
            <v>FITIMTAR BULLARI</v>
          </cell>
          <cell r="U607" t="str">
            <v>H70710012Q</v>
          </cell>
          <cell r="V607" t="str">
            <v>355 69 550 5533</v>
          </cell>
          <cell r="W607" t="str">
            <v>Albania</v>
          </cell>
          <cell r="X607">
            <v>1490</v>
          </cell>
          <cell r="AB607">
            <v>1726</v>
          </cell>
          <cell r="AC607">
            <v>6504</v>
          </cell>
          <cell r="AD607">
            <v>1286</v>
          </cell>
          <cell r="AE607">
            <v>7790</v>
          </cell>
          <cell r="AF607">
            <v>8280</v>
          </cell>
        </row>
        <row r="608">
          <cell r="A608">
            <v>606</v>
          </cell>
          <cell r="B608">
            <v>46101</v>
          </cell>
          <cell r="C608" t="str">
            <v>BENZ C220D</v>
          </cell>
          <cell r="D608" t="str">
            <v>BENZ</v>
          </cell>
          <cell r="E608" t="str">
            <v>C220D</v>
          </cell>
          <cell r="G608" t="str">
            <v>45마9178</v>
          </cell>
          <cell r="H608" t="str">
            <v>WDDWF0EB6HR262069</v>
          </cell>
          <cell r="I608">
            <v>46104</v>
          </cell>
          <cell r="J608" t="str">
            <v>현대글로비스</v>
          </cell>
          <cell r="L608" t="str">
            <v>잔금</v>
          </cell>
          <cell r="N608">
            <v>1245</v>
          </cell>
          <cell r="O608">
            <v>27</v>
          </cell>
          <cell r="P608">
            <v>1272</v>
          </cell>
          <cell r="Q608" t="str">
            <v>DONE</v>
          </cell>
          <cell r="R608">
            <v>46107</v>
          </cell>
          <cell r="S608" t="str">
            <v>DONI</v>
          </cell>
          <cell r="T608" t="str">
            <v>DONI</v>
          </cell>
          <cell r="U608">
            <v>933682</v>
          </cell>
          <cell r="V608" t="str">
            <v>3 8 3 4 9 3 2 5 7 0 3</v>
          </cell>
          <cell r="W608" t="str">
            <v xml:space="preserve"> HYZRI TALLA OB 16 HY 1 NR 18
 Kosovë</v>
          </cell>
          <cell r="X608">
            <v>1490</v>
          </cell>
          <cell r="AB608">
            <v>1721</v>
          </cell>
          <cell r="AC608">
            <v>7160</v>
          </cell>
          <cell r="AD608">
            <v>1290</v>
          </cell>
          <cell r="AE608">
            <v>8450</v>
          </cell>
        </row>
        <row r="609">
          <cell r="A609">
            <v>607</v>
          </cell>
          <cell r="B609">
            <v>46103</v>
          </cell>
          <cell r="C609" t="str">
            <v>VOLKSWAGENS TIGUAN</v>
          </cell>
          <cell r="D609" t="str">
            <v>VOLKSWAGENS</v>
          </cell>
          <cell r="E609" t="str">
            <v>TIGUAN</v>
          </cell>
          <cell r="G609" t="str">
            <v>26보5791</v>
          </cell>
          <cell r="H609" t="str">
            <v>WVGZZZ5NZGW514333</v>
          </cell>
          <cell r="I609">
            <v>46104</v>
          </cell>
          <cell r="J609" t="str">
            <v>㈜더굿모닝자동차</v>
          </cell>
          <cell r="L609" t="str">
            <v>잔금</v>
          </cell>
          <cell r="M609" t="str">
            <v>50만원 회사통장 계약</v>
          </cell>
          <cell r="N609">
            <v>710</v>
          </cell>
          <cell r="P609">
            <v>710</v>
          </cell>
          <cell r="Q609" t="str">
            <v>done</v>
          </cell>
          <cell r="R609">
            <v>46106</v>
          </cell>
          <cell r="S609" t="str">
            <v>CALJA</v>
          </cell>
          <cell r="T609" t="str">
            <v>MANJANI IRENA</v>
          </cell>
          <cell r="U609" t="str">
            <v>J05726010Q</v>
          </cell>
          <cell r="V609" t="str">
            <v>355 69 550 5533</v>
          </cell>
          <cell r="W609" t="str">
            <v>Albania</v>
          </cell>
          <cell r="X609">
            <v>1490</v>
          </cell>
          <cell r="AB609">
            <v>1726</v>
          </cell>
          <cell r="AC609">
            <v>4227</v>
          </cell>
          <cell r="AD609">
            <v>1373</v>
          </cell>
          <cell r="AE609">
            <v>5600</v>
          </cell>
          <cell r="AF609">
            <v>6600</v>
          </cell>
        </row>
        <row r="610">
          <cell r="A610">
            <v>608</v>
          </cell>
          <cell r="B610">
            <v>46103</v>
          </cell>
          <cell r="C610" t="str">
            <v>AUDI Q7</v>
          </cell>
          <cell r="D610" t="str">
            <v>AUDI</v>
          </cell>
          <cell r="E610" t="str">
            <v>Q7</v>
          </cell>
          <cell r="G610" t="str">
            <v>267주7162</v>
          </cell>
          <cell r="H610" t="str">
            <v>WAUZZZ4MXMD004213</v>
          </cell>
          <cell r="I610">
            <v>46104</v>
          </cell>
          <cell r="J610" t="str">
            <v>㈜카베이</v>
          </cell>
          <cell r="L610" t="str">
            <v>잔금</v>
          </cell>
          <cell r="M610" t="str">
            <v>100만원 대표님 계약</v>
          </cell>
          <cell r="N610">
            <v>4365</v>
          </cell>
          <cell r="P610">
            <v>4365</v>
          </cell>
          <cell r="Q610" t="str">
            <v>done</v>
          </cell>
          <cell r="R610">
            <v>46106</v>
          </cell>
          <cell r="S610" t="str">
            <v>CALJA</v>
          </cell>
          <cell r="T610" t="str">
            <v>HYSA VJOLLCA</v>
          </cell>
          <cell r="U610" t="str">
            <v>G85304019R</v>
          </cell>
          <cell r="V610" t="str">
            <v>355 69 550 5533</v>
          </cell>
          <cell r="W610" t="str">
            <v>Albania</v>
          </cell>
          <cell r="X610">
            <v>1492</v>
          </cell>
          <cell r="AB610">
            <v>1726</v>
          </cell>
          <cell r="AC610">
            <v>24339</v>
          </cell>
          <cell r="AD610">
            <v>1461</v>
          </cell>
          <cell r="AE610">
            <v>25800</v>
          </cell>
          <cell r="AF610">
            <v>26800</v>
          </cell>
        </row>
        <row r="611">
          <cell r="A611">
            <v>609</v>
          </cell>
          <cell r="B611">
            <v>46103</v>
          </cell>
          <cell r="C611" t="str">
            <v>Citroen DS7</v>
          </cell>
          <cell r="D611" t="str">
            <v>Citroen</v>
          </cell>
          <cell r="E611" t="str">
            <v>DS7</v>
          </cell>
          <cell r="G611" t="str">
            <v>331부2688</v>
          </cell>
          <cell r="H611" t="str">
            <v>VR1JJEHZRKY003733</v>
          </cell>
          <cell r="I611">
            <v>46111</v>
          </cell>
          <cell r="K611" t="str">
            <v>sangshin</v>
          </cell>
          <cell r="L611" t="str">
            <v>잔금</v>
          </cell>
          <cell r="M611" t="str">
            <v>50만원 대표님 계약</v>
          </cell>
          <cell r="N611">
            <v>1530</v>
          </cell>
          <cell r="P611">
            <v>1530</v>
          </cell>
          <cell r="Q611" t="str">
            <v>done</v>
          </cell>
          <cell r="R611">
            <v>46118</v>
          </cell>
          <cell r="S611" t="str">
            <v>R.S.h L.L.C.</v>
          </cell>
          <cell r="T611" t="str">
            <v>R.Sh L.L.C.</v>
          </cell>
          <cell r="U611">
            <v>812326016</v>
          </cell>
          <cell r="V611" t="str">
            <v>+383486 611 61</v>
          </cell>
          <cell r="W611" t="str">
            <v>Kosovo</v>
          </cell>
          <cell r="X611">
            <v>1492</v>
          </cell>
          <cell r="AB611">
            <v>1726</v>
          </cell>
          <cell r="AC611">
            <v>8712</v>
          </cell>
          <cell r="AD611">
            <v>1288</v>
          </cell>
          <cell r="AE611">
            <v>10000</v>
          </cell>
        </row>
        <row r="612">
          <cell r="A612">
            <v>610</v>
          </cell>
          <cell r="B612">
            <v>46103</v>
          </cell>
          <cell r="C612" t="str">
            <v>BENZ E220D</v>
          </cell>
          <cell r="D612" t="str">
            <v>BENZ</v>
          </cell>
          <cell r="E612" t="str">
            <v>E220D</v>
          </cell>
          <cell r="G612" t="str">
            <v>200거5024</v>
          </cell>
          <cell r="H612" t="str">
            <v>WDDZF0EB8HA281055</v>
          </cell>
          <cell r="I612">
            <v>46105</v>
          </cell>
          <cell r="J612" t="str">
            <v>㈜휘카</v>
          </cell>
          <cell r="L612" t="str">
            <v>잔금</v>
          </cell>
          <cell r="M612" t="str">
            <v>50만원 대표님 계약</v>
          </cell>
          <cell r="N612">
            <v>1700</v>
          </cell>
          <cell r="P612">
            <v>1700</v>
          </cell>
          <cell r="Q612" t="str">
            <v>DONE</v>
          </cell>
          <cell r="R612">
            <v>46107</v>
          </cell>
          <cell r="S612" t="str">
            <v>CALJA</v>
          </cell>
          <cell r="T612" t="str">
            <v>NOVEVSKA REDION</v>
          </cell>
          <cell r="U612" t="str">
            <v>J50716088F</v>
          </cell>
          <cell r="V612" t="str">
            <v>355 69 550 5533</v>
          </cell>
          <cell r="W612" t="str">
            <v>Albania</v>
          </cell>
          <cell r="X612">
            <v>1492</v>
          </cell>
          <cell r="AB612">
            <v>1726</v>
          </cell>
          <cell r="AC612">
            <v>9592</v>
          </cell>
          <cell r="AD612">
            <v>1288</v>
          </cell>
          <cell r="AE612">
            <v>10880</v>
          </cell>
          <cell r="AF612">
            <v>12990</v>
          </cell>
        </row>
        <row r="613">
          <cell r="A613">
            <v>611</v>
          </cell>
          <cell r="B613">
            <v>46103</v>
          </cell>
          <cell r="C613" t="str">
            <v>BMW M4</v>
          </cell>
          <cell r="D613" t="str">
            <v>BMW</v>
          </cell>
          <cell r="E613" t="str">
            <v>M4</v>
          </cell>
          <cell r="G613" t="str">
            <v>113가6684</v>
          </cell>
          <cell r="H613" t="str">
            <v>WBS3R9105EF699757</v>
          </cell>
          <cell r="I613">
            <v>46108</v>
          </cell>
          <cell r="J613" t="str">
            <v>㈜바른모터스</v>
          </cell>
          <cell r="L613" t="str">
            <v>잔금</v>
          </cell>
          <cell r="M613" t="str">
            <v>100만원 대표님 계약</v>
          </cell>
          <cell r="N613">
            <v>3150</v>
          </cell>
          <cell r="O613">
            <v>44</v>
          </cell>
          <cell r="P613">
            <v>3194</v>
          </cell>
          <cell r="Q613" t="str">
            <v>DONE</v>
          </cell>
          <cell r="R613">
            <v>46163</v>
          </cell>
          <cell r="S613" t="str">
            <v>Ardijan Qorraj</v>
          </cell>
          <cell r="T613" t="str">
            <v>Ardijan Qorraj</v>
          </cell>
          <cell r="U613" t="str">
            <v>C6YRK7K2F</v>
          </cell>
          <cell r="V613">
            <v>4917655744700</v>
          </cell>
          <cell r="W613" t="str">
            <v>Germany, Piepersweg 35 (41066)</v>
          </cell>
          <cell r="X613">
            <v>1492</v>
          </cell>
          <cell r="AB613">
            <v>1726</v>
          </cell>
          <cell r="AC613">
            <v>17600</v>
          </cell>
        </row>
        <row r="614">
          <cell r="A614">
            <v>612</v>
          </cell>
          <cell r="B614">
            <v>46103</v>
          </cell>
          <cell r="C614" t="str">
            <v>AUDI A4</v>
          </cell>
          <cell r="D614" t="str">
            <v>AUDI</v>
          </cell>
          <cell r="E614" t="str">
            <v>A4</v>
          </cell>
          <cell r="G614" t="str">
            <v>49수0861</v>
          </cell>
          <cell r="H614" t="str">
            <v>WAUZZZ8K5GN007088</v>
          </cell>
          <cell r="J614" t="str">
            <v>현대글로비스</v>
          </cell>
          <cell r="L614" t="str">
            <v>잔금</v>
          </cell>
          <cell r="N614">
            <v>590</v>
          </cell>
          <cell r="O614">
            <v>16</v>
          </cell>
          <cell r="P614">
            <v>606</v>
          </cell>
          <cell r="Q614" t="str">
            <v>done</v>
          </cell>
          <cell r="R614" t="str">
            <v>REPORT DONE</v>
          </cell>
          <cell r="S614" t="str">
            <v xml:space="preserve">EUROAUTO.AL </v>
          </cell>
          <cell r="T614" t="str">
            <v>Erion Gjergji</v>
          </cell>
          <cell r="U614" t="str">
            <v>I90516099R</v>
          </cell>
          <cell r="V614" t="str">
            <v>49 163 6979 099</v>
          </cell>
          <cell r="W614" t="str">
            <v>Albania</v>
          </cell>
          <cell r="X614">
            <v>1492</v>
          </cell>
          <cell r="AB614">
            <v>1726</v>
          </cell>
          <cell r="AC614">
            <v>3666</v>
          </cell>
          <cell r="AD614">
            <v>1184</v>
          </cell>
          <cell r="AE614">
            <v>4850</v>
          </cell>
          <cell r="AF614">
            <v>4850</v>
          </cell>
        </row>
        <row r="615">
          <cell r="A615">
            <v>613</v>
          </cell>
          <cell r="B615">
            <v>46103</v>
          </cell>
          <cell r="C615" t="str">
            <v>BENZ E220D</v>
          </cell>
          <cell r="D615" t="str">
            <v>BENZ</v>
          </cell>
          <cell r="E615" t="str">
            <v>E220D</v>
          </cell>
          <cell r="G615" t="str">
            <v>135구3059</v>
          </cell>
          <cell r="H615" t="str">
            <v>WDDZF0EB9KA693797</v>
          </cell>
          <cell r="I615">
            <v>46105</v>
          </cell>
          <cell r="J615" t="str">
            <v>㈜에이엠지모터스</v>
          </cell>
          <cell r="L615" t="str">
            <v>잔금</v>
          </cell>
          <cell r="M615" t="str">
            <v>50만원 대표님 계약</v>
          </cell>
          <cell r="N615">
            <v>2146</v>
          </cell>
          <cell r="O615">
            <v>44</v>
          </cell>
          <cell r="P615">
            <v>2190</v>
          </cell>
          <cell r="Q615" t="str">
            <v>DONE</v>
          </cell>
          <cell r="R615">
            <v>46107</v>
          </cell>
          <cell r="S615" t="str">
            <v>VILLA KOHA</v>
          </cell>
          <cell r="T615" t="str">
            <v>VILLA KOHA SH.P.K</v>
          </cell>
          <cell r="U615">
            <v>810039588</v>
          </cell>
          <cell r="V615" t="str">
            <v>383 49247777</v>
          </cell>
          <cell r="W615" t="str">
            <v>KOSOVO</v>
          </cell>
          <cell r="X615">
            <v>1492</v>
          </cell>
          <cell r="AB615">
            <v>1726</v>
          </cell>
          <cell r="AC615">
            <v>12212</v>
          </cell>
          <cell r="AD615">
            <v>1288</v>
          </cell>
          <cell r="AE615">
            <v>13500</v>
          </cell>
          <cell r="AF615">
            <v>13500</v>
          </cell>
        </row>
        <row r="616">
          <cell r="A616">
            <v>614</v>
          </cell>
          <cell r="B616">
            <v>46103</v>
          </cell>
          <cell r="C616" t="str">
            <v>AUDI A7</v>
          </cell>
          <cell r="D616" t="str">
            <v>AUDI</v>
          </cell>
          <cell r="E616" t="str">
            <v>A7</v>
          </cell>
          <cell r="G616" t="str">
            <v>23누7144</v>
          </cell>
          <cell r="H616" t="str">
            <v>WAUZZZ4G1GN035262</v>
          </cell>
          <cell r="I616">
            <v>46105</v>
          </cell>
          <cell r="J616" t="str">
            <v>㈜카포유</v>
          </cell>
          <cell r="L616" t="str">
            <v>잔금</v>
          </cell>
          <cell r="M616" t="str">
            <v>50만원 대표님 계약</v>
          </cell>
          <cell r="N616">
            <v>1630</v>
          </cell>
          <cell r="P616">
            <v>1630</v>
          </cell>
          <cell r="Q616" t="str">
            <v>DONE</v>
          </cell>
          <cell r="R616">
            <v>46107</v>
          </cell>
          <cell r="S616" t="str">
            <v>HYSA</v>
          </cell>
          <cell r="T616" t="str">
            <v>HYSA ALEKSANDER</v>
          </cell>
          <cell r="U616" t="str">
            <v>J10120018A</v>
          </cell>
          <cell r="V616" t="str">
            <v>355 69 690 2972</v>
          </cell>
          <cell r="W616" t="str">
            <v>Albania</v>
          </cell>
          <cell r="X616">
            <v>1492</v>
          </cell>
          <cell r="AB616">
            <v>1726</v>
          </cell>
          <cell r="AC616">
            <v>9112</v>
          </cell>
          <cell r="AD616">
            <v>1288</v>
          </cell>
          <cell r="AE616">
            <v>10400</v>
          </cell>
          <cell r="AF616">
            <v>12100</v>
          </cell>
        </row>
        <row r="617">
          <cell r="A617">
            <v>615</v>
          </cell>
          <cell r="B617">
            <v>46104</v>
          </cell>
          <cell r="C617" t="str">
            <v>AUDI A7</v>
          </cell>
          <cell r="D617" t="str">
            <v>AUDI</v>
          </cell>
          <cell r="E617" t="str">
            <v>A7</v>
          </cell>
          <cell r="G617" t="str">
            <v>237거1557</v>
          </cell>
          <cell r="H617" t="str">
            <v>WAUZZZ4GXFN050776</v>
          </cell>
          <cell r="I617">
            <v>46106</v>
          </cell>
          <cell r="J617" t="str">
            <v>㈜제이에스오토</v>
          </cell>
          <cell r="L617" t="str">
            <v>잔금</v>
          </cell>
          <cell r="M617" t="str">
            <v>50만원 회사통장 계약</v>
          </cell>
          <cell r="N617">
            <v>1090</v>
          </cell>
          <cell r="P617">
            <v>1090</v>
          </cell>
          <cell r="Q617" t="str">
            <v>done</v>
          </cell>
          <cell r="R617">
            <v>46113</v>
          </cell>
          <cell r="S617" t="str">
            <v>HYSA</v>
          </cell>
          <cell r="T617" t="str">
            <v>HYSA JUGERS</v>
          </cell>
          <cell r="U617" t="str">
            <v>M42902202Q</v>
          </cell>
          <cell r="V617" t="str">
            <v>355 69 690 2972</v>
          </cell>
          <cell r="W617" t="str">
            <v>Albania</v>
          </cell>
          <cell r="X617">
            <v>1490</v>
          </cell>
          <cell r="AB617">
            <v>1721</v>
          </cell>
          <cell r="AC617">
            <v>6140</v>
          </cell>
          <cell r="AD617">
            <v>1290</v>
          </cell>
          <cell r="AE617">
            <v>7430</v>
          </cell>
          <cell r="AF617">
            <v>7430</v>
          </cell>
        </row>
        <row r="618">
          <cell r="A618">
            <v>616</v>
          </cell>
          <cell r="B618">
            <v>46104</v>
          </cell>
          <cell r="C618" t="str">
            <v>RENAULT QM3</v>
          </cell>
          <cell r="D618" t="str">
            <v>RENAULT</v>
          </cell>
          <cell r="E618" t="str">
            <v>QM3</v>
          </cell>
          <cell r="G618" t="str">
            <v>25모0443</v>
          </cell>
          <cell r="H618" t="str">
            <v>VF12RGJ1DGW227540</v>
          </cell>
          <cell r="I618">
            <v>46106</v>
          </cell>
          <cell r="J618" t="str">
            <v>㈜원스타</v>
          </cell>
          <cell r="L618" t="str">
            <v>잔금</v>
          </cell>
          <cell r="M618" t="str">
            <v>50만원 회사통장 계약</v>
          </cell>
          <cell r="N618">
            <v>630</v>
          </cell>
          <cell r="P618">
            <v>630</v>
          </cell>
          <cell r="Q618" t="str">
            <v>DONE</v>
          </cell>
          <cell r="R618">
            <v>46109</v>
          </cell>
          <cell r="S618" t="str">
            <v>DONI</v>
          </cell>
          <cell r="T618" t="str">
            <v>DONI</v>
          </cell>
          <cell r="U618">
            <v>933682</v>
          </cell>
          <cell r="V618" t="str">
            <v>3 8 3 4 9 3 2 5 7 0 3</v>
          </cell>
          <cell r="W618" t="str">
            <v xml:space="preserve"> HYZRI TALLA OB 16 HY 1 NR 18
 Kosovë</v>
          </cell>
          <cell r="X618">
            <v>1490</v>
          </cell>
          <cell r="AB618">
            <v>1721</v>
          </cell>
          <cell r="AC618">
            <v>3670</v>
          </cell>
          <cell r="AD618">
            <v>1290</v>
          </cell>
          <cell r="AE618">
            <v>4960</v>
          </cell>
        </row>
        <row r="619">
          <cell r="A619">
            <v>617</v>
          </cell>
          <cell r="B619">
            <v>46104</v>
          </cell>
          <cell r="C619" t="str">
            <v>BENZ E220D</v>
          </cell>
          <cell r="D619" t="str">
            <v>BENZ</v>
          </cell>
          <cell r="E619" t="str">
            <v>E220D</v>
          </cell>
          <cell r="G619" t="str">
            <v>27오0942</v>
          </cell>
          <cell r="H619" t="str">
            <v>WDDHF0AB8GB324996</v>
          </cell>
          <cell r="I619">
            <v>46106</v>
          </cell>
          <cell r="J619" t="str">
            <v>㈜에이플러스모터스</v>
          </cell>
          <cell r="L619" t="str">
            <v>잔금</v>
          </cell>
          <cell r="M619" t="str">
            <v>50만원 대표님 계약</v>
          </cell>
          <cell r="N619">
            <v>1270</v>
          </cell>
          <cell r="P619">
            <v>1270</v>
          </cell>
          <cell r="Q619" t="str">
            <v>DONE</v>
          </cell>
          <cell r="R619">
            <v>46109</v>
          </cell>
          <cell r="S619" t="str">
            <v>ATLAS GROUP SH.P.K</v>
          </cell>
          <cell r="T619" t="str">
            <v>ATLAS GROUP SH.P.K</v>
          </cell>
          <cell r="U619">
            <v>812137455</v>
          </cell>
          <cell r="V619" t="str">
            <v>+38348702207</v>
          </cell>
          <cell r="W619" t="str">
            <v>Xhelal Hajda, p.n. Rahovec</v>
          </cell>
          <cell r="X619">
            <v>1490</v>
          </cell>
          <cell r="AB619">
            <v>1721</v>
          </cell>
          <cell r="AC619">
            <v>7080</v>
          </cell>
          <cell r="AD619">
            <v>1290</v>
          </cell>
          <cell r="AE619">
            <v>8370</v>
          </cell>
          <cell r="AF619">
            <v>8370</v>
          </cell>
        </row>
        <row r="620">
          <cell r="A620">
            <v>618</v>
          </cell>
          <cell r="B620">
            <v>46106</v>
          </cell>
          <cell r="C620" t="str">
            <v>BENZ E220D</v>
          </cell>
          <cell r="D620" t="str">
            <v>BENZ</v>
          </cell>
          <cell r="E620" t="str">
            <v>E220D</v>
          </cell>
          <cell r="G620" t="str">
            <v>334수2265</v>
          </cell>
          <cell r="H620" t="str">
            <v xml:space="preserve"> WDDZF0FB6KA667947</v>
          </cell>
          <cell r="I620">
            <v>46107</v>
          </cell>
          <cell r="J620" t="str">
            <v>㈜올타</v>
          </cell>
          <cell r="L620" t="str">
            <v>잔금</v>
          </cell>
          <cell r="M620" t="str">
            <v>100만원 대표님 계약</v>
          </cell>
          <cell r="N620">
            <v>2080</v>
          </cell>
          <cell r="P620">
            <v>2080</v>
          </cell>
          <cell r="Q620" t="str">
            <v>DONE</v>
          </cell>
          <cell r="R620">
            <v>46109</v>
          </cell>
          <cell r="S620" t="str">
            <v>ATLAS GROUP SH.P.K</v>
          </cell>
          <cell r="T620" t="str">
            <v>ATLAS GROUP SH.P.K</v>
          </cell>
          <cell r="U620">
            <v>812137455</v>
          </cell>
          <cell r="V620" t="str">
            <v>+38348702207</v>
          </cell>
          <cell r="W620" t="str">
            <v>Xhelal Hajda, p.n. Rahovec</v>
          </cell>
          <cell r="X620">
            <v>1476</v>
          </cell>
          <cell r="AB620">
            <v>1716</v>
          </cell>
          <cell r="AC620">
            <v>11688</v>
          </cell>
          <cell r="AD620">
            <v>1282</v>
          </cell>
          <cell r="AE620">
            <v>12970</v>
          </cell>
          <cell r="AF620">
            <v>12970</v>
          </cell>
        </row>
        <row r="621">
          <cell r="A621">
            <v>619</v>
          </cell>
          <cell r="B621">
            <v>46106</v>
          </cell>
          <cell r="C621" t="str">
            <v>BMW 520D</v>
          </cell>
          <cell r="D621" t="str">
            <v>BMW</v>
          </cell>
          <cell r="E621" t="str">
            <v>520D</v>
          </cell>
          <cell r="G621" t="str">
            <v>252무1381</v>
          </cell>
          <cell r="H621" t="str">
            <v>WBAJF3104LCE62471</v>
          </cell>
          <cell r="I621">
            <v>46111</v>
          </cell>
          <cell r="J621" t="str">
            <v>㈜ 차팀</v>
          </cell>
          <cell r="K621" t="str">
            <v>sangshin</v>
          </cell>
          <cell r="L621" t="str">
            <v>잔금</v>
          </cell>
          <cell r="M621" t="str">
            <v>100만원 회사통장 계약</v>
          </cell>
          <cell r="N621">
            <v>3076</v>
          </cell>
          <cell r="O621">
            <v>44</v>
          </cell>
          <cell r="P621">
            <v>3120</v>
          </cell>
          <cell r="Q621" t="str">
            <v>done</v>
          </cell>
          <cell r="R621">
            <v>46118</v>
          </cell>
          <cell r="S621" t="str">
            <v>R.S.h L.L.C.</v>
          </cell>
          <cell r="T621" t="str">
            <v>R.Sh L.L.C.</v>
          </cell>
          <cell r="U621">
            <v>812326016</v>
          </cell>
          <cell r="V621" t="str">
            <v>+383486 611 61</v>
          </cell>
          <cell r="W621" t="str">
            <v>Kosovo</v>
          </cell>
          <cell r="X621">
            <v>1476</v>
          </cell>
          <cell r="AB621">
            <v>1716</v>
          </cell>
          <cell r="AC621">
            <v>17358</v>
          </cell>
          <cell r="AD621">
            <v>1282</v>
          </cell>
          <cell r="AE621">
            <v>18640</v>
          </cell>
        </row>
        <row r="622">
          <cell r="A622">
            <v>620</v>
          </cell>
          <cell r="B622">
            <v>46106</v>
          </cell>
          <cell r="C622" t="str">
            <v>BENZ E220D</v>
          </cell>
          <cell r="D622" t="str">
            <v>BENZ</v>
          </cell>
          <cell r="E622" t="str">
            <v>E220D</v>
          </cell>
          <cell r="G622" t="str">
            <v>09도8190</v>
          </cell>
          <cell r="H622" t="str">
            <v>WDDZF0EB8HA247407</v>
          </cell>
          <cell r="I622">
            <v>46107</v>
          </cell>
          <cell r="J622" t="str">
            <v>㈜애니카모터스</v>
          </cell>
          <cell r="L622" t="str">
            <v>잔금</v>
          </cell>
          <cell r="M622" t="str">
            <v>50만원 대표님 계약</v>
          </cell>
          <cell r="N622">
            <v>1741</v>
          </cell>
          <cell r="O622">
            <v>44</v>
          </cell>
          <cell r="P622">
            <v>1785</v>
          </cell>
          <cell r="Q622" t="str">
            <v>DONE</v>
          </cell>
          <cell r="R622">
            <v>46109</v>
          </cell>
          <cell r="S622" t="str">
            <v>Auto Posh SH.P.K</v>
          </cell>
          <cell r="T622" t="str">
            <v>Auto Posh SH.P.K</v>
          </cell>
          <cell r="U622">
            <v>812219427</v>
          </cell>
          <cell r="V622" t="str">
            <v>38345560145</v>
          </cell>
          <cell r="W622" t="str">
            <v>KOSOVO</v>
          </cell>
          <cell r="X622">
            <v>1476</v>
          </cell>
          <cell r="AB622">
            <v>1716</v>
          </cell>
          <cell r="AC622">
            <v>9968</v>
          </cell>
          <cell r="AD622">
            <v>1282</v>
          </cell>
          <cell r="AE622">
            <v>11250</v>
          </cell>
        </row>
        <row r="623">
          <cell r="A623">
            <v>621</v>
          </cell>
          <cell r="B623">
            <v>46106</v>
          </cell>
          <cell r="C623" t="str">
            <v>JAGUAR F-TYPE</v>
          </cell>
          <cell r="D623" t="str">
            <v>JAGUAR</v>
          </cell>
          <cell r="E623" t="str">
            <v>F-TYPE</v>
          </cell>
          <cell r="G623" t="str">
            <v>35우2489</v>
          </cell>
          <cell r="H623" t="str">
            <v>SAJAA63A7FMK20294</v>
          </cell>
          <cell r="I623">
            <v>46107</v>
          </cell>
          <cell r="J623" t="str">
            <v>㈜더블유</v>
          </cell>
          <cell r="L623" t="str">
            <v>잔금</v>
          </cell>
          <cell r="M623" t="str">
            <v>100만원 대표님 계약</v>
          </cell>
          <cell r="N623">
            <v>5100</v>
          </cell>
          <cell r="P623">
            <v>5100</v>
          </cell>
          <cell r="Q623" t="str">
            <v>done</v>
          </cell>
          <cell r="R623">
            <v>46113</v>
          </cell>
          <cell r="S623" t="str">
            <v>DAX IMPORT</v>
          </cell>
          <cell r="T623" t="str">
            <v xml:space="preserve">Michael Karl  </v>
          </cell>
          <cell r="U623" t="str">
            <v>LF9N8WZ16</v>
          </cell>
          <cell r="V623" t="str">
            <v>‪+49 471 94189050‬</v>
          </cell>
          <cell r="W623" t="str">
            <v xml:space="preserve">Dorfstr,33C,(82024) Taufkirchen, Germany </v>
          </cell>
          <cell r="X623">
            <v>1476</v>
          </cell>
          <cell r="AB623">
            <v>1716</v>
          </cell>
          <cell r="AC623">
            <v>28400</v>
          </cell>
          <cell r="AF623">
            <v>28490</v>
          </cell>
        </row>
        <row r="624">
          <cell r="A624">
            <v>622</v>
          </cell>
          <cell r="B624">
            <v>46106</v>
          </cell>
          <cell r="C624" t="str">
            <v>BENZ CLS400</v>
          </cell>
          <cell r="D624" t="str">
            <v>BENZ</v>
          </cell>
          <cell r="E624" t="str">
            <v>CLS400</v>
          </cell>
          <cell r="G624" t="str">
            <v>31누7146</v>
          </cell>
          <cell r="H624" t="str">
            <v>WDD2J2DB1KA004168</v>
          </cell>
          <cell r="I624">
            <v>46107</v>
          </cell>
          <cell r="J624" t="str">
            <v>㈜ 아이모토스</v>
          </cell>
          <cell r="L624" t="str">
            <v>잔금</v>
          </cell>
          <cell r="M624" t="str">
            <v>100만원 회사통장 계약</v>
          </cell>
          <cell r="N624">
            <v>4080</v>
          </cell>
          <cell r="P624">
            <v>4080</v>
          </cell>
          <cell r="Q624" t="str">
            <v>DONE</v>
          </cell>
          <cell r="R624">
            <v>46109</v>
          </cell>
          <cell r="S624" t="str">
            <v>VILLA KOHA</v>
          </cell>
          <cell r="T624" t="str">
            <v>VILLA KOHA SH.P.K</v>
          </cell>
          <cell r="U624">
            <v>810039588</v>
          </cell>
          <cell r="V624" t="str">
            <v>383 49247777</v>
          </cell>
          <cell r="W624" t="str">
            <v>KOSOVO</v>
          </cell>
          <cell r="X624">
            <v>1476</v>
          </cell>
          <cell r="AB624">
            <v>1716</v>
          </cell>
          <cell r="AC624">
            <v>22718</v>
          </cell>
          <cell r="AD624">
            <v>1282</v>
          </cell>
          <cell r="AE624">
            <v>24000</v>
          </cell>
          <cell r="AF624">
            <v>24000</v>
          </cell>
        </row>
        <row r="625">
          <cell r="A625">
            <v>623</v>
          </cell>
          <cell r="B625">
            <v>46107</v>
          </cell>
          <cell r="C625" t="str">
            <v>AUDI A7</v>
          </cell>
          <cell r="D625" t="str">
            <v>AUDI</v>
          </cell>
          <cell r="E625" t="str">
            <v>A7</v>
          </cell>
          <cell r="G625" t="str">
            <v>370조6727</v>
          </cell>
          <cell r="H625" t="str">
            <v>WAUZZZF23LN091182</v>
          </cell>
          <cell r="I625">
            <v>46111</v>
          </cell>
          <cell r="J625" t="str">
            <v>개인매입- 김도한, 권향선</v>
          </cell>
          <cell r="K625" t="str">
            <v>sangshin 4/26</v>
          </cell>
          <cell r="L625" t="str">
            <v>잔금</v>
          </cell>
          <cell r="M625" t="str">
            <v>100만원 회사통장 계약</v>
          </cell>
          <cell r="N625">
            <v>3450</v>
          </cell>
          <cell r="P625">
            <v>3450</v>
          </cell>
          <cell r="Q625" t="str">
            <v>done</v>
          </cell>
          <cell r="R625">
            <v>46118</v>
          </cell>
          <cell r="S625" t="str">
            <v xml:space="preserve">Andrea Kasa </v>
          </cell>
          <cell r="T625" t="str">
            <v xml:space="preserve">Andrea Kasa </v>
          </cell>
          <cell r="U625" t="str">
            <v>K30122016U</v>
          </cell>
          <cell r="V625" t="str">
            <v>355 69 746 2556</v>
          </cell>
          <cell r="W625" t="str">
            <v>Albania</v>
          </cell>
          <cell r="X625">
            <v>1489</v>
          </cell>
          <cell r="AB625">
            <v>1721</v>
          </cell>
          <cell r="AC625">
            <v>19211</v>
          </cell>
          <cell r="AD625">
            <v>1289</v>
          </cell>
          <cell r="AE625">
            <v>20500</v>
          </cell>
          <cell r="AF625">
            <v>20800</v>
          </cell>
        </row>
        <row r="626">
          <cell r="A626">
            <v>624</v>
          </cell>
          <cell r="B626">
            <v>46107</v>
          </cell>
          <cell r="C626" t="str">
            <v>VOLVO XC90D5</v>
          </cell>
          <cell r="D626" t="str">
            <v>VOLVO</v>
          </cell>
          <cell r="E626" t="str">
            <v>XC90D5</v>
          </cell>
          <cell r="G626" t="str">
            <v>68노1913</v>
          </cell>
          <cell r="H626" t="str">
            <v>YV1LF68TCK1416232</v>
          </cell>
          <cell r="I626">
            <v>46114</v>
          </cell>
          <cell r="J626" t="str">
            <v>㈜동진모터스</v>
          </cell>
          <cell r="K626" t="str">
            <v>sangshin</v>
          </cell>
          <cell r="L626" t="str">
            <v>잔금</v>
          </cell>
          <cell r="M626" t="str">
            <v>100만원 회사통장 계약</v>
          </cell>
          <cell r="N626">
            <v>3450</v>
          </cell>
          <cell r="P626">
            <v>3450</v>
          </cell>
          <cell r="Q626" t="str">
            <v>done</v>
          </cell>
          <cell r="R626">
            <v>46118</v>
          </cell>
          <cell r="S626" t="str">
            <v>R.S.h L.L.C.</v>
          </cell>
          <cell r="T626" t="str">
            <v>R.Sh L.L.C.</v>
          </cell>
          <cell r="U626">
            <v>812326016</v>
          </cell>
          <cell r="V626" t="str">
            <v>+383486 611 61</v>
          </cell>
          <cell r="W626" t="str">
            <v>Kosovo</v>
          </cell>
          <cell r="X626">
            <v>1489</v>
          </cell>
          <cell r="AB626">
            <v>1721</v>
          </cell>
          <cell r="AC626">
            <v>19218</v>
          </cell>
          <cell r="AD626">
            <v>1462</v>
          </cell>
          <cell r="AE626">
            <v>20680</v>
          </cell>
        </row>
        <row r="627">
          <cell r="A627">
            <v>625</v>
          </cell>
          <cell r="B627">
            <v>46107</v>
          </cell>
          <cell r="C627" t="str">
            <v>TOYOTA PRIUS C</v>
          </cell>
          <cell r="D627" t="str">
            <v>TOYOTA</v>
          </cell>
          <cell r="E627" t="str">
            <v>PRIUS C</v>
          </cell>
          <cell r="G627" t="str">
            <v>07우5459</v>
          </cell>
          <cell r="H627" t="str">
            <v>JTDKDTB38J1611721</v>
          </cell>
          <cell r="I627">
            <v>46114</v>
          </cell>
          <cell r="J627" t="str">
            <v>㈜신사모터스</v>
          </cell>
          <cell r="K627" t="str">
            <v>HEYMAN</v>
          </cell>
          <cell r="L627" t="str">
            <v>잔금</v>
          </cell>
          <cell r="M627" t="str">
            <v>100만원 회사통장 계약</v>
          </cell>
          <cell r="N627">
            <v>1160</v>
          </cell>
          <cell r="P627">
            <v>1160</v>
          </cell>
          <cell r="Q627" t="str">
            <v>done</v>
          </cell>
          <cell r="R627">
            <v>46118</v>
          </cell>
          <cell r="S627" t="str">
            <v>R.S.h L.L.C.</v>
          </cell>
          <cell r="T627" t="str">
            <v>R.Sh L.L.C.</v>
          </cell>
          <cell r="U627">
            <v>812326016</v>
          </cell>
          <cell r="V627" t="str">
            <v>+383486 611 61</v>
          </cell>
          <cell r="W627" t="str">
            <v>Kosovo</v>
          </cell>
          <cell r="X627">
            <v>1489</v>
          </cell>
          <cell r="AB627">
            <v>1721</v>
          </cell>
          <cell r="AC627">
            <v>6491</v>
          </cell>
          <cell r="AD627">
            <v>1289</v>
          </cell>
          <cell r="AE627">
            <v>7780</v>
          </cell>
          <cell r="AF627">
            <v>7780</v>
          </cell>
        </row>
        <row r="628">
          <cell r="A628">
            <v>626</v>
          </cell>
          <cell r="B628">
            <v>46108</v>
          </cell>
          <cell r="C628" t="str">
            <v>BENZ E220</v>
          </cell>
          <cell r="D628" t="str">
            <v>BENZ</v>
          </cell>
          <cell r="E628" t="str">
            <v>E220</v>
          </cell>
          <cell r="G628" t="str">
            <v>284무6227</v>
          </cell>
          <cell r="H628" t="str">
            <v xml:space="preserve">W1KZF0FB9MA971468 </v>
          </cell>
          <cell r="I628">
            <v>46111</v>
          </cell>
          <cell r="J628" t="str">
            <v>㈜전남</v>
          </cell>
          <cell r="L628" t="str">
            <v>잔금</v>
          </cell>
          <cell r="M628" t="str">
            <v>100만원 회사통장 계약</v>
          </cell>
          <cell r="N628">
            <v>3526</v>
          </cell>
          <cell r="O628">
            <v>44</v>
          </cell>
          <cell r="P628">
            <v>3570</v>
          </cell>
          <cell r="Q628" t="str">
            <v>done</v>
          </cell>
          <cell r="R628">
            <v>46118</v>
          </cell>
          <cell r="S628" t="str">
            <v>DONI</v>
          </cell>
          <cell r="T628" t="str">
            <v>DONI</v>
          </cell>
          <cell r="U628">
            <v>933682</v>
          </cell>
          <cell r="V628" t="str">
            <v>3 8 3 4 9 3 2 5 7 0 3</v>
          </cell>
          <cell r="W628" t="str">
            <v xml:space="preserve"> HYZRI TALLA OB 16 HY 1 NR 18
 Kosovë</v>
          </cell>
          <cell r="X628">
            <v>1495</v>
          </cell>
          <cell r="AB628">
            <v>1725</v>
          </cell>
          <cell r="AC628">
            <v>19909</v>
          </cell>
          <cell r="AD628">
            <v>1291</v>
          </cell>
          <cell r="AE628">
            <v>21200</v>
          </cell>
        </row>
        <row r="629">
          <cell r="A629">
            <v>627</v>
          </cell>
          <cell r="B629">
            <v>46108</v>
          </cell>
          <cell r="C629" t="str">
            <v>AUDI A6</v>
          </cell>
          <cell r="D629" t="str">
            <v>AUDI</v>
          </cell>
          <cell r="E629" t="str">
            <v>A6</v>
          </cell>
          <cell r="G629" t="str">
            <v>26주0720</v>
          </cell>
          <cell r="H629" t="str">
            <v>WAUZZZ4G3GN098637</v>
          </cell>
          <cell r="I629">
            <v>46111</v>
          </cell>
          <cell r="J629" t="str">
            <v>㈜송도 자동차</v>
          </cell>
          <cell r="K629" t="str">
            <v>sangshin 4/26</v>
          </cell>
          <cell r="L629" t="str">
            <v>잔금</v>
          </cell>
          <cell r="M629" t="str">
            <v>50만원 회사통장 계약</v>
          </cell>
          <cell r="N629">
            <v>1040</v>
          </cell>
          <cell r="P629">
            <v>1040</v>
          </cell>
          <cell r="Q629" t="str">
            <v>done</v>
          </cell>
          <cell r="R629">
            <v>46118</v>
          </cell>
          <cell r="S629" t="str">
            <v xml:space="preserve">Andrea Kasa </v>
          </cell>
          <cell r="T629" t="str">
            <v>XHYRA PELLUMB</v>
          </cell>
          <cell r="U629" t="str">
            <v>H20421068C</v>
          </cell>
          <cell r="V629" t="str">
            <v>355 69 746 2556</v>
          </cell>
          <cell r="W629" t="str">
            <v>Albania</v>
          </cell>
          <cell r="X629">
            <v>1495</v>
          </cell>
          <cell r="AB629">
            <v>1725</v>
          </cell>
          <cell r="AC629">
            <v>5909</v>
          </cell>
          <cell r="AD629">
            <v>1291</v>
          </cell>
          <cell r="AE629">
            <v>7200</v>
          </cell>
        </row>
        <row r="630">
          <cell r="A630">
            <v>628</v>
          </cell>
          <cell r="B630">
            <v>46109</v>
          </cell>
          <cell r="C630" t="str">
            <v>BENZ C220 d 4Matic</v>
          </cell>
          <cell r="D630" t="str">
            <v>BENZ</v>
          </cell>
          <cell r="E630" t="str">
            <v>C220 d 4Matic</v>
          </cell>
          <cell r="G630" t="str">
            <v>144노1125</v>
          </cell>
          <cell r="H630" t="str">
            <v>WDDWF1FB3KR502285</v>
          </cell>
          <cell r="I630">
            <v>46112</v>
          </cell>
          <cell r="J630" t="str">
            <v>㈜ 보광모터스</v>
          </cell>
          <cell r="L630" t="str">
            <v>잔금</v>
          </cell>
          <cell r="M630" t="str">
            <v>70만원 대표님 계약</v>
          </cell>
          <cell r="N630">
            <v>2180</v>
          </cell>
          <cell r="P630">
            <v>2180</v>
          </cell>
          <cell r="Q630" t="str">
            <v>done</v>
          </cell>
          <cell r="R630">
            <v>46118</v>
          </cell>
          <cell r="S630" t="str">
            <v>DONI</v>
          </cell>
          <cell r="T630" t="str">
            <v>DONI</v>
          </cell>
          <cell r="U630">
            <v>933682</v>
          </cell>
          <cell r="V630" t="str">
            <v>3 8 3 4 9 3 2 5 7 0 3</v>
          </cell>
          <cell r="W630" t="str">
            <v xml:space="preserve"> HYZRI TALLA OB 16 HY 1 NR 18
 Kosovë</v>
          </cell>
          <cell r="X630">
            <v>1497</v>
          </cell>
          <cell r="AB630">
            <v>1725</v>
          </cell>
          <cell r="AC630">
            <v>12157</v>
          </cell>
          <cell r="AD630">
            <v>1293</v>
          </cell>
          <cell r="AE630">
            <v>13450</v>
          </cell>
        </row>
        <row r="631">
          <cell r="A631">
            <v>629</v>
          </cell>
          <cell r="B631">
            <v>46110</v>
          </cell>
          <cell r="C631" t="str">
            <v>AUDI A6</v>
          </cell>
          <cell r="D631" t="str">
            <v>AUDI</v>
          </cell>
          <cell r="E631" t="str">
            <v>A6</v>
          </cell>
          <cell r="G631" t="str">
            <v>60머0667</v>
          </cell>
          <cell r="H631" t="str">
            <v>WAUZZZ4GXGN083679</v>
          </cell>
          <cell r="I631">
            <v>46111</v>
          </cell>
          <cell r="J631" t="str">
            <v>㈜유일상사</v>
          </cell>
          <cell r="L631" t="str">
            <v>잔금</v>
          </cell>
          <cell r="M631" t="str">
            <v>50만원 대표님 계약</v>
          </cell>
          <cell r="N631">
            <v>950</v>
          </cell>
          <cell r="P631">
            <v>950</v>
          </cell>
          <cell r="Q631" t="str">
            <v>done</v>
          </cell>
          <cell r="R631">
            <v>46113</v>
          </cell>
          <cell r="S631" t="str">
            <v>CALJA</v>
          </cell>
          <cell r="T631" t="str">
            <v>Hoxha Vitrina</v>
          </cell>
          <cell r="U631" t="str">
            <v>I56024005B</v>
          </cell>
          <cell r="V631" t="str">
            <v>355 69 550 5533</v>
          </cell>
          <cell r="W631" t="str">
            <v>Albania</v>
          </cell>
          <cell r="X631">
            <v>1497</v>
          </cell>
          <cell r="AB631">
            <v>1725</v>
          </cell>
          <cell r="AC631">
            <v>5407</v>
          </cell>
          <cell r="AD631">
            <v>1293</v>
          </cell>
          <cell r="AE631">
            <v>6700</v>
          </cell>
          <cell r="AF631">
            <v>8270</v>
          </cell>
        </row>
        <row r="632">
          <cell r="A632">
            <v>630</v>
          </cell>
          <cell r="B632">
            <v>46110</v>
          </cell>
          <cell r="C632" t="str">
            <v>RENAULT CLIO</v>
          </cell>
          <cell r="D632" t="str">
            <v>RENAULT</v>
          </cell>
          <cell r="E632" t="str">
            <v>CLIO</v>
          </cell>
          <cell r="G632" t="str">
            <v>66나3274</v>
          </cell>
          <cell r="H632" t="str">
            <v>VF15RBJ0DJR293335</v>
          </cell>
          <cell r="I632">
            <v>46114</v>
          </cell>
          <cell r="J632" t="str">
            <v>㈜ 백제자동차</v>
          </cell>
          <cell r="K632" t="str">
            <v>HEYMAN</v>
          </cell>
          <cell r="L632" t="str">
            <v>잔금</v>
          </cell>
          <cell r="M632" t="str">
            <v>50만원 대표님 계약</v>
          </cell>
          <cell r="N632">
            <v>630</v>
          </cell>
          <cell r="P632">
            <v>630</v>
          </cell>
          <cell r="Q632" t="str">
            <v>done</v>
          </cell>
          <cell r="R632">
            <v>46119</v>
          </cell>
          <cell r="S632" t="str">
            <v>R.S.h L.L.C.</v>
          </cell>
          <cell r="T632" t="str">
            <v>R.Sh L.L.C.</v>
          </cell>
          <cell r="U632">
            <v>812326016</v>
          </cell>
          <cell r="V632" t="str">
            <v>+383486 611 61</v>
          </cell>
          <cell r="W632" t="str">
            <v>Kosovo</v>
          </cell>
          <cell r="X632">
            <v>1497</v>
          </cell>
          <cell r="AB632">
            <v>1725</v>
          </cell>
          <cell r="AC632">
            <v>3727</v>
          </cell>
          <cell r="AD632">
            <v>1293</v>
          </cell>
          <cell r="AE632">
            <v>5020</v>
          </cell>
        </row>
        <row r="633">
          <cell r="A633">
            <v>631</v>
          </cell>
          <cell r="B633">
            <v>46110</v>
          </cell>
          <cell r="C633" t="str">
            <v>BENZ CLS63</v>
          </cell>
          <cell r="D633" t="str">
            <v>BENZ</v>
          </cell>
          <cell r="E633" t="str">
            <v>CLS63</v>
          </cell>
          <cell r="G633" t="str">
            <v>13러5014</v>
          </cell>
          <cell r="H633" t="str">
            <v>WDDLJ9CB4GA172392</v>
          </cell>
          <cell r="I633">
            <v>46114</v>
          </cell>
          <cell r="K633" t="str">
            <v>HEYMAN</v>
          </cell>
          <cell r="L633" t="str">
            <v>잔금</v>
          </cell>
          <cell r="M633" t="str">
            <v>100만원 대표님 계약</v>
          </cell>
          <cell r="N633">
            <v>4970</v>
          </cell>
          <cell r="P633">
            <v>4970</v>
          </cell>
          <cell r="Q633" t="str">
            <v>done</v>
          </cell>
          <cell r="R633" t="str">
            <v>REPORT DONE</v>
          </cell>
          <cell r="S633" t="str">
            <v>AJ VIKINGS</v>
          </cell>
          <cell r="T633" t="str">
            <v>JOHANSEN WILLIAM DREYER</v>
          </cell>
          <cell r="U633" t="str">
            <v>CCC267969</v>
          </cell>
          <cell r="V633" t="str">
            <v>47 454 96 622</v>
          </cell>
          <cell r="W633" t="str">
            <v>Ramstadaasen 14, 1900 Fetsund , Norway</v>
          </cell>
          <cell r="X633">
            <v>1497</v>
          </cell>
          <cell r="AB633">
            <v>1725</v>
          </cell>
          <cell r="AC633">
            <v>27500</v>
          </cell>
        </row>
        <row r="634">
          <cell r="A634">
            <v>632</v>
          </cell>
          <cell r="B634">
            <v>46110</v>
          </cell>
          <cell r="C634" t="str">
            <v>VOLKSWAGENS POLO</v>
          </cell>
          <cell r="D634" t="str">
            <v>VOLKSWAGENS</v>
          </cell>
          <cell r="E634" t="str">
            <v>POLO</v>
          </cell>
          <cell r="G634" t="str">
            <v>20두7045</v>
          </cell>
          <cell r="H634" t="str">
            <v>WVWZZZ6RZDY231370</v>
          </cell>
          <cell r="I634">
            <v>46111</v>
          </cell>
          <cell r="J634" t="str">
            <v>㈜찬찬카</v>
          </cell>
          <cell r="L634" t="str">
            <v>잔금</v>
          </cell>
          <cell r="M634" t="str">
            <v>50만원 대표님 계약</v>
          </cell>
          <cell r="N634">
            <v>514</v>
          </cell>
          <cell r="P634">
            <v>514</v>
          </cell>
          <cell r="Q634" t="str">
            <v>done</v>
          </cell>
          <cell r="R634">
            <v>46113</v>
          </cell>
          <cell r="S634" t="str">
            <v>CALJA</v>
          </cell>
          <cell r="T634" t="str">
            <v>PANTO FLORESHA</v>
          </cell>
          <cell r="U634" t="str">
            <v>H75404250L</v>
          </cell>
          <cell r="V634" t="str">
            <v>355 69 550 5533</v>
          </cell>
          <cell r="W634" t="str">
            <v>Albania</v>
          </cell>
          <cell r="X634">
            <v>1497</v>
          </cell>
          <cell r="AB634">
            <v>1725</v>
          </cell>
          <cell r="AC634">
            <v>3087</v>
          </cell>
          <cell r="AD634">
            <v>1293</v>
          </cell>
          <cell r="AE634">
            <v>4380</v>
          </cell>
          <cell r="AF634">
            <v>9400</v>
          </cell>
        </row>
        <row r="635">
          <cell r="A635">
            <v>633</v>
          </cell>
          <cell r="B635">
            <v>46110</v>
          </cell>
          <cell r="C635" t="str">
            <v>KIA SPORTAGE</v>
          </cell>
          <cell r="D635" t="str">
            <v>KIA</v>
          </cell>
          <cell r="E635" t="str">
            <v>SPORTAGE</v>
          </cell>
          <cell r="G635" t="str">
            <v>06구0775</v>
          </cell>
          <cell r="H635" t="str">
            <v xml:space="preserve">KNAP6815GGK107171 </v>
          </cell>
          <cell r="I635">
            <v>46111</v>
          </cell>
          <cell r="J635" t="str">
            <v>경매장- 현대 글로비스</v>
          </cell>
          <cell r="K635" t="str">
            <v>HEYMAN</v>
          </cell>
          <cell r="L635" t="str">
            <v>잔금</v>
          </cell>
          <cell r="M635" t="str">
            <v>blue</v>
          </cell>
          <cell r="N635">
            <v>795</v>
          </cell>
          <cell r="O635">
            <v>18</v>
          </cell>
          <cell r="P635">
            <v>813</v>
          </cell>
          <cell r="Q635" t="str">
            <v>done</v>
          </cell>
          <cell r="R635" t="str">
            <v>con 1</v>
          </cell>
          <cell r="S635" t="str">
            <v>MANTAS</v>
          </cell>
          <cell r="T635" t="str">
            <v>UAB GRALIS</v>
          </cell>
          <cell r="U635">
            <v>179285533</v>
          </cell>
          <cell r="V635" t="str">
            <v>370 (618) 11 666</v>
          </cell>
          <cell r="W635" t="str">
            <v xml:space="preserve">Jūros g. 33, Tauragė  </v>
          </cell>
          <cell r="X635">
            <v>1497</v>
          </cell>
          <cell r="AB635">
            <v>1725</v>
          </cell>
          <cell r="AC635">
            <v>5510</v>
          </cell>
          <cell r="AD635">
            <v>1175</v>
          </cell>
        </row>
        <row r="636">
          <cell r="A636">
            <v>634</v>
          </cell>
          <cell r="B636">
            <v>46111</v>
          </cell>
          <cell r="C636" t="str">
            <v>AUDI A6</v>
          </cell>
          <cell r="D636" t="str">
            <v>AUDI</v>
          </cell>
          <cell r="E636" t="str">
            <v>A6</v>
          </cell>
          <cell r="G636" t="str">
            <v>05무0748</v>
          </cell>
          <cell r="H636" t="str">
            <v>WAUZZZ4G7GN020930</v>
          </cell>
          <cell r="I636">
            <v>46112</v>
          </cell>
          <cell r="J636" t="str">
            <v>㈜ 한빛모터스</v>
          </cell>
          <cell r="L636" t="str">
            <v>잔금</v>
          </cell>
          <cell r="M636" t="str">
            <v>50만원 대표님 계약</v>
          </cell>
          <cell r="N636">
            <v>1250</v>
          </cell>
          <cell r="P636">
            <v>1250</v>
          </cell>
          <cell r="Q636" t="str">
            <v>done</v>
          </cell>
          <cell r="R636">
            <v>46118</v>
          </cell>
          <cell r="S636" t="str">
            <v>RIZA</v>
          </cell>
          <cell r="T636" t="str">
            <v>FLORIAN GEGA</v>
          </cell>
          <cell r="U636" t="str">
            <v>J80813083C</v>
          </cell>
          <cell r="V636" t="str">
            <v>355 682769063</v>
          </cell>
          <cell r="W636" t="str">
            <v>Albania</v>
          </cell>
          <cell r="X636">
            <v>1497</v>
          </cell>
          <cell r="AB636">
            <v>1725</v>
          </cell>
          <cell r="AC636">
            <v>6957</v>
          </cell>
          <cell r="AD636">
            <v>1293</v>
          </cell>
          <cell r="AE636">
            <v>8250</v>
          </cell>
          <cell r="AF636">
            <v>8750</v>
          </cell>
        </row>
        <row r="637">
          <cell r="A637">
            <v>635</v>
          </cell>
          <cell r="B637">
            <v>46111</v>
          </cell>
          <cell r="C637" t="str">
            <v>BENZ GLC 220</v>
          </cell>
          <cell r="D637" t="str">
            <v>BENZ</v>
          </cell>
          <cell r="E637" t="str">
            <v>GLC 220</v>
          </cell>
          <cell r="G637" t="str">
            <v>363서9019</v>
          </cell>
          <cell r="H637" t="str">
            <v xml:space="preserve">WDC0J0FB6JF425740 </v>
          </cell>
          <cell r="I637">
            <v>46115</v>
          </cell>
          <cell r="K637" t="str">
            <v>sangshin</v>
          </cell>
          <cell r="L637" t="str">
            <v>잔금</v>
          </cell>
          <cell r="M637" t="str">
            <v>50만원 회사통장 계약</v>
          </cell>
          <cell r="N637">
            <v>2560</v>
          </cell>
          <cell r="P637">
            <v>2560</v>
          </cell>
          <cell r="Q637" t="str">
            <v>done</v>
          </cell>
          <cell r="R637" t="str">
            <v>04-07+</v>
          </cell>
          <cell r="S637" t="str">
            <v>R.S.h L.L.C.</v>
          </cell>
          <cell r="T637" t="str">
            <v>R.Sh L.L.C.</v>
          </cell>
          <cell r="U637">
            <v>812326016</v>
          </cell>
          <cell r="V637" t="str">
            <v>+383486 611 61</v>
          </cell>
          <cell r="W637" t="str">
            <v>Kosovo</v>
          </cell>
          <cell r="X637">
            <v>1497</v>
          </cell>
          <cell r="AB637">
            <v>1725</v>
          </cell>
          <cell r="AC637">
            <v>14220</v>
          </cell>
          <cell r="AD637">
            <v>1380</v>
          </cell>
          <cell r="AE637">
            <v>15600</v>
          </cell>
          <cell r="AF637">
            <v>15600</v>
          </cell>
        </row>
        <row r="638">
          <cell r="A638">
            <v>636</v>
          </cell>
          <cell r="B638">
            <v>46111</v>
          </cell>
          <cell r="C638" t="str">
            <v>BENZ C220</v>
          </cell>
          <cell r="D638" t="str">
            <v>BENZ</v>
          </cell>
          <cell r="E638" t="str">
            <v>C220</v>
          </cell>
          <cell r="G638" t="str">
            <v>17어7197</v>
          </cell>
          <cell r="H638" t="str">
            <v>WDDWF1EB0KR464192</v>
          </cell>
          <cell r="I638">
            <v>46113</v>
          </cell>
          <cell r="J638" t="str">
            <v>㈜위즈오토모티브</v>
          </cell>
          <cell r="L638" t="str">
            <v>잔금</v>
          </cell>
          <cell r="M638" t="str">
            <v>50만원 회사통장 계약</v>
          </cell>
          <cell r="N638">
            <v>1850</v>
          </cell>
          <cell r="P638">
            <v>1850</v>
          </cell>
          <cell r="Q638" t="str">
            <v>DONE</v>
          </cell>
          <cell r="R638">
            <v>46115</v>
          </cell>
          <cell r="S638" t="str">
            <v>ATLAS GROUP SH.P.K</v>
          </cell>
          <cell r="T638" t="str">
            <v>ATLAS GROUP SH.P.K</v>
          </cell>
          <cell r="U638">
            <v>812137455</v>
          </cell>
          <cell r="V638" t="str">
            <v>+38348702207</v>
          </cell>
          <cell r="W638" t="str">
            <v>Xhelal Hajda, p.n. Rahovec</v>
          </cell>
          <cell r="X638">
            <v>1497</v>
          </cell>
          <cell r="AB638">
            <v>1725</v>
          </cell>
          <cell r="AC638">
            <v>10277</v>
          </cell>
          <cell r="AD638">
            <v>1293</v>
          </cell>
          <cell r="AE638">
            <v>11570</v>
          </cell>
          <cell r="AF638">
            <v>11570</v>
          </cell>
        </row>
        <row r="639">
          <cell r="A639">
            <v>637</v>
          </cell>
          <cell r="B639">
            <v>46112</v>
          </cell>
          <cell r="C639" t="str">
            <v>HYUNDAI TUCSON</v>
          </cell>
          <cell r="D639" t="str">
            <v>HYUNDAI</v>
          </cell>
          <cell r="E639" t="str">
            <v>TUCSON</v>
          </cell>
          <cell r="G639" t="str">
            <v>291부1806</v>
          </cell>
          <cell r="H639" t="str">
            <v>KMHJ381ABGU006198</v>
          </cell>
          <cell r="I639">
            <v>46112</v>
          </cell>
          <cell r="J639" t="str">
            <v>㈜우진상사</v>
          </cell>
          <cell r="L639" t="str">
            <v>잔금</v>
          </cell>
          <cell r="M639" t="str">
            <v>50만원 대표님 계약</v>
          </cell>
          <cell r="N639">
            <v>1174</v>
          </cell>
          <cell r="P639">
            <v>1174</v>
          </cell>
          <cell r="Q639" t="str">
            <v>DONE</v>
          </cell>
          <cell r="R639">
            <v>46115</v>
          </cell>
          <cell r="S639" t="str">
            <v>CALJA</v>
          </cell>
          <cell r="T639" t="str">
            <v>DEDA KRISTAN</v>
          </cell>
          <cell r="U639" t="str">
            <v>J41017054G</v>
          </cell>
          <cell r="V639" t="str">
            <v>355 69 550 5533</v>
          </cell>
          <cell r="W639" t="str">
            <v>Albania</v>
          </cell>
          <cell r="X639">
            <v>1512</v>
          </cell>
          <cell r="AB639">
            <v>1731</v>
          </cell>
          <cell r="AC639">
            <v>6551</v>
          </cell>
          <cell r="AD639">
            <v>1389</v>
          </cell>
          <cell r="AE639">
            <v>7940</v>
          </cell>
          <cell r="AF639">
            <v>8140</v>
          </cell>
        </row>
        <row r="640">
          <cell r="A640">
            <v>638</v>
          </cell>
          <cell r="B640">
            <v>46112</v>
          </cell>
          <cell r="C640" t="str">
            <v>BMW M3</v>
          </cell>
          <cell r="D640" t="str">
            <v>BMW</v>
          </cell>
          <cell r="E640" t="str">
            <v>M3</v>
          </cell>
          <cell r="G640" t="str">
            <v>26마3965</v>
          </cell>
          <cell r="H640" t="str">
            <v xml:space="preserve">WBSWD91099P305771 </v>
          </cell>
          <cell r="I640">
            <v>46120</v>
          </cell>
          <cell r="J640" t="str">
            <v>㈜ 바른모터스</v>
          </cell>
          <cell r="L640" t="str">
            <v>잔금</v>
          </cell>
          <cell r="M640" t="str">
            <v>100만원 회사통장 계약</v>
          </cell>
          <cell r="N640">
            <v>2850</v>
          </cell>
          <cell r="P640">
            <v>2850</v>
          </cell>
          <cell r="Q640" t="str">
            <v>DONE</v>
          </cell>
          <cell r="R640">
            <v>46163</v>
          </cell>
          <cell r="S640" t="str">
            <v>Ardijan Qorraj</v>
          </cell>
          <cell r="T640" t="str">
            <v>Ardijan Qorraj</v>
          </cell>
          <cell r="U640" t="str">
            <v>C6YRK7K2F</v>
          </cell>
          <cell r="V640">
            <v>4917655744700</v>
          </cell>
          <cell r="W640" t="str">
            <v>Germany, Piepersweg 35 (41066)</v>
          </cell>
          <cell r="X640">
            <v>1499</v>
          </cell>
          <cell r="AB640">
            <v>1738</v>
          </cell>
          <cell r="AC640">
            <v>15840</v>
          </cell>
          <cell r="AE640">
            <v>15840</v>
          </cell>
        </row>
        <row r="641">
          <cell r="A641">
            <v>639</v>
          </cell>
          <cell r="B641">
            <v>46112</v>
          </cell>
          <cell r="C641" t="str">
            <v>AUDI A3</v>
          </cell>
          <cell r="D641" t="str">
            <v>AUDI</v>
          </cell>
          <cell r="E641" t="str">
            <v>A3</v>
          </cell>
          <cell r="G641" t="str">
            <v>17도0103</v>
          </cell>
          <cell r="H641" t="str">
            <v>WAUZZZ8V4G1024322</v>
          </cell>
          <cell r="J641" t="str">
            <v>경매장 - 헤</v>
          </cell>
          <cell r="L641" t="str">
            <v>잔금</v>
          </cell>
          <cell r="N641">
            <v>1124</v>
          </cell>
          <cell r="O641">
            <v>36</v>
          </cell>
          <cell r="P641">
            <v>1160</v>
          </cell>
          <cell r="Q641" t="str">
            <v>DONE</v>
          </cell>
          <cell r="R641">
            <v>46150</v>
          </cell>
          <cell r="S641" t="str">
            <v>DONI</v>
          </cell>
          <cell r="T641" t="str">
            <v>DONI</v>
          </cell>
          <cell r="U641">
            <v>933682</v>
          </cell>
          <cell r="V641" t="str">
            <v>3 8 3 4 9 3 2 5 7 0 3</v>
          </cell>
          <cell r="W641" t="str">
            <v xml:space="preserve"> HYZRI TALLA OB 16 HY 1 NR 18
 Kosovë</v>
          </cell>
          <cell r="X641">
            <v>1461</v>
          </cell>
          <cell r="AB641">
            <v>1729</v>
          </cell>
          <cell r="AC641">
            <v>6621</v>
          </cell>
          <cell r="AD641">
            <v>1259</v>
          </cell>
          <cell r="AE641">
            <v>7880</v>
          </cell>
        </row>
        <row r="642">
          <cell r="A642">
            <v>640</v>
          </cell>
          <cell r="B642">
            <v>46112</v>
          </cell>
          <cell r="C642" t="str">
            <v>HYUNDAI TUCSON</v>
          </cell>
          <cell r="D642" t="str">
            <v>HYUNDAI</v>
          </cell>
          <cell r="E642" t="str">
            <v>TUCSON</v>
          </cell>
          <cell r="G642" t="str">
            <v>01다0730</v>
          </cell>
          <cell r="H642" t="str">
            <v>KMHJ3815GGU112911</v>
          </cell>
          <cell r="I642">
            <v>46113</v>
          </cell>
          <cell r="J642" t="str">
            <v>경매장- 현대 글로비스</v>
          </cell>
          <cell r="K642" t="str">
            <v>HEYMAN</v>
          </cell>
          <cell r="L642" t="str">
            <v>잔금</v>
          </cell>
          <cell r="N642">
            <v>770</v>
          </cell>
          <cell r="O642">
            <v>17</v>
          </cell>
          <cell r="P642">
            <v>787</v>
          </cell>
          <cell r="Q642" t="str">
            <v>done</v>
          </cell>
          <cell r="R642" t="str">
            <v>con 1</v>
          </cell>
          <cell r="S642" t="str">
            <v>MANTAS</v>
          </cell>
          <cell r="T642" t="str">
            <v>UAB GRALIS</v>
          </cell>
          <cell r="U642">
            <v>179285533</v>
          </cell>
          <cell r="V642" t="str">
            <v>370 (618) 11 666</v>
          </cell>
          <cell r="W642" t="str">
            <v xml:space="preserve">Jūros g. 33, Tauragė  </v>
          </cell>
          <cell r="X642">
            <v>1497</v>
          </cell>
          <cell r="AC642">
            <v>5300</v>
          </cell>
          <cell r="AD642">
            <v>1175</v>
          </cell>
        </row>
        <row r="643">
          <cell r="A643">
            <v>641</v>
          </cell>
          <cell r="B643">
            <v>46113</v>
          </cell>
          <cell r="C643" t="str">
            <v>AUDI A6</v>
          </cell>
          <cell r="D643" t="str">
            <v>AUDI</v>
          </cell>
          <cell r="E643" t="str">
            <v>A6</v>
          </cell>
          <cell r="G643" t="str">
            <v>354나2896</v>
          </cell>
          <cell r="H643" t="str">
            <v>WAUZZZ4G4JN103691</v>
          </cell>
          <cell r="I643">
            <v>46114</v>
          </cell>
          <cell r="J643" t="str">
            <v>경매장- AJ</v>
          </cell>
          <cell r="L643" t="str">
            <v>잔금</v>
          </cell>
          <cell r="N643">
            <v>1235</v>
          </cell>
          <cell r="O643">
            <v>32</v>
          </cell>
          <cell r="P643">
            <v>1267</v>
          </cell>
          <cell r="Q643" t="str">
            <v>done</v>
          </cell>
          <cell r="R643">
            <v>46128</v>
          </cell>
          <cell r="S643" t="str">
            <v>DONI</v>
          </cell>
          <cell r="T643" t="str">
            <v>DONI</v>
          </cell>
          <cell r="U643">
            <v>933682</v>
          </cell>
          <cell r="V643" t="str">
            <v>3 8 3 4 9 3 2 5 7 0 3</v>
          </cell>
          <cell r="W643" t="str">
            <v xml:space="preserve"> HYZRI TALLA OB 16 HY 1 NR 18
 Kosovë</v>
          </cell>
          <cell r="X643">
            <v>1467</v>
          </cell>
          <cell r="AB643">
            <v>1713</v>
          </cell>
          <cell r="AC643">
            <v>7024</v>
          </cell>
          <cell r="AD643">
            <v>1276</v>
          </cell>
          <cell r="AE643">
            <v>8300</v>
          </cell>
        </row>
        <row r="644">
          <cell r="A644">
            <v>642</v>
          </cell>
          <cell r="B644">
            <v>46113</v>
          </cell>
          <cell r="C644" t="str">
            <v>KIA SPORTAGE</v>
          </cell>
          <cell r="D644" t="str">
            <v>KIA</v>
          </cell>
          <cell r="E644" t="str">
            <v>SPORTAGE</v>
          </cell>
          <cell r="G644" t="str">
            <v>330더9647</v>
          </cell>
          <cell r="H644" t="str">
            <v>KNAP6815GGK038077</v>
          </cell>
          <cell r="I644">
            <v>46114</v>
          </cell>
          <cell r="J644" t="str">
            <v>경매장- AJ</v>
          </cell>
          <cell r="K644" t="str">
            <v>HEYMAN</v>
          </cell>
          <cell r="L644" t="str">
            <v>잔금</v>
          </cell>
          <cell r="N644">
            <v>600</v>
          </cell>
          <cell r="O644">
            <v>16</v>
          </cell>
          <cell r="P644">
            <v>616</v>
          </cell>
          <cell r="Q644" t="str">
            <v>done</v>
          </cell>
          <cell r="R644" t="str">
            <v>con2</v>
          </cell>
          <cell r="S644" t="str">
            <v>MANTAS</v>
          </cell>
          <cell r="T644" t="str">
            <v>UAB GRALIS</v>
          </cell>
          <cell r="U644">
            <v>179285533</v>
          </cell>
          <cell r="V644" t="str">
            <v>370 (618) 11 666</v>
          </cell>
          <cell r="W644" t="str">
            <v xml:space="preserve">Jūros g. 33, Tauragė  </v>
          </cell>
          <cell r="X644">
            <v>1490</v>
          </cell>
          <cell r="AC644">
            <v>4200</v>
          </cell>
          <cell r="AD644">
            <v>1550</v>
          </cell>
          <cell r="AE644">
            <v>5750</v>
          </cell>
        </row>
        <row r="645">
          <cell r="A645">
            <v>643</v>
          </cell>
          <cell r="B645">
            <v>46113</v>
          </cell>
          <cell r="C645" t="str">
            <v>HYUNDAI TUCSON</v>
          </cell>
          <cell r="D645" t="str">
            <v>HYUNDAI</v>
          </cell>
          <cell r="E645" t="str">
            <v>TUCSON</v>
          </cell>
          <cell r="G645" t="str">
            <v>21나4666</v>
          </cell>
          <cell r="H645" t="str">
            <v xml:space="preserve">KMHJ3815GJU672202 </v>
          </cell>
          <cell r="I645">
            <v>46114</v>
          </cell>
          <cell r="J645" t="str">
            <v>경매장- AJ</v>
          </cell>
          <cell r="K645" t="str">
            <v>HEYMAN</v>
          </cell>
          <cell r="L645" t="str">
            <v>잔금</v>
          </cell>
          <cell r="N645">
            <v>760</v>
          </cell>
          <cell r="O645">
            <v>20</v>
          </cell>
          <cell r="P645">
            <v>780</v>
          </cell>
          <cell r="Q645" t="str">
            <v>done</v>
          </cell>
          <cell r="R645" t="str">
            <v>con 1</v>
          </cell>
          <cell r="S645" t="str">
            <v>MANTAS</v>
          </cell>
          <cell r="T645" t="str">
            <v>UAB GRALIS</v>
          </cell>
          <cell r="U645">
            <v>179285533</v>
          </cell>
          <cell r="V645" t="str">
            <v>370 (618) 11 666</v>
          </cell>
          <cell r="W645" t="str">
            <v xml:space="preserve">Jūros g. 33, Tauragė  </v>
          </cell>
          <cell r="X645">
            <v>1497</v>
          </cell>
          <cell r="AC645">
            <v>5300</v>
          </cell>
          <cell r="AD645">
            <v>1175</v>
          </cell>
        </row>
        <row r="646">
          <cell r="A646">
            <v>644</v>
          </cell>
          <cell r="B646">
            <v>46113</v>
          </cell>
          <cell r="C646" t="str">
            <v>BMW X4</v>
          </cell>
          <cell r="D646" t="str">
            <v>BMW</v>
          </cell>
          <cell r="E646" t="str">
            <v>X4</v>
          </cell>
          <cell r="G646" t="str">
            <v>59노0102</v>
          </cell>
          <cell r="H646" t="str">
            <v>WBAXX1104G0T29743</v>
          </cell>
          <cell r="I646">
            <v>46114</v>
          </cell>
          <cell r="J646" t="str">
            <v>경매장- AJ</v>
          </cell>
          <cell r="K646" t="str">
            <v>HEYMAN</v>
          </cell>
          <cell r="L646" t="str">
            <v>잔금</v>
          </cell>
          <cell r="M646">
            <v>150000</v>
          </cell>
          <cell r="N646">
            <v>860</v>
          </cell>
          <cell r="O646">
            <v>22</v>
          </cell>
          <cell r="P646">
            <v>882</v>
          </cell>
          <cell r="Q646" t="str">
            <v>done</v>
          </cell>
          <cell r="R646" t="str">
            <v>con 1</v>
          </cell>
          <cell r="S646" t="str">
            <v>MANTAS</v>
          </cell>
          <cell r="T646" t="str">
            <v>UAB GRALIS</v>
          </cell>
          <cell r="U646">
            <v>179285533</v>
          </cell>
          <cell r="V646" t="str">
            <v>370 (618) 11 666</v>
          </cell>
          <cell r="W646" t="str">
            <v xml:space="preserve">Jūros g. 33, Tauragė  </v>
          </cell>
          <cell r="X646">
            <v>1497</v>
          </cell>
          <cell r="AC646">
            <v>6010</v>
          </cell>
          <cell r="AD646">
            <v>1175</v>
          </cell>
        </row>
        <row r="647">
          <cell r="A647">
            <v>645</v>
          </cell>
          <cell r="B647">
            <v>46113</v>
          </cell>
          <cell r="C647" t="str">
            <v>BMW 2SERIES</v>
          </cell>
          <cell r="D647" t="str">
            <v>BMW</v>
          </cell>
          <cell r="E647" t="str">
            <v>2SERIES</v>
          </cell>
          <cell r="G647" t="str">
            <v>65오0313</v>
          </cell>
          <cell r="J647" t="str">
            <v>경매장 - 헤이딜러</v>
          </cell>
          <cell r="L647" t="str">
            <v>CANCEL</v>
          </cell>
          <cell r="N647">
            <v>588</v>
          </cell>
          <cell r="P647">
            <v>588</v>
          </cell>
          <cell r="Q647" t="str">
            <v>done</v>
          </cell>
          <cell r="R647" t="str">
            <v>CANCEL</v>
          </cell>
          <cell r="S647" t="str">
            <v>R.S.h L.L.C.</v>
          </cell>
          <cell r="T647" t="str">
            <v>R.Sh L.L.C.</v>
          </cell>
          <cell r="U647">
            <v>812326016</v>
          </cell>
          <cell r="V647" t="str">
            <v>+383486 611 61</v>
          </cell>
          <cell r="W647" t="str">
            <v>Kosovo</v>
          </cell>
          <cell r="AC647">
            <v>5000</v>
          </cell>
          <cell r="AE647">
            <v>5000</v>
          </cell>
        </row>
        <row r="648">
          <cell r="A648">
            <v>646</v>
          </cell>
          <cell r="B648">
            <v>46113</v>
          </cell>
          <cell r="C648" t="str">
            <v>AUDI A7</v>
          </cell>
          <cell r="D648" t="str">
            <v>AUDI</v>
          </cell>
          <cell r="E648" t="str">
            <v>A7</v>
          </cell>
          <cell r="G648" t="str">
            <v>24두0718</v>
          </cell>
          <cell r="H648" t="str">
            <v>WAUZZZ4G7GN025349</v>
          </cell>
          <cell r="I648">
            <v>46114</v>
          </cell>
          <cell r="J648" t="str">
            <v>(주)오토팰리스</v>
          </cell>
          <cell r="L648" t="str">
            <v>잔금</v>
          </cell>
          <cell r="M648" t="str">
            <v>70만원 대표님 계약</v>
          </cell>
          <cell r="N648">
            <v>1450</v>
          </cell>
          <cell r="P648">
            <v>1450</v>
          </cell>
          <cell r="Q648" t="str">
            <v>DONE</v>
          </cell>
          <cell r="R648">
            <v>46121</v>
          </cell>
          <cell r="S648" t="str">
            <v>CALJA</v>
          </cell>
          <cell r="T648" t="str">
            <v>DOKOLLI ALBANA</v>
          </cell>
          <cell r="U648" t="str">
            <v>H15311066L</v>
          </cell>
          <cell r="V648" t="str">
            <v>355 69 550 5533</v>
          </cell>
          <cell r="W648" t="str">
            <v>Albania</v>
          </cell>
          <cell r="X648">
            <v>1512</v>
          </cell>
          <cell r="AB648">
            <v>1731</v>
          </cell>
          <cell r="AC648">
            <v>8049</v>
          </cell>
          <cell r="AD648">
            <v>1301</v>
          </cell>
          <cell r="AE648">
            <v>9350</v>
          </cell>
          <cell r="AF648">
            <v>20000</v>
          </cell>
        </row>
        <row r="649">
          <cell r="A649">
            <v>647</v>
          </cell>
          <cell r="B649">
            <v>46113</v>
          </cell>
          <cell r="C649" t="str">
            <v>VOLKSWAGENS POLO</v>
          </cell>
          <cell r="D649" t="str">
            <v>VOLKSWAGENS</v>
          </cell>
          <cell r="E649" t="str">
            <v>POLO</v>
          </cell>
          <cell r="G649" t="str">
            <v>50다3211</v>
          </cell>
          <cell r="H649" t="str">
            <v>WVWZZZ6RZFY184647</v>
          </cell>
          <cell r="I649">
            <v>46114</v>
          </cell>
          <cell r="J649" t="str">
            <v>경매장- AJ</v>
          </cell>
          <cell r="L649" t="str">
            <v>잔금</v>
          </cell>
          <cell r="N649">
            <v>350</v>
          </cell>
          <cell r="O649">
            <v>16</v>
          </cell>
          <cell r="P649">
            <v>366</v>
          </cell>
          <cell r="Q649" t="str">
            <v>done</v>
          </cell>
          <cell r="R649">
            <v>46128</v>
          </cell>
          <cell r="S649" t="str">
            <v xml:space="preserve">Andrea Kasa </v>
          </cell>
          <cell r="T649" t="str">
            <v>XHYRA PELLUMB</v>
          </cell>
          <cell r="U649" t="str">
            <v>H20421068C</v>
          </cell>
          <cell r="V649" t="str">
            <v>355 69 746 2556</v>
          </cell>
          <cell r="W649" t="str">
            <v>Albania</v>
          </cell>
          <cell r="X649">
            <v>1512</v>
          </cell>
          <cell r="AB649">
            <v>1731</v>
          </cell>
          <cell r="AC649">
            <v>2259</v>
          </cell>
          <cell r="AD649">
            <v>1301</v>
          </cell>
          <cell r="AE649">
            <v>3560</v>
          </cell>
        </row>
        <row r="650">
          <cell r="A650">
            <v>648</v>
          </cell>
          <cell r="B650">
            <v>46113</v>
          </cell>
          <cell r="C650" t="str">
            <v>AUDI A6</v>
          </cell>
          <cell r="D650" t="str">
            <v>AUDI</v>
          </cell>
          <cell r="E650" t="str">
            <v>A6</v>
          </cell>
          <cell r="G650" t="str">
            <v>229러4385</v>
          </cell>
          <cell r="H650" t="str">
            <v>WDDUG8CB7EA042231</v>
          </cell>
          <cell r="J650" t="str">
            <v>경매장 - 헤이딜러</v>
          </cell>
          <cell r="K650" t="str">
            <v>HEYMAN</v>
          </cell>
          <cell r="L650" t="str">
            <v>CANCEL</v>
          </cell>
          <cell r="P650">
            <v>0</v>
          </cell>
          <cell r="Q650" t="str">
            <v>done</v>
          </cell>
          <cell r="R650" t="str">
            <v>CANCEL</v>
          </cell>
          <cell r="S650" t="str">
            <v>R.S.h L.L.C.</v>
          </cell>
          <cell r="T650" t="str">
            <v>R.Sh L.L.C.</v>
          </cell>
          <cell r="U650">
            <v>812326016</v>
          </cell>
          <cell r="V650" t="str">
            <v>+383486 611 61</v>
          </cell>
          <cell r="W650" t="str">
            <v>Kosovo</v>
          </cell>
          <cell r="AC650">
            <v>0</v>
          </cell>
        </row>
        <row r="651">
          <cell r="A651">
            <v>649</v>
          </cell>
          <cell r="B651">
            <v>46114</v>
          </cell>
          <cell r="C651" t="str">
            <v>BENZ C220D</v>
          </cell>
          <cell r="D651" t="str">
            <v>BENZ</v>
          </cell>
          <cell r="E651" t="str">
            <v>C220D</v>
          </cell>
          <cell r="G651" t="str">
            <v>327머8885</v>
          </cell>
          <cell r="H651" t="str">
            <v>WDDWF0EB4GF246954</v>
          </cell>
          <cell r="I651">
            <v>46114</v>
          </cell>
          <cell r="J651" t="str">
            <v>㈜카베이</v>
          </cell>
          <cell r="L651" t="str">
            <v>잔금</v>
          </cell>
          <cell r="M651" t="str">
            <v>50만원 회사통장 계약</v>
          </cell>
          <cell r="N651">
            <v>1180</v>
          </cell>
          <cell r="P651">
            <v>1180</v>
          </cell>
          <cell r="Q651" t="str">
            <v>DONE</v>
          </cell>
          <cell r="R651">
            <v>46121</v>
          </cell>
          <cell r="S651" t="str">
            <v>CALJA</v>
          </cell>
          <cell r="T651" t="str">
            <v>DOKOLLI ALBANA</v>
          </cell>
          <cell r="U651" t="str">
            <v>H15311066L</v>
          </cell>
          <cell r="V651" t="str">
            <v>355 69 550 5533</v>
          </cell>
          <cell r="W651" t="str">
            <v>Albania</v>
          </cell>
          <cell r="X651">
            <v>1499</v>
          </cell>
          <cell r="AB651">
            <v>1738</v>
          </cell>
          <cell r="AC651">
            <v>6595</v>
          </cell>
          <cell r="AD651">
            <v>1285</v>
          </cell>
          <cell r="AE651">
            <v>7880</v>
          </cell>
          <cell r="AF651">
            <v>20000</v>
          </cell>
        </row>
        <row r="652">
          <cell r="A652">
            <v>650</v>
          </cell>
          <cell r="B652">
            <v>46114</v>
          </cell>
          <cell r="C652" t="str">
            <v>JAGUAR F-TYPE</v>
          </cell>
          <cell r="D652" t="str">
            <v>JAGUAR</v>
          </cell>
          <cell r="E652" t="str">
            <v>F-TYPE</v>
          </cell>
          <cell r="G652" t="str">
            <v>67구1674</v>
          </cell>
          <cell r="H652" t="str">
            <v>SAJAA60T3H8K43315</v>
          </cell>
          <cell r="I652">
            <v>46118</v>
          </cell>
          <cell r="J652" t="str">
            <v>㈜ 홍카모터스</v>
          </cell>
          <cell r="L652" t="str">
            <v>잔금</v>
          </cell>
          <cell r="M652" t="str">
            <v>100만원 회사통장 계약</v>
          </cell>
          <cell r="N652">
            <v>2780</v>
          </cell>
          <cell r="P652">
            <v>2780</v>
          </cell>
          <cell r="Q652" t="str">
            <v>done</v>
          </cell>
          <cell r="R652">
            <v>46128</v>
          </cell>
          <cell r="S652" t="str">
            <v>BEN</v>
          </cell>
          <cell r="T652" t="str">
            <v>Evo Prestige &amp; Classic Cars</v>
          </cell>
          <cell r="U652" t="str">
            <v>945.390.052.00013</v>
          </cell>
          <cell r="V652" t="str">
            <v xml:space="preserve"> 33 649 5005 94</v>
          </cell>
          <cell r="W652" t="str">
            <v>2 rue de le ferronnerie 
43000 Polignac</v>
          </cell>
          <cell r="X652">
            <v>1499</v>
          </cell>
          <cell r="AB652">
            <v>1738</v>
          </cell>
          <cell r="AC652">
            <v>15430</v>
          </cell>
          <cell r="AF652">
            <v>15750</v>
          </cell>
        </row>
        <row r="653">
          <cell r="A653">
            <v>651</v>
          </cell>
          <cell r="B653">
            <v>46114</v>
          </cell>
          <cell r="C653" t="str">
            <v>LEXUS LS 460L</v>
          </cell>
          <cell r="D653" t="str">
            <v>LEXUS</v>
          </cell>
          <cell r="E653" t="str">
            <v>LS 460L</v>
          </cell>
          <cell r="G653" t="str">
            <v>63무9589</v>
          </cell>
          <cell r="H653" t="str">
            <v>JTHGL46F985031852</v>
          </cell>
          <cell r="I653">
            <v>46115</v>
          </cell>
          <cell r="J653" t="str">
            <v>㈜ 라희모터스</v>
          </cell>
          <cell r="L653" t="str">
            <v>잔금</v>
          </cell>
          <cell r="M653" t="str">
            <v>100만원 회사통장 계약</v>
          </cell>
          <cell r="N653">
            <v>1320</v>
          </cell>
          <cell r="P653">
            <v>1320</v>
          </cell>
          <cell r="Q653" t="str">
            <v>DONE</v>
          </cell>
          <cell r="R653">
            <v>46121</v>
          </cell>
          <cell r="S653" t="str">
            <v>AlphaWorldWide</v>
          </cell>
          <cell r="T653" t="str">
            <v>AlphaWorldWideAlbania</v>
          </cell>
          <cell r="U653" t="str">
            <v>SN-619176-11-19</v>
          </cell>
          <cell r="V653" t="str">
            <v>355 69223 3416</v>
          </cell>
          <cell r="W653" t="str">
            <v xml:space="preserve">Durres, Durres, DURRES, Lagjja nr.11, Rruga Bulevardi, me siperfaqe 30m2 </v>
          </cell>
          <cell r="X653">
            <v>1499</v>
          </cell>
          <cell r="AB653">
            <v>1738</v>
          </cell>
          <cell r="AC653">
            <v>7349</v>
          </cell>
          <cell r="AD653">
            <v>1371</v>
          </cell>
          <cell r="AE653">
            <v>8720</v>
          </cell>
        </row>
        <row r="654">
          <cell r="A654">
            <v>652</v>
          </cell>
          <cell r="B654">
            <v>46114</v>
          </cell>
          <cell r="C654" t="str">
            <v>KIA MOHABI</v>
          </cell>
          <cell r="D654" t="str">
            <v>KIA</v>
          </cell>
          <cell r="E654" t="str">
            <v>MOHABI</v>
          </cell>
          <cell r="G654" t="str">
            <v>13거7335</v>
          </cell>
          <cell r="H654" t="str">
            <v>KNAKN814DEA125183</v>
          </cell>
          <cell r="I654">
            <v>46115</v>
          </cell>
          <cell r="J654" t="str">
            <v>경매장- KCAR</v>
          </cell>
          <cell r="K654" t="str">
            <v>HEYMAN</v>
          </cell>
          <cell r="L654" t="str">
            <v>잔금</v>
          </cell>
          <cell r="N654">
            <v>420</v>
          </cell>
          <cell r="O654">
            <v>16</v>
          </cell>
          <cell r="P654">
            <v>436</v>
          </cell>
          <cell r="Q654" t="str">
            <v>done</v>
          </cell>
          <cell r="R654" t="str">
            <v>con2</v>
          </cell>
          <cell r="S654" t="str">
            <v>MANTAS</v>
          </cell>
          <cell r="T654" t="str">
            <v>UAB GRALIS</v>
          </cell>
          <cell r="U654">
            <v>179285533</v>
          </cell>
          <cell r="V654" t="str">
            <v>370 (618) 11 666</v>
          </cell>
          <cell r="W654" t="str">
            <v xml:space="preserve">Jūros g. 33, Tauragė  </v>
          </cell>
          <cell r="X654">
            <v>1490</v>
          </cell>
          <cell r="AC654">
            <v>3060</v>
          </cell>
          <cell r="AD654">
            <v>1550</v>
          </cell>
          <cell r="AE654">
            <v>4610</v>
          </cell>
        </row>
        <row r="655">
          <cell r="A655">
            <v>653</v>
          </cell>
          <cell r="B655">
            <v>46114</v>
          </cell>
          <cell r="C655" t="str">
            <v>BENZ S500</v>
          </cell>
          <cell r="D655" t="str">
            <v>BENZ</v>
          </cell>
          <cell r="E655" t="str">
            <v>S500</v>
          </cell>
          <cell r="G655" t="str">
            <v>22가5762</v>
          </cell>
          <cell r="H655" t="str">
            <v>WDDUG8CB7EA042231</v>
          </cell>
          <cell r="I655">
            <v>46120</v>
          </cell>
          <cell r="J655" t="str">
            <v>㈜ 카메이트</v>
          </cell>
          <cell r="L655" t="str">
            <v>잔금</v>
          </cell>
          <cell r="M655" t="str">
            <v>100만원 대표님 계약</v>
          </cell>
          <cell r="N655">
            <v>2200</v>
          </cell>
          <cell r="P655">
            <v>2200</v>
          </cell>
          <cell r="Q655" t="str">
            <v>done</v>
          </cell>
          <cell r="R655">
            <v>46155</v>
          </cell>
          <cell r="S655" t="str">
            <v>DAX IMPORT</v>
          </cell>
          <cell r="T655" t="str">
            <v xml:space="preserve">Michael Karl  </v>
          </cell>
          <cell r="U655" t="str">
            <v>LF9N8WZ16</v>
          </cell>
          <cell r="V655" t="str">
            <v>‪+49 471 94189050‬</v>
          </cell>
          <cell r="W655" t="str">
            <v xml:space="preserve">Dorfstr,33C,(82024) Taufkirchen, Germany </v>
          </cell>
          <cell r="X655">
            <v>1499</v>
          </cell>
          <cell r="AB655">
            <v>1738</v>
          </cell>
          <cell r="AC655">
            <v>12200</v>
          </cell>
        </row>
        <row r="656">
          <cell r="A656">
            <v>654</v>
          </cell>
          <cell r="B656">
            <v>46114</v>
          </cell>
          <cell r="C656" t="str">
            <v>HYUNDAI TUCSON</v>
          </cell>
          <cell r="D656" t="str">
            <v>HYUNDAI</v>
          </cell>
          <cell r="E656" t="str">
            <v>TUCSON</v>
          </cell>
          <cell r="G656" t="str">
            <v>49보0337</v>
          </cell>
          <cell r="H656" t="str">
            <v>KMHJ581ABGU192846</v>
          </cell>
          <cell r="J656" t="str">
            <v>경매장 - 현대글로비스</v>
          </cell>
          <cell r="L656" t="str">
            <v>잔금</v>
          </cell>
          <cell r="N656">
            <v>865</v>
          </cell>
          <cell r="O656">
            <v>19</v>
          </cell>
          <cell r="P656">
            <v>884</v>
          </cell>
          <cell r="Q656" t="str">
            <v>done</v>
          </cell>
          <cell r="R656">
            <v>46128</v>
          </cell>
          <cell r="S656" t="str">
            <v>CALJA</v>
          </cell>
          <cell r="T656" t="str">
            <v>MURTAJ ARJON</v>
          </cell>
          <cell r="U656" t="str">
            <v>I70624057O</v>
          </cell>
          <cell r="V656" t="str">
            <v>355 69 550 5533</v>
          </cell>
          <cell r="W656" t="str">
            <v>Albania</v>
          </cell>
          <cell r="X656">
            <v>1499</v>
          </cell>
          <cell r="AB656">
            <v>1738</v>
          </cell>
          <cell r="AC656">
            <v>5128</v>
          </cell>
          <cell r="AD656">
            <v>1372</v>
          </cell>
          <cell r="AE656">
            <v>6500</v>
          </cell>
          <cell r="AF656">
            <v>7800</v>
          </cell>
        </row>
        <row r="657">
          <cell r="A657">
            <v>655</v>
          </cell>
          <cell r="B657">
            <v>46114</v>
          </cell>
          <cell r="C657" t="str">
            <v>BMW 320D</v>
          </cell>
          <cell r="D657" t="str">
            <v>BMW</v>
          </cell>
          <cell r="E657" t="str">
            <v>320D</v>
          </cell>
          <cell r="G657" t="str">
            <v>50루0368</v>
          </cell>
          <cell r="H657" t="str">
            <v xml:space="preserve">WBA8Y7108GG715531 </v>
          </cell>
          <cell r="I657">
            <v>46115</v>
          </cell>
          <cell r="J657" t="str">
            <v>㈜ 부부모터스</v>
          </cell>
          <cell r="K657" t="str">
            <v>sangshin</v>
          </cell>
          <cell r="L657" t="str">
            <v>잔금</v>
          </cell>
          <cell r="M657" t="str">
            <v>50만원 회사통장 계약</v>
          </cell>
          <cell r="N657">
            <v>1210</v>
          </cell>
          <cell r="P657">
            <v>1210</v>
          </cell>
          <cell r="Q657" t="str">
            <v>DONE</v>
          </cell>
          <cell r="R657">
            <v>46121</v>
          </cell>
          <cell r="S657" t="str">
            <v>R.S.h L.L.C.</v>
          </cell>
          <cell r="T657" t="str">
            <v>R.Sh L.L.C.</v>
          </cell>
          <cell r="U657">
            <v>812326016</v>
          </cell>
          <cell r="V657" t="str">
            <v>+383486 611 61</v>
          </cell>
          <cell r="W657" t="str">
            <v>Kosovo</v>
          </cell>
          <cell r="X657">
            <v>1499</v>
          </cell>
          <cell r="AB657">
            <v>1738</v>
          </cell>
          <cell r="AC657">
            <v>6865</v>
          </cell>
          <cell r="AD657">
            <v>1285</v>
          </cell>
          <cell r="AE657">
            <v>8150</v>
          </cell>
          <cell r="AF657">
            <v>8150</v>
          </cell>
        </row>
        <row r="658">
          <cell r="A658">
            <v>656</v>
          </cell>
          <cell r="B658">
            <v>46115</v>
          </cell>
          <cell r="C658" t="str">
            <v>HYUNDAI GRAND STAREX</v>
          </cell>
          <cell r="D658" t="str">
            <v>HYUNDAI</v>
          </cell>
          <cell r="E658" t="str">
            <v>GRAND STAREX</v>
          </cell>
          <cell r="G658" t="str">
            <v>75고2706</v>
          </cell>
          <cell r="H658" t="str">
            <v>KMJWA37TBCU443030</v>
          </cell>
          <cell r="J658" t="str">
            <v>㈜ 창진모터스</v>
          </cell>
          <cell r="L658" t="str">
            <v>잔금</v>
          </cell>
          <cell r="M658" t="str">
            <v>50만원 대표님 계약</v>
          </cell>
          <cell r="N658">
            <v>894</v>
          </cell>
          <cell r="P658">
            <v>894</v>
          </cell>
          <cell r="Q658" t="str">
            <v>done</v>
          </cell>
          <cell r="R658">
            <v>46128</v>
          </cell>
          <cell r="S658" t="str">
            <v xml:space="preserve">Andrea Kasa </v>
          </cell>
          <cell r="T658" t="str">
            <v>Bernal Xhyra</v>
          </cell>
          <cell r="U658" t="str">
            <v>M43513201H</v>
          </cell>
          <cell r="V658" t="str">
            <v>355 69 746 2556</v>
          </cell>
          <cell r="W658" t="str">
            <v>Albania</v>
          </cell>
          <cell r="X658">
            <v>1499</v>
          </cell>
          <cell r="AB658">
            <v>1738</v>
          </cell>
          <cell r="AC658">
            <v>5182</v>
          </cell>
          <cell r="AD658">
            <v>1458</v>
          </cell>
          <cell r="AE658">
            <v>6640</v>
          </cell>
          <cell r="AF658">
            <v>8390</v>
          </cell>
        </row>
        <row r="659">
          <cell r="A659">
            <v>657</v>
          </cell>
          <cell r="B659">
            <v>46115</v>
          </cell>
          <cell r="C659" t="str">
            <v>JEEP CHEROKEE</v>
          </cell>
          <cell r="D659" t="str">
            <v>JEEP</v>
          </cell>
          <cell r="E659" t="str">
            <v>CHEROKEE</v>
          </cell>
          <cell r="G659" t="str">
            <v>28다0414</v>
          </cell>
          <cell r="H659" t="str">
            <v>1C4BU0000GPD38271</v>
          </cell>
          <cell r="I659">
            <v>46118</v>
          </cell>
          <cell r="L659" t="str">
            <v>잔금</v>
          </cell>
          <cell r="M659" t="str">
            <v>50만원 대표님 계약</v>
          </cell>
          <cell r="N659">
            <v>1040</v>
          </cell>
          <cell r="P659">
            <v>1040</v>
          </cell>
          <cell r="Q659" t="str">
            <v>DONE</v>
          </cell>
          <cell r="R659">
            <v>46121</v>
          </cell>
          <cell r="S659" t="str">
            <v>AUTO SCOUT</v>
          </cell>
          <cell r="T659" t="str">
            <v>DONI</v>
          </cell>
          <cell r="U659">
            <v>933682</v>
          </cell>
          <cell r="V659" t="str">
            <v>3 8 3 4 9 3 2 5 7 0 3</v>
          </cell>
          <cell r="W659" t="str">
            <v xml:space="preserve"> HYZRI TALLA OB 16 HY 1 NR 18
 Kosovë</v>
          </cell>
          <cell r="X659">
            <v>1499</v>
          </cell>
          <cell r="AB659">
            <v>1738</v>
          </cell>
          <cell r="AC659">
            <v>5682</v>
          </cell>
          <cell r="AD659">
            <v>1458</v>
          </cell>
          <cell r="AE659">
            <v>7140</v>
          </cell>
        </row>
        <row r="660">
          <cell r="A660">
            <v>658</v>
          </cell>
          <cell r="B660">
            <v>46115</v>
          </cell>
          <cell r="C660" t="str">
            <v>HYUNDAI SANTAFE</v>
          </cell>
          <cell r="D660" t="str">
            <v>HYUNDAI</v>
          </cell>
          <cell r="E660" t="str">
            <v>SANTAFE</v>
          </cell>
          <cell r="G660" t="str">
            <v>376구6086</v>
          </cell>
          <cell r="H660" t="str">
            <v xml:space="preserve"> KMHS281HHMU318782</v>
          </cell>
          <cell r="I660">
            <v>46118</v>
          </cell>
          <cell r="J660" t="str">
            <v>㈜설레임오토모티브</v>
          </cell>
          <cell r="K660" t="str">
            <v>sangshin</v>
          </cell>
          <cell r="L660" t="str">
            <v>잔금</v>
          </cell>
          <cell r="M660" t="str">
            <v>100만원 대표님 계약</v>
          </cell>
          <cell r="N660">
            <v>2370</v>
          </cell>
          <cell r="P660">
            <v>2370</v>
          </cell>
          <cell r="Q660" t="str">
            <v>DONE</v>
          </cell>
          <cell r="R660">
            <v>46121</v>
          </cell>
          <cell r="S660" t="str">
            <v>R.S.h L.L.C.</v>
          </cell>
          <cell r="T660" t="str">
            <v>R.Sh L.L.C.</v>
          </cell>
          <cell r="U660">
            <v>812326016</v>
          </cell>
          <cell r="V660" t="str">
            <v>+383486 611 61</v>
          </cell>
          <cell r="W660" t="str">
            <v>Kosovo</v>
          </cell>
          <cell r="X660">
            <v>1499</v>
          </cell>
          <cell r="AB660">
            <v>1738</v>
          </cell>
          <cell r="AC660">
            <v>13129</v>
          </cell>
          <cell r="AD660">
            <v>1371</v>
          </cell>
          <cell r="AE660">
            <v>14500</v>
          </cell>
        </row>
        <row r="661">
          <cell r="A661">
            <v>659</v>
          </cell>
          <cell r="B661">
            <v>46115</v>
          </cell>
          <cell r="C661" t="str">
            <v>VOLKSWAGENS PASSAT</v>
          </cell>
          <cell r="D661" t="str">
            <v>VOLKSWAGENS</v>
          </cell>
          <cell r="E661" t="str">
            <v>PASSAT</v>
          </cell>
          <cell r="G661" t="str">
            <v>58조1493</v>
          </cell>
          <cell r="H661" t="str">
            <v xml:space="preserve"> WVWZZZ3CZJE121550</v>
          </cell>
          <cell r="I661">
            <v>46118</v>
          </cell>
          <cell r="J661" t="str">
            <v>㈜차차</v>
          </cell>
          <cell r="L661" t="str">
            <v>잔금</v>
          </cell>
          <cell r="M661" t="str">
            <v>100만원 대표님 계약</v>
          </cell>
          <cell r="N661">
            <v>1720</v>
          </cell>
          <cell r="P661">
            <v>1720</v>
          </cell>
          <cell r="Q661" t="str">
            <v>DONE</v>
          </cell>
          <cell r="R661">
            <v>46121</v>
          </cell>
          <cell r="S661" t="str">
            <v>ATLAS GROUP SH.P.K</v>
          </cell>
          <cell r="T661" t="str">
            <v>ATLAS GROUP SH.P.K</v>
          </cell>
          <cell r="U661">
            <v>812137455</v>
          </cell>
          <cell r="V661" t="str">
            <v>+38348702207</v>
          </cell>
          <cell r="W661" t="str">
            <v>Xhelal Hajda, p.n. Rahovec</v>
          </cell>
          <cell r="X661">
            <v>1499</v>
          </cell>
          <cell r="AB661">
            <v>1738</v>
          </cell>
          <cell r="AC661">
            <v>9715</v>
          </cell>
          <cell r="AD661">
            <v>1285</v>
          </cell>
          <cell r="AE661">
            <v>11000</v>
          </cell>
        </row>
        <row r="662">
          <cell r="A662">
            <v>660</v>
          </cell>
          <cell r="B662">
            <v>46115</v>
          </cell>
          <cell r="C662" t="str">
            <v>Citroen DS5</v>
          </cell>
          <cell r="D662" t="str">
            <v>Citroen</v>
          </cell>
          <cell r="E662" t="str">
            <v>DS5</v>
          </cell>
          <cell r="G662" t="str">
            <v>54노0532</v>
          </cell>
          <cell r="H662" t="str">
            <v>VF7KFAHWTGS500229</v>
          </cell>
          <cell r="I662">
            <v>46118</v>
          </cell>
          <cell r="J662" t="str">
            <v>㈜시우자동차</v>
          </cell>
          <cell r="K662" t="str">
            <v>sangshin</v>
          </cell>
          <cell r="L662" t="str">
            <v>잔금</v>
          </cell>
          <cell r="M662" t="str">
            <v>50만원 대표님 계약</v>
          </cell>
          <cell r="N662">
            <v>700</v>
          </cell>
          <cell r="P662">
            <v>700</v>
          </cell>
          <cell r="Q662" t="str">
            <v>DONE</v>
          </cell>
          <cell r="R662">
            <v>46121</v>
          </cell>
          <cell r="S662" t="str">
            <v>R.S.h L.L.C.</v>
          </cell>
          <cell r="T662" t="str">
            <v>R.Sh L.L.C.</v>
          </cell>
          <cell r="U662">
            <v>812326016</v>
          </cell>
          <cell r="V662" t="str">
            <v>+383486 611 61</v>
          </cell>
          <cell r="W662" t="str">
            <v>Kosovo</v>
          </cell>
          <cell r="X662">
            <v>1499</v>
          </cell>
          <cell r="AB662">
            <v>1738</v>
          </cell>
          <cell r="AC662">
            <v>4055</v>
          </cell>
          <cell r="AD662">
            <v>1285</v>
          </cell>
          <cell r="AE662">
            <v>5340</v>
          </cell>
        </row>
        <row r="663">
          <cell r="A663">
            <v>661</v>
          </cell>
          <cell r="B663">
            <v>46115</v>
          </cell>
          <cell r="C663" t="str">
            <v>VOLKSWAGENS GOLF</v>
          </cell>
          <cell r="D663" t="str">
            <v>VOLKSWAGENS</v>
          </cell>
          <cell r="E663" t="str">
            <v>GOLF</v>
          </cell>
          <cell r="G663" t="str">
            <v>30소0446</v>
          </cell>
          <cell r="H663" t="str">
            <v>WVWZZZAUZGW094352</v>
          </cell>
          <cell r="I663">
            <v>46118</v>
          </cell>
          <cell r="J663" t="str">
            <v>㈜ 카베이</v>
          </cell>
          <cell r="K663" t="str">
            <v>HEYMAN</v>
          </cell>
          <cell r="L663" t="str">
            <v>잔금</v>
          </cell>
          <cell r="M663" t="str">
            <v>50만원 회사통장 계약</v>
          </cell>
          <cell r="N663">
            <v>1210</v>
          </cell>
          <cell r="P663">
            <v>1210</v>
          </cell>
          <cell r="Q663" t="str">
            <v>done</v>
          </cell>
          <cell r="R663">
            <v>46121</v>
          </cell>
          <cell r="S663" t="str">
            <v>ATLAS GROUP SH.P.K</v>
          </cell>
          <cell r="T663" t="str">
            <v>ATLAS GROUP SH.P.K</v>
          </cell>
          <cell r="U663">
            <v>812137455</v>
          </cell>
          <cell r="V663" t="str">
            <v>+38348702207</v>
          </cell>
          <cell r="W663" t="str">
            <v>Xhelal Hajda, p.n. Rahovec</v>
          </cell>
          <cell r="X663">
            <v>1499</v>
          </cell>
          <cell r="AB663">
            <v>1738</v>
          </cell>
          <cell r="AC663">
            <v>6745</v>
          </cell>
          <cell r="AD663">
            <v>1285</v>
          </cell>
          <cell r="AE663">
            <v>8030</v>
          </cell>
        </row>
        <row r="664">
          <cell r="A664">
            <v>662</v>
          </cell>
          <cell r="B664">
            <v>46119</v>
          </cell>
          <cell r="C664" t="str">
            <v>VOLKSWAGENS T-ROC</v>
          </cell>
          <cell r="D664" t="str">
            <v>VOLKSWAGENS</v>
          </cell>
          <cell r="E664" t="str">
            <v>T-ROC</v>
          </cell>
          <cell r="G664" t="str">
            <v>142오4736</v>
          </cell>
          <cell r="H664" t="str">
            <v>WVGZZZA1ZMV029863</v>
          </cell>
          <cell r="I664">
            <v>46120</v>
          </cell>
          <cell r="J664" t="str">
            <v>㈜ 모던카</v>
          </cell>
          <cell r="K664" t="str">
            <v>HEYMAN</v>
          </cell>
          <cell r="L664" t="str">
            <v>잔금</v>
          </cell>
          <cell r="M664" t="str">
            <v>100만원 회사통장 계약</v>
          </cell>
          <cell r="N664">
            <v>2150</v>
          </cell>
          <cell r="P664">
            <v>0</v>
          </cell>
          <cell r="Q664" t="str">
            <v>done</v>
          </cell>
          <cell r="R664">
            <v>46135</v>
          </cell>
          <cell r="S664" t="str">
            <v>AUTO SCOUT</v>
          </cell>
          <cell r="T664" t="str">
            <v>DONI</v>
          </cell>
          <cell r="U664">
            <v>933682</v>
          </cell>
          <cell r="V664" t="str">
            <v>3 8 3 4 9 3 2 5 7 0 3</v>
          </cell>
          <cell r="W664" t="str">
            <v xml:space="preserve"> HYZRI TALLA OB 16 HY 1 NR 18
 Kosovë</v>
          </cell>
          <cell r="X664">
            <v>1467</v>
          </cell>
          <cell r="AB664">
            <v>1713</v>
          </cell>
          <cell r="AC664">
            <v>11978</v>
          </cell>
          <cell r="AD664">
            <v>1362</v>
          </cell>
          <cell r="AE664">
            <v>13340</v>
          </cell>
        </row>
        <row r="665">
          <cell r="A665">
            <v>663</v>
          </cell>
          <cell r="B665">
            <v>46119</v>
          </cell>
          <cell r="C665" t="str">
            <v>AUDI SQ5</v>
          </cell>
          <cell r="D665" t="str">
            <v>AUDI</v>
          </cell>
          <cell r="E665" t="str">
            <v>SQ5</v>
          </cell>
          <cell r="G665" t="str">
            <v>253다9744</v>
          </cell>
          <cell r="H665" t="str">
            <v>WAUZZZFY2L2086352</v>
          </cell>
          <cell r="I665">
            <v>46126</v>
          </cell>
          <cell r="J665" t="str">
            <v>개인매입- 최준헉</v>
          </cell>
          <cell r="L665" t="str">
            <v>잔금</v>
          </cell>
          <cell r="M665" t="str">
            <v>100만원 회사통장 계약</v>
          </cell>
          <cell r="N665">
            <v>3900</v>
          </cell>
          <cell r="P665">
            <v>0</v>
          </cell>
          <cell r="Q665" t="str">
            <v>done</v>
          </cell>
          <cell r="R665">
            <v>46128</v>
          </cell>
          <cell r="S665" t="str">
            <v>HYSA</v>
          </cell>
          <cell r="T665" t="str">
            <v>KUMRIA EDUART</v>
          </cell>
          <cell r="U665" t="str">
            <v>H70927056G</v>
          </cell>
          <cell r="V665" t="str">
            <v>355 69 690 2972</v>
          </cell>
          <cell r="W665" t="str">
            <v>Albania</v>
          </cell>
          <cell r="X665">
            <v>1467</v>
          </cell>
          <cell r="AB665">
            <v>1713</v>
          </cell>
          <cell r="AC665">
            <v>21638</v>
          </cell>
          <cell r="AD665">
            <v>1362</v>
          </cell>
          <cell r="AE665">
            <v>23000</v>
          </cell>
          <cell r="AF665">
            <v>13700</v>
          </cell>
        </row>
        <row r="666">
          <cell r="A666">
            <v>664</v>
          </cell>
          <cell r="B666">
            <v>46119</v>
          </cell>
          <cell r="C666" t="str">
            <v>BENZ E220</v>
          </cell>
          <cell r="D666" t="str">
            <v>BENZ</v>
          </cell>
          <cell r="E666" t="str">
            <v>E220</v>
          </cell>
          <cell r="G666" t="str">
            <v>134모3910</v>
          </cell>
          <cell r="H666" t="str">
            <v>W1KZF0FB8NB020884</v>
          </cell>
          <cell r="I666">
            <v>46122</v>
          </cell>
          <cell r="J666" t="str">
            <v>㈜스마일 자동차</v>
          </cell>
          <cell r="L666" t="str">
            <v>잔금</v>
          </cell>
          <cell r="M666" t="str">
            <v>100만원 회사통장 계약</v>
          </cell>
          <cell r="N666">
            <v>3550</v>
          </cell>
          <cell r="P666">
            <v>0</v>
          </cell>
          <cell r="Q666" t="str">
            <v>done</v>
          </cell>
          <cell r="R666">
            <v>46128</v>
          </cell>
          <cell r="S666" t="str">
            <v>ATLAS GROUP SH.P.K</v>
          </cell>
          <cell r="T666" t="str">
            <v>ATLAS GROUP SH.P.K</v>
          </cell>
          <cell r="U666">
            <v>812137455</v>
          </cell>
          <cell r="V666" t="str">
            <v>+38348702207</v>
          </cell>
          <cell r="W666" t="str">
            <v>Xhelal Hajda, p.n. Rahovec</v>
          </cell>
          <cell r="X666">
            <v>1467</v>
          </cell>
          <cell r="AB666">
            <v>1713</v>
          </cell>
          <cell r="AC666">
            <v>19824</v>
          </cell>
          <cell r="AD666">
            <v>1276</v>
          </cell>
          <cell r="AE666">
            <v>21100</v>
          </cell>
          <cell r="AF666">
            <v>21100</v>
          </cell>
        </row>
        <row r="667">
          <cell r="A667">
            <v>665</v>
          </cell>
          <cell r="B667">
            <v>46120</v>
          </cell>
          <cell r="C667" t="str">
            <v>BENZ S63</v>
          </cell>
          <cell r="D667" t="str">
            <v>BENZ</v>
          </cell>
          <cell r="E667" t="str">
            <v>S63</v>
          </cell>
          <cell r="G667" t="str">
            <v>65주0214</v>
          </cell>
          <cell r="H667" t="str">
            <v xml:space="preserve"> WDDUG7JB6GA238953</v>
          </cell>
          <cell r="I667">
            <v>46132</v>
          </cell>
          <cell r="J667" t="str">
            <v>㈜송도 자동차</v>
          </cell>
          <cell r="L667" t="str">
            <v>잔금</v>
          </cell>
          <cell r="M667" t="str">
            <v>50만원 회사통장 계약</v>
          </cell>
          <cell r="N667">
            <v>2560</v>
          </cell>
          <cell r="P667">
            <v>0</v>
          </cell>
          <cell r="Q667" t="str">
            <v>DONE</v>
          </cell>
          <cell r="R667">
            <v>46142</v>
          </cell>
          <cell r="S667" t="str">
            <v>MILO</v>
          </cell>
          <cell r="T667" t="str">
            <v>CANI MATEO</v>
          </cell>
          <cell r="U667" t="str">
            <v>K01217005F</v>
          </cell>
          <cell r="V667" t="str">
            <v>355 69 682 8331</v>
          </cell>
          <cell r="W667" t="str">
            <v>Albania</v>
          </cell>
          <cell r="X667">
            <v>1467</v>
          </cell>
          <cell r="AB667">
            <v>1713</v>
          </cell>
          <cell r="AC667">
            <v>14338</v>
          </cell>
          <cell r="AD667">
            <v>1362</v>
          </cell>
          <cell r="AE667">
            <v>15700</v>
          </cell>
          <cell r="AF667">
            <v>6700</v>
          </cell>
        </row>
        <row r="668">
          <cell r="A668">
            <v>666</v>
          </cell>
          <cell r="B668">
            <v>46120</v>
          </cell>
          <cell r="C668" t="str">
            <v>RENAULT QM6</v>
          </cell>
          <cell r="D668" t="str">
            <v>RENAULT</v>
          </cell>
          <cell r="E668" t="str">
            <v>QM6</v>
          </cell>
          <cell r="G668" t="str">
            <v>06소4724</v>
          </cell>
          <cell r="H668" t="str">
            <v xml:space="preserve"> KNME5C2M4JP035609</v>
          </cell>
          <cell r="I668">
            <v>46121</v>
          </cell>
          <cell r="J668" t="str">
            <v>㈜ 에스엡</v>
          </cell>
          <cell r="K668" t="str">
            <v>AHSHIN</v>
          </cell>
          <cell r="L668" t="str">
            <v>잔금</v>
          </cell>
          <cell r="M668" t="str">
            <v>50만원 대표님 계약</v>
          </cell>
          <cell r="N668">
            <v>1260</v>
          </cell>
          <cell r="P668">
            <v>0</v>
          </cell>
          <cell r="Q668" t="str">
            <v>done</v>
          </cell>
          <cell r="R668">
            <v>46135</v>
          </cell>
          <cell r="S668" t="str">
            <v>R.S.h L.L.C.</v>
          </cell>
          <cell r="T668" t="str">
            <v>R.Sh L.L.C.</v>
          </cell>
          <cell r="U668">
            <v>812326016</v>
          </cell>
          <cell r="V668" t="str">
            <v>+383486 611 61</v>
          </cell>
          <cell r="W668" t="str">
            <v>Kosovo</v>
          </cell>
          <cell r="X668">
            <v>1467</v>
          </cell>
          <cell r="AB668">
            <v>1713</v>
          </cell>
          <cell r="AC668">
            <v>7108</v>
          </cell>
          <cell r="AD668">
            <v>1362</v>
          </cell>
          <cell r="AE668">
            <v>8470</v>
          </cell>
        </row>
        <row r="669">
          <cell r="A669">
            <v>667</v>
          </cell>
          <cell r="B669">
            <v>46120</v>
          </cell>
          <cell r="C669" t="str">
            <v>AUDI A6</v>
          </cell>
          <cell r="D669" t="str">
            <v>AUDI</v>
          </cell>
          <cell r="E669" t="str">
            <v>A6</v>
          </cell>
          <cell r="G669" t="str">
            <v>19누0863</v>
          </cell>
          <cell r="H669" t="str">
            <v xml:space="preserve">WAUZZZ4G4GN136988 </v>
          </cell>
          <cell r="I669">
            <v>46122</v>
          </cell>
          <cell r="J669" t="str">
            <v>㈜디에이모터스</v>
          </cell>
          <cell r="L669" t="str">
            <v>잔금</v>
          </cell>
          <cell r="M669" t="str">
            <v>50만원 대표님 계약</v>
          </cell>
          <cell r="N669">
            <v>1334</v>
          </cell>
          <cell r="P669">
            <v>0</v>
          </cell>
          <cell r="Q669" t="str">
            <v>done</v>
          </cell>
          <cell r="R669">
            <v>46128</v>
          </cell>
          <cell r="S669" t="str">
            <v>Auto Posh SH.P.K</v>
          </cell>
          <cell r="T669" t="str">
            <v>Auto Posh SH.P.K</v>
          </cell>
          <cell r="U669">
            <v>812219427</v>
          </cell>
          <cell r="V669" t="str">
            <v>38345560145</v>
          </cell>
          <cell r="W669" t="str">
            <v>KOSOVO</v>
          </cell>
          <cell r="X669">
            <v>1467</v>
          </cell>
          <cell r="AB669">
            <v>1713</v>
          </cell>
          <cell r="AC669">
            <v>7444</v>
          </cell>
          <cell r="AD669">
            <v>1276</v>
          </cell>
          <cell r="AE669">
            <v>8720</v>
          </cell>
        </row>
        <row r="670">
          <cell r="A670">
            <v>668</v>
          </cell>
          <cell r="B670">
            <v>46120</v>
          </cell>
          <cell r="C670" t="str">
            <v>McLaren 600LT Spider</v>
          </cell>
          <cell r="D670" t="str">
            <v>McLaren</v>
          </cell>
          <cell r="E670" t="str">
            <v>600LT Spider</v>
          </cell>
          <cell r="G670" t="str">
            <v>62두1461</v>
          </cell>
          <cell r="H670" t="str">
            <v>SBM13SAB9LW007660</v>
          </cell>
          <cell r="I670">
            <v>46121</v>
          </cell>
          <cell r="J670" t="str">
            <v>㈜브릴로</v>
          </cell>
          <cell r="K670" t="str">
            <v>HEYMAN</v>
          </cell>
          <cell r="L670" t="str">
            <v>잔금</v>
          </cell>
          <cell r="M670" t="str">
            <v>1000만원 회사통장 계약</v>
          </cell>
          <cell r="N670">
            <v>19500</v>
          </cell>
          <cell r="P670">
            <v>0</v>
          </cell>
          <cell r="Q670" t="str">
            <v>done</v>
          </cell>
          <cell r="R670" t="str">
            <v>REPORT DONE</v>
          </cell>
          <cell r="S670" t="str">
            <v>JOHN</v>
          </cell>
          <cell r="X670">
            <v>1467</v>
          </cell>
          <cell r="AB670">
            <v>1713</v>
          </cell>
          <cell r="AC670">
            <v>0</v>
          </cell>
        </row>
        <row r="671">
          <cell r="A671">
            <v>669</v>
          </cell>
          <cell r="B671">
            <v>46120</v>
          </cell>
          <cell r="C671" t="str">
            <v>VOLKSWAGENS Tiguan 2.0 TDI 4Motion</v>
          </cell>
          <cell r="D671" t="str">
            <v>VOLKSWAGENS</v>
          </cell>
          <cell r="E671" t="str">
            <v>Tiguan 2.0 TDI 4Motion</v>
          </cell>
          <cell r="G671" t="str">
            <v>232오2188</v>
          </cell>
          <cell r="H671" t="str">
            <v>WVGZZZ5NZLW880666</v>
          </cell>
          <cell r="I671">
            <v>46122</v>
          </cell>
          <cell r="J671" t="str">
            <v>㈜강한모터스</v>
          </cell>
          <cell r="K671" t="str">
            <v>AHSHIN</v>
          </cell>
          <cell r="L671" t="str">
            <v>잔금</v>
          </cell>
          <cell r="M671" t="str">
            <v>100만원 회사통장 계약</v>
          </cell>
          <cell r="N671">
            <v>2660</v>
          </cell>
          <cell r="P671">
            <v>0</v>
          </cell>
          <cell r="Q671" t="str">
            <v>done</v>
          </cell>
          <cell r="R671">
            <v>46135</v>
          </cell>
          <cell r="S671" t="str">
            <v>R.S.h L.L.C.</v>
          </cell>
          <cell r="T671" t="str">
            <v>R.Sh L.L.C.</v>
          </cell>
          <cell r="U671">
            <v>812326016</v>
          </cell>
          <cell r="V671" t="str">
            <v>+383486 611 61</v>
          </cell>
          <cell r="W671" t="str">
            <v>Kosovo</v>
          </cell>
          <cell r="X671">
            <v>1467</v>
          </cell>
          <cell r="AB671">
            <v>1713</v>
          </cell>
          <cell r="AC671">
            <v>14838</v>
          </cell>
          <cell r="AD671">
            <v>1362</v>
          </cell>
          <cell r="AE671">
            <v>16200</v>
          </cell>
        </row>
        <row r="672">
          <cell r="A672">
            <v>670</v>
          </cell>
          <cell r="B672">
            <v>46121</v>
          </cell>
          <cell r="C672" t="str">
            <v>RANGE ROVER 4.4 sdv8</v>
          </cell>
          <cell r="D672" t="str">
            <v>RANGE ROVER</v>
          </cell>
          <cell r="E672" t="str">
            <v>4.4 sdv8</v>
          </cell>
          <cell r="G672" t="str">
            <v>14모1644</v>
          </cell>
          <cell r="H672" t="str">
            <v>SALGA3BJ1KA537209</v>
          </cell>
          <cell r="I672">
            <v>46129</v>
          </cell>
          <cell r="J672" t="str">
            <v>㈜153네트워크</v>
          </cell>
          <cell r="L672" t="str">
            <v>잔금</v>
          </cell>
          <cell r="M672" t="str">
            <v>100만원 대표님 계약</v>
          </cell>
          <cell r="N672">
            <v>7320</v>
          </cell>
          <cell r="P672">
            <v>0</v>
          </cell>
          <cell r="Q672" t="str">
            <v>done</v>
          </cell>
          <cell r="R672">
            <v>46135</v>
          </cell>
          <cell r="S672" t="str">
            <v xml:space="preserve">EUROAUTO.AL </v>
          </cell>
          <cell r="T672" t="str">
            <v>PATI TRAVEL</v>
          </cell>
          <cell r="U672" t="str">
            <v>L71422015F</v>
          </cell>
          <cell r="V672" t="str">
            <v>49 163 6979 099</v>
          </cell>
          <cell r="W672" t="str">
            <v>Albania</v>
          </cell>
          <cell r="X672">
            <v>1472</v>
          </cell>
          <cell r="AB672">
            <v>1725</v>
          </cell>
          <cell r="AC672">
            <v>40758</v>
          </cell>
          <cell r="AD672">
            <v>1442</v>
          </cell>
          <cell r="AE672">
            <v>42200</v>
          </cell>
          <cell r="AF672">
            <v>46500</v>
          </cell>
        </row>
        <row r="673">
          <cell r="A673">
            <v>671</v>
          </cell>
          <cell r="B673">
            <v>46122</v>
          </cell>
          <cell r="C673" t="str">
            <v>RENAULT QM6</v>
          </cell>
          <cell r="D673" t="str">
            <v>RENAULT</v>
          </cell>
          <cell r="E673" t="str">
            <v>QM6</v>
          </cell>
          <cell r="G673" t="str">
            <v>57다2189</v>
          </cell>
          <cell r="H673" t="str">
            <v>KNME5C2M0KP045555</v>
          </cell>
          <cell r="I673">
            <v>46122</v>
          </cell>
          <cell r="J673" t="str">
            <v>㈜명문자동차</v>
          </cell>
          <cell r="K673" t="str">
            <v>AHSHIN</v>
          </cell>
          <cell r="L673" t="str">
            <v>잔금</v>
          </cell>
          <cell r="M673" t="str">
            <v>50만원 대표님 계약</v>
          </cell>
          <cell r="N673">
            <v>1120</v>
          </cell>
          <cell r="P673">
            <v>0</v>
          </cell>
          <cell r="Q673" t="str">
            <v>done</v>
          </cell>
          <cell r="R673">
            <v>46135</v>
          </cell>
          <cell r="S673" t="str">
            <v>R.S.h L.L.C.</v>
          </cell>
          <cell r="T673" t="str">
            <v>R.Sh L.L.C.</v>
          </cell>
          <cell r="U673">
            <v>812326016</v>
          </cell>
          <cell r="V673" t="str">
            <v>+383486 611 61</v>
          </cell>
          <cell r="W673" t="str">
            <v>Kosovo</v>
          </cell>
          <cell r="X673">
            <v>1461</v>
          </cell>
          <cell r="AB673">
            <v>1708</v>
          </cell>
          <cell r="AC673">
            <v>6300</v>
          </cell>
          <cell r="AD673">
            <v>1360</v>
          </cell>
          <cell r="AE673">
            <v>7660</v>
          </cell>
        </row>
        <row r="674">
          <cell r="A674">
            <v>672</v>
          </cell>
          <cell r="B674">
            <v>46122</v>
          </cell>
          <cell r="C674" t="str">
            <v>Cadillac CTS-V</v>
          </cell>
          <cell r="D674" t="str">
            <v>Cadillac</v>
          </cell>
          <cell r="E674" t="str">
            <v>CTS-V</v>
          </cell>
          <cell r="G674" t="str">
            <v>13루0364</v>
          </cell>
          <cell r="H674" t="str">
            <v xml:space="preserve"> 1G6A85S63G0194998</v>
          </cell>
          <cell r="I674">
            <v>46125</v>
          </cell>
          <cell r="L674" t="str">
            <v>잔금</v>
          </cell>
          <cell r="M674" t="str">
            <v>100만원 대표님 계약</v>
          </cell>
          <cell r="N674">
            <v>3600</v>
          </cell>
          <cell r="P674">
            <v>0</v>
          </cell>
          <cell r="Q674" t="str">
            <v>DONE</v>
          </cell>
          <cell r="R674">
            <v>42516</v>
          </cell>
          <cell r="S674" t="str">
            <v>AJ VIKINGS</v>
          </cell>
          <cell r="T674" t="str">
            <v>JOHANSEN WILLIAM DREYER</v>
          </cell>
          <cell r="U674" t="str">
            <v>CCC267969</v>
          </cell>
          <cell r="V674" t="str">
            <v>47 454 96 622</v>
          </cell>
          <cell r="W674" t="str">
            <v>Ramstadaasen 14, 1900 Fetsund , Norway</v>
          </cell>
          <cell r="X674">
            <v>1461</v>
          </cell>
          <cell r="AB674">
            <v>1708</v>
          </cell>
          <cell r="AC674">
            <v>20400</v>
          </cell>
          <cell r="AE674">
            <v>20400</v>
          </cell>
        </row>
        <row r="675">
          <cell r="A675">
            <v>673</v>
          </cell>
          <cell r="B675">
            <v>46122</v>
          </cell>
          <cell r="C675" t="str">
            <v>HYUNDAI TUCSON</v>
          </cell>
          <cell r="D675" t="str">
            <v>HYUNDAI</v>
          </cell>
          <cell r="E675" t="str">
            <v>TUCSON</v>
          </cell>
          <cell r="G675" t="str">
            <v>46버0824</v>
          </cell>
          <cell r="H675" t="str">
            <v>KMHJ3812GHU279778</v>
          </cell>
          <cell r="I675">
            <v>46125</v>
          </cell>
          <cell r="J675" t="str">
            <v>㈜정이모터스</v>
          </cell>
          <cell r="L675" t="str">
            <v>잔금</v>
          </cell>
          <cell r="M675" t="str">
            <v>50만원 대표님 계약</v>
          </cell>
          <cell r="N675">
            <v>1314</v>
          </cell>
          <cell r="P675">
            <v>0</v>
          </cell>
          <cell r="Q675" t="str">
            <v>done</v>
          </cell>
          <cell r="R675">
            <v>46128</v>
          </cell>
          <cell r="S675" t="str">
            <v>CALJA</v>
          </cell>
          <cell r="T675" t="str">
            <v>MERDANI ORGES</v>
          </cell>
          <cell r="U675" t="str">
            <v>J80618017E</v>
          </cell>
          <cell r="V675" t="str">
            <v>355 69 550 5533</v>
          </cell>
          <cell r="W675" t="str">
            <v>Albania</v>
          </cell>
          <cell r="X675">
            <v>1461</v>
          </cell>
          <cell r="AB675">
            <v>1708</v>
          </cell>
          <cell r="AC675">
            <v>7340</v>
          </cell>
          <cell r="AD675">
            <v>1360</v>
          </cell>
          <cell r="AE675">
            <v>8700</v>
          </cell>
          <cell r="AF675">
            <v>9500</v>
          </cell>
        </row>
        <row r="676">
          <cell r="A676">
            <v>674</v>
          </cell>
          <cell r="B676">
            <v>46124</v>
          </cell>
          <cell r="C676" t="str">
            <v>AUDI A6</v>
          </cell>
          <cell r="D676" t="str">
            <v>AUDI</v>
          </cell>
          <cell r="E676" t="str">
            <v>A6</v>
          </cell>
          <cell r="G676" t="str">
            <v>100오7582</v>
          </cell>
          <cell r="H676" t="str">
            <v>WAUZZZF29MN070967</v>
          </cell>
          <cell r="I676">
            <v>46133</v>
          </cell>
          <cell r="L676" t="str">
            <v>잔금</v>
          </cell>
          <cell r="N676">
            <v>2690</v>
          </cell>
          <cell r="P676">
            <v>0</v>
          </cell>
          <cell r="Q676" t="str">
            <v>done</v>
          </cell>
          <cell r="R676">
            <v>46135</v>
          </cell>
          <cell r="S676" t="str">
            <v>Avendor Auto</v>
          </cell>
          <cell r="T676" t="str">
            <v>Avendor Auto</v>
          </cell>
          <cell r="U676">
            <v>812353613</v>
          </cell>
          <cell r="V676">
            <v>38348480119</v>
          </cell>
          <cell r="W676" t="str">
            <v>kosovo</v>
          </cell>
          <cell r="X676">
            <v>1472</v>
          </cell>
          <cell r="AB676">
            <v>1725</v>
          </cell>
          <cell r="AC676">
            <v>14929</v>
          </cell>
          <cell r="AD676">
            <v>1271</v>
          </cell>
          <cell r="AE676">
            <v>16200</v>
          </cell>
          <cell r="AF676">
            <v>16200</v>
          </cell>
        </row>
        <row r="677">
          <cell r="A677">
            <v>675</v>
          </cell>
          <cell r="B677">
            <v>46124</v>
          </cell>
          <cell r="C677" t="str">
            <v>BENZ CLS 63 AMG</v>
          </cell>
          <cell r="D677" t="str">
            <v>BENZ</v>
          </cell>
          <cell r="E677" t="str">
            <v>CLS 63 AMG</v>
          </cell>
          <cell r="G677" t="str">
            <v>280두5442</v>
          </cell>
          <cell r="H677" t="str">
            <v>WDDLJ7EBXCA025814</v>
          </cell>
          <cell r="I677">
            <v>46125</v>
          </cell>
          <cell r="J677" t="str">
            <v>㈜왕카</v>
          </cell>
          <cell r="L677" t="str">
            <v>잔금</v>
          </cell>
          <cell r="M677" t="str">
            <v>100만원 대표님 계약</v>
          </cell>
          <cell r="N677">
            <v>2330</v>
          </cell>
          <cell r="P677">
            <v>0</v>
          </cell>
          <cell r="Q677" t="str">
            <v>done</v>
          </cell>
          <cell r="R677">
            <v>46135</v>
          </cell>
          <cell r="S677" t="str">
            <v>HYSA</v>
          </cell>
          <cell r="T677" t="str">
            <v>LAMCJA DAVID</v>
          </cell>
          <cell r="U677" t="str">
            <v>J60317012R</v>
          </cell>
          <cell r="V677" t="str">
            <v>355 69 690 2972</v>
          </cell>
          <cell r="W677" t="str">
            <v>Albania</v>
          </cell>
          <cell r="X677">
            <v>1472</v>
          </cell>
          <cell r="AB677">
            <v>1725</v>
          </cell>
          <cell r="AC677">
            <v>12959</v>
          </cell>
          <cell r="AD677">
            <v>1271</v>
          </cell>
          <cell r="AE677">
            <v>14230</v>
          </cell>
          <cell r="AF677">
            <v>14330</v>
          </cell>
        </row>
        <row r="678">
          <cell r="A678">
            <v>676</v>
          </cell>
          <cell r="B678">
            <v>46124</v>
          </cell>
          <cell r="C678" t="str">
            <v>BENZ E220D</v>
          </cell>
          <cell r="D678" t="str">
            <v>BENZ</v>
          </cell>
          <cell r="E678" t="str">
            <v>E220D</v>
          </cell>
          <cell r="G678" t="str">
            <v>171모2444</v>
          </cell>
          <cell r="H678" t="str">
            <v xml:space="preserve">WDDZF0FB5HA192073 </v>
          </cell>
          <cell r="I678">
            <v>46125</v>
          </cell>
          <cell r="J678" t="str">
            <v>㈜솔카</v>
          </cell>
          <cell r="L678" t="str">
            <v>잔금</v>
          </cell>
          <cell r="M678" t="str">
            <v>100만원 대표님 계약</v>
          </cell>
          <cell r="N678">
            <v>2380</v>
          </cell>
          <cell r="P678">
            <v>0</v>
          </cell>
          <cell r="Q678" t="str">
            <v>done</v>
          </cell>
          <cell r="R678">
            <v>46128</v>
          </cell>
          <cell r="S678" t="str">
            <v xml:space="preserve">Andrea Kasa </v>
          </cell>
          <cell r="T678" t="str">
            <v xml:space="preserve">Andrea Kasa </v>
          </cell>
          <cell r="U678" t="str">
            <v>K30122016U</v>
          </cell>
          <cell r="V678" t="str">
            <v>355 69 746 2556</v>
          </cell>
          <cell r="W678" t="str">
            <v>Albania</v>
          </cell>
          <cell r="X678">
            <v>1472</v>
          </cell>
          <cell r="AB678">
            <v>1725</v>
          </cell>
          <cell r="AC678">
            <v>13229</v>
          </cell>
          <cell r="AD678">
            <v>1271</v>
          </cell>
          <cell r="AE678">
            <v>14500</v>
          </cell>
        </row>
        <row r="679">
          <cell r="A679">
            <v>677</v>
          </cell>
          <cell r="B679">
            <v>46124</v>
          </cell>
          <cell r="C679" t="str">
            <v>HYUNDAI SONATA</v>
          </cell>
          <cell r="D679" t="str">
            <v>HYUNDAI</v>
          </cell>
          <cell r="E679" t="str">
            <v>SONATA</v>
          </cell>
          <cell r="G679" t="str">
            <v>152어3968</v>
          </cell>
          <cell r="H679" t="str">
            <v>KMHE341DBJA398490</v>
          </cell>
          <cell r="I679">
            <v>46127</v>
          </cell>
          <cell r="J679" t="str">
            <v>㈜윤쓰모터스</v>
          </cell>
          <cell r="L679" t="str">
            <v>잔금</v>
          </cell>
          <cell r="M679" t="str">
            <v>50만원 대표님 계약</v>
          </cell>
          <cell r="N679">
            <v>690</v>
          </cell>
          <cell r="P679">
            <v>0</v>
          </cell>
          <cell r="Q679" t="str">
            <v>done</v>
          </cell>
          <cell r="R679">
            <v>46135</v>
          </cell>
          <cell r="S679" t="str">
            <v>CALJA</v>
          </cell>
          <cell r="T679" t="str">
            <v>KUQJA BLERIM</v>
          </cell>
          <cell r="U679" t="str">
            <v>I10228016D</v>
          </cell>
          <cell r="V679" t="str">
            <v>355 69 550 5533</v>
          </cell>
          <cell r="W679" t="str">
            <v>Albania</v>
          </cell>
          <cell r="X679">
            <v>1472</v>
          </cell>
          <cell r="AB679">
            <v>1725</v>
          </cell>
          <cell r="AC679">
            <v>4179</v>
          </cell>
          <cell r="AD679">
            <v>1271</v>
          </cell>
          <cell r="AE679">
            <v>5450</v>
          </cell>
          <cell r="AF679">
            <v>9580</v>
          </cell>
        </row>
        <row r="680">
          <cell r="A680">
            <v>678</v>
          </cell>
          <cell r="B680">
            <v>46124</v>
          </cell>
          <cell r="C680" t="str">
            <v xml:space="preserve"> MCLAREN</v>
          </cell>
          <cell r="E680" t="str">
            <v>MCLAREN</v>
          </cell>
          <cell r="G680" t="str">
            <v>110조9100</v>
          </cell>
          <cell r="H680" t="str">
            <v>SBM14SCB4NW765015</v>
          </cell>
          <cell r="K680" t="str">
            <v>HEYMAN</v>
          </cell>
          <cell r="L680" t="str">
            <v>취소</v>
          </cell>
          <cell r="M680" t="str">
            <v>1000만원 회사통장 계약</v>
          </cell>
          <cell r="P680">
            <v>0</v>
          </cell>
          <cell r="Q680" t="str">
            <v>취소</v>
          </cell>
          <cell r="R680" t="str">
            <v>REPORT DONE</v>
          </cell>
          <cell r="S680" t="str">
            <v>JOHN</v>
          </cell>
          <cell r="X680">
            <v>1472</v>
          </cell>
          <cell r="AB680">
            <v>1725</v>
          </cell>
        </row>
        <row r="681">
          <cell r="A681">
            <v>679</v>
          </cell>
          <cell r="B681">
            <v>46124</v>
          </cell>
          <cell r="C681" t="str">
            <v>BENZ E63 AMG 4MATIC</v>
          </cell>
          <cell r="D681" t="str">
            <v>BENZ</v>
          </cell>
          <cell r="E681" t="str">
            <v>E63 AMG 4MATIC</v>
          </cell>
          <cell r="G681" t="str">
            <v>29노9263</v>
          </cell>
          <cell r="H681" t="str">
            <v>WDDHF9CB8EA885574</v>
          </cell>
          <cell r="I681">
            <v>46127</v>
          </cell>
          <cell r="J681" t="str">
            <v>개인 매입- 김성화</v>
          </cell>
          <cell r="L681" t="str">
            <v>잔금</v>
          </cell>
          <cell r="M681" t="str">
            <v>100만원 회사통장 계약</v>
          </cell>
          <cell r="N681">
            <v>2900</v>
          </cell>
          <cell r="P681">
            <v>0</v>
          </cell>
          <cell r="Q681" t="str">
            <v>done</v>
          </cell>
          <cell r="R681">
            <v>46155</v>
          </cell>
          <cell r="S681" t="str">
            <v>DAX IMPORT</v>
          </cell>
          <cell r="T681" t="str">
            <v xml:space="preserve">Michael Karl  </v>
          </cell>
          <cell r="U681" t="str">
            <v>LF9N8WZ16</v>
          </cell>
          <cell r="V681" t="str">
            <v>‪+49 471 94189050‬</v>
          </cell>
          <cell r="W681" t="str">
            <v xml:space="preserve">Dorfstr,33C,(82024) Taufkirchen, Germany </v>
          </cell>
          <cell r="X681">
            <v>1472</v>
          </cell>
          <cell r="AB681">
            <v>1725</v>
          </cell>
          <cell r="AC681">
            <v>16200</v>
          </cell>
        </row>
        <row r="682">
          <cell r="A682">
            <v>680</v>
          </cell>
          <cell r="B682">
            <v>46124</v>
          </cell>
          <cell r="C682" t="str">
            <v>RENAULT QM3</v>
          </cell>
          <cell r="D682" t="str">
            <v>RENAULT</v>
          </cell>
          <cell r="E682" t="str">
            <v>QM3</v>
          </cell>
          <cell r="G682" t="str">
            <v>40조0405</v>
          </cell>
          <cell r="H682" t="str">
            <v>VF12RGJ1DGW227238</v>
          </cell>
          <cell r="J682" t="str">
            <v>경매장- 헤이딜러</v>
          </cell>
          <cell r="L682" t="str">
            <v>취소</v>
          </cell>
          <cell r="P682">
            <v>0</v>
          </cell>
          <cell r="Q682" t="str">
            <v>done</v>
          </cell>
          <cell r="R682" t="str">
            <v>CANCEL</v>
          </cell>
          <cell r="S682" t="str">
            <v>R.S.h L.L.C.</v>
          </cell>
          <cell r="T682" t="str">
            <v>R.Sh L.L.C.</v>
          </cell>
          <cell r="U682">
            <v>812326016</v>
          </cell>
          <cell r="V682" t="str">
            <v>+383486 611 61</v>
          </cell>
          <cell r="W682" t="str">
            <v>Kosovo</v>
          </cell>
          <cell r="X682">
            <v>1472</v>
          </cell>
          <cell r="AB682">
            <v>1725</v>
          </cell>
        </row>
        <row r="683">
          <cell r="A683">
            <v>681</v>
          </cell>
          <cell r="B683">
            <v>46124</v>
          </cell>
          <cell r="C683" t="str">
            <v>AUDI Q8</v>
          </cell>
          <cell r="D683" t="str">
            <v>AUDI</v>
          </cell>
          <cell r="E683" t="str">
            <v>Q8</v>
          </cell>
          <cell r="G683" t="str">
            <v>332로9169</v>
          </cell>
          <cell r="H683" t="str">
            <v xml:space="preserve"> WAUZZZF13LD020464</v>
          </cell>
          <cell r="I683">
            <v>46125</v>
          </cell>
          <cell r="J683" t="str">
            <v>㈜코오롱모빌리티</v>
          </cell>
          <cell r="L683" t="str">
            <v>잔금</v>
          </cell>
          <cell r="M683" t="str">
            <v>100만원 회사통장 계약</v>
          </cell>
          <cell r="N683">
            <v>5230</v>
          </cell>
          <cell r="P683">
            <v>0</v>
          </cell>
          <cell r="Q683" t="str">
            <v>done</v>
          </cell>
          <cell r="R683">
            <v>46128</v>
          </cell>
          <cell r="S683" t="str">
            <v xml:space="preserve">EUROAUTO.AL </v>
          </cell>
          <cell r="T683" t="str">
            <v xml:space="preserve">ARJAN RICA </v>
          </cell>
          <cell r="U683" t="str">
            <v>I41211052L</v>
          </cell>
          <cell r="V683" t="str">
            <v>49 163 6979 099</v>
          </cell>
          <cell r="W683" t="str">
            <v>1st Floor, No. 17, Lane 66, Section 1, Yanping North Road, Datong District, Taipei City, 103, Taiwan</v>
          </cell>
          <cell r="X683">
            <v>1472</v>
          </cell>
          <cell r="AB683">
            <v>1725</v>
          </cell>
          <cell r="AC683">
            <v>29098</v>
          </cell>
          <cell r="AD683">
            <v>1442</v>
          </cell>
          <cell r="AE683">
            <v>30540</v>
          </cell>
          <cell r="AF683">
            <v>34650</v>
          </cell>
        </row>
        <row r="684">
          <cell r="A684">
            <v>682</v>
          </cell>
          <cell r="B684">
            <v>46124</v>
          </cell>
          <cell r="C684" t="str">
            <v>VOLKSWAGENS TIGUAN</v>
          </cell>
          <cell r="D684" t="str">
            <v>VOLKSWAGENS</v>
          </cell>
          <cell r="E684" t="str">
            <v>TIGUAN</v>
          </cell>
          <cell r="G684" t="str">
            <v>51나4198</v>
          </cell>
          <cell r="H684" t="str">
            <v>WVGZZZ5NZJM175722</v>
          </cell>
          <cell r="I684">
            <v>46133</v>
          </cell>
          <cell r="L684" t="str">
            <v>잔금</v>
          </cell>
          <cell r="M684" t="str">
            <v>100만원 회사통장 계약</v>
          </cell>
          <cell r="N684">
            <v>2130</v>
          </cell>
          <cell r="P684">
            <v>0</v>
          </cell>
          <cell r="Q684" t="str">
            <v>done</v>
          </cell>
          <cell r="R684">
            <v>46135</v>
          </cell>
          <cell r="S684" t="str">
            <v>Avendor Auto</v>
          </cell>
          <cell r="T684" t="str">
            <v>Avendor Auto</v>
          </cell>
          <cell r="U684" t="str">
            <v>812353613</v>
          </cell>
          <cell r="V684">
            <v>38348480119</v>
          </cell>
          <cell r="W684" t="str">
            <v>Kosovo</v>
          </cell>
          <cell r="X684">
            <v>1472</v>
          </cell>
          <cell r="AB684">
            <v>1725</v>
          </cell>
          <cell r="AC684">
            <v>11943</v>
          </cell>
          <cell r="AD684">
            <v>1357</v>
          </cell>
          <cell r="AE684">
            <v>13300</v>
          </cell>
          <cell r="AF684">
            <v>13300</v>
          </cell>
        </row>
        <row r="685">
          <cell r="A685">
            <v>683</v>
          </cell>
          <cell r="B685">
            <v>46124</v>
          </cell>
          <cell r="C685" t="str">
            <v>AUDI A8</v>
          </cell>
          <cell r="D685" t="str">
            <v>AUDI</v>
          </cell>
          <cell r="E685" t="str">
            <v>A8</v>
          </cell>
          <cell r="G685" t="str">
            <v>12머6456</v>
          </cell>
          <cell r="H685" t="str">
            <v xml:space="preserve">WAUZZZ4H7CN038492 </v>
          </cell>
          <cell r="J685" t="str">
            <v>경매장- KCAR</v>
          </cell>
          <cell r="L685" t="str">
            <v>잔금</v>
          </cell>
          <cell r="N685">
            <v>865</v>
          </cell>
          <cell r="O685">
            <v>19</v>
          </cell>
          <cell r="P685">
            <v>0</v>
          </cell>
          <cell r="Q685" t="str">
            <v>done</v>
          </cell>
          <cell r="R685">
            <v>46135</v>
          </cell>
          <cell r="S685" t="str">
            <v>GERSI</v>
          </cell>
          <cell r="T685" t="str">
            <v>Gersi Gjini</v>
          </cell>
          <cell r="U685" t="str">
            <v>K60804074D</v>
          </cell>
          <cell r="V685" t="str">
            <v>355 69 671 9810</v>
          </cell>
          <cell r="W685" t="str">
            <v>Beharedin Mitarja,Elbasan,Albania</v>
          </cell>
          <cell r="X685">
            <v>1472</v>
          </cell>
          <cell r="AB685">
            <v>1725</v>
          </cell>
          <cell r="AC685">
            <v>5043</v>
          </cell>
          <cell r="AD685">
            <v>1357</v>
          </cell>
          <cell r="AE685">
            <v>6400</v>
          </cell>
          <cell r="AF685">
            <v>6500</v>
          </cell>
        </row>
        <row r="686">
          <cell r="A686">
            <v>684</v>
          </cell>
          <cell r="B686">
            <v>46125</v>
          </cell>
          <cell r="C686" t="str">
            <v>BENZ E220d</v>
          </cell>
          <cell r="D686" t="str">
            <v>BENZ</v>
          </cell>
          <cell r="E686" t="str">
            <v>E220d</v>
          </cell>
          <cell r="G686" t="str">
            <v>28머6638</v>
          </cell>
          <cell r="H686" t="str">
            <v>WDDZF0EB5HA228328</v>
          </cell>
          <cell r="I686">
            <v>46127</v>
          </cell>
          <cell r="J686" t="str">
            <v>㈜오토웨이</v>
          </cell>
          <cell r="L686" t="str">
            <v>잔금</v>
          </cell>
          <cell r="M686" t="str">
            <v>100만원 회사통장 계약</v>
          </cell>
          <cell r="N686">
            <v>1940</v>
          </cell>
          <cell r="O686">
            <v>44</v>
          </cell>
          <cell r="P686">
            <v>0</v>
          </cell>
          <cell r="Q686" t="str">
            <v>done</v>
          </cell>
          <cell r="R686">
            <v>46135</v>
          </cell>
          <cell r="S686" t="str">
            <v>DONI</v>
          </cell>
          <cell r="T686" t="str">
            <v>DONI</v>
          </cell>
          <cell r="U686">
            <v>933682</v>
          </cell>
          <cell r="V686" t="str">
            <v>3 8 3 4 9 3 2 5 7 0 3</v>
          </cell>
          <cell r="W686" t="str">
            <v xml:space="preserve"> HYZRI TALLA OB 16 HY 1 NR 18
 Kosovë</v>
          </cell>
          <cell r="X686">
            <v>1480</v>
          </cell>
          <cell r="AB686">
            <v>1729</v>
          </cell>
          <cell r="AC686">
            <v>11125</v>
          </cell>
          <cell r="AD686">
            <v>1275</v>
          </cell>
          <cell r="AE686">
            <v>12400</v>
          </cell>
        </row>
        <row r="687">
          <cell r="A687">
            <v>685</v>
          </cell>
          <cell r="B687">
            <v>46126</v>
          </cell>
          <cell r="C687" t="str">
            <v>BENZ E220d</v>
          </cell>
          <cell r="D687" t="str">
            <v>BENZ</v>
          </cell>
          <cell r="E687" t="str">
            <v>E220d</v>
          </cell>
          <cell r="G687" t="str">
            <v>04오9609</v>
          </cell>
          <cell r="H687" t="str">
            <v>WDDZF0FB3HA281768</v>
          </cell>
          <cell r="J687" t="str">
            <v>㈜ 휘카</v>
          </cell>
          <cell r="K687" t="str">
            <v>AHSHIN</v>
          </cell>
          <cell r="L687" t="str">
            <v>잔금</v>
          </cell>
          <cell r="M687" t="str">
            <v>100만원 회사통장 계약</v>
          </cell>
          <cell r="N687">
            <v>2150</v>
          </cell>
          <cell r="P687">
            <v>0</v>
          </cell>
          <cell r="Q687" t="str">
            <v>done</v>
          </cell>
          <cell r="R687">
            <v>46135</v>
          </cell>
          <cell r="S687" t="str">
            <v>R.S.h L.L.C.</v>
          </cell>
          <cell r="T687" t="str">
            <v>R.Sh L.L.C.</v>
          </cell>
          <cell r="U687">
            <v>812326016</v>
          </cell>
          <cell r="V687" t="str">
            <v>+383486 611 61</v>
          </cell>
          <cell r="W687" t="str">
            <v>Kosovo</v>
          </cell>
          <cell r="X687">
            <v>1480</v>
          </cell>
          <cell r="AB687">
            <v>1729</v>
          </cell>
          <cell r="AC687">
            <v>12025</v>
          </cell>
          <cell r="AD687">
            <v>1275</v>
          </cell>
          <cell r="AE687">
            <v>13300</v>
          </cell>
        </row>
        <row r="688">
          <cell r="A688">
            <v>686</v>
          </cell>
          <cell r="B688">
            <v>46126</v>
          </cell>
          <cell r="C688" t="str">
            <v>PEUGEOT 2008</v>
          </cell>
          <cell r="D688" t="str">
            <v>PEUGEOT</v>
          </cell>
          <cell r="E688">
            <v>2008</v>
          </cell>
          <cell r="G688" t="str">
            <v>02구0771</v>
          </cell>
          <cell r="H688" t="str">
            <v>VF3CUBHYMGY017529</v>
          </cell>
          <cell r="J688" t="str">
            <v>경매장- 헤이딜러</v>
          </cell>
          <cell r="L688" t="str">
            <v>취소</v>
          </cell>
          <cell r="P688">
            <v>0</v>
          </cell>
          <cell r="R688" t="str">
            <v>CANCEL</v>
          </cell>
          <cell r="S688" t="str">
            <v>R.S.h L.L.C.</v>
          </cell>
          <cell r="T688" t="str">
            <v>R.Sh L.L.C.</v>
          </cell>
          <cell r="U688">
            <v>812326016</v>
          </cell>
          <cell r="V688" t="str">
            <v>+383486 611 61</v>
          </cell>
          <cell r="W688" t="str">
            <v>Kosovo</v>
          </cell>
          <cell r="AC688">
            <v>0</v>
          </cell>
        </row>
        <row r="689">
          <cell r="A689">
            <v>687</v>
          </cell>
          <cell r="B689">
            <v>46127</v>
          </cell>
          <cell r="C689" t="str">
            <v>PEUGEOT 3008</v>
          </cell>
          <cell r="D689" t="str">
            <v>PEUGEOT</v>
          </cell>
          <cell r="E689">
            <v>3008</v>
          </cell>
          <cell r="G689" t="str">
            <v>52서1861</v>
          </cell>
          <cell r="H689" t="str">
            <v xml:space="preserve">VF3MCBHZWJS037567 </v>
          </cell>
          <cell r="I689">
            <v>46129</v>
          </cell>
          <cell r="J689" t="str">
            <v>(주)세이프중고차</v>
          </cell>
          <cell r="L689" t="str">
            <v>잔금</v>
          </cell>
          <cell r="M689" t="str">
            <v>50만원 회사통장 계약</v>
          </cell>
          <cell r="N689">
            <v>1300</v>
          </cell>
          <cell r="P689">
            <v>0</v>
          </cell>
          <cell r="Q689" t="str">
            <v>done</v>
          </cell>
          <cell r="R689">
            <v>46135</v>
          </cell>
          <cell r="S689" t="str">
            <v>Auto Posh SH.P.K</v>
          </cell>
          <cell r="T689" t="str">
            <v>Auto Posh SH.P.K</v>
          </cell>
          <cell r="U689">
            <v>812219427</v>
          </cell>
          <cell r="V689" t="str">
            <v>38345560145</v>
          </cell>
          <cell r="W689" t="str">
            <v>KOSOVO</v>
          </cell>
          <cell r="X689">
            <v>1460</v>
          </cell>
          <cell r="AB689">
            <v>1724</v>
          </cell>
          <cell r="AC689">
            <v>7254</v>
          </cell>
          <cell r="AD689">
            <v>1346</v>
          </cell>
          <cell r="AE689">
            <v>8600</v>
          </cell>
        </row>
        <row r="690">
          <cell r="A690">
            <v>688</v>
          </cell>
          <cell r="B690">
            <v>46128</v>
          </cell>
          <cell r="C690" t="str">
            <v>AUDI A4</v>
          </cell>
          <cell r="D690" t="str">
            <v>AUDI</v>
          </cell>
          <cell r="E690" t="str">
            <v>A4</v>
          </cell>
          <cell r="G690" t="str">
            <v>22소9967</v>
          </cell>
          <cell r="H690" t="str">
            <v>WAUZZZ8K5FN029705</v>
          </cell>
          <cell r="J690" t="str">
            <v>경매장- KCAR</v>
          </cell>
          <cell r="L690" t="str">
            <v>잔금</v>
          </cell>
          <cell r="N690">
            <v>620</v>
          </cell>
          <cell r="O690">
            <v>16</v>
          </cell>
          <cell r="P690">
            <v>0</v>
          </cell>
          <cell r="Q690" t="str">
            <v>DONE</v>
          </cell>
          <cell r="R690">
            <v>46142</v>
          </cell>
          <cell r="S690" t="str">
            <v xml:space="preserve">Andrea Kasa </v>
          </cell>
          <cell r="T690" t="str">
            <v>ERJON Kusi</v>
          </cell>
          <cell r="U690" t="str">
            <v>I7070710J</v>
          </cell>
          <cell r="V690" t="str">
            <v>355 69 746 2556</v>
          </cell>
          <cell r="W690" t="str">
            <v>Albania</v>
          </cell>
          <cell r="X690">
            <v>1460</v>
          </cell>
          <cell r="AB690">
            <v>1724</v>
          </cell>
          <cell r="AC690">
            <v>3418</v>
          </cell>
          <cell r="AD690">
            <v>1262</v>
          </cell>
          <cell r="AE690">
            <v>4680</v>
          </cell>
          <cell r="AF690">
            <v>5180</v>
          </cell>
        </row>
        <row r="691">
          <cell r="A691">
            <v>689</v>
          </cell>
          <cell r="B691">
            <v>46128</v>
          </cell>
          <cell r="C691" t="str">
            <v>AUDI A6</v>
          </cell>
          <cell r="D691" t="str">
            <v>AUDI</v>
          </cell>
          <cell r="E691" t="str">
            <v>A6</v>
          </cell>
          <cell r="G691" t="str">
            <v>58가6245</v>
          </cell>
          <cell r="H691" t="str">
            <v>WAUZZZ4G7DN091007</v>
          </cell>
          <cell r="J691" t="str">
            <v>경매장- KCAR</v>
          </cell>
          <cell r="L691" t="str">
            <v>잔금</v>
          </cell>
          <cell r="N691">
            <v>560</v>
          </cell>
          <cell r="O691">
            <v>16</v>
          </cell>
          <cell r="P691">
            <v>0</v>
          </cell>
          <cell r="Q691" t="str">
            <v>DONE</v>
          </cell>
          <cell r="R691">
            <v>46142</v>
          </cell>
          <cell r="S691" t="str">
            <v xml:space="preserve">Andrea Kasa </v>
          </cell>
          <cell r="T691" t="str">
            <v>ERJON Kusi</v>
          </cell>
          <cell r="U691" t="str">
            <v>I7070710J</v>
          </cell>
          <cell r="V691" t="str">
            <v>355 69 746 2556</v>
          </cell>
          <cell r="W691" t="str">
            <v>Albania</v>
          </cell>
          <cell r="X691">
            <v>1460</v>
          </cell>
          <cell r="AB691">
            <v>1724</v>
          </cell>
          <cell r="AC691">
            <v>3738</v>
          </cell>
          <cell r="AD691">
            <v>1262</v>
          </cell>
          <cell r="AE691">
            <v>5000</v>
          </cell>
          <cell r="AF691">
            <v>5200</v>
          </cell>
        </row>
        <row r="692">
          <cell r="A692">
            <v>690</v>
          </cell>
          <cell r="B692">
            <v>46128</v>
          </cell>
          <cell r="C692" t="str">
            <v>BMW M3</v>
          </cell>
          <cell r="D692" t="str">
            <v>BMW</v>
          </cell>
          <cell r="E692" t="str">
            <v>M3</v>
          </cell>
          <cell r="G692" t="str">
            <v>397우9355</v>
          </cell>
          <cell r="H692" t="str">
            <v>WBSDX9109DJ495985</v>
          </cell>
          <cell r="L692" t="str">
            <v>잔금</v>
          </cell>
          <cell r="P692">
            <v>0</v>
          </cell>
          <cell r="Q692" t="str">
            <v>DONE</v>
          </cell>
          <cell r="S692" t="str">
            <v>CALJA</v>
          </cell>
          <cell r="T692" t="str">
            <v>Calja Marius</v>
          </cell>
          <cell r="U692" t="str">
            <v>J70807019Q</v>
          </cell>
          <cell r="V692" t="str">
            <v>355 69 550 5533</v>
          </cell>
          <cell r="W692" t="str">
            <v>Albania</v>
          </cell>
          <cell r="X692">
            <v>1460</v>
          </cell>
          <cell r="AB692">
            <v>1724</v>
          </cell>
          <cell r="AC692">
            <v>20500</v>
          </cell>
          <cell r="AF692">
            <v>5000</v>
          </cell>
        </row>
        <row r="693">
          <cell r="A693">
            <v>691</v>
          </cell>
          <cell r="B693">
            <v>46128</v>
          </cell>
          <cell r="C693" t="str">
            <v>BMW  520D</v>
          </cell>
          <cell r="D693" t="str">
            <v xml:space="preserve">BMW </v>
          </cell>
          <cell r="E693" t="str">
            <v>520D</v>
          </cell>
          <cell r="G693" t="str">
            <v>35나0144</v>
          </cell>
          <cell r="H693" t="str">
            <v>WBA5E7108GG567781</v>
          </cell>
          <cell r="I693">
            <v>46129</v>
          </cell>
          <cell r="J693" t="str">
            <v>(주)골드상사</v>
          </cell>
          <cell r="L693" t="str">
            <v>잔금</v>
          </cell>
          <cell r="M693" t="str">
            <v>50만원 회사통장 계약</v>
          </cell>
          <cell r="N693">
            <v>1486</v>
          </cell>
          <cell r="O693">
            <v>44</v>
          </cell>
          <cell r="P693">
            <v>0</v>
          </cell>
          <cell r="Q693" t="str">
            <v>done</v>
          </cell>
          <cell r="R693">
            <v>46135</v>
          </cell>
          <cell r="S693" t="str">
            <v>DONI</v>
          </cell>
          <cell r="T693" t="str">
            <v>DONI</v>
          </cell>
          <cell r="U693">
            <v>933682</v>
          </cell>
          <cell r="V693" t="str">
            <v>3 8 3 4 9 3 2 5 7 0 3</v>
          </cell>
          <cell r="W693" t="str">
            <v xml:space="preserve"> HYZRI TALLA OB 16 HY 1 NR 18
 Kosovë</v>
          </cell>
          <cell r="X693">
            <v>1460</v>
          </cell>
          <cell r="AB693">
            <v>1724</v>
          </cell>
          <cell r="AC693">
            <v>8538</v>
          </cell>
          <cell r="AD693">
            <v>1262</v>
          </cell>
          <cell r="AE693">
            <v>9800</v>
          </cell>
        </row>
        <row r="694">
          <cell r="A694">
            <v>692</v>
          </cell>
          <cell r="B694">
            <v>46129</v>
          </cell>
          <cell r="C694" t="str">
            <v>BENZ GLC 220</v>
          </cell>
          <cell r="D694" t="str">
            <v>BENZ</v>
          </cell>
          <cell r="E694" t="str">
            <v>GLC 220</v>
          </cell>
          <cell r="G694" t="str">
            <v>08누0303</v>
          </cell>
          <cell r="H694" t="str">
            <v>WDC0G0FB3HF121421</v>
          </cell>
          <cell r="J694" t="str">
            <v xml:space="preserve">경매장-AJ </v>
          </cell>
          <cell r="L694" t="str">
            <v>잔금</v>
          </cell>
          <cell r="N694">
            <v>1805</v>
          </cell>
          <cell r="O694">
            <v>44</v>
          </cell>
          <cell r="P694">
            <v>0</v>
          </cell>
          <cell r="Q694" t="str">
            <v>DONE</v>
          </cell>
          <cell r="R694">
            <v>46205</v>
          </cell>
          <cell r="S694" t="str">
            <v>DONI</v>
          </cell>
          <cell r="T694" t="str">
            <v>DONI</v>
          </cell>
          <cell r="U694">
            <v>933682</v>
          </cell>
          <cell r="V694" t="str">
            <v>3 8 3 4 9 3 2 5 7 0 3</v>
          </cell>
          <cell r="W694" t="str">
            <v xml:space="preserve"> HYZRI TALLA OB 16 HY 1 NR 18
 Kosovë</v>
          </cell>
          <cell r="X694">
            <v>1541</v>
          </cell>
          <cell r="AB694">
            <v>1753</v>
          </cell>
          <cell r="AC694">
            <v>10160</v>
          </cell>
          <cell r="AD694">
            <v>1530</v>
          </cell>
          <cell r="AE694">
            <v>11690</v>
          </cell>
        </row>
        <row r="695">
          <cell r="A695">
            <v>693</v>
          </cell>
          <cell r="B695">
            <v>46129</v>
          </cell>
          <cell r="C695" t="str">
            <v>BMW  2SERIES</v>
          </cell>
          <cell r="D695" t="str">
            <v xml:space="preserve">BMW </v>
          </cell>
          <cell r="E695" t="str">
            <v>2SERIES</v>
          </cell>
          <cell r="G695" t="str">
            <v>63어0471</v>
          </cell>
          <cell r="H695" t="str">
            <v>WBA2C1106GV484982 </v>
          </cell>
          <cell r="J695" t="str">
            <v xml:space="preserve">경매장-AJ </v>
          </cell>
          <cell r="L695" t="str">
            <v>잔금</v>
          </cell>
          <cell r="N695">
            <v>660</v>
          </cell>
          <cell r="O695">
            <v>17</v>
          </cell>
          <cell r="P695">
            <v>0</v>
          </cell>
          <cell r="Q695" t="str">
            <v>done</v>
          </cell>
          <cell r="R695">
            <v>46135</v>
          </cell>
          <cell r="S695" t="str">
            <v>DONI</v>
          </cell>
          <cell r="T695" t="str">
            <v>DONI</v>
          </cell>
          <cell r="U695">
            <v>933682</v>
          </cell>
          <cell r="V695" t="str">
            <v>3 8 3 4 9 3 2 5 7 0 3</v>
          </cell>
          <cell r="W695" t="str">
            <v xml:space="preserve"> HYZRI TALLA OB 16 HY 1 NR 18
 Kosovë</v>
          </cell>
          <cell r="X695">
            <v>1467</v>
          </cell>
          <cell r="AB695">
            <v>1727</v>
          </cell>
          <cell r="AC695">
            <v>3964</v>
          </cell>
          <cell r="AD695">
            <v>1266</v>
          </cell>
          <cell r="AE695">
            <v>5230</v>
          </cell>
        </row>
        <row r="696">
          <cell r="A696">
            <v>694</v>
          </cell>
          <cell r="B696">
            <v>46129</v>
          </cell>
          <cell r="C696" t="str">
            <v>AUDI A6</v>
          </cell>
          <cell r="D696" t="str">
            <v>AUDI</v>
          </cell>
          <cell r="E696" t="str">
            <v>A6</v>
          </cell>
          <cell r="G696" t="str">
            <v>45조0725</v>
          </cell>
          <cell r="H696" t="str">
            <v>WAUZZZ4G3GN036431</v>
          </cell>
          <cell r="J696" t="str">
            <v>경매장- 현대</v>
          </cell>
          <cell r="L696" t="str">
            <v>잔금</v>
          </cell>
          <cell r="N696">
            <v>1585</v>
          </cell>
          <cell r="O696">
            <v>35</v>
          </cell>
          <cell r="P696">
            <v>0</v>
          </cell>
          <cell r="Q696" t="str">
            <v>DONE</v>
          </cell>
          <cell r="R696">
            <v>46142</v>
          </cell>
          <cell r="S696" t="str">
            <v>DONI</v>
          </cell>
          <cell r="T696" t="str">
            <v>DONI</v>
          </cell>
          <cell r="U696">
            <v>933682</v>
          </cell>
          <cell r="V696" t="str">
            <v>3 8 3 4 9 3 2 5 7 0 3</v>
          </cell>
          <cell r="W696" t="str">
            <v xml:space="preserve"> HYZRI TALLA OB 16 HY 1 NR 18
 Kosovë</v>
          </cell>
          <cell r="X696">
            <v>1467</v>
          </cell>
          <cell r="AB696">
            <v>1727</v>
          </cell>
          <cell r="AC696">
            <v>9044</v>
          </cell>
          <cell r="AD696">
            <v>1266</v>
          </cell>
          <cell r="AE696">
            <v>10310</v>
          </cell>
        </row>
        <row r="697">
          <cell r="A697">
            <v>695</v>
          </cell>
          <cell r="B697">
            <v>46129</v>
          </cell>
          <cell r="C697" t="str">
            <v>JAGUAR XE20D</v>
          </cell>
          <cell r="D697" t="str">
            <v>JAGUAR</v>
          </cell>
          <cell r="E697" t="str">
            <v>XE20D</v>
          </cell>
          <cell r="G697" t="str">
            <v>60가6050</v>
          </cell>
          <cell r="H697" t="str">
            <v>SAJAB4BN9JCP35933</v>
          </cell>
          <cell r="J697" t="str">
            <v>경매장- 헤이딜러</v>
          </cell>
          <cell r="L697" t="str">
            <v>잔금</v>
          </cell>
          <cell r="N697">
            <v>495</v>
          </cell>
          <cell r="O697">
            <v>35</v>
          </cell>
          <cell r="P697">
            <v>0</v>
          </cell>
          <cell r="Q697" t="str">
            <v>done</v>
          </cell>
          <cell r="R697">
            <v>46154</v>
          </cell>
          <cell r="S697" t="str">
            <v>R.S.h L.L.C.</v>
          </cell>
          <cell r="T697" t="str">
            <v>R.Sh L.L.C.</v>
          </cell>
          <cell r="U697">
            <v>812326016</v>
          </cell>
          <cell r="V697" t="str">
            <v>+383486 611 61</v>
          </cell>
          <cell r="W697" t="str">
            <v>Kosovo</v>
          </cell>
          <cell r="X697">
            <v>1455</v>
          </cell>
          <cell r="AB697">
            <v>1727</v>
          </cell>
          <cell r="AC697">
            <v>3165</v>
          </cell>
          <cell r="AD697">
            <v>1255</v>
          </cell>
          <cell r="AE697">
            <v>4420</v>
          </cell>
          <cell r="AF697">
            <v>4550</v>
          </cell>
        </row>
        <row r="698">
          <cell r="A698">
            <v>696</v>
          </cell>
          <cell r="B698">
            <v>46129</v>
          </cell>
          <cell r="C698" t="str">
            <v>RENAULT CLIO</v>
          </cell>
          <cell r="D698" t="str">
            <v>RENAULT</v>
          </cell>
          <cell r="E698" t="str">
            <v>CLIO</v>
          </cell>
          <cell r="G698" t="str">
            <v>05루8999</v>
          </cell>
          <cell r="H698" t="str">
            <v>VF15RBJ0DJR025044</v>
          </cell>
          <cell r="J698" t="str">
            <v>경매장- 헤이딜러</v>
          </cell>
          <cell r="L698" t="str">
            <v>잔금</v>
          </cell>
          <cell r="N698">
            <v>684</v>
          </cell>
          <cell r="O698">
            <v>44</v>
          </cell>
          <cell r="P698">
            <v>0</v>
          </cell>
          <cell r="Q698" t="str">
            <v>done</v>
          </cell>
          <cell r="R698">
            <v>46181</v>
          </cell>
          <cell r="S698" t="str">
            <v>DONI</v>
          </cell>
          <cell r="T698" t="str">
            <v>DONI</v>
          </cell>
          <cell r="U698">
            <v>933682</v>
          </cell>
          <cell r="V698" t="str">
            <v>3 8 3 4 9 3 2 5 7 0 3</v>
          </cell>
          <cell r="W698" t="str">
            <v xml:space="preserve"> HYZRI TALLA OB 16 HY 1 NR 18
 Kosovë</v>
          </cell>
          <cell r="X698">
            <v>1505</v>
          </cell>
          <cell r="AB698">
            <v>1746</v>
          </cell>
          <cell r="AC698">
            <v>4146</v>
          </cell>
          <cell r="AD698">
            <v>1414</v>
          </cell>
          <cell r="AE698">
            <v>5560</v>
          </cell>
        </row>
        <row r="699">
          <cell r="A699">
            <v>697</v>
          </cell>
          <cell r="B699">
            <v>46127</v>
          </cell>
          <cell r="C699" t="str">
            <v>KIA Sportage</v>
          </cell>
          <cell r="D699" t="str">
            <v>KIA</v>
          </cell>
          <cell r="E699" t="str">
            <v>Sportage</v>
          </cell>
          <cell r="G699" t="str">
            <v>325조6774</v>
          </cell>
          <cell r="H699" t="str">
            <v>KNAP6815GGK051525 </v>
          </cell>
          <cell r="J699" t="str">
            <v xml:space="preserve">경매장-AJ </v>
          </cell>
          <cell r="L699" t="str">
            <v>잔금</v>
          </cell>
          <cell r="N699">
            <v>700</v>
          </cell>
          <cell r="O699">
            <v>18</v>
          </cell>
          <cell r="P699">
            <v>0</v>
          </cell>
          <cell r="Q699" t="str">
            <v>done</v>
          </cell>
          <cell r="R699" t="str">
            <v>CON3</v>
          </cell>
          <cell r="S699" t="str">
            <v>MANTAS</v>
          </cell>
          <cell r="T699" t="str">
            <v>UAB GRALIS</v>
          </cell>
          <cell r="U699">
            <v>179285533</v>
          </cell>
          <cell r="V699" t="str">
            <v>370 (618) 11 666</v>
          </cell>
          <cell r="W699" t="str">
            <v xml:space="preserve">Jūros g. 33, Tauragė  </v>
          </cell>
          <cell r="X699">
            <v>1461</v>
          </cell>
          <cell r="AB699">
            <v>1712</v>
          </cell>
          <cell r="AC699">
            <v>4915</v>
          </cell>
          <cell r="AD699">
            <v>1333</v>
          </cell>
        </row>
        <row r="700">
          <cell r="A700">
            <v>698</v>
          </cell>
          <cell r="B700">
            <v>46129</v>
          </cell>
          <cell r="C700" t="str">
            <v>BENZ CLA200 d</v>
          </cell>
          <cell r="D700" t="str">
            <v>BENZ</v>
          </cell>
          <cell r="E700" t="str">
            <v>CLA200 d</v>
          </cell>
          <cell r="G700" t="str">
            <v>14거0938</v>
          </cell>
          <cell r="H700" t="str">
            <v>WDDSJ0JB3GN348030</v>
          </cell>
          <cell r="I700">
            <v>46135</v>
          </cell>
          <cell r="J700" t="str">
            <v>㈜착한중고차</v>
          </cell>
          <cell r="K700" t="str">
            <v>AHSHIN</v>
          </cell>
          <cell r="L700" t="str">
            <v>잔금</v>
          </cell>
          <cell r="M700" t="str">
            <v>50만원 계약금</v>
          </cell>
          <cell r="N700">
            <v>1285</v>
          </cell>
          <cell r="P700">
            <v>0</v>
          </cell>
          <cell r="Q700" t="str">
            <v>DONE</v>
          </cell>
          <cell r="R700">
            <v>46142</v>
          </cell>
          <cell r="S700" t="str">
            <v>ARMIR</v>
          </cell>
          <cell r="T700" t="str">
            <v>NIKE RRECAJ</v>
          </cell>
          <cell r="U700" t="str">
            <v>ID1915658</v>
          </cell>
          <cell r="V700" t="str">
            <v>383 49 690 998</v>
          </cell>
          <cell r="W700" t="str">
            <v>KOSOVO</v>
          </cell>
          <cell r="X700">
            <v>1455</v>
          </cell>
          <cell r="AB700">
            <v>1727</v>
          </cell>
          <cell r="AC700">
            <v>7235</v>
          </cell>
          <cell r="AD700">
            <v>1255</v>
          </cell>
          <cell r="AE700">
            <v>8490</v>
          </cell>
          <cell r="AF700">
            <v>8490</v>
          </cell>
        </row>
        <row r="701">
          <cell r="A701">
            <v>699</v>
          </cell>
          <cell r="B701">
            <v>46130</v>
          </cell>
          <cell r="C701" t="str">
            <v>AUDI A3</v>
          </cell>
          <cell r="D701" t="str">
            <v>AUDI</v>
          </cell>
          <cell r="E701" t="str">
            <v>A3</v>
          </cell>
          <cell r="G701" t="str">
            <v>50저0438</v>
          </cell>
          <cell r="H701" t="str">
            <v>WAUZZZ8VXGA030366</v>
          </cell>
          <cell r="I701">
            <v>46134</v>
          </cell>
          <cell r="J701" t="str">
            <v>㈜제이제이오토컴퍼니</v>
          </cell>
          <cell r="L701" t="str">
            <v>잔금</v>
          </cell>
          <cell r="M701" t="str">
            <v>50만원 대표님 계약</v>
          </cell>
          <cell r="N701">
            <v>1230</v>
          </cell>
          <cell r="P701">
            <v>0</v>
          </cell>
          <cell r="Q701" t="str">
            <v>DONE</v>
          </cell>
          <cell r="R701">
            <v>46141</v>
          </cell>
          <cell r="S701" t="str">
            <v>Auto Posh SH.P.K</v>
          </cell>
          <cell r="T701" t="str">
            <v>Auto Posh SH.P.K</v>
          </cell>
          <cell r="U701">
            <v>812219427</v>
          </cell>
          <cell r="V701" t="str">
            <v>38345560145</v>
          </cell>
          <cell r="W701" t="str">
            <v>KOSOVO</v>
          </cell>
          <cell r="X701">
            <v>1455</v>
          </cell>
          <cell r="AB701">
            <v>1727</v>
          </cell>
          <cell r="AC701">
            <v>6875</v>
          </cell>
          <cell r="AD701">
            <v>1255</v>
          </cell>
          <cell r="AE701">
            <v>8130</v>
          </cell>
        </row>
        <row r="702">
          <cell r="A702">
            <v>700</v>
          </cell>
          <cell r="B702">
            <v>46130</v>
          </cell>
          <cell r="C702" t="str">
            <v>HYUNDAI TUCSON</v>
          </cell>
          <cell r="D702" t="str">
            <v>HYUNDAI</v>
          </cell>
          <cell r="E702" t="str">
            <v>TUCSON</v>
          </cell>
          <cell r="G702" t="str">
            <v>63서8739</v>
          </cell>
          <cell r="H702" t="str">
            <v>KMHJ381ABGU045197</v>
          </cell>
          <cell r="I702">
            <v>46133</v>
          </cell>
          <cell r="J702" t="str">
            <v>㈜ 부릉부릉닥컴</v>
          </cell>
          <cell r="L702" t="str">
            <v>잔금</v>
          </cell>
          <cell r="M702" t="str">
            <v>50만원 대표님 계약</v>
          </cell>
          <cell r="N702">
            <v>1230</v>
          </cell>
          <cell r="P702">
            <v>0</v>
          </cell>
          <cell r="Q702" t="str">
            <v>DONE</v>
          </cell>
          <cell r="R702">
            <v>46142</v>
          </cell>
          <cell r="S702" t="str">
            <v>CALJA</v>
          </cell>
          <cell r="T702" t="str">
            <v>IBRAHIMI KATERINA</v>
          </cell>
          <cell r="U702" t="str">
            <v>I75522058T</v>
          </cell>
          <cell r="V702" t="str">
            <v>355 69 550 5533</v>
          </cell>
          <cell r="W702" t="str">
            <v>Albania</v>
          </cell>
          <cell r="X702">
            <v>1455</v>
          </cell>
          <cell r="AB702">
            <v>1727</v>
          </cell>
          <cell r="AC702">
            <v>6910</v>
          </cell>
          <cell r="AD702">
            <v>1340</v>
          </cell>
          <cell r="AE702">
            <v>8250</v>
          </cell>
          <cell r="AF702">
            <v>16000</v>
          </cell>
        </row>
        <row r="703">
          <cell r="A703">
            <v>701</v>
          </cell>
          <cell r="B703">
            <v>46130</v>
          </cell>
          <cell r="C703" t="str">
            <v>RENAULT QM3</v>
          </cell>
          <cell r="D703" t="str">
            <v>RENAULT</v>
          </cell>
          <cell r="E703" t="str">
            <v>QM3</v>
          </cell>
          <cell r="G703" t="str">
            <v>10러4700</v>
          </cell>
          <cell r="H703" t="str">
            <v>VF12RS01AJW930607</v>
          </cell>
          <cell r="J703" t="str">
            <v>경매장- 헤이딜러</v>
          </cell>
          <cell r="L703" t="str">
            <v>잔금</v>
          </cell>
          <cell r="N703">
            <v>703</v>
          </cell>
          <cell r="P703">
            <v>0</v>
          </cell>
          <cell r="Q703" t="str">
            <v>done</v>
          </cell>
          <cell r="R703">
            <v>46154</v>
          </cell>
          <cell r="S703" t="str">
            <v>R.S.h L.L.C.</v>
          </cell>
          <cell r="T703" t="str">
            <v>R.Sh L.L.C.</v>
          </cell>
          <cell r="U703">
            <v>812326016</v>
          </cell>
          <cell r="V703" t="str">
            <v>+383486 611 61</v>
          </cell>
          <cell r="W703" t="str">
            <v>Kosovo</v>
          </cell>
          <cell r="X703">
            <v>1455</v>
          </cell>
          <cell r="AB703">
            <v>1727</v>
          </cell>
          <cell r="AC703">
            <v>4535</v>
          </cell>
          <cell r="AD703">
            <v>1255</v>
          </cell>
          <cell r="AE703">
            <v>5790</v>
          </cell>
        </row>
        <row r="704">
          <cell r="A704">
            <v>702</v>
          </cell>
          <cell r="B704">
            <v>46130</v>
          </cell>
          <cell r="C704" t="str">
            <v>AUDI A7</v>
          </cell>
          <cell r="D704" t="str">
            <v>AUDI</v>
          </cell>
          <cell r="E704" t="str">
            <v>A7</v>
          </cell>
          <cell r="G704" t="str">
            <v>63무0619</v>
          </cell>
          <cell r="H704" t="str">
            <v>WAUZZZ4G1GN048223</v>
          </cell>
          <cell r="I704">
            <v>46134</v>
          </cell>
          <cell r="J704" t="str">
            <v>㈜오토록</v>
          </cell>
          <cell r="L704" t="str">
            <v>잔금</v>
          </cell>
          <cell r="M704" t="str">
            <v>50만원 대표님 계약</v>
          </cell>
          <cell r="N704">
            <v>1450</v>
          </cell>
          <cell r="P704">
            <v>0</v>
          </cell>
          <cell r="Q704" t="str">
            <v>DONE</v>
          </cell>
          <cell r="R704">
            <v>46142</v>
          </cell>
          <cell r="S704" t="str">
            <v>CALJA</v>
          </cell>
          <cell r="T704" t="str">
            <v>Calja Marius</v>
          </cell>
          <cell r="U704" t="str">
            <v>J70807019Q</v>
          </cell>
          <cell r="V704" t="str">
            <v>355 69 550 5533</v>
          </cell>
          <cell r="W704" t="str">
            <v>Albania</v>
          </cell>
          <cell r="X704">
            <v>1455</v>
          </cell>
          <cell r="AB704">
            <v>1727</v>
          </cell>
          <cell r="AC704">
            <v>8145</v>
          </cell>
          <cell r="AD704">
            <v>1255</v>
          </cell>
          <cell r="AE704">
            <v>9400</v>
          </cell>
          <cell r="AF704" t="str">
            <v>선수금 사용</v>
          </cell>
        </row>
        <row r="705">
          <cell r="A705">
            <v>703</v>
          </cell>
          <cell r="B705">
            <v>46133</v>
          </cell>
          <cell r="C705" t="str">
            <v xml:space="preserve">HYUNDAI  SANTAFE   </v>
          </cell>
          <cell r="D705" t="str">
            <v>HYUNDAI</v>
          </cell>
          <cell r="E705" t="str">
            <v xml:space="preserve"> SANTAFE   </v>
          </cell>
          <cell r="G705" t="str">
            <v>63러9635</v>
          </cell>
          <cell r="H705" t="str">
            <v>KMHSW81UBEU205243</v>
          </cell>
          <cell r="I705">
            <v>46134</v>
          </cell>
          <cell r="L705" t="str">
            <v>잔금</v>
          </cell>
          <cell r="M705" t="str">
            <v>50만원 대표님 계약</v>
          </cell>
          <cell r="N705">
            <v>630</v>
          </cell>
          <cell r="P705">
            <v>0</v>
          </cell>
          <cell r="Q705" t="str">
            <v>DONE</v>
          </cell>
          <cell r="R705">
            <v>46142</v>
          </cell>
          <cell r="S705" t="str">
            <v>CALJA</v>
          </cell>
          <cell r="T705" t="str">
            <v>Calja Marius</v>
          </cell>
          <cell r="U705" t="str">
            <v>M43323203V</v>
          </cell>
          <cell r="V705" t="str">
            <v>355 69 550 5533</v>
          </cell>
          <cell r="W705" t="str">
            <v>Albania</v>
          </cell>
          <cell r="X705">
            <v>1463</v>
          </cell>
          <cell r="AB705">
            <v>1718</v>
          </cell>
          <cell r="AC705">
            <v>3696</v>
          </cell>
          <cell r="AD705">
            <v>1354</v>
          </cell>
          <cell r="AE705">
            <v>5050</v>
          </cell>
          <cell r="AF705">
            <v>6050</v>
          </cell>
        </row>
        <row r="706">
          <cell r="A706">
            <v>704</v>
          </cell>
          <cell r="B706">
            <v>46133</v>
          </cell>
          <cell r="C706" t="str">
            <v>benz c220</v>
          </cell>
          <cell r="D706" t="str">
            <v>benz</v>
          </cell>
          <cell r="E706" t="str">
            <v>c220</v>
          </cell>
          <cell r="G706" t="str">
            <v>61주8194</v>
          </cell>
          <cell r="H706" t="str">
            <v>WDDWF0FB8JR386686</v>
          </cell>
          <cell r="I706">
            <v>46134</v>
          </cell>
          <cell r="J706" t="str">
            <v>㈜다빈치오토</v>
          </cell>
          <cell r="L706" t="str">
            <v>잔금</v>
          </cell>
          <cell r="M706" t="str">
            <v>50만원 회사통장 계약</v>
          </cell>
          <cell r="N706">
            <v>1830</v>
          </cell>
          <cell r="P706">
            <v>0</v>
          </cell>
          <cell r="Q706" t="str">
            <v>DONE</v>
          </cell>
          <cell r="R706">
            <v>46142</v>
          </cell>
          <cell r="S706" t="str">
            <v>DONI</v>
          </cell>
          <cell r="T706" t="str">
            <v>DONI</v>
          </cell>
          <cell r="U706">
            <v>933682</v>
          </cell>
          <cell r="V706" t="str">
            <v>3 8 3 4 9 3 2 5 7 0 3</v>
          </cell>
          <cell r="W706" t="str">
            <v xml:space="preserve"> HYZRI TALLA OB 16 HY 1 NR 18
 Kosovë</v>
          </cell>
          <cell r="X706">
            <v>1458</v>
          </cell>
          <cell r="AB706">
            <v>1718</v>
          </cell>
          <cell r="AC706">
            <v>10225</v>
          </cell>
          <cell r="AD706">
            <v>1265</v>
          </cell>
          <cell r="AE706">
            <v>11490</v>
          </cell>
        </row>
        <row r="707">
          <cell r="A707">
            <v>705</v>
          </cell>
          <cell r="B707">
            <v>46133</v>
          </cell>
          <cell r="C707" t="str">
            <v>AUDI Q5</v>
          </cell>
          <cell r="D707" t="str">
            <v>AUDI</v>
          </cell>
          <cell r="E707" t="str">
            <v>Q5</v>
          </cell>
          <cell r="G707" t="str">
            <v>398다9743</v>
          </cell>
          <cell r="H707" t="str">
            <v>WAUZZZFY4N2006598</v>
          </cell>
          <cell r="I707">
            <v>46137</v>
          </cell>
          <cell r="J707" t="str">
            <v>㈜유카</v>
          </cell>
          <cell r="K707" t="str">
            <v>AHSHIN</v>
          </cell>
          <cell r="L707" t="str">
            <v>잔금</v>
          </cell>
          <cell r="M707" t="str">
            <v>100만원 회사통장 계약</v>
          </cell>
          <cell r="N707">
            <v>4080</v>
          </cell>
          <cell r="P707">
            <v>0</v>
          </cell>
          <cell r="Q707" t="str">
            <v>DONE</v>
          </cell>
          <cell r="R707">
            <v>46142</v>
          </cell>
          <cell r="S707" t="str">
            <v>DONI</v>
          </cell>
          <cell r="T707" t="str">
            <v>DONI</v>
          </cell>
          <cell r="U707">
            <v>933682</v>
          </cell>
          <cell r="V707" t="str">
            <v>3 8 3 4 9 3 2 5 7 0 3</v>
          </cell>
          <cell r="W707" t="str">
            <v xml:space="preserve"> HYZRI TALLA OB 16 HY 1 NR 18
 Kosovë</v>
          </cell>
          <cell r="X707">
            <v>1458</v>
          </cell>
          <cell r="AB707">
            <v>1718</v>
          </cell>
          <cell r="AC707">
            <v>22801</v>
          </cell>
          <cell r="AD707">
            <v>1349</v>
          </cell>
          <cell r="AE707">
            <v>24150</v>
          </cell>
        </row>
        <row r="708">
          <cell r="A708">
            <v>706</v>
          </cell>
          <cell r="B708">
            <v>46134</v>
          </cell>
          <cell r="C708" t="str">
            <v>BMW  M5</v>
          </cell>
          <cell r="D708" t="str">
            <v xml:space="preserve">BMW </v>
          </cell>
          <cell r="E708" t="str">
            <v>M5</v>
          </cell>
          <cell r="G708" t="str">
            <v>152누6683</v>
          </cell>
          <cell r="H708" t="str">
            <v>WBSFV9101CDW95674</v>
          </cell>
          <cell r="L708" t="str">
            <v>취소</v>
          </cell>
          <cell r="N708">
            <v>1800</v>
          </cell>
          <cell r="P708">
            <v>0</v>
          </cell>
          <cell r="Q708" t="str">
            <v>CANCEL</v>
          </cell>
          <cell r="R708" t="str">
            <v>CANCEL</v>
          </cell>
          <cell r="S708" t="str">
            <v>DAX IMPORT</v>
          </cell>
          <cell r="T708" t="str">
            <v xml:space="preserve">Michael Karl  </v>
          </cell>
          <cell r="U708" t="str">
            <v>LF9N8WZ16</v>
          </cell>
          <cell r="V708" t="str">
            <v>‪+49 471 94189050‬</v>
          </cell>
          <cell r="W708" t="str">
            <v xml:space="preserve">Dorfstr,33C,(82024) Taufkirchen, Germany </v>
          </cell>
          <cell r="X708">
            <v>1462</v>
          </cell>
          <cell r="AB708">
            <v>1712</v>
          </cell>
          <cell r="AC708">
            <v>9980</v>
          </cell>
          <cell r="AF708">
            <v>10280</v>
          </cell>
        </row>
        <row r="709">
          <cell r="A709">
            <v>707</v>
          </cell>
          <cell r="B709">
            <v>46134</v>
          </cell>
          <cell r="C709" t="str">
            <v>BENZ CLS350</v>
          </cell>
          <cell r="D709" t="str">
            <v>BENZ</v>
          </cell>
          <cell r="E709" t="str">
            <v>CLS350</v>
          </cell>
          <cell r="G709" t="str">
            <v>52버1080</v>
          </cell>
          <cell r="H709" t="str">
            <v>WDDLJ9EB1HA197037</v>
          </cell>
          <cell r="I709">
            <v>46139</v>
          </cell>
          <cell r="K709" t="str">
            <v>AHSHIN</v>
          </cell>
          <cell r="L709" t="str">
            <v>잔금</v>
          </cell>
          <cell r="M709" t="str">
            <v>50만원 회사통장 계약</v>
          </cell>
          <cell r="N709">
            <v>1870</v>
          </cell>
          <cell r="P709">
            <v>0</v>
          </cell>
          <cell r="Q709" t="str">
            <v>DONE</v>
          </cell>
          <cell r="R709">
            <v>46146</v>
          </cell>
          <cell r="S709" t="str">
            <v>R.S.h L.L.C.</v>
          </cell>
          <cell r="T709" t="str">
            <v>R.Sh L.L.C.</v>
          </cell>
          <cell r="U709">
            <v>812326016</v>
          </cell>
          <cell r="V709" t="str">
            <v>+383486 611 61</v>
          </cell>
          <cell r="W709" t="str">
            <v>Kosovo</v>
          </cell>
          <cell r="X709">
            <v>1462</v>
          </cell>
          <cell r="AB709">
            <v>1718</v>
          </cell>
          <cell r="AC709">
            <v>10432</v>
          </cell>
          <cell r="AD709">
            <v>1268</v>
          </cell>
          <cell r="AE709">
            <v>11700</v>
          </cell>
        </row>
        <row r="710">
          <cell r="A710">
            <v>708</v>
          </cell>
          <cell r="B710">
            <v>46134</v>
          </cell>
          <cell r="C710" t="str">
            <v>VOLKSWAGENS golf</v>
          </cell>
          <cell r="D710" t="str">
            <v>VOLKSWAGENS</v>
          </cell>
          <cell r="E710" t="str">
            <v>golf</v>
          </cell>
          <cell r="G710" t="str">
            <v>50오5730</v>
          </cell>
          <cell r="H710" t="str">
            <v>WVWZZZAUZFW101863</v>
          </cell>
          <cell r="I710">
            <v>46137</v>
          </cell>
          <cell r="J710" t="str">
            <v>㈜훈카</v>
          </cell>
          <cell r="K710" t="str">
            <v>GMT</v>
          </cell>
          <cell r="L710" t="str">
            <v>잔금</v>
          </cell>
          <cell r="M710" t="str">
            <v>50만원 회사통장 계약</v>
          </cell>
          <cell r="N710">
            <v>750</v>
          </cell>
          <cell r="P710">
            <v>0</v>
          </cell>
          <cell r="Q710" t="str">
            <v>DONE</v>
          </cell>
          <cell r="R710">
            <v>46141</v>
          </cell>
          <cell r="S710" t="str">
            <v>HYSA</v>
          </cell>
          <cell r="T710" t="str">
            <v>LLOSHI FERINAND</v>
          </cell>
          <cell r="U710" t="str">
            <v>K71108008L</v>
          </cell>
          <cell r="V710" t="str">
            <v>355 69 690 2972</v>
          </cell>
          <cell r="W710" t="str">
            <v>Albania</v>
          </cell>
          <cell r="X710">
            <v>1462</v>
          </cell>
          <cell r="AB710">
            <v>1718</v>
          </cell>
          <cell r="AC710">
            <v>4352</v>
          </cell>
          <cell r="AD710">
            <v>1268</v>
          </cell>
          <cell r="AE710">
            <v>5620</v>
          </cell>
          <cell r="AF710">
            <v>5620</v>
          </cell>
        </row>
        <row r="711">
          <cell r="A711">
            <v>709</v>
          </cell>
          <cell r="B711">
            <v>46134</v>
          </cell>
          <cell r="C711" t="str">
            <v>BMW  320D</v>
          </cell>
          <cell r="D711" t="str">
            <v xml:space="preserve">BMW </v>
          </cell>
          <cell r="E711" t="str">
            <v>320D</v>
          </cell>
          <cell r="G711" t="str">
            <v>14소0462</v>
          </cell>
          <cell r="H711" t="str">
            <v>WBABC5101HA073175</v>
          </cell>
          <cell r="I711">
            <v>46140</v>
          </cell>
          <cell r="J711" t="str">
            <v>㈜다빈치오토</v>
          </cell>
          <cell r="L711" t="str">
            <v>잔금</v>
          </cell>
          <cell r="M711" t="str">
            <v>50만원 회사통장 계약</v>
          </cell>
          <cell r="N711">
            <v>1320</v>
          </cell>
          <cell r="P711">
            <v>0</v>
          </cell>
          <cell r="Q711" t="str">
            <v>done</v>
          </cell>
          <cell r="R711">
            <v>46154</v>
          </cell>
          <cell r="S711" t="str">
            <v>Auto Posh SH.P.K</v>
          </cell>
          <cell r="T711" t="str">
            <v>Auto Posh SH.P.K</v>
          </cell>
          <cell r="U711">
            <v>812219427</v>
          </cell>
          <cell r="V711" t="str">
            <v>38345560145</v>
          </cell>
          <cell r="W711" t="str">
            <v>KOSOVO</v>
          </cell>
          <cell r="X711">
            <v>1468</v>
          </cell>
          <cell r="AB711">
            <v>1715</v>
          </cell>
          <cell r="AC711">
            <v>7385</v>
          </cell>
          <cell r="AD711">
            <v>1275</v>
          </cell>
          <cell r="AE711">
            <v>8660</v>
          </cell>
        </row>
        <row r="712">
          <cell r="A712">
            <v>710</v>
          </cell>
          <cell r="B712">
            <v>46136</v>
          </cell>
          <cell r="C712" t="str">
            <v>BENZ C220</v>
          </cell>
          <cell r="D712" t="str">
            <v>BENZ</v>
          </cell>
          <cell r="E712" t="str">
            <v>C220</v>
          </cell>
          <cell r="G712" t="str">
            <v>48조9423</v>
          </cell>
          <cell r="H712" t="str">
            <v>WDDWF0EB9FF090974</v>
          </cell>
          <cell r="I712">
            <v>46141</v>
          </cell>
          <cell r="J712" t="str">
            <v>㈜모터스퀘어</v>
          </cell>
          <cell r="L712" t="str">
            <v>잔금</v>
          </cell>
          <cell r="M712" t="str">
            <v>50만원 회사통장 계약</v>
          </cell>
          <cell r="N712">
            <v>1150</v>
          </cell>
          <cell r="P712">
            <v>0</v>
          </cell>
          <cell r="Q712" t="str">
            <v>done</v>
          </cell>
          <cell r="R712">
            <v>46154</v>
          </cell>
          <cell r="S712" t="str">
            <v>CALJA</v>
          </cell>
          <cell r="T712" t="str">
            <v>NOVAKU ANA</v>
          </cell>
          <cell r="U712" t="str">
            <v>K45805024E</v>
          </cell>
          <cell r="V712" t="str">
            <v>355 69 550 5533</v>
          </cell>
          <cell r="W712" t="str">
            <v>Albania</v>
          </cell>
          <cell r="X712">
            <v>1462</v>
          </cell>
          <cell r="AB712">
            <v>1718</v>
          </cell>
          <cell r="AC712">
            <v>6482</v>
          </cell>
          <cell r="AD712">
            <v>1268</v>
          </cell>
          <cell r="AE712">
            <v>7750</v>
          </cell>
          <cell r="AF712">
            <v>9000</v>
          </cell>
        </row>
        <row r="713">
          <cell r="A713">
            <v>711</v>
          </cell>
          <cell r="B713">
            <v>46135</v>
          </cell>
          <cell r="C713" t="str">
            <v>AUDI A8</v>
          </cell>
          <cell r="D713" t="str">
            <v>AUDI</v>
          </cell>
          <cell r="E713" t="str">
            <v>A8</v>
          </cell>
          <cell r="G713" t="str">
            <v>03소6863</v>
          </cell>
          <cell r="H713" t="str">
            <v>WAUZZZ4H0CN024269</v>
          </cell>
          <cell r="I713">
            <v>46142</v>
          </cell>
          <cell r="J713" t="str">
            <v>(주)준모터스</v>
          </cell>
          <cell r="L713" t="str">
            <v>잔금</v>
          </cell>
          <cell r="M713" t="str">
            <v>50만원 회사통장 계약</v>
          </cell>
          <cell r="N713">
            <v>1170</v>
          </cell>
          <cell r="P713">
            <v>0</v>
          </cell>
          <cell r="Q713" t="str">
            <v>done</v>
          </cell>
          <cell r="R713">
            <v>46154</v>
          </cell>
          <cell r="S713" t="str">
            <v>HYSA</v>
          </cell>
          <cell r="T713" t="str">
            <v>HYSA JUGERS</v>
          </cell>
          <cell r="U713" t="str">
            <v>M42902202Q</v>
          </cell>
          <cell r="V713" t="str">
            <v>355 69 690 2972</v>
          </cell>
          <cell r="W713" t="str">
            <v>Albania</v>
          </cell>
          <cell r="X713">
            <v>1462</v>
          </cell>
          <cell r="AB713">
            <v>1712</v>
          </cell>
          <cell r="AC713">
            <v>6642</v>
          </cell>
          <cell r="AD713">
            <v>1358</v>
          </cell>
          <cell r="AE713">
            <v>8000</v>
          </cell>
          <cell r="AF713">
            <v>8000</v>
          </cell>
        </row>
        <row r="714">
          <cell r="A714">
            <v>712</v>
          </cell>
          <cell r="B714">
            <v>46139</v>
          </cell>
          <cell r="C714" t="str">
            <v>BENZ CLA 250</v>
          </cell>
          <cell r="D714" t="str">
            <v>BENZ</v>
          </cell>
          <cell r="E714" t="str">
            <v>CLA 250</v>
          </cell>
          <cell r="G714" t="str">
            <v>372오9129</v>
          </cell>
          <cell r="H714" t="str">
            <v>WDDSJ4GBXHN402035</v>
          </cell>
          <cell r="I714">
            <v>46139</v>
          </cell>
          <cell r="K714" t="str">
            <v>AHSHIN</v>
          </cell>
          <cell r="L714" t="str">
            <v>잔금</v>
          </cell>
          <cell r="N714">
            <v>1420</v>
          </cell>
          <cell r="P714">
            <v>0</v>
          </cell>
          <cell r="Q714" t="str">
            <v>DONE</v>
          </cell>
          <cell r="R714">
            <v>46146</v>
          </cell>
          <cell r="S714" t="str">
            <v>R.S.h L.L.C.</v>
          </cell>
          <cell r="T714" t="str">
            <v>R.Sh L.L.C.</v>
          </cell>
          <cell r="U714">
            <v>812326016</v>
          </cell>
          <cell r="V714" t="str">
            <v>+383486 611 61</v>
          </cell>
          <cell r="W714" t="str">
            <v>Kosovo</v>
          </cell>
          <cell r="X714">
            <v>1462</v>
          </cell>
          <cell r="AB714">
            <v>1718</v>
          </cell>
          <cell r="AC714">
            <v>8032</v>
          </cell>
          <cell r="AD714">
            <v>1268</v>
          </cell>
          <cell r="AE714">
            <v>9300</v>
          </cell>
          <cell r="AF714">
            <v>9300</v>
          </cell>
        </row>
        <row r="715">
          <cell r="A715">
            <v>713</v>
          </cell>
          <cell r="B715">
            <v>46136</v>
          </cell>
          <cell r="C715" t="str">
            <v>BENZ E220</v>
          </cell>
          <cell r="D715" t="str">
            <v>BENZ</v>
          </cell>
          <cell r="E715" t="str">
            <v>E220</v>
          </cell>
          <cell r="G715" t="str">
            <v>261마4921</v>
          </cell>
          <cell r="H715" t="str">
            <v>WDDZF0FB5JA315201</v>
          </cell>
          <cell r="I715">
            <v>46141</v>
          </cell>
          <cell r="J715" t="str">
            <v>㈜명문자동차</v>
          </cell>
          <cell r="L715" t="str">
            <v>잔금</v>
          </cell>
          <cell r="M715" t="str">
            <v>70만원 대표님 계약</v>
          </cell>
          <cell r="N715">
            <v>1600</v>
          </cell>
          <cell r="Q715" t="str">
            <v>DONE</v>
          </cell>
          <cell r="R715">
            <v>46150</v>
          </cell>
          <cell r="S715" t="str">
            <v>CALJA</v>
          </cell>
          <cell r="T715" t="str">
            <v>FRANCI HALILAJ</v>
          </cell>
          <cell r="U715" t="str">
            <v>K11220035T</v>
          </cell>
          <cell r="V715" t="str">
            <v>355 69 550 5533</v>
          </cell>
          <cell r="W715" t="str">
            <v>Albania</v>
          </cell>
          <cell r="X715">
            <v>1462</v>
          </cell>
          <cell r="AB715">
            <v>1718</v>
          </cell>
          <cell r="AC715">
            <v>8952</v>
          </cell>
          <cell r="AD715">
            <v>1268</v>
          </cell>
          <cell r="AE715">
            <v>10220</v>
          </cell>
          <cell r="AF715">
            <v>11420</v>
          </cell>
        </row>
        <row r="716">
          <cell r="A716">
            <v>714</v>
          </cell>
          <cell r="B716">
            <v>46134</v>
          </cell>
          <cell r="C716" t="str">
            <v>KIA CARNIVAL</v>
          </cell>
          <cell r="D716" t="str">
            <v>KIA</v>
          </cell>
          <cell r="E716" t="str">
            <v>CARNIVAL</v>
          </cell>
          <cell r="G716" t="str">
            <v>222노6525</v>
          </cell>
          <cell r="H716" t="str">
            <v>KNANB81BBNS133981</v>
          </cell>
          <cell r="I716">
            <v>46135</v>
          </cell>
          <cell r="J716" t="str">
            <v xml:space="preserve">경매장-AJ </v>
          </cell>
          <cell r="L716" t="str">
            <v>잔금</v>
          </cell>
          <cell r="N716">
            <v>1550</v>
          </cell>
          <cell r="O716">
            <v>40</v>
          </cell>
          <cell r="P716">
            <v>0</v>
          </cell>
          <cell r="Q716" t="str">
            <v>done</v>
          </cell>
          <cell r="R716" t="str">
            <v>CON3</v>
          </cell>
          <cell r="S716" t="str">
            <v>MANTAS</v>
          </cell>
          <cell r="T716" t="str">
            <v>UAB GRALIS</v>
          </cell>
          <cell r="U716">
            <v>179285533</v>
          </cell>
          <cell r="V716" t="str">
            <v>370 (618) 11 666</v>
          </cell>
          <cell r="W716" t="str">
            <v xml:space="preserve">Jūros g. 33, Tauragė  </v>
          </cell>
          <cell r="X716">
            <v>1461</v>
          </cell>
          <cell r="AB716">
            <v>1712</v>
          </cell>
          <cell r="AC716">
            <v>10450</v>
          </cell>
          <cell r="AD716">
            <v>1333</v>
          </cell>
        </row>
        <row r="717">
          <cell r="A717">
            <v>715</v>
          </cell>
          <cell r="B717">
            <v>46136</v>
          </cell>
          <cell r="C717" t="str">
            <v>BENZ S63</v>
          </cell>
          <cell r="D717" t="str">
            <v>BENZ</v>
          </cell>
          <cell r="E717" t="str">
            <v>S63</v>
          </cell>
          <cell r="G717" t="str">
            <v>348수7224</v>
          </cell>
          <cell r="H717" t="str">
            <v>WDDUG7JB3EA058780</v>
          </cell>
          <cell r="I717">
            <v>46142</v>
          </cell>
          <cell r="J717" t="str">
            <v>㈜ 송도자동차</v>
          </cell>
          <cell r="L717" t="str">
            <v>잔금</v>
          </cell>
          <cell r="M717" t="str">
            <v>70만원 대표님 계약</v>
          </cell>
          <cell r="N717">
            <v>2570</v>
          </cell>
          <cell r="P717">
            <v>0</v>
          </cell>
          <cell r="Q717" t="str">
            <v>done</v>
          </cell>
          <cell r="R717">
            <v>46154</v>
          </cell>
          <cell r="S717" t="str">
            <v>HYSA</v>
          </cell>
          <cell r="T717" t="str">
            <v>HYSA JUGERS</v>
          </cell>
          <cell r="U717" t="str">
            <v>M42902202Q</v>
          </cell>
          <cell r="V717" t="str">
            <v>355 69 690 2972</v>
          </cell>
          <cell r="W717" t="str">
            <v>Albania</v>
          </cell>
          <cell r="X717">
            <v>1462</v>
          </cell>
          <cell r="AB717">
            <v>1712</v>
          </cell>
          <cell r="AC717">
            <v>14812.184579439252</v>
          </cell>
          <cell r="AD717">
            <v>1357.8154205607477</v>
          </cell>
          <cell r="AE717">
            <v>16170</v>
          </cell>
          <cell r="AF717">
            <v>8570</v>
          </cell>
        </row>
        <row r="718">
          <cell r="A718">
            <v>716</v>
          </cell>
          <cell r="B718">
            <v>46136</v>
          </cell>
          <cell r="C718" t="str">
            <v>HYUNDAI SONATA</v>
          </cell>
          <cell r="D718" t="str">
            <v>HYUNDAI</v>
          </cell>
          <cell r="E718" t="str">
            <v>SONATA</v>
          </cell>
          <cell r="G718" t="str">
            <v>42수6720</v>
          </cell>
          <cell r="H718" t="str">
            <v>KMHE341DBFA018309</v>
          </cell>
          <cell r="I718">
            <v>46141</v>
          </cell>
          <cell r="J718" t="str">
            <v>㈜차랑차랑</v>
          </cell>
          <cell r="L718" t="str">
            <v>잔금</v>
          </cell>
          <cell r="M718" t="str">
            <v>50만원 대표님 계약</v>
          </cell>
          <cell r="N718">
            <v>574</v>
          </cell>
          <cell r="P718">
            <v>0</v>
          </cell>
          <cell r="Q718" t="str">
            <v>DONE</v>
          </cell>
          <cell r="R718">
            <v>46150</v>
          </cell>
          <cell r="S718" t="str">
            <v xml:space="preserve">Andrea Kasa </v>
          </cell>
          <cell r="T718" t="str">
            <v>BERDUFI KLEJSI</v>
          </cell>
          <cell r="U718" t="str">
            <v>J90605018R</v>
          </cell>
          <cell r="V718" t="str">
            <v>355 69 746 2556</v>
          </cell>
          <cell r="W718" t="str">
            <v>Albania</v>
          </cell>
          <cell r="X718">
            <v>1462</v>
          </cell>
          <cell r="AB718">
            <v>1712</v>
          </cell>
          <cell r="AC718">
            <v>3408</v>
          </cell>
          <cell r="AD718">
            <v>1272</v>
          </cell>
          <cell r="AE718">
            <v>4680</v>
          </cell>
          <cell r="AF718">
            <v>5600</v>
          </cell>
        </row>
        <row r="719">
          <cell r="A719">
            <v>717</v>
          </cell>
          <cell r="B719">
            <v>46136</v>
          </cell>
          <cell r="C719" t="str">
            <v>AUDI A7</v>
          </cell>
          <cell r="D719" t="str">
            <v>AUDI</v>
          </cell>
          <cell r="E719" t="str">
            <v>A7</v>
          </cell>
          <cell r="G719" t="str">
            <v>149가5109</v>
          </cell>
          <cell r="H719" t="str">
            <v>WAUZZZ4G3FN029963</v>
          </cell>
          <cell r="I719">
            <v>46142</v>
          </cell>
          <cell r="J719" t="str">
            <v>(주)준모터스</v>
          </cell>
          <cell r="L719" t="str">
            <v>잔금</v>
          </cell>
          <cell r="M719" t="str">
            <v>50만원 대표님 계약</v>
          </cell>
          <cell r="N719">
            <v>1150</v>
          </cell>
          <cell r="P719">
            <v>0</v>
          </cell>
          <cell r="Q719" t="str">
            <v>done</v>
          </cell>
          <cell r="R719">
            <v>46154</v>
          </cell>
          <cell r="S719" t="str">
            <v>HYSA</v>
          </cell>
          <cell r="T719" t="str">
            <v>HYSA JUGERS</v>
          </cell>
          <cell r="U719" t="str">
            <v>M42902202Q</v>
          </cell>
          <cell r="V719" t="str">
            <v>355 69 690 2972</v>
          </cell>
          <cell r="W719" t="str">
            <v>Albania</v>
          </cell>
          <cell r="X719">
            <v>1462</v>
          </cell>
          <cell r="AB719">
            <v>1712</v>
          </cell>
          <cell r="AC719">
            <v>6458</v>
          </cell>
          <cell r="AD719">
            <v>1272</v>
          </cell>
          <cell r="AE719">
            <v>7730</v>
          </cell>
          <cell r="AF719">
            <v>7970</v>
          </cell>
        </row>
        <row r="720">
          <cell r="A720">
            <v>718</v>
          </cell>
          <cell r="B720">
            <v>46136</v>
          </cell>
          <cell r="C720" t="str">
            <v>AUDI A7</v>
          </cell>
          <cell r="D720" t="str">
            <v>AUDI</v>
          </cell>
          <cell r="E720" t="str">
            <v>A7</v>
          </cell>
          <cell r="G720" t="str">
            <v>233거1743</v>
          </cell>
          <cell r="H720" t="str">
            <v>WAUZZZ4GXEN086238</v>
          </cell>
          <cell r="I720">
            <v>46141</v>
          </cell>
          <cell r="J720" t="str">
            <v>㈜ 다정자동차</v>
          </cell>
          <cell r="L720" t="str">
            <v>잔금</v>
          </cell>
          <cell r="M720" t="str">
            <v>50만원 대표님 계약</v>
          </cell>
          <cell r="N720">
            <v>750</v>
          </cell>
          <cell r="P720">
            <v>0</v>
          </cell>
          <cell r="Q720" t="str">
            <v>done</v>
          </cell>
          <cell r="R720">
            <v>46154</v>
          </cell>
          <cell r="S720" t="str">
            <v xml:space="preserve">EUROAUTO.AL </v>
          </cell>
          <cell r="T720" t="str">
            <v>Erion Gjergji</v>
          </cell>
          <cell r="U720" t="str">
            <v>I90516099R</v>
          </cell>
          <cell r="V720" t="str">
            <v>49 163 6979 099</v>
          </cell>
          <cell r="W720" t="str">
            <v>Albania</v>
          </cell>
          <cell r="X720">
            <v>1462</v>
          </cell>
          <cell r="AB720">
            <v>1712</v>
          </cell>
          <cell r="AC720">
            <v>4448</v>
          </cell>
          <cell r="AD720">
            <v>1272</v>
          </cell>
          <cell r="AE720">
            <v>5720</v>
          </cell>
          <cell r="AF720">
            <v>5720</v>
          </cell>
        </row>
        <row r="721">
          <cell r="A721">
            <v>719</v>
          </cell>
          <cell r="B721">
            <v>46139</v>
          </cell>
          <cell r="C721" t="str">
            <v>RENAULT QM6</v>
          </cell>
          <cell r="D721" t="str">
            <v>RENAULT</v>
          </cell>
          <cell r="E721" t="str">
            <v>QM6</v>
          </cell>
          <cell r="G721" t="str">
            <v>43누0128</v>
          </cell>
          <cell r="H721" t="str">
            <v>KNME5C2M8HP007984</v>
          </cell>
          <cell r="I721">
            <v>46141</v>
          </cell>
          <cell r="J721" t="str">
            <v>㈜지카</v>
          </cell>
          <cell r="L721" t="str">
            <v>잔금</v>
          </cell>
          <cell r="M721" t="str">
            <v>50만원 회사통장 계약</v>
          </cell>
          <cell r="N721">
            <v>850</v>
          </cell>
          <cell r="P721">
            <v>0</v>
          </cell>
          <cell r="Q721" t="str">
            <v>done</v>
          </cell>
          <cell r="R721">
            <v>46163</v>
          </cell>
          <cell r="S721" t="str">
            <v>ATLAS GROUP SH.P.K</v>
          </cell>
          <cell r="T721" t="str">
            <v>ATLAS GROUP SH.P.K</v>
          </cell>
          <cell r="U721">
            <v>812137455</v>
          </cell>
          <cell r="V721" t="str">
            <v>+38348702207</v>
          </cell>
          <cell r="W721" t="str">
            <v>Xhelal Hajda, p.n. Rahovec</v>
          </cell>
          <cell r="X721">
            <v>1462</v>
          </cell>
          <cell r="AB721">
            <v>1712</v>
          </cell>
          <cell r="AC721">
            <v>4950</v>
          </cell>
          <cell r="AD721">
            <v>854</v>
          </cell>
          <cell r="AF721">
            <v>6300</v>
          </cell>
        </row>
        <row r="722">
          <cell r="A722">
            <v>720</v>
          </cell>
          <cell r="B722">
            <v>46135</v>
          </cell>
          <cell r="C722" t="str">
            <v>BENZ ML350 BlueTEC 4Matic</v>
          </cell>
          <cell r="D722" t="str">
            <v>BENZ</v>
          </cell>
          <cell r="E722" t="str">
            <v>ML350 BlueTEC 4Matic</v>
          </cell>
          <cell r="G722" t="str">
            <v>22머3819</v>
          </cell>
          <cell r="H722" t="str">
            <v>WDCDA2EB5EA349896</v>
          </cell>
          <cell r="I722">
            <v>46136</v>
          </cell>
          <cell r="J722" t="str">
            <v>경매장 -KCAR</v>
          </cell>
          <cell r="L722" t="str">
            <v>잔금</v>
          </cell>
          <cell r="N722">
            <v>900</v>
          </cell>
          <cell r="O722">
            <v>19</v>
          </cell>
          <cell r="P722">
            <v>0</v>
          </cell>
          <cell r="Q722" t="str">
            <v>DONE</v>
          </cell>
          <cell r="R722">
            <v>46150</v>
          </cell>
          <cell r="S722" t="str">
            <v xml:space="preserve">Andrea Kasa </v>
          </cell>
          <cell r="T722" t="str">
            <v xml:space="preserve">Andrea Kasa </v>
          </cell>
          <cell r="U722" t="str">
            <v>K30122016U</v>
          </cell>
          <cell r="V722" t="str">
            <v>355 69 746 2556</v>
          </cell>
          <cell r="W722" t="str">
            <v>Albania</v>
          </cell>
          <cell r="X722">
            <v>1462</v>
          </cell>
          <cell r="AB722">
            <v>1712</v>
          </cell>
          <cell r="AC722">
            <v>5307</v>
          </cell>
          <cell r="AD722">
            <v>1443</v>
          </cell>
          <cell r="AE722">
            <v>6750</v>
          </cell>
          <cell r="AF722">
            <v>8000</v>
          </cell>
        </row>
        <row r="723">
          <cell r="A723">
            <v>721</v>
          </cell>
          <cell r="B723">
            <v>46139</v>
          </cell>
          <cell r="C723" t="str">
            <v>BMW  X6</v>
          </cell>
          <cell r="D723" t="str">
            <v xml:space="preserve">BMW </v>
          </cell>
          <cell r="E723" t="str">
            <v>X6</v>
          </cell>
          <cell r="G723" t="str">
            <v>306수3905</v>
          </cell>
          <cell r="H723" t="str">
            <v>WBAGT8105M9G52763</v>
          </cell>
          <cell r="I723">
            <v>46149</v>
          </cell>
          <cell r="J723" t="str">
            <v>㈜ T-1 MOTORS</v>
          </cell>
          <cell r="L723" t="str">
            <v>잔금</v>
          </cell>
          <cell r="M723" t="str">
            <v>50만원 회사통장 계약</v>
          </cell>
          <cell r="N723">
            <v>4850</v>
          </cell>
          <cell r="P723">
            <v>0</v>
          </cell>
          <cell r="Q723" t="str">
            <v>done</v>
          </cell>
          <cell r="R723">
            <v>46154</v>
          </cell>
          <cell r="S723" t="str">
            <v>R.S.h L.L.C.</v>
          </cell>
          <cell r="T723" t="str">
            <v>R.Sh L.L.C.</v>
          </cell>
          <cell r="U723">
            <v>812326016</v>
          </cell>
          <cell r="V723" t="str">
            <v>+383486 611 61</v>
          </cell>
          <cell r="W723" t="str">
            <v>Kosovo</v>
          </cell>
          <cell r="X723">
            <v>1457</v>
          </cell>
          <cell r="AB723">
            <v>1709</v>
          </cell>
          <cell r="AC723">
            <v>23061.316559391456</v>
          </cell>
          <cell r="AD723">
            <v>1568.6834406085429</v>
          </cell>
          <cell r="AE723">
            <v>24630</v>
          </cell>
          <cell r="AF723">
            <v>9000</v>
          </cell>
        </row>
        <row r="724">
          <cell r="A724">
            <v>722</v>
          </cell>
          <cell r="B724">
            <v>46121</v>
          </cell>
          <cell r="C724" t="str">
            <v>KIA SORENTO</v>
          </cell>
          <cell r="D724" t="str">
            <v>KIA</v>
          </cell>
          <cell r="E724" t="str">
            <v>SORENTO</v>
          </cell>
          <cell r="G724" t="str">
            <v>35서1424</v>
          </cell>
          <cell r="H724" t="str">
            <v>KNAPS81ADFA056051</v>
          </cell>
          <cell r="J724" t="str">
            <v xml:space="preserve">경매장-AJ </v>
          </cell>
          <cell r="L724" t="str">
            <v>잔금</v>
          </cell>
          <cell r="N724">
            <v>750</v>
          </cell>
          <cell r="O724">
            <v>19</v>
          </cell>
          <cell r="P724">
            <v>0</v>
          </cell>
          <cell r="Q724" t="str">
            <v>done</v>
          </cell>
          <cell r="R724" t="str">
            <v>CON3</v>
          </cell>
          <cell r="S724" t="str">
            <v>MANTAS</v>
          </cell>
          <cell r="T724" t="str">
            <v>UAB GRALIS</v>
          </cell>
          <cell r="U724">
            <v>179285533</v>
          </cell>
          <cell r="V724" t="str">
            <v>370 (618) 11 666</v>
          </cell>
          <cell r="W724" t="str">
            <v xml:space="preserve">Jūros g. 33, Tauragė  </v>
          </cell>
          <cell r="X724">
            <v>1461</v>
          </cell>
          <cell r="AB724">
            <v>1712</v>
          </cell>
          <cell r="AC724">
            <v>5265</v>
          </cell>
          <cell r="AD724">
            <v>1334</v>
          </cell>
        </row>
        <row r="725">
          <cell r="A725">
            <v>723</v>
          </cell>
          <cell r="B725">
            <v>46140</v>
          </cell>
          <cell r="C725" t="str">
            <v>AUDI A5</v>
          </cell>
          <cell r="D725" t="str">
            <v>AUDI</v>
          </cell>
          <cell r="E725" t="str">
            <v>A5</v>
          </cell>
          <cell r="G725" t="str">
            <v>171두7980</v>
          </cell>
          <cell r="H725" t="str">
            <v>WAUZZZF5XMA002081</v>
          </cell>
          <cell r="I725">
            <v>46146</v>
          </cell>
          <cell r="J725" t="str">
            <v>㈜우송모터스</v>
          </cell>
          <cell r="L725" t="str">
            <v>잔금</v>
          </cell>
          <cell r="M725" t="str">
            <v>70만원 대표님 계약</v>
          </cell>
          <cell r="N725">
            <v>2800</v>
          </cell>
          <cell r="P725">
            <v>0</v>
          </cell>
          <cell r="Q725" t="str">
            <v>DONE</v>
          </cell>
          <cell r="R725">
            <v>46150</v>
          </cell>
          <cell r="S725" t="str">
            <v xml:space="preserve">EUROAUTO.AL </v>
          </cell>
          <cell r="T725" t="str">
            <v>Erion Gjergji</v>
          </cell>
          <cell r="U725" t="str">
            <v>I90516099R</v>
          </cell>
          <cell r="V725" t="str">
            <v>49 163 6979 099</v>
          </cell>
          <cell r="W725" t="str">
            <v>Albania</v>
          </cell>
          <cell r="X725">
            <v>1462</v>
          </cell>
          <cell r="AB725">
            <v>1712</v>
          </cell>
          <cell r="AC725">
            <v>15658</v>
          </cell>
          <cell r="AD725">
            <v>1272</v>
          </cell>
          <cell r="AE725">
            <v>16930</v>
          </cell>
          <cell r="AF725">
            <v>14820</v>
          </cell>
        </row>
        <row r="726">
          <cell r="A726">
            <v>724</v>
          </cell>
          <cell r="B726">
            <v>46140</v>
          </cell>
          <cell r="C726" t="str">
            <v xml:space="preserve">VOLKSWAGENS GOLF </v>
          </cell>
          <cell r="D726" t="str">
            <v>VOLKSWAGENS</v>
          </cell>
          <cell r="E726" t="str">
            <v xml:space="preserve">GOLF </v>
          </cell>
          <cell r="G726" t="str">
            <v>46구0262</v>
          </cell>
          <cell r="H726" t="str">
            <v>WVWZZZAUZGW147747</v>
          </cell>
          <cell r="I726">
            <v>46146</v>
          </cell>
          <cell r="J726" t="str">
            <v>㈜소로모터스</v>
          </cell>
          <cell r="L726" t="str">
            <v>잔금</v>
          </cell>
          <cell r="M726" t="str">
            <v>50만원 회사통장 계약</v>
          </cell>
          <cell r="N726">
            <v>1374</v>
          </cell>
          <cell r="Q726" t="str">
            <v>DONE</v>
          </cell>
          <cell r="R726">
            <v>46150</v>
          </cell>
          <cell r="S726" t="str">
            <v>DONI</v>
          </cell>
          <cell r="T726" t="str">
            <v>DONI</v>
          </cell>
          <cell r="U726">
            <v>933682</v>
          </cell>
          <cell r="V726" t="str">
            <v>3 8 3 4 9 3 2 5 7 0 3</v>
          </cell>
          <cell r="W726" t="str">
            <v xml:space="preserve"> HYZRI TALLA OB 16 HY 1 NR 18
 Kosovë</v>
          </cell>
          <cell r="X726">
            <v>1461</v>
          </cell>
          <cell r="AB726">
            <v>1729</v>
          </cell>
          <cell r="AC726">
            <v>7431</v>
          </cell>
          <cell r="AD726">
            <v>1259</v>
          </cell>
          <cell r="AE726">
            <v>8690</v>
          </cell>
        </row>
        <row r="727">
          <cell r="A727">
            <v>725</v>
          </cell>
          <cell r="B727">
            <v>46140</v>
          </cell>
          <cell r="C727" t="str">
            <v>RENAULT QM3</v>
          </cell>
          <cell r="D727" t="str">
            <v>RENAULT</v>
          </cell>
          <cell r="E727" t="str">
            <v>QM3</v>
          </cell>
          <cell r="G727" t="str">
            <v>47주0717</v>
          </cell>
          <cell r="H727" t="str">
            <v>VF12RGJ1DGW141447</v>
          </cell>
          <cell r="J727" t="str">
            <v>경매장-헤이딜러</v>
          </cell>
          <cell r="L727" t="str">
            <v>잔금</v>
          </cell>
          <cell r="P727">
            <v>0</v>
          </cell>
          <cell r="Q727" t="str">
            <v>done</v>
          </cell>
          <cell r="R727">
            <v>46154</v>
          </cell>
          <cell r="S727" t="str">
            <v>R.S.h L.L.C.</v>
          </cell>
          <cell r="T727" t="str">
            <v>R.Sh L.L.C.</v>
          </cell>
          <cell r="U727">
            <v>812326016</v>
          </cell>
          <cell r="V727" t="str">
            <v>+383486 611 61</v>
          </cell>
          <cell r="W727" t="str">
            <v>Kosovo</v>
          </cell>
          <cell r="AC727">
            <v>4040</v>
          </cell>
          <cell r="AE727">
            <v>4040</v>
          </cell>
        </row>
        <row r="728">
          <cell r="A728">
            <v>726</v>
          </cell>
          <cell r="B728">
            <v>46140</v>
          </cell>
          <cell r="C728" t="str">
            <v>BMW  118D</v>
          </cell>
          <cell r="D728" t="str">
            <v xml:space="preserve">BMW </v>
          </cell>
          <cell r="E728" t="str">
            <v>118D</v>
          </cell>
          <cell r="G728" t="str">
            <v>117보5369</v>
          </cell>
          <cell r="H728" t="str">
            <v>WBA1S5109G5D23809</v>
          </cell>
          <cell r="I728">
            <v>46148</v>
          </cell>
          <cell r="J728" t="str">
            <v>㈜ 차랑 차랑</v>
          </cell>
          <cell r="L728" t="str">
            <v>잔금</v>
          </cell>
          <cell r="M728" t="str">
            <v>50만원 회사통장 계약</v>
          </cell>
          <cell r="N728">
            <v>800</v>
          </cell>
          <cell r="Q728" t="str">
            <v>done</v>
          </cell>
          <cell r="R728">
            <v>46154</v>
          </cell>
          <cell r="S728" t="str">
            <v>Auto Posh SH.P.K</v>
          </cell>
          <cell r="T728" t="str">
            <v>Auto Posh SH.P.K</v>
          </cell>
          <cell r="U728">
            <v>812219427</v>
          </cell>
          <cell r="V728" t="str">
            <v>38345560145</v>
          </cell>
          <cell r="W728" t="str">
            <v>KOSOVO</v>
          </cell>
          <cell r="X728">
            <v>1461</v>
          </cell>
          <cell r="AB728">
            <v>1712</v>
          </cell>
          <cell r="AC728">
            <v>4598</v>
          </cell>
          <cell r="AD728">
            <v>1272</v>
          </cell>
          <cell r="AE728">
            <v>5870</v>
          </cell>
        </row>
        <row r="729">
          <cell r="A729">
            <v>727</v>
          </cell>
          <cell r="B729">
            <v>46140</v>
          </cell>
          <cell r="C729" t="str">
            <v>DISCOVERY SPORT</v>
          </cell>
          <cell r="D729" t="str">
            <v>DISCOVERY</v>
          </cell>
          <cell r="E729" t="str">
            <v>SPORT</v>
          </cell>
          <cell r="G729" t="str">
            <v>115루1384</v>
          </cell>
          <cell r="H729" t="str">
            <v>SALCA2BNXHH670756</v>
          </cell>
          <cell r="I729">
            <v>46149</v>
          </cell>
          <cell r="J729" t="str">
            <v>㈜ 주식회사 국민중고차</v>
          </cell>
          <cell r="L729" t="str">
            <v>잔금</v>
          </cell>
          <cell r="M729" t="str">
            <v>50만원 회사통장 계약</v>
          </cell>
          <cell r="N729">
            <v>784</v>
          </cell>
          <cell r="Q729" t="str">
            <v>done</v>
          </cell>
          <cell r="R729">
            <v>46154</v>
          </cell>
          <cell r="S729" t="str">
            <v>VILLA KOHA</v>
          </cell>
          <cell r="T729" t="str">
            <v>VILLA KOHA SH.P.K</v>
          </cell>
          <cell r="U729">
            <v>810039588</v>
          </cell>
          <cell r="V729" t="str">
            <v>383 49247777</v>
          </cell>
          <cell r="W729" t="str">
            <v>KOSOVO</v>
          </cell>
          <cell r="X729">
            <v>1461</v>
          </cell>
          <cell r="AB729">
            <v>1712</v>
          </cell>
          <cell r="AC729">
            <v>4523</v>
          </cell>
          <cell r="AD729">
            <v>1357</v>
          </cell>
          <cell r="AE729">
            <v>5880</v>
          </cell>
          <cell r="AF729">
            <v>5880</v>
          </cell>
        </row>
        <row r="730">
          <cell r="A730">
            <v>728</v>
          </cell>
          <cell r="B730">
            <v>46141</v>
          </cell>
          <cell r="C730" t="str">
            <v>AUDI A6</v>
          </cell>
          <cell r="D730" t="str">
            <v>AUDI</v>
          </cell>
          <cell r="E730" t="str">
            <v>A6</v>
          </cell>
          <cell r="G730" t="str">
            <v>43머3974</v>
          </cell>
          <cell r="H730" t="str">
            <v xml:space="preserve"> WAUZZZ4G4JN074029</v>
          </cell>
          <cell r="I730">
            <v>46141</v>
          </cell>
          <cell r="J730" t="str">
            <v>경매장 AJ</v>
          </cell>
          <cell r="L730" t="str">
            <v>잔금</v>
          </cell>
          <cell r="N730">
            <v>1487</v>
          </cell>
          <cell r="P730">
            <v>0</v>
          </cell>
          <cell r="Q730" t="str">
            <v>done</v>
          </cell>
          <cell r="S730" t="str">
            <v>AUTO SCOUT</v>
          </cell>
          <cell r="T730" t="str">
            <v>DONI</v>
          </cell>
          <cell r="U730">
            <v>933682</v>
          </cell>
          <cell r="V730" t="str">
            <v>3 8 3 4 9 3 2 5 7 0 3</v>
          </cell>
          <cell r="W730" t="str">
            <v xml:space="preserve"> HYZRI TALLA OB 16 HY 1 NR 18
 Kosovë</v>
          </cell>
          <cell r="X730">
            <v>1502</v>
          </cell>
          <cell r="AB730">
            <v>1741</v>
          </cell>
          <cell r="AC730">
            <v>8185</v>
          </cell>
          <cell r="AD730">
            <v>1415</v>
          </cell>
          <cell r="AE730">
            <v>9600</v>
          </cell>
        </row>
        <row r="731">
          <cell r="A731">
            <v>729</v>
          </cell>
          <cell r="B731">
            <v>46141</v>
          </cell>
          <cell r="C731" t="str">
            <v>AUDI A6</v>
          </cell>
          <cell r="D731" t="str">
            <v>AUDI</v>
          </cell>
          <cell r="E731" t="str">
            <v>A6</v>
          </cell>
          <cell r="G731" t="str">
            <v>21버4376</v>
          </cell>
          <cell r="H731" t="str">
            <v xml:space="preserve">WAUZZZ4G8JN063745 </v>
          </cell>
          <cell r="I731">
            <v>46141</v>
          </cell>
          <cell r="J731" t="str">
            <v>경매장 AJ</v>
          </cell>
          <cell r="L731" t="str">
            <v>잔금</v>
          </cell>
          <cell r="N731">
            <v>1087</v>
          </cell>
          <cell r="P731">
            <v>0</v>
          </cell>
          <cell r="Q731" t="str">
            <v>done</v>
          </cell>
          <cell r="S731" t="str">
            <v>AUTO SCOUT</v>
          </cell>
          <cell r="T731" t="str">
            <v>DONI</v>
          </cell>
          <cell r="U731">
            <v>933682</v>
          </cell>
          <cell r="V731" t="str">
            <v>3 8 3 4 9 3 2 5 7 0 3</v>
          </cell>
          <cell r="W731" t="str">
            <v xml:space="preserve"> HYZRI TALLA OB 16 HY 1 NR 18
 Kosovë</v>
          </cell>
          <cell r="X731">
            <v>1502</v>
          </cell>
          <cell r="AB731">
            <v>1741</v>
          </cell>
          <cell r="AC731">
            <v>6035</v>
          </cell>
          <cell r="AD731">
            <v>1415</v>
          </cell>
          <cell r="AE731">
            <v>7450</v>
          </cell>
        </row>
        <row r="732">
          <cell r="A732">
            <v>730</v>
          </cell>
          <cell r="B732">
            <v>46141</v>
          </cell>
          <cell r="C732" t="str">
            <v>BMW M3</v>
          </cell>
          <cell r="D732" t="str">
            <v>BMW</v>
          </cell>
          <cell r="E732" t="str">
            <v>M3</v>
          </cell>
          <cell r="G732" t="str">
            <v>61무2676</v>
          </cell>
          <cell r="H732" t="str">
            <v>WBSWD91029P305496</v>
          </cell>
          <cell r="I732">
            <v>46153</v>
          </cell>
          <cell r="J732" t="str">
            <v>개인매입-김재경-010 77247825</v>
          </cell>
          <cell r="L732" t="str">
            <v>잔금</v>
          </cell>
          <cell r="M732" t="str">
            <v>70만원 대표님 계약</v>
          </cell>
          <cell r="N732">
            <v>2250</v>
          </cell>
          <cell r="Q732" t="str">
            <v>done</v>
          </cell>
          <cell r="R732">
            <v>46155</v>
          </cell>
          <cell r="S732" t="str">
            <v>DAX IMPORT</v>
          </cell>
          <cell r="T732" t="str">
            <v xml:space="preserve">Michael Karl  </v>
          </cell>
          <cell r="U732" t="str">
            <v>LF9N8WZ16</v>
          </cell>
          <cell r="V732" t="str">
            <v>‪+49 471 94189050‬</v>
          </cell>
          <cell r="W732" t="str">
            <v xml:space="preserve">Dorfstr,33C,(82024) Taufkirchen, Germany </v>
          </cell>
          <cell r="X732">
            <v>1458</v>
          </cell>
          <cell r="AB732">
            <v>1708</v>
          </cell>
          <cell r="AC732">
            <v>12860</v>
          </cell>
        </row>
        <row r="733">
          <cell r="A733">
            <v>731</v>
          </cell>
          <cell r="B733">
            <v>46141</v>
          </cell>
          <cell r="C733" t="str">
            <v>HYUNDAI TUCSON</v>
          </cell>
          <cell r="D733" t="str">
            <v>HYUNDAI</v>
          </cell>
          <cell r="E733" t="str">
            <v>TUCSON</v>
          </cell>
          <cell r="G733" t="str">
            <v>49노8652</v>
          </cell>
          <cell r="H733" t="str">
            <v>KMHJ2815GGU032271</v>
          </cell>
          <cell r="I733">
            <v>46146</v>
          </cell>
          <cell r="J733" t="str">
            <v>㈜슬기로운 딜러 생황</v>
          </cell>
          <cell r="L733" t="str">
            <v>잔금</v>
          </cell>
          <cell r="M733" t="str">
            <v>50만원 대표님 계약</v>
          </cell>
          <cell r="N733">
            <v>850</v>
          </cell>
          <cell r="Q733" t="str">
            <v>DONE</v>
          </cell>
          <cell r="R733">
            <v>46150</v>
          </cell>
          <cell r="S733" t="str">
            <v>CALJA</v>
          </cell>
          <cell r="T733" t="str">
            <v>HYSOLLI MARKO</v>
          </cell>
          <cell r="U733" t="str">
            <v>J80706016I</v>
          </cell>
          <cell r="V733" t="str">
            <v>355 69 550 5533</v>
          </cell>
          <cell r="W733" t="str">
            <v>Albania</v>
          </cell>
          <cell r="X733">
            <v>1458</v>
          </cell>
          <cell r="AB733">
            <v>1708</v>
          </cell>
          <cell r="AC733">
            <v>4772</v>
          </cell>
          <cell r="AD733">
            <v>1358</v>
          </cell>
          <cell r="AE733">
            <v>6130</v>
          </cell>
          <cell r="AF733">
            <v>6130</v>
          </cell>
        </row>
        <row r="734">
          <cell r="A734">
            <v>732</v>
          </cell>
          <cell r="B734">
            <v>46141</v>
          </cell>
          <cell r="C734" t="str">
            <v>HYUNDAI TUCSON</v>
          </cell>
          <cell r="D734" t="str">
            <v>HYUNDAI</v>
          </cell>
          <cell r="E734" t="str">
            <v>TUCSON</v>
          </cell>
          <cell r="G734" t="str">
            <v>11오2923</v>
          </cell>
          <cell r="H734" t="str">
            <v>KMHJ3815GGU021873</v>
          </cell>
          <cell r="I734">
            <v>46148</v>
          </cell>
          <cell r="J734" t="str">
            <v>㈜엘모터스</v>
          </cell>
          <cell r="L734" t="str">
            <v>잔금</v>
          </cell>
          <cell r="M734" t="str">
            <v>50만원 회사통장 계약</v>
          </cell>
          <cell r="N734">
            <v>820</v>
          </cell>
          <cell r="Q734" t="str">
            <v>DONE</v>
          </cell>
          <cell r="R734">
            <v>46150</v>
          </cell>
          <cell r="S734" t="str">
            <v>CALJA</v>
          </cell>
          <cell r="T734" t="str">
            <v>IBRAHIMI KATERINA</v>
          </cell>
          <cell r="U734" t="str">
            <v>K45805024E</v>
          </cell>
          <cell r="V734" t="str">
            <v>355 69 550 5533</v>
          </cell>
          <cell r="W734" t="str">
            <v>Albania</v>
          </cell>
          <cell r="X734">
            <v>1458</v>
          </cell>
          <cell r="AB734">
            <v>1708</v>
          </cell>
          <cell r="AC734">
            <v>4702.7283372365337</v>
          </cell>
          <cell r="AD734">
            <v>1357.2716627634661</v>
          </cell>
          <cell r="AE734">
            <v>6060</v>
          </cell>
          <cell r="AF734">
            <v>9660</v>
          </cell>
        </row>
        <row r="735">
          <cell r="A735">
            <v>733</v>
          </cell>
          <cell r="B735">
            <v>46142</v>
          </cell>
          <cell r="C735" t="str">
            <v>JAGUAR E-PACED180</v>
          </cell>
          <cell r="D735" t="str">
            <v>JAGUAR</v>
          </cell>
          <cell r="E735" t="str">
            <v>E-PACED180</v>
          </cell>
          <cell r="G735" t="str">
            <v>237저5257</v>
          </cell>
          <cell r="H735" t="str">
            <v>SADFA2BN7K1Z69887</v>
          </cell>
          <cell r="I735">
            <v>46149</v>
          </cell>
          <cell r="J735" t="str">
            <v>㈜오토팰리스</v>
          </cell>
          <cell r="L735" t="str">
            <v>잔금</v>
          </cell>
          <cell r="M735" t="str">
            <v>50만원 대표님 계약</v>
          </cell>
          <cell r="N735">
            <v>1070</v>
          </cell>
          <cell r="Q735" t="str">
            <v>done</v>
          </cell>
          <cell r="R735">
            <v>46154</v>
          </cell>
          <cell r="S735" t="str">
            <v>VILLA KOHA</v>
          </cell>
          <cell r="T735" t="str">
            <v>VILLA KOHA SH.P.K</v>
          </cell>
          <cell r="U735">
            <v>810039588</v>
          </cell>
          <cell r="V735" t="str">
            <v>383 49247777</v>
          </cell>
          <cell r="W735" t="str">
            <v>KOSOVO</v>
          </cell>
          <cell r="X735">
            <v>1471</v>
          </cell>
          <cell r="AB735">
            <v>1717</v>
          </cell>
          <cell r="AC735">
            <v>6123.476994758299</v>
          </cell>
          <cell r="AD735">
            <v>1276.5230052417007</v>
          </cell>
          <cell r="AE735">
            <v>7400</v>
          </cell>
          <cell r="AF735">
            <v>7400</v>
          </cell>
        </row>
        <row r="736">
          <cell r="A736">
            <v>734</v>
          </cell>
          <cell r="B736">
            <v>46142</v>
          </cell>
          <cell r="C736" t="str">
            <v>VOLKSWAGENS TIGUAN</v>
          </cell>
          <cell r="D736" t="str">
            <v>VOLKSWAGENS</v>
          </cell>
          <cell r="E736" t="str">
            <v>TIGUAN</v>
          </cell>
          <cell r="G736" t="str">
            <v>61로3203</v>
          </cell>
          <cell r="H736" t="str">
            <v>WVGZZZ5NZJW923430</v>
          </cell>
          <cell r="I736">
            <v>46149</v>
          </cell>
          <cell r="J736" t="str">
            <v>㈜참좋은 자동차</v>
          </cell>
          <cell r="L736" t="str">
            <v>잔금</v>
          </cell>
          <cell r="M736" t="str">
            <v>70만원 회사통장 계약</v>
          </cell>
          <cell r="N736">
            <v>1830</v>
          </cell>
          <cell r="Q736" t="str">
            <v>done</v>
          </cell>
          <cell r="R736">
            <v>46154</v>
          </cell>
          <cell r="S736" t="str">
            <v>VILLA KOHA</v>
          </cell>
          <cell r="T736" t="str">
            <v>VILLA KOHA SH.P.K</v>
          </cell>
          <cell r="U736">
            <v>810039588</v>
          </cell>
          <cell r="V736" t="str">
            <v>383 49247777</v>
          </cell>
          <cell r="W736" t="str">
            <v>KOSOVO</v>
          </cell>
          <cell r="X736">
            <v>1471</v>
          </cell>
          <cell r="AB736">
            <v>1717</v>
          </cell>
          <cell r="AC736">
            <v>10237.80430984275</v>
          </cell>
          <cell r="AD736">
            <v>1362.195690157251</v>
          </cell>
          <cell r="AE736">
            <v>11600</v>
          </cell>
          <cell r="AF736">
            <v>11600</v>
          </cell>
        </row>
        <row r="737">
          <cell r="A737">
            <v>735</v>
          </cell>
          <cell r="B737">
            <v>46142</v>
          </cell>
          <cell r="C737" t="str">
            <v>AUDI A4</v>
          </cell>
          <cell r="D737" t="str">
            <v>AUDI</v>
          </cell>
          <cell r="E737" t="str">
            <v>A4</v>
          </cell>
          <cell r="G737" t="str">
            <v>58러0374</v>
          </cell>
          <cell r="H737" t="str">
            <v xml:space="preserve">WAUZZZ8K4GN015330 </v>
          </cell>
          <cell r="J737" t="str">
            <v>㈜경매장</v>
          </cell>
          <cell r="L737" t="str">
            <v>잔금</v>
          </cell>
          <cell r="N737">
            <v>550</v>
          </cell>
          <cell r="O737">
            <v>16</v>
          </cell>
          <cell r="P737">
            <v>0</v>
          </cell>
          <cell r="Q737" t="str">
            <v>done</v>
          </cell>
          <cell r="R737">
            <v>46154</v>
          </cell>
          <cell r="S737" t="str">
            <v>GERSI</v>
          </cell>
          <cell r="T737" t="str">
            <v>GJINI elvira</v>
          </cell>
          <cell r="U737" t="str">
            <v>k15504055Q</v>
          </cell>
          <cell r="V737" t="str">
            <v>355 69 671 9810</v>
          </cell>
          <cell r="W737" t="str">
            <v>Beharedin Mitarja,Elbasan,Albania</v>
          </cell>
          <cell r="X737">
            <v>1471</v>
          </cell>
          <cell r="AB737">
            <v>1717</v>
          </cell>
          <cell r="AC737">
            <v>3363.476994758299</v>
          </cell>
          <cell r="AD737">
            <v>1276.5230052417007</v>
          </cell>
          <cell r="AE737">
            <v>4640</v>
          </cell>
          <cell r="AF737">
            <v>4640</v>
          </cell>
        </row>
        <row r="738">
          <cell r="A738">
            <v>736</v>
          </cell>
          <cell r="B738">
            <v>46142</v>
          </cell>
          <cell r="C738" t="str">
            <v>KIA STONIC</v>
          </cell>
          <cell r="D738" t="str">
            <v>KIA</v>
          </cell>
          <cell r="E738" t="str">
            <v>STONIC</v>
          </cell>
          <cell r="G738" t="str">
            <v>05루4183</v>
          </cell>
          <cell r="H738" t="str">
            <v>KNADE815GJS167008</v>
          </cell>
          <cell r="I738">
            <v>46149</v>
          </cell>
          <cell r="L738" t="str">
            <v>잔금</v>
          </cell>
          <cell r="M738" t="str">
            <v>50만원 회사통장 계약</v>
          </cell>
          <cell r="N738">
            <v>730</v>
          </cell>
          <cell r="P738">
            <v>0</v>
          </cell>
          <cell r="Q738" t="str">
            <v>done</v>
          </cell>
          <cell r="R738">
            <v>46154</v>
          </cell>
          <cell r="S738" t="str">
            <v>R.S.h L.L.C.</v>
          </cell>
          <cell r="T738" t="str">
            <v>R.Sh L.L.C.</v>
          </cell>
          <cell r="U738">
            <v>812326016</v>
          </cell>
          <cell r="V738" t="str">
            <v>+383486 611 61</v>
          </cell>
          <cell r="W738" t="str">
            <v>Kosovo</v>
          </cell>
          <cell r="X738">
            <v>1457</v>
          </cell>
          <cell r="AB738">
            <v>1709</v>
          </cell>
          <cell r="AC738">
            <v>4241.8256290228201</v>
          </cell>
          <cell r="AD738">
            <v>1398.1743709771797</v>
          </cell>
          <cell r="AE738">
            <v>5640</v>
          </cell>
        </row>
        <row r="739">
          <cell r="A739">
            <v>737</v>
          </cell>
          <cell r="B739">
            <v>46146</v>
          </cell>
          <cell r="C739" t="str">
            <v>AUDI A4</v>
          </cell>
          <cell r="D739" t="str">
            <v>AUDI</v>
          </cell>
          <cell r="E739" t="str">
            <v>A4</v>
          </cell>
          <cell r="G739" t="str">
            <v>40러1156</v>
          </cell>
          <cell r="H739" t="str">
            <v>WAUZZZ8K9EA149478</v>
          </cell>
          <cell r="I739">
            <v>46148</v>
          </cell>
          <cell r="J739" t="str">
            <v>㈜카올렛</v>
          </cell>
          <cell r="L739" t="str">
            <v>잔금</v>
          </cell>
          <cell r="M739" t="str">
            <v>50만원 대표님 계약</v>
          </cell>
          <cell r="N739">
            <v>475</v>
          </cell>
          <cell r="P739">
            <v>0</v>
          </cell>
          <cell r="Q739" t="str">
            <v>done</v>
          </cell>
          <cell r="R739">
            <v>46154</v>
          </cell>
          <cell r="S739" t="str">
            <v>CALJA</v>
          </cell>
          <cell r="T739" t="str">
            <v>HYSI MARTIN</v>
          </cell>
          <cell r="U739" t="str">
            <v>K60522039E</v>
          </cell>
          <cell r="V739" t="str">
            <v>355 69 550 5533</v>
          </cell>
          <cell r="W739" t="str">
            <v>Albania</v>
          </cell>
          <cell r="X739">
            <v>1457</v>
          </cell>
          <cell r="AB739">
            <v>1709</v>
          </cell>
          <cell r="AC739">
            <v>2879.7074312463428</v>
          </cell>
          <cell r="AD739">
            <v>1270.2925687536572</v>
          </cell>
          <cell r="AE739">
            <v>4150</v>
          </cell>
          <cell r="AF739">
            <v>5070</v>
          </cell>
        </row>
        <row r="740">
          <cell r="A740">
            <v>738</v>
          </cell>
          <cell r="B740">
            <v>46146</v>
          </cell>
          <cell r="C740" t="str">
            <v>BENZ GLA</v>
          </cell>
          <cell r="D740" t="str">
            <v>BENZ</v>
          </cell>
          <cell r="E740" t="str">
            <v>GLA</v>
          </cell>
          <cell r="G740" t="str">
            <v>45거3581</v>
          </cell>
          <cell r="H740" t="str">
            <v>WDCTG0CB4FJ148803</v>
          </cell>
          <cell r="I740">
            <v>46148</v>
          </cell>
          <cell r="J740" t="str">
            <v>㈜ 와이비모터스</v>
          </cell>
          <cell r="L740" t="str">
            <v>잔금</v>
          </cell>
          <cell r="M740" t="str">
            <v>50만원 대표님 계약</v>
          </cell>
          <cell r="N740">
            <v>1036</v>
          </cell>
          <cell r="O740">
            <v>44</v>
          </cell>
          <cell r="P740">
            <v>1080</v>
          </cell>
          <cell r="Q740" t="str">
            <v>done</v>
          </cell>
          <cell r="R740">
            <v>46154</v>
          </cell>
          <cell r="S740" t="str">
            <v xml:space="preserve">Andrea Kasa </v>
          </cell>
          <cell r="T740" t="str">
            <v xml:space="preserve">Andrea Kasa </v>
          </cell>
          <cell r="U740" t="str">
            <v>K30122016U</v>
          </cell>
          <cell r="V740" t="str">
            <v>355 69 746 2556</v>
          </cell>
          <cell r="W740" t="str">
            <v>Albania</v>
          </cell>
          <cell r="X740">
            <v>1457</v>
          </cell>
          <cell r="AB740">
            <v>1709</v>
          </cell>
          <cell r="AC740">
            <v>6044.452896430661</v>
          </cell>
          <cell r="AD740">
            <v>1355.5471035693388</v>
          </cell>
          <cell r="AE740">
            <v>7400</v>
          </cell>
        </row>
        <row r="741">
          <cell r="A741">
            <v>739</v>
          </cell>
          <cell r="B741">
            <v>46146</v>
          </cell>
          <cell r="C741" t="str">
            <v>McLaren 675LT</v>
          </cell>
          <cell r="D741" t="str">
            <v>McLaren</v>
          </cell>
          <cell r="E741" t="str">
            <v>675LT</v>
          </cell>
          <cell r="G741" t="str">
            <v>06노0655</v>
          </cell>
          <cell r="H741" t="str">
            <v>SBM11RAB1GW675232</v>
          </cell>
          <cell r="I741">
            <v>46153</v>
          </cell>
          <cell r="J741" t="str">
            <v>㈜투제이모터웍스</v>
          </cell>
          <cell r="K741" t="str">
            <v>HEYMAN</v>
          </cell>
          <cell r="L741" t="str">
            <v>잔금</v>
          </cell>
          <cell r="M741" t="str">
            <v>300만원 대표님 계약</v>
          </cell>
          <cell r="N741" t="str">
            <v>2억5백</v>
          </cell>
          <cell r="P741">
            <v>0</v>
          </cell>
          <cell r="Q741" t="str">
            <v>done</v>
          </cell>
          <cell r="S741" t="str">
            <v>JOHN</v>
          </cell>
          <cell r="X741">
            <v>1457</v>
          </cell>
          <cell r="AB741">
            <v>1709</v>
          </cell>
          <cell r="AC741">
            <v>0</v>
          </cell>
        </row>
        <row r="742">
          <cell r="A742">
            <v>740</v>
          </cell>
          <cell r="B742">
            <v>46146</v>
          </cell>
          <cell r="C742" t="str">
            <v>AUDI A6</v>
          </cell>
          <cell r="D742" t="str">
            <v>AUDI</v>
          </cell>
          <cell r="E742" t="str">
            <v>A6</v>
          </cell>
          <cell r="G742" t="str">
            <v>13누0931</v>
          </cell>
          <cell r="H742" t="str">
            <v>WAUZZZ4GXGN122299</v>
          </cell>
          <cell r="I742">
            <v>46150</v>
          </cell>
          <cell r="J742" t="str">
            <v>㈜진심오토</v>
          </cell>
          <cell r="L742" t="str">
            <v>잔금</v>
          </cell>
          <cell r="M742" t="str">
            <v>50만원 대표님 계약</v>
          </cell>
          <cell r="N742">
            <v>1310</v>
          </cell>
          <cell r="P742">
            <v>1310</v>
          </cell>
          <cell r="Q742" t="str">
            <v>DONE</v>
          </cell>
          <cell r="R742">
            <v>46155</v>
          </cell>
          <cell r="S742" t="str">
            <v>VILLA KOHA</v>
          </cell>
          <cell r="T742" t="str">
            <v>VILLA KOHA SH.P.K</v>
          </cell>
          <cell r="U742">
            <v>810039588</v>
          </cell>
          <cell r="V742" t="str">
            <v>383 49247777</v>
          </cell>
          <cell r="W742" t="str">
            <v>KOSOVO</v>
          </cell>
          <cell r="X742">
            <v>1457</v>
          </cell>
          <cell r="AB742">
            <v>1709</v>
          </cell>
          <cell r="AC742">
            <v>7301.8256290228201</v>
          </cell>
          <cell r="AD742">
            <v>1398.1743709771797</v>
          </cell>
          <cell r="AE742">
            <v>8700</v>
          </cell>
          <cell r="AF742">
            <v>8600</v>
          </cell>
        </row>
        <row r="743">
          <cell r="A743">
            <v>741</v>
          </cell>
          <cell r="B743">
            <v>46146</v>
          </cell>
          <cell r="C743" t="str">
            <v>DISCOVERY SPORT</v>
          </cell>
          <cell r="D743" t="str">
            <v>DISCOVERY</v>
          </cell>
          <cell r="E743" t="str">
            <v>SPORT</v>
          </cell>
          <cell r="G743" t="str">
            <v>07버5628</v>
          </cell>
          <cell r="H743" t="str">
            <v>SALCA2BN3HH682215</v>
          </cell>
          <cell r="I743">
            <v>46150</v>
          </cell>
          <cell r="J743" t="str">
            <v>㈜오토월드계륭</v>
          </cell>
          <cell r="L743" t="str">
            <v>잔금</v>
          </cell>
          <cell r="M743" t="str">
            <v>50만원 대표님 계약</v>
          </cell>
          <cell r="N743">
            <v>810</v>
          </cell>
          <cell r="P743">
            <v>810</v>
          </cell>
          <cell r="Q743" t="str">
            <v>DONE</v>
          </cell>
          <cell r="R743" t="str">
            <v>26,05,15</v>
          </cell>
          <cell r="S743" t="str">
            <v>VILLA KOHA</v>
          </cell>
          <cell r="T743" t="str">
            <v>VILLA KOHA SH.P.K</v>
          </cell>
          <cell r="U743">
            <v>810039588</v>
          </cell>
          <cell r="V743" t="str">
            <v>383 49247777</v>
          </cell>
          <cell r="W743" t="str">
            <v>KOSOVO</v>
          </cell>
          <cell r="X743">
            <v>1457</v>
          </cell>
          <cell r="AB743">
            <v>1709</v>
          </cell>
          <cell r="AC743">
            <v>4676.5710942071382</v>
          </cell>
          <cell r="AD743">
            <v>1483.4289057928613</v>
          </cell>
          <cell r="AE743">
            <v>6160</v>
          </cell>
          <cell r="AF743">
            <v>6060</v>
          </cell>
        </row>
        <row r="744">
          <cell r="A744">
            <v>742</v>
          </cell>
          <cell r="B744">
            <v>46146</v>
          </cell>
          <cell r="C744" t="str">
            <v>JAGUAR XF 20D</v>
          </cell>
          <cell r="D744" t="str">
            <v>JAGUAR</v>
          </cell>
          <cell r="E744" t="str">
            <v>XF 20D</v>
          </cell>
          <cell r="G744" t="str">
            <v>339너4346</v>
          </cell>
          <cell r="H744" t="str">
            <v xml:space="preserve"> SAJBA4BN9HCY29280</v>
          </cell>
          <cell r="I744">
            <v>46149</v>
          </cell>
          <cell r="J744" t="str">
            <v>㈜ 왕카</v>
          </cell>
          <cell r="L744" t="str">
            <v>잔금</v>
          </cell>
          <cell r="M744" t="str">
            <v>50만원 대표님 계약</v>
          </cell>
          <cell r="N744">
            <v>750</v>
          </cell>
          <cell r="P744">
            <v>750</v>
          </cell>
          <cell r="Q744" t="str">
            <v>done</v>
          </cell>
          <cell r="R744" t="str">
            <v>26.05.14</v>
          </cell>
          <cell r="S744" t="str">
            <v>VILLA KOHA</v>
          </cell>
          <cell r="T744" t="str">
            <v>VILLA KOHA SH.P.K</v>
          </cell>
          <cell r="U744">
            <v>810039588</v>
          </cell>
          <cell r="V744" t="str">
            <v>383 49247777</v>
          </cell>
          <cell r="W744" t="str">
            <v>KOSOVO</v>
          </cell>
          <cell r="X744">
            <v>1457</v>
          </cell>
          <cell r="AB744">
            <v>1709</v>
          </cell>
          <cell r="AC744">
            <v>4301.8256290228201</v>
          </cell>
          <cell r="AD744">
            <v>1398.1743709771797</v>
          </cell>
          <cell r="AE744">
            <v>5700</v>
          </cell>
          <cell r="AF744">
            <v>5600</v>
          </cell>
        </row>
        <row r="745">
          <cell r="A745">
            <v>743</v>
          </cell>
          <cell r="B745">
            <v>46146</v>
          </cell>
          <cell r="C745" t="str">
            <v>TOYOTA RAV4</v>
          </cell>
          <cell r="D745" t="str">
            <v>TOYOTA</v>
          </cell>
          <cell r="E745" t="str">
            <v>RAV4</v>
          </cell>
          <cell r="G745" t="str">
            <v>65러7653</v>
          </cell>
          <cell r="H745" t="str">
            <v xml:space="preserve">JTMW2RFV5KD018744 </v>
          </cell>
          <cell r="I745">
            <v>46149</v>
          </cell>
          <cell r="L745" t="str">
            <v>잔금</v>
          </cell>
          <cell r="M745" t="str">
            <v>70만원 회사통장 계약</v>
          </cell>
          <cell r="N745">
            <v>2760</v>
          </cell>
          <cell r="P745">
            <v>2760</v>
          </cell>
          <cell r="Q745" t="str">
            <v>done</v>
          </cell>
          <cell r="R745">
            <v>46154</v>
          </cell>
          <cell r="S745" t="str">
            <v>ATLAS GROUP SH.P.K</v>
          </cell>
          <cell r="T745" t="str">
            <v>ATLAS GROUP SH.P.K</v>
          </cell>
          <cell r="U745">
            <v>812137455</v>
          </cell>
          <cell r="V745" t="str">
            <v>+38348702207</v>
          </cell>
          <cell r="W745" t="str">
            <v>Xhelal Hajda, p.n. Rahovec</v>
          </cell>
          <cell r="X745">
            <v>1457</v>
          </cell>
          <cell r="AB745">
            <v>1709</v>
          </cell>
          <cell r="AC745">
            <v>15296.571094207138</v>
          </cell>
          <cell r="AD745">
            <v>1483.4289057928613</v>
          </cell>
          <cell r="AE745">
            <v>16780</v>
          </cell>
          <cell r="AF745">
            <v>16780</v>
          </cell>
        </row>
        <row r="746">
          <cell r="A746">
            <v>744</v>
          </cell>
          <cell r="B746">
            <v>46146</v>
          </cell>
          <cell r="C746" t="str">
            <v>AUDI Q7</v>
          </cell>
          <cell r="D746" t="str">
            <v>AUDI</v>
          </cell>
          <cell r="E746" t="str">
            <v>Q7</v>
          </cell>
          <cell r="G746" t="str">
            <v>113부8297</v>
          </cell>
          <cell r="H746" t="str">
            <v>WAUZZZ4M9PD009925</v>
          </cell>
          <cell r="I746">
            <v>46149</v>
          </cell>
          <cell r="J746" t="str">
            <v>㈜오토핸즈</v>
          </cell>
          <cell r="L746" t="str">
            <v>잔금</v>
          </cell>
          <cell r="M746" t="str">
            <v>100만원 회사통장 계약</v>
          </cell>
          <cell r="N746">
            <v>6320</v>
          </cell>
          <cell r="P746">
            <v>6320</v>
          </cell>
          <cell r="Q746" t="str">
            <v>done</v>
          </cell>
          <cell r="R746">
            <v>46154</v>
          </cell>
          <cell r="S746" t="str">
            <v>CALJA</v>
          </cell>
          <cell r="T746" t="str">
            <v>BELSHI ANDI</v>
          </cell>
          <cell r="U746" t="str">
            <v>I60512013F</v>
          </cell>
          <cell r="V746" t="str">
            <v>355 69 550 5533</v>
          </cell>
          <cell r="W746" t="str">
            <v>Albania</v>
          </cell>
          <cell r="X746">
            <v>1457</v>
          </cell>
          <cell r="AB746">
            <v>1709</v>
          </cell>
          <cell r="AC746">
            <v>34561.31655939146</v>
          </cell>
          <cell r="AD746">
            <v>1568.6834406085429</v>
          </cell>
          <cell r="AE746">
            <v>36130</v>
          </cell>
          <cell r="AF746">
            <v>27400</v>
          </cell>
        </row>
        <row r="747">
          <cell r="A747">
            <v>745</v>
          </cell>
          <cell r="B747">
            <v>46146</v>
          </cell>
          <cell r="C747" t="str">
            <v>AUDI Q3</v>
          </cell>
          <cell r="D747" t="str">
            <v>AUDI</v>
          </cell>
          <cell r="E747" t="str">
            <v>Q3</v>
          </cell>
          <cell r="G747" t="str">
            <v>30구0675</v>
          </cell>
          <cell r="H747" t="str">
            <v>WAUZZZ8U5GR030414</v>
          </cell>
          <cell r="I747">
            <v>46149</v>
          </cell>
          <cell r="L747" t="str">
            <v>잔금</v>
          </cell>
          <cell r="M747" t="str">
            <v>70만원 대표님 계약</v>
          </cell>
          <cell r="N747">
            <v>1590</v>
          </cell>
          <cell r="P747">
            <v>1590</v>
          </cell>
          <cell r="Q747" t="str">
            <v>done</v>
          </cell>
          <cell r="R747">
            <v>46154</v>
          </cell>
          <cell r="S747" t="str">
            <v>R.S.h L.L.C.</v>
          </cell>
          <cell r="T747" t="str">
            <v>R.Sh L.L.C.</v>
          </cell>
          <cell r="U747">
            <v>812326016</v>
          </cell>
          <cell r="V747" t="str">
            <v>+383486 611 61</v>
          </cell>
          <cell r="W747" t="str">
            <v>Kosovo</v>
          </cell>
          <cell r="X747">
            <v>1457</v>
          </cell>
          <cell r="AB747">
            <v>1709</v>
          </cell>
          <cell r="AC747">
            <v>8946.5710942071382</v>
          </cell>
          <cell r="AD747">
            <v>1483.4289057928613</v>
          </cell>
          <cell r="AE747">
            <v>10430</v>
          </cell>
        </row>
        <row r="748">
          <cell r="A748">
            <v>746</v>
          </cell>
          <cell r="B748">
            <v>46146</v>
          </cell>
          <cell r="C748" t="str">
            <v>FERRARI California.</v>
          </cell>
          <cell r="D748" t="str">
            <v>FERRARI</v>
          </cell>
          <cell r="E748" t="str">
            <v>California.</v>
          </cell>
          <cell r="G748" t="str">
            <v>145보2909</v>
          </cell>
          <cell r="H748" t="str">
            <v>ZFF65LJA7A0172713</v>
          </cell>
          <cell r="I748">
            <v>46154</v>
          </cell>
          <cell r="L748" t="str">
            <v>잔금</v>
          </cell>
          <cell r="M748" t="str">
            <v>100만원 대표님 계약</v>
          </cell>
          <cell r="N748">
            <v>8350</v>
          </cell>
          <cell r="Q748" t="str">
            <v>done</v>
          </cell>
          <cell r="S748" t="str">
            <v>JOHN</v>
          </cell>
          <cell r="X748">
            <v>1457</v>
          </cell>
          <cell r="AB748">
            <v>1709</v>
          </cell>
          <cell r="AC748">
            <v>7400</v>
          </cell>
          <cell r="AE748">
            <v>7400</v>
          </cell>
        </row>
        <row r="749">
          <cell r="A749">
            <v>747</v>
          </cell>
          <cell r="B749">
            <v>46148</v>
          </cell>
          <cell r="C749" t="str">
            <v>KIA CARNIVAL</v>
          </cell>
          <cell r="D749" t="str">
            <v>KIA</v>
          </cell>
          <cell r="E749" t="str">
            <v>CARNIVAL</v>
          </cell>
          <cell r="G749" t="str">
            <v>42호4716</v>
          </cell>
          <cell r="H749" t="str">
            <v>KNAMC81ABKS547676</v>
          </cell>
          <cell r="I749">
            <v>46149</v>
          </cell>
          <cell r="J749" t="str">
            <v>경매장 - AJ</v>
          </cell>
          <cell r="K749" t="str">
            <v>HEYMAN</v>
          </cell>
          <cell r="L749" t="str">
            <v>잔금</v>
          </cell>
          <cell r="N749">
            <v>730</v>
          </cell>
          <cell r="O749">
            <v>18</v>
          </cell>
          <cell r="Q749" t="str">
            <v>DONE</v>
          </cell>
          <cell r="R749">
            <v>42516</v>
          </cell>
          <cell r="S749" t="str">
            <v>MANTAS</v>
          </cell>
          <cell r="T749" t="str">
            <v>UAB GRALIS</v>
          </cell>
          <cell r="U749">
            <v>179285533</v>
          </cell>
          <cell r="V749" t="str">
            <v>370 (618) 11 666</v>
          </cell>
          <cell r="W749" t="str">
            <v xml:space="preserve">Jūros g. 33, Tauragė  </v>
          </cell>
          <cell r="X749">
            <v>1479</v>
          </cell>
          <cell r="AC749">
            <v>0</v>
          </cell>
        </row>
        <row r="750">
          <cell r="A750">
            <v>748</v>
          </cell>
          <cell r="B750">
            <v>46148</v>
          </cell>
          <cell r="C750" t="str">
            <v>KIA CARNIVAL</v>
          </cell>
          <cell r="D750" t="str">
            <v>KIA</v>
          </cell>
          <cell r="E750" t="str">
            <v>CARNIVAL</v>
          </cell>
          <cell r="G750" t="str">
            <v>13거5673</v>
          </cell>
          <cell r="H750" t="str">
            <v>KNAMC81ABJS441997</v>
          </cell>
          <cell r="I750">
            <v>46149</v>
          </cell>
          <cell r="J750" t="str">
            <v>경매장 - AJ</v>
          </cell>
          <cell r="K750" t="str">
            <v>HEYMAN</v>
          </cell>
          <cell r="L750" t="str">
            <v>잔금</v>
          </cell>
          <cell r="N750">
            <v>720</v>
          </cell>
          <cell r="O750">
            <v>18</v>
          </cell>
          <cell r="Q750" t="str">
            <v>DONE</v>
          </cell>
          <cell r="R750">
            <v>42516</v>
          </cell>
          <cell r="S750" t="str">
            <v>MANTAS</v>
          </cell>
          <cell r="T750" t="str">
            <v>UAB GRALIS</v>
          </cell>
          <cell r="U750">
            <v>179285533</v>
          </cell>
          <cell r="V750" t="str">
            <v>370 (618) 11 666</v>
          </cell>
          <cell r="W750" t="str">
            <v xml:space="preserve">Jūros g. 33, Tauragė  </v>
          </cell>
          <cell r="X750">
            <v>1479</v>
          </cell>
          <cell r="AC750">
            <v>0</v>
          </cell>
        </row>
        <row r="751">
          <cell r="A751">
            <v>749</v>
          </cell>
          <cell r="B751">
            <v>46148</v>
          </cell>
          <cell r="C751" t="str">
            <v>AUDI A4</v>
          </cell>
          <cell r="D751" t="str">
            <v>AUDI</v>
          </cell>
          <cell r="E751" t="str">
            <v>A4</v>
          </cell>
          <cell r="G751" t="str">
            <v>167거4016</v>
          </cell>
          <cell r="H751" t="str">
            <v>WAUZZZF41LN010522</v>
          </cell>
          <cell r="I751">
            <v>46150</v>
          </cell>
          <cell r="L751" t="str">
            <v>잔금</v>
          </cell>
          <cell r="M751" t="str">
            <v>70만원 회사통장 계약</v>
          </cell>
          <cell r="N751">
            <v>2490</v>
          </cell>
          <cell r="O751">
            <v>44</v>
          </cell>
          <cell r="Q751" t="str">
            <v>done</v>
          </cell>
          <cell r="R751">
            <v>46154</v>
          </cell>
          <cell r="S751" t="str">
            <v>AUTO GALLERY DIOR SHPK</v>
          </cell>
          <cell r="T751" t="str">
            <v>AUTO GALLERY DIOR SHPK</v>
          </cell>
          <cell r="U751">
            <v>812050409</v>
          </cell>
          <cell r="V751" t="str">
            <v>383 44 900 906</v>
          </cell>
          <cell r="W751" t="str">
            <v>Kosovo</v>
          </cell>
          <cell r="X751">
            <v>1448</v>
          </cell>
          <cell r="AB751">
            <v>1696</v>
          </cell>
          <cell r="AC751">
            <v>14100</v>
          </cell>
          <cell r="AD751">
            <v>1400</v>
          </cell>
          <cell r="AE751">
            <v>15500</v>
          </cell>
          <cell r="AF751">
            <v>15500</v>
          </cell>
        </row>
        <row r="752">
          <cell r="A752">
            <v>750</v>
          </cell>
          <cell r="B752">
            <v>46148</v>
          </cell>
          <cell r="C752" t="str">
            <v>RENAULT QM3</v>
          </cell>
          <cell r="D752" t="str">
            <v>RENAULT</v>
          </cell>
          <cell r="E752" t="str">
            <v>QM3</v>
          </cell>
          <cell r="G752" t="str">
            <v>05도0848</v>
          </cell>
          <cell r="H752" t="str">
            <v>VF12RGJ1DGW142061</v>
          </cell>
          <cell r="I752">
            <v>46149</v>
          </cell>
          <cell r="L752" t="str">
            <v>잔금</v>
          </cell>
          <cell r="N752">
            <v>550</v>
          </cell>
          <cell r="P752">
            <v>550</v>
          </cell>
          <cell r="Q752" t="str">
            <v>done</v>
          </cell>
          <cell r="R752">
            <v>46154</v>
          </cell>
          <cell r="S752" t="str">
            <v>R.S.h L.L.C.</v>
          </cell>
          <cell r="AC752">
            <v>4590</v>
          </cell>
          <cell r="AE752">
            <v>4590</v>
          </cell>
        </row>
        <row r="753">
          <cell r="A753">
            <v>751</v>
          </cell>
          <cell r="B753">
            <v>46148</v>
          </cell>
          <cell r="C753" t="str">
            <v>Peugeot 3008 1.6 BlueHDi</v>
          </cell>
          <cell r="D753" t="str">
            <v>Peugeot</v>
          </cell>
          <cell r="E753" t="str">
            <v>3008 1.6 BlueHDi</v>
          </cell>
          <cell r="G753" t="str">
            <v>25서4782</v>
          </cell>
          <cell r="H753" t="str">
            <v xml:space="preserve">VF3MCBHZWJS007138 </v>
          </cell>
          <cell r="I753">
            <v>46150</v>
          </cell>
          <cell r="L753" t="str">
            <v>잔금</v>
          </cell>
          <cell r="M753" t="str">
            <v>50만원 대표님 계약</v>
          </cell>
          <cell r="N753">
            <v>1350</v>
          </cell>
          <cell r="P753">
            <v>1350</v>
          </cell>
          <cell r="Q753" t="str">
            <v>DONE</v>
          </cell>
          <cell r="R753">
            <v>46155</v>
          </cell>
          <cell r="S753" t="str">
            <v>DONI</v>
          </cell>
          <cell r="T753" t="str">
            <v>DONI</v>
          </cell>
          <cell r="U753">
            <v>933682</v>
          </cell>
          <cell r="V753" t="str">
            <v>3 8 3 4 9 3 2 5 7 0 3</v>
          </cell>
          <cell r="W753" t="str">
            <v xml:space="preserve"> HYZRI TALLA OB 16 HY 1 NR 18
 Kosovë</v>
          </cell>
          <cell r="X753">
            <v>1448</v>
          </cell>
          <cell r="AB753">
            <v>1696</v>
          </cell>
          <cell r="AC753">
            <v>7719</v>
          </cell>
          <cell r="AD753">
            <v>1481</v>
          </cell>
          <cell r="AE753">
            <v>9200</v>
          </cell>
        </row>
        <row r="754">
          <cell r="A754">
            <v>752</v>
          </cell>
          <cell r="B754">
            <v>46148</v>
          </cell>
          <cell r="C754" t="str">
            <v xml:space="preserve">AUDI Q3 </v>
          </cell>
          <cell r="D754" t="str">
            <v>AUDI</v>
          </cell>
          <cell r="E754" t="str">
            <v xml:space="preserve">Q3 </v>
          </cell>
          <cell r="G754" t="str">
            <v>15라0199</v>
          </cell>
          <cell r="H754" t="str">
            <v>WAUZZZ8U6GR040675</v>
          </cell>
          <cell r="I754">
            <v>45789</v>
          </cell>
          <cell r="L754" t="str">
            <v>잔금</v>
          </cell>
          <cell r="M754" t="str">
            <v>70만원 대표님 계약</v>
          </cell>
          <cell r="N754">
            <v>1690</v>
          </cell>
          <cell r="P754">
            <v>1690</v>
          </cell>
          <cell r="Q754" t="str">
            <v>done</v>
          </cell>
          <cell r="R754">
            <v>46163</v>
          </cell>
          <cell r="S754" t="str">
            <v>ATLAS GROUP SH.P.K</v>
          </cell>
          <cell r="T754" t="str">
            <v>ATLAS GROUP SH.P.K</v>
          </cell>
          <cell r="U754">
            <v>812137455</v>
          </cell>
          <cell r="V754" t="str">
            <v>+38348702207</v>
          </cell>
          <cell r="W754" t="str">
            <v>Xhelal Hajda, p.n. Rahovec</v>
          </cell>
          <cell r="X754">
            <v>1448</v>
          </cell>
          <cell r="AB754">
            <v>1696</v>
          </cell>
          <cell r="AC754">
            <v>9670</v>
          </cell>
          <cell r="AD754">
            <v>854</v>
          </cell>
        </row>
        <row r="755">
          <cell r="A755">
            <v>753</v>
          </cell>
          <cell r="B755">
            <v>46148</v>
          </cell>
          <cell r="C755" t="str">
            <v>BENZ GLA200 d</v>
          </cell>
          <cell r="D755" t="str">
            <v>BENZ</v>
          </cell>
          <cell r="E755" t="str">
            <v>GLA200 d</v>
          </cell>
          <cell r="G755" t="str">
            <v>35수0361</v>
          </cell>
          <cell r="H755" t="str">
            <v>WDCTG0JB2GJ227925</v>
          </cell>
          <cell r="I755">
            <v>46150</v>
          </cell>
          <cell r="L755" t="str">
            <v>잔금</v>
          </cell>
          <cell r="M755" t="str">
            <v>50만원 대표님 계약</v>
          </cell>
          <cell r="N755">
            <v>1310</v>
          </cell>
          <cell r="P755">
            <v>1310</v>
          </cell>
          <cell r="Q755" t="str">
            <v>DONE</v>
          </cell>
          <cell r="R755">
            <v>46155</v>
          </cell>
          <cell r="S755" t="str">
            <v>VILLA KOHA</v>
          </cell>
          <cell r="T755" t="str">
            <v>VILLA KOHA SH.P.K</v>
          </cell>
          <cell r="U755">
            <v>810039588</v>
          </cell>
          <cell r="V755" t="str">
            <v>383 49247777</v>
          </cell>
          <cell r="W755" t="str">
            <v>KOSOVO</v>
          </cell>
          <cell r="X755">
            <v>1448</v>
          </cell>
          <cell r="AB755">
            <v>1696</v>
          </cell>
          <cell r="AC755">
            <v>7514.433962264151</v>
          </cell>
          <cell r="AD755">
            <v>1485.566037735849</v>
          </cell>
          <cell r="AE755">
            <v>9000</v>
          </cell>
          <cell r="AF755">
            <v>9000</v>
          </cell>
        </row>
        <row r="756">
          <cell r="A756">
            <v>754</v>
          </cell>
          <cell r="B756">
            <v>46148</v>
          </cell>
          <cell r="C756" t="str">
            <v>KIA CARNIVAL</v>
          </cell>
          <cell r="D756" t="str">
            <v>KIA</v>
          </cell>
          <cell r="E756" t="str">
            <v>CARNIVAL</v>
          </cell>
          <cell r="G756" t="str">
            <v>727버4774</v>
          </cell>
          <cell r="H756" t="str">
            <v>KNHMF37ABJS439189</v>
          </cell>
          <cell r="I756">
            <v>46150</v>
          </cell>
          <cell r="J756" t="str">
            <v>경매장 - KCAR</v>
          </cell>
          <cell r="K756" t="str">
            <v>HEYMAN</v>
          </cell>
          <cell r="L756" t="str">
            <v>잔금</v>
          </cell>
          <cell r="N756">
            <v>720</v>
          </cell>
          <cell r="O756">
            <v>16</v>
          </cell>
          <cell r="P756">
            <v>736</v>
          </cell>
          <cell r="Q756" t="str">
            <v>DONE</v>
          </cell>
          <cell r="R756">
            <v>42516</v>
          </cell>
          <cell r="S756" t="str">
            <v>MANTAS</v>
          </cell>
          <cell r="T756" t="str">
            <v>UAB GRALIS</v>
          </cell>
          <cell r="U756">
            <v>179285533</v>
          </cell>
          <cell r="V756" t="str">
            <v>370 (618) 11 666</v>
          </cell>
          <cell r="W756" t="str">
            <v xml:space="preserve">Jūros g. 33, Tauragė  </v>
          </cell>
          <cell r="X756">
            <v>1479</v>
          </cell>
          <cell r="AC756">
            <v>0</v>
          </cell>
        </row>
        <row r="757">
          <cell r="A757">
            <v>755</v>
          </cell>
          <cell r="B757">
            <v>46148</v>
          </cell>
          <cell r="C757" t="str">
            <v>KIA CARNIVAL</v>
          </cell>
          <cell r="D757" t="str">
            <v>KIA</v>
          </cell>
          <cell r="E757" t="str">
            <v>CARNIVAL</v>
          </cell>
          <cell r="G757" t="str">
            <v>20버9033</v>
          </cell>
          <cell r="H757" t="str">
            <v>KNAMB81ABKS476050</v>
          </cell>
          <cell r="I757">
            <v>46150</v>
          </cell>
          <cell r="J757" t="str">
            <v>경매장 - KCAR</v>
          </cell>
          <cell r="K757" t="str">
            <v>HEYMAN</v>
          </cell>
          <cell r="L757" t="str">
            <v>잔금</v>
          </cell>
          <cell r="N757">
            <v>600</v>
          </cell>
          <cell r="O757">
            <v>16</v>
          </cell>
          <cell r="P757">
            <v>616</v>
          </cell>
          <cell r="Q757" t="str">
            <v>DONE</v>
          </cell>
          <cell r="R757">
            <v>42516</v>
          </cell>
          <cell r="S757" t="str">
            <v>MANTAS</v>
          </cell>
          <cell r="T757" t="str">
            <v>UAB GRALIS</v>
          </cell>
          <cell r="U757">
            <v>179285533</v>
          </cell>
          <cell r="V757" t="str">
            <v>370 (618) 11 666</v>
          </cell>
          <cell r="W757" t="str">
            <v xml:space="preserve">Jūros g. 33, Tauragė  </v>
          </cell>
          <cell r="X757">
            <v>1479</v>
          </cell>
          <cell r="AC757">
            <v>0</v>
          </cell>
        </row>
        <row r="758">
          <cell r="A758">
            <v>756</v>
          </cell>
          <cell r="B758">
            <v>46148</v>
          </cell>
          <cell r="C758" t="str">
            <v>AUDI A6</v>
          </cell>
          <cell r="D758" t="str">
            <v>AUDI</v>
          </cell>
          <cell r="E758" t="str">
            <v>A6</v>
          </cell>
          <cell r="G758" t="str">
            <v>368마2416</v>
          </cell>
          <cell r="H758" t="str">
            <v>WAUZZZF28LN021144</v>
          </cell>
          <cell r="I758">
            <v>46150</v>
          </cell>
          <cell r="J758" t="str">
            <v>㈜예스모터스</v>
          </cell>
          <cell r="L758" t="str">
            <v>잔금</v>
          </cell>
          <cell r="N758">
            <v>2600</v>
          </cell>
          <cell r="P758">
            <v>2600</v>
          </cell>
          <cell r="Q758" t="str">
            <v>done</v>
          </cell>
          <cell r="R758">
            <v>46154</v>
          </cell>
          <cell r="S758" t="str">
            <v>AUTO GALLERY DIOR SHPK</v>
          </cell>
          <cell r="T758" t="str">
            <v>AUTO GALLERY DIOR SHPK</v>
          </cell>
          <cell r="U758">
            <v>812050409</v>
          </cell>
          <cell r="V758" t="str">
            <v>383 44 900 906</v>
          </cell>
          <cell r="W758" t="str">
            <v>Kosovo</v>
          </cell>
          <cell r="X758">
            <v>1448</v>
          </cell>
          <cell r="AB758">
            <v>1696</v>
          </cell>
          <cell r="AC758">
            <v>14600</v>
          </cell>
          <cell r="AD758">
            <v>1400</v>
          </cell>
          <cell r="AE758">
            <v>16000</v>
          </cell>
          <cell r="AF758">
            <v>16000</v>
          </cell>
        </row>
        <row r="759">
          <cell r="A759">
            <v>757</v>
          </cell>
          <cell r="B759">
            <v>46148</v>
          </cell>
          <cell r="C759" t="str">
            <v>FERRARI California.</v>
          </cell>
          <cell r="D759" t="str">
            <v>FERRARI</v>
          </cell>
          <cell r="E759" t="str">
            <v>California.</v>
          </cell>
          <cell r="G759" t="str">
            <v>144더7415</v>
          </cell>
          <cell r="H759" t="str">
            <v>ZFF77XJL5G0216790</v>
          </cell>
          <cell r="I759">
            <v>45788</v>
          </cell>
          <cell r="K759" t="str">
            <v>HEYMAN</v>
          </cell>
          <cell r="L759" t="str">
            <v>잔금</v>
          </cell>
          <cell r="M759" t="str">
            <v>계약금 1000만원</v>
          </cell>
          <cell r="N759">
            <v>10500</v>
          </cell>
          <cell r="P759">
            <v>10500</v>
          </cell>
          <cell r="Q759" t="str">
            <v>done</v>
          </cell>
          <cell r="S759" t="str">
            <v>JOHN</v>
          </cell>
          <cell r="X759">
            <v>1457</v>
          </cell>
          <cell r="AB759">
            <v>1709</v>
          </cell>
          <cell r="AC759">
            <v>0</v>
          </cell>
          <cell r="AF759">
            <v>106</v>
          </cell>
        </row>
        <row r="760">
          <cell r="A760">
            <v>758</v>
          </cell>
          <cell r="B760">
            <v>46148</v>
          </cell>
          <cell r="C760" t="str">
            <v>Rolls-Royce Wraith Coupe</v>
          </cell>
          <cell r="D760" t="str">
            <v>Rolls-Royce</v>
          </cell>
          <cell r="E760" t="str">
            <v>Wraith Coupe</v>
          </cell>
          <cell r="G760" t="str">
            <v>223나5353</v>
          </cell>
          <cell r="H760" t="str">
            <v>SCA665C01KUX81826</v>
          </cell>
          <cell r="I760">
            <v>45788</v>
          </cell>
          <cell r="K760" t="str">
            <v>HEYMAN</v>
          </cell>
          <cell r="L760" t="str">
            <v>잔금</v>
          </cell>
          <cell r="M760" t="str">
            <v>x</v>
          </cell>
          <cell r="N760">
            <v>20500</v>
          </cell>
          <cell r="O760">
            <v>44</v>
          </cell>
          <cell r="P760">
            <v>0</v>
          </cell>
          <cell r="Q760" t="str">
            <v>done</v>
          </cell>
          <cell r="S760" t="str">
            <v>JOHN</v>
          </cell>
          <cell r="X760">
            <v>1457</v>
          </cell>
          <cell r="AB760">
            <v>1709</v>
          </cell>
          <cell r="AC760">
            <v>0</v>
          </cell>
          <cell r="AF760">
            <v>206.5</v>
          </cell>
        </row>
        <row r="761">
          <cell r="A761">
            <v>759</v>
          </cell>
          <cell r="B761">
            <v>46150</v>
          </cell>
          <cell r="C761" t="str">
            <v>HYUNDAI TUCSON</v>
          </cell>
          <cell r="D761" t="str">
            <v>HYUNDAI</v>
          </cell>
          <cell r="E761" t="str">
            <v>TUCSON</v>
          </cell>
          <cell r="G761" t="str">
            <v>10고5040</v>
          </cell>
          <cell r="H761" t="str">
            <v>KMHJ581ABJU598246</v>
          </cell>
          <cell r="I761">
            <v>45788</v>
          </cell>
          <cell r="J761" t="str">
            <v>㈜정인모터스</v>
          </cell>
          <cell r="L761" t="str">
            <v>잔금</v>
          </cell>
          <cell r="M761" t="str">
            <v>50만원 회사통장 계약</v>
          </cell>
          <cell r="N761">
            <v>1300</v>
          </cell>
          <cell r="P761">
            <v>0</v>
          </cell>
          <cell r="Q761" t="str">
            <v>DONE</v>
          </cell>
          <cell r="R761">
            <v>42516</v>
          </cell>
          <cell r="S761" t="str">
            <v>CALJA</v>
          </cell>
          <cell r="T761" t="str">
            <v>Shero Florjan</v>
          </cell>
          <cell r="U761" t="str">
            <v>I90609046S</v>
          </cell>
          <cell r="V761" t="str">
            <v>355 69 550 5533</v>
          </cell>
          <cell r="W761" t="str">
            <v>Albania</v>
          </cell>
          <cell r="X761">
            <v>1450</v>
          </cell>
          <cell r="AB761">
            <v>1705</v>
          </cell>
          <cell r="AC761">
            <v>7390</v>
          </cell>
          <cell r="AD761">
            <v>1480</v>
          </cell>
          <cell r="AE761">
            <v>8870</v>
          </cell>
          <cell r="AF761">
            <v>9200</v>
          </cell>
        </row>
        <row r="762">
          <cell r="A762">
            <v>760</v>
          </cell>
          <cell r="B762">
            <v>46150</v>
          </cell>
          <cell r="C762" t="str">
            <v>HYUNDAI TUCSON</v>
          </cell>
          <cell r="D762" t="str">
            <v>HYUNDAI</v>
          </cell>
          <cell r="E762" t="str">
            <v>TUCSON</v>
          </cell>
          <cell r="G762" t="str">
            <v>46우0552</v>
          </cell>
          <cell r="H762" t="str">
            <v>KMHJ3815GGU132349</v>
          </cell>
          <cell r="I762">
            <v>45788</v>
          </cell>
          <cell r="J762" t="str">
            <v>㈜이슬모터스</v>
          </cell>
          <cell r="L762" t="str">
            <v>잔금</v>
          </cell>
          <cell r="M762" t="str">
            <v>50만원 회사통장 계약</v>
          </cell>
          <cell r="N762">
            <v>680</v>
          </cell>
          <cell r="P762">
            <v>0</v>
          </cell>
          <cell r="Q762" t="str">
            <v>DONE</v>
          </cell>
          <cell r="R762">
            <v>46155</v>
          </cell>
          <cell r="S762" t="str">
            <v>CALJA</v>
          </cell>
          <cell r="T762" t="str">
            <v>BULLARI BLERTA</v>
          </cell>
          <cell r="U762" t="str">
            <v>I15705014M</v>
          </cell>
          <cell r="V762" t="str">
            <v>355 69 550 5533</v>
          </cell>
          <cell r="W762" t="str">
            <v>Albania</v>
          </cell>
          <cell r="X762">
            <v>1450</v>
          </cell>
          <cell r="AB762">
            <v>1705</v>
          </cell>
          <cell r="AC762">
            <v>4090</v>
          </cell>
          <cell r="AD762">
            <v>1480</v>
          </cell>
          <cell r="AE762">
            <v>5570</v>
          </cell>
          <cell r="AF762">
            <v>6200</v>
          </cell>
        </row>
        <row r="763">
          <cell r="A763">
            <v>761</v>
          </cell>
          <cell r="B763">
            <v>46152</v>
          </cell>
          <cell r="C763" t="str">
            <v>KIA STINGER</v>
          </cell>
          <cell r="D763" t="str">
            <v>KIA</v>
          </cell>
          <cell r="E763" t="str">
            <v>STINGER</v>
          </cell>
          <cell r="G763" t="str">
            <v>31구5117</v>
          </cell>
          <cell r="H763" t="str">
            <v>KNAE751CDJS022938</v>
          </cell>
          <cell r="I763">
            <v>45789</v>
          </cell>
          <cell r="J763" t="str">
            <v>㈜에스앤케이모터스</v>
          </cell>
          <cell r="L763" t="str">
            <v>잔금</v>
          </cell>
          <cell r="M763" t="str">
            <v>70만원 회사통장 계약</v>
          </cell>
          <cell r="N763">
            <v>1780</v>
          </cell>
          <cell r="P763">
            <v>0</v>
          </cell>
          <cell r="Q763" t="str">
            <v>done</v>
          </cell>
          <cell r="R763">
            <v>46155</v>
          </cell>
          <cell r="S763" t="str">
            <v>DAX IMPORT</v>
          </cell>
          <cell r="T763" t="str">
            <v xml:space="preserve">Michael Karl  </v>
          </cell>
          <cell r="U763" t="str">
            <v>LF9N8WZ16</v>
          </cell>
          <cell r="V763" t="str">
            <v>‪+49 471 94189050‬</v>
          </cell>
          <cell r="W763" t="str">
            <v xml:space="preserve">Dorfstr,33C,(82024) Taufkirchen, Germany </v>
          </cell>
          <cell r="X763">
            <v>1450</v>
          </cell>
          <cell r="AB763">
            <v>1705</v>
          </cell>
          <cell r="AC763">
            <v>9970</v>
          </cell>
        </row>
        <row r="764">
          <cell r="A764">
            <v>762</v>
          </cell>
          <cell r="B764">
            <v>46152</v>
          </cell>
          <cell r="C764" t="str">
            <v>BMW 523D</v>
          </cell>
          <cell r="D764" t="str">
            <v>BMW</v>
          </cell>
          <cell r="E764" t="str">
            <v>523D</v>
          </cell>
          <cell r="G764" t="str">
            <v>161무9557</v>
          </cell>
          <cell r="H764" t="str">
            <v>WBA31ES08MWX00434</v>
          </cell>
          <cell r="I764">
            <v>46155</v>
          </cell>
          <cell r="J764" t="str">
            <v>㈜오토프라웡</v>
          </cell>
          <cell r="L764" t="str">
            <v>잔금</v>
          </cell>
          <cell r="M764" t="str">
            <v>100만원 대표님 계약</v>
          </cell>
          <cell r="N764">
            <v>3500</v>
          </cell>
          <cell r="P764">
            <v>0</v>
          </cell>
          <cell r="Q764" t="str">
            <v>DONE</v>
          </cell>
          <cell r="R764" t="str">
            <v>26,05,15</v>
          </cell>
          <cell r="S764" t="str">
            <v>AUTO GALLERY DIOR SHPK</v>
          </cell>
          <cell r="T764" t="str">
            <v>AUTO GALLERY DIOR SHPK</v>
          </cell>
          <cell r="U764">
            <v>812050409</v>
          </cell>
          <cell r="V764" t="str">
            <v>383 44 900 906</v>
          </cell>
          <cell r="W764" t="str">
            <v>Kosovo</v>
          </cell>
          <cell r="X764">
            <v>1450</v>
          </cell>
          <cell r="AB764">
            <v>1705</v>
          </cell>
          <cell r="AC764">
            <v>19605</v>
          </cell>
          <cell r="AD764">
            <v>1395</v>
          </cell>
          <cell r="AE764">
            <v>21000</v>
          </cell>
          <cell r="AF764">
            <v>21000</v>
          </cell>
        </row>
        <row r="765">
          <cell r="A765">
            <v>763</v>
          </cell>
          <cell r="B765">
            <v>46152</v>
          </cell>
          <cell r="C765" t="str">
            <v>BENZ E220D</v>
          </cell>
          <cell r="D765" t="str">
            <v>BENZ</v>
          </cell>
          <cell r="E765" t="str">
            <v>E220D</v>
          </cell>
          <cell r="G765" t="str">
            <v>69나3316</v>
          </cell>
          <cell r="H765" t="str">
            <v>WDD1J1EB8HF020870</v>
          </cell>
          <cell r="I765">
            <v>46153</v>
          </cell>
          <cell r="J765" t="str">
            <v>주)전진</v>
          </cell>
          <cell r="L765" t="str">
            <v>잔금</v>
          </cell>
          <cell r="M765" t="str">
            <v>100만원 대표님 계약</v>
          </cell>
          <cell r="N765">
            <v>2290</v>
          </cell>
          <cell r="P765">
            <v>0</v>
          </cell>
          <cell r="Q765" t="str">
            <v>done</v>
          </cell>
          <cell r="R765">
            <v>46154</v>
          </cell>
          <cell r="S765" t="str">
            <v>R.S.h L.L.C.</v>
          </cell>
          <cell r="T765" t="str">
            <v>R.Sh L.L.C.</v>
          </cell>
          <cell r="U765">
            <v>812326016</v>
          </cell>
          <cell r="V765" t="str">
            <v>+383486 611 61</v>
          </cell>
          <cell r="W765" t="str">
            <v>Kosovo</v>
          </cell>
          <cell r="X765">
            <v>1450</v>
          </cell>
          <cell r="AB765">
            <v>1705</v>
          </cell>
          <cell r="AC765">
            <v>12705</v>
          </cell>
          <cell r="AD765">
            <v>1395</v>
          </cell>
          <cell r="AE765">
            <v>14100</v>
          </cell>
        </row>
        <row r="766">
          <cell r="A766">
            <v>764</v>
          </cell>
          <cell r="B766">
            <v>46152</v>
          </cell>
          <cell r="C766" t="str">
            <v>BENZ CLS 250</v>
          </cell>
          <cell r="D766" t="str">
            <v>BENZ</v>
          </cell>
          <cell r="E766" t="str">
            <v>CLS 250</v>
          </cell>
          <cell r="G766" t="str">
            <v>30러0272</v>
          </cell>
          <cell r="H766" t="str">
            <v>WDDLJ9HB3FA139472</v>
          </cell>
          <cell r="I766">
            <v>45788</v>
          </cell>
          <cell r="J766" t="str">
            <v>㈜왕카</v>
          </cell>
          <cell r="L766" t="str">
            <v>잔금</v>
          </cell>
          <cell r="M766" t="str">
            <v>50만원 대표님 계약</v>
          </cell>
          <cell r="N766">
            <v>1200</v>
          </cell>
          <cell r="P766">
            <v>0</v>
          </cell>
          <cell r="Q766" t="str">
            <v>DONE</v>
          </cell>
          <cell r="R766">
            <v>42516</v>
          </cell>
          <cell r="S766" t="str">
            <v>CALJA</v>
          </cell>
          <cell r="T766" t="str">
            <v>Flavio Halilaj</v>
          </cell>
          <cell r="U766" t="str">
            <v>K51104027S</v>
          </cell>
          <cell r="V766" t="str">
            <v>355 69 550 5533</v>
          </cell>
          <cell r="W766" t="str">
            <v>Albania</v>
          </cell>
          <cell r="X766">
            <v>1450</v>
          </cell>
          <cell r="AB766">
            <v>1705</v>
          </cell>
          <cell r="AC766">
            <v>6735</v>
          </cell>
          <cell r="AD766">
            <v>1395</v>
          </cell>
          <cell r="AE766">
            <v>8130</v>
          </cell>
          <cell r="AF766">
            <v>8930</v>
          </cell>
        </row>
        <row r="767">
          <cell r="A767">
            <v>765</v>
          </cell>
          <cell r="B767">
            <v>46152</v>
          </cell>
          <cell r="C767" t="str">
            <v>BMW 520D</v>
          </cell>
          <cell r="D767" t="str">
            <v>BMW</v>
          </cell>
          <cell r="E767" t="str">
            <v>520D</v>
          </cell>
          <cell r="G767" t="str">
            <v>01가8669</v>
          </cell>
          <cell r="H767" t="str">
            <v>WBAJC3104JG994458</v>
          </cell>
          <cell r="I767">
            <v>45788</v>
          </cell>
          <cell r="J767" t="str">
            <v>㈜오케이오토</v>
          </cell>
          <cell r="L767" t="str">
            <v>잔금</v>
          </cell>
          <cell r="M767" t="str">
            <v>100만원 대표님 계약</v>
          </cell>
          <cell r="N767">
            <v>1950</v>
          </cell>
          <cell r="P767">
            <v>0</v>
          </cell>
          <cell r="Q767" t="str">
            <v>DONE</v>
          </cell>
          <cell r="R767">
            <v>46155</v>
          </cell>
          <cell r="S767" t="str">
            <v>Auto Posh SH.P.K</v>
          </cell>
          <cell r="T767" t="str">
            <v>Auto Posh SH.P.K</v>
          </cell>
          <cell r="U767">
            <v>812219427</v>
          </cell>
          <cell r="V767" t="str">
            <v>38345560145</v>
          </cell>
          <cell r="W767" t="str">
            <v>KOSOVO</v>
          </cell>
          <cell r="X767">
            <v>1450</v>
          </cell>
          <cell r="AB767">
            <v>1705</v>
          </cell>
          <cell r="AC767">
            <v>10875</v>
          </cell>
          <cell r="AD767">
            <v>1395</v>
          </cell>
          <cell r="AE767">
            <v>12270</v>
          </cell>
          <cell r="AF767">
            <v>12400</v>
          </cell>
        </row>
        <row r="768">
          <cell r="A768">
            <v>766</v>
          </cell>
          <cell r="B768">
            <v>46152</v>
          </cell>
          <cell r="C768" t="str">
            <v>BENZ S63</v>
          </cell>
          <cell r="D768" t="str">
            <v>BENZ</v>
          </cell>
          <cell r="E768" t="str">
            <v>S63</v>
          </cell>
          <cell r="G768" t="str">
            <v>376오6225</v>
          </cell>
          <cell r="H768" t="str">
            <v>WDDXJ7JB6FA003322</v>
          </cell>
          <cell r="I768">
            <v>46156</v>
          </cell>
          <cell r="J768" t="str">
            <v>㈜로또모터스</v>
          </cell>
          <cell r="L768" t="str">
            <v>잔금</v>
          </cell>
          <cell r="M768" t="str">
            <v>100만원 대표님 계약</v>
          </cell>
          <cell r="N768">
            <v>4000</v>
          </cell>
          <cell r="P768">
            <v>0</v>
          </cell>
          <cell r="Q768" t="str">
            <v>DONE</v>
          </cell>
          <cell r="R768">
            <v>46182</v>
          </cell>
          <cell r="S768" t="str">
            <v>Ardijan Qorraj</v>
          </cell>
          <cell r="T768" t="str">
            <v>Ardijan Qorraj</v>
          </cell>
          <cell r="U768" t="str">
            <v>C6YRK7K2F</v>
          </cell>
          <cell r="V768">
            <v>4917655744700</v>
          </cell>
          <cell r="W768" t="str">
            <v>Germany, Piepersweg 35 (41066)</v>
          </cell>
          <cell r="X768">
            <v>1450</v>
          </cell>
          <cell r="AB768">
            <v>1705</v>
          </cell>
          <cell r="AC768">
            <v>22300</v>
          </cell>
          <cell r="AD768">
            <v>22300</v>
          </cell>
        </row>
        <row r="769">
          <cell r="A769">
            <v>767</v>
          </cell>
          <cell r="B769">
            <v>46152</v>
          </cell>
          <cell r="C769" t="str">
            <v>AUDI Q7</v>
          </cell>
          <cell r="D769" t="str">
            <v>AUDI</v>
          </cell>
          <cell r="E769" t="str">
            <v>Q7</v>
          </cell>
          <cell r="G769" t="str">
            <v>145나1447</v>
          </cell>
          <cell r="H769" t="str">
            <v>WAUZZZ4M9LD013547</v>
          </cell>
          <cell r="I769">
            <v>46155</v>
          </cell>
          <cell r="J769" t="str">
            <v>㈜카베이</v>
          </cell>
          <cell r="L769" t="str">
            <v>잔금</v>
          </cell>
          <cell r="M769" t="str">
            <v>100만원 대표님 계약</v>
          </cell>
          <cell r="N769">
            <v>4250</v>
          </cell>
          <cell r="P769">
            <v>0</v>
          </cell>
          <cell r="Q769" t="str">
            <v>DONE</v>
          </cell>
          <cell r="R769" t="str">
            <v>26,05,15</v>
          </cell>
          <cell r="S769" t="str">
            <v>AUTO GALLERY DIOR SHPK</v>
          </cell>
          <cell r="T769" t="str">
            <v>AUTO GALLERY DIOR SHPK</v>
          </cell>
          <cell r="U769">
            <v>812050409</v>
          </cell>
          <cell r="V769" t="str">
            <v>383 44 900 906</v>
          </cell>
          <cell r="W769" t="str">
            <v>Kosovo</v>
          </cell>
          <cell r="X769">
            <v>1450</v>
          </cell>
          <cell r="AB769">
            <v>1705</v>
          </cell>
          <cell r="AC769">
            <v>23535</v>
          </cell>
          <cell r="AD769">
            <v>1565</v>
          </cell>
          <cell r="AE769">
            <v>25100</v>
          </cell>
          <cell r="AF769">
            <v>25100</v>
          </cell>
        </row>
        <row r="770">
          <cell r="A770">
            <v>768</v>
          </cell>
          <cell r="B770">
            <v>46152</v>
          </cell>
          <cell r="C770" t="str">
            <v>VOLKSWAGENS GOLF</v>
          </cell>
          <cell r="D770" t="str">
            <v>VOLKSWAGENS</v>
          </cell>
          <cell r="E770" t="str">
            <v>GOLF</v>
          </cell>
          <cell r="G770" t="str">
            <v>64구0928</v>
          </cell>
          <cell r="H770" t="str">
            <v>WVWZZZAUZGW062793</v>
          </cell>
          <cell r="I770">
            <v>45788</v>
          </cell>
          <cell r="J770" t="str">
            <v>㈜ 제이원모터스</v>
          </cell>
          <cell r="L770" t="str">
            <v>잔금</v>
          </cell>
          <cell r="M770" t="str">
            <v>50만원 대표님 계약</v>
          </cell>
          <cell r="N770">
            <v>1090</v>
          </cell>
          <cell r="P770">
            <v>0</v>
          </cell>
          <cell r="Q770" t="str">
            <v>DONE</v>
          </cell>
          <cell r="R770">
            <v>46155</v>
          </cell>
          <cell r="S770" t="str">
            <v>DONI</v>
          </cell>
          <cell r="T770" t="str">
            <v>DONI</v>
          </cell>
          <cell r="U770">
            <v>933682</v>
          </cell>
          <cell r="V770" t="str">
            <v>3 8 3 4 9 3 2 5 7 0 3</v>
          </cell>
          <cell r="W770" t="str">
            <v xml:space="preserve"> HYZRI TALLA OB 16 HY 1 NR 18
 Kosovë</v>
          </cell>
          <cell r="X770">
            <v>1450</v>
          </cell>
          <cell r="AB770">
            <v>1705</v>
          </cell>
          <cell r="AC770">
            <v>6185</v>
          </cell>
          <cell r="AD770">
            <v>1395</v>
          </cell>
          <cell r="AE770">
            <v>7580</v>
          </cell>
        </row>
        <row r="771">
          <cell r="A771">
            <v>769</v>
          </cell>
          <cell r="B771">
            <v>46152</v>
          </cell>
          <cell r="C771" t="str">
            <v>AUDI A7</v>
          </cell>
          <cell r="D771" t="str">
            <v>AUDI</v>
          </cell>
          <cell r="E771" t="str">
            <v>A7</v>
          </cell>
          <cell r="G771" t="str">
            <v>277보7666</v>
          </cell>
          <cell r="H771" t="str">
            <v>WAUZZZ4G7GN084451</v>
          </cell>
          <cell r="I771">
            <v>45789</v>
          </cell>
          <cell r="L771" t="str">
            <v>잔금</v>
          </cell>
          <cell r="M771" t="str">
            <v>70만원 회사통장 계약</v>
          </cell>
          <cell r="N771">
            <v>1844</v>
          </cell>
          <cell r="P771">
            <v>0</v>
          </cell>
          <cell r="Q771" t="str">
            <v>DONE</v>
          </cell>
          <cell r="R771">
            <v>46155</v>
          </cell>
          <cell r="S771" t="str">
            <v>CALJA</v>
          </cell>
          <cell r="T771" t="str">
            <v>MIMINI BLEDAR</v>
          </cell>
          <cell r="U771" t="str">
            <v>J00710052Q</v>
          </cell>
          <cell r="V771" t="str">
            <v>355 69 550 5533</v>
          </cell>
          <cell r="W771" t="str">
            <v>Albania</v>
          </cell>
          <cell r="X771">
            <v>1450</v>
          </cell>
          <cell r="AB771">
            <v>1705</v>
          </cell>
          <cell r="AC771">
            <v>10345</v>
          </cell>
          <cell r="AD771">
            <v>1395</v>
          </cell>
          <cell r="AE771">
            <v>11740</v>
          </cell>
          <cell r="AF771">
            <v>13700</v>
          </cell>
        </row>
        <row r="772">
          <cell r="A772">
            <v>770</v>
          </cell>
          <cell r="B772">
            <v>46152</v>
          </cell>
          <cell r="C772" t="str">
            <v>BMW ACTIVE TOURER</v>
          </cell>
          <cell r="D772" t="str">
            <v>BMW</v>
          </cell>
          <cell r="E772" t="str">
            <v>ACTIVE TOURER</v>
          </cell>
          <cell r="G772" t="str">
            <v>394주9872</v>
          </cell>
          <cell r="H772" t="str">
            <v>WBA6T9108M7G33668</v>
          </cell>
          <cell r="I772">
            <v>45789</v>
          </cell>
          <cell r="L772" t="str">
            <v>잔금</v>
          </cell>
          <cell r="M772" t="str">
            <v>50만원 회사통장 계약</v>
          </cell>
          <cell r="N772">
            <v>1180</v>
          </cell>
          <cell r="P772">
            <v>0</v>
          </cell>
          <cell r="Q772" t="str">
            <v>DONE</v>
          </cell>
          <cell r="R772">
            <v>46155</v>
          </cell>
          <cell r="S772" t="str">
            <v>R.S.h L.L.C.</v>
          </cell>
          <cell r="T772" t="str">
            <v>R.Sh L.L.C.</v>
          </cell>
          <cell r="U772">
            <v>812326016</v>
          </cell>
          <cell r="V772" t="str">
            <v>+383486 611 61</v>
          </cell>
          <cell r="W772" t="str">
            <v>Kosovo</v>
          </cell>
          <cell r="X772">
            <v>1450</v>
          </cell>
          <cell r="AB772">
            <v>1705</v>
          </cell>
          <cell r="AC772">
            <v>6605</v>
          </cell>
          <cell r="AD772">
            <v>1395</v>
          </cell>
          <cell r="AE772">
            <v>8000</v>
          </cell>
        </row>
        <row r="773">
          <cell r="A773">
            <v>771</v>
          </cell>
          <cell r="B773">
            <v>46152</v>
          </cell>
          <cell r="C773" t="str">
            <v>BENZ C220D</v>
          </cell>
          <cell r="D773" t="str">
            <v>BENZ</v>
          </cell>
          <cell r="E773" t="str">
            <v>C220D</v>
          </cell>
          <cell r="G773" t="str">
            <v>25라0412</v>
          </cell>
          <cell r="H773" t="str">
            <v>WDDWF0EB3GR171002</v>
          </cell>
          <cell r="I773">
            <v>45789</v>
          </cell>
          <cell r="J773" t="str">
            <v>㈜명진모터스</v>
          </cell>
          <cell r="L773" t="str">
            <v>잔금</v>
          </cell>
          <cell r="N773">
            <v>1420</v>
          </cell>
          <cell r="P773">
            <v>0</v>
          </cell>
          <cell r="Q773" t="str">
            <v>DONE</v>
          </cell>
          <cell r="R773" t="str">
            <v>26.05.15</v>
          </cell>
          <cell r="S773" t="str">
            <v>Auto Posh SH.P.K</v>
          </cell>
          <cell r="T773" t="str">
            <v>Auto Posh SH.P.K</v>
          </cell>
          <cell r="U773">
            <v>812219427</v>
          </cell>
          <cell r="V773" t="str">
            <v>38345560145</v>
          </cell>
          <cell r="W773" t="str">
            <v>KOSOVO</v>
          </cell>
          <cell r="X773">
            <v>1450</v>
          </cell>
          <cell r="AB773">
            <v>1705</v>
          </cell>
          <cell r="AC773">
            <v>7905</v>
          </cell>
          <cell r="AD773">
            <v>1395</v>
          </cell>
          <cell r="AE773">
            <v>9300</v>
          </cell>
        </row>
        <row r="774">
          <cell r="A774">
            <v>772</v>
          </cell>
          <cell r="B774">
            <v>46153</v>
          </cell>
          <cell r="C774" t="str">
            <v>AUDI A6</v>
          </cell>
          <cell r="D774" t="str">
            <v>AUDI</v>
          </cell>
          <cell r="E774" t="str">
            <v>A6</v>
          </cell>
          <cell r="G774" t="str">
            <v>322소3284</v>
          </cell>
          <cell r="H774" t="str">
            <v>WAUZZZF26LN026228</v>
          </cell>
          <cell r="I774">
            <v>46155</v>
          </cell>
          <cell r="L774" t="str">
            <v>잔금</v>
          </cell>
          <cell r="M774" t="str">
            <v>100만원 회사통장</v>
          </cell>
          <cell r="N774">
            <v>2930</v>
          </cell>
          <cell r="P774">
            <v>0</v>
          </cell>
          <cell r="Q774" t="str">
            <v>DONE</v>
          </cell>
          <cell r="R774">
            <v>46155</v>
          </cell>
          <cell r="S774" t="str">
            <v>AUTO GALLERY DIOR SHPK</v>
          </cell>
          <cell r="T774" t="str">
            <v>AUTO GALLERY DIOR SHPK</v>
          </cell>
          <cell r="U774">
            <v>812050409</v>
          </cell>
          <cell r="V774" t="str">
            <v>383 44 900 906</v>
          </cell>
          <cell r="W774" t="str">
            <v>Kosovo</v>
          </cell>
          <cell r="X774">
            <v>1450</v>
          </cell>
          <cell r="AB774">
            <v>1705</v>
          </cell>
          <cell r="AC774">
            <v>16105</v>
          </cell>
          <cell r="AD774">
            <v>1395</v>
          </cell>
          <cell r="AE774">
            <v>17500</v>
          </cell>
          <cell r="AF774">
            <v>17500</v>
          </cell>
        </row>
        <row r="775">
          <cell r="A775">
            <v>773</v>
          </cell>
          <cell r="B775">
            <v>46153</v>
          </cell>
          <cell r="C775" t="str">
            <v>MERCEDES AMG GT</v>
          </cell>
          <cell r="D775" t="str">
            <v>MERCEDES</v>
          </cell>
          <cell r="E775" t="str">
            <v>AMG GT</v>
          </cell>
          <cell r="G775" t="str">
            <v>212수6558</v>
          </cell>
          <cell r="H775" t="str">
            <v>WDDYJ7HA8GA010100</v>
          </cell>
          <cell r="I775">
            <v>46156</v>
          </cell>
          <cell r="J775" t="str">
            <v>㈜ 티에스티피알</v>
          </cell>
          <cell r="L775" t="str">
            <v>잔금</v>
          </cell>
          <cell r="M775" t="str">
            <v>100만원 회사통장</v>
          </cell>
          <cell r="N775">
            <v>6000</v>
          </cell>
          <cell r="P775">
            <v>0</v>
          </cell>
          <cell r="Q775" t="str">
            <v>DONE</v>
          </cell>
          <cell r="R775">
            <v>46163</v>
          </cell>
          <cell r="S775" t="str">
            <v>Ardijan Qorraj</v>
          </cell>
          <cell r="T775" t="str">
            <v>Ardijan Qorraj</v>
          </cell>
          <cell r="U775" t="str">
            <v>C6YRK7K2F</v>
          </cell>
          <cell r="V775">
            <v>4917655744700</v>
          </cell>
          <cell r="W775" t="str">
            <v>Germany, Piepersweg 35 (41066)</v>
          </cell>
          <cell r="X775">
            <v>1462</v>
          </cell>
          <cell r="AB775">
            <v>1721</v>
          </cell>
          <cell r="AC775">
            <v>33348</v>
          </cell>
          <cell r="AD775">
            <v>1175</v>
          </cell>
        </row>
        <row r="776">
          <cell r="A776">
            <v>774</v>
          </cell>
          <cell r="B776">
            <v>46153</v>
          </cell>
          <cell r="C776" t="str">
            <v>JAGUAR F-PACE</v>
          </cell>
          <cell r="D776" t="str">
            <v>JAGUAR</v>
          </cell>
          <cell r="E776" t="str">
            <v>F-PACE</v>
          </cell>
          <cell r="H776">
            <v>35933</v>
          </cell>
          <cell r="J776" t="str">
            <v>경매장- 헤이딜러</v>
          </cell>
          <cell r="L776" t="str">
            <v>잔금</v>
          </cell>
          <cell r="P776">
            <v>0</v>
          </cell>
          <cell r="Q776" t="str">
            <v>done</v>
          </cell>
          <cell r="R776">
            <v>46155</v>
          </cell>
          <cell r="S776" t="str">
            <v>R.S.h L.L.C.</v>
          </cell>
          <cell r="T776" t="str">
            <v>R.Sh L.L.C.</v>
          </cell>
          <cell r="U776">
            <v>812326016</v>
          </cell>
          <cell r="V776" t="str">
            <v>+383486 611 61</v>
          </cell>
          <cell r="W776" t="str">
            <v>Kosovo</v>
          </cell>
          <cell r="X776">
            <v>1462</v>
          </cell>
          <cell r="AB776">
            <v>1721</v>
          </cell>
          <cell r="AC776">
            <v>0</v>
          </cell>
        </row>
        <row r="777">
          <cell r="A777">
            <v>775</v>
          </cell>
          <cell r="B777">
            <v>46154</v>
          </cell>
          <cell r="C777" t="str">
            <v>VOLKSWAGENS Tiguan Allspace 2.0 TDI</v>
          </cell>
          <cell r="D777" t="str">
            <v>VOLKSWAGENS</v>
          </cell>
          <cell r="E777" t="str">
            <v>Tiguan Allspace 2.0 TDI</v>
          </cell>
          <cell r="G777" t="str">
            <v>274더9630</v>
          </cell>
          <cell r="H777" t="str">
            <v>WVGZZZ5NZLM172067</v>
          </cell>
          <cell r="I777">
            <v>46157</v>
          </cell>
          <cell r="J777" t="str">
            <v>㈜지엔비오토모빌</v>
          </cell>
          <cell r="L777" t="str">
            <v>잔금</v>
          </cell>
          <cell r="M777" t="str">
            <v>100만원 회사통장</v>
          </cell>
          <cell r="N777">
            <v>2610</v>
          </cell>
          <cell r="P777">
            <v>0</v>
          </cell>
          <cell r="Q777" t="str">
            <v>done</v>
          </cell>
          <cell r="R777">
            <v>46164</v>
          </cell>
          <cell r="S777" t="str">
            <v>Auto Posh SH.P.K</v>
          </cell>
          <cell r="T777" t="str">
            <v>Auto Posh SH.P.K</v>
          </cell>
          <cell r="U777">
            <v>812219427</v>
          </cell>
          <cell r="V777" t="str">
            <v>38345560145</v>
          </cell>
          <cell r="W777" t="str">
            <v>KOSOVO</v>
          </cell>
          <cell r="X777">
            <v>1462</v>
          </cell>
          <cell r="AB777">
            <v>1721</v>
          </cell>
          <cell r="AC777">
            <v>14482</v>
          </cell>
          <cell r="AD777">
            <v>1478</v>
          </cell>
          <cell r="AE777">
            <v>15960</v>
          </cell>
        </row>
        <row r="778">
          <cell r="A778">
            <v>776</v>
          </cell>
          <cell r="B778">
            <v>46155</v>
          </cell>
          <cell r="C778" t="str">
            <v>BENZ S350d</v>
          </cell>
          <cell r="D778" t="str">
            <v>BENZ</v>
          </cell>
          <cell r="E778" t="str">
            <v>S350d</v>
          </cell>
          <cell r="G778" t="str">
            <v>238모2381</v>
          </cell>
          <cell r="H778" t="str">
            <v>WDDUG3CB1EA046083</v>
          </cell>
          <cell r="I778">
            <v>46157</v>
          </cell>
          <cell r="J778" t="str">
            <v>㈜ 차차</v>
          </cell>
          <cell r="L778" t="str">
            <v>잔금</v>
          </cell>
          <cell r="M778" t="str">
            <v>100만원 회사통장</v>
          </cell>
          <cell r="N778">
            <v>3000</v>
          </cell>
          <cell r="O778">
            <v>44</v>
          </cell>
          <cell r="P778">
            <v>0</v>
          </cell>
          <cell r="Q778" t="str">
            <v>done</v>
          </cell>
          <cell r="R778">
            <v>46164</v>
          </cell>
          <cell r="S778" t="str">
            <v xml:space="preserve">Andrea Kasa </v>
          </cell>
          <cell r="T778" t="str">
            <v>Sindi Xhyra</v>
          </cell>
          <cell r="U778" t="str">
            <v>K25514045O</v>
          </cell>
          <cell r="V778" t="str">
            <v>355 69 746 2556</v>
          </cell>
          <cell r="W778" t="str">
            <v>Albania</v>
          </cell>
          <cell r="X778">
            <v>1479</v>
          </cell>
          <cell r="AB778">
            <v>1736</v>
          </cell>
          <cell r="AC778">
            <v>16718</v>
          </cell>
          <cell r="AD778">
            <v>1482</v>
          </cell>
          <cell r="AE778">
            <v>18200</v>
          </cell>
          <cell r="AF778">
            <v>16700</v>
          </cell>
        </row>
        <row r="779">
          <cell r="A779">
            <v>777</v>
          </cell>
          <cell r="B779">
            <v>46155</v>
          </cell>
          <cell r="C779" t="str">
            <v>VOLKSWAGENS GOLF GTI</v>
          </cell>
          <cell r="D779" t="str">
            <v>VOLKSWAGENS</v>
          </cell>
          <cell r="E779" t="str">
            <v>GOLF GTI</v>
          </cell>
          <cell r="G779" t="str">
            <v>280라7780</v>
          </cell>
          <cell r="H779" t="str">
            <v>WVWZZZCD8RW117688</v>
          </cell>
          <cell r="I779">
            <v>46157</v>
          </cell>
          <cell r="L779" t="str">
            <v>잔금</v>
          </cell>
          <cell r="M779" t="str">
            <v>100만원 회사통장</v>
          </cell>
          <cell r="N779">
            <v>3240</v>
          </cell>
          <cell r="P779">
            <v>0</v>
          </cell>
          <cell r="Q779" t="str">
            <v>done</v>
          </cell>
          <cell r="R779">
            <v>46164</v>
          </cell>
          <cell r="S779" t="str">
            <v>CALJA</v>
          </cell>
          <cell r="T779" t="str">
            <v>JATA NJAZI</v>
          </cell>
          <cell r="U779" t="str">
            <v>J10115042R</v>
          </cell>
          <cell r="V779" t="str">
            <v>355 69 550 5533</v>
          </cell>
          <cell r="W779" t="str">
            <v>Albania</v>
          </cell>
          <cell r="X779">
            <v>1479</v>
          </cell>
          <cell r="AB779">
            <v>1736</v>
          </cell>
          <cell r="AC779">
            <v>17703</v>
          </cell>
          <cell r="AD779">
            <v>1397</v>
          </cell>
          <cell r="AE779">
            <v>19100</v>
          </cell>
          <cell r="AF779">
            <v>10000</v>
          </cell>
        </row>
        <row r="780">
          <cell r="A780">
            <v>778</v>
          </cell>
          <cell r="B780">
            <v>46155</v>
          </cell>
          <cell r="C780" t="str">
            <v>BMW X4</v>
          </cell>
          <cell r="D780" t="str">
            <v>BMW</v>
          </cell>
          <cell r="E780" t="str">
            <v>X4</v>
          </cell>
          <cell r="G780" t="str">
            <v>67라5052</v>
          </cell>
          <cell r="H780" t="str">
            <v>WBAXX1106H0T36291</v>
          </cell>
          <cell r="I780">
            <v>46160</v>
          </cell>
          <cell r="L780" t="str">
            <v>잔금</v>
          </cell>
          <cell r="M780" t="str">
            <v>100만원 회사통장</v>
          </cell>
          <cell r="N780">
            <v>2000</v>
          </cell>
          <cell r="P780">
            <v>0</v>
          </cell>
          <cell r="Q780" t="str">
            <v>done</v>
          </cell>
          <cell r="R780">
            <v>46163</v>
          </cell>
          <cell r="S780" t="str">
            <v>ATLAS GROUP SH.P.K</v>
          </cell>
          <cell r="T780" t="str">
            <v>ATLAS GROUP SH.P.K</v>
          </cell>
          <cell r="U780">
            <v>812137455</v>
          </cell>
          <cell r="V780" t="str">
            <v>+38348702207</v>
          </cell>
          <cell r="W780" t="str">
            <v>Xhelal Hajda, p.n. Rahovec</v>
          </cell>
          <cell r="X780">
            <v>1479</v>
          </cell>
          <cell r="AB780">
            <v>1736</v>
          </cell>
          <cell r="AC780">
            <v>11038</v>
          </cell>
          <cell r="AD780">
            <v>1482</v>
          </cell>
          <cell r="AE780">
            <v>12520</v>
          </cell>
          <cell r="AF780">
            <v>12520</v>
          </cell>
        </row>
        <row r="781">
          <cell r="A781">
            <v>779</v>
          </cell>
          <cell r="B781">
            <v>46155</v>
          </cell>
          <cell r="C781" t="str">
            <v>BENZ E220D</v>
          </cell>
          <cell r="D781" t="str">
            <v>BENZ</v>
          </cell>
          <cell r="E781" t="str">
            <v>E220D</v>
          </cell>
          <cell r="G781" t="str">
            <v>230모4914</v>
          </cell>
          <cell r="H781" t="str">
            <v>WDDZF0EB0HA108694</v>
          </cell>
          <cell r="I781">
            <v>46157</v>
          </cell>
          <cell r="J781" t="str">
            <v>㈜제이디모터스</v>
          </cell>
          <cell r="L781" t="str">
            <v>잔금</v>
          </cell>
          <cell r="M781" t="str">
            <v>70만원 회사통장</v>
          </cell>
          <cell r="N781">
            <v>1724</v>
          </cell>
          <cell r="P781">
            <v>0</v>
          </cell>
          <cell r="Q781" t="str">
            <v>done</v>
          </cell>
          <cell r="R781">
            <v>46163</v>
          </cell>
          <cell r="S781" t="str">
            <v>CALJA</v>
          </cell>
          <cell r="T781" t="str">
            <v>Calja Marius</v>
          </cell>
          <cell r="U781" t="str">
            <v>M43323203V</v>
          </cell>
          <cell r="V781" t="str">
            <v>355 69 550 5533</v>
          </cell>
          <cell r="W781" t="str">
            <v>Albania</v>
          </cell>
          <cell r="X781">
            <v>1479</v>
          </cell>
          <cell r="AB781">
            <v>1736</v>
          </cell>
          <cell r="AC781">
            <v>9473</v>
          </cell>
          <cell r="AD781">
            <v>1397</v>
          </cell>
          <cell r="AE781">
            <v>10870</v>
          </cell>
        </row>
        <row r="782">
          <cell r="A782">
            <v>780</v>
          </cell>
          <cell r="B782">
            <v>46155</v>
          </cell>
          <cell r="C782" t="str">
            <v>VOLKSWAGENS TIGUAN</v>
          </cell>
          <cell r="D782" t="str">
            <v>VOLKSWAGENS</v>
          </cell>
          <cell r="E782" t="str">
            <v>TIGUAN</v>
          </cell>
          <cell r="G782" t="str">
            <v>16라2888</v>
          </cell>
          <cell r="H782" t="str">
            <v>WVGZZZ5NZJM180149</v>
          </cell>
          <cell r="I782">
            <v>46157</v>
          </cell>
          <cell r="L782" t="str">
            <v>잔금</v>
          </cell>
          <cell r="M782" t="str">
            <v>100만원 회사통장</v>
          </cell>
          <cell r="N782">
            <v>1890</v>
          </cell>
          <cell r="P782">
            <v>0</v>
          </cell>
          <cell r="Q782" t="str">
            <v>done</v>
          </cell>
          <cell r="R782">
            <v>46163</v>
          </cell>
          <cell r="S782" t="str">
            <v>ATLAS GROUP SH.P.K</v>
          </cell>
          <cell r="T782" t="str">
            <v>ATLAS GROUP SH.P.K</v>
          </cell>
          <cell r="U782">
            <v>812137455</v>
          </cell>
          <cell r="V782" t="str">
            <v>+38348702207</v>
          </cell>
          <cell r="W782" t="str">
            <v>Xhelal Hajda, p.n. Rahovec</v>
          </cell>
          <cell r="X782">
            <v>1479</v>
          </cell>
          <cell r="AB782">
            <v>1736</v>
          </cell>
          <cell r="AC782">
            <v>10418</v>
          </cell>
          <cell r="AD782">
            <v>1482</v>
          </cell>
          <cell r="AE782">
            <v>11900</v>
          </cell>
          <cell r="AF782">
            <v>12000</v>
          </cell>
        </row>
        <row r="783">
          <cell r="A783">
            <v>781</v>
          </cell>
          <cell r="B783">
            <v>46155</v>
          </cell>
          <cell r="C783" t="str">
            <v>AUDI A6</v>
          </cell>
          <cell r="D783" t="str">
            <v>AUDI</v>
          </cell>
          <cell r="E783" t="str">
            <v>A6</v>
          </cell>
          <cell r="G783" t="str">
            <v>131로4591</v>
          </cell>
          <cell r="H783" t="str">
            <v xml:space="preserve">WAUZZZF24LN052911 </v>
          </cell>
          <cell r="I783">
            <v>46160</v>
          </cell>
          <cell r="J783" t="str">
            <v>㈜한길유씨에스</v>
          </cell>
          <cell r="L783" t="str">
            <v>잔금</v>
          </cell>
          <cell r="M783" t="str">
            <v>100만원 대표님 계약</v>
          </cell>
          <cell r="N783">
            <v>3010</v>
          </cell>
          <cell r="P783">
            <v>0</v>
          </cell>
          <cell r="Q783" t="str">
            <v>done</v>
          </cell>
          <cell r="R783">
            <v>46164</v>
          </cell>
          <cell r="S783" t="str">
            <v>Auto Posh SH.P.K</v>
          </cell>
          <cell r="T783" t="str">
            <v>Auto Posh SH.P.K</v>
          </cell>
          <cell r="U783">
            <v>812219427</v>
          </cell>
          <cell r="V783" t="str">
            <v>38345560145</v>
          </cell>
          <cell r="W783" t="str">
            <v>KOSOVO</v>
          </cell>
          <cell r="X783">
            <v>1479</v>
          </cell>
          <cell r="AB783">
            <v>1736</v>
          </cell>
          <cell r="AC783">
            <v>16603</v>
          </cell>
          <cell r="AD783">
            <v>1397</v>
          </cell>
          <cell r="AE783">
            <v>18000</v>
          </cell>
        </row>
        <row r="784">
          <cell r="A784">
            <v>782</v>
          </cell>
          <cell r="B784">
            <v>46155</v>
          </cell>
          <cell r="C784" t="str">
            <v>MERCEDES AMG S63 4MATIC L</v>
          </cell>
          <cell r="D784" t="str">
            <v>MERCEDES AMG</v>
          </cell>
          <cell r="E784" t="str">
            <v>S63 4MATIC L</v>
          </cell>
          <cell r="G784" t="str">
            <v>25부7058</v>
          </cell>
          <cell r="H784" t="str">
            <v>WDDUG7JB6GA211378</v>
          </cell>
          <cell r="I784">
            <v>46160</v>
          </cell>
          <cell r="J784" t="str">
            <v>㈜신원자동차</v>
          </cell>
          <cell r="L784" t="str">
            <v>잔금</v>
          </cell>
          <cell r="M784" t="str">
            <v>100만원 회사통장</v>
          </cell>
          <cell r="N784">
            <v>4140</v>
          </cell>
          <cell r="P784">
            <v>0</v>
          </cell>
          <cell r="Q784" t="str">
            <v>DONE</v>
          </cell>
          <cell r="R784">
            <v>46170</v>
          </cell>
          <cell r="S784" t="str">
            <v>TIM JENSHEN  🇩🇪</v>
          </cell>
          <cell r="T784" t="str">
            <v>SUSANNE JANSHEN</v>
          </cell>
          <cell r="U784" t="str">
            <v>L215R5HN3</v>
          </cell>
          <cell r="V784" t="str">
            <v>49 163 0218 239</v>
          </cell>
          <cell r="W784" t="str">
            <v>Germany</v>
          </cell>
          <cell r="X784">
            <v>1479</v>
          </cell>
          <cell r="AB784">
            <v>1736</v>
          </cell>
          <cell r="AC784">
            <v>23100</v>
          </cell>
          <cell r="AF784">
            <v>23100</v>
          </cell>
        </row>
        <row r="785">
          <cell r="A785">
            <v>783</v>
          </cell>
          <cell r="B785">
            <v>46155</v>
          </cell>
          <cell r="C785" t="str">
            <v>BENZ C220D</v>
          </cell>
          <cell r="D785" t="str">
            <v>BENZ</v>
          </cell>
          <cell r="E785" t="str">
            <v>C220D</v>
          </cell>
          <cell r="G785" t="str">
            <v>07마0541</v>
          </cell>
          <cell r="H785" t="str">
            <v>WDDWF0EB0GF251567</v>
          </cell>
          <cell r="I785">
            <v>46160</v>
          </cell>
          <cell r="J785" t="str">
            <v>㈜코오롱오빌리키그롭</v>
          </cell>
          <cell r="L785" t="str">
            <v>잔금</v>
          </cell>
          <cell r="M785" t="str">
            <v>50만원 회사통장</v>
          </cell>
          <cell r="N785">
            <v>1390</v>
          </cell>
          <cell r="P785">
            <v>0</v>
          </cell>
          <cell r="Q785" t="str">
            <v>done</v>
          </cell>
          <cell r="R785">
            <v>46170</v>
          </cell>
          <cell r="S785" t="str">
            <v>EASY DRIVE</v>
          </cell>
          <cell r="T785" t="str">
            <v>Easy Drive LTD</v>
          </cell>
          <cell r="U785" t="str">
            <v xml:space="preserve"> 206557008</v>
          </cell>
          <cell r="V785" t="str">
            <v>359 89 936 8386</v>
          </cell>
          <cell r="W785" t="str">
            <v>ul. Sokolna 47
1444 Sofia
Bulgaria</v>
          </cell>
          <cell r="X785">
            <v>1479</v>
          </cell>
          <cell r="AB785">
            <v>1736</v>
          </cell>
          <cell r="AC785">
            <v>7810</v>
          </cell>
        </row>
        <row r="786">
          <cell r="A786">
            <v>784</v>
          </cell>
          <cell r="B786">
            <v>46155</v>
          </cell>
          <cell r="C786" t="str">
            <v>KIA SPORTAGE</v>
          </cell>
          <cell r="D786" t="str">
            <v>KIA</v>
          </cell>
          <cell r="E786" t="str">
            <v>SPORTAGE</v>
          </cell>
          <cell r="G786" t="str">
            <v>124루1884</v>
          </cell>
          <cell r="H786" t="str">
            <v>KNAP6815GJK409316</v>
          </cell>
          <cell r="I786">
            <v>46155</v>
          </cell>
          <cell r="J786" t="str">
            <v>경매장- AJ</v>
          </cell>
          <cell r="L786" t="str">
            <v>잔금</v>
          </cell>
          <cell r="N786">
            <v>720</v>
          </cell>
          <cell r="O786">
            <v>18</v>
          </cell>
          <cell r="P786">
            <v>0</v>
          </cell>
          <cell r="Q786" t="str">
            <v>DONE</v>
          </cell>
          <cell r="R786">
            <v>42516</v>
          </cell>
          <cell r="S786" t="str">
            <v>MANTAS</v>
          </cell>
          <cell r="T786" t="str">
            <v>UAB GRALIS</v>
          </cell>
          <cell r="U786">
            <v>179285533</v>
          </cell>
          <cell r="V786" t="str">
            <v>370 (618) 11 666</v>
          </cell>
          <cell r="W786" t="str">
            <v xml:space="preserve">Jūros g. 33, Tauragė  </v>
          </cell>
          <cell r="X786">
            <v>1479</v>
          </cell>
          <cell r="AB786">
            <v>1736</v>
          </cell>
          <cell r="AC786">
            <v>0</v>
          </cell>
        </row>
        <row r="787">
          <cell r="A787">
            <v>785</v>
          </cell>
          <cell r="B787">
            <v>46155</v>
          </cell>
          <cell r="C787" t="str">
            <v>BMW X6</v>
          </cell>
          <cell r="D787" t="str">
            <v>BMW</v>
          </cell>
          <cell r="E787" t="str">
            <v>X6</v>
          </cell>
          <cell r="G787" t="str">
            <v>23머9360</v>
          </cell>
          <cell r="H787" t="str">
            <v>WBAFH6102E0B46069</v>
          </cell>
          <cell r="I787">
            <v>46155</v>
          </cell>
          <cell r="J787" t="str">
            <v>경매장- AJ</v>
          </cell>
          <cell r="L787" t="str">
            <v>잔금</v>
          </cell>
          <cell r="N787">
            <v>590</v>
          </cell>
          <cell r="O787">
            <v>16</v>
          </cell>
          <cell r="P787">
            <v>0</v>
          </cell>
          <cell r="Q787" t="str">
            <v>DONE</v>
          </cell>
          <cell r="R787">
            <v>42516</v>
          </cell>
          <cell r="S787" t="str">
            <v>MANTAS</v>
          </cell>
          <cell r="T787" t="str">
            <v>UAB GRALIS</v>
          </cell>
          <cell r="U787">
            <v>179285533</v>
          </cell>
          <cell r="V787" t="str">
            <v>370 (618) 11 666</v>
          </cell>
          <cell r="W787" t="str">
            <v xml:space="preserve">Jūros g. 33, Tauragė  </v>
          </cell>
          <cell r="X787">
            <v>1479</v>
          </cell>
          <cell r="AB787">
            <v>1736</v>
          </cell>
          <cell r="AC787">
            <v>0</v>
          </cell>
        </row>
        <row r="788">
          <cell r="A788">
            <v>786</v>
          </cell>
          <cell r="B788">
            <v>46155</v>
          </cell>
          <cell r="C788" t="str">
            <v>VOLKSWAGENS ARTEON</v>
          </cell>
          <cell r="D788" t="str">
            <v>VOLKSWAGENS</v>
          </cell>
          <cell r="E788" t="str">
            <v>ARTEON</v>
          </cell>
          <cell r="G788" t="str">
            <v>232거9086</v>
          </cell>
          <cell r="H788" t="str">
            <v>WVWZZZ3HZPE009128</v>
          </cell>
          <cell r="I788">
            <v>46155</v>
          </cell>
          <cell r="L788" t="str">
            <v>잔금</v>
          </cell>
          <cell r="N788">
            <v>2650</v>
          </cell>
          <cell r="P788">
            <v>0</v>
          </cell>
          <cell r="Q788" t="str">
            <v>DONE</v>
          </cell>
          <cell r="R788">
            <v>42516</v>
          </cell>
          <cell r="S788" t="str">
            <v>R.S.h L.L.C.</v>
          </cell>
          <cell r="T788" t="str">
            <v>R.Sh L.L.C.</v>
          </cell>
          <cell r="U788">
            <v>812326016</v>
          </cell>
          <cell r="V788" t="str">
            <v>+383486 611 61</v>
          </cell>
          <cell r="W788" t="str">
            <v>Kosovo</v>
          </cell>
          <cell r="X788">
            <v>1479</v>
          </cell>
          <cell r="AB788">
            <v>1736</v>
          </cell>
          <cell r="AC788">
            <v>16100</v>
          </cell>
          <cell r="AE788">
            <v>16100</v>
          </cell>
        </row>
        <row r="789">
          <cell r="A789">
            <v>787</v>
          </cell>
          <cell r="B789">
            <v>46155</v>
          </cell>
          <cell r="C789" t="str">
            <v>AUDI A6</v>
          </cell>
          <cell r="D789" t="str">
            <v>AUDI</v>
          </cell>
          <cell r="E789" t="str">
            <v>A6</v>
          </cell>
          <cell r="G789" t="str">
            <v>137소8360</v>
          </cell>
          <cell r="H789" t="str">
            <v>WAUZZZ4G7GN106383</v>
          </cell>
          <cell r="I789">
            <v>46155</v>
          </cell>
          <cell r="L789" t="str">
            <v>잔금</v>
          </cell>
          <cell r="N789">
            <v>1070</v>
          </cell>
          <cell r="P789">
            <v>0</v>
          </cell>
          <cell r="Q789" t="str">
            <v>DONE</v>
          </cell>
          <cell r="R789">
            <v>42516</v>
          </cell>
          <cell r="S789" t="str">
            <v>AUTO SCOUT</v>
          </cell>
          <cell r="T789" t="str">
            <v>DONI</v>
          </cell>
          <cell r="U789">
            <v>933682</v>
          </cell>
          <cell r="V789" t="str">
            <v>3 8 3 4 9 3 2 5 7 0 3</v>
          </cell>
          <cell r="W789" t="str">
            <v xml:space="preserve"> HYZRI TALLA OB 16 HY 1 NR 18
 Kosovë</v>
          </cell>
          <cell r="X789">
            <v>1479</v>
          </cell>
          <cell r="AB789">
            <v>1736</v>
          </cell>
          <cell r="AC789">
            <v>6003</v>
          </cell>
          <cell r="AD789">
            <v>1397</v>
          </cell>
          <cell r="AE789">
            <v>7400</v>
          </cell>
        </row>
        <row r="790">
          <cell r="A790">
            <v>788</v>
          </cell>
          <cell r="B790">
            <v>46155</v>
          </cell>
          <cell r="C790" t="str">
            <v xml:space="preserve">VOLKSWAGENS GOLF </v>
          </cell>
          <cell r="D790" t="str">
            <v>VOLKSWAGENS</v>
          </cell>
          <cell r="E790" t="str">
            <v xml:space="preserve">GOLF </v>
          </cell>
          <cell r="G790" t="str">
            <v>16머0493</v>
          </cell>
          <cell r="H790" t="str">
            <v>WVWZZZAUZGW139320</v>
          </cell>
          <cell r="I790">
            <v>46160</v>
          </cell>
          <cell r="J790" t="str">
            <v>㈜수호모터스</v>
          </cell>
          <cell r="L790" t="str">
            <v>잔금</v>
          </cell>
          <cell r="M790" t="str">
            <v>50만원 대표님 계약</v>
          </cell>
          <cell r="N790">
            <v>1290</v>
          </cell>
          <cell r="P790">
            <v>0</v>
          </cell>
          <cell r="Q790" t="str">
            <v>done</v>
          </cell>
          <cell r="R790">
            <v>46163</v>
          </cell>
          <cell r="S790" t="str">
            <v>ATLAS GROUP SH.P.K</v>
          </cell>
          <cell r="T790" t="str">
            <v>ATLAS GROUP SH.P.K</v>
          </cell>
          <cell r="U790">
            <v>812137455</v>
          </cell>
          <cell r="V790" t="str">
            <v>+38348702207</v>
          </cell>
          <cell r="W790" t="str">
            <v>Xhelal Hajda, p.n. Rahovec</v>
          </cell>
          <cell r="X790">
            <v>1479</v>
          </cell>
          <cell r="AB790">
            <v>1736</v>
          </cell>
          <cell r="AC790">
            <v>7370</v>
          </cell>
          <cell r="AD790">
            <v>854</v>
          </cell>
        </row>
        <row r="791">
          <cell r="A791">
            <v>789</v>
          </cell>
          <cell r="B791">
            <v>46155</v>
          </cell>
          <cell r="C791" t="str">
            <v>BENZ GLA</v>
          </cell>
          <cell r="D791" t="str">
            <v>BENZ</v>
          </cell>
          <cell r="E791" t="str">
            <v>GLA</v>
          </cell>
          <cell r="G791" t="str">
            <v>307서5810</v>
          </cell>
          <cell r="H791" t="str">
            <v>WDCTG0JB3HJ364230</v>
          </cell>
          <cell r="I791">
            <v>46156</v>
          </cell>
          <cell r="L791" t="str">
            <v>잔금</v>
          </cell>
          <cell r="N791">
            <v>1400</v>
          </cell>
          <cell r="P791">
            <v>0</v>
          </cell>
          <cell r="Q791" t="str">
            <v>DONE</v>
          </cell>
          <cell r="R791">
            <v>42516</v>
          </cell>
          <cell r="S791" t="str">
            <v>R.S.h L.L.C.</v>
          </cell>
          <cell r="T791" t="str">
            <v>R.Sh L.L.C.</v>
          </cell>
          <cell r="U791">
            <v>812326016</v>
          </cell>
          <cell r="V791" t="str">
            <v>+383486 611 61</v>
          </cell>
          <cell r="W791" t="str">
            <v>Kosovo</v>
          </cell>
          <cell r="X791">
            <v>1479</v>
          </cell>
          <cell r="AB791">
            <v>1736</v>
          </cell>
          <cell r="AC791">
            <v>7832</v>
          </cell>
          <cell r="AD791">
            <v>1398</v>
          </cell>
          <cell r="AE791">
            <v>9230</v>
          </cell>
        </row>
        <row r="792">
          <cell r="A792">
            <v>790</v>
          </cell>
          <cell r="B792">
            <v>46156</v>
          </cell>
          <cell r="C792" t="str">
            <v>Mercedes‑Benz CLA250 4MATIC</v>
          </cell>
          <cell r="D792" t="str">
            <v>Mercedes‑Benz</v>
          </cell>
          <cell r="E792" t="str">
            <v>CLA250 4MATIC</v>
          </cell>
          <cell r="G792" t="str">
            <v>25가0150</v>
          </cell>
          <cell r="H792" t="str">
            <v>WDDSJ4GB2HN444926</v>
          </cell>
          <cell r="I792">
            <v>46162</v>
          </cell>
          <cell r="J792" t="str">
            <v>㈜카픽</v>
          </cell>
          <cell r="L792" t="str">
            <v>잔금</v>
          </cell>
          <cell r="M792" t="str">
            <v>50만원 회사통장</v>
          </cell>
          <cell r="N792">
            <v>1290</v>
          </cell>
          <cell r="P792">
            <v>0</v>
          </cell>
          <cell r="Q792" t="str">
            <v>DONE</v>
          </cell>
          <cell r="R792">
            <v>46170</v>
          </cell>
          <cell r="S792" t="str">
            <v>TIM JENSHEN  🇩🇪</v>
          </cell>
          <cell r="T792" t="str">
            <v>DARIO MARKGRAF</v>
          </cell>
          <cell r="U792" t="str">
            <v>CZY71H2Y3</v>
          </cell>
          <cell r="V792" t="str">
            <v>49 163 0218 239</v>
          </cell>
          <cell r="W792" t="str">
            <v>Germany</v>
          </cell>
          <cell r="X792">
            <v>1484</v>
          </cell>
          <cell r="AB792">
            <v>1725</v>
          </cell>
          <cell r="AC792">
            <v>7170</v>
          </cell>
          <cell r="AF792">
            <v>7170</v>
          </cell>
        </row>
        <row r="793">
          <cell r="A793">
            <v>791</v>
          </cell>
          <cell r="B793">
            <v>46156</v>
          </cell>
          <cell r="C793" t="str">
            <v>Mercedes‑Benz CLA250 4MATIC</v>
          </cell>
          <cell r="D793" t="str">
            <v>Mercedes‑Benz</v>
          </cell>
          <cell r="E793" t="str">
            <v>CLA250 4MATIC</v>
          </cell>
          <cell r="G793" t="str">
            <v>234조6163</v>
          </cell>
          <cell r="H793" t="str">
            <v>WDDSJ4GB3HN433904</v>
          </cell>
          <cell r="I793">
            <v>46162</v>
          </cell>
          <cell r="L793" t="str">
            <v>잔금</v>
          </cell>
          <cell r="M793" t="str">
            <v>50만원 회사통장</v>
          </cell>
          <cell r="N793">
            <v>1080</v>
          </cell>
          <cell r="P793">
            <v>0</v>
          </cell>
          <cell r="Q793" t="str">
            <v>DONE</v>
          </cell>
          <cell r="R793">
            <v>46170</v>
          </cell>
          <cell r="S793" t="str">
            <v>TIM JENSHEN  🇩🇪</v>
          </cell>
          <cell r="T793" t="str">
            <v>DARIO MARKGRAF</v>
          </cell>
          <cell r="U793" t="str">
            <v>CZY71H2Y3</v>
          </cell>
          <cell r="V793" t="str">
            <v>49 163 0218 239</v>
          </cell>
          <cell r="W793" t="str">
            <v>Germany</v>
          </cell>
          <cell r="X793">
            <v>1484</v>
          </cell>
          <cell r="AB793">
            <v>1725</v>
          </cell>
          <cell r="AC793">
            <v>6150</v>
          </cell>
          <cell r="AF793">
            <v>6150</v>
          </cell>
        </row>
        <row r="794">
          <cell r="A794">
            <v>792</v>
          </cell>
          <cell r="B794">
            <v>46156</v>
          </cell>
          <cell r="C794" t="str">
            <v>AUDI R8</v>
          </cell>
          <cell r="D794" t="str">
            <v>AUDI</v>
          </cell>
          <cell r="E794" t="str">
            <v>R8</v>
          </cell>
          <cell r="G794" t="str">
            <v>172누3455</v>
          </cell>
          <cell r="H794" t="str">
            <v>WUAZZZFX7H7901989</v>
          </cell>
          <cell r="I794">
            <v>44707</v>
          </cell>
          <cell r="J794" t="str">
            <v>개인매입 - 전영주010 2748 5374</v>
          </cell>
          <cell r="L794" t="str">
            <v>잔금</v>
          </cell>
          <cell r="M794" t="str">
            <v>200만원 대표님 계약</v>
          </cell>
          <cell r="N794" t="str">
            <v>1억9백</v>
          </cell>
          <cell r="P794">
            <v>0</v>
          </cell>
          <cell r="Q794" t="str">
            <v>DONE</v>
          </cell>
          <cell r="R794">
            <v>46195</v>
          </cell>
          <cell r="S794" t="str">
            <v>BURAK BARAN CARS</v>
          </cell>
          <cell r="T794" t="str">
            <v>BARAN BURAK</v>
          </cell>
          <cell r="U794" t="str">
            <v>C8CHJFFVN</v>
          </cell>
          <cell r="V794" t="str">
            <v>49 170 350 3544</v>
          </cell>
          <cell r="W794" t="str">
            <v>GERMANY</v>
          </cell>
          <cell r="X794">
            <v>1484</v>
          </cell>
          <cell r="AB794">
            <v>1725</v>
          </cell>
          <cell r="AC794">
            <v>59760</v>
          </cell>
          <cell r="AF794">
            <v>58000</v>
          </cell>
        </row>
        <row r="795">
          <cell r="A795">
            <v>793</v>
          </cell>
          <cell r="B795">
            <v>46156</v>
          </cell>
          <cell r="C795" t="str">
            <v>BENZ E220d</v>
          </cell>
          <cell r="D795" t="str">
            <v>BENZ</v>
          </cell>
          <cell r="E795" t="str">
            <v>E220d</v>
          </cell>
          <cell r="G795" t="str">
            <v>37러3209</v>
          </cell>
          <cell r="H795" t="str">
            <v>WDDZF0EB0KA493603</v>
          </cell>
          <cell r="I795">
            <v>46160</v>
          </cell>
          <cell r="J795" t="str">
            <v>㈜판다카</v>
          </cell>
          <cell r="L795" t="str">
            <v>잔금</v>
          </cell>
          <cell r="M795" t="str">
            <v>50만원 대표님 계약</v>
          </cell>
          <cell r="N795">
            <v>1760</v>
          </cell>
          <cell r="P795">
            <v>0</v>
          </cell>
          <cell r="Q795" t="str">
            <v>done</v>
          </cell>
          <cell r="R795">
            <v>46164</v>
          </cell>
          <cell r="S795" t="str">
            <v>GENC HETA</v>
          </cell>
          <cell r="T795" t="str">
            <v>ELSHANI VALDRIN</v>
          </cell>
          <cell r="U795">
            <v>2369144</v>
          </cell>
          <cell r="W795" t="str">
            <v>KOSOVO</v>
          </cell>
          <cell r="X795">
            <v>1477</v>
          </cell>
          <cell r="AB795">
            <v>1730</v>
          </cell>
          <cell r="AC795">
            <v>9735</v>
          </cell>
          <cell r="AD795">
            <v>1400</v>
          </cell>
          <cell r="AE795">
            <v>11135</v>
          </cell>
          <cell r="AF795">
            <v>11150</v>
          </cell>
        </row>
        <row r="796">
          <cell r="A796">
            <v>794</v>
          </cell>
          <cell r="B796">
            <v>46156</v>
          </cell>
          <cell r="C796" t="str">
            <v>Mercedes-Benz E300</v>
          </cell>
          <cell r="D796" t="str">
            <v>Mercedes-Benz</v>
          </cell>
          <cell r="E796" t="str">
            <v>E300</v>
          </cell>
          <cell r="G796" t="str">
            <v>16마0305</v>
          </cell>
          <cell r="H796" t="str">
            <v>WDDZF4JB6HA074466</v>
          </cell>
          <cell r="I796">
            <v>46162</v>
          </cell>
          <cell r="J796" t="str">
            <v>㈜카베이</v>
          </cell>
          <cell r="L796" t="str">
            <v>잔금</v>
          </cell>
          <cell r="M796" t="str">
            <v>50만원 대표님 계약</v>
          </cell>
          <cell r="N796">
            <v>1710</v>
          </cell>
          <cell r="O796">
            <v>44</v>
          </cell>
          <cell r="P796">
            <v>0</v>
          </cell>
          <cell r="Q796" t="str">
            <v>DONE</v>
          </cell>
          <cell r="R796">
            <v>46170</v>
          </cell>
          <cell r="S796" t="str">
            <v>TIM JENSHEN  🇩🇪</v>
          </cell>
          <cell r="T796" t="str">
            <v>SUSANNE JANSHEN</v>
          </cell>
          <cell r="U796" t="str">
            <v>L215R5HN3</v>
          </cell>
          <cell r="V796" t="str">
            <v>49 163 0218 239</v>
          </cell>
          <cell r="W796" t="str">
            <v>Germany</v>
          </cell>
          <cell r="X796">
            <v>1484</v>
          </cell>
          <cell r="AB796">
            <v>1725</v>
          </cell>
          <cell r="AC796">
            <v>9760</v>
          </cell>
          <cell r="AF796">
            <v>9760</v>
          </cell>
        </row>
        <row r="797">
          <cell r="A797">
            <v>795</v>
          </cell>
          <cell r="B797">
            <v>46159</v>
          </cell>
          <cell r="C797" t="str">
            <v>BENZ C220D</v>
          </cell>
          <cell r="D797" t="str">
            <v>BENZ</v>
          </cell>
          <cell r="E797" t="str">
            <v>C220D</v>
          </cell>
          <cell r="G797" t="str">
            <v>12너0511</v>
          </cell>
          <cell r="H797" t="str">
            <v>WDDWF0FB4GF276275</v>
          </cell>
          <cell r="I797">
            <v>46160</v>
          </cell>
          <cell r="J797" t="str">
            <v>㈜비전모터스</v>
          </cell>
          <cell r="L797" t="str">
            <v>잔금</v>
          </cell>
          <cell r="M797" t="str">
            <v>50만원 대표님 계약</v>
          </cell>
          <cell r="N797">
            <v>1150</v>
          </cell>
          <cell r="P797">
            <v>0</v>
          </cell>
          <cell r="Q797" t="str">
            <v>done</v>
          </cell>
          <cell r="R797">
            <v>46164</v>
          </cell>
          <cell r="S797" t="str">
            <v>CALJA</v>
          </cell>
          <cell r="T797" t="str">
            <v>KAMAMI ADI</v>
          </cell>
          <cell r="U797" t="str">
            <v>J10107011R</v>
          </cell>
          <cell r="V797" t="str">
            <v>355 69 550 5533</v>
          </cell>
          <cell r="W797" t="str">
            <v>Albania</v>
          </cell>
          <cell r="X797">
            <v>1479</v>
          </cell>
          <cell r="AB797">
            <v>1736</v>
          </cell>
          <cell r="AC797">
            <v>6403</v>
          </cell>
          <cell r="AD797">
            <v>1397</v>
          </cell>
          <cell r="AE797">
            <v>7800</v>
          </cell>
          <cell r="AF797">
            <v>10000</v>
          </cell>
        </row>
        <row r="798">
          <cell r="A798">
            <v>796</v>
          </cell>
          <cell r="B798">
            <v>46159</v>
          </cell>
          <cell r="C798" t="str">
            <v>PEUGEOT 5008</v>
          </cell>
          <cell r="D798" t="str">
            <v>PEUGEOT</v>
          </cell>
          <cell r="E798">
            <v>5008</v>
          </cell>
          <cell r="G798" t="str">
            <v>68버8584</v>
          </cell>
          <cell r="H798" t="str">
            <v>VF3MJEHZRKL006368</v>
          </cell>
          <cell r="I798">
            <v>46160</v>
          </cell>
          <cell r="J798" t="str">
            <v>㈜국민상사</v>
          </cell>
          <cell r="L798" t="str">
            <v>잔금</v>
          </cell>
          <cell r="M798" t="str">
            <v>50만원 대표님 계약</v>
          </cell>
          <cell r="N798">
            <v>1500</v>
          </cell>
          <cell r="O798">
            <v>44</v>
          </cell>
          <cell r="P798">
            <v>0</v>
          </cell>
          <cell r="Q798" t="str">
            <v>done</v>
          </cell>
          <cell r="R798">
            <v>46164</v>
          </cell>
          <cell r="S798" t="str">
            <v>DONI</v>
          </cell>
          <cell r="T798" t="str">
            <v>DONI</v>
          </cell>
          <cell r="U798">
            <v>933682</v>
          </cell>
          <cell r="V798" t="str">
            <v>3 8 3 4 9 3 2 5 7 0 3</v>
          </cell>
          <cell r="W798" t="str">
            <v xml:space="preserve"> HYZRI TALLA OB 16 HY 1 NR 18
 Kosovë</v>
          </cell>
          <cell r="X798">
            <v>1479</v>
          </cell>
          <cell r="AB798">
            <v>1736</v>
          </cell>
          <cell r="AC798">
            <v>8518</v>
          </cell>
          <cell r="AD798">
            <v>1482</v>
          </cell>
          <cell r="AE798">
            <v>10000</v>
          </cell>
        </row>
        <row r="799">
          <cell r="A799">
            <v>797</v>
          </cell>
          <cell r="B799">
            <v>46158</v>
          </cell>
          <cell r="C799" t="str">
            <v>KIA SPORTAGE</v>
          </cell>
          <cell r="D799" t="str">
            <v>KIA</v>
          </cell>
          <cell r="E799" t="str">
            <v>SPORTAGE</v>
          </cell>
          <cell r="G799" t="str">
            <v>33보8596</v>
          </cell>
          <cell r="H799" t="str">
            <v>KNAPP812GKK575112</v>
          </cell>
          <cell r="I799">
            <v>46163</v>
          </cell>
          <cell r="J799" t="str">
            <v>㈜더뉴서비스</v>
          </cell>
          <cell r="L799" t="str">
            <v>잔금</v>
          </cell>
          <cell r="M799" t="str">
            <v>50만원 대표님 계약</v>
          </cell>
          <cell r="N799">
            <v>1430</v>
          </cell>
          <cell r="P799">
            <v>0</v>
          </cell>
          <cell r="Q799" t="str">
            <v>done</v>
          </cell>
          <cell r="R799">
            <v>46170</v>
          </cell>
          <cell r="S799" t="str">
            <v>EASY DRIVE</v>
          </cell>
          <cell r="T799" t="str">
            <v>Easy Drive LTD</v>
          </cell>
          <cell r="U799">
            <v>206557008</v>
          </cell>
          <cell r="V799" t="str">
            <v>359 89 936 8386</v>
          </cell>
          <cell r="W799" t="str">
            <v>ul. Sokolna 47
1444 Sofia
Bulgaria</v>
          </cell>
          <cell r="X799">
            <v>1484</v>
          </cell>
          <cell r="AB799">
            <v>1725</v>
          </cell>
          <cell r="AC799">
            <v>8100</v>
          </cell>
        </row>
        <row r="800">
          <cell r="A800">
            <v>798</v>
          </cell>
          <cell r="B800">
            <v>46158</v>
          </cell>
          <cell r="C800" t="str">
            <v>BMW M5</v>
          </cell>
          <cell r="D800" t="str">
            <v>BMW</v>
          </cell>
          <cell r="E800" t="str">
            <v>M5</v>
          </cell>
          <cell r="G800" t="str">
            <v>35무2023</v>
          </cell>
          <cell r="H800" t="str">
            <v>WBSJF0103JG967043</v>
          </cell>
          <cell r="I800">
            <v>46163</v>
          </cell>
          <cell r="J800" t="str">
            <v>㈜코리아모터스</v>
          </cell>
          <cell r="L800" t="str">
            <v>잔금</v>
          </cell>
          <cell r="M800" t="str">
            <v>100만원 대표님 계약</v>
          </cell>
          <cell r="N800">
            <v>4950</v>
          </cell>
          <cell r="P800">
            <v>0</v>
          </cell>
          <cell r="Q800" t="str">
            <v>DONE</v>
          </cell>
          <cell r="R800">
            <v>46170</v>
          </cell>
          <cell r="S800" t="str">
            <v>DAX IMPORT</v>
          </cell>
          <cell r="T800" t="str">
            <v xml:space="preserve">Michael Karl  </v>
          </cell>
          <cell r="U800" t="str">
            <v>LF9N8WZ16</v>
          </cell>
          <cell r="V800" t="str">
            <v>‪+49 471 94189050‬</v>
          </cell>
          <cell r="W800" t="str">
            <v xml:space="preserve">Dorfstr,33C,(82024) Taufkirchen, Germany </v>
          </cell>
          <cell r="X800">
            <v>1484</v>
          </cell>
          <cell r="AB800">
            <v>1725</v>
          </cell>
          <cell r="AC800">
            <v>27360</v>
          </cell>
        </row>
        <row r="801">
          <cell r="A801">
            <v>799</v>
          </cell>
          <cell r="B801">
            <v>46160</v>
          </cell>
          <cell r="C801" t="str">
            <v>AUDI A6</v>
          </cell>
          <cell r="D801" t="str">
            <v>AUDI</v>
          </cell>
          <cell r="E801" t="str">
            <v>A6</v>
          </cell>
          <cell r="G801" t="str">
            <v>05구0200</v>
          </cell>
          <cell r="H801" t="str">
            <v>WAUZZZ4G6GN137320</v>
          </cell>
          <cell r="I801">
            <v>46160</v>
          </cell>
          <cell r="J801" t="str">
            <v>경매장-현대 글로비스</v>
          </cell>
          <cell r="L801" t="str">
            <v>잔금</v>
          </cell>
          <cell r="N801">
            <v>1270</v>
          </cell>
          <cell r="O801">
            <v>28</v>
          </cell>
          <cell r="P801">
            <v>0</v>
          </cell>
          <cell r="Q801" t="str">
            <v>done</v>
          </cell>
          <cell r="R801">
            <v>46178</v>
          </cell>
          <cell r="S801" t="str">
            <v>DONI</v>
          </cell>
          <cell r="T801" t="str">
            <v>DONI</v>
          </cell>
          <cell r="U801">
            <v>933682</v>
          </cell>
          <cell r="V801" t="str">
            <v>3 8 3 4 9 3 2 5 7 0 3</v>
          </cell>
          <cell r="W801" t="str">
            <v xml:space="preserve"> HYZRI TALLA OB 16 HY 1 NR 18
 Kosovë</v>
          </cell>
          <cell r="X801">
            <v>1505</v>
          </cell>
          <cell r="AB801">
            <v>1746</v>
          </cell>
          <cell r="AC801">
            <v>7146</v>
          </cell>
          <cell r="AD801">
            <v>1414</v>
          </cell>
          <cell r="AE801">
            <v>8560</v>
          </cell>
        </row>
        <row r="802">
          <cell r="A802">
            <v>800</v>
          </cell>
          <cell r="B802">
            <v>46160</v>
          </cell>
          <cell r="C802" t="str">
            <v>VOLKSWAGENS GOLF</v>
          </cell>
          <cell r="D802" t="str">
            <v>VOLKSWAGENS</v>
          </cell>
          <cell r="E802" t="str">
            <v>GOLF</v>
          </cell>
          <cell r="G802" t="str">
            <v>293노4237</v>
          </cell>
          <cell r="H802" t="str">
            <v>WVWZZZAUZGW254582</v>
          </cell>
          <cell r="I802">
            <v>46160</v>
          </cell>
          <cell r="J802" t="str">
            <v>경매장-현대 글로비스</v>
          </cell>
          <cell r="L802" t="str">
            <v>잔금</v>
          </cell>
          <cell r="N802">
            <v>1300</v>
          </cell>
          <cell r="O802">
            <v>28</v>
          </cell>
          <cell r="P802">
            <v>0</v>
          </cell>
          <cell r="Q802" t="str">
            <v>done</v>
          </cell>
          <cell r="R802">
            <v>46164</v>
          </cell>
          <cell r="S802" t="str">
            <v>DONI</v>
          </cell>
          <cell r="T802" t="str">
            <v>DONI</v>
          </cell>
          <cell r="U802">
            <v>933682</v>
          </cell>
          <cell r="V802" t="str">
            <v>3 8 3 4 9 3 2 5 7 0 3</v>
          </cell>
          <cell r="W802" t="str">
            <v xml:space="preserve"> HYZRI TALLA OB 16 HY 1 NR 18
 Kosovë</v>
          </cell>
          <cell r="X802">
            <v>1484</v>
          </cell>
          <cell r="AB802">
            <v>1725</v>
          </cell>
          <cell r="AC802">
            <v>7339</v>
          </cell>
          <cell r="AD802">
            <v>1411</v>
          </cell>
          <cell r="AE802">
            <v>8750</v>
          </cell>
        </row>
        <row r="803">
          <cell r="A803">
            <v>801</v>
          </cell>
          <cell r="B803">
            <v>46160</v>
          </cell>
          <cell r="C803" t="str">
            <v>BMW M3</v>
          </cell>
          <cell r="D803" t="str">
            <v>BMW</v>
          </cell>
          <cell r="E803" t="str">
            <v>M3</v>
          </cell>
          <cell r="G803" t="str">
            <v>107보1111</v>
          </cell>
          <cell r="H803" t="str">
            <v>WBSKG9108AE568016</v>
          </cell>
          <cell r="I803">
            <v>46163</v>
          </cell>
          <cell r="J803" t="str">
            <v>㈜온누리모터스</v>
          </cell>
          <cell r="L803" t="str">
            <v>잔금</v>
          </cell>
          <cell r="M803" t="str">
            <v>100만원</v>
          </cell>
          <cell r="N803">
            <v>3750</v>
          </cell>
          <cell r="P803">
            <v>0</v>
          </cell>
          <cell r="Q803" t="str">
            <v>DONE</v>
          </cell>
          <cell r="R803">
            <v>46170</v>
          </cell>
          <cell r="S803" t="str">
            <v>DAX IMPORT</v>
          </cell>
          <cell r="T803" t="str">
            <v xml:space="preserve">Michael Karl  </v>
          </cell>
          <cell r="U803" t="str">
            <v>LF9N8WZ16</v>
          </cell>
          <cell r="V803" t="str">
            <v>‪+49 471 94189050‬</v>
          </cell>
          <cell r="W803" t="str">
            <v xml:space="preserve">Dorfstr,33C,(82024) Taufkirchen, Germany </v>
          </cell>
          <cell r="X803">
            <v>1487</v>
          </cell>
          <cell r="AB803">
            <v>1726</v>
          </cell>
          <cell r="AC803">
            <v>20770</v>
          </cell>
          <cell r="AF803">
            <v>21300</v>
          </cell>
        </row>
        <row r="804">
          <cell r="A804">
            <v>802</v>
          </cell>
          <cell r="B804">
            <v>46160</v>
          </cell>
          <cell r="C804" t="str">
            <v>BENZ E220</v>
          </cell>
          <cell r="D804" t="str">
            <v>BENZ</v>
          </cell>
          <cell r="E804" t="str">
            <v>E220</v>
          </cell>
          <cell r="G804" t="str">
            <v>05조4032</v>
          </cell>
          <cell r="H804" t="str">
            <v>WDDZF0EB2JA316193</v>
          </cell>
          <cell r="I804" t="str">
            <v>26.05.19</v>
          </cell>
          <cell r="J804" t="str">
            <v>㈜해동자동차</v>
          </cell>
          <cell r="L804" t="str">
            <v>잔금</v>
          </cell>
          <cell r="M804" t="str">
            <v>50만원 대표님 계약</v>
          </cell>
          <cell r="N804">
            <v>1770</v>
          </cell>
          <cell r="P804">
            <v>0</v>
          </cell>
          <cell r="Q804" t="str">
            <v>DONE</v>
          </cell>
          <cell r="R804">
            <v>46170</v>
          </cell>
          <cell r="S804" t="str">
            <v>VILLA KOHA</v>
          </cell>
          <cell r="T804" t="str">
            <v>VILLA KOHA SH.P.K</v>
          </cell>
          <cell r="U804">
            <v>810039588</v>
          </cell>
          <cell r="V804" t="str">
            <v>383 49247777</v>
          </cell>
          <cell r="W804" t="str">
            <v>KOSOVO</v>
          </cell>
          <cell r="X804">
            <v>1487</v>
          </cell>
          <cell r="AB804">
            <v>1726</v>
          </cell>
          <cell r="AC804">
            <v>9787</v>
          </cell>
          <cell r="AD804">
            <v>1413</v>
          </cell>
          <cell r="AE804">
            <v>11200</v>
          </cell>
          <cell r="AF804">
            <v>11200</v>
          </cell>
        </row>
        <row r="805">
          <cell r="A805">
            <v>803</v>
          </cell>
          <cell r="B805">
            <v>46160</v>
          </cell>
          <cell r="C805" t="str">
            <v>AUDI S6</v>
          </cell>
          <cell r="D805" t="str">
            <v>AUDI</v>
          </cell>
          <cell r="E805" t="str">
            <v>S6</v>
          </cell>
          <cell r="G805" t="str">
            <v>233로7506</v>
          </cell>
          <cell r="H805" t="str">
            <v>WAUZZZF23MN020016</v>
          </cell>
          <cell r="I805" t="str">
            <v>26.05.19</v>
          </cell>
          <cell r="J805" t="str">
            <v>㈜리더카</v>
          </cell>
          <cell r="L805" t="str">
            <v>잔금</v>
          </cell>
          <cell r="M805" t="str">
            <v>100만원 대표님 계약</v>
          </cell>
          <cell r="N805">
            <v>4770</v>
          </cell>
          <cell r="P805">
            <v>0</v>
          </cell>
          <cell r="Q805" t="str">
            <v>DONE</v>
          </cell>
          <cell r="R805">
            <v>46164</v>
          </cell>
          <cell r="S805" t="str">
            <v>AUTO GALLERY DIOR SHPK</v>
          </cell>
          <cell r="T805" t="str">
            <v>AUTO GALLERY DIOR SHPK</v>
          </cell>
          <cell r="U805">
            <v>812050409</v>
          </cell>
          <cell r="V805" t="str">
            <v>383 44 900 906</v>
          </cell>
          <cell r="W805" t="str">
            <v>Kosovo</v>
          </cell>
          <cell r="X805">
            <v>1487</v>
          </cell>
          <cell r="AB805">
            <v>1726</v>
          </cell>
          <cell r="AC805">
            <v>26337</v>
          </cell>
          <cell r="AD805">
            <v>1413</v>
          </cell>
          <cell r="AE805">
            <v>27750</v>
          </cell>
          <cell r="AF805">
            <v>27750</v>
          </cell>
        </row>
        <row r="806">
          <cell r="A806">
            <v>804</v>
          </cell>
          <cell r="B806">
            <v>46160</v>
          </cell>
          <cell r="C806" t="str">
            <v>BENZ E220</v>
          </cell>
          <cell r="D806" t="str">
            <v>BENZ</v>
          </cell>
          <cell r="E806" t="str">
            <v>E220</v>
          </cell>
          <cell r="G806" t="str">
            <v>36조4323</v>
          </cell>
          <cell r="H806" t="str">
            <v>WDDZF0EB3HA140295</v>
          </cell>
          <cell r="I806" t="str">
            <v>26.05.19</v>
          </cell>
          <cell r="J806" t="str">
            <v>㈜극자동차</v>
          </cell>
          <cell r="L806" t="str">
            <v>잔금</v>
          </cell>
          <cell r="M806" t="str">
            <v>50만원 회사 통장</v>
          </cell>
          <cell r="N806">
            <v>1400</v>
          </cell>
          <cell r="P806">
            <v>0</v>
          </cell>
          <cell r="Q806" t="str">
            <v>done</v>
          </cell>
          <cell r="R806">
            <v>46164</v>
          </cell>
          <cell r="S806" t="str">
            <v>CALJA</v>
          </cell>
          <cell r="T806" t="str">
            <v>Calja Marius</v>
          </cell>
          <cell r="U806" t="str">
            <v>M43323203V</v>
          </cell>
          <cell r="V806" t="str">
            <v>355 69 550 5533</v>
          </cell>
          <cell r="W806" t="str">
            <v>Albania</v>
          </cell>
          <cell r="X806">
            <v>1487</v>
          </cell>
          <cell r="AB806">
            <v>1726</v>
          </cell>
          <cell r="AC806">
            <v>7787</v>
          </cell>
          <cell r="AD806">
            <v>1413</v>
          </cell>
          <cell r="AE806">
            <v>9200</v>
          </cell>
        </row>
        <row r="807">
          <cell r="A807">
            <v>805</v>
          </cell>
          <cell r="B807">
            <v>46160</v>
          </cell>
          <cell r="C807" t="str">
            <v>BENZ S350D</v>
          </cell>
          <cell r="D807" t="str">
            <v>BENZ</v>
          </cell>
          <cell r="E807" t="str">
            <v>S350D</v>
          </cell>
          <cell r="G807" t="str">
            <v>51수8300</v>
          </cell>
          <cell r="H807" t="str">
            <v>WDDUG3CB6EA033815</v>
          </cell>
          <cell r="I807" t="str">
            <v>26.05.19</v>
          </cell>
          <cell r="J807" t="str">
            <v>㈜삼성오토모빌</v>
          </cell>
          <cell r="L807" t="str">
            <v>잔금</v>
          </cell>
          <cell r="M807" t="str">
            <v>100만원 회사 통장</v>
          </cell>
          <cell r="N807">
            <v>2780</v>
          </cell>
          <cell r="P807">
            <v>0</v>
          </cell>
          <cell r="Q807" t="str">
            <v>done</v>
          </cell>
          <cell r="R807">
            <v>46164</v>
          </cell>
          <cell r="S807" t="str">
            <v>RIZA</v>
          </cell>
          <cell r="T807" t="str">
            <v>Riza Qosja</v>
          </cell>
          <cell r="U807" t="str">
            <v>M33304205K</v>
          </cell>
          <cell r="V807" t="str">
            <v>355 682769063</v>
          </cell>
          <cell r="W807" t="str">
            <v>Albania</v>
          </cell>
          <cell r="X807">
            <v>1487</v>
          </cell>
          <cell r="AB807">
            <v>1726</v>
          </cell>
          <cell r="AC807">
            <v>15501</v>
          </cell>
          <cell r="AD807">
            <v>1499</v>
          </cell>
          <cell r="AE807">
            <v>17000</v>
          </cell>
          <cell r="AF807">
            <v>9000</v>
          </cell>
        </row>
        <row r="808">
          <cell r="A808">
            <v>806</v>
          </cell>
          <cell r="B808">
            <v>46160</v>
          </cell>
          <cell r="C808" t="str">
            <v>BMW  740D</v>
          </cell>
          <cell r="D808" t="str">
            <v xml:space="preserve">BMW </v>
          </cell>
          <cell r="E808" t="str">
            <v>740D</v>
          </cell>
          <cell r="G808" t="str">
            <v>55두7715</v>
          </cell>
          <cell r="H808" t="str">
            <v xml:space="preserve">WBA7G8109JG785244 </v>
          </cell>
          <cell r="I808">
            <v>46168</v>
          </cell>
          <cell r="J808" t="str">
            <v>㈜신원자동차</v>
          </cell>
          <cell r="L808" t="str">
            <v>잔금</v>
          </cell>
          <cell r="M808" t="str">
            <v>70만원 대표님 계약</v>
          </cell>
          <cell r="N808">
            <v>2240</v>
          </cell>
          <cell r="P808">
            <v>0</v>
          </cell>
          <cell r="Q808" t="str">
            <v>DONE</v>
          </cell>
          <cell r="R808">
            <v>46170</v>
          </cell>
          <cell r="S808" t="str">
            <v>TAFA</v>
          </cell>
          <cell r="T808" t="str">
            <v>RROKAJ MARSILJO</v>
          </cell>
          <cell r="U808" t="str">
            <v>K4060502O</v>
          </cell>
          <cell r="V808" t="str">
            <v>355 68 855 8026</v>
          </cell>
          <cell r="W808" t="str">
            <v>ALBANIA</v>
          </cell>
          <cell r="X808">
            <v>1487</v>
          </cell>
          <cell r="AB808">
            <v>1726</v>
          </cell>
          <cell r="AC808">
            <v>12381</v>
          </cell>
          <cell r="AD808">
            <v>1499</v>
          </cell>
          <cell r="AE808">
            <v>13880</v>
          </cell>
          <cell r="AF808">
            <v>5000</v>
          </cell>
        </row>
        <row r="809">
          <cell r="A809">
            <v>807</v>
          </cell>
          <cell r="B809">
            <v>46160</v>
          </cell>
          <cell r="C809" t="str">
            <v>AUDI Q5</v>
          </cell>
          <cell r="D809" t="str">
            <v>AUDI</v>
          </cell>
          <cell r="E809" t="str">
            <v>Q5</v>
          </cell>
          <cell r="G809" t="str">
            <v>33너0117</v>
          </cell>
          <cell r="H809" t="str">
            <v>WAUZZZ8R5GA139028</v>
          </cell>
          <cell r="I809" t="str">
            <v>26.05.19</v>
          </cell>
          <cell r="J809" t="str">
            <v>㈜ 카베이</v>
          </cell>
          <cell r="L809" t="str">
            <v>잔금</v>
          </cell>
          <cell r="M809" t="str">
            <v>50만원 대표님 계약</v>
          </cell>
          <cell r="N809">
            <v>1424</v>
          </cell>
          <cell r="P809">
            <v>0</v>
          </cell>
          <cell r="Q809" t="str">
            <v>done</v>
          </cell>
          <cell r="R809">
            <v>46164</v>
          </cell>
          <cell r="S809" t="str">
            <v>VILLA KOHA</v>
          </cell>
          <cell r="T809" t="str">
            <v>VILLA KOHA SH.P.K</v>
          </cell>
          <cell r="U809">
            <v>810039588</v>
          </cell>
          <cell r="V809" t="str">
            <v>383 49247777</v>
          </cell>
          <cell r="W809" t="str">
            <v>KOSOVO</v>
          </cell>
          <cell r="X809">
            <v>1487</v>
          </cell>
          <cell r="AB809">
            <v>1726</v>
          </cell>
          <cell r="AC809">
            <v>7901</v>
          </cell>
          <cell r="AD809">
            <v>1499</v>
          </cell>
          <cell r="AE809">
            <v>9400</v>
          </cell>
          <cell r="AF809">
            <v>9400</v>
          </cell>
        </row>
        <row r="810">
          <cell r="A810">
            <v>808</v>
          </cell>
          <cell r="B810">
            <v>46160</v>
          </cell>
          <cell r="C810" t="str">
            <v>BENZ GLC 220</v>
          </cell>
          <cell r="D810" t="str">
            <v>BENZ</v>
          </cell>
          <cell r="E810" t="str">
            <v>GLC 220</v>
          </cell>
          <cell r="G810" t="str">
            <v>10다6466</v>
          </cell>
          <cell r="H810" t="str">
            <v>WDC0G0FB8JF350859</v>
          </cell>
          <cell r="I810" t="str">
            <v>26.05.19</v>
          </cell>
          <cell r="J810" t="str">
            <v>㈜스마일자동차</v>
          </cell>
          <cell r="L810" t="str">
            <v>잔금</v>
          </cell>
          <cell r="M810" t="str">
            <v>50만원 대표님 계약</v>
          </cell>
          <cell r="N810">
            <v>2260</v>
          </cell>
          <cell r="P810">
            <v>0</v>
          </cell>
          <cell r="Q810" t="str">
            <v>done</v>
          </cell>
          <cell r="R810">
            <v>46164</v>
          </cell>
          <cell r="S810" t="str">
            <v>VILLA KOHA</v>
          </cell>
          <cell r="T810" t="str">
            <v>VILLA KOHA SH.P.K</v>
          </cell>
          <cell r="U810">
            <v>810039588</v>
          </cell>
          <cell r="V810" t="str">
            <v>383 49247777</v>
          </cell>
          <cell r="W810" t="str">
            <v>KOSOVO</v>
          </cell>
          <cell r="X810">
            <v>1487</v>
          </cell>
          <cell r="AB810">
            <v>1726</v>
          </cell>
          <cell r="AC810">
            <v>12501</v>
          </cell>
          <cell r="AD810">
            <v>1499</v>
          </cell>
          <cell r="AE810">
            <v>14000</v>
          </cell>
          <cell r="AF810">
            <v>12500</v>
          </cell>
        </row>
        <row r="811">
          <cell r="A811">
            <v>809</v>
          </cell>
          <cell r="B811">
            <v>46162</v>
          </cell>
          <cell r="C811" t="str">
            <v>VOLKSWAGENS Golf 2.0 TDI BMT</v>
          </cell>
          <cell r="D811" t="str">
            <v>VOLKSWAGENS</v>
          </cell>
          <cell r="E811" t="str">
            <v>Golf 2.0 TDI BMT</v>
          </cell>
          <cell r="G811" t="str">
            <v>07구0798</v>
          </cell>
          <cell r="H811" t="str">
            <v>WVWZZZAUZGW168955</v>
          </cell>
          <cell r="I811">
            <v>46163</v>
          </cell>
          <cell r="J811" t="str">
            <v>㈜수호모터스</v>
          </cell>
          <cell r="L811" t="str">
            <v>잔금</v>
          </cell>
          <cell r="M811" t="str">
            <v>50만원 회사 통장</v>
          </cell>
          <cell r="N811">
            <v>1340</v>
          </cell>
          <cell r="O811">
            <v>44</v>
          </cell>
          <cell r="P811">
            <v>0</v>
          </cell>
          <cell r="Q811" t="str">
            <v>done</v>
          </cell>
          <cell r="R811">
            <v>46163</v>
          </cell>
          <cell r="S811" t="str">
            <v>ATLAS GROUP SH.P.K</v>
          </cell>
          <cell r="T811" t="str">
            <v>ATLAS GROUP SH.P.K</v>
          </cell>
          <cell r="U811">
            <v>812137455</v>
          </cell>
          <cell r="V811" t="str">
            <v>+38348702207</v>
          </cell>
          <cell r="W811" t="str">
            <v>Xhelal Hajda, p.n. Rahovec</v>
          </cell>
          <cell r="X811">
            <v>1479</v>
          </cell>
          <cell r="AB811">
            <v>1736</v>
          </cell>
          <cell r="AC811">
            <v>7650</v>
          </cell>
          <cell r="AD811">
            <v>854</v>
          </cell>
        </row>
        <row r="812">
          <cell r="A812">
            <v>810</v>
          </cell>
          <cell r="B812">
            <v>46162</v>
          </cell>
          <cell r="C812" t="str">
            <v>Mercedes AMG S63 4Matic + Coupe</v>
          </cell>
          <cell r="D812" t="str">
            <v>Mercedes</v>
          </cell>
          <cell r="E812" t="str">
            <v>AMG S63 4Matic + Coupe</v>
          </cell>
          <cell r="G812" t="str">
            <v>270너2740</v>
          </cell>
          <cell r="H812" t="str">
            <v>WDDXJ8JB2JA034646</v>
          </cell>
          <cell r="I812">
            <v>46168</v>
          </cell>
          <cell r="J812" t="str">
            <v>㈜바오모터스</v>
          </cell>
          <cell r="L812" t="str">
            <v>잔금</v>
          </cell>
          <cell r="M812" t="str">
            <v>100만원 회사 통장</v>
          </cell>
          <cell r="N812">
            <v>9200</v>
          </cell>
          <cell r="P812">
            <v>0</v>
          </cell>
          <cell r="Q812" t="str">
            <v>DONE</v>
          </cell>
          <cell r="R812">
            <v>46182</v>
          </cell>
          <cell r="S812" t="str">
            <v>Ardijan Qorraj</v>
          </cell>
          <cell r="T812" t="str">
            <v>Ardijan Qorraj</v>
          </cell>
          <cell r="U812" t="str">
            <v>C6YRK7K2F</v>
          </cell>
          <cell r="V812">
            <v>4917655744700</v>
          </cell>
          <cell r="W812" t="str">
            <v>Germany, Piepersweg 35 (41066)</v>
          </cell>
          <cell r="X812">
            <v>1497</v>
          </cell>
          <cell r="AB812">
            <v>1738</v>
          </cell>
          <cell r="AC812">
            <v>50620</v>
          </cell>
        </row>
        <row r="813">
          <cell r="A813">
            <v>811</v>
          </cell>
          <cell r="B813">
            <v>46162</v>
          </cell>
          <cell r="C813" t="str">
            <v>KIA SPORTAGE</v>
          </cell>
          <cell r="D813" t="str">
            <v>KIA</v>
          </cell>
          <cell r="E813" t="str">
            <v>SPORTAGE</v>
          </cell>
          <cell r="G813" t="str">
            <v>256거8412</v>
          </cell>
          <cell r="H813" t="str">
            <v xml:space="preserve">KNAPY81JBRK296871 </v>
          </cell>
          <cell r="I813">
            <v>46168</v>
          </cell>
          <cell r="L813" t="str">
            <v>잔금</v>
          </cell>
          <cell r="M813" t="str">
            <v>70만원 대표님 계약</v>
          </cell>
          <cell r="N813">
            <v>2330</v>
          </cell>
          <cell r="P813">
            <v>0</v>
          </cell>
          <cell r="Q813" t="str">
            <v>done</v>
          </cell>
          <cell r="R813">
            <v>46170</v>
          </cell>
          <cell r="S813" t="str">
            <v>EASY DRIVE</v>
          </cell>
          <cell r="T813" t="str">
            <v>Easy Drive LTD</v>
          </cell>
          <cell r="U813">
            <v>206557008</v>
          </cell>
          <cell r="V813" t="str">
            <v>359 89 936 8386</v>
          </cell>
          <cell r="W813" t="str">
            <v>ul. Sokolna 47
1444 Sofia
Bulgaria</v>
          </cell>
          <cell r="X813">
            <v>1503</v>
          </cell>
          <cell r="AB813">
            <v>1746</v>
          </cell>
          <cell r="AC813">
            <v>13000</v>
          </cell>
        </row>
        <row r="814">
          <cell r="A814">
            <v>812</v>
          </cell>
          <cell r="B814">
            <v>46162</v>
          </cell>
          <cell r="C814" t="str">
            <v>AUDI A6</v>
          </cell>
          <cell r="D814" t="str">
            <v>AUDI</v>
          </cell>
          <cell r="E814" t="str">
            <v>A6</v>
          </cell>
          <cell r="G814" t="str">
            <v>251주8210</v>
          </cell>
          <cell r="H814" t="str">
            <v>WAUZZZF25MN086258</v>
          </cell>
          <cell r="I814" t="str">
            <v>26,05,20</v>
          </cell>
          <cell r="L814" t="str">
            <v>잔금</v>
          </cell>
          <cell r="M814" t="str">
            <v>100만원 대표님 계약</v>
          </cell>
          <cell r="N814">
            <v>3050</v>
          </cell>
          <cell r="P814">
            <v>0</v>
          </cell>
          <cell r="Q814" t="str">
            <v>done</v>
          </cell>
          <cell r="R814">
            <v>46164</v>
          </cell>
          <cell r="S814" t="str">
            <v>AUTO GALLERY DIOR SHPK</v>
          </cell>
          <cell r="T814" t="str">
            <v>AUTO GALLERY DIOR SHPK</v>
          </cell>
          <cell r="U814">
            <v>812050409</v>
          </cell>
          <cell r="V814" t="str">
            <v>383 44 900 906</v>
          </cell>
          <cell r="W814" t="str">
            <v>Kosovo</v>
          </cell>
          <cell r="X814">
            <v>1497</v>
          </cell>
          <cell r="AB814">
            <v>1738</v>
          </cell>
          <cell r="AC814">
            <v>16787</v>
          </cell>
          <cell r="AD814">
            <v>1413</v>
          </cell>
          <cell r="AE814">
            <v>18200</v>
          </cell>
          <cell r="AF814">
            <v>18200</v>
          </cell>
        </row>
        <row r="815">
          <cell r="A815">
            <v>813</v>
          </cell>
          <cell r="B815">
            <v>46161</v>
          </cell>
          <cell r="C815" t="str">
            <v>AUDI A6</v>
          </cell>
          <cell r="D815" t="str">
            <v>AUDI</v>
          </cell>
          <cell r="E815" t="str">
            <v>A6</v>
          </cell>
          <cell r="G815" t="str">
            <v>31나7596</v>
          </cell>
          <cell r="H815" t="str">
            <v>WAUZZZ4GXJN061513</v>
          </cell>
          <cell r="J815" t="str">
            <v>경매장 -현대</v>
          </cell>
          <cell r="L815" t="str">
            <v>잔금</v>
          </cell>
          <cell r="N815">
            <v>1520</v>
          </cell>
          <cell r="O815">
            <v>34</v>
          </cell>
          <cell r="P815">
            <v>0</v>
          </cell>
          <cell r="Q815" t="str">
            <v>done</v>
          </cell>
          <cell r="R815">
            <v>46178</v>
          </cell>
          <cell r="S815" t="str">
            <v>DONI</v>
          </cell>
          <cell r="T815" t="str">
            <v>DONI</v>
          </cell>
          <cell r="U815">
            <v>933682</v>
          </cell>
          <cell r="V815" t="str">
            <v>3 8 3 4 9 3 2 5 7 0 3</v>
          </cell>
          <cell r="W815" t="str">
            <v xml:space="preserve"> HYZRI TALLA OB 16 HY 1 NR 18
 Kosovë</v>
          </cell>
          <cell r="X815">
            <v>1505</v>
          </cell>
          <cell r="AB815">
            <v>1746</v>
          </cell>
          <cell r="AC815">
            <v>8556</v>
          </cell>
          <cell r="AD815">
            <v>1414</v>
          </cell>
          <cell r="AE815">
            <v>9970</v>
          </cell>
        </row>
        <row r="816">
          <cell r="A816">
            <v>814</v>
          </cell>
          <cell r="B816">
            <v>46161</v>
          </cell>
          <cell r="C816" t="str">
            <v>VOLKSWAGENS CC</v>
          </cell>
          <cell r="D816" t="str">
            <v>VOLKSWAGENS</v>
          </cell>
          <cell r="E816" t="str">
            <v>CC</v>
          </cell>
          <cell r="G816" t="str">
            <v>02고0974</v>
          </cell>
          <cell r="H816" t="str">
            <v>WVWZZZ3CZGE508506</v>
          </cell>
          <cell r="J816" t="str">
            <v>경매장 -현대</v>
          </cell>
          <cell r="L816" t="str">
            <v>잔금</v>
          </cell>
          <cell r="N816">
            <v>512</v>
          </cell>
          <cell r="O816">
            <v>16</v>
          </cell>
          <cell r="P816">
            <v>0</v>
          </cell>
          <cell r="Q816" t="str">
            <v>done</v>
          </cell>
          <cell r="R816">
            <v>46178</v>
          </cell>
          <cell r="S816" t="str">
            <v>DONI</v>
          </cell>
          <cell r="T816" t="str">
            <v>DONI</v>
          </cell>
          <cell r="U816">
            <v>933682</v>
          </cell>
          <cell r="V816" t="str">
            <v>3 8 3 4 9 3 2 5 7 0 3</v>
          </cell>
          <cell r="W816" t="str">
            <v xml:space="preserve"> HYZRI TALLA OB 16 HY 1 NR 18
 Kosovë</v>
          </cell>
          <cell r="X816">
            <v>1505</v>
          </cell>
          <cell r="AB816">
            <v>1746</v>
          </cell>
          <cell r="AC816">
            <v>3086</v>
          </cell>
          <cell r="AD816">
            <v>1414</v>
          </cell>
          <cell r="AE816">
            <v>4500</v>
          </cell>
        </row>
        <row r="817">
          <cell r="A817">
            <v>815</v>
          </cell>
          <cell r="B817">
            <v>46161</v>
          </cell>
          <cell r="C817" t="str">
            <v>AUDI A6</v>
          </cell>
          <cell r="D817" t="str">
            <v>AUDI</v>
          </cell>
          <cell r="E817" t="str">
            <v>A6</v>
          </cell>
          <cell r="G817" t="str">
            <v>45저0628</v>
          </cell>
          <cell r="H817" t="str">
            <v>WAUZZZ4G0GN111702</v>
          </cell>
          <cell r="J817" t="str">
            <v>경매장 -현대</v>
          </cell>
          <cell r="L817" t="str">
            <v>잔금</v>
          </cell>
          <cell r="N817">
            <v>1160</v>
          </cell>
          <cell r="O817">
            <v>25</v>
          </cell>
          <cell r="P817">
            <v>0</v>
          </cell>
          <cell r="Q817" t="str">
            <v>done</v>
          </cell>
          <cell r="R817">
            <v>46185</v>
          </cell>
          <cell r="S817" t="str">
            <v>DONI</v>
          </cell>
          <cell r="T817" t="str">
            <v>DONI</v>
          </cell>
          <cell r="U817">
            <v>933682</v>
          </cell>
          <cell r="V817" t="str">
            <v>3 8 3 4 9 3 2 5 7 0 3</v>
          </cell>
          <cell r="W817" t="str">
            <v xml:space="preserve"> HYZRI TALLA OB 16 HY 1 NR 18
 Kosovë</v>
          </cell>
          <cell r="X817">
            <v>1505</v>
          </cell>
          <cell r="AB817">
            <v>1746</v>
          </cell>
          <cell r="AC817">
            <v>6486</v>
          </cell>
          <cell r="AD817">
            <v>1414</v>
          </cell>
          <cell r="AE817">
            <v>7900</v>
          </cell>
        </row>
        <row r="818">
          <cell r="A818">
            <v>816</v>
          </cell>
          <cell r="B818">
            <v>46161</v>
          </cell>
          <cell r="C818" t="str">
            <v>JAGUAR F-PACE</v>
          </cell>
          <cell r="D818" t="str">
            <v>JAGUAR</v>
          </cell>
          <cell r="E818" t="str">
            <v>F-PACE</v>
          </cell>
          <cell r="G818" t="str">
            <v>54가6191</v>
          </cell>
          <cell r="H818" t="str">
            <v xml:space="preserve"> SADCA2BN5HA894277</v>
          </cell>
          <cell r="J818" t="str">
            <v>경매장-헤이딜러</v>
          </cell>
          <cell r="L818" t="str">
            <v>잔금</v>
          </cell>
          <cell r="N818">
            <v>970</v>
          </cell>
          <cell r="O818">
            <v>49</v>
          </cell>
          <cell r="P818">
            <v>0</v>
          </cell>
          <cell r="Q818" t="str">
            <v>done</v>
          </cell>
          <cell r="R818">
            <v>46164</v>
          </cell>
          <cell r="S818" t="str">
            <v>R.S.h L.L.C.</v>
          </cell>
          <cell r="T818" t="str">
            <v>R.Sh L.L.C.</v>
          </cell>
          <cell r="U818">
            <v>812326016</v>
          </cell>
          <cell r="V818" t="str">
            <v>+383486 611 61</v>
          </cell>
          <cell r="W818" t="str">
            <v>Kosovo</v>
          </cell>
          <cell r="X818">
            <v>1497</v>
          </cell>
          <cell r="AB818">
            <v>1738</v>
          </cell>
          <cell r="AC818">
            <v>5797</v>
          </cell>
          <cell r="AD818">
            <v>1413</v>
          </cell>
          <cell r="AE818">
            <v>7210</v>
          </cell>
        </row>
        <row r="819">
          <cell r="A819">
            <v>817</v>
          </cell>
          <cell r="B819">
            <v>46162</v>
          </cell>
          <cell r="C819" t="str">
            <v>RENAULT QM6</v>
          </cell>
          <cell r="D819" t="str">
            <v>RENAULT</v>
          </cell>
          <cell r="E819" t="str">
            <v>QM6</v>
          </cell>
          <cell r="G819" t="str">
            <v xml:space="preserve">33마6124 </v>
          </cell>
          <cell r="H819" t="str">
            <v>KNME5C2M5JP039068</v>
          </cell>
          <cell r="I819">
            <v>46163</v>
          </cell>
          <cell r="J819" t="str">
            <v>경매장 - AJ</v>
          </cell>
          <cell r="L819" t="str">
            <v>잔금</v>
          </cell>
          <cell r="N819">
            <v>710</v>
          </cell>
          <cell r="O819">
            <v>183530</v>
          </cell>
          <cell r="P819">
            <v>0</v>
          </cell>
          <cell r="Q819" t="str">
            <v>DONE</v>
          </cell>
          <cell r="R819" t="str">
            <v>CON  15</v>
          </cell>
          <cell r="S819" t="str">
            <v>MANTAS</v>
          </cell>
          <cell r="T819" t="str">
            <v>UAB GRALIS</v>
          </cell>
          <cell r="U819">
            <v>179285533</v>
          </cell>
          <cell r="V819" t="str">
            <v>370 (618) 11 666</v>
          </cell>
          <cell r="W819" t="str">
            <v xml:space="preserve">Jūros g. 33, Tauragė  </v>
          </cell>
          <cell r="X819">
            <v>1495</v>
          </cell>
          <cell r="AC819">
            <v>4940</v>
          </cell>
          <cell r="AF819">
            <v>4940</v>
          </cell>
        </row>
        <row r="820">
          <cell r="A820">
            <v>818</v>
          </cell>
          <cell r="B820">
            <v>46162</v>
          </cell>
          <cell r="C820" t="str">
            <v>KIA SPORTAGE</v>
          </cell>
          <cell r="D820" t="str">
            <v>KIA</v>
          </cell>
          <cell r="E820" t="str">
            <v>SPORTAGE</v>
          </cell>
          <cell r="G820" t="str">
            <v>03고1133</v>
          </cell>
          <cell r="H820" t="str">
            <v>KNAPN813DHK281585</v>
          </cell>
          <cell r="I820">
            <v>46163</v>
          </cell>
          <cell r="J820" t="str">
            <v>경매장 - AJ</v>
          </cell>
          <cell r="L820" t="str">
            <v>잔금</v>
          </cell>
          <cell r="N820">
            <v>700</v>
          </cell>
          <cell r="O820">
            <v>180950</v>
          </cell>
          <cell r="P820">
            <v>0</v>
          </cell>
          <cell r="Q820" t="str">
            <v>DONE</v>
          </cell>
          <cell r="R820" t="str">
            <v>CON  15</v>
          </cell>
          <cell r="S820" t="str">
            <v>MANTAS</v>
          </cell>
          <cell r="T820" t="str">
            <v>UAB GRALIS</v>
          </cell>
          <cell r="U820">
            <v>179285533</v>
          </cell>
          <cell r="V820" t="str">
            <v>370 (618) 11 666</v>
          </cell>
          <cell r="W820" t="str">
            <v xml:space="preserve">Jūros g. 33, Tauragė  </v>
          </cell>
          <cell r="X820">
            <v>1495</v>
          </cell>
          <cell r="AC820">
            <v>4865</v>
          </cell>
          <cell r="AF820">
            <v>4865</v>
          </cell>
        </row>
        <row r="821">
          <cell r="A821">
            <v>819</v>
          </cell>
          <cell r="B821">
            <v>46162</v>
          </cell>
          <cell r="C821" t="str">
            <v>VOLKSWAGENS PASSAT</v>
          </cell>
          <cell r="D821" t="str">
            <v>VOLKSWAGENS</v>
          </cell>
          <cell r="E821" t="str">
            <v>PASSAT</v>
          </cell>
          <cell r="G821" t="str">
            <v>35누6842</v>
          </cell>
          <cell r="H821" t="str">
            <v xml:space="preserve">1VWZZZA3ZDC099589 </v>
          </cell>
          <cell r="J821" t="str">
            <v>경매장 - AJ</v>
          </cell>
          <cell r="L821" t="str">
            <v>잔금</v>
          </cell>
          <cell r="N821">
            <v>350</v>
          </cell>
          <cell r="O821">
            <v>16</v>
          </cell>
          <cell r="P821">
            <v>0</v>
          </cell>
          <cell r="Q821" t="str">
            <v>done</v>
          </cell>
          <cell r="R821">
            <v>46181</v>
          </cell>
          <cell r="S821" t="str">
            <v xml:space="preserve">EUROAUTO.AL </v>
          </cell>
          <cell r="T821" t="str">
            <v>Erion Gjergji</v>
          </cell>
          <cell r="U821" t="str">
            <v>I90516099R</v>
          </cell>
          <cell r="V821" t="str">
            <v>49 163 6979 099</v>
          </cell>
          <cell r="W821" t="str">
            <v>Albania</v>
          </cell>
          <cell r="X821">
            <v>1505</v>
          </cell>
          <cell r="AB821">
            <v>1746</v>
          </cell>
          <cell r="AC821">
            <v>2246</v>
          </cell>
          <cell r="AD821">
            <v>1414</v>
          </cell>
          <cell r="AE821">
            <v>3660</v>
          </cell>
          <cell r="AF821">
            <v>3660</v>
          </cell>
        </row>
        <row r="822">
          <cell r="A822">
            <v>820</v>
          </cell>
          <cell r="B822">
            <v>46162</v>
          </cell>
          <cell r="C822" t="str">
            <v>BMW 320D</v>
          </cell>
          <cell r="D822" t="str">
            <v>BMW</v>
          </cell>
          <cell r="E822" t="str">
            <v>320D</v>
          </cell>
          <cell r="G822" t="str">
            <v>10루4205</v>
          </cell>
          <cell r="H822" t="str">
            <v>WBA8C510XJP843490</v>
          </cell>
          <cell r="J822" t="str">
            <v>경매장 - AJ</v>
          </cell>
          <cell r="L822" t="str">
            <v>잔금</v>
          </cell>
          <cell r="N822">
            <v>1360</v>
          </cell>
          <cell r="O822">
            <v>35</v>
          </cell>
          <cell r="P822">
            <v>0</v>
          </cell>
          <cell r="Q822" t="str">
            <v>done</v>
          </cell>
          <cell r="R822">
            <v>46181</v>
          </cell>
          <cell r="S822" t="str">
            <v>DONI</v>
          </cell>
          <cell r="T822" t="str">
            <v>DONI</v>
          </cell>
          <cell r="U822">
            <v>933682</v>
          </cell>
          <cell r="V822" t="str">
            <v>3 8 3 4 9 3 2 5 7 0 3</v>
          </cell>
          <cell r="W822" t="str">
            <v xml:space="preserve"> HYZRI TALLA OB 16 HY 1 NR 18
 Kosovë</v>
          </cell>
          <cell r="X822">
            <v>1505</v>
          </cell>
          <cell r="AB822">
            <v>1746</v>
          </cell>
          <cell r="AC822">
            <v>7686</v>
          </cell>
          <cell r="AD822">
            <v>1414</v>
          </cell>
          <cell r="AE822">
            <v>9100</v>
          </cell>
        </row>
        <row r="823">
          <cell r="A823">
            <v>821</v>
          </cell>
          <cell r="B823">
            <v>46162</v>
          </cell>
          <cell r="C823" t="str">
            <v>Mercedes E53</v>
          </cell>
          <cell r="D823" t="str">
            <v>Mercedes</v>
          </cell>
          <cell r="E823" t="str">
            <v>E53</v>
          </cell>
          <cell r="G823" t="str">
            <v>130가9661</v>
          </cell>
          <cell r="H823" t="str">
            <v>W1KLF6DB6SA132399</v>
          </cell>
          <cell r="I823">
            <v>46178</v>
          </cell>
          <cell r="L823" t="str">
            <v>잔금</v>
          </cell>
          <cell r="M823" t="str">
            <v>200만원 회사 통장</v>
          </cell>
          <cell r="N823">
            <v>10250</v>
          </cell>
          <cell r="P823">
            <v>0</v>
          </cell>
          <cell r="Q823" t="str">
            <v>DONE</v>
          </cell>
          <cell r="R823">
            <v>46211</v>
          </cell>
          <cell r="S823" t="str">
            <v>AUTO GALLERY DIOR SHPK</v>
          </cell>
          <cell r="T823" t="str">
            <v>AUTO GALLERY DIOR SHPK</v>
          </cell>
          <cell r="U823">
            <v>812050409</v>
          </cell>
          <cell r="V823" t="str">
            <v>383 44 900 906</v>
          </cell>
          <cell r="W823" t="str">
            <v>Kosovo</v>
          </cell>
          <cell r="X823">
            <v>1497</v>
          </cell>
          <cell r="AB823">
            <v>1738</v>
          </cell>
          <cell r="AC823">
            <v>56587</v>
          </cell>
          <cell r="AD823">
            <v>1413</v>
          </cell>
          <cell r="AE823">
            <v>58000</v>
          </cell>
          <cell r="AF823">
            <v>58000</v>
          </cell>
        </row>
        <row r="824">
          <cell r="A824">
            <v>822</v>
          </cell>
          <cell r="B824">
            <v>46162</v>
          </cell>
          <cell r="C824" t="str">
            <v>LANDROVER RANGEROVER</v>
          </cell>
          <cell r="D824" t="str">
            <v>LANDROVER</v>
          </cell>
          <cell r="E824" t="str">
            <v>RANGEROVER</v>
          </cell>
          <cell r="G824" t="str">
            <v>159부9334</v>
          </cell>
          <cell r="H824" t="str">
            <v>SALGA2FJ4HA322159</v>
          </cell>
          <cell r="I824">
            <v>46163</v>
          </cell>
          <cell r="L824" t="str">
            <v>잔금</v>
          </cell>
          <cell r="M824" t="str">
            <v>100만원 회사 통장</v>
          </cell>
          <cell r="P824">
            <v>0</v>
          </cell>
          <cell r="Q824" t="str">
            <v>done</v>
          </cell>
          <cell r="R824">
            <v>46164</v>
          </cell>
          <cell r="S824" t="str">
            <v>R.S.h L.L.C.</v>
          </cell>
          <cell r="T824" t="str">
            <v>R.Sh L.L.C.</v>
          </cell>
          <cell r="U824">
            <v>812326016</v>
          </cell>
          <cell r="V824" t="str">
            <v>+383486 611 61</v>
          </cell>
          <cell r="W824" t="str">
            <v>Kosovo</v>
          </cell>
          <cell r="X824">
            <v>1497</v>
          </cell>
          <cell r="AB824">
            <v>1738</v>
          </cell>
          <cell r="AC824">
            <v>14945</v>
          </cell>
          <cell r="AD824">
            <v>1585</v>
          </cell>
          <cell r="AE824">
            <v>16530</v>
          </cell>
        </row>
        <row r="825">
          <cell r="A825">
            <v>823</v>
          </cell>
          <cell r="B825">
            <v>46162</v>
          </cell>
          <cell r="C825" t="str">
            <v>AUDI A6</v>
          </cell>
          <cell r="D825" t="str">
            <v>AUDI</v>
          </cell>
          <cell r="E825" t="str">
            <v>A6</v>
          </cell>
          <cell r="G825" t="str">
            <v>380거3934</v>
          </cell>
          <cell r="H825" t="str">
            <v>WAUZZZF29LN008970</v>
          </cell>
          <cell r="I825">
            <v>46169</v>
          </cell>
          <cell r="J825" t="str">
            <v>㈜에스에이치모터스</v>
          </cell>
          <cell r="L825" t="str">
            <v>잔금</v>
          </cell>
          <cell r="M825" t="str">
            <v>70만원 대표님 계약</v>
          </cell>
          <cell r="N825">
            <v>2390</v>
          </cell>
          <cell r="P825">
            <v>0</v>
          </cell>
          <cell r="Q825" t="str">
            <v>done</v>
          </cell>
          <cell r="R825">
            <v>46178</v>
          </cell>
          <cell r="S825" t="str">
            <v>VILLA KOHA</v>
          </cell>
          <cell r="T825" t="str">
            <v>VILLA KOHA SH.P.K</v>
          </cell>
          <cell r="U825">
            <v>810039588</v>
          </cell>
          <cell r="V825" t="str">
            <v>383 49247777</v>
          </cell>
          <cell r="W825" t="str">
            <v>KOSOVO</v>
          </cell>
          <cell r="X825">
            <v>1497</v>
          </cell>
          <cell r="AB825">
            <v>1738</v>
          </cell>
          <cell r="AC825">
            <v>13087</v>
          </cell>
          <cell r="AD825">
            <v>1413</v>
          </cell>
          <cell r="AE825">
            <v>14500</v>
          </cell>
          <cell r="AF825">
            <v>14500</v>
          </cell>
        </row>
        <row r="826">
          <cell r="A826">
            <v>824</v>
          </cell>
          <cell r="B826">
            <v>46162</v>
          </cell>
          <cell r="C826" t="str">
            <v>RENAULT QM3</v>
          </cell>
          <cell r="D826" t="str">
            <v>RENAULT</v>
          </cell>
          <cell r="E826" t="str">
            <v>QM3</v>
          </cell>
          <cell r="G826" t="str">
            <v>65고2880</v>
          </cell>
          <cell r="H826" t="str">
            <v>VF12RS01AJW022887</v>
          </cell>
          <cell r="I826">
            <v>46164</v>
          </cell>
          <cell r="J826" t="str">
            <v>경매장-헤이딜러</v>
          </cell>
          <cell r="L826" t="str">
            <v>잔금</v>
          </cell>
          <cell r="N826">
            <v>566</v>
          </cell>
          <cell r="O826">
            <v>38</v>
          </cell>
          <cell r="P826">
            <v>0</v>
          </cell>
          <cell r="Q826" t="str">
            <v>done</v>
          </cell>
          <cell r="R826">
            <v>46181</v>
          </cell>
          <cell r="S826" t="str">
            <v>R.S.h L.L.C.</v>
          </cell>
          <cell r="T826" t="str">
            <v>R.Sh L.L.C.</v>
          </cell>
          <cell r="U826">
            <v>812326016</v>
          </cell>
          <cell r="V826" t="str">
            <v>+383486 611 61</v>
          </cell>
          <cell r="W826" t="str">
            <v>Kosovo</v>
          </cell>
          <cell r="X826">
            <v>1505</v>
          </cell>
          <cell r="AB826">
            <v>1746</v>
          </cell>
          <cell r="AC826">
            <v>3486</v>
          </cell>
          <cell r="AD826">
            <v>1414</v>
          </cell>
          <cell r="AE826">
            <v>4900</v>
          </cell>
        </row>
        <row r="827">
          <cell r="A827">
            <v>825</v>
          </cell>
          <cell r="B827">
            <v>46162</v>
          </cell>
          <cell r="C827" t="str">
            <v>RENAULT CLIO</v>
          </cell>
          <cell r="D827" t="str">
            <v>RENAULT</v>
          </cell>
          <cell r="E827" t="str">
            <v>CLIO</v>
          </cell>
          <cell r="G827" t="str">
            <v>38모1950</v>
          </cell>
          <cell r="H827" t="str">
            <v>VF15RBJ0DJR445760</v>
          </cell>
          <cell r="I827">
            <v>46169</v>
          </cell>
          <cell r="J827" t="str">
            <v>경매장-헤이딜러</v>
          </cell>
          <cell r="L827" t="str">
            <v>잔금</v>
          </cell>
          <cell r="N827">
            <v>673</v>
          </cell>
          <cell r="O827">
            <v>36</v>
          </cell>
          <cell r="P827">
            <v>0</v>
          </cell>
          <cell r="Q827" t="str">
            <v>done</v>
          </cell>
          <cell r="R827">
            <v>46181</v>
          </cell>
          <cell r="S827" t="str">
            <v>R.S.h L.L.C.</v>
          </cell>
          <cell r="T827" t="str">
            <v>R.Sh L.L.C.</v>
          </cell>
          <cell r="U827">
            <v>812326016</v>
          </cell>
          <cell r="V827" t="str">
            <v>+383486 611 61</v>
          </cell>
          <cell r="W827" t="str">
            <v>Kosovo</v>
          </cell>
          <cell r="X827">
            <v>1505</v>
          </cell>
          <cell r="AB827">
            <v>1746</v>
          </cell>
          <cell r="AC827">
            <v>4046</v>
          </cell>
          <cell r="AD827">
            <v>1414</v>
          </cell>
          <cell r="AE827">
            <v>5460</v>
          </cell>
        </row>
        <row r="828">
          <cell r="A828">
            <v>826</v>
          </cell>
          <cell r="B828">
            <v>46163</v>
          </cell>
          <cell r="C828" t="str">
            <v xml:space="preserve"> Jetta 2.0 TDI BMT Premium</v>
          </cell>
          <cell r="E828" t="str">
            <v>Jetta 2.0 TDI BMT Premium</v>
          </cell>
          <cell r="G828" t="str">
            <v>36버0911</v>
          </cell>
          <cell r="H828" t="str">
            <v>WVWZZZ16ZGM009698</v>
          </cell>
          <cell r="J828" t="str">
            <v>경매장 - KCAR</v>
          </cell>
          <cell r="L828" t="str">
            <v>잔금</v>
          </cell>
          <cell r="N828">
            <v>500</v>
          </cell>
          <cell r="O828">
            <v>16</v>
          </cell>
          <cell r="P828">
            <v>0</v>
          </cell>
          <cell r="Q828" t="str">
            <v>done</v>
          </cell>
          <cell r="R828">
            <v>46178</v>
          </cell>
          <cell r="S828" t="str">
            <v>Auto Posh SH.P.K</v>
          </cell>
          <cell r="T828" t="str">
            <v>Auto Posh SH.P.K</v>
          </cell>
          <cell r="U828">
            <v>812219427</v>
          </cell>
          <cell r="V828" t="str">
            <v>38345560145</v>
          </cell>
          <cell r="W828" t="str">
            <v>KOSOVO</v>
          </cell>
          <cell r="X828">
            <v>1505</v>
          </cell>
          <cell r="AB828">
            <v>1746</v>
          </cell>
          <cell r="AC828">
            <v>3046</v>
          </cell>
          <cell r="AD828">
            <v>1414</v>
          </cell>
          <cell r="AE828">
            <v>4460</v>
          </cell>
          <cell r="AF828">
            <v>5660</v>
          </cell>
        </row>
        <row r="829">
          <cell r="A829">
            <v>827</v>
          </cell>
          <cell r="B829">
            <v>46163</v>
          </cell>
          <cell r="C829" t="str">
            <v>VOLKSWAGENS TIGUAN</v>
          </cell>
          <cell r="D829" t="str">
            <v>VOLKSWAGENS</v>
          </cell>
          <cell r="E829" t="str">
            <v>TIGUAN</v>
          </cell>
          <cell r="G829" t="str">
            <v>04나2804</v>
          </cell>
          <cell r="H829" t="str">
            <v>WVGZZZ5NZJW915170</v>
          </cell>
          <cell r="J829" t="str">
            <v>경매장 - 현대글로비스</v>
          </cell>
          <cell r="L829" t="str">
            <v>잔금</v>
          </cell>
          <cell r="N829">
            <v>1110</v>
          </cell>
          <cell r="O829">
            <v>24</v>
          </cell>
          <cell r="P829">
            <v>0</v>
          </cell>
          <cell r="Q829" t="str">
            <v>done</v>
          </cell>
          <cell r="R829">
            <v>46181</v>
          </cell>
          <cell r="S829" t="str">
            <v>DONI</v>
          </cell>
          <cell r="T829" t="str">
            <v>DONI</v>
          </cell>
          <cell r="U829">
            <v>933682</v>
          </cell>
          <cell r="V829" t="str">
            <v>3 8 3 4 9 3 2 5 7 0 3</v>
          </cell>
          <cell r="W829" t="str">
            <v xml:space="preserve"> HYZRI TALLA OB 16 HY 1 NR 18
 Kosovë</v>
          </cell>
          <cell r="X829">
            <v>1505</v>
          </cell>
          <cell r="AB829">
            <v>1746</v>
          </cell>
          <cell r="AC829">
            <v>6320</v>
          </cell>
          <cell r="AD829">
            <v>1500</v>
          </cell>
          <cell r="AE829">
            <v>7820</v>
          </cell>
        </row>
        <row r="830">
          <cell r="A830">
            <v>828</v>
          </cell>
          <cell r="B830">
            <v>46163</v>
          </cell>
          <cell r="C830" t="str">
            <v>BENZ C220</v>
          </cell>
          <cell r="D830" t="str">
            <v>BENZ</v>
          </cell>
          <cell r="E830" t="str">
            <v>C220</v>
          </cell>
          <cell r="G830" t="str">
            <v>207로7704</v>
          </cell>
          <cell r="H830" t="str">
            <v>WDDWF0EB8GR177541</v>
          </cell>
          <cell r="I830">
            <v>46170</v>
          </cell>
          <cell r="J830" t="str">
            <v>㈜카베이</v>
          </cell>
          <cell r="L830" t="str">
            <v>잔금</v>
          </cell>
          <cell r="M830" t="str">
            <v>50만원 대표님 계약</v>
          </cell>
          <cell r="N830">
            <v>1310</v>
          </cell>
          <cell r="P830">
            <v>0</v>
          </cell>
          <cell r="Q830" t="str">
            <v>done</v>
          </cell>
          <cell r="R830">
            <v>46178</v>
          </cell>
          <cell r="S830" t="str">
            <v>Auto Posh SH.P.K</v>
          </cell>
          <cell r="T830" t="str">
            <v>Auto Posh SH.P.K</v>
          </cell>
          <cell r="U830">
            <v>812219427</v>
          </cell>
          <cell r="V830" t="str">
            <v>38345560145</v>
          </cell>
          <cell r="W830" t="str">
            <v>KOSOVO</v>
          </cell>
          <cell r="X830">
            <v>1505</v>
          </cell>
          <cell r="AB830">
            <v>1746</v>
          </cell>
          <cell r="AC830">
            <v>7186</v>
          </cell>
          <cell r="AD830">
            <v>1414</v>
          </cell>
          <cell r="AE830">
            <v>8600</v>
          </cell>
        </row>
        <row r="831">
          <cell r="A831">
            <v>829</v>
          </cell>
          <cell r="B831">
            <v>46163</v>
          </cell>
          <cell r="C831" t="str">
            <v>HYUNDAI SANTAFE</v>
          </cell>
          <cell r="D831" t="str">
            <v>HYUNDAI</v>
          </cell>
          <cell r="E831" t="str">
            <v>SANTAFE</v>
          </cell>
          <cell r="G831" t="str">
            <v>222나4513</v>
          </cell>
          <cell r="H831" t="str">
            <v>KMHS381HHMU374776</v>
          </cell>
          <cell r="J831" t="str">
            <v>㈜좋은자동차</v>
          </cell>
          <cell r="L831" t="str">
            <v>CANCEL</v>
          </cell>
          <cell r="M831" t="str">
            <v>100만원 대표님 계약</v>
          </cell>
          <cell r="N831">
            <v>2270</v>
          </cell>
          <cell r="P831">
            <v>0</v>
          </cell>
          <cell r="Q831" t="str">
            <v>done</v>
          </cell>
          <cell r="R831" t="str">
            <v>CANCEL</v>
          </cell>
          <cell r="S831" t="str">
            <v>EASY DRIVE</v>
          </cell>
          <cell r="T831" t="str">
            <v>Easy Drive LTD</v>
          </cell>
          <cell r="U831">
            <v>206557008</v>
          </cell>
          <cell r="V831" t="str">
            <v>359 89 936 8386</v>
          </cell>
          <cell r="W831" t="str">
            <v>ul. Sokolna 47
1444 Sofia
Bulgaria</v>
          </cell>
          <cell r="X831">
            <v>1505</v>
          </cell>
          <cell r="AB831">
            <v>1746</v>
          </cell>
          <cell r="AC831">
            <v>12550</v>
          </cell>
          <cell r="AE831">
            <v>12550</v>
          </cell>
          <cell r="AF831">
            <v>12550</v>
          </cell>
        </row>
        <row r="832">
          <cell r="A832">
            <v>830</v>
          </cell>
          <cell r="B832">
            <v>46164</v>
          </cell>
          <cell r="C832" t="str">
            <v>BMW  320d</v>
          </cell>
          <cell r="D832" t="str">
            <v xml:space="preserve">BMW </v>
          </cell>
          <cell r="E832" t="str">
            <v>320d</v>
          </cell>
          <cell r="G832" t="str">
            <v>263구5441</v>
          </cell>
          <cell r="H832" t="str">
            <v>WBA3D5100DF703031</v>
          </cell>
          <cell r="I832">
            <v>46169</v>
          </cell>
          <cell r="J832" t="str">
            <v>㈜카울렛</v>
          </cell>
          <cell r="L832" t="str">
            <v>잔금</v>
          </cell>
          <cell r="M832" t="str">
            <v>50만원 대표님 계약</v>
          </cell>
          <cell r="N832">
            <v>430</v>
          </cell>
          <cell r="P832">
            <v>0</v>
          </cell>
          <cell r="Q832" t="str">
            <v>done</v>
          </cell>
          <cell r="R832">
            <v>46178</v>
          </cell>
          <cell r="S832" t="str">
            <v xml:space="preserve">Andrea Kasa </v>
          </cell>
          <cell r="T832" t="str">
            <v>TERZIU ERGI</v>
          </cell>
          <cell r="U832" t="str">
            <v>K30422063R</v>
          </cell>
          <cell r="V832" t="str">
            <v>355 69 746 2556</v>
          </cell>
          <cell r="W832" t="str">
            <v>Albania</v>
          </cell>
          <cell r="X832">
            <v>1505</v>
          </cell>
          <cell r="AB832">
            <v>1746</v>
          </cell>
          <cell r="AC832">
            <v>2556</v>
          </cell>
          <cell r="AD832">
            <v>1414</v>
          </cell>
          <cell r="AE832">
            <v>3970</v>
          </cell>
          <cell r="AF832">
            <v>3970</v>
          </cell>
        </row>
        <row r="833">
          <cell r="A833">
            <v>831</v>
          </cell>
          <cell r="B833">
            <v>46166</v>
          </cell>
          <cell r="C833" t="str">
            <v>HYUNDAI SANTAFE</v>
          </cell>
          <cell r="D833" t="str">
            <v>HYUNDAI</v>
          </cell>
          <cell r="E833" t="str">
            <v>SANTAFE</v>
          </cell>
          <cell r="G833" t="str">
            <v>32노8475</v>
          </cell>
          <cell r="H833" t="str">
            <v>KMHSW81UBDU176424</v>
          </cell>
          <cell r="I833">
            <v>46169</v>
          </cell>
          <cell r="J833" t="str">
            <v>㈜카울렛</v>
          </cell>
          <cell r="L833" t="str">
            <v>잔금</v>
          </cell>
          <cell r="M833" t="str">
            <v>50만원 대표님 계약</v>
          </cell>
          <cell r="N833">
            <v>680</v>
          </cell>
          <cell r="P833">
            <v>0</v>
          </cell>
          <cell r="Q833" t="str">
            <v>done</v>
          </cell>
          <cell r="R833">
            <v>46170</v>
          </cell>
          <cell r="S833" t="str">
            <v>AlphaWorldWide</v>
          </cell>
          <cell r="T833" t="str">
            <v>AlphaWorldWideAlbania</v>
          </cell>
          <cell r="U833" t="str">
            <v>SN-619176-11-19</v>
          </cell>
          <cell r="V833" t="str">
            <v>355 69223 3416</v>
          </cell>
          <cell r="W833" t="str">
            <v xml:space="preserve">Durres, Durres, DURRES, Lagjja nr.11, Rruga Bulevardi, me siperfaqe 30m2 </v>
          </cell>
          <cell r="X833">
            <v>1505</v>
          </cell>
          <cell r="AB833">
            <v>1746</v>
          </cell>
          <cell r="AC833">
            <v>3860</v>
          </cell>
          <cell r="AD833">
            <v>1500</v>
          </cell>
          <cell r="AE833">
            <v>5360</v>
          </cell>
          <cell r="AF833">
            <v>5360</v>
          </cell>
        </row>
        <row r="834">
          <cell r="A834">
            <v>832</v>
          </cell>
          <cell r="B834">
            <v>46166</v>
          </cell>
          <cell r="C834" t="str">
            <v>KIA STINGER</v>
          </cell>
          <cell r="D834" t="str">
            <v>KIA</v>
          </cell>
          <cell r="E834" t="str">
            <v>STINGER</v>
          </cell>
          <cell r="G834" t="str">
            <v>58도5473</v>
          </cell>
          <cell r="H834" t="str">
            <v>KNAE751CBJS000645</v>
          </cell>
          <cell r="I834">
            <v>46169</v>
          </cell>
          <cell r="J834" t="str">
            <v>㈜ 스마일 자동차</v>
          </cell>
          <cell r="L834" t="str">
            <v>잔금</v>
          </cell>
          <cell r="M834" t="str">
            <v>50만원 대표님 계약</v>
          </cell>
          <cell r="N834">
            <v>1570</v>
          </cell>
          <cell r="P834">
            <v>0</v>
          </cell>
          <cell r="Q834" t="str">
            <v>DONE</v>
          </cell>
          <cell r="R834">
            <v>46170</v>
          </cell>
          <cell r="S834" t="str">
            <v>DAX IMPORT</v>
          </cell>
          <cell r="T834" t="str">
            <v xml:space="preserve">Michael Karl  </v>
          </cell>
          <cell r="U834" t="str">
            <v>LF9N8WZ16</v>
          </cell>
          <cell r="V834" t="str">
            <v>‪+49 471 94189050‬</v>
          </cell>
          <cell r="W834" t="str">
            <v xml:space="preserve">Dorfstr,33C,(82024) Taufkirchen, Germany </v>
          </cell>
          <cell r="X834">
            <v>1505</v>
          </cell>
          <cell r="AB834">
            <v>1746</v>
          </cell>
          <cell r="AC834">
            <v>8600</v>
          </cell>
        </row>
        <row r="835">
          <cell r="A835">
            <v>833</v>
          </cell>
          <cell r="B835">
            <v>46166</v>
          </cell>
          <cell r="C835" t="str">
            <v>AUDI A6</v>
          </cell>
          <cell r="D835" t="str">
            <v>AUDI</v>
          </cell>
          <cell r="E835" t="str">
            <v>A6</v>
          </cell>
          <cell r="G835" t="str">
            <v>10루4390</v>
          </cell>
          <cell r="H835" t="str">
            <v>WAUZZZ4G8JN063549</v>
          </cell>
          <cell r="I835">
            <v>47629</v>
          </cell>
          <cell r="J835" t="str">
            <v>㈜카톡모터스</v>
          </cell>
          <cell r="L835" t="str">
            <v>잔금</v>
          </cell>
          <cell r="M835" t="str">
            <v>70만원 대표님 계약</v>
          </cell>
          <cell r="N835">
            <v>1730</v>
          </cell>
          <cell r="P835">
            <v>0</v>
          </cell>
          <cell r="Q835" t="str">
            <v>done</v>
          </cell>
          <cell r="R835">
            <v>46178</v>
          </cell>
          <cell r="S835" t="str">
            <v>DONI</v>
          </cell>
          <cell r="T835" t="str">
            <v>DONI</v>
          </cell>
          <cell r="U835">
            <v>933682</v>
          </cell>
          <cell r="V835" t="str">
            <v>3 8 3 4 9 3 2 5 7 0 3</v>
          </cell>
          <cell r="W835" t="str">
            <v xml:space="preserve"> HYZRI TALLA OB 16 HY 1 NR 18
 Kosovë</v>
          </cell>
          <cell r="X835">
            <v>1505</v>
          </cell>
          <cell r="AB835">
            <v>1746</v>
          </cell>
          <cell r="AC835">
            <v>9566</v>
          </cell>
          <cell r="AD835">
            <v>1414</v>
          </cell>
          <cell r="AE835">
            <v>10980</v>
          </cell>
        </row>
        <row r="836">
          <cell r="A836">
            <v>835</v>
          </cell>
          <cell r="B836">
            <v>46166</v>
          </cell>
          <cell r="C836" t="str">
            <v>LANDROVER DISCOVERY SPORT</v>
          </cell>
          <cell r="D836" t="str">
            <v>LANDROVER</v>
          </cell>
          <cell r="E836" t="str">
            <v>DISCOVERY SPORT</v>
          </cell>
          <cell r="G836" t="str">
            <v>17버0790</v>
          </cell>
          <cell r="H836" t="str">
            <v>SALCA2BN2GH579608</v>
          </cell>
          <cell r="J836" t="str">
            <v>경매장-헤이딜러</v>
          </cell>
          <cell r="L836" t="str">
            <v>잔금</v>
          </cell>
          <cell r="N836">
            <v>568</v>
          </cell>
          <cell r="O836">
            <v>44</v>
          </cell>
          <cell r="P836">
            <v>0</v>
          </cell>
          <cell r="Q836" t="str">
            <v>done</v>
          </cell>
          <cell r="R836">
            <v>46181</v>
          </cell>
          <cell r="S836" t="str">
            <v>R.S.h L.L.C.</v>
          </cell>
          <cell r="T836" t="str">
            <v>R.Sh L.L.C.</v>
          </cell>
          <cell r="U836">
            <v>812326016</v>
          </cell>
          <cell r="V836" t="str">
            <v>+383486 611 61</v>
          </cell>
          <cell r="W836" t="str">
            <v>Kosovo</v>
          </cell>
          <cell r="X836">
            <v>1505</v>
          </cell>
          <cell r="AB836">
            <v>1746</v>
          </cell>
          <cell r="AC836">
            <v>3434</v>
          </cell>
          <cell r="AD836">
            <v>1586</v>
          </cell>
          <cell r="AE836">
            <v>5020</v>
          </cell>
          <cell r="AF836">
            <v>5020</v>
          </cell>
        </row>
        <row r="837">
          <cell r="A837">
            <v>836</v>
          </cell>
          <cell r="B837">
            <v>46166</v>
          </cell>
          <cell r="C837" t="str">
            <v>LANDROVER DISCOVERY SPORT</v>
          </cell>
          <cell r="D837" t="str">
            <v>LANDROVER</v>
          </cell>
          <cell r="E837" t="str">
            <v>DISCOVERY SPORT</v>
          </cell>
          <cell r="G837" t="str">
            <v>62소0176</v>
          </cell>
          <cell r="H837" t="str">
            <v>SALCA2BNXGH632006</v>
          </cell>
          <cell r="J837" t="str">
            <v>경매장-헤이딜러</v>
          </cell>
          <cell r="L837" t="str">
            <v>잔금</v>
          </cell>
          <cell r="N837">
            <v>560</v>
          </cell>
          <cell r="O837">
            <v>36</v>
          </cell>
          <cell r="P837">
            <v>0</v>
          </cell>
          <cell r="Q837" t="str">
            <v>done</v>
          </cell>
          <cell r="R837">
            <v>46181</v>
          </cell>
          <cell r="S837" t="str">
            <v>R.S.h L.L.C.</v>
          </cell>
          <cell r="T837" t="str">
            <v>R.Sh L.L.C.</v>
          </cell>
          <cell r="U837">
            <v>812326016</v>
          </cell>
          <cell r="V837" t="str">
            <v>+383486 611 61</v>
          </cell>
          <cell r="W837" t="str">
            <v>Kosovo</v>
          </cell>
          <cell r="X837">
            <v>1505</v>
          </cell>
          <cell r="AB837">
            <v>1746</v>
          </cell>
          <cell r="AC837">
            <v>3474</v>
          </cell>
          <cell r="AD837">
            <v>1586</v>
          </cell>
          <cell r="AE837">
            <v>5060</v>
          </cell>
        </row>
        <row r="838">
          <cell r="A838">
            <v>837</v>
          </cell>
          <cell r="B838">
            <v>46166</v>
          </cell>
          <cell r="C838" t="str">
            <v>PEUGEOT 308</v>
          </cell>
          <cell r="D838" t="str">
            <v>PEUGEOT</v>
          </cell>
          <cell r="E838">
            <v>308</v>
          </cell>
          <cell r="G838" t="str">
            <v>12너4283</v>
          </cell>
          <cell r="H838" t="str">
            <v>VF3LBBHZWHS001755</v>
          </cell>
          <cell r="J838" t="str">
            <v>경매장-헤이딜러</v>
          </cell>
          <cell r="L838" t="str">
            <v>잔금</v>
          </cell>
          <cell r="N838">
            <v>470</v>
          </cell>
          <cell r="O838">
            <v>72</v>
          </cell>
          <cell r="P838">
            <v>0</v>
          </cell>
          <cell r="Q838" t="str">
            <v>done</v>
          </cell>
          <cell r="R838">
            <v>46192</v>
          </cell>
          <cell r="S838" t="str">
            <v>R.S.h L.L.C.</v>
          </cell>
          <cell r="T838" t="str">
            <v>R.Sh L.L.C.</v>
          </cell>
          <cell r="U838">
            <v>812326016</v>
          </cell>
          <cell r="V838" t="str">
            <v>+383486 611 61</v>
          </cell>
          <cell r="W838" t="str">
            <v>Kosovo</v>
          </cell>
          <cell r="X838">
            <v>1505</v>
          </cell>
          <cell r="AB838">
            <v>1746</v>
          </cell>
          <cell r="AC838">
            <v>3156</v>
          </cell>
          <cell r="AD838">
            <v>1414</v>
          </cell>
          <cell r="AE838">
            <v>4570</v>
          </cell>
        </row>
        <row r="839">
          <cell r="A839">
            <v>838</v>
          </cell>
          <cell r="B839">
            <v>46167</v>
          </cell>
          <cell r="C839" t="str">
            <v>BENZ E400</v>
          </cell>
          <cell r="D839" t="str">
            <v>BENZ</v>
          </cell>
          <cell r="E839" t="str">
            <v>E400</v>
          </cell>
          <cell r="G839" t="str">
            <v>373우7767</v>
          </cell>
          <cell r="H839" t="str">
            <v>WDD1J6GB8HF016232</v>
          </cell>
          <cell r="I839">
            <v>47629</v>
          </cell>
          <cell r="L839" t="str">
            <v>잔금</v>
          </cell>
          <cell r="M839" t="str">
            <v>100만원 대표님 계약</v>
          </cell>
          <cell r="N839">
            <v>3100</v>
          </cell>
          <cell r="P839">
            <v>0</v>
          </cell>
          <cell r="Q839" t="str">
            <v>DONE</v>
          </cell>
          <cell r="R839">
            <v>46196</v>
          </cell>
          <cell r="S839" t="str">
            <v>DAX IMPORT</v>
          </cell>
          <cell r="T839" t="str">
            <v xml:space="preserve">Michael Karl  </v>
          </cell>
          <cell r="U839" t="str">
            <v>LF9N8WZ16</v>
          </cell>
          <cell r="V839" t="str">
            <v>‪+49 471 94189050‬</v>
          </cell>
          <cell r="W839" t="str">
            <v xml:space="preserve">Dorfstr,33C,(82024) Taufkirchen, Germany </v>
          </cell>
          <cell r="X839">
            <v>1505</v>
          </cell>
          <cell r="AB839">
            <v>1746</v>
          </cell>
          <cell r="AC839">
            <v>16970</v>
          </cell>
        </row>
        <row r="840">
          <cell r="A840">
            <v>839</v>
          </cell>
          <cell r="B840">
            <v>46167</v>
          </cell>
          <cell r="C840" t="str">
            <v>BMW M3</v>
          </cell>
          <cell r="D840" t="str">
            <v>BMW</v>
          </cell>
          <cell r="E840" t="str">
            <v>M3</v>
          </cell>
          <cell r="G840" t="str">
            <v>32노2337</v>
          </cell>
          <cell r="H840" t="str">
            <v>WBSKG9108BE568812</v>
          </cell>
          <cell r="I840">
            <v>46169</v>
          </cell>
          <cell r="L840" t="str">
            <v>잔금</v>
          </cell>
          <cell r="M840" t="str">
            <v>100만원 대표님 계약</v>
          </cell>
          <cell r="N840">
            <v>2150</v>
          </cell>
          <cell r="P840">
            <v>0</v>
          </cell>
          <cell r="Q840" t="str">
            <v>DONE</v>
          </cell>
          <cell r="R840">
            <v>46170</v>
          </cell>
          <cell r="S840" t="str">
            <v>DAX IMPORT</v>
          </cell>
          <cell r="T840" t="str">
            <v xml:space="preserve">Michael Karl  </v>
          </cell>
          <cell r="U840" t="str">
            <v>LF9N8WZ16</v>
          </cell>
          <cell r="V840" t="str">
            <v>‪+49 471 94189050‬</v>
          </cell>
          <cell r="W840" t="str">
            <v xml:space="preserve">Dorfstr,33C,(82024) Taufkirchen, Germany </v>
          </cell>
          <cell r="X840">
            <v>1505</v>
          </cell>
          <cell r="AB840">
            <v>1746</v>
          </cell>
          <cell r="AC840">
            <v>11780</v>
          </cell>
          <cell r="AF840">
            <v>11880</v>
          </cell>
        </row>
        <row r="841">
          <cell r="A841">
            <v>840</v>
          </cell>
          <cell r="B841">
            <v>46167</v>
          </cell>
          <cell r="C841" t="str">
            <v>BMW 320D</v>
          </cell>
          <cell r="D841" t="str">
            <v>BMW</v>
          </cell>
          <cell r="E841" t="str">
            <v>320D</v>
          </cell>
          <cell r="G841" t="str">
            <v>344오2949</v>
          </cell>
          <cell r="H841" t="str">
            <v>WBA8C5100HA071207</v>
          </cell>
          <cell r="J841" t="str">
            <v>경매장-헤이딜러</v>
          </cell>
          <cell r="L841" t="str">
            <v>CANCEL</v>
          </cell>
          <cell r="P841">
            <v>0</v>
          </cell>
          <cell r="Q841" t="str">
            <v>HEYMAN</v>
          </cell>
          <cell r="R841" t="str">
            <v>cancel</v>
          </cell>
          <cell r="S841" t="str">
            <v>R.S.h L.L.C.</v>
          </cell>
          <cell r="T841" t="str">
            <v>R.Sh L.L.C.</v>
          </cell>
          <cell r="U841">
            <v>812326016</v>
          </cell>
          <cell r="V841" t="str">
            <v>+383486 611 61</v>
          </cell>
          <cell r="W841" t="str">
            <v>Kosovo</v>
          </cell>
          <cell r="X841">
            <v>1505</v>
          </cell>
          <cell r="AB841">
            <v>1746</v>
          </cell>
          <cell r="AC841">
            <v>0</v>
          </cell>
        </row>
        <row r="842">
          <cell r="A842">
            <v>841</v>
          </cell>
          <cell r="B842">
            <v>46169</v>
          </cell>
          <cell r="C842" t="str">
            <v>Maserati GranTurismo</v>
          </cell>
          <cell r="D842" t="str">
            <v>Maserati</v>
          </cell>
          <cell r="E842" t="str">
            <v>GranTurismo</v>
          </cell>
          <cell r="G842" t="str">
            <v>293주3340</v>
          </cell>
          <cell r="H842" t="str">
            <v>ZAM45VLA0F0131311</v>
          </cell>
          <cell r="I842">
            <v>47629</v>
          </cell>
          <cell r="J842" t="str">
            <v>㈜ 울트라모터스</v>
          </cell>
          <cell r="L842" t="str">
            <v>잔금</v>
          </cell>
          <cell r="M842" t="str">
            <v>70만원 회사 통장</v>
          </cell>
          <cell r="N842">
            <v>2950</v>
          </cell>
          <cell r="P842">
            <v>0</v>
          </cell>
          <cell r="Q842" t="str">
            <v>DONE</v>
          </cell>
          <cell r="R842">
            <v>46182</v>
          </cell>
          <cell r="S842" t="str">
            <v>Ardijan Qorraj</v>
          </cell>
          <cell r="T842" t="str">
            <v>Ardijan Qorraj</v>
          </cell>
          <cell r="U842" t="str">
            <v>C6YRK7K2F</v>
          </cell>
          <cell r="V842">
            <v>4917655744700</v>
          </cell>
          <cell r="W842" t="str">
            <v>Germany, Piepersweg 35 (41066)</v>
          </cell>
          <cell r="X842">
            <v>1491</v>
          </cell>
          <cell r="AB842">
            <v>1735</v>
          </cell>
          <cell r="AC842">
            <v>16220</v>
          </cell>
        </row>
        <row r="843">
          <cell r="A843">
            <v>842</v>
          </cell>
          <cell r="B843">
            <v>46169</v>
          </cell>
          <cell r="C843" t="str">
            <v>HYUNDAI TUCSON</v>
          </cell>
          <cell r="D843" t="str">
            <v>HYUNDAI</v>
          </cell>
          <cell r="E843" t="str">
            <v>TUCSON</v>
          </cell>
          <cell r="G843" t="str">
            <v>16소4325</v>
          </cell>
          <cell r="H843" t="str">
            <v>KMHJ3815GGU029195</v>
          </cell>
          <cell r="I843">
            <v>46174</v>
          </cell>
          <cell r="J843" t="str">
            <v>㈜정카</v>
          </cell>
          <cell r="L843" t="str">
            <v>잔금</v>
          </cell>
          <cell r="M843" t="str">
            <v>50만원 대표님 계약</v>
          </cell>
          <cell r="N843">
            <v>824</v>
          </cell>
          <cell r="P843">
            <v>0</v>
          </cell>
          <cell r="Q843" t="str">
            <v>done</v>
          </cell>
          <cell r="R843">
            <v>46181</v>
          </cell>
          <cell r="S843" t="str">
            <v>TAFA</v>
          </cell>
          <cell r="T843" t="str">
            <v>MECAJ KRESHNIK</v>
          </cell>
          <cell r="U843" t="str">
            <v>I10226024H</v>
          </cell>
          <cell r="V843" t="str">
            <v>355 68 855 8026</v>
          </cell>
          <cell r="W843" t="str">
            <v>ALBANIA</v>
          </cell>
          <cell r="X843">
            <v>1491</v>
          </cell>
          <cell r="AB843">
            <v>1735</v>
          </cell>
          <cell r="AC843">
            <v>4655</v>
          </cell>
          <cell r="AD843">
            <v>1495</v>
          </cell>
          <cell r="AE843">
            <v>6150</v>
          </cell>
          <cell r="AF843">
            <v>10000</v>
          </cell>
        </row>
        <row r="844">
          <cell r="A844">
            <v>843</v>
          </cell>
          <cell r="B844">
            <v>46169</v>
          </cell>
          <cell r="C844" t="str">
            <v>RENAULT SM6</v>
          </cell>
          <cell r="D844" t="str">
            <v>RENAULT</v>
          </cell>
          <cell r="E844" t="str">
            <v>SM6</v>
          </cell>
          <cell r="G844" t="str">
            <v>393어3064</v>
          </cell>
          <cell r="H844" t="str">
            <v>KNMA4B2LMKP010188</v>
          </cell>
          <cell r="I844">
            <v>46174</v>
          </cell>
          <cell r="J844" t="str">
            <v>㈜카올렛</v>
          </cell>
          <cell r="L844" t="str">
            <v>잔금</v>
          </cell>
          <cell r="M844" t="str">
            <v>50만원 회사 통장</v>
          </cell>
          <cell r="N844">
            <v>430</v>
          </cell>
          <cell r="P844">
            <v>0</v>
          </cell>
          <cell r="Q844" t="str">
            <v>done</v>
          </cell>
          <cell r="R844">
            <v>46181</v>
          </cell>
          <cell r="S844" t="str">
            <v>R.S.h L.L.C.</v>
          </cell>
          <cell r="T844" t="str">
            <v>R.Sh L.L.C.</v>
          </cell>
          <cell r="U844">
            <v>812326016</v>
          </cell>
          <cell r="V844" t="str">
            <v>+383486 611 61</v>
          </cell>
          <cell r="W844" t="str">
            <v>Kosovo</v>
          </cell>
          <cell r="X844">
            <v>1505</v>
          </cell>
          <cell r="AB844">
            <v>1746</v>
          </cell>
          <cell r="AC844">
            <v>2536</v>
          </cell>
          <cell r="AD844">
            <v>1414</v>
          </cell>
          <cell r="AE844">
            <v>3950</v>
          </cell>
        </row>
        <row r="845">
          <cell r="A845">
            <v>844</v>
          </cell>
          <cell r="B845">
            <v>46169</v>
          </cell>
          <cell r="C845" t="str">
            <v>VOLKSWAGENS TIGUAN</v>
          </cell>
          <cell r="D845" t="str">
            <v>VOLKSWAGENS</v>
          </cell>
          <cell r="E845" t="str">
            <v>TIGUAN</v>
          </cell>
          <cell r="G845" t="str">
            <v>326무8661</v>
          </cell>
          <cell r="H845" t="str">
            <v>WVGZZZ5NZLW861196</v>
          </cell>
          <cell r="I845">
            <v>47629</v>
          </cell>
          <cell r="J845" t="str">
            <v>㈜ 신화모터스</v>
          </cell>
          <cell r="L845" t="str">
            <v>잔금</v>
          </cell>
          <cell r="M845" t="str">
            <v>100만원 대표님 계약</v>
          </cell>
          <cell r="N845">
            <v>1990</v>
          </cell>
          <cell r="P845">
            <v>0</v>
          </cell>
          <cell r="Q845" t="str">
            <v>done</v>
          </cell>
          <cell r="R845">
            <v>46178</v>
          </cell>
          <cell r="S845" t="str">
            <v>DONI</v>
          </cell>
          <cell r="T845" t="str">
            <v>DONI</v>
          </cell>
          <cell r="U845">
            <v>933682</v>
          </cell>
          <cell r="V845" t="str">
            <v>3 8 3 4 9 3 2 5 7 0 3</v>
          </cell>
          <cell r="W845" t="str">
            <v xml:space="preserve"> HYZRI TALLA OB 16 HY 1 NR 18
 Kosovë</v>
          </cell>
          <cell r="X845">
            <v>1505</v>
          </cell>
          <cell r="AB845">
            <v>1746</v>
          </cell>
          <cell r="AC845">
            <v>11000</v>
          </cell>
          <cell r="AD845">
            <v>1500</v>
          </cell>
          <cell r="AE845">
            <v>12500</v>
          </cell>
        </row>
        <row r="846">
          <cell r="A846">
            <v>845</v>
          </cell>
          <cell r="B846">
            <v>46169</v>
          </cell>
          <cell r="C846" t="str">
            <v>VOLKSWAGENS T-ROC</v>
          </cell>
          <cell r="D846" t="str">
            <v>VOLKSWAGENS</v>
          </cell>
          <cell r="E846" t="str">
            <v>T-ROC</v>
          </cell>
          <cell r="G846" t="str">
            <v>179거8991</v>
          </cell>
          <cell r="H846" t="str">
            <v>WVGZZZA1ZMV032030</v>
          </cell>
          <cell r="I846">
            <v>47629</v>
          </cell>
          <cell r="J846" t="str">
            <v>㈜고고카</v>
          </cell>
          <cell r="L846" t="str">
            <v>잔금</v>
          </cell>
          <cell r="M846" t="str">
            <v>100만원 대표님 계약</v>
          </cell>
          <cell r="N846">
            <v>2220</v>
          </cell>
          <cell r="P846">
            <v>0</v>
          </cell>
          <cell r="Q846" t="str">
            <v>done</v>
          </cell>
          <cell r="R846">
            <v>46178</v>
          </cell>
          <cell r="S846" t="str">
            <v>GENC HETA</v>
          </cell>
          <cell r="T846" t="str">
            <v>GENITA KORONICA</v>
          </cell>
          <cell r="U846">
            <v>1009870420</v>
          </cell>
          <cell r="V846" t="str">
            <v>383 49 707 126</v>
          </cell>
          <cell r="W846" t="str">
            <v>str Jusuf Gervalla hy 82/15 10000 Prishtine RKS</v>
          </cell>
          <cell r="X846">
            <v>1505</v>
          </cell>
          <cell r="AB846">
            <v>1746</v>
          </cell>
          <cell r="AC846">
            <v>12400</v>
          </cell>
          <cell r="AD846">
            <v>1500</v>
          </cell>
          <cell r="AE846">
            <v>13900</v>
          </cell>
          <cell r="AF846">
            <v>14000</v>
          </cell>
        </row>
        <row r="847">
          <cell r="A847">
            <v>846</v>
          </cell>
          <cell r="B847">
            <v>46169</v>
          </cell>
          <cell r="C847" t="str">
            <v>AUDI Q3</v>
          </cell>
          <cell r="D847" t="str">
            <v>AUDI</v>
          </cell>
          <cell r="E847" t="str">
            <v>Q3</v>
          </cell>
          <cell r="G847" t="str">
            <v>116로6196</v>
          </cell>
          <cell r="H847" t="str">
            <v>WAUZZZF32L1086569</v>
          </cell>
          <cell r="I847">
            <v>47629</v>
          </cell>
          <cell r="J847" t="str">
            <v>㈜제이디모터스</v>
          </cell>
          <cell r="L847" t="str">
            <v>잔금</v>
          </cell>
          <cell r="M847" t="str">
            <v>50만원 대표님 계약</v>
          </cell>
          <cell r="N847">
            <v>3100</v>
          </cell>
          <cell r="P847">
            <v>0</v>
          </cell>
          <cell r="Q847" t="str">
            <v>done</v>
          </cell>
          <cell r="R847">
            <v>46181</v>
          </cell>
          <cell r="S847" t="str">
            <v>DONI</v>
          </cell>
          <cell r="T847" t="str">
            <v>DONI</v>
          </cell>
          <cell r="U847">
            <v>933682</v>
          </cell>
          <cell r="V847" t="str">
            <v>3 8 3 4 9 3 2 5 7 0 3</v>
          </cell>
          <cell r="W847" t="str">
            <v xml:space="preserve"> HYZRI TALLA OB 16 HY 1 NR 18
 Kosovë</v>
          </cell>
          <cell r="X847">
            <v>1505</v>
          </cell>
          <cell r="AB847">
            <v>1746</v>
          </cell>
          <cell r="AC847">
            <v>17250</v>
          </cell>
          <cell r="AD847">
            <v>1500</v>
          </cell>
          <cell r="AE847">
            <v>18750</v>
          </cell>
        </row>
        <row r="848">
          <cell r="A848">
            <v>847</v>
          </cell>
          <cell r="B848">
            <v>46169</v>
          </cell>
          <cell r="C848" t="str">
            <v>BENZ GLC 220</v>
          </cell>
          <cell r="D848" t="str">
            <v>BENZ</v>
          </cell>
          <cell r="E848" t="str">
            <v>GLC 220</v>
          </cell>
          <cell r="G848" t="str">
            <v>35어9006</v>
          </cell>
          <cell r="H848" t="str">
            <v>WDC0G0FB5HF188392</v>
          </cell>
          <cell r="I848">
            <v>46174</v>
          </cell>
          <cell r="J848" t="str">
            <v>㈜라인오토</v>
          </cell>
          <cell r="L848" t="str">
            <v>잔금</v>
          </cell>
          <cell r="M848" t="str">
            <v>50만원 대표님 계약</v>
          </cell>
          <cell r="N848">
            <v>2000</v>
          </cell>
          <cell r="P848">
            <v>0</v>
          </cell>
          <cell r="Q848" t="str">
            <v>done</v>
          </cell>
          <cell r="R848">
            <v>46181</v>
          </cell>
          <cell r="S848" t="str">
            <v>TAFA</v>
          </cell>
          <cell r="T848" t="str">
            <v>RROKAJ MARSILJO</v>
          </cell>
          <cell r="U848" t="str">
            <v>K4060502O</v>
          </cell>
          <cell r="V848" t="str">
            <v>355 68 855 8026</v>
          </cell>
          <cell r="W848" t="str">
            <v>ALBANIA</v>
          </cell>
          <cell r="X848">
            <v>1505</v>
          </cell>
          <cell r="AB848">
            <v>1746</v>
          </cell>
          <cell r="AC848">
            <v>11060</v>
          </cell>
          <cell r="AD848">
            <v>1500</v>
          </cell>
          <cell r="AE848">
            <v>12560</v>
          </cell>
          <cell r="AF848">
            <v>10000</v>
          </cell>
        </row>
        <row r="849">
          <cell r="A849">
            <v>848</v>
          </cell>
          <cell r="B849">
            <v>46169</v>
          </cell>
          <cell r="C849" t="str">
            <v>BMW 328I</v>
          </cell>
          <cell r="D849" t="str">
            <v>BMW</v>
          </cell>
          <cell r="E849" t="str">
            <v>328I</v>
          </cell>
          <cell r="G849" t="str">
            <v>57너1992</v>
          </cell>
          <cell r="H849" t="str">
            <v>WBAWR31029PF85815</v>
          </cell>
          <cell r="I849">
            <v>46170</v>
          </cell>
          <cell r="L849" t="str">
            <v>잔금</v>
          </cell>
          <cell r="M849" t="str">
            <v>50만원 대표님 계약</v>
          </cell>
          <cell r="N849">
            <v>650</v>
          </cell>
          <cell r="O849">
            <v>44</v>
          </cell>
          <cell r="P849">
            <v>0</v>
          </cell>
          <cell r="Q849" t="str">
            <v>done</v>
          </cell>
          <cell r="R849">
            <v>46170</v>
          </cell>
          <cell r="S849" t="str">
            <v>EASY DRIVE</v>
          </cell>
          <cell r="T849" t="str">
            <v>Easy Drive LTD</v>
          </cell>
          <cell r="U849">
            <v>206557008</v>
          </cell>
          <cell r="V849" t="str">
            <v>359 89 936 8386</v>
          </cell>
          <cell r="W849" t="str">
            <v>ul. Sokolna 47
1444 Sofia
Bulgaria</v>
          </cell>
          <cell r="X849">
            <v>1503</v>
          </cell>
          <cell r="AB849">
            <v>1746</v>
          </cell>
          <cell r="AC849">
            <v>3920</v>
          </cell>
        </row>
        <row r="850">
          <cell r="A850">
            <v>849</v>
          </cell>
          <cell r="B850">
            <v>46169</v>
          </cell>
          <cell r="C850" t="str">
            <v>AUDI A6</v>
          </cell>
          <cell r="D850" t="str">
            <v>AUDI</v>
          </cell>
          <cell r="E850" t="str">
            <v>A6</v>
          </cell>
          <cell r="G850" t="str">
            <v>21버4376</v>
          </cell>
          <cell r="H850" t="str">
            <v>WAUZZZ4G8JN063745 </v>
          </cell>
          <cell r="J850" t="str">
            <v>경매장-AJ</v>
          </cell>
          <cell r="L850" t="str">
            <v>잔금</v>
          </cell>
          <cell r="N850">
            <v>1060</v>
          </cell>
          <cell r="O850">
            <v>27</v>
          </cell>
          <cell r="P850">
            <v>0</v>
          </cell>
          <cell r="Q850" t="str">
            <v>done</v>
          </cell>
          <cell r="R850">
            <v>46192</v>
          </cell>
          <cell r="S850" t="str">
            <v>AUTO SCOUT</v>
          </cell>
          <cell r="T850" t="str">
            <v>DONI</v>
          </cell>
          <cell r="U850">
            <v>933682</v>
          </cell>
          <cell r="V850" t="str">
            <v>3 8 3 4 9 3 2 5 7 0 3</v>
          </cell>
          <cell r="W850" t="str">
            <v xml:space="preserve"> HYZRI TALLA OB 16 HY 1 NR 18
 Kosovë</v>
          </cell>
          <cell r="X850">
            <v>1505</v>
          </cell>
          <cell r="AB850">
            <v>1746</v>
          </cell>
          <cell r="AC850">
            <v>6036</v>
          </cell>
          <cell r="AD850">
            <v>1414</v>
          </cell>
          <cell r="AE850">
            <v>7450</v>
          </cell>
        </row>
        <row r="851">
          <cell r="A851">
            <v>850</v>
          </cell>
          <cell r="B851">
            <v>46169</v>
          </cell>
          <cell r="C851" t="str">
            <v>AUDI A6</v>
          </cell>
          <cell r="D851" t="str">
            <v>AUDI</v>
          </cell>
          <cell r="E851" t="str">
            <v>A6</v>
          </cell>
          <cell r="G851" t="str">
            <v>43머3974</v>
          </cell>
          <cell r="H851" t="str">
            <v xml:space="preserve">WAUZZZ4G4JN074029 </v>
          </cell>
          <cell r="J851" t="str">
            <v>경매장-AJ</v>
          </cell>
          <cell r="L851" t="str">
            <v>잔금</v>
          </cell>
          <cell r="N851">
            <v>1450</v>
          </cell>
          <cell r="O851">
            <v>37</v>
          </cell>
          <cell r="P851">
            <v>0</v>
          </cell>
          <cell r="Q851" t="str">
            <v>done</v>
          </cell>
          <cell r="R851">
            <v>46192</v>
          </cell>
          <cell r="S851" t="str">
            <v>AUTO SCOUT</v>
          </cell>
          <cell r="T851" t="str">
            <v>DONI</v>
          </cell>
          <cell r="U851">
            <v>933682</v>
          </cell>
          <cell r="V851" t="str">
            <v>3 8 3 4 9 3 2 5 7 0 3</v>
          </cell>
          <cell r="W851" t="str">
            <v xml:space="preserve"> HYZRI TALLA OB 16 HY 1 NR 18
 Kosovë</v>
          </cell>
          <cell r="X851">
            <v>1505</v>
          </cell>
          <cell r="AB851">
            <v>1746</v>
          </cell>
          <cell r="AC851">
            <v>8186</v>
          </cell>
          <cell r="AD851">
            <v>1414</v>
          </cell>
          <cell r="AE851">
            <v>9600</v>
          </cell>
        </row>
        <row r="852">
          <cell r="A852">
            <v>851</v>
          </cell>
          <cell r="B852">
            <v>46170</v>
          </cell>
          <cell r="C852" t="str">
            <v>BMW 520D</v>
          </cell>
          <cell r="D852" t="str">
            <v>BMW</v>
          </cell>
          <cell r="E852" t="str">
            <v>520D</v>
          </cell>
          <cell r="G852" t="str">
            <v>10도5794</v>
          </cell>
          <cell r="H852" t="str">
            <v>WBAJC310XJG997008</v>
          </cell>
          <cell r="J852" t="str">
            <v>경매장 - kcar</v>
          </cell>
          <cell r="L852" t="str">
            <v>잔금</v>
          </cell>
          <cell r="N852">
            <v>1675</v>
          </cell>
          <cell r="O852">
            <v>37</v>
          </cell>
          <cell r="P852">
            <v>0</v>
          </cell>
          <cell r="Q852" t="str">
            <v>done</v>
          </cell>
          <cell r="R852">
            <v>46181</v>
          </cell>
          <cell r="S852" t="str">
            <v>DONI</v>
          </cell>
          <cell r="T852" t="str">
            <v>DONI</v>
          </cell>
          <cell r="U852">
            <v>933682</v>
          </cell>
          <cell r="V852" t="str">
            <v>3 8 3 4 9 3 2 5 7 0 3</v>
          </cell>
          <cell r="W852" t="str">
            <v xml:space="preserve"> HYZRI TALLA OB 16 HY 1 NR 18
 Kosovë</v>
          </cell>
          <cell r="X852">
            <v>1505</v>
          </cell>
          <cell r="AB852">
            <v>1746</v>
          </cell>
          <cell r="AC852">
            <v>9386</v>
          </cell>
          <cell r="AD852">
            <v>1414</v>
          </cell>
          <cell r="AE852">
            <v>10800</v>
          </cell>
        </row>
        <row r="853">
          <cell r="A853">
            <v>852</v>
          </cell>
          <cell r="B853">
            <v>46170</v>
          </cell>
          <cell r="C853" t="str">
            <v>RENAULT CLIO</v>
          </cell>
          <cell r="D853" t="str">
            <v>RENAULT</v>
          </cell>
          <cell r="E853" t="str">
            <v>CLIO</v>
          </cell>
          <cell r="G853" t="str">
            <v>29도4247</v>
          </cell>
          <cell r="H853" t="str">
            <v>VF15RBJ0DJR024745</v>
          </cell>
          <cell r="J853" t="str">
            <v>경매장 - kcar</v>
          </cell>
          <cell r="L853" t="str">
            <v>잔금</v>
          </cell>
          <cell r="N853">
            <v>695</v>
          </cell>
          <cell r="O853">
            <v>16</v>
          </cell>
          <cell r="P853">
            <v>0</v>
          </cell>
          <cell r="Q853" t="str">
            <v>DONE</v>
          </cell>
          <cell r="R853">
            <v>46205</v>
          </cell>
          <cell r="S853" t="str">
            <v>DONI</v>
          </cell>
          <cell r="T853" t="str">
            <v>DONI</v>
          </cell>
          <cell r="U853">
            <v>933682</v>
          </cell>
          <cell r="V853" t="str">
            <v>3 8 3 4 9 3 2 5 7 0 3</v>
          </cell>
          <cell r="W853" t="str">
            <v xml:space="preserve"> HYZRI TALLA OB 16 HY 1 NR 18
 Kosovë</v>
          </cell>
          <cell r="X853">
            <v>1541</v>
          </cell>
          <cell r="AB853">
            <v>1753</v>
          </cell>
          <cell r="AC853">
            <v>4008</v>
          </cell>
          <cell r="AD853">
            <v>1442</v>
          </cell>
          <cell r="AE853">
            <v>5450</v>
          </cell>
        </row>
        <row r="854">
          <cell r="A854">
            <v>853</v>
          </cell>
          <cell r="B854">
            <v>46170</v>
          </cell>
          <cell r="C854" t="str">
            <v>BMW 320D</v>
          </cell>
          <cell r="D854" t="str">
            <v>BMW</v>
          </cell>
          <cell r="E854" t="str">
            <v>320D</v>
          </cell>
          <cell r="F854">
            <v>2018</v>
          </cell>
          <cell r="G854" t="str">
            <v>66가5363</v>
          </cell>
          <cell r="H854" t="str">
            <v>WBA8C5104JA075461</v>
          </cell>
          <cell r="I854">
            <v>2026</v>
          </cell>
          <cell r="J854" t="str">
            <v>경매장-현대</v>
          </cell>
          <cell r="L854" t="str">
            <v>잔금</v>
          </cell>
          <cell r="N854">
            <v>1435</v>
          </cell>
          <cell r="O854">
            <v>32</v>
          </cell>
          <cell r="P854">
            <v>0</v>
          </cell>
          <cell r="Q854" t="str">
            <v>DONE</v>
          </cell>
          <cell r="R854">
            <v>46274</v>
          </cell>
          <cell r="S854" t="str">
            <v>AUTO SCOUT</v>
          </cell>
          <cell r="T854" t="str">
            <v>DONI</v>
          </cell>
          <cell r="U854">
            <v>933682</v>
          </cell>
          <cell r="V854" t="str">
            <v>3 8 3 4 9 3 2 5 7 0 3</v>
          </cell>
          <cell r="W854" t="str">
            <v xml:space="preserve"> HYZRI TALLA OB 16 HY 1 NR 18
 Kosovë</v>
          </cell>
          <cell r="X854">
            <v>1328</v>
          </cell>
          <cell r="AB854">
            <v>1544</v>
          </cell>
          <cell r="AC854">
            <v>8765</v>
          </cell>
          <cell r="AD854">
            <v>1755</v>
          </cell>
          <cell r="AE854">
            <v>10520</v>
          </cell>
        </row>
        <row r="855">
          <cell r="A855">
            <v>854</v>
          </cell>
          <cell r="B855">
            <v>46170</v>
          </cell>
          <cell r="C855" t="str">
            <v>AUDI A6</v>
          </cell>
          <cell r="D855" t="str">
            <v>AUDI</v>
          </cell>
          <cell r="E855" t="str">
            <v>A6</v>
          </cell>
          <cell r="G855" t="str">
            <v>15라0538</v>
          </cell>
          <cell r="H855" t="str">
            <v>WAUZZZ4G5GN121223</v>
          </cell>
          <cell r="J855" t="str">
            <v>경매장-현대</v>
          </cell>
          <cell r="L855" t="str">
            <v>잔금</v>
          </cell>
          <cell r="N855">
            <v>880</v>
          </cell>
          <cell r="O855">
            <v>19</v>
          </cell>
          <cell r="P855">
            <v>0</v>
          </cell>
          <cell r="Q855" t="str">
            <v>done</v>
          </cell>
          <cell r="R855">
            <v>46191</v>
          </cell>
          <cell r="S855" t="str">
            <v>DONI</v>
          </cell>
          <cell r="T855" t="str">
            <v>DONI</v>
          </cell>
          <cell r="U855">
            <v>933682</v>
          </cell>
          <cell r="V855" t="str">
            <v>3 8 3 4 9 3 2 5 7 0 3</v>
          </cell>
          <cell r="W855" t="str">
            <v xml:space="preserve"> HYZRI TALLA OB 16 HY 1 NR 18
 Kosovë</v>
          </cell>
          <cell r="X855">
            <v>1518</v>
          </cell>
          <cell r="AB855">
            <v>1750</v>
          </cell>
          <cell r="AC855">
            <v>5037</v>
          </cell>
          <cell r="AD855">
            <v>1423</v>
          </cell>
          <cell r="AE855">
            <v>6460</v>
          </cell>
        </row>
        <row r="856">
          <cell r="A856">
            <v>855</v>
          </cell>
          <cell r="B856">
            <v>46170</v>
          </cell>
          <cell r="C856" t="str">
            <v>AUDI A6</v>
          </cell>
          <cell r="D856" t="str">
            <v>AUDI</v>
          </cell>
          <cell r="E856" t="str">
            <v>A6</v>
          </cell>
          <cell r="G856" t="str">
            <v>184저1259</v>
          </cell>
          <cell r="H856" t="str">
            <v>WAUZZZF29NN042720</v>
          </cell>
          <cell r="I856">
            <v>46177</v>
          </cell>
          <cell r="J856" t="str">
            <v>㈜신원자동차</v>
          </cell>
          <cell r="L856" t="str">
            <v>잔금</v>
          </cell>
          <cell r="M856" t="str">
            <v>100만원 회사통장 계약</v>
          </cell>
          <cell r="N856">
            <v>3750</v>
          </cell>
          <cell r="P856">
            <v>0</v>
          </cell>
          <cell r="Q856" t="str">
            <v>done</v>
          </cell>
          <cell r="R856">
            <v>46195</v>
          </cell>
          <cell r="S856" t="str">
            <v>BURAK BARAN CARS</v>
          </cell>
          <cell r="T856" t="str">
            <v>BARAN BURAK</v>
          </cell>
          <cell r="U856" t="str">
            <v>C8CHJFFVN</v>
          </cell>
          <cell r="V856" t="str">
            <v>49 170 350 3544</v>
          </cell>
          <cell r="W856" t="str">
            <v>GERMANY</v>
          </cell>
          <cell r="X856">
            <v>1518</v>
          </cell>
          <cell r="AB856">
            <v>1741</v>
          </cell>
          <cell r="AC856">
            <v>35832300</v>
          </cell>
        </row>
        <row r="857">
          <cell r="A857">
            <v>856</v>
          </cell>
          <cell r="B857">
            <v>46170</v>
          </cell>
          <cell r="C857" t="str">
            <v>BENZ E220</v>
          </cell>
          <cell r="D857" t="str">
            <v>BENZ</v>
          </cell>
          <cell r="E857" t="str">
            <v>E220</v>
          </cell>
          <cell r="G857" t="str">
            <v>374저1182</v>
          </cell>
          <cell r="H857" t="str">
            <v>WDD1J1EB0KF117049</v>
          </cell>
          <cell r="I857">
            <v>46177</v>
          </cell>
          <cell r="J857" t="str">
            <v>㈜신원자동차</v>
          </cell>
          <cell r="L857" t="str">
            <v>잔금</v>
          </cell>
          <cell r="M857" t="str">
            <v>100만원 회사통장 계약</v>
          </cell>
          <cell r="N857">
            <v>2930</v>
          </cell>
          <cell r="P857">
            <v>0</v>
          </cell>
          <cell r="Q857" t="str">
            <v>done</v>
          </cell>
          <cell r="R857">
            <v>46195</v>
          </cell>
          <cell r="S857" t="str">
            <v>BURAK BARAN CARS</v>
          </cell>
          <cell r="T857" t="str">
            <v>BARAN BURAK</v>
          </cell>
          <cell r="U857" t="str">
            <v>C8CHJFFVN</v>
          </cell>
          <cell r="V857" t="str">
            <v>49 170 350 3544</v>
          </cell>
          <cell r="W857" t="str">
            <v>GERMANY</v>
          </cell>
          <cell r="X857">
            <v>1518</v>
          </cell>
          <cell r="AB857">
            <v>1741</v>
          </cell>
          <cell r="AC857">
            <v>28000000</v>
          </cell>
        </row>
        <row r="858">
          <cell r="A858">
            <v>857</v>
          </cell>
          <cell r="B858">
            <v>46170</v>
          </cell>
          <cell r="C858" t="str">
            <v>MERCEDES GLC300 4MATIC COUPE</v>
          </cell>
          <cell r="D858" t="str">
            <v>MERCEDES</v>
          </cell>
          <cell r="E858" t="str">
            <v>GLC300 4MATIC COUPE</v>
          </cell>
          <cell r="G858" t="str">
            <v>239수1388</v>
          </cell>
          <cell r="H858" t="str">
            <v>WDC0J4KB3KF668310</v>
          </cell>
          <cell r="I858">
            <v>46182</v>
          </cell>
          <cell r="J858" t="str">
            <v>개인매입- 홍석화</v>
          </cell>
          <cell r="L858" t="str">
            <v>잔금</v>
          </cell>
          <cell r="M858" t="str">
            <v>100만원 회사통장 계약</v>
          </cell>
          <cell r="N858">
            <v>3296</v>
          </cell>
          <cell r="O858">
            <v>44</v>
          </cell>
          <cell r="P858">
            <v>0</v>
          </cell>
          <cell r="Q858" t="str">
            <v>done</v>
          </cell>
          <cell r="R858">
            <v>46195</v>
          </cell>
          <cell r="S858" t="str">
            <v>BURAK BARAN CARS</v>
          </cell>
          <cell r="T858" t="str">
            <v>BARAN BURAK</v>
          </cell>
          <cell r="U858" t="str">
            <v>C8CHJFFVN</v>
          </cell>
          <cell r="V858" t="str">
            <v>49 170 350 3544</v>
          </cell>
          <cell r="W858" t="str">
            <v>GERMANY</v>
          </cell>
          <cell r="X858">
            <v>1518</v>
          </cell>
          <cell r="AB858">
            <v>1741</v>
          </cell>
          <cell r="AC858">
            <v>31916800</v>
          </cell>
        </row>
        <row r="859">
          <cell r="A859">
            <v>858</v>
          </cell>
          <cell r="B859">
            <v>46170</v>
          </cell>
          <cell r="C859" t="str">
            <v>BENZ E220D</v>
          </cell>
          <cell r="D859" t="str">
            <v>BENZ</v>
          </cell>
          <cell r="E859" t="str">
            <v>E220D</v>
          </cell>
          <cell r="G859" t="str">
            <v>39조7096</v>
          </cell>
          <cell r="H859" t="str">
            <v>WDDZF0FB7HA217538</v>
          </cell>
          <cell r="I859">
            <v>46174</v>
          </cell>
          <cell r="J859" t="str">
            <v>㈜에이플러스모터스</v>
          </cell>
          <cell r="L859" t="str">
            <v>잔금</v>
          </cell>
          <cell r="M859" t="str">
            <v>50만원 대표님 계약</v>
          </cell>
          <cell r="N859">
            <v>1650</v>
          </cell>
          <cell r="P859">
            <v>0</v>
          </cell>
          <cell r="Q859" t="str">
            <v>done</v>
          </cell>
          <cell r="R859">
            <v>46181</v>
          </cell>
          <cell r="S859" t="str">
            <v>Auto Posh SH.P.K</v>
          </cell>
          <cell r="T859" t="str">
            <v>Auto Posh SH.P.K</v>
          </cell>
          <cell r="U859">
            <v>812219427</v>
          </cell>
          <cell r="V859" t="str">
            <v>38345560145</v>
          </cell>
          <cell r="W859" t="str">
            <v>KOSOVO</v>
          </cell>
          <cell r="X859">
            <v>1505</v>
          </cell>
          <cell r="AB859">
            <v>1746</v>
          </cell>
          <cell r="AC859">
            <v>9106</v>
          </cell>
          <cell r="AD859">
            <v>1414</v>
          </cell>
          <cell r="AE859">
            <v>10520</v>
          </cell>
        </row>
        <row r="860">
          <cell r="A860">
            <v>859</v>
          </cell>
          <cell r="B860">
            <v>46172</v>
          </cell>
          <cell r="C860" t="str">
            <v>MERCERDES-BENZ CLS350 d 4Matic</v>
          </cell>
          <cell r="D860" t="str">
            <v>MERCERDES-BENZ</v>
          </cell>
          <cell r="E860" t="str">
            <v>CLS350 d 4Matic</v>
          </cell>
          <cell r="G860" t="str">
            <v>57고0627</v>
          </cell>
          <cell r="H860" t="str">
            <v>WDDLJ9EB5GA182829</v>
          </cell>
          <cell r="I860">
            <v>46178</v>
          </cell>
          <cell r="L860" t="str">
            <v>잔금</v>
          </cell>
          <cell r="M860" t="str">
            <v>50만원 회사통장 계약</v>
          </cell>
          <cell r="N860">
            <v>1550</v>
          </cell>
          <cell r="P860">
            <v>0</v>
          </cell>
          <cell r="Q860" t="str">
            <v>done</v>
          </cell>
          <cell r="R860">
            <v>46182</v>
          </cell>
          <cell r="S860" t="str">
            <v>EASY DRIVE</v>
          </cell>
          <cell r="T860" t="str">
            <v>Easy Drive LTD</v>
          </cell>
          <cell r="U860">
            <v>206557008</v>
          </cell>
          <cell r="V860" t="str">
            <v>359 89 936 8386</v>
          </cell>
          <cell r="W860" t="str">
            <v>ul. Sokolna 47
1444 Sofia
Bulgaria</v>
          </cell>
          <cell r="AC860">
            <v>15013300</v>
          </cell>
        </row>
        <row r="861">
          <cell r="A861">
            <v>860</v>
          </cell>
          <cell r="B861">
            <v>46172</v>
          </cell>
          <cell r="C861" t="str">
            <v>VOLKSWAGENS PASSAT</v>
          </cell>
          <cell r="D861" t="str">
            <v>VOLKSWAGENS</v>
          </cell>
          <cell r="E861" t="str">
            <v>PASSAT</v>
          </cell>
          <cell r="G861" t="str">
            <v>40루1327</v>
          </cell>
          <cell r="H861" t="str">
            <v xml:space="preserve">WVWZZZ3CZJE122679 </v>
          </cell>
          <cell r="I861">
            <v>46177</v>
          </cell>
          <cell r="J861" t="str">
            <v>㈜수호모터스</v>
          </cell>
          <cell r="L861" t="str">
            <v>잔금</v>
          </cell>
          <cell r="M861" t="str">
            <v>50만원 회사통장 계약</v>
          </cell>
          <cell r="N861">
            <v>1550</v>
          </cell>
          <cell r="O861">
            <v>44</v>
          </cell>
          <cell r="P861">
            <v>0</v>
          </cell>
          <cell r="Q861" t="str">
            <v>done</v>
          </cell>
          <cell r="R861">
            <v>46185</v>
          </cell>
          <cell r="S861" t="str">
            <v>VIBE KOREA</v>
          </cell>
          <cell r="T861" t="str">
            <v>ERION KACIU</v>
          </cell>
          <cell r="U861">
            <v>1174269714</v>
          </cell>
          <cell r="V861">
            <v>38345609813</v>
          </cell>
          <cell r="W861" t="str">
            <v>Nexhmi Kaçiu, Nr.20, Lupq i Poshtem Podujev, Kosovo</v>
          </cell>
          <cell r="X861">
            <v>1495</v>
          </cell>
          <cell r="AB861">
            <v>1741</v>
          </cell>
          <cell r="AC861">
            <v>8812</v>
          </cell>
          <cell r="AD861">
            <v>1408</v>
          </cell>
          <cell r="AE861">
            <v>10220</v>
          </cell>
          <cell r="AF861">
            <v>10220</v>
          </cell>
        </row>
        <row r="862">
          <cell r="A862">
            <v>861</v>
          </cell>
          <cell r="B862">
            <v>46172</v>
          </cell>
          <cell r="C862" t="str">
            <v>Jeep  Gladiator</v>
          </cell>
          <cell r="D862" t="str">
            <v>Jeep</v>
          </cell>
          <cell r="E862" t="str">
            <v xml:space="preserve"> Gladiator</v>
          </cell>
          <cell r="G862" t="str">
            <v>96더5119</v>
          </cell>
          <cell r="H862" t="str">
            <v>1C6JJTBG8LL217190</v>
          </cell>
          <cell r="I862">
            <v>46177</v>
          </cell>
          <cell r="J862" t="str">
            <v>㈜벡엘자동차</v>
          </cell>
          <cell r="L862" t="str">
            <v>잔금</v>
          </cell>
          <cell r="M862" t="str">
            <v>100만원 대표님 계약</v>
          </cell>
          <cell r="N862">
            <v>4150</v>
          </cell>
          <cell r="P862">
            <v>0</v>
          </cell>
          <cell r="Q862" t="str">
            <v>done</v>
          </cell>
          <cell r="R862">
            <v>46195</v>
          </cell>
          <cell r="S862" t="str">
            <v>BURAK BARAN CARS</v>
          </cell>
          <cell r="T862" t="str">
            <v>BARAN BURAK</v>
          </cell>
          <cell r="U862" t="str">
            <v>C8CHJFFVN</v>
          </cell>
          <cell r="V862" t="str">
            <v>49 170 350 3544</v>
          </cell>
          <cell r="W862" t="str">
            <v>GERMANY</v>
          </cell>
          <cell r="X862">
            <v>1518</v>
          </cell>
          <cell r="AB862">
            <v>1741</v>
          </cell>
          <cell r="AC862">
            <v>39652300</v>
          </cell>
        </row>
        <row r="863">
          <cell r="A863">
            <v>862</v>
          </cell>
          <cell r="B863">
            <v>46172</v>
          </cell>
          <cell r="C863" t="str">
            <v>BMW M3</v>
          </cell>
          <cell r="D863" t="str">
            <v>BMW</v>
          </cell>
          <cell r="E863" t="str">
            <v>M3</v>
          </cell>
          <cell r="G863" t="str">
            <v>38소3678</v>
          </cell>
          <cell r="H863" t="str">
            <v>WBSWD9109AP306326</v>
          </cell>
          <cell r="I863">
            <v>46175</v>
          </cell>
          <cell r="J863" t="str">
            <v>개인- 조영재 010 8764 2962</v>
          </cell>
          <cell r="L863" t="str">
            <v>잔금</v>
          </cell>
          <cell r="M863" t="str">
            <v>50만원 대표님 계약</v>
          </cell>
          <cell r="N863">
            <v>2600</v>
          </cell>
          <cell r="P863">
            <v>0</v>
          </cell>
          <cell r="Q863" t="str">
            <v>DONE</v>
          </cell>
          <cell r="R863">
            <v>46196</v>
          </cell>
          <cell r="S863" t="str">
            <v>DAX IMPORT</v>
          </cell>
          <cell r="T863" t="str">
            <v xml:space="preserve">Michael Karl  </v>
          </cell>
          <cell r="U863" t="str">
            <v>LF9N8WZ16</v>
          </cell>
          <cell r="V863" t="str">
            <v>‪+49 471 94189050‬</v>
          </cell>
          <cell r="W863" t="str">
            <v xml:space="preserve">Dorfstr,33C,(82024) Taufkirchen, Germany </v>
          </cell>
          <cell r="X863">
            <v>1495</v>
          </cell>
          <cell r="AB863">
            <v>1741</v>
          </cell>
          <cell r="AC863">
            <v>14310</v>
          </cell>
          <cell r="AF863">
            <v>14880</v>
          </cell>
        </row>
        <row r="864">
          <cell r="A864">
            <v>863</v>
          </cell>
          <cell r="B864">
            <v>46172</v>
          </cell>
          <cell r="C864" t="str">
            <v>MERCEDES AMG S63 4MATIC COUPE</v>
          </cell>
          <cell r="D864" t="str">
            <v>MERCEDES AMG</v>
          </cell>
          <cell r="E864" t="str">
            <v>S63 4MATIC COUPE</v>
          </cell>
          <cell r="G864" t="str">
            <v>56너0229</v>
          </cell>
          <cell r="H864" t="str">
            <v xml:space="preserve">WDDXJ7JB5GA011154 </v>
          </cell>
          <cell r="I864">
            <v>46177</v>
          </cell>
          <cell r="L864" t="str">
            <v>잔금</v>
          </cell>
          <cell r="M864" t="str">
            <v>100만원 대표님 계약</v>
          </cell>
          <cell r="N864">
            <v>3550</v>
          </cell>
          <cell r="P864">
            <v>0</v>
          </cell>
          <cell r="Q864" t="str">
            <v>done</v>
          </cell>
          <cell r="R864">
            <v>46195</v>
          </cell>
          <cell r="S864" t="str">
            <v>BURAK BARAN CARS</v>
          </cell>
          <cell r="T864" t="str">
            <v>BARAN BURAK</v>
          </cell>
          <cell r="U864" t="str">
            <v>C8CHJFFVN</v>
          </cell>
          <cell r="V864" t="str">
            <v>49 170 350 3544</v>
          </cell>
          <cell r="W864" t="str">
            <v>GERMANY</v>
          </cell>
          <cell r="X864">
            <v>1518</v>
          </cell>
          <cell r="AB864">
            <v>1741</v>
          </cell>
          <cell r="AC864">
            <v>33922300</v>
          </cell>
        </row>
        <row r="865">
          <cell r="A865">
            <v>864</v>
          </cell>
          <cell r="B865">
            <v>46172</v>
          </cell>
          <cell r="C865" t="str">
            <v>MERCEDES BENZ GLE 400D 4MATIC COUPE</v>
          </cell>
          <cell r="D865" t="str">
            <v>MERCEDES BENZ</v>
          </cell>
          <cell r="E865" t="str">
            <v>GLE 400D 4MATIC COUPE</v>
          </cell>
          <cell r="G865" t="str">
            <v>325가3219</v>
          </cell>
          <cell r="H865" t="str">
            <v>W1NFD2DB5MA308277</v>
          </cell>
          <cell r="I865">
            <v>46177</v>
          </cell>
          <cell r="J865" t="str">
            <v>㈜ 준모터스</v>
          </cell>
          <cell r="L865" t="str">
            <v>잔금</v>
          </cell>
          <cell r="M865" t="str">
            <v>50만원 대표님 계약</v>
          </cell>
          <cell r="N865">
            <v>5724</v>
          </cell>
          <cell r="P865">
            <v>0</v>
          </cell>
          <cell r="Q865" t="str">
            <v>done</v>
          </cell>
          <cell r="R865">
            <v>46195</v>
          </cell>
          <cell r="S865" t="str">
            <v>BURAK BARAN CARS</v>
          </cell>
          <cell r="T865" t="str">
            <v>BARAN BURAK</v>
          </cell>
          <cell r="U865" t="str">
            <v>C8CHJFFVN</v>
          </cell>
          <cell r="V865" t="str">
            <v>49 170 350 3544</v>
          </cell>
          <cell r="W865" t="str">
            <v>GERMANY</v>
          </cell>
          <cell r="X865">
            <v>1518</v>
          </cell>
          <cell r="AB865">
            <v>1741</v>
          </cell>
          <cell r="AC865">
            <v>54674450</v>
          </cell>
        </row>
        <row r="866">
          <cell r="A866">
            <v>865</v>
          </cell>
          <cell r="B866">
            <v>46172</v>
          </cell>
          <cell r="C866" t="str">
            <v>AUDI A3</v>
          </cell>
          <cell r="D866" t="str">
            <v>AUDI</v>
          </cell>
          <cell r="E866" t="str">
            <v>A3</v>
          </cell>
          <cell r="G866" t="str">
            <v>14주4848</v>
          </cell>
          <cell r="H866" t="str">
            <v>WAUZZZ8VXJ1081437</v>
          </cell>
          <cell r="I866">
            <v>46177</v>
          </cell>
          <cell r="J866" t="str">
            <v>㈜제이모센</v>
          </cell>
          <cell r="L866" t="str">
            <v>잔금</v>
          </cell>
          <cell r="M866" t="str">
            <v>100만원 대표님 계약</v>
          </cell>
          <cell r="N866">
            <v>1100</v>
          </cell>
          <cell r="P866">
            <v>0</v>
          </cell>
          <cell r="Q866" t="str">
            <v>done</v>
          </cell>
          <cell r="R866">
            <v>46195</v>
          </cell>
          <cell r="S866" t="str">
            <v>BURAK BARAN CARS</v>
          </cell>
          <cell r="T866" t="str">
            <v>BARAN BURAK</v>
          </cell>
          <cell r="U866" t="str">
            <v>C8CHJFFVN</v>
          </cell>
          <cell r="V866" t="str">
            <v>49 170 350 3544</v>
          </cell>
          <cell r="W866" t="str">
            <v>GERMANY</v>
          </cell>
          <cell r="X866">
            <v>1518</v>
          </cell>
          <cell r="AB866">
            <v>1741</v>
          </cell>
          <cell r="AC866">
            <v>10683200</v>
          </cell>
        </row>
        <row r="867">
          <cell r="A867">
            <v>866</v>
          </cell>
          <cell r="B867">
            <v>46172</v>
          </cell>
          <cell r="C867" t="str">
            <v>KIA SPORTAGE</v>
          </cell>
          <cell r="D867" t="str">
            <v>KIA</v>
          </cell>
          <cell r="E867" t="str">
            <v>SPORTAGE</v>
          </cell>
          <cell r="G867" t="str">
            <v>323보8437</v>
          </cell>
          <cell r="H867" t="str">
            <v>KNAPW81CBNK088747</v>
          </cell>
          <cell r="I867">
            <v>46178</v>
          </cell>
          <cell r="L867" t="str">
            <v>잔금</v>
          </cell>
          <cell r="M867" t="str">
            <v>80만원 대표님 계약</v>
          </cell>
          <cell r="N867">
            <v>2084</v>
          </cell>
          <cell r="P867">
            <v>0</v>
          </cell>
          <cell r="Q867" t="str">
            <v>done</v>
          </cell>
          <cell r="R867">
            <v>46192</v>
          </cell>
          <cell r="S867" t="str">
            <v>R.S.h L.L.C.</v>
          </cell>
          <cell r="T867" t="str">
            <v>R.Sh L.L.C.</v>
          </cell>
          <cell r="U867">
            <v>812326016</v>
          </cell>
          <cell r="V867" t="str">
            <v>+383486 611 61</v>
          </cell>
          <cell r="W867" t="str">
            <v>Kosovo</v>
          </cell>
          <cell r="X867">
            <v>1505</v>
          </cell>
          <cell r="AB867">
            <v>1746</v>
          </cell>
          <cell r="AC867">
            <v>11500</v>
          </cell>
          <cell r="AD867">
            <v>1500</v>
          </cell>
          <cell r="AE867">
            <v>13000</v>
          </cell>
        </row>
        <row r="868">
          <cell r="A868">
            <v>867</v>
          </cell>
          <cell r="B868">
            <v>46172</v>
          </cell>
          <cell r="C868" t="str">
            <v>BMW M3</v>
          </cell>
          <cell r="D868" t="str">
            <v>BMW</v>
          </cell>
          <cell r="E868" t="str">
            <v>M3</v>
          </cell>
          <cell r="G868" t="str">
            <v>257조3333</v>
          </cell>
          <cell r="H868" t="str">
            <v>WBSWD9100AP305971</v>
          </cell>
          <cell r="I868">
            <v>46175</v>
          </cell>
          <cell r="J868" t="str">
            <v>㈜바른모터스</v>
          </cell>
          <cell r="L868" t="str">
            <v>잔금</v>
          </cell>
          <cell r="M868" t="str">
            <v>80만원 대표님 계약</v>
          </cell>
          <cell r="N868">
            <v>2000</v>
          </cell>
          <cell r="O868">
            <v>44</v>
          </cell>
          <cell r="P868">
            <v>0</v>
          </cell>
          <cell r="Q868" t="str">
            <v>DONE</v>
          </cell>
          <cell r="R868">
            <v>46196</v>
          </cell>
          <cell r="S868" t="str">
            <v>DAX IMPORT</v>
          </cell>
          <cell r="T868" t="str">
            <v xml:space="preserve">Michael Karl  </v>
          </cell>
          <cell r="U868" t="str">
            <v>LF9N8WZ16</v>
          </cell>
          <cell r="V868" t="str">
            <v>‪+49 471 94189050‬</v>
          </cell>
          <cell r="W868" t="str">
            <v xml:space="preserve">Dorfstr,33C,(82024) Taufkirchen, Germany </v>
          </cell>
          <cell r="X868">
            <v>1495</v>
          </cell>
          <cell r="AB868">
            <v>1741</v>
          </cell>
          <cell r="AC868">
            <v>11170</v>
          </cell>
          <cell r="AD868">
            <v>11170</v>
          </cell>
        </row>
        <row r="869">
          <cell r="A869">
            <v>868</v>
          </cell>
          <cell r="B869">
            <v>46172</v>
          </cell>
          <cell r="C869" t="str">
            <v>BMW M3</v>
          </cell>
          <cell r="D869" t="str">
            <v>BMW</v>
          </cell>
          <cell r="E869" t="str">
            <v>M3</v>
          </cell>
          <cell r="G869" t="str">
            <v>223너2927</v>
          </cell>
          <cell r="H869" t="str">
            <v>WBSKG9107BE568882</v>
          </cell>
          <cell r="I869">
            <v>46175</v>
          </cell>
          <cell r="J869" t="str">
            <v>㈜바른모터스</v>
          </cell>
          <cell r="L869" t="str">
            <v>잔금</v>
          </cell>
          <cell r="M869" t="str">
            <v>80만원 대표님 계약</v>
          </cell>
          <cell r="N869">
            <v>2475</v>
          </cell>
          <cell r="P869">
            <v>0</v>
          </cell>
          <cell r="Q869" t="str">
            <v>DONE</v>
          </cell>
          <cell r="R869">
            <v>46196</v>
          </cell>
          <cell r="S869" t="str">
            <v>DAX IMPORT</v>
          </cell>
          <cell r="T869" t="str">
            <v xml:space="preserve">Michael Karl  </v>
          </cell>
          <cell r="U869" t="str">
            <v>LF9N8WZ16</v>
          </cell>
          <cell r="V869" t="str">
            <v>‪+49 471 94189050‬</v>
          </cell>
          <cell r="W869" t="str">
            <v xml:space="preserve">Dorfstr,33C,(82024) Taufkirchen, Germany </v>
          </cell>
          <cell r="X869">
            <v>1495</v>
          </cell>
          <cell r="AB869">
            <v>1741</v>
          </cell>
          <cell r="AC869">
            <v>13620</v>
          </cell>
          <cell r="AF869">
            <v>13765</v>
          </cell>
        </row>
        <row r="870">
          <cell r="A870">
            <v>869</v>
          </cell>
          <cell r="B870">
            <v>46172</v>
          </cell>
          <cell r="C870" t="str">
            <v>AUDI S6</v>
          </cell>
          <cell r="D870" t="str">
            <v>AUDI</v>
          </cell>
          <cell r="E870" t="str">
            <v>S6</v>
          </cell>
          <cell r="G870" t="str">
            <v>22너9126</v>
          </cell>
          <cell r="H870" t="str">
            <v xml:space="preserve">WAUZZZ4G7EN055870 </v>
          </cell>
          <cell r="I870">
            <v>46175</v>
          </cell>
          <cell r="J870" t="str">
            <v>㈜태성모터스</v>
          </cell>
          <cell r="L870" t="str">
            <v>잔금</v>
          </cell>
          <cell r="M870" t="str">
            <v>50만원 대표님 계약</v>
          </cell>
          <cell r="N870">
            <v>1600</v>
          </cell>
          <cell r="P870">
            <v>0</v>
          </cell>
          <cell r="Q870" t="str">
            <v>DONE</v>
          </cell>
          <cell r="R870">
            <v>46196</v>
          </cell>
          <cell r="S870" t="str">
            <v>DAX IMPORT</v>
          </cell>
          <cell r="T870" t="str">
            <v xml:space="preserve">Michael Karl  </v>
          </cell>
          <cell r="U870" t="str">
            <v>LF9N8WZ16</v>
          </cell>
          <cell r="V870" t="str">
            <v>‪+49 471 94189050‬</v>
          </cell>
          <cell r="W870" t="str">
            <v xml:space="preserve">Dorfstr,33C,(82024) Taufkirchen, Germany </v>
          </cell>
          <cell r="X870">
            <v>1495</v>
          </cell>
          <cell r="AB870">
            <v>1741</v>
          </cell>
          <cell r="AC870">
            <v>8810</v>
          </cell>
          <cell r="AF870">
            <v>8985</v>
          </cell>
        </row>
        <row r="871">
          <cell r="A871">
            <v>870</v>
          </cell>
          <cell r="B871">
            <v>46172</v>
          </cell>
          <cell r="C871" t="str">
            <v>MERCEDES AMG C63</v>
          </cell>
          <cell r="D871" t="str">
            <v>MERCEDES</v>
          </cell>
          <cell r="E871" t="str">
            <v>AMG C63</v>
          </cell>
          <cell r="G871" t="str">
            <v>284거2325</v>
          </cell>
          <cell r="H871" t="str">
            <v>WDDWJ8GB3JF631570</v>
          </cell>
          <cell r="I871">
            <v>46175</v>
          </cell>
          <cell r="J871" t="str">
            <v>㈜스마일 자동차</v>
          </cell>
          <cell r="L871" t="str">
            <v>잔금</v>
          </cell>
          <cell r="M871" t="str">
            <v>100만원 대표님 계약</v>
          </cell>
          <cell r="N871">
            <v>3700</v>
          </cell>
          <cell r="P871">
            <v>0</v>
          </cell>
          <cell r="Q871" t="str">
            <v>DONE</v>
          </cell>
          <cell r="R871">
            <v>46203</v>
          </cell>
          <cell r="S871" t="str">
            <v>Ardijan Qorraj</v>
          </cell>
          <cell r="T871" t="str">
            <v>Ardijan Qorraj</v>
          </cell>
          <cell r="U871" t="str">
            <v>C6YRK7K2F</v>
          </cell>
          <cell r="V871">
            <v>4917655744700</v>
          </cell>
          <cell r="W871" t="str">
            <v>Germany, Piepersweg 35 (41066)</v>
          </cell>
          <cell r="X871">
            <v>1495</v>
          </cell>
          <cell r="AB871">
            <v>1741</v>
          </cell>
          <cell r="AC871">
            <v>20320</v>
          </cell>
          <cell r="AF871">
            <v>20650</v>
          </cell>
        </row>
        <row r="872">
          <cell r="A872">
            <v>871</v>
          </cell>
          <cell r="B872">
            <v>46172</v>
          </cell>
          <cell r="C872" t="str">
            <v>KIA STINGER</v>
          </cell>
          <cell r="D872" t="str">
            <v>KIA</v>
          </cell>
          <cell r="E872" t="str">
            <v>STINGER</v>
          </cell>
          <cell r="G872" t="str">
            <v>12서1686</v>
          </cell>
          <cell r="H872" t="str">
            <v>KNAE351ADKS055386</v>
          </cell>
          <cell r="I872">
            <v>46178</v>
          </cell>
          <cell r="L872" t="str">
            <v>잔금</v>
          </cell>
          <cell r="M872" t="str">
            <v>50만원 대표님 계약</v>
          </cell>
          <cell r="N872">
            <v>1780</v>
          </cell>
          <cell r="P872">
            <v>0</v>
          </cell>
          <cell r="Q872" t="str">
            <v>done</v>
          </cell>
          <cell r="R872">
            <v>46182</v>
          </cell>
          <cell r="S872" t="str">
            <v>EASY DRIVE</v>
          </cell>
          <cell r="T872" t="str">
            <v>Easy Drive LTD</v>
          </cell>
          <cell r="U872">
            <v>206557008</v>
          </cell>
          <cell r="V872" t="str">
            <v>359 89 936 8386</v>
          </cell>
          <cell r="W872" t="str">
            <v>ul. Sokolna 47
1444 Sofia
Bulgaria</v>
          </cell>
          <cell r="AC872">
            <v>17018800</v>
          </cell>
        </row>
        <row r="873">
          <cell r="A873">
            <v>872</v>
          </cell>
          <cell r="B873">
            <v>46172</v>
          </cell>
          <cell r="C873" t="str">
            <v xml:space="preserve"> INFINITI QX50 LWB</v>
          </cell>
          <cell r="E873" t="str">
            <v>INFINITI QX50 LWB</v>
          </cell>
          <cell r="G873" t="str">
            <v>55오0791</v>
          </cell>
          <cell r="H873" t="str">
            <v>JNKBJ07F3GM500025</v>
          </cell>
          <cell r="I873">
            <v>46178</v>
          </cell>
          <cell r="J873" t="str">
            <v>㈜더월드 모더스</v>
          </cell>
          <cell r="L873" t="str">
            <v>잔금</v>
          </cell>
          <cell r="M873" t="str">
            <v>50만원 대표님 계약</v>
          </cell>
          <cell r="N873">
            <v>1160</v>
          </cell>
          <cell r="P873">
            <v>0</v>
          </cell>
          <cell r="Q873" t="str">
            <v>done</v>
          </cell>
          <cell r="R873">
            <v>46182</v>
          </cell>
          <cell r="S873" t="str">
            <v>EASY DRIVE</v>
          </cell>
          <cell r="T873" t="str">
            <v>Easy Drive LTD</v>
          </cell>
          <cell r="U873">
            <v>206557008</v>
          </cell>
          <cell r="V873" t="str">
            <v>359 89 936 8386</v>
          </cell>
          <cell r="W873" t="str">
            <v>ul. Sokolna 47
1444 Sofia
Bulgaria</v>
          </cell>
          <cell r="AC873">
            <v>11150000</v>
          </cell>
        </row>
        <row r="874">
          <cell r="A874">
            <v>873</v>
          </cell>
          <cell r="B874">
            <v>46172</v>
          </cell>
          <cell r="C874" t="str">
            <v>VOLKSWAGENS GOLF</v>
          </cell>
          <cell r="D874" t="str">
            <v>VOLKSWAGENS</v>
          </cell>
          <cell r="E874" t="str">
            <v>GOLF</v>
          </cell>
          <cell r="G874" t="str">
            <v>15구0636</v>
          </cell>
          <cell r="H874" t="str">
            <v>WVWZZZAUZGW191239</v>
          </cell>
          <cell r="I874">
            <v>46174</v>
          </cell>
          <cell r="J874" t="str">
            <v>경매장- 현대 글로비스</v>
          </cell>
          <cell r="L874" t="str">
            <v>잔금</v>
          </cell>
          <cell r="N874">
            <v>1170</v>
          </cell>
          <cell r="O874">
            <v>25</v>
          </cell>
          <cell r="P874">
            <v>0</v>
          </cell>
          <cell r="Q874" t="str">
            <v>done</v>
          </cell>
          <cell r="R874">
            <v>46185</v>
          </cell>
          <cell r="S874" t="str">
            <v>DONI</v>
          </cell>
          <cell r="T874" t="str">
            <v>DONI</v>
          </cell>
          <cell r="U874">
            <v>933682</v>
          </cell>
          <cell r="V874" t="str">
            <v>3 8 3 4 9 3 2 5 7 0 3</v>
          </cell>
          <cell r="W874" t="str">
            <v xml:space="preserve"> HYZRI TALLA OB 16 HY 1 NR 18
 Kosovë</v>
          </cell>
          <cell r="X874">
            <v>1518</v>
          </cell>
          <cell r="AB874">
            <v>1750</v>
          </cell>
          <cell r="AC874">
            <v>6617</v>
          </cell>
          <cell r="AD874">
            <v>1423</v>
          </cell>
          <cell r="AE874">
            <v>8040</v>
          </cell>
        </row>
        <row r="875">
          <cell r="A875">
            <v>874</v>
          </cell>
          <cell r="B875">
            <v>46172</v>
          </cell>
          <cell r="C875" t="str">
            <v>AUDI A6</v>
          </cell>
          <cell r="D875" t="str">
            <v>AUDI</v>
          </cell>
          <cell r="E875" t="str">
            <v>A6</v>
          </cell>
          <cell r="F875">
            <v>2018</v>
          </cell>
          <cell r="G875" t="str">
            <v>05두6299</v>
          </cell>
          <cell r="H875" t="str">
            <v>WAUZZZ4G9JN063740</v>
          </cell>
          <cell r="I875">
            <v>46174</v>
          </cell>
          <cell r="J875" t="str">
            <v>경매장- 현대 글로비스</v>
          </cell>
          <cell r="L875" t="str">
            <v>잔금</v>
          </cell>
          <cell r="N875">
            <v>1190</v>
          </cell>
          <cell r="O875">
            <v>16</v>
          </cell>
          <cell r="P875">
            <v>0</v>
          </cell>
          <cell r="Q875" t="str">
            <v>done</v>
          </cell>
          <cell r="R875">
            <v>46274</v>
          </cell>
          <cell r="S875" t="str">
            <v>AUTO SCOUT</v>
          </cell>
          <cell r="T875" t="str">
            <v>DONI</v>
          </cell>
          <cell r="U875">
            <v>933682</v>
          </cell>
          <cell r="V875" t="str">
            <v>3 8 3 4 9 3 2 5 7 0 3</v>
          </cell>
          <cell r="W875" t="str">
            <v xml:space="preserve"> HYZRI TALLA OB 16 HY 1 NR 18
 Kosovë</v>
          </cell>
          <cell r="AB875">
            <v>1544</v>
          </cell>
          <cell r="AC875">
            <v>7225</v>
          </cell>
          <cell r="AD875">
            <v>1755</v>
          </cell>
          <cell r="AE875">
            <v>8980</v>
          </cell>
        </row>
        <row r="876">
          <cell r="A876">
            <v>875</v>
          </cell>
          <cell r="B876">
            <v>46174</v>
          </cell>
          <cell r="C876" t="str">
            <v>LANDROVER RANGEROVER EVOQUE</v>
          </cell>
          <cell r="D876" t="str">
            <v>LANDROVER</v>
          </cell>
          <cell r="E876" t="str">
            <v>RANGEROVER EVOQUE</v>
          </cell>
          <cell r="G876" t="str">
            <v>26소0571</v>
          </cell>
          <cell r="H876" t="str">
            <v>SALVA2BN5GH111686</v>
          </cell>
          <cell r="I876">
            <v>46175</v>
          </cell>
          <cell r="J876" t="str">
            <v>㈜엔에이치카</v>
          </cell>
          <cell r="L876" t="str">
            <v>잔금</v>
          </cell>
          <cell r="M876" t="str">
            <v>50만원 대표님 계약</v>
          </cell>
          <cell r="N876">
            <v>900</v>
          </cell>
          <cell r="P876">
            <v>0</v>
          </cell>
          <cell r="Q876" t="str">
            <v>done</v>
          </cell>
          <cell r="R876">
            <v>46181</v>
          </cell>
          <cell r="S876" t="str">
            <v>AlphaWorldWide</v>
          </cell>
          <cell r="T876" t="str">
            <v>AlphaWorldWideAlbania</v>
          </cell>
          <cell r="U876" t="str">
            <v>SN-619176-11-19</v>
          </cell>
          <cell r="V876" t="str">
            <v>355 69223 3416</v>
          </cell>
          <cell r="W876" t="str">
            <v xml:space="preserve">Durres, Durres, DURRES, Lagjja nr.11, Rruga Bulevardi, me siperfaqe 30m2 </v>
          </cell>
          <cell r="X876">
            <v>1505</v>
          </cell>
          <cell r="AB876">
            <v>1746</v>
          </cell>
          <cell r="AC876">
            <v>5050</v>
          </cell>
          <cell r="AD876">
            <v>1500</v>
          </cell>
          <cell r="AE876">
            <v>6550</v>
          </cell>
          <cell r="AF876">
            <v>6860</v>
          </cell>
        </row>
        <row r="877">
          <cell r="A877">
            <v>876</v>
          </cell>
          <cell r="B877">
            <v>46174</v>
          </cell>
          <cell r="C877" t="str">
            <v>MERCEDES AMG GT43  4MATIC+</v>
          </cell>
          <cell r="D877" t="str">
            <v xml:space="preserve">MERCEDES AMG GT43 </v>
          </cell>
          <cell r="E877" t="str">
            <v>4MATIC+</v>
          </cell>
          <cell r="G877" t="str">
            <v>346더8072</v>
          </cell>
          <cell r="H877" t="str">
            <v>W1K7X5KB7LA030073</v>
          </cell>
          <cell r="I877">
            <v>46178</v>
          </cell>
          <cell r="L877" t="str">
            <v>잔금</v>
          </cell>
          <cell r="M877" t="str">
            <v>100만원 대표님 계약</v>
          </cell>
          <cell r="N877">
            <v>4500</v>
          </cell>
          <cell r="O877">
            <v>44</v>
          </cell>
          <cell r="P877">
            <v>0</v>
          </cell>
          <cell r="Q877" t="str">
            <v>done</v>
          </cell>
          <cell r="R877">
            <v>46185</v>
          </cell>
          <cell r="S877" t="str">
            <v>CALJA</v>
          </cell>
          <cell r="T877" t="str">
            <v>Calja Marius</v>
          </cell>
          <cell r="U877" t="str">
            <v>M43323203V</v>
          </cell>
          <cell r="V877" t="str">
            <v>355 69 550 5533</v>
          </cell>
          <cell r="W877" t="str">
            <v>Albania</v>
          </cell>
          <cell r="X877">
            <v>1500</v>
          </cell>
          <cell r="AB877">
            <v>1745</v>
          </cell>
          <cell r="AC877">
            <v>24790</v>
          </cell>
          <cell r="AD877">
            <v>1410</v>
          </cell>
          <cell r="AE877">
            <v>26200</v>
          </cell>
          <cell r="AF877">
            <v>10385</v>
          </cell>
        </row>
        <row r="878">
          <cell r="A878">
            <v>877</v>
          </cell>
          <cell r="B878">
            <v>46174</v>
          </cell>
          <cell r="C878" t="str">
            <v>AUDI A4</v>
          </cell>
          <cell r="D878" t="str">
            <v>AUDI</v>
          </cell>
          <cell r="E878" t="str">
            <v>A4</v>
          </cell>
          <cell r="G878" t="str">
            <v>54더4880</v>
          </cell>
          <cell r="H878" t="str">
            <v>WAUZZZF44JA172357</v>
          </cell>
          <cell r="I878">
            <v>46178</v>
          </cell>
          <cell r="J878" t="str">
            <v>㈜드림모터스</v>
          </cell>
          <cell r="L878" t="str">
            <v>잔금</v>
          </cell>
          <cell r="M878" t="str">
            <v>70만원 대표님 계약</v>
          </cell>
          <cell r="N878">
            <v>1830</v>
          </cell>
          <cell r="P878">
            <v>0</v>
          </cell>
          <cell r="Q878" t="str">
            <v>DONE</v>
          </cell>
          <cell r="R878">
            <v>46182</v>
          </cell>
          <cell r="S878" t="str">
            <v xml:space="preserve">ARMIR </v>
          </cell>
          <cell r="T878" t="str">
            <v>KRASNIQI GRAMOS</v>
          </cell>
          <cell r="U878" t="str">
            <v>ID1809794</v>
          </cell>
          <cell r="V878" t="str">
            <v>383 49 690 998</v>
          </cell>
          <cell r="W878" t="str">
            <v>KOSOVO</v>
          </cell>
          <cell r="X878">
            <v>1500</v>
          </cell>
          <cell r="AB878">
            <v>1745</v>
          </cell>
          <cell r="AC878">
            <v>10020</v>
          </cell>
          <cell r="AD878">
            <v>1410</v>
          </cell>
          <cell r="AE878">
            <v>11430</v>
          </cell>
          <cell r="AF878">
            <v>11430</v>
          </cell>
        </row>
        <row r="879">
          <cell r="A879">
            <v>878</v>
          </cell>
          <cell r="B879">
            <v>46174</v>
          </cell>
          <cell r="C879" t="str">
            <v>VOLKSWAGENS TIGUAN</v>
          </cell>
          <cell r="D879" t="str">
            <v>VOLKSWAGENS</v>
          </cell>
          <cell r="E879" t="str">
            <v>TIGUAN</v>
          </cell>
          <cell r="G879" t="str">
            <v>179도6550</v>
          </cell>
          <cell r="H879" t="str">
            <v>WVGZZZ5NZLW824670</v>
          </cell>
          <cell r="I879">
            <v>46178</v>
          </cell>
          <cell r="J879" t="str">
            <v>㈜카스토어</v>
          </cell>
          <cell r="L879" t="str">
            <v>잔금</v>
          </cell>
          <cell r="M879" t="str">
            <v>70만원 대표님 계약</v>
          </cell>
          <cell r="N879">
            <v>1810</v>
          </cell>
          <cell r="P879">
            <v>0</v>
          </cell>
          <cell r="Q879" t="str">
            <v>done</v>
          </cell>
          <cell r="R879">
            <v>46185</v>
          </cell>
          <cell r="S879" t="str">
            <v>DONI</v>
          </cell>
          <cell r="T879" t="str">
            <v>DONI</v>
          </cell>
          <cell r="U879">
            <v>933682</v>
          </cell>
          <cell r="V879" t="str">
            <v>3 8 3 4 9 3 2 5 7 0 3</v>
          </cell>
          <cell r="W879" t="str">
            <v xml:space="preserve"> HYZRI TALLA OB 16 HY 1 NR 18
 Kosovë</v>
          </cell>
          <cell r="X879">
            <v>1500</v>
          </cell>
          <cell r="AB879">
            <v>1745</v>
          </cell>
          <cell r="AC879">
            <v>9894</v>
          </cell>
          <cell r="AD879">
            <v>1496</v>
          </cell>
          <cell r="AE879">
            <v>11390</v>
          </cell>
        </row>
        <row r="880">
          <cell r="A880">
            <v>879</v>
          </cell>
          <cell r="B880">
            <v>46174</v>
          </cell>
          <cell r="C880" t="str">
            <v>BENZ E220D</v>
          </cell>
          <cell r="D880" t="str">
            <v>BENZ</v>
          </cell>
          <cell r="E880" t="str">
            <v>E220D</v>
          </cell>
          <cell r="G880" t="str">
            <v>09수1150</v>
          </cell>
          <cell r="H880" t="str">
            <v>WDDZF0FB7HA222724</v>
          </cell>
          <cell r="I880">
            <v>46177</v>
          </cell>
          <cell r="J880" t="str">
            <v>㈜디에치모더스</v>
          </cell>
          <cell r="L880" t="str">
            <v>잔금</v>
          </cell>
          <cell r="M880" t="str">
            <v>50만원 디에이치모터스 대표님 개인 계좌 송금
잔금 보낼 때 잔금 전액 법인계좌로 송금하면
다시 반환 예정</v>
          </cell>
          <cell r="N880">
            <v>1634</v>
          </cell>
          <cell r="P880">
            <v>0</v>
          </cell>
          <cell r="Q880" t="str">
            <v>DONE</v>
          </cell>
          <cell r="R880">
            <v>46182</v>
          </cell>
          <cell r="S880" t="str">
            <v>Auto Posh SH.P.K</v>
          </cell>
          <cell r="T880" t="str">
            <v>Auto Posh SH.P.K</v>
          </cell>
          <cell r="U880">
            <v>812219427</v>
          </cell>
          <cell r="V880" t="str">
            <v>38345560145</v>
          </cell>
          <cell r="W880" t="str">
            <v>KOSOVO</v>
          </cell>
          <cell r="X880">
            <v>1500</v>
          </cell>
          <cell r="AB880">
            <v>1745</v>
          </cell>
          <cell r="AC880">
            <v>8940</v>
          </cell>
          <cell r="AD880">
            <v>1410</v>
          </cell>
          <cell r="AE880">
            <v>10350</v>
          </cell>
        </row>
        <row r="881">
          <cell r="A881">
            <v>880</v>
          </cell>
          <cell r="B881">
            <v>46174</v>
          </cell>
          <cell r="C881" t="str">
            <v>KIA K7</v>
          </cell>
          <cell r="D881" t="str">
            <v>KIA</v>
          </cell>
          <cell r="E881" t="str">
            <v>K7</v>
          </cell>
          <cell r="G881" t="str">
            <v>390저4212</v>
          </cell>
          <cell r="H881" t="str">
            <v>KNALC41BBLA209285</v>
          </cell>
          <cell r="I881">
            <v>46178</v>
          </cell>
          <cell r="J881" t="str">
            <v>㈜에이엠씨인터내셔널</v>
          </cell>
          <cell r="L881" t="str">
            <v>잔금</v>
          </cell>
          <cell r="M881" t="str">
            <v>50만원 회사통장 계약</v>
          </cell>
          <cell r="N881">
            <v>1750</v>
          </cell>
          <cell r="P881">
            <v>0</v>
          </cell>
          <cell r="Q881" t="str">
            <v>done</v>
          </cell>
          <cell r="R881">
            <v>46182</v>
          </cell>
          <cell r="S881" t="str">
            <v>EASY DRIVE</v>
          </cell>
          <cell r="T881" t="str">
            <v>Easy Drive LTD</v>
          </cell>
          <cell r="U881">
            <v>206557008</v>
          </cell>
          <cell r="V881" t="str">
            <v>359 89 936 8386</v>
          </cell>
          <cell r="W881" t="str">
            <v>ul. Sokolna 47
1444 Sofia
Bulgaria</v>
          </cell>
          <cell r="AB881">
            <v>1731</v>
          </cell>
          <cell r="AC881">
            <v>16923300</v>
          </cell>
        </row>
        <row r="882">
          <cell r="A882">
            <v>881</v>
          </cell>
          <cell r="B882">
            <v>46177</v>
          </cell>
          <cell r="C882" t="str">
            <v>BMW M3</v>
          </cell>
          <cell r="D882" t="str">
            <v>BMW</v>
          </cell>
          <cell r="E882" t="str">
            <v>M3</v>
          </cell>
          <cell r="G882" t="str">
            <v>368주9823</v>
          </cell>
          <cell r="H882" t="str">
            <v>WBSWD91019P304288</v>
          </cell>
          <cell r="I882">
            <v>46178</v>
          </cell>
          <cell r="J882" t="str">
            <v>㈜바른모터스</v>
          </cell>
          <cell r="L882" t="str">
            <v>잔금</v>
          </cell>
          <cell r="M882" t="str">
            <v>100만원 계약금</v>
          </cell>
          <cell r="N882">
            <v>2550</v>
          </cell>
          <cell r="P882">
            <v>0</v>
          </cell>
          <cell r="Q882" t="str">
            <v>DONE</v>
          </cell>
          <cell r="R882">
            <v>46196</v>
          </cell>
          <cell r="S882" t="str">
            <v>DAX IMPORT</v>
          </cell>
          <cell r="T882" t="str">
            <v xml:space="preserve">Michael Karl  </v>
          </cell>
          <cell r="U882" t="str">
            <v>LF9N8WZ16</v>
          </cell>
          <cell r="V882" t="str">
            <v>‪+49 471 94189050‬</v>
          </cell>
          <cell r="W882" t="str">
            <v xml:space="preserve">Dorfstr,33C,(82024) Taufkirchen, Germany </v>
          </cell>
          <cell r="X882">
            <v>1513</v>
          </cell>
          <cell r="AB882">
            <v>1757</v>
          </cell>
          <cell r="AC882">
            <v>13930</v>
          </cell>
        </row>
        <row r="883">
          <cell r="A883">
            <v>882</v>
          </cell>
          <cell r="B883">
            <v>46177</v>
          </cell>
          <cell r="C883" t="str">
            <v>BENZ S350</v>
          </cell>
          <cell r="D883" t="str">
            <v>BENZ</v>
          </cell>
          <cell r="E883" t="str">
            <v>S350</v>
          </cell>
          <cell r="G883" t="str">
            <v>205서3445</v>
          </cell>
          <cell r="H883" t="str">
            <v>WDDUG3CB9FA165677</v>
          </cell>
          <cell r="I883">
            <v>46181</v>
          </cell>
          <cell r="J883" t="str">
            <v>개인매입- 지견후 010 8309 4460</v>
          </cell>
          <cell r="L883" t="str">
            <v>잔금</v>
          </cell>
          <cell r="M883" t="str">
            <v>50만원 회사통장 계약</v>
          </cell>
          <cell r="N883">
            <v>3800</v>
          </cell>
          <cell r="P883">
            <v>0</v>
          </cell>
          <cell r="Q883" t="str">
            <v>done</v>
          </cell>
          <cell r="R883">
            <v>46191</v>
          </cell>
          <cell r="S883" t="str">
            <v>RIZA</v>
          </cell>
          <cell r="T883" t="str">
            <v>SHERMADHI MERITA</v>
          </cell>
          <cell r="U883" t="str">
            <v>H15926110G</v>
          </cell>
          <cell r="V883" t="str">
            <v>355 682769063</v>
          </cell>
          <cell r="W883" t="str">
            <v>Albania</v>
          </cell>
          <cell r="X883">
            <v>1513</v>
          </cell>
          <cell r="AB883">
            <v>1757</v>
          </cell>
          <cell r="AC883">
            <v>20902</v>
          </cell>
          <cell r="AD883">
            <v>1498</v>
          </cell>
          <cell r="AE883">
            <v>22400</v>
          </cell>
          <cell r="AF883">
            <v>400</v>
          </cell>
        </row>
        <row r="884">
          <cell r="A884">
            <v>883</v>
          </cell>
          <cell r="B884">
            <v>46177</v>
          </cell>
          <cell r="C884" t="str">
            <v>AUDI A4</v>
          </cell>
          <cell r="D884" t="str">
            <v>AUDI</v>
          </cell>
          <cell r="E884" t="str">
            <v>A4</v>
          </cell>
          <cell r="G884" t="str">
            <v>42소6364</v>
          </cell>
          <cell r="H884" t="str">
            <v>WAUZZZ8K1FN019219</v>
          </cell>
          <cell r="I884">
            <v>46178</v>
          </cell>
          <cell r="J884" t="str">
            <v>㈜비비드카</v>
          </cell>
          <cell r="L884" t="str">
            <v>잔금</v>
          </cell>
          <cell r="M884" t="str">
            <v>50만원 대표님 계약</v>
          </cell>
          <cell r="N884">
            <v>630</v>
          </cell>
          <cell r="O884">
            <v>44</v>
          </cell>
          <cell r="P884">
            <v>0</v>
          </cell>
          <cell r="Q884" t="str">
            <v>done</v>
          </cell>
          <cell r="R884">
            <v>46185</v>
          </cell>
          <cell r="S884" t="str">
            <v xml:space="preserve">EUROAUTO.AL </v>
          </cell>
          <cell r="T884" t="str">
            <v>Erion Gjergji</v>
          </cell>
          <cell r="U884" t="str">
            <v>I90516099R</v>
          </cell>
          <cell r="V884" t="str">
            <v>49 163 6979 099</v>
          </cell>
          <cell r="W884" t="str">
            <v>Albania</v>
          </cell>
          <cell r="X884">
            <v>1513</v>
          </cell>
          <cell r="AB884">
            <v>1757</v>
          </cell>
          <cell r="AC884">
            <v>3828</v>
          </cell>
          <cell r="AD884">
            <v>1412</v>
          </cell>
          <cell r="AE884">
            <v>5240</v>
          </cell>
        </row>
        <row r="885">
          <cell r="A885">
            <v>884</v>
          </cell>
          <cell r="B885">
            <v>46177</v>
          </cell>
          <cell r="C885" t="str">
            <v>PEUGEOT 308</v>
          </cell>
          <cell r="D885" t="str">
            <v>PEUGEOT</v>
          </cell>
          <cell r="E885">
            <v>308</v>
          </cell>
          <cell r="G885" t="str">
            <v>01너3060</v>
          </cell>
          <cell r="H885" t="str">
            <v>VF3LBBHZWHS001267</v>
          </cell>
          <cell r="J885" t="str">
            <v>경매장-헤이딜러</v>
          </cell>
          <cell r="L885" t="str">
            <v>잔금</v>
          </cell>
          <cell r="N885">
            <v>744</v>
          </cell>
          <cell r="O885">
            <v>52</v>
          </cell>
          <cell r="P885">
            <v>0</v>
          </cell>
          <cell r="Q885" t="str">
            <v>done</v>
          </cell>
          <cell r="R885">
            <v>46192</v>
          </cell>
          <cell r="S885" t="str">
            <v>R.S.h L.L.C.</v>
          </cell>
          <cell r="T885" t="str">
            <v>R.Sh L.L.C.</v>
          </cell>
          <cell r="U885">
            <v>812326016</v>
          </cell>
          <cell r="V885" t="str">
            <v>+383486 611 61</v>
          </cell>
          <cell r="W885" t="str">
            <v>Kosovo</v>
          </cell>
          <cell r="X885">
            <v>1513</v>
          </cell>
          <cell r="AB885">
            <v>1757</v>
          </cell>
          <cell r="AC885">
            <v>4528</v>
          </cell>
          <cell r="AD885">
            <v>1412</v>
          </cell>
          <cell r="AE885">
            <v>5940</v>
          </cell>
        </row>
        <row r="886">
          <cell r="A886">
            <v>885</v>
          </cell>
          <cell r="B886">
            <v>46177</v>
          </cell>
          <cell r="C886" t="str">
            <v>KIA SPORTAGE white</v>
          </cell>
          <cell r="D886" t="str">
            <v>KIA</v>
          </cell>
          <cell r="E886" t="str">
            <v>SPORTAGE white</v>
          </cell>
          <cell r="G886" t="str">
            <v>312저5275</v>
          </cell>
          <cell r="H886" t="str">
            <v>KNAP6815GJK427577</v>
          </cell>
          <cell r="I886">
            <v>46177</v>
          </cell>
          <cell r="J886" t="str">
            <v>경매장- AJ</v>
          </cell>
          <cell r="L886" t="str">
            <v>잔금</v>
          </cell>
          <cell r="N886">
            <v>490</v>
          </cell>
          <cell r="O886">
            <v>16</v>
          </cell>
          <cell r="P886">
            <v>0</v>
          </cell>
          <cell r="Q886" t="str">
            <v>done</v>
          </cell>
          <cell r="R886" t="str">
            <v>CON 2</v>
          </cell>
          <cell r="S886" t="str">
            <v>MANTAS</v>
          </cell>
          <cell r="T886" t="str">
            <v>UAB GRALIS</v>
          </cell>
          <cell r="U886">
            <v>179285533</v>
          </cell>
          <cell r="V886" t="str">
            <v>370 (618) 11 666</v>
          </cell>
          <cell r="W886" t="str">
            <v xml:space="preserve">Jūros g. 33, Tauragė  </v>
          </cell>
          <cell r="X886">
            <v>1495</v>
          </cell>
          <cell r="AC886">
            <v>3500</v>
          </cell>
          <cell r="AD886">
            <v>1575</v>
          </cell>
          <cell r="AE886">
            <v>5075</v>
          </cell>
          <cell r="AF886">
            <v>3500</v>
          </cell>
        </row>
        <row r="887">
          <cell r="A887">
            <v>886</v>
          </cell>
          <cell r="B887">
            <v>46178</v>
          </cell>
          <cell r="C887" t="str">
            <v>HYUNDAI SANTAFE</v>
          </cell>
          <cell r="D887" t="str">
            <v>HYUNDAI</v>
          </cell>
          <cell r="E887" t="str">
            <v>SANTAFE</v>
          </cell>
          <cell r="G887" t="str">
            <v>68저3474</v>
          </cell>
          <cell r="H887" t="str">
            <v>KMHSW81UBDU038925</v>
          </cell>
          <cell r="I887">
            <v>46181</v>
          </cell>
          <cell r="J887" t="str">
            <v>㈜참좋은 모터스</v>
          </cell>
          <cell r="L887" t="str">
            <v>잔금</v>
          </cell>
          <cell r="M887" t="str">
            <v>50만원 대표님 계약</v>
          </cell>
          <cell r="N887">
            <v>720</v>
          </cell>
          <cell r="P887">
            <v>0</v>
          </cell>
          <cell r="Q887" t="str">
            <v>done</v>
          </cell>
          <cell r="R887">
            <v>46185</v>
          </cell>
          <cell r="S887" t="str">
            <v>CALJA</v>
          </cell>
          <cell r="T887" t="str">
            <v>KAMAMI MIKEL</v>
          </cell>
          <cell r="U887" t="str">
            <v>I10702012R</v>
          </cell>
          <cell r="V887" t="str">
            <v>355 69 550 5533</v>
          </cell>
          <cell r="W887" t="str">
            <v>Albania</v>
          </cell>
          <cell r="X887">
            <v>1513</v>
          </cell>
          <cell r="AB887">
            <v>1757</v>
          </cell>
          <cell r="AC887">
            <v>4102</v>
          </cell>
          <cell r="AD887">
            <v>1498</v>
          </cell>
          <cell r="AE887">
            <v>5600</v>
          </cell>
          <cell r="AF887">
            <v>5600</v>
          </cell>
        </row>
        <row r="888">
          <cell r="A888">
            <v>887</v>
          </cell>
          <cell r="B888">
            <v>46180</v>
          </cell>
          <cell r="C888" t="str">
            <v>BMW M3</v>
          </cell>
          <cell r="D888" t="str">
            <v>BMW</v>
          </cell>
          <cell r="E888" t="str">
            <v>M3</v>
          </cell>
          <cell r="G888" t="str">
            <v>14저2358</v>
          </cell>
          <cell r="H888" t="str">
            <v>WBSWD91049P304205</v>
          </cell>
          <cell r="I888">
            <v>46182</v>
          </cell>
          <cell r="J888" t="str">
            <v>㈜왕카</v>
          </cell>
          <cell r="L888" t="str">
            <v>잔금</v>
          </cell>
          <cell r="M888" t="str">
            <v>100만원 대표님 계약</v>
          </cell>
          <cell r="N888">
            <v>2570</v>
          </cell>
          <cell r="P888">
            <v>0</v>
          </cell>
          <cell r="Q888" t="str">
            <v>DONE</v>
          </cell>
          <cell r="R888">
            <v>46196</v>
          </cell>
          <cell r="S888" t="str">
            <v>DAX IMPORT</v>
          </cell>
          <cell r="T888" t="str">
            <v xml:space="preserve">Michael Karl  </v>
          </cell>
          <cell r="U888" t="str">
            <v>LF9N8WZ16</v>
          </cell>
          <cell r="V888" t="str">
            <v>‪+49 471 94189050‬</v>
          </cell>
          <cell r="W888" t="str">
            <v xml:space="preserve">Dorfstr,33C,(82024) Taufkirchen, Germany </v>
          </cell>
          <cell r="X888">
            <v>1546</v>
          </cell>
          <cell r="AB888">
            <v>1782</v>
          </cell>
          <cell r="AC888">
            <v>14050</v>
          </cell>
          <cell r="AF888">
            <v>14350</v>
          </cell>
        </row>
        <row r="889">
          <cell r="A889">
            <v>888</v>
          </cell>
          <cell r="B889">
            <v>46180</v>
          </cell>
          <cell r="C889" t="str">
            <v>VOLKSWAGENS TIGUAN</v>
          </cell>
          <cell r="D889" t="str">
            <v>VOLKSWAGENS</v>
          </cell>
          <cell r="E889" t="str">
            <v>TIGUAN</v>
          </cell>
          <cell r="G889" t="str">
            <v>185부4523</v>
          </cell>
          <cell r="H889" t="str">
            <v>WVGZZZ5NZLW832962</v>
          </cell>
          <cell r="I889">
            <v>46181</v>
          </cell>
          <cell r="J889" t="str">
            <v>㈜올카</v>
          </cell>
          <cell r="L889" t="str">
            <v>잔금</v>
          </cell>
          <cell r="M889" t="str">
            <v>100만원 대표님 계약</v>
          </cell>
          <cell r="N889">
            <v>2520</v>
          </cell>
          <cell r="P889">
            <v>0</v>
          </cell>
          <cell r="Q889" t="str">
            <v>done</v>
          </cell>
          <cell r="R889">
            <v>46185</v>
          </cell>
          <cell r="S889" t="str">
            <v>DONI</v>
          </cell>
          <cell r="T889" t="str">
            <v>DONI</v>
          </cell>
          <cell r="U889">
            <v>933682</v>
          </cell>
          <cell r="V889" t="str">
            <v>3 8 3 4 9 3 2 5 7 0 3</v>
          </cell>
          <cell r="W889" t="str">
            <v xml:space="preserve"> HYZRI TALLA OB 16 HY 1 NR 18
 Kosovë</v>
          </cell>
          <cell r="X889">
            <v>1546</v>
          </cell>
          <cell r="AB889">
            <v>1782</v>
          </cell>
          <cell r="AC889">
            <v>13690</v>
          </cell>
          <cell r="AD889">
            <v>1510</v>
          </cell>
          <cell r="AE889">
            <v>15200</v>
          </cell>
        </row>
        <row r="890">
          <cell r="A890">
            <v>889</v>
          </cell>
          <cell r="B890">
            <v>46180</v>
          </cell>
          <cell r="C890" t="str">
            <v>AUDI Q5</v>
          </cell>
          <cell r="D890" t="str">
            <v>AUDI</v>
          </cell>
          <cell r="E890" t="str">
            <v>Q5</v>
          </cell>
          <cell r="G890" t="str">
            <v>42더8306</v>
          </cell>
          <cell r="H890" t="str">
            <v>WAUZZZ8R0EA085991</v>
          </cell>
          <cell r="I890">
            <v>46181</v>
          </cell>
          <cell r="J890" t="str">
            <v>㈜ 바른 모터스</v>
          </cell>
          <cell r="L890" t="str">
            <v>잔금</v>
          </cell>
          <cell r="M890" t="str">
            <v>50만원 대표님 계약</v>
          </cell>
          <cell r="N890">
            <v>1150</v>
          </cell>
          <cell r="P890">
            <v>0</v>
          </cell>
          <cell r="Q890" t="str">
            <v>done</v>
          </cell>
          <cell r="R890">
            <v>46185</v>
          </cell>
          <cell r="S890" t="str">
            <v>CALJA</v>
          </cell>
          <cell r="T890" t="str">
            <v>Fjoralba Shabani</v>
          </cell>
          <cell r="U890" t="str">
            <v>J35112005K</v>
          </cell>
          <cell r="V890" t="str">
            <v>355 69 550 5533</v>
          </cell>
          <cell r="W890" t="str">
            <v>Albania</v>
          </cell>
          <cell r="X890">
            <v>1546</v>
          </cell>
          <cell r="AB890">
            <v>1782</v>
          </cell>
          <cell r="AC890">
            <v>6230</v>
          </cell>
          <cell r="AD890">
            <v>1510</v>
          </cell>
          <cell r="AE890">
            <v>7740</v>
          </cell>
          <cell r="AF890">
            <v>8800</v>
          </cell>
        </row>
        <row r="891">
          <cell r="A891">
            <v>890</v>
          </cell>
          <cell r="B891">
            <v>46180</v>
          </cell>
          <cell r="C891" t="str">
            <v>MERCEDES BENZ GLC220 d 4Matic</v>
          </cell>
          <cell r="D891" t="str">
            <v>MERCEDES BENZ</v>
          </cell>
          <cell r="E891" t="str">
            <v>GLC220 d 4Matic</v>
          </cell>
          <cell r="G891" t="str">
            <v>356나2048</v>
          </cell>
          <cell r="H891" t="str">
            <v>W1NKM0FB6RF155192</v>
          </cell>
          <cell r="I891">
            <v>46181</v>
          </cell>
          <cell r="J891" t="str">
            <v>㈜천마상사</v>
          </cell>
          <cell r="L891" t="str">
            <v>잔금</v>
          </cell>
          <cell r="M891" t="str">
            <v>100만원 대표님 계약</v>
          </cell>
          <cell r="N891">
            <v>6000</v>
          </cell>
          <cell r="P891">
            <v>0</v>
          </cell>
          <cell r="Q891" t="str">
            <v>done</v>
          </cell>
          <cell r="R891">
            <v>46185</v>
          </cell>
          <cell r="S891" t="str">
            <v>DONI</v>
          </cell>
          <cell r="T891" t="str">
            <v>DONI</v>
          </cell>
          <cell r="U891">
            <v>933682</v>
          </cell>
          <cell r="V891" t="str">
            <v>3 8 3 4 9 3 2 5 7 0 3</v>
          </cell>
          <cell r="W891" t="str">
            <v xml:space="preserve"> HYZRI TALLA OB 16 HY 1 NR 18
 Kosovë</v>
          </cell>
          <cell r="X891">
            <v>1546</v>
          </cell>
          <cell r="AB891">
            <v>1782</v>
          </cell>
          <cell r="AC891">
            <v>32460</v>
          </cell>
          <cell r="AD891">
            <v>1510</v>
          </cell>
          <cell r="AE891">
            <v>33970</v>
          </cell>
        </row>
        <row r="892">
          <cell r="A892">
            <v>891</v>
          </cell>
          <cell r="B892">
            <v>46180</v>
          </cell>
          <cell r="C892" t="str">
            <v>BMW 520D</v>
          </cell>
          <cell r="D892" t="str">
            <v>BMW</v>
          </cell>
          <cell r="E892" t="str">
            <v>520D</v>
          </cell>
          <cell r="G892" t="str">
            <v>59머9012</v>
          </cell>
          <cell r="H892" t="str">
            <v>WBAJC5108JWB85386</v>
          </cell>
          <cell r="I892">
            <v>46181</v>
          </cell>
          <cell r="J892" t="str">
            <v>㈜준모터스</v>
          </cell>
          <cell r="L892" t="str">
            <v>잔금</v>
          </cell>
          <cell r="M892" t="str">
            <v>70만원 대표님 계약</v>
          </cell>
          <cell r="N892">
            <v>1800</v>
          </cell>
          <cell r="O892">
            <v>44</v>
          </cell>
          <cell r="P892">
            <v>0</v>
          </cell>
          <cell r="Q892" t="str">
            <v>done</v>
          </cell>
          <cell r="R892">
            <v>46185</v>
          </cell>
          <cell r="S892" t="str">
            <v>ARMIR</v>
          </cell>
          <cell r="T892" t="str">
            <v>KAQKINI RAMADAN</v>
          </cell>
          <cell r="U892">
            <v>1471688</v>
          </cell>
          <cell r="V892" t="str">
            <v>383 49 690 998</v>
          </cell>
          <cell r="W892" t="str">
            <v>KOSOVO</v>
          </cell>
          <cell r="X892">
            <v>1546</v>
          </cell>
          <cell r="AB892">
            <v>1782</v>
          </cell>
          <cell r="AC892">
            <v>9997</v>
          </cell>
          <cell r="AD892">
            <v>1423</v>
          </cell>
          <cell r="AE892">
            <v>11420</v>
          </cell>
          <cell r="AF892">
            <v>11420</v>
          </cell>
        </row>
        <row r="893">
          <cell r="A893">
            <v>892</v>
          </cell>
          <cell r="B893">
            <v>46180</v>
          </cell>
          <cell r="C893" t="str">
            <v>AUDI Q3</v>
          </cell>
          <cell r="D893" t="str">
            <v>AUDI</v>
          </cell>
          <cell r="E893" t="str">
            <v>Q3</v>
          </cell>
          <cell r="G893" t="str">
            <v>67더2769</v>
          </cell>
          <cell r="H893" t="str">
            <v>WAUZZZ8U2GR046134</v>
          </cell>
          <cell r="I893">
            <v>46181</v>
          </cell>
          <cell r="J893" t="str">
            <v>㈜ 하이앤드모터스</v>
          </cell>
          <cell r="L893" t="str">
            <v>잔금</v>
          </cell>
          <cell r="M893" t="str">
            <v>100만원 대표님 계약</v>
          </cell>
          <cell r="N893">
            <v>1840</v>
          </cell>
          <cell r="P893">
            <v>0</v>
          </cell>
          <cell r="Q893" t="str">
            <v>done</v>
          </cell>
          <cell r="R893">
            <v>46185</v>
          </cell>
          <cell r="S893" t="str">
            <v>Auto Posh SH.P.K</v>
          </cell>
          <cell r="T893" t="str">
            <v>Auto Posh SH.P.K</v>
          </cell>
          <cell r="U893">
            <v>812219427</v>
          </cell>
          <cell r="V893" t="str">
            <v>38345560145</v>
          </cell>
          <cell r="W893" t="str">
            <v>KOSOVO</v>
          </cell>
          <cell r="X893">
            <v>1546</v>
          </cell>
          <cell r="AB893">
            <v>1782</v>
          </cell>
          <cell r="AC893">
            <v>9990</v>
          </cell>
          <cell r="AD893">
            <v>1510</v>
          </cell>
          <cell r="AE893">
            <v>11500</v>
          </cell>
        </row>
        <row r="894">
          <cell r="A894">
            <v>893</v>
          </cell>
          <cell r="B894">
            <v>46181</v>
          </cell>
          <cell r="C894" t="str">
            <v>RENAULT QM3</v>
          </cell>
          <cell r="D894" t="str">
            <v>RENAULT</v>
          </cell>
          <cell r="E894" t="str">
            <v>QM3</v>
          </cell>
          <cell r="G894" t="str">
            <v>38오0305</v>
          </cell>
          <cell r="H894" t="str">
            <v>VF12RGJ1DGW172618</v>
          </cell>
          <cell r="I894">
            <v>46181</v>
          </cell>
          <cell r="J894" t="str">
            <v>경매장-헤이딜러</v>
          </cell>
          <cell r="L894" t="str">
            <v>잔금</v>
          </cell>
          <cell r="N894">
            <v>484</v>
          </cell>
          <cell r="O894">
            <v>29</v>
          </cell>
          <cell r="P894">
            <v>0</v>
          </cell>
          <cell r="Q894" t="str">
            <v>done</v>
          </cell>
          <cell r="R894">
            <v>46192</v>
          </cell>
          <cell r="S894" t="str">
            <v>R.S.h L.L.C.</v>
          </cell>
          <cell r="T894" t="str">
            <v>R.Sh L.L.C.</v>
          </cell>
          <cell r="U894">
            <v>812326016</v>
          </cell>
          <cell r="V894" t="str">
            <v>+383486 611 61</v>
          </cell>
          <cell r="W894" t="str">
            <v>Kosovo</v>
          </cell>
          <cell r="X894">
            <v>1518</v>
          </cell>
          <cell r="AB894">
            <v>1750</v>
          </cell>
          <cell r="AC894">
            <v>3017</v>
          </cell>
          <cell r="AD894">
            <v>1423</v>
          </cell>
          <cell r="AE894">
            <v>4440</v>
          </cell>
        </row>
        <row r="895">
          <cell r="A895">
            <v>894</v>
          </cell>
          <cell r="B895">
            <v>46181</v>
          </cell>
          <cell r="C895" t="str">
            <v>RENAULT QM3</v>
          </cell>
          <cell r="D895" t="str">
            <v>RENAULT</v>
          </cell>
          <cell r="E895" t="str">
            <v>QM3</v>
          </cell>
          <cell r="G895" t="str">
            <v>54오0483</v>
          </cell>
          <cell r="H895" t="str">
            <v>VF12RGJ1DGW172893</v>
          </cell>
          <cell r="I895">
            <v>46181</v>
          </cell>
          <cell r="J895" t="str">
            <v>경매장-헤이딜러</v>
          </cell>
          <cell r="L895" t="str">
            <v>잔금</v>
          </cell>
          <cell r="N895">
            <v>454</v>
          </cell>
          <cell r="O895">
            <v>31</v>
          </cell>
          <cell r="P895">
            <v>0</v>
          </cell>
          <cell r="Q895" t="str">
            <v>done</v>
          </cell>
          <cell r="R895">
            <v>46192</v>
          </cell>
          <cell r="S895" t="str">
            <v>R.S.h L.L.C.</v>
          </cell>
          <cell r="T895" t="str">
            <v>R.Sh L.L.C.</v>
          </cell>
          <cell r="U895">
            <v>812326016</v>
          </cell>
          <cell r="V895" t="str">
            <v>+383486 611 61</v>
          </cell>
          <cell r="W895" t="str">
            <v>Kosovo</v>
          </cell>
          <cell r="X895">
            <v>1518</v>
          </cell>
          <cell r="AB895">
            <v>1750</v>
          </cell>
          <cell r="AC895">
            <v>2857</v>
          </cell>
          <cell r="AD895">
            <v>1423</v>
          </cell>
          <cell r="AE895">
            <v>4280</v>
          </cell>
        </row>
        <row r="896">
          <cell r="A896">
            <v>895</v>
          </cell>
          <cell r="B896">
            <v>46181</v>
          </cell>
          <cell r="C896" t="str">
            <v>VOLKSWAGENS ARTEON</v>
          </cell>
          <cell r="D896" t="str">
            <v>VOLKSWAGENS</v>
          </cell>
          <cell r="E896" t="str">
            <v>ARTEON</v>
          </cell>
          <cell r="G896" t="str">
            <v>175오7033</v>
          </cell>
          <cell r="H896" t="str">
            <v>WVWZZZ3HZLE020129</v>
          </cell>
          <cell r="I896">
            <v>46192</v>
          </cell>
          <cell r="J896" t="str">
            <v>경매장-헤이딜러</v>
          </cell>
          <cell r="L896" t="str">
            <v>잔금</v>
          </cell>
          <cell r="N896">
            <v>1684</v>
          </cell>
          <cell r="O896">
            <v>25</v>
          </cell>
          <cell r="P896">
            <v>0</v>
          </cell>
          <cell r="Q896" t="str">
            <v>done</v>
          </cell>
          <cell r="R896">
            <v>46223</v>
          </cell>
          <cell r="S896" t="str">
            <v>DONI</v>
          </cell>
          <cell r="T896" t="str">
            <v>DONI</v>
          </cell>
          <cell r="U896">
            <v>933682</v>
          </cell>
          <cell r="V896" t="str">
            <v>3 8 3 4 9 3 2 5 7 0 3</v>
          </cell>
          <cell r="W896" t="str">
            <v xml:space="preserve"> HYZRI TALLA OB 16 HY 1 NR 18
 Kosovë</v>
          </cell>
          <cell r="X896">
            <v>1483</v>
          </cell>
          <cell r="AB896">
            <v>1687</v>
          </cell>
          <cell r="AC896">
            <v>9655</v>
          </cell>
          <cell r="AD896">
            <v>1795</v>
          </cell>
          <cell r="AE896">
            <v>11450</v>
          </cell>
        </row>
        <row r="897">
          <cell r="A897">
            <v>896</v>
          </cell>
          <cell r="B897">
            <v>46181</v>
          </cell>
          <cell r="C897" t="str">
            <v>VOLKSWAGENS TIGUAN</v>
          </cell>
          <cell r="D897" t="str">
            <v>VOLKSWAGENS</v>
          </cell>
          <cell r="E897" t="str">
            <v>TIGUAN</v>
          </cell>
          <cell r="G897" t="str">
            <v>37로0170</v>
          </cell>
          <cell r="H897" t="str">
            <v>WVGZZZ5NZGW554448</v>
          </cell>
          <cell r="I897">
            <v>46181</v>
          </cell>
          <cell r="J897" t="str">
            <v>경매장-헤이딜러</v>
          </cell>
          <cell r="L897" t="str">
            <v>잔금</v>
          </cell>
          <cell r="N897">
            <v>1004</v>
          </cell>
          <cell r="O897">
            <v>51</v>
          </cell>
          <cell r="P897">
            <v>0</v>
          </cell>
          <cell r="Q897" t="str">
            <v>done</v>
          </cell>
          <cell r="R897">
            <v>46185</v>
          </cell>
          <cell r="S897" t="str">
            <v>DONI</v>
          </cell>
          <cell r="T897" t="str">
            <v>DONI</v>
          </cell>
          <cell r="U897">
            <v>933682</v>
          </cell>
          <cell r="V897" t="str">
            <v>3 8 3 4 9 3 2 5 7 0 3</v>
          </cell>
          <cell r="W897" t="str">
            <v xml:space="preserve"> HYZRI TALLA OB 16 HY 1 NR 18
 Kosovë</v>
          </cell>
          <cell r="X897">
            <v>1518</v>
          </cell>
          <cell r="AB897">
            <v>1750</v>
          </cell>
          <cell r="AC897">
            <v>5880</v>
          </cell>
          <cell r="AD897">
            <v>1510</v>
          </cell>
          <cell r="AE897">
            <v>7390</v>
          </cell>
        </row>
        <row r="898">
          <cell r="A898">
            <v>897</v>
          </cell>
          <cell r="B898">
            <v>46181</v>
          </cell>
          <cell r="C898" t="str">
            <v>HYUNDAI I30</v>
          </cell>
          <cell r="D898" t="str">
            <v>HYUNDAI</v>
          </cell>
          <cell r="E898" t="str">
            <v>I30</v>
          </cell>
          <cell r="G898" t="str">
            <v>46두8373</v>
          </cell>
          <cell r="H898" t="str">
            <v>KMHD251UBEU119261</v>
          </cell>
          <cell r="J898" t="str">
            <v>경매장 - AJ</v>
          </cell>
          <cell r="L898" t="str">
            <v>잔금</v>
          </cell>
          <cell r="N898">
            <v>485</v>
          </cell>
          <cell r="O898">
            <v>16</v>
          </cell>
          <cell r="P898">
            <v>0</v>
          </cell>
          <cell r="Q898" t="str">
            <v>done</v>
          </cell>
          <cell r="R898">
            <v>46185</v>
          </cell>
          <cell r="S898" t="str">
            <v xml:space="preserve">EUROAUTO.AL </v>
          </cell>
          <cell r="T898" t="str">
            <v>Erion Gjergji</v>
          </cell>
          <cell r="U898" t="str">
            <v>I90516099R</v>
          </cell>
          <cell r="V898" t="str">
            <v>49 163 6979 099</v>
          </cell>
          <cell r="W898" t="str">
            <v>Albania</v>
          </cell>
          <cell r="X898">
            <v>1539</v>
          </cell>
          <cell r="AB898">
            <v>1774</v>
          </cell>
          <cell r="AC898">
            <v>2897</v>
          </cell>
          <cell r="AD898">
            <v>1423</v>
          </cell>
          <cell r="AE898">
            <v>4320</v>
          </cell>
          <cell r="AF898">
            <v>4320</v>
          </cell>
        </row>
        <row r="899">
          <cell r="A899">
            <v>898</v>
          </cell>
          <cell r="B899">
            <v>46181</v>
          </cell>
          <cell r="C899" t="str">
            <v>BMW 320D</v>
          </cell>
          <cell r="D899" t="str">
            <v>BMW</v>
          </cell>
          <cell r="E899" t="str">
            <v>320D</v>
          </cell>
          <cell r="G899" t="str">
            <v>310버7794</v>
          </cell>
          <cell r="H899" t="str">
            <v>WBA5V5109MFK93268</v>
          </cell>
          <cell r="I899">
            <v>46182</v>
          </cell>
          <cell r="J899" t="str">
            <v>㈜모던카</v>
          </cell>
          <cell r="L899" t="str">
            <v>잔금</v>
          </cell>
          <cell r="M899" t="str">
            <v>100만원 대표님 계약</v>
          </cell>
          <cell r="N899">
            <v>2600</v>
          </cell>
          <cell r="P899">
            <v>0</v>
          </cell>
          <cell r="Q899" t="str">
            <v>done</v>
          </cell>
          <cell r="R899">
            <v>46191</v>
          </cell>
          <cell r="S899" t="str">
            <v>R.S.h L.L.C.</v>
          </cell>
          <cell r="T899" t="str">
            <v>R.Sh L.L.C.</v>
          </cell>
          <cell r="U899">
            <v>812326016</v>
          </cell>
          <cell r="V899" t="str">
            <v>+383486 611 61</v>
          </cell>
          <cell r="W899" t="str">
            <v>Kosovo</v>
          </cell>
          <cell r="X899">
            <v>1539</v>
          </cell>
          <cell r="AB899">
            <v>1774</v>
          </cell>
          <cell r="AC899">
            <v>14177</v>
          </cell>
          <cell r="AD899">
            <v>1423</v>
          </cell>
          <cell r="AE899">
            <v>15600</v>
          </cell>
        </row>
        <row r="900">
          <cell r="A900">
            <v>899</v>
          </cell>
          <cell r="B900">
            <v>46181</v>
          </cell>
          <cell r="C900" t="str">
            <v>VOLKSWAGENS T-ROC</v>
          </cell>
          <cell r="D900" t="str">
            <v>VOLKSWAGENS</v>
          </cell>
          <cell r="E900" t="str">
            <v>T-ROC</v>
          </cell>
          <cell r="G900" t="str">
            <v>250도4786</v>
          </cell>
          <cell r="H900" t="str">
            <v>WVGZZZA1ZMV031971</v>
          </cell>
          <cell r="I900">
            <v>46183</v>
          </cell>
          <cell r="J900" t="str">
            <v>㈜고물상사</v>
          </cell>
          <cell r="L900" t="str">
            <v>잔금</v>
          </cell>
          <cell r="M900" t="str">
            <v>100만원 대표님 계약</v>
          </cell>
          <cell r="N900">
            <v>2220</v>
          </cell>
          <cell r="P900">
            <v>0</v>
          </cell>
          <cell r="Q900" t="str">
            <v>done</v>
          </cell>
          <cell r="R900">
            <v>46191</v>
          </cell>
          <cell r="S900" t="str">
            <v>GENC HETA</v>
          </cell>
          <cell r="T900" t="str">
            <v>ZHITIJA GASHI JEHONA</v>
          </cell>
          <cell r="U900">
            <v>1001094285</v>
          </cell>
          <cell r="V900" t="str">
            <v>383 49 707 126</v>
          </cell>
          <cell r="W900" t="str">
            <v>str Jusuf Gervalla hy 82/15 10000 Prishtine RKS</v>
          </cell>
          <cell r="X900">
            <v>1539</v>
          </cell>
          <cell r="AB900">
            <v>1774</v>
          </cell>
          <cell r="AC900">
            <v>12120</v>
          </cell>
          <cell r="AD900">
            <v>1510</v>
          </cell>
          <cell r="AE900">
            <v>13630</v>
          </cell>
          <cell r="AF900">
            <v>13630</v>
          </cell>
        </row>
        <row r="901">
          <cell r="A901">
            <v>900</v>
          </cell>
          <cell r="B901">
            <v>46181</v>
          </cell>
          <cell r="C901" t="str">
            <v>BMW M5</v>
          </cell>
          <cell r="D901" t="str">
            <v>BMW</v>
          </cell>
          <cell r="E901" t="str">
            <v>M5</v>
          </cell>
          <cell r="G901" t="str">
            <v>10머1000</v>
          </cell>
          <cell r="H901" t="str">
            <v>WBSFV9101GGD77304</v>
          </cell>
          <cell r="I901">
            <v>46184</v>
          </cell>
          <cell r="J901" t="str">
            <v>㈜ 부산대박중고차</v>
          </cell>
          <cell r="L901" t="str">
            <v>잔금</v>
          </cell>
          <cell r="M901" t="str">
            <v>100만원 대표님 계약</v>
          </cell>
          <cell r="N901">
            <v>2250</v>
          </cell>
          <cell r="P901">
            <v>0</v>
          </cell>
          <cell r="Q901" t="str">
            <v>done</v>
          </cell>
          <cell r="R901">
            <v>46191</v>
          </cell>
          <cell r="S901" t="str">
            <v>VILLA KOHA</v>
          </cell>
          <cell r="T901" t="str">
            <v>VILLA KOHA SH.P.K</v>
          </cell>
          <cell r="U901">
            <v>810039588</v>
          </cell>
          <cell r="V901" t="str">
            <v>383 49247777</v>
          </cell>
          <cell r="W901" t="str">
            <v>KOSOVO</v>
          </cell>
          <cell r="X901">
            <v>1539</v>
          </cell>
          <cell r="AB901">
            <v>1774</v>
          </cell>
          <cell r="AC901">
            <v>12377</v>
          </cell>
          <cell r="AD901">
            <v>1423</v>
          </cell>
          <cell r="AE901">
            <v>13800</v>
          </cell>
          <cell r="AF901">
            <v>13800</v>
          </cell>
        </row>
        <row r="902">
          <cell r="A902">
            <v>901</v>
          </cell>
          <cell r="B902">
            <v>46181</v>
          </cell>
          <cell r="C902" t="str">
            <v>INFINITY  Q30</v>
          </cell>
          <cell r="D902" t="str">
            <v xml:space="preserve">INFINITY </v>
          </cell>
          <cell r="E902" t="str">
            <v>Q30</v>
          </cell>
          <cell r="G902" t="str">
            <v>13가4615</v>
          </cell>
          <cell r="H902" t="str">
            <v>SJKCH53E5HA060028</v>
          </cell>
          <cell r="I902">
            <v>46182</v>
          </cell>
          <cell r="J902" t="str">
            <v>(주) 코오옹모빌리티</v>
          </cell>
          <cell r="L902" t="str">
            <v>잔금</v>
          </cell>
          <cell r="M902" t="str">
            <v>50만원 대표님 계약</v>
          </cell>
          <cell r="N902">
            <v>1110</v>
          </cell>
          <cell r="P902">
            <v>0</v>
          </cell>
          <cell r="Q902" t="str">
            <v>done</v>
          </cell>
          <cell r="R902">
            <v>46203</v>
          </cell>
          <cell r="S902" t="str">
            <v>EASY DRIVE</v>
          </cell>
          <cell r="T902" t="str">
            <v>Easy Drive LTD</v>
          </cell>
          <cell r="U902">
            <v>206557008</v>
          </cell>
          <cell r="V902" t="str">
            <v>359 89 936 8386</v>
          </cell>
          <cell r="W902" t="str">
            <v>ul. Sokolna 47
1444 Sofia
Bulgaria</v>
          </cell>
          <cell r="X902">
            <v>1539</v>
          </cell>
          <cell r="AB902">
            <v>1731</v>
          </cell>
          <cell r="AC902">
            <v>10700000</v>
          </cell>
          <cell r="AD902">
            <v>6181</v>
          </cell>
          <cell r="AF902">
            <v>6181</v>
          </cell>
        </row>
        <row r="903">
          <cell r="A903">
            <v>902</v>
          </cell>
          <cell r="B903">
            <v>46181</v>
          </cell>
          <cell r="C903" t="str">
            <v>HYUNDAI TUCSON</v>
          </cell>
          <cell r="D903" t="str">
            <v>HYUNDAI</v>
          </cell>
          <cell r="E903" t="str">
            <v>TUCSON</v>
          </cell>
          <cell r="G903" t="str">
            <v>19거2114</v>
          </cell>
          <cell r="H903" t="str">
            <v>KMHJ3815GGU056146</v>
          </cell>
          <cell r="I903">
            <v>46182</v>
          </cell>
          <cell r="J903" t="str">
            <v>㈜모토스퀘</v>
          </cell>
          <cell r="L903" t="str">
            <v>잔금</v>
          </cell>
          <cell r="M903" t="str">
            <v>50만원 대표님 계약</v>
          </cell>
          <cell r="N903">
            <v>860</v>
          </cell>
          <cell r="P903">
            <v>0</v>
          </cell>
          <cell r="Q903" t="str">
            <v>done</v>
          </cell>
          <cell r="R903">
            <v>46185</v>
          </cell>
          <cell r="S903" t="str">
            <v>CALJA</v>
          </cell>
          <cell r="T903" t="str">
            <v>CANGOJA VESEL</v>
          </cell>
          <cell r="U903" t="str">
            <v>J70613107A</v>
          </cell>
          <cell r="V903" t="str">
            <v>355 69 550 5533</v>
          </cell>
          <cell r="W903" t="str">
            <v>Albania</v>
          </cell>
          <cell r="X903">
            <v>1539</v>
          </cell>
          <cell r="AB903">
            <v>1774</v>
          </cell>
          <cell r="AC903">
            <v>4740</v>
          </cell>
          <cell r="AD903">
            <v>1510</v>
          </cell>
          <cell r="AE903">
            <v>6250</v>
          </cell>
          <cell r="AF903">
            <v>9950</v>
          </cell>
        </row>
        <row r="904">
          <cell r="A904">
            <v>903</v>
          </cell>
          <cell r="B904">
            <v>46181</v>
          </cell>
          <cell r="C904" t="str">
            <v>RENAULT CLIO</v>
          </cell>
          <cell r="D904" t="str">
            <v>RENAULT</v>
          </cell>
          <cell r="E904" t="str">
            <v>CLIO</v>
          </cell>
          <cell r="F904">
            <v>2019</v>
          </cell>
          <cell r="G904" t="str">
            <v>30라3745</v>
          </cell>
          <cell r="H904" t="str">
            <v>VF1R98000KR904696</v>
          </cell>
          <cell r="I904">
            <v>46174</v>
          </cell>
          <cell r="J904" t="str">
            <v>경매장-헤이딜러</v>
          </cell>
          <cell r="L904" t="str">
            <v>잔금</v>
          </cell>
          <cell r="N904">
            <v>674</v>
          </cell>
          <cell r="O904">
            <v>33</v>
          </cell>
          <cell r="P904">
            <v>0</v>
          </cell>
          <cell r="Q904" t="str">
            <v>done</v>
          </cell>
          <cell r="R904">
            <v>46277</v>
          </cell>
          <cell r="S904" t="str">
            <v>AUTO SCOUT</v>
          </cell>
          <cell r="T904" t="str">
            <v>DONI</v>
          </cell>
          <cell r="U904">
            <v>933682</v>
          </cell>
          <cell r="V904" t="str">
            <v>3 8 3 4 9 3 2 5 7 0 3</v>
          </cell>
          <cell r="W904" t="str">
            <v xml:space="preserve"> HYZRI TALLA OB 16 HY 1 NR 18
 Kosovë</v>
          </cell>
          <cell r="AB904">
            <v>1544</v>
          </cell>
          <cell r="AC904">
            <v>4385</v>
          </cell>
          <cell r="AD904">
            <v>1755</v>
          </cell>
          <cell r="AE904">
            <v>6140</v>
          </cell>
        </row>
        <row r="905">
          <cell r="A905">
            <v>904</v>
          </cell>
          <cell r="B905">
            <v>46181</v>
          </cell>
          <cell r="C905" t="str">
            <v>RENAULT CLIO</v>
          </cell>
          <cell r="D905" t="str">
            <v>RENAULT</v>
          </cell>
          <cell r="E905" t="str">
            <v>CLIO</v>
          </cell>
          <cell r="G905" t="str">
            <v>68어3333</v>
          </cell>
          <cell r="H905" t="str">
            <v>VF15RBJ0DJR293387</v>
          </cell>
          <cell r="J905" t="str">
            <v>경매장-헤이딜러</v>
          </cell>
          <cell r="L905" t="str">
            <v>잔금</v>
          </cell>
          <cell r="N905">
            <v>674</v>
          </cell>
          <cell r="O905">
            <v>33</v>
          </cell>
          <cell r="P905">
            <v>0</v>
          </cell>
          <cell r="Q905" t="str">
            <v>DONE</v>
          </cell>
          <cell r="R905">
            <v>46205</v>
          </cell>
          <cell r="S905" t="str">
            <v>DONI</v>
          </cell>
          <cell r="T905" t="str">
            <v>DONI</v>
          </cell>
          <cell r="U905">
            <v>933682</v>
          </cell>
          <cell r="V905" t="str">
            <v>3 8 3 4 9 3 2 5 7 0 3</v>
          </cell>
          <cell r="W905" t="str">
            <v xml:space="preserve"> HYZRI TALLA OB 16 HY 1 NR 18
 Kosovë</v>
          </cell>
          <cell r="X905">
            <v>1541</v>
          </cell>
          <cell r="AB905">
            <v>1753</v>
          </cell>
          <cell r="AC905">
            <v>3988</v>
          </cell>
          <cell r="AD905">
            <v>1442</v>
          </cell>
          <cell r="AE905">
            <v>5430</v>
          </cell>
        </row>
        <row r="906">
          <cell r="A906">
            <v>905</v>
          </cell>
          <cell r="B906">
            <v>46181</v>
          </cell>
          <cell r="C906" t="str">
            <v>VOLKSWAGENS TIGUAN</v>
          </cell>
          <cell r="D906" t="str">
            <v>VOLKSWAGENS</v>
          </cell>
          <cell r="E906" t="str">
            <v>TIGUAN</v>
          </cell>
          <cell r="F906" t="str">
            <v>TIGUAN</v>
          </cell>
          <cell r="G906" t="str">
            <v>02노0396</v>
          </cell>
          <cell r="H906" t="str">
            <v xml:space="preserve">WVGZZZ5NZGW556104  </v>
          </cell>
          <cell r="J906" t="str">
            <v>㈜싼카</v>
          </cell>
          <cell r="L906" t="str">
            <v>잔금</v>
          </cell>
          <cell r="N906">
            <v>1004</v>
          </cell>
          <cell r="O906">
            <v>36</v>
          </cell>
          <cell r="P906">
            <v>0</v>
          </cell>
          <cell r="Q906" t="str">
            <v>done</v>
          </cell>
          <cell r="R906">
            <v>46192</v>
          </cell>
          <cell r="S906" t="str">
            <v>R.S.h L.L.C.</v>
          </cell>
          <cell r="T906" t="str">
            <v>R.Sh L.L.C.</v>
          </cell>
          <cell r="U906">
            <v>812326016</v>
          </cell>
          <cell r="V906" t="str">
            <v>+383486 611 61</v>
          </cell>
          <cell r="W906" t="str">
            <v>Kosovo</v>
          </cell>
          <cell r="X906">
            <v>1539</v>
          </cell>
          <cell r="AB906">
            <v>1774</v>
          </cell>
          <cell r="AC906">
            <v>5771</v>
          </cell>
          <cell r="AD906">
            <v>1509</v>
          </cell>
          <cell r="AE906">
            <v>7280</v>
          </cell>
        </row>
        <row r="907">
          <cell r="A907">
            <v>906</v>
          </cell>
          <cell r="B907">
            <v>46181</v>
          </cell>
          <cell r="C907" t="str">
            <v>VOLKSWAGENS GOLF</v>
          </cell>
          <cell r="D907" t="str">
            <v>VOLKSWAGENS</v>
          </cell>
          <cell r="E907" t="str">
            <v>GOLF</v>
          </cell>
          <cell r="G907" t="str">
            <v>306저3503</v>
          </cell>
          <cell r="H907" t="str">
            <v>WVWZZZAUZGW041198</v>
          </cell>
          <cell r="I907">
            <v>46183</v>
          </cell>
          <cell r="J907" t="str">
            <v>경매장-헤이딜러</v>
          </cell>
          <cell r="L907" t="str">
            <v>잔금</v>
          </cell>
          <cell r="N907">
            <v>1074</v>
          </cell>
          <cell r="O907">
            <v>25</v>
          </cell>
          <cell r="P907">
            <v>0</v>
          </cell>
          <cell r="Q907" t="str">
            <v>DONE</v>
          </cell>
          <cell r="R907">
            <v>46205</v>
          </cell>
          <cell r="S907" t="str">
            <v>DONI</v>
          </cell>
          <cell r="T907" t="str">
            <v>DONI</v>
          </cell>
          <cell r="U907">
            <v>933682</v>
          </cell>
          <cell r="V907" t="str">
            <v>3 8 3 4 9 3 2 5 7 0 3</v>
          </cell>
          <cell r="W907" t="str">
            <v xml:space="preserve"> HYZRI TALLA OB 16 HY 1 NR 18
 Kosovë</v>
          </cell>
          <cell r="X907">
            <v>1541</v>
          </cell>
          <cell r="AB907">
            <v>1753</v>
          </cell>
          <cell r="AC907">
            <v>6058</v>
          </cell>
          <cell r="AD907">
            <v>1442</v>
          </cell>
          <cell r="AE907">
            <v>7500</v>
          </cell>
        </row>
        <row r="908">
          <cell r="A908">
            <v>907</v>
          </cell>
          <cell r="B908">
            <v>46183</v>
          </cell>
          <cell r="C908" t="str">
            <v>AUDI A3</v>
          </cell>
          <cell r="D908" t="str">
            <v>AUDI</v>
          </cell>
          <cell r="E908" t="str">
            <v>A3</v>
          </cell>
          <cell r="G908" t="str">
            <v>38누0655</v>
          </cell>
          <cell r="H908" t="str">
            <v>WAUZZZ8VXG1078563</v>
          </cell>
          <cell r="I908">
            <v>46184</v>
          </cell>
          <cell r="J908" t="str">
            <v>㈜마이카</v>
          </cell>
          <cell r="L908" t="str">
            <v>잔금</v>
          </cell>
          <cell r="M908" t="str">
            <v>100만원 대표님 계약</v>
          </cell>
          <cell r="N908">
            <v>1524</v>
          </cell>
          <cell r="P908">
            <v>0</v>
          </cell>
          <cell r="Q908" t="str">
            <v>done</v>
          </cell>
          <cell r="R908">
            <v>46191</v>
          </cell>
          <cell r="S908" t="str">
            <v>DONI</v>
          </cell>
          <cell r="T908" t="str">
            <v>DONI</v>
          </cell>
          <cell r="U908">
            <v>933682</v>
          </cell>
          <cell r="V908" t="str">
            <v>3 8 3 4 9 3 2 5 7 0 3</v>
          </cell>
          <cell r="W908" t="str">
            <v xml:space="preserve"> HYZRI TALLA OB 16 HY 1 NR 18
 Kosovë</v>
          </cell>
          <cell r="X908">
            <v>1539</v>
          </cell>
          <cell r="AB908">
            <v>1774</v>
          </cell>
          <cell r="AC908">
            <v>8397</v>
          </cell>
          <cell r="AD908">
            <v>1423</v>
          </cell>
          <cell r="AE908">
            <v>9820</v>
          </cell>
        </row>
        <row r="909">
          <cell r="A909">
            <v>908</v>
          </cell>
          <cell r="B909">
            <v>46183</v>
          </cell>
          <cell r="C909" t="str">
            <v>BENZ S350</v>
          </cell>
          <cell r="D909" t="str">
            <v>BENZ</v>
          </cell>
          <cell r="E909" t="str">
            <v>S350</v>
          </cell>
          <cell r="G909" t="str">
            <v>02나9118</v>
          </cell>
          <cell r="H909" t="str">
            <v>WDDUF2BB3JA370046</v>
          </cell>
          <cell r="I909">
            <v>46184</v>
          </cell>
          <cell r="J909" t="str">
            <v>㈜우정모터스</v>
          </cell>
          <cell r="L909" t="str">
            <v>잔금</v>
          </cell>
          <cell r="M909" t="str">
            <v>100만원 회사통장 나감</v>
          </cell>
          <cell r="N909">
            <v>4450</v>
          </cell>
          <cell r="P909">
            <v>0</v>
          </cell>
          <cell r="Q909" t="str">
            <v>DONE</v>
          </cell>
          <cell r="R909">
            <v>46203</v>
          </cell>
          <cell r="S909" t="str">
            <v>Ardijan Qorraj</v>
          </cell>
          <cell r="T909" t="str">
            <v>Ardijan Qorraj</v>
          </cell>
          <cell r="U909" t="str">
            <v>C6YRK7K2F</v>
          </cell>
          <cell r="V909">
            <v>4917655744700</v>
          </cell>
          <cell r="W909" t="str">
            <v>Germany, Piepersweg 35 (41066)</v>
          </cell>
          <cell r="X909">
            <v>1539</v>
          </cell>
          <cell r="AB909">
            <v>1774</v>
          </cell>
          <cell r="AC909">
            <v>24500</v>
          </cell>
        </row>
        <row r="910">
          <cell r="A910">
            <v>909</v>
          </cell>
          <cell r="B910">
            <v>46183</v>
          </cell>
          <cell r="C910" t="str">
            <v>AUDI A6</v>
          </cell>
          <cell r="D910" t="str">
            <v>AUDI</v>
          </cell>
          <cell r="E910" t="str">
            <v>A6</v>
          </cell>
          <cell r="G910" t="str">
            <v>47서0865</v>
          </cell>
          <cell r="H910" t="str">
            <v>WAUZZZ4G3GN106428</v>
          </cell>
          <cell r="I910">
            <v>46184</v>
          </cell>
          <cell r="J910" t="str">
            <v>㈜ 박준표 중고차</v>
          </cell>
          <cell r="L910" t="str">
            <v>잔금</v>
          </cell>
          <cell r="M910" t="str">
            <v>50만원 회사통장 나감</v>
          </cell>
          <cell r="N910">
            <v>1320</v>
          </cell>
          <cell r="P910">
            <v>0</v>
          </cell>
          <cell r="Q910" t="str">
            <v>done</v>
          </cell>
          <cell r="R910">
            <v>46191</v>
          </cell>
          <cell r="S910" t="str">
            <v>DONI</v>
          </cell>
          <cell r="T910" t="str">
            <v>DONI</v>
          </cell>
          <cell r="U910">
            <v>933682</v>
          </cell>
          <cell r="V910" t="str">
            <v>3 8 3 4 9 3 2 5 7 0 3</v>
          </cell>
          <cell r="W910" t="str">
            <v xml:space="preserve"> HYZRI TALLA OB 16 HY 1 NR 18
 Kosovë</v>
          </cell>
          <cell r="X910">
            <v>1539</v>
          </cell>
          <cell r="AB910">
            <v>1774</v>
          </cell>
          <cell r="AC910">
            <v>7327</v>
          </cell>
          <cell r="AD910">
            <v>1423</v>
          </cell>
          <cell r="AE910">
            <v>8750</v>
          </cell>
        </row>
        <row r="911">
          <cell r="A911">
            <v>910</v>
          </cell>
          <cell r="B911">
            <v>46183</v>
          </cell>
          <cell r="C911" t="str">
            <v>AUDI A6</v>
          </cell>
          <cell r="D911" t="str">
            <v>AUDI</v>
          </cell>
          <cell r="E911" t="str">
            <v>A6</v>
          </cell>
          <cell r="F911">
            <v>2018</v>
          </cell>
          <cell r="G911" t="str">
            <v>08보3398</v>
          </cell>
          <cell r="H911" t="str">
            <v>WAUZZZ4G8JN053717</v>
          </cell>
          <cell r="I911">
            <v>46191</v>
          </cell>
          <cell r="J911" t="str">
            <v>경매장-헤이딜러</v>
          </cell>
          <cell r="L911" t="str">
            <v>잔금</v>
          </cell>
          <cell r="N911">
            <v>1190</v>
          </cell>
          <cell r="O911">
            <v>26</v>
          </cell>
          <cell r="P911">
            <v>0</v>
          </cell>
          <cell r="Q911" t="str">
            <v>DONE</v>
          </cell>
          <cell r="R911">
            <v>46274</v>
          </cell>
          <cell r="S911" t="str">
            <v>AUTO SCOUT</v>
          </cell>
          <cell r="T911" t="str">
            <v>DONI</v>
          </cell>
          <cell r="U911">
            <v>933682</v>
          </cell>
          <cell r="V911" t="str">
            <v>3 8 3 4 9 3 2 5 7 0 3</v>
          </cell>
          <cell r="W911" t="str">
            <v xml:space="preserve"> HYZRI TALLA OB 16 HY 1 NR 18
 Kosovë</v>
          </cell>
          <cell r="X911">
            <v>1539</v>
          </cell>
          <cell r="AB911">
            <v>1544</v>
          </cell>
          <cell r="AC911">
            <v>7285</v>
          </cell>
          <cell r="AD911">
            <v>1755</v>
          </cell>
          <cell r="AE911">
            <v>9040</v>
          </cell>
        </row>
        <row r="912">
          <cell r="A912">
            <v>911</v>
          </cell>
          <cell r="B912">
            <v>46183</v>
          </cell>
          <cell r="C912" t="str">
            <v>BMW X3</v>
          </cell>
          <cell r="D912" t="str">
            <v>BMW</v>
          </cell>
          <cell r="E912" t="str">
            <v>X3</v>
          </cell>
          <cell r="G912" t="str">
            <v>65러8827</v>
          </cell>
          <cell r="H912" t="str">
            <v>WBAWZ5100H0M37775</v>
          </cell>
          <cell r="J912" t="str">
            <v>경매장-헤이딜러</v>
          </cell>
          <cell r="L912" t="str">
            <v>취소</v>
          </cell>
          <cell r="P912">
            <v>0</v>
          </cell>
          <cell r="Q912" t="str">
            <v>취소</v>
          </cell>
          <cell r="S912" t="str">
            <v>DONI</v>
          </cell>
          <cell r="T912" t="str">
            <v>DONI</v>
          </cell>
          <cell r="U912">
            <v>933682</v>
          </cell>
          <cell r="V912" t="str">
            <v>3 8 3 4 9 3 2 5 7 0 3</v>
          </cell>
          <cell r="W912" t="str">
            <v xml:space="preserve"> HYZRI TALLA OB 16 HY 1 NR 18
 Kosovë</v>
          </cell>
          <cell r="X912">
            <v>1502</v>
          </cell>
          <cell r="AB912">
            <v>1751</v>
          </cell>
          <cell r="AC912">
            <v>0</v>
          </cell>
        </row>
        <row r="913">
          <cell r="A913">
            <v>912</v>
          </cell>
          <cell r="B913">
            <v>46183</v>
          </cell>
          <cell r="C913" t="str">
            <v>AUDI A3</v>
          </cell>
          <cell r="D913" t="str">
            <v>AUDI</v>
          </cell>
          <cell r="E913" t="str">
            <v>A3</v>
          </cell>
          <cell r="G913" t="str">
            <v>63무0834</v>
          </cell>
          <cell r="H913" t="str">
            <v>WAUZZZ8V6FA185852</v>
          </cell>
          <cell r="I913">
            <v>46184</v>
          </cell>
          <cell r="J913" t="str">
            <v>경매장 - AJ</v>
          </cell>
          <cell r="L913" t="str">
            <v>잔금</v>
          </cell>
          <cell r="N913">
            <v>600</v>
          </cell>
          <cell r="O913">
            <v>16</v>
          </cell>
          <cell r="P913">
            <v>0</v>
          </cell>
          <cell r="Q913" t="str">
            <v>done</v>
          </cell>
          <cell r="R913">
            <v>46191</v>
          </cell>
          <cell r="S913" t="str">
            <v xml:space="preserve">EUROAUTO.AL </v>
          </cell>
          <cell r="T913" t="str">
            <v>Erion Gjergji</v>
          </cell>
          <cell r="U913" t="str">
            <v>I90516099R</v>
          </cell>
          <cell r="V913" t="str">
            <v>49 163 6979 099</v>
          </cell>
          <cell r="W913" t="str">
            <v>Albania</v>
          </cell>
          <cell r="X913">
            <v>1502</v>
          </cell>
          <cell r="AB913">
            <v>1751</v>
          </cell>
          <cell r="AC913">
            <v>3493</v>
          </cell>
          <cell r="AD913">
            <v>1407</v>
          </cell>
          <cell r="AE913">
            <v>4900</v>
          </cell>
          <cell r="AF913">
            <v>5000</v>
          </cell>
        </row>
        <row r="914">
          <cell r="A914">
            <v>913</v>
          </cell>
          <cell r="B914">
            <v>46183</v>
          </cell>
          <cell r="C914" t="str">
            <v>BMW 530D</v>
          </cell>
          <cell r="D914" t="str">
            <v>BMW</v>
          </cell>
          <cell r="E914" t="str">
            <v>530D</v>
          </cell>
          <cell r="G914" t="str">
            <v>35우4088</v>
          </cell>
          <cell r="H914" t="str">
            <v>WBA5D3108FD577545</v>
          </cell>
          <cell r="I914">
            <v>46188</v>
          </cell>
          <cell r="J914" t="str">
            <v>개인매입 임승한- 010,5595,9599</v>
          </cell>
          <cell r="L914" t="str">
            <v>잔금</v>
          </cell>
          <cell r="M914" t="str">
            <v>80만원 회사통장 계약</v>
          </cell>
          <cell r="N914">
            <v>1680</v>
          </cell>
          <cell r="P914" t="str">
            <v>CONTANER</v>
          </cell>
          <cell r="Q914" t="str">
            <v>DONE</v>
          </cell>
          <cell r="R914">
            <v>46196</v>
          </cell>
          <cell r="S914" t="str">
            <v>DAX IMPORT</v>
          </cell>
          <cell r="T914" t="str">
            <v xml:space="preserve">Michael Karl  </v>
          </cell>
          <cell r="U914" t="str">
            <v>LF9N8WZ16</v>
          </cell>
          <cell r="V914" t="str">
            <v>‪+49 471 94189050‬</v>
          </cell>
          <cell r="W914" t="str">
            <v xml:space="preserve">Dorfstr,33C,(82024) Taufkirchen, Germany </v>
          </cell>
          <cell r="X914">
            <v>1502</v>
          </cell>
          <cell r="AB914">
            <v>1751</v>
          </cell>
          <cell r="AC914">
            <v>9300</v>
          </cell>
          <cell r="AE914">
            <v>9350</v>
          </cell>
        </row>
        <row r="915">
          <cell r="A915">
            <v>914</v>
          </cell>
          <cell r="B915">
            <v>46183</v>
          </cell>
          <cell r="C915" t="str">
            <v>BENZ C200K</v>
          </cell>
          <cell r="D915" t="str">
            <v>BENZ</v>
          </cell>
          <cell r="E915" t="str">
            <v>C200K</v>
          </cell>
          <cell r="G915" t="str">
            <v>69더6900</v>
          </cell>
          <cell r="H915" t="str">
            <v>WDDGF41X19A233463</v>
          </cell>
          <cell r="I915">
            <v>46185</v>
          </cell>
          <cell r="J915" t="str">
            <v>㈜ 자마이카</v>
          </cell>
          <cell r="L915" t="str">
            <v>잔금</v>
          </cell>
          <cell r="M915" t="str">
            <v>50만원 회사통장 계약</v>
          </cell>
          <cell r="N915">
            <v>350</v>
          </cell>
          <cell r="P915">
            <v>0</v>
          </cell>
          <cell r="Q915" t="str">
            <v>done</v>
          </cell>
          <cell r="R915">
            <v>46191</v>
          </cell>
          <cell r="S915" t="str">
            <v>TAFA</v>
          </cell>
          <cell r="T915" t="str">
            <v>NIKA KONTELISA</v>
          </cell>
          <cell r="U915" t="str">
            <v>K25518010T</v>
          </cell>
          <cell r="V915" t="str">
            <v>355 68 855 8026</v>
          </cell>
          <cell r="W915" t="str">
            <v>ALBANIA</v>
          </cell>
          <cell r="X915">
            <v>1502</v>
          </cell>
          <cell r="AB915">
            <v>1751</v>
          </cell>
          <cell r="AC915">
            <v>2143</v>
          </cell>
          <cell r="AD915">
            <v>1407</v>
          </cell>
          <cell r="AE915">
            <v>3550</v>
          </cell>
          <cell r="AF915">
            <v>3050</v>
          </cell>
        </row>
        <row r="916">
          <cell r="A916">
            <v>915</v>
          </cell>
          <cell r="B916">
            <v>46183</v>
          </cell>
          <cell r="C916" t="str">
            <v>AUDI R8</v>
          </cell>
          <cell r="D916" t="str">
            <v>AUDI</v>
          </cell>
          <cell r="E916" t="str">
            <v>R8</v>
          </cell>
          <cell r="G916" t="str">
            <v>282머1515</v>
          </cell>
          <cell r="H916" t="str">
            <v>WUAZZZFX6H7902339</v>
          </cell>
          <cell r="I916">
            <v>46183</v>
          </cell>
          <cell r="J916" t="str">
            <v>개인 매입- 최동민</v>
          </cell>
          <cell r="L916" t="str">
            <v>잔금</v>
          </cell>
          <cell r="M916" t="str">
            <v>100만원 회사통장 계약</v>
          </cell>
          <cell r="N916">
            <v>9650</v>
          </cell>
          <cell r="P916">
            <v>0</v>
          </cell>
          <cell r="Q916" t="str">
            <v>DONE</v>
          </cell>
          <cell r="R916">
            <v>46196</v>
          </cell>
          <cell r="S916" t="str">
            <v>AJ VIKINGS</v>
          </cell>
          <cell r="T916" t="str">
            <v>JOHANSEN WILLIAM DREYER</v>
          </cell>
          <cell r="U916" t="str">
            <v>CCC267969</v>
          </cell>
          <cell r="V916" t="str">
            <v>47 454 96 622</v>
          </cell>
          <cell r="W916" t="str">
            <v>Ramstadaasen 14, 1900 Fetsund , Norway</v>
          </cell>
          <cell r="X916">
            <v>1502</v>
          </cell>
          <cell r="AB916">
            <v>1734</v>
          </cell>
          <cell r="AC916">
            <v>54000</v>
          </cell>
          <cell r="AF916">
            <v>54000</v>
          </cell>
        </row>
        <row r="917">
          <cell r="A917">
            <v>916</v>
          </cell>
          <cell r="B917">
            <v>46184</v>
          </cell>
          <cell r="C917" t="str">
            <v>RENAULT CLIO</v>
          </cell>
          <cell r="D917" t="str">
            <v>RENAULT</v>
          </cell>
          <cell r="E917" t="str">
            <v>CLIO</v>
          </cell>
          <cell r="G917" t="str">
            <v>54무6903</v>
          </cell>
          <cell r="H917" t="str">
            <v>VF15RBJ0DJR445700</v>
          </cell>
          <cell r="I917">
            <v>59336</v>
          </cell>
          <cell r="J917" t="str">
            <v>경매장-헤이딜러</v>
          </cell>
          <cell r="L917" t="str">
            <v>잔금</v>
          </cell>
          <cell r="N917">
            <v>564</v>
          </cell>
          <cell r="O917">
            <v>53</v>
          </cell>
          <cell r="P917">
            <v>0</v>
          </cell>
          <cell r="Q917" t="str">
            <v>done</v>
          </cell>
          <cell r="R917">
            <v>46233</v>
          </cell>
          <cell r="S917" t="str">
            <v>AUTO SCOUT</v>
          </cell>
          <cell r="T917" t="str">
            <v>DONI</v>
          </cell>
          <cell r="U917">
            <v>933682</v>
          </cell>
          <cell r="V917" t="str">
            <v>3 8 3 4 9 3 2 5 7 0 3</v>
          </cell>
          <cell r="W917" t="str">
            <v xml:space="preserve"> HYZRI TALLA OB 16 HY 1 NR 18
 Kosovë</v>
          </cell>
          <cell r="X917">
            <v>1425</v>
          </cell>
          <cell r="AB917">
            <v>1633</v>
          </cell>
          <cell r="AC917">
            <v>3667</v>
          </cell>
          <cell r="AD917">
            <v>1693</v>
          </cell>
          <cell r="AE917">
            <v>5360</v>
          </cell>
        </row>
        <row r="918">
          <cell r="A918">
            <v>917</v>
          </cell>
          <cell r="B918">
            <v>46184</v>
          </cell>
          <cell r="C918" t="str">
            <v>HYUNDAI TUCSON</v>
          </cell>
          <cell r="D918" t="str">
            <v>HYUNDAI</v>
          </cell>
          <cell r="E918" t="str">
            <v>TUCSON</v>
          </cell>
          <cell r="G918" t="str">
            <v>07우8521</v>
          </cell>
          <cell r="H918" t="str">
            <v>KMHJ281ADJU539800</v>
          </cell>
          <cell r="I918">
            <v>46185</v>
          </cell>
          <cell r="J918" t="str">
            <v>㈜서울모터스</v>
          </cell>
          <cell r="L918" t="str">
            <v>잔금</v>
          </cell>
          <cell r="M918" t="str">
            <v>50만원 대표님 계약</v>
          </cell>
          <cell r="N918">
            <v>1130</v>
          </cell>
          <cell r="P918">
            <v>0</v>
          </cell>
          <cell r="Q918" t="str">
            <v>done</v>
          </cell>
          <cell r="R918">
            <v>46191</v>
          </cell>
          <cell r="S918" t="str">
            <v>VILLA KOHA</v>
          </cell>
          <cell r="T918" t="str">
            <v>VILLA KOHA SH.P.K</v>
          </cell>
          <cell r="U918">
            <v>810039588</v>
          </cell>
          <cell r="V918" t="str">
            <v>383 49247777</v>
          </cell>
          <cell r="W918" t="str">
            <v>KOSOVO</v>
          </cell>
          <cell r="X918">
            <v>1509</v>
          </cell>
          <cell r="AB918">
            <v>1741</v>
          </cell>
          <cell r="AC918">
            <v>6237</v>
          </cell>
          <cell r="AD918">
            <v>1508</v>
          </cell>
          <cell r="AE918">
            <v>7745</v>
          </cell>
          <cell r="AF918">
            <v>7745</v>
          </cell>
        </row>
        <row r="919">
          <cell r="A919">
            <v>918</v>
          </cell>
          <cell r="B919">
            <v>46184</v>
          </cell>
          <cell r="C919" t="str">
            <v>AUDI A4</v>
          </cell>
          <cell r="D919" t="str">
            <v>AUDI</v>
          </cell>
          <cell r="E919" t="str">
            <v>A4</v>
          </cell>
          <cell r="G919" t="str">
            <v>41라0856</v>
          </cell>
          <cell r="H919" t="str">
            <v>WAUZZZ8K5FA118469</v>
          </cell>
          <cell r="I919">
            <v>46185</v>
          </cell>
          <cell r="J919" t="str">
            <v>㈜유병욱</v>
          </cell>
          <cell r="L919" t="str">
            <v>잔금</v>
          </cell>
          <cell r="M919" t="str">
            <v>50만원 대표님 계약</v>
          </cell>
          <cell r="N919">
            <v>710</v>
          </cell>
          <cell r="P919">
            <v>0</v>
          </cell>
          <cell r="Q919" t="str">
            <v>done</v>
          </cell>
          <cell r="R919">
            <v>46203</v>
          </cell>
          <cell r="S919" t="str">
            <v>EASY DRIVE</v>
          </cell>
          <cell r="T919" t="str">
            <v>Easy Drive LTD</v>
          </cell>
          <cell r="U919">
            <v>206557008</v>
          </cell>
          <cell r="V919" t="str">
            <v>359 89 936 8386</v>
          </cell>
          <cell r="W919" t="str">
            <v>ul. Sokolna 47
1444 Sofia
Bulgaria</v>
          </cell>
          <cell r="X919">
            <v>1509</v>
          </cell>
          <cell r="AB919">
            <v>1731</v>
          </cell>
          <cell r="AC919">
            <v>7100000</v>
          </cell>
          <cell r="AD919">
            <v>4102</v>
          </cell>
          <cell r="AF919">
            <v>4102</v>
          </cell>
        </row>
        <row r="920">
          <cell r="A920">
            <v>919</v>
          </cell>
          <cell r="B920">
            <v>46184</v>
          </cell>
          <cell r="C920" t="str">
            <v>BENZ S500L</v>
          </cell>
          <cell r="D920" t="str">
            <v>BENZ</v>
          </cell>
          <cell r="E920" t="str">
            <v>S500L</v>
          </cell>
          <cell r="G920" t="str">
            <v>64부8350</v>
          </cell>
          <cell r="H920" t="str">
            <v>WDDNG7BB7AA354057</v>
          </cell>
          <cell r="I920">
            <v>46188</v>
          </cell>
          <cell r="J920" t="str">
            <v>㈜서진모터스</v>
          </cell>
          <cell r="L920" t="str">
            <v>잔금</v>
          </cell>
          <cell r="M920" t="str">
            <v>100만원</v>
          </cell>
          <cell r="N920">
            <v>1230</v>
          </cell>
          <cell r="P920">
            <v>0</v>
          </cell>
          <cell r="Q920" t="str">
            <v>done</v>
          </cell>
          <cell r="R920">
            <v>46203</v>
          </cell>
          <cell r="S920" t="str">
            <v>EASY DRIVE</v>
          </cell>
          <cell r="T920" t="str">
            <v>Easy Drive LTD</v>
          </cell>
          <cell r="U920">
            <v>206557008</v>
          </cell>
          <cell r="V920" t="str">
            <v>359 89 936 8386</v>
          </cell>
          <cell r="W920" t="str">
            <v>ul. Sokolna 47
1444 Sofia
Bulgaria</v>
          </cell>
          <cell r="X920">
            <v>1509</v>
          </cell>
          <cell r="AB920">
            <v>1741</v>
          </cell>
          <cell r="AC920">
            <v>11400000</v>
          </cell>
          <cell r="AD920">
            <v>6586</v>
          </cell>
          <cell r="AF920">
            <v>6586</v>
          </cell>
        </row>
        <row r="921">
          <cell r="A921">
            <v>920</v>
          </cell>
          <cell r="B921">
            <v>46184</v>
          </cell>
          <cell r="C921" t="str">
            <v>PEUGEOT 508</v>
          </cell>
          <cell r="D921" t="str">
            <v>PEUGEOT</v>
          </cell>
          <cell r="E921">
            <v>508</v>
          </cell>
          <cell r="G921" t="str">
            <v>339구8667</v>
          </cell>
          <cell r="H921" t="str">
            <v>VR3FHEHZRKY072314</v>
          </cell>
          <cell r="I921">
            <v>46185</v>
          </cell>
          <cell r="J921" t="str">
            <v>㈜드림디오토</v>
          </cell>
          <cell r="L921" t="str">
            <v>잔금</v>
          </cell>
          <cell r="M921" t="str">
            <v>50만원 대표님 계약</v>
          </cell>
          <cell r="N921">
            <v>1075</v>
          </cell>
          <cell r="P921">
            <v>0</v>
          </cell>
          <cell r="Q921" t="str">
            <v>done</v>
          </cell>
          <cell r="R921">
            <v>46191</v>
          </cell>
          <cell r="S921" t="str">
            <v>Auto Posh SH.P.K</v>
          </cell>
          <cell r="T921" t="str">
            <v>Auto Posh SH.P.K</v>
          </cell>
          <cell r="U921">
            <v>812219427</v>
          </cell>
          <cell r="V921" t="str">
            <v>38345560145</v>
          </cell>
          <cell r="W921" t="str">
            <v>KOSOVO</v>
          </cell>
          <cell r="X921">
            <v>1509</v>
          </cell>
          <cell r="AB921">
            <v>1741</v>
          </cell>
          <cell r="AC921">
            <v>6029</v>
          </cell>
          <cell r="AD921">
            <v>1421</v>
          </cell>
          <cell r="AE921">
            <v>7450</v>
          </cell>
        </row>
        <row r="922">
          <cell r="A922">
            <v>921</v>
          </cell>
          <cell r="B922">
            <v>46184</v>
          </cell>
          <cell r="C922" t="str">
            <v>AUDI A7</v>
          </cell>
          <cell r="D922" t="str">
            <v>AUDI</v>
          </cell>
          <cell r="E922" t="str">
            <v>A7</v>
          </cell>
          <cell r="G922" t="str">
            <v>156고3170</v>
          </cell>
          <cell r="H922" t="str">
            <v>WAUZZZ4G0EN089116</v>
          </cell>
          <cell r="I922">
            <v>46185</v>
          </cell>
          <cell r="J922" t="str">
            <v>㈜오토웨이</v>
          </cell>
          <cell r="L922" t="str">
            <v>잔금</v>
          </cell>
          <cell r="M922" t="str">
            <v>50만원 대표님 계약</v>
          </cell>
          <cell r="N922">
            <v>900</v>
          </cell>
          <cell r="P922">
            <v>0</v>
          </cell>
          <cell r="Q922" t="str">
            <v>done</v>
          </cell>
          <cell r="R922">
            <v>46191</v>
          </cell>
          <cell r="S922" t="str">
            <v>TAFA</v>
          </cell>
          <cell r="T922" t="str">
            <v>RROKAJ MARSILJO</v>
          </cell>
          <cell r="U922" t="str">
            <v>K40605082O</v>
          </cell>
          <cell r="V922" t="str">
            <v>355 68 855 8026</v>
          </cell>
          <cell r="W922" t="str">
            <v>ALBANIA</v>
          </cell>
          <cell r="X922">
            <v>1509</v>
          </cell>
          <cell r="AB922">
            <v>1741</v>
          </cell>
          <cell r="AC922">
            <v>5028</v>
          </cell>
          <cell r="AD922">
            <v>1422</v>
          </cell>
          <cell r="AE922">
            <v>6450</v>
          </cell>
          <cell r="AF922">
            <v>6000</v>
          </cell>
        </row>
        <row r="923">
          <cell r="A923">
            <v>922</v>
          </cell>
          <cell r="B923">
            <v>46184</v>
          </cell>
          <cell r="C923" t="str">
            <v>BENZ CLS450</v>
          </cell>
          <cell r="D923" t="str">
            <v>BENZ</v>
          </cell>
          <cell r="E923" t="str">
            <v>CLS450</v>
          </cell>
          <cell r="G923" t="str">
            <v>114마1731</v>
          </cell>
          <cell r="H923" t="str">
            <v>W1K2J5KB5MA091600</v>
          </cell>
          <cell r="I923">
            <v>46188</v>
          </cell>
          <cell r="J923" t="str">
            <v>㈜ 하이모터스</v>
          </cell>
          <cell r="L923" t="str">
            <v>잔금</v>
          </cell>
          <cell r="M923" t="str">
            <v>100만원 회사통장 계약</v>
          </cell>
          <cell r="N923">
            <v>3550</v>
          </cell>
          <cell r="P923">
            <v>0</v>
          </cell>
          <cell r="Q923" t="str">
            <v>done</v>
          </cell>
          <cell r="R923">
            <v>46195</v>
          </cell>
          <cell r="S923" t="str">
            <v>BURAK BARAN CARS</v>
          </cell>
          <cell r="T923" t="str">
            <v>BARAN BURAK</v>
          </cell>
          <cell r="U923" t="str">
            <v>C8CHJFFVN</v>
          </cell>
          <cell r="V923" t="str">
            <v>49 170 350 3544</v>
          </cell>
          <cell r="W923" t="str">
            <v>GERMANY</v>
          </cell>
          <cell r="X923">
            <v>1509</v>
          </cell>
          <cell r="AB923">
            <v>1741</v>
          </cell>
          <cell r="AC923" t="str">
            <v>34,017,800₩</v>
          </cell>
          <cell r="AE923" t="e">
            <v>#VALUE!</v>
          </cell>
          <cell r="AF923" t="str">
            <v>선수금 20만원</v>
          </cell>
        </row>
        <row r="924">
          <cell r="A924">
            <v>923</v>
          </cell>
          <cell r="B924">
            <v>46184</v>
          </cell>
          <cell r="C924" t="str">
            <v>RENAULT CLIO</v>
          </cell>
          <cell r="D924" t="str">
            <v>RENAULT</v>
          </cell>
          <cell r="E924" t="str">
            <v>CLIO</v>
          </cell>
          <cell r="G924" t="str">
            <v>154어4955</v>
          </cell>
          <cell r="H924" t="str">
            <v>VF1R98004KR943095</v>
          </cell>
          <cell r="I924">
            <v>46187</v>
          </cell>
          <cell r="J924" t="str">
            <v>경매장-헤이딜러</v>
          </cell>
          <cell r="L924" t="str">
            <v>잔금</v>
          </cell>
          <cell r="N924">
            <v>604</v>
          </cell>
          <cell r="O924">
            <v>33</v>
          </cell>
          <cell r="P924">
            <v>0</v>
          </cell>
          <cell r="Q924" t="str">
            <v>DONE</v>
          </cell>
          <cell r="R924">
            <v>46205</v>
          </cell>
          <cell r="S924" t="str">
            <v>DONI</v>
          </cell>
          <cell r="T924" t="str">
            <v>DONI</v>
          </cell>
          <cell r="U924">
            <v>933682</v>
          </cell>
          <cell r="V924" t="str">
            <v>3 8 3 4 9 3 2 5 7 0 3</v>
          </cell>
          <cell r="W924" t="str">
            <v xml:space="preserve"> HYZRI TALLA OB 16 HY 1 NR 18
 Kosovë</v>
          </cell>
          <cell r="X924">
            <v>1541</v>
          </cell>
          <cell r="AB924">
            <v>1753</v>
          </cell>
          <cell r="AC924">
            <v>3628</v>
          </cell>
          <cell r="AD924">
            <v>1442</v>
          </cell>
          <cell r="AE924">
            <v>5070</v>
          </cell>
        </row>
        <row r="925">
          <cell r="A925">
            <v>924</v>
          </cell>
          <cell r="B925">
            <v>46184</v>
          </cell>
          <cell r="C925" t="str">
            <v>BENZ SLK55 AMG</v>
          </cell>
          <cell r="D925" t="str">
            <v>BENZ</v>
          </cell>
          <cell r="E925" t="str">
            <v>SLK55 AMG</v>
          </cell>
          <cell r="G925" t="str">
            <v>43버3017</v>
          </cell>
          <cell r="H925" t="str">
            <v>WDDPK7FA1CF041455</v>
          </cell>
          <cell r="I925">
            <v>46191</v>
          </cell>
          <cell r="J925" t="str">
            <v>개인 매입- 문대근 010 6634 1858</v>
          </cell>
          <cell r="L925" t="str">
            <v>잔금</v>
          </cell>
          <cell r="M925" t="str">
            <v>300만원 회사통장 계약</v>
          </cell>
          <cell r="N925">
            <v>2470</v>
          </cell>
          <cell r="P925">
            <v>0</v>
          </cell>
          <cell r="Q925" t="str">
            <v>DONE</v>
          </cell>
          <cell r="R925" t="str">
            <v>CON 11</v>
          </cell>
          <cell r="S925" t="str">
            <v>DAX IMPORT</v>
          </cell>
          <cell r="T925" t="str">
            <v xml:space="preserve">Michael Karl  </v>
          </cell>
          <cell r="U925" t="str">
            <v>LF9N8WZ16</v>
          </cell>
          <cell r="V925" t="str">
            <v>‪+49 471 94189050‬</v>
          </cell>
          <cell r="W925" t="str">
            <v xml:space="preserve">Dorfstr,33C,(82024) Taufkirchen, Germany </v>
          </cell>
          <cell r="X925">
            <v>1505</v>
          </cell>
          <cell r="AB925">
            <v>1742</v>
          </cell>
          <cell r="AC925">
            <v>13720</v>
          </cell>
        </row>
        <row r="926">
          <cell r="A926">
            <v>925</v>
          </cell>
          <cell r="B926">
            <v>46185</v>
          </cell>
          <cell r="C926" t="str">
            <v>BENZ E220</v>
          </cell>
          <cell r="D926" t="str">
            <v>BENZ</v>
          </cell>
          <cell r="E926" t="str">
            <v>E220</v>
          </cell>
          <cell r="G926" t="str">
            <v>68다9325</v>
          </cell>
          <cell r="H926" t="str">
            <v>WDDHF0AB0FB130011</v>
          </cell>
          <cell r="I926">
            <v>46188</v>
          </cell>
          <cell r="J926" t="str">
            <v>㈜스마일 자동차</v>
          </cell>
          <cell r="L926" t="str">
            <v>잔금</v>
          </cell>
          <cell r="M926" t="str">
            <v>50만원 대표님 계약</v>
          </cell>
          <cell r="N926">
            <v>600</v>
          </cell>
          <cell r="P926">
            <v>0</v>
          </cell>
          <cell r="Q926" t="str">
            <v>done</v>
          </cell>
          <cell r="R926">
            <v>46191</v>
          </cell>
          <cell r="S926" t="str">
            <v>CALJA</v>
          </cell>
          <cell r="T926" t="str">
            <v>ERNESTO BULLARI</v>
          </cell>
          <cell r="U926" t="str">
            <v>K60726019Q</v>
          </cell>
          <cell r="V926" t="str">
            <v>355 69 550 5533</v>
          </cell>
          <cell r="W926" t="str">
            <v>Albania</v>
          </cell>
          <cell r="X926">
            <v>1505</v>
          </cell>
          <cell r="AB926">
            <v>1742</v>
          </cell>
          <cell r="AC926">
            <v>3433</v>
          </cell>
          <cell r="AD926">
            <v>1417</v>
          </cell>
          <cell r="AE926">
            <v>4850</v>
          </cell>
          <cell r="AF926">
            <v>5000</v>
          </cell>
        </row>
        <row r="927">
          <cell r="A927">
            <v>926</v>
          </cell>
          <cell r="B927">
            <v>46185</v>
          </cell>
          <cell r="C927" t="str">
            <v>KIA K5</v>
          </cell>
          <cell r="D927" t="str">
            <v>KIA</v>
          </cell>
          <cell r="E927" t="str">
            <v>K5</v>
          </cell>
          <cell r="G927" t="str">
            <v>248가4049</v>
          </cell>
          <cell r="H927" t="str">
            <v>KNAG341ABMA132758</v>
          </cell>
          <cell r="I927">
            <v>46192</v>
          </cell>
          <cell r="J927" t="str">
            <v>WDDHF0AB0FB130011</v>
          </cell>
          <cell r="L927" t="str">
            <v>잔금</v>
          </cell>
          <cell r="M927" t="str">
            <v>70만원 대표님 계약</v>
          </cell>
          <cell r="N927">
            <v>2000</v>
          </cell>
          <cell r="P927">
            <v>0</v>
          </cell>
          <cell r="Q927" t="str">
            <v>done</v>
          </cell>
          <cell r="R927">
            <v>46203</v>
          </cell>
          <cell r="S927" t="str">
            <v>EASY DRIVE 🇧🇬</v>
          </cell>
          <cell r="T927" t="str">
            <v>Easy Drive LTD</v>
          </cell>
          <cell r="U927">
            <v>206557008</v>
          </cell>
          <cell r="V927" t="str">
            <v>359 89 936 8386</v>
          </cell>
          <cell r="W927" t="str">
            <v>ul. Sokolna 47
1444 Sofia
Bulgaria</v>
          </cell>
          <cell r="X927">
            <v>1505</v>
          </cell>
          <cell r="AB927">
            <v>1742</v>
          </cell>
          <cell r="AC927">
            <v>19199800</v>
          </cell>
          <cell r="AE927">
            <v>4850</v>
          </cell>
        </row>
        <row r="928">
          <cell r="A928">
            <v>927</v>
          </cell>
          <cell r="B928">
            <v>46185</v>
          </cell>
          <cell r="C928" t="str">
            <v>HYUNDAI TUCSON</v>
          </cell>
          <cell r="D928" t="str">
            <v>HYUNDAI</v>
          </cell>
          <cell r="E928" t="str">
            <v>TUCSON</v>
          </cell>
          <cell r="G928" t="str">
            <v>26보0794</v>
          </cell>
          <cell r="H928" t="str">
            <v>KMHJ581ABHU216041</v>
          </cell>
          <cell r="I928">
            <v>46188</v>
          </cell>
          <cell r="J928" t="str">
            <v>㈜스마일 자동차</v>
          </cell>
          <cell r="L928" t="str">
            <v>잔금</v>
          </cell>
          <cell r="M928" t="str">
            <v>50만원 대표님 계약</v>
          </cell>
          <cell r="N928">
            <v>1160</v>
          </cell>
          <cell r="P928">
            <v>0</v>
          </cell>
          <cell r="Q928" t="str">
            <v>done</v>
          </cell>
          <cell r="R928">
            <v>46191</v>
          </cell>
          <cell r="S928" t="str">
            <v>CALJA</v>
          </cell>
          <cell r="T928" t="str">
            <v>MALO KEVI</v>
          </cell>
          <cell r="U928" t="str">
            <v>K40903040P</v>
          </cell>
          <cell r="V928" t="str">
            <v>355 69 550 5533</v>
          </cell>
          <cell r="W928" t="str">
            <v>Albania</v>
          </cell>
          <cell r="X928">
            <v>1505</v>
          </cell>
          <cell r="AB928">
            <v>1742</v>
          </cell>
          <cell r="AC928">
            <v>6397</v>
          </cell>
          <cell r="AD928">
            <v>1503</v>
          </cell>
          <cell r="AE928">
            <v>7900</v>
          </cell>
          <cell r="AF928">
            <v>8100</v>
          </cell>
        </row>
        <row r="929">
          <cell r="A929">
            <v>928</v>
          </cell>
          <cell r="B929">
            <v>46185</v>
          </cell>
          <cell r="C929" t="str">
            <v>AUDI A6</v>
          </cell>
          <cell r="D929" t="str">
            <v>AUDI</v>
          </cell>
          <cell r="E929" t="str">
            <v>A6</v>
          </cell>
          <cell r="G929" t="str">
            <v>68루7640</v>
          </cell>
          <cell r="H929" t="str">
            <v>WAUZZZ4GXJN072544</v>
          </cell>
          <cell r="I929">
            <v>46188</v>
          </cell>
          <cell r="J929" t="str">
            <v>㈜플랜오토</v>
          </cell>
          <cell r="L929" t="str">
            <v>잔금</v>
          </cell>
          <cell r="M929" t="str">
            <v>70만원 대표님 계약</v>
          </cell>
          <cell r="N929">
            <v>1550</v>
          </cell>
          <cell r="P929">
            <v>0</v>
          </cell>
          <cell r="Q929" t="str">
            <v>done</v>
          </cell>
          <cell r="R929">
            <v>46191</v>
          </cell>
          <cell r="S929" t="str">
            <v>DONI</v>
          </cell>
          <cell r="T929" t="str">
            <v>DONI</v>
          </cell>
          <cell r="U929">
            <v>933682</v>
          </cell>
          <cell r="V929" t="str">
            <v>3 8 3 4 9 3 2 5 7 0 3</v>
          </cell>
          <cell r="W929" t="str">
            <v xml:space="preserve"> HYZRI TALLA OB 16 HY 1 NR 18
 Kosovë</v>
          </cell>
          <cell r="X929">
            <v>1505</v>
          </cell>
          <cell r="AB929">
            <v>1742</v>
          </cell>
          <cell r="AC929">
            <v>8203</v>
          </cell>
          <cell r="AD929">
            <v>1417</v>
          </cell>
          <cell r="AE929">
            <v>9620</v>
          </cell>
        </row>
        <row r="930">
          <cell r="A930">
            <v>929</v>
          </cell>
          <cell r="B930">
            <v>46185</v>
          </cell>
          <cell r="C930" t="str">
            <v>AUDI Q8</v>
          </cell>
          <cell r="D930" t="str">
            <v>AUDI</v>
          </cell>
          <cell r="E930" t="str">
            <v>Q8</v>
          </cell>
          <cell r="G930" t="str">
            <v>103주9197</v>
          </cell>
          <cell r="H930" t="str">
            <v>WAUZZZF17MD002003</v>
          </cell>
          <cell r="I930">
            <v>46188</v>
          </cell>
          <cell r="J930" t="str">
            <v>㈜최강모터스</v>
          </cell>
          <cell r="L930" t="str">
            <v>잔금</v>
          </cell>
          <cell r="M930" t="str">
            <v>100만원 대표님 계약</v>
          </cell>
          <cell r="N930">
            <v>6120</v>
          </cell>
          <cell r="P930">
            <v>0</v>
          </cell>
          <cell r="Q930" t="str">
            <v>done</v>
          </cell>
          <cell r="R930">
            <v>46192</v>
          </cell>
          <cell r="S930" t="str">
            <v>CALJA</v>
          </cell>
          <cell r="T930" t="str">
            <v>CAKRAJ GANIMETE</v>
          </cell>
          <cell r="U930" t="str">
            <v>J15601051R</v>
          </cell>
          <cell r="V930" t="str">
            <v>355 69 550 5533</v>
          </cell>
          <cell r="W930" t="str">
            <v>Albania</v>
          </cell>
          <cell r="X930">
            <v>1505</v>
          </cell>
          <cell r="AB930">
            <v>1742</v>
          </cell>
          <cell r="AC930">
            <v>32810</v>
          </cell>
          <cell r="AD930">
            <v>1590</v>
          </cell>
          <cell r="AE930">
            <v>34400</v>
          </cell>
          <cell r="AF930">
            <v>16500</v>
          </cell>
        </row>
        <row r="931">
          <cell r="A931">
            <v>930</v>
          </cell>
          <cell r="B931">
            <v>46186</v>
          </cell>
          <cell r="C931" t="str">
            <v>HYUNDAI TUCSON</v>
          </cell>
          <cell r="D931" t="str">
            <v>HYUNDAI</v>
          </cell>
          <cell r="E931" t="str">
            <v>TUCSON</v>
          </cell>
          <cell r="G931" t="str">
            <v>101부1909</v>
          </cell>
          <cell r="H931" t="str">
            <v>KMHJC81BGRU380035</v>
          </cell>
          <cell r="I931">
            <v>46191</v>
          </cell>
          <cell r="L931" t="str">
            <v>잔금</v>
          </cell>
          <cell r="M931" t="str">
            <v>50만원 회사통장 계약</v>
          </cell>
          <cell r="N931">
            <v>2570</v>
          </cell>
          <cell r="P931">
            <v>0</v>
          </cell>
          <cell r="Q931" t="str">
            <v>done</v>
          </cell>
          <cell r="R931">
            <v>46203</v>
          </cell>
          <cell r="S931" t="str">
            <v>EASY DRIVE 🇧🇬</v>
          </cell>
          <cell r="T931" t="str">
            <v>Easy Drive LTD</v>
          </cell>
          <cell r="U931">
            <v>206557008</v>
          </cell>
          <cell r="V931" t="str">
            <v>359 89 936 8386</v>
          </cell>
          <cell r="W931" t="str">
            <v>ul. Sokolna 47
1444 Sofia
Bulgaria</v>
          </cell>
          <cell r="X931">
            <v>1505</v>
          </cell>
          <cell r="AB931">
            <v>1742</v>
          </cell>
          <cell r="AC931">
            <v>24658800</v>
          </cell>
        </row>
        <row r="932">
          <cell r="A932">
            <v>931</v>
          </cell>
          <cell r="B932">
            <v>46186</v>
          </cell>
          <cell r="C932" t="str">
            <v xml:space="preserve">VOLVO V60CCD4 </v>
          </cell>
          <cell r="D932" t="str">
            <v>VOLVO</v>
          </cell>
          <cell r="E932" t="str">
            <v xml:space="preserve">V60CCD4 </v>
          </cell>
          <cell r="G932" t="str">
            <v>29마0712</v>
          </cell>
          <cell r="H932" t="str">
            <v>YV1FZA5B6G1011878</v>
          </cell>
          <cell r="I932">
            <v>46188</v>
          </cell>
          <cell r="J932" t="str">
            <v>㈜성실모터스</v>
          </cell>
          <cell r="L932" t="str">
            <v>잔금</v>
          </cell>
          <cell r="M932" t="str">
            <v>50만원 회사통장 계약</v>
          </cell>
          <cell r="N932">
            <v>1510</v>
          </cell>
          <cell r="P932">
            <v>0</v>
          </cell>
          <cell r="Q932" t="str">
            <v>done</v>
          </cell>
          <cell r="R932">
            <v>46203</v>
          </cell>
          <cell r="S932" t="str">
            <v>EASY DRIVE 🇧🇬</v>
          </cell>
          <cell r="T932" t="str">
            <v>Easy Drive LTD</v>
          </cell>
          <cell r="U932">
            <v>206557008</v>
          </cell>
          <cell r="V932" t="str">
            <v>359 89 936 8386</v>
          </cell>
          <cell r="W932" t="str">
            <v>ul. Sokolna 47
1444 Sofia
Bulgaria</v>
          </cell>
          <cell r="X932">
            <v>1505</v>
          </cell>
          <cell r="AB932">
            <v>1731</v>
          </cell>
          <cell r="AC932">
            <v>14535800</v>
          </cell>
          <cell r="AD932">
            <v>8397</v>
          </cell>
          <cell r="AF932">
            <v>8397</v>
          </cell>
        </row>
        <row r="933">
          <cell r="A933">
            <v>932</v>
          </cell>
          <cell r="B933">
            <v>46186</v>
          </cell>
          <cell r="C933" t="str">
            <v>BMW M3</v>
          </cell>
          <cell r="D933" t="str">
            <v>BMW</v>
          </cell>
          <cell r="E933" t="str">
            <v>M3</v>
          </cell>
          <cell r="G933" t="str">
            <v>328라9365</v>
          </cell>
          <cell r="H933" t="str">
            <v>WBS8M910XG5F93918</v>
          </cell>
          <cell r="I933">
            <v>46192</v>
          </cell>
          <cell r="J933" t="str">
            <v>㈜바른모터스</v>
          </cell>
          <cell r="L933" t="str">
            <v>잔금</v>
          </cell>
          <cell r="M933" t="str">
            <v>100만원 대표님 계약</v>
          </cell>
          <cell r="N933">
            <v>3950</v>
          </cell>
          <cell r="P933">
            <v>0</v>
          </cell>
          <cell r="Q933" t="str">
            <v>DONE</v>
          </cell>
          <cell r="R933">
            <v>46203</v>
          </cell>
          <cell r="S933" t="str">
            <v>DAX IMPORT</v>
          </cell>
          <cell r="T933" t="str">
            <v xml:space="preserve">Michael Karl  </v>
          </cell>
          <cell r="U933" t="str">
            <v>LF9N8WZ16</v>
          </cell>
          <cell r="V933" t="str">
            <v>‪+49 471 94189050‬</v>
          </cell>
          <cell r="W933" t="str">
            <v xml:space="preserve">Dorfstr,33C,(82024) Taufkirchen, Germany </v>
          </cell>
          <cell r="X933">
            <v>1505</v>
          </cell>
          <cell r="AB933">
            <v>1742</v>
          </cell>
          <cell r="AC933">
            <v>21670</v>
          </cell>
        </row>
        <row r="934">
          <cell r="A934">
            <v>933</v>
          </cell>
          <cell r="B934">
            <v>46186</v>
          </cell>
          <cell r="C934" t="str">
            <v>BMW X3</v>
          </cell>
          <cell r="D934" t="str">
            <v>BMW</v>
          </cell>
          <cell r="E934" t="str">
            <v>X3</v>
          </cell>
          <cell r="G934" t="str">
            <v>16가0112</v>
          </cell>
          <cell r="H934" t="str">
            <v>WBAWZ5107G0M29574</v>
          </cell>
          <cell r="I934">
            <v>46174</v>
          </cell>
          <cell r="J934" t="str">
            <v>경매장-헤이딜러</v>
          </cell>
          <cell r="L934" t="str">
            <v>잔금</v>
          </cell>
          <cell r="P934">
            <v>0</v>
          </cell>
          <cell r="Q934" t="str">
            <v>done</v>
          </cell>
          <cell r="R934" t="str">
            <v>28/08/2026</v>
          </cell>
          <cell r="S934" t="str">
            <v>DONI</v>
          </cell>
          <cell r="T934" t="str">
            <v>DONI</v>
          </cell>
          <cell r="U934">
            <v>933682</v>
          </cell>
          <cell r="V934" t="str">
            <v>3 8 3 4 9 3 2 5 7 0 3</v>
          </cell>
          <cell r="W934" t="str">
            <v xml:space="preserve"> HYZRI TALLA OB 16 HY 1 NR 18
 Kosovë</v>
          </cell>
          <cell r="X934">
            <v>1505</v>
          </cell>
          <cell r="AB934">
            <v>1742</v>
          </cell>
          <cell r="AC934">
            <v>0</v>
          </cell>
        </row>
        <row r="935">
          <cell r="A935">
            <v>934</v>
          </cell>
          <cell r="B935">
            <v>46186</v>
          </cell>
          <cell r="C935" t="str">
            <v>AUDI A6</v>
          </cell>
          <cell r="D935" t="str">
            <v>AUDI</v>
          </cell>
          <cell r="E935" t="str">
            <v>A6</v>
          </cell>
          <cell r="G935" t="str">
            <v>305버4566</v>
          </cell>
          <cell r="H935" t="str">
            <v>WAUZZZ4G6GN180345</v>
          </cell>
          <cell r="I935">
            <v>46188</v>
          </cell>
          <cell r="J935" t="str">
            <v>㈜레인보우</v>
          </cell>
          <cell r="L935" t="str">
            <v>잔금</v>
          </cell>
          <cell r="M935" t="str">
            <v>50만원 대표님 계약</v>
          </cell>
          <cell r="N935">
            <v>1240</v>
          </cell>
          <cell r="P935">
            <v>0</v>
          </cell>
          <cell r="Q935" t="str">
            <v>done</v>
          </cell>
          <cell r="R935">
            <v>46191</v>
          </cell>
          <cell r="S935" t="str">
            <v>Auto Posh SH.P.K</v>
          </cell>
          <cell r="T935" t="str">
            <v>Auto Posh SH.P.K</v>
          </cell>
          <cell r="U935">
            <v>812219427</v>
          </cell>
          <cell r="V935" t="str">
            <v>38345560145</v>
          </cell>
          <cell r="W935" t="str">
            <v>KOSOVO</v>
          </cell>
          <cell r="X935">
            <v>1505</v>
          </cell>
          <cell r="AB935">
            <v>1742</v>
          </cell>
          <cell r="AC935">
            <v>6783</v>
          </cell>
          <cell r="AD935">
            <v>1417</v>
          </cell>
          <cell r="AE935">
            <v>8200</v>
          </cell>
        </row>
        <row r="936">
          <cell r="A936">
            <v>935</v>
          </cell>
          <cell r="B936">
            <v>46188</v>
          </cell>
          <cell r="C936" t="str">
            <v>Mercedes AMG A45 4Matic</v>
          </cell>
          <cell r="D936" t="str">
            <v>Mercedes</v>
          </cell>
          <cell r="E936" t="str">
            <v>AMG A45 4Matic</v>
          </cell>
          <cell r="G936" t="str">
            <v>09서0795</v>
          </cell>
          <cell r="H936" t="str">
            <v>WDDBF5CB3GJ477906</v>
          </cell>
          <cell r="I936">
            <v>46190</v>
          </cell>
          <cell r="J936" t="str">
            <v>㈜카컴퍼니</v>
          </cell>
          <cell r="L936" t="str">
            <v>잔금</v>
          </cell>
          <cell r="M936" t="str">
            <v>50만원 회사통장 계약</v>
          </cell>
          <cell r="N936">
            <v>1810</v>
          </cell>
          <cell r="P936">
            <v>0</v>
          </cell>
          <cell r="Q936" t="str">
            <v>done</v>
          </cell>
          <cell r="R936">
            <v>46192</v>
          </cell>
          <cell r="S936" t="str">
            <v>BEN</v>
          </cell>
          <cell r="T936" t="str">
            <v>Evo Prestige &amp; Classic Cars</v>
          </cell>
          <cell r="U936" t="str">
            <v>945.390.052.00013</v>
          </cell>
          <cell r="V936" t="str">
            <v xml:space="preserve"> 33 649 5005 94</v>
          </cell>
          <cell r="W936" t="str">
            <v>2 rue de le ferronnerie 
43000 Polignac</v>
          </cell>
          <cell r="X936">
            <v>1505</v>
          </cell>
          <cell r="AB936">
            <v>1742</v>
          </cell>
          <cell r="AC936">
            <v>10050</v>
          </cell>
          <cell r="AD936">
            <v>1550</v>
          </cell>
          <cell r="AF936">
            <v>11600</v>
          </cell>
        </row>
        <row r="937">
          <cell r="A937">
            <v>936</v>
          </cell>
          <cell r="B937">
            <v>46188</v>
          </cell>
          <cell r="C937" t="str">
            <v>HYUNDAI I30</v>
          </cell>
          <cell r="D937" t="str">
            <v>HYUNDAI</v>
          </cell>
          <cell r="E937" t="str">
            <v>I30</v>
          </cell>
          <cell r="G937" t="str">
            <v>110너2815</v>
          </cell>
          <cell r="H937" t="str">
            <v>KMHD251UBEU177938</v>
          </cell>
          <cell r="I937">
            <v>46188</v>
          </cell>
          <cell r="J937" t="str">
            <v>㈜제이지</v>
          </cell>
          <cell r="L937" t="str">
            <v>잔금</v>
          </cell>
          <cell r="N937">
            <v>520</v>
          </cell>
          <cell r="P937">
            <v>0</v>
          </cell>
          <cell r="Q937" t="str">
            <v>done</v>
          </cell>
          <cell r="R937">
            <v>46191</v>
          </cell>
          <cell r="S937" t="str">
            <v xml:space="preserve">EUROAUTO.AL </v>
          </cell>
          <cell r="T937" t="str">
            <v>Erion Gjergji</v>
          </cell>
          <cell r="U937" t="str">
            <v>I90516099R</v>
          </cell>
          <cell r="V937" t="str">
            <v>49 163 6979 099</v>
          </cell>
          <cell r="W937" t="str">
            <v>Albania</v>
          </cell>
          <cell r="X937">
            <v>1505</v>
          </cell>
          <cell r="AB937">
            <v>1742</v>
          </cell>
          <cell r="AC937">
            <v>3043</v>
          </cell>
          <cell r="AD937">
            <v>1417</v>
          </cell>
          <cell r="AE937">
            <v>4460</v>
          </cell>
          <cell r="AF937">
            <v>4460</v>
          </cell>
        </row>
        <row r="938">
          <cell r="A938">
            <v>937</v>
          </cell>
          <cell r="B938">
            <v>46189</v>
          </cell>
          <cell r="C938" t="str">
            <v>BMW 320d</v>
          </cell>
          <cell r="D938" t="str">
            <v>BMW</v>
          </cell>
          <cell r="E938" t="str">
            <v>320d</v>
          </cell>
          <cell r="G938" t="str">
            <v>27머6661</v>
          </cell>
          <cell r="H938" t="str">
            <v>WBA8C5109JA075438</v>
          </cell>
          <cell r="I938">
            <v>46188</v>
          </cell>
          <cell r="J938" t="str">
            <v>㈜더월드모터스</v>
          </cell>
          <cell r="L938" t="str">
            <v>잔금</v>
          </cell>
          <cell r="M938" t="str">
            <v>70만원 대표님 계약</v>
          </cell>
          <cell r="N938">
            <v>1970</v>
          </cell>
          <cell r="P938">
            <v>0</v>
          </cell>
          <cell r="Q938" t="str">
            <v>done</v>
          </cell>
          <cell r="R938">
            <v>46191</v>
          </cell>
          <cell r="S938" t="str">
            <v>AUTO SCOUT</v>
          </cell>
          <cell r="T938" t="str">
            <v>DONI</v>
          </cell>
          <cell r="U938">
            <v>933682</v>
          </cell>
          <cell r="V938" t="str">
            <v>3 8 3 4 9 3 2 5 7 0 3</v>
          </cell>
          <cell r="W938" t="str">
            <v xml:space="preserve"> HYZRI TALLA OB 16 HY 1 NR 18
 Kosovë</v>
          </cell>
          <cell r="X938">
            <v>1502</v>
          </cell>
          <cell r="AB938">
            <v>1741</v>
          </cell>
          <cell r="AC938">
            <v>10795</v>
          </cell>
          <cell r="AD938">
            <v>1415</v>
          </cell>
          <cell r="AE938">
            <v>12210</v>
          </cell>
        </row>
        <row r="939">
          <cell r="A939">
            <v>938</v>
          </cell>
          <cell r="B939">
            <v>46189</v>
          </cell>
          <cell r="C939" t="str">
            <v>VOLKSWAGENS PASSAT</v>
          </cell>
          <cell r="D939" t="str">
            <v>VOLKSWAGENS</v>
          </cell>
          <cell r="E939" t="str">
            <v>PASSAT</v>
          </cell>
          <cell r="G939" t="str">
            <v>160보1397</v>
          </cell>
          <cell r="H939" t="str">
            <v>WVWZZZ3CZNE031263</v>
          </cell>
          <cell r="J939" t="str">
            <v>㈜지온컴퍼니</v>
          </cell>
          <cell r="L939" t="str">
            <v>취소</v>
          </cell>
          <cell r="M939" t="str">
            <v>50만원 회사통장 계약</v>
          </cell>
          <cell r="N939">
            <v>2320</v>
          </cell>
          <cell r="P939">
            <v>0</v>
          </cell>
          <cell r="Q939" t="str">
            <v>취소</v>
          </cell>
          <cell r="S939" t="str">
            <v>VENTA CARS KOSOVO</v>
          </cell>
          <cell r="T939" t="str">
            <v>Venta Cars</v>
          </cell>
          <cell r="V939" t="str">
            <v>383 49135397</v>
          </cell>
          <cell r="W939" t="str">
            <v>Kosovo</v>
          </cell>
          <cell r="X939">
            <v>1502</v>
          </cell>
          <cell r="AB939">
            <v>1741</v>
          </cell>
          <cell r="AC939">
            <v>12755</v>
          </cell>
          <cell r="AD939">
            <v>1415</v>
          </cell>
          <cell r="AE939">
            <v>14170</v>
          </cell>
          <cell r="AF939">
            <v>14170</v>
          </cell>
        </row>
        <row r="940">
          <cell r="A940">
            <v>939</v>
          </cell>
          <cell r="B940">
            <v>46189</v>
          </cell>
          <cell r="C940" t="str">
            <v>VOLKSWAGENS ARTEON</v>
          </cell>
          <cell r="D940" t="str">
            <v>VOLKSWAGENS</v>
          </cell>
          <cell r="E940" t="str">
            <v>ARTEON</v>
          </cell>
          <cell r="G940" t="str">
            <v>310더4829</v>
          </cell>
          <cell r="H940" t="str">
            <v>WVWZZZ3HZKE014635</v>
          </cell>
          <cell r="J940" t="str">
            <v>㈜ 대곡자동차매매상사</v>
          </cell>
          <cell r="L940" t="str">
            <v>취소</v>
          </cell>
          <cell r="M940" t="str">
            <v>50만원 회사통장 계약</v>
          </cell>
          <cell r="N940">
            <v>1700</v>
          </cell>
          <cell r="P940">
            <v>0</v>
          </cell>
          <cell r="Q940" t="str">
            <v>취소</v>
          </cell>
          <cell r="S940" t="str">
            <v>VENTA CARS KOSOVO</v>
          </cell>
          <cell r="T940" t="str">
            <v>Venta Cars</v>
          </cell>
          <cell r="V940" t="str">
            <v>383 49135397</v>
          </cell>
          <cell r="W940" t="str">
            <v>Kosovo</v>
          </cell>
          <cell r="X940">
            <v>1502</v>
          </cell>
          <cell r="AB940">
            <v>1741</v>
          </cell>
          <cell r="AC940">
            <v>9299</v>
          </cell>
          <cell r="AD940">
            <v>1501</v>
          </cell>
          <cell r="AE940">
            <v>10800</v>
          </cell>
          <cell r="AF940">
            <v>10800</v>
          </cell>
        </row>
        <row r="941">
          <cell r="A941">
            <v>940</v>
          </cell>
          <cell r="B941">
            <v>46189</v>
          </cell>
          <cell r="C941" t="str">
            <v>VOLKSWAGENS ARTEON</v>
          </cell>
          <cell r="D941" t="str">
            <v>VOLKSWAGENS</v>
          </cell>
          <cell r="E941" t="str">
            <v>ARTEON</v>
          </cell>
          <cell r="G941" t="str">
            <v>391두7094</v>
          </cell>
          <cell r="H941" t="str">
            <v>WVWZZZ3HZPE005256</v>
          </cell>
          <cell r="J941" t="str">
            <v>㈜ 모던카</v>
          </cell>
          <cell r="L941" t="str">
            <v>취소</v>
          </cell>
          <cell r="M941" t="str">
            <v>50만원 회사통장 계약</v>
          </cell>
          <cell r="N941">
            <v>2600</v>
          </cell>
          <cell r="P941">
            <v>0</v>
          </cell>
          <cell r="Q941" t="str">
            <v>취소</v>
          </cell>
          <cell r="S941" t="str">
            <v>VENTA CARS KOSOVO</v>
          </cell>
          <cell r="T941" t="str">
            <v>Venta Cars</v>
          </cell>
          <cell r="V941" t="str">
            <v>383 49135397</v>
          </cell>
          <cell r="W941" t="str">
            <v>Kosovo</v>
          </cell>
          <cell r="X941">
            <v>1502</v>
          </cell>
          <cell r="AB941">
            <v>1741</v>
          </cell>
          <cell r="AC941">
            <v>14199</v>
          </cell>
          <cell r="AD941">
            <v>1501</v>
          </cell>
          <cell r="AE941">
            <v>15700</v>
          </cell>
          <cell r="AF941">
            <v>15700</v>
          </cell>
        </row>
        <row r="942">
          <cell r="A942">
            <v>941</v>
          </cell>
          <cell r="B942">
            <v>46189</v>
          </cell>
          <cell r="C942" t="str">
            <v>RENAULT QM6</v>
          </cell>
          <cell r="D942" t="str">
            <v>RENAULT</v>
          </cell>
          <cell r="E942" t="str">
            <v>QM6</v>
          </cell>
          <cell r="G942" t="str">
            <v>14라9196</v>
          </cell>
          <cell r="H942" t="str">
            <v>KNME5C2M2HP016647</v>
          </cell>
          <cell r="I942">
            <v>46190</v>
          </cell>
          <cell r="J942" t="str">
            <v>㈜오토웨이</v>
          </cell>
          <cell r="L942" t="str">
            <v>잔금</v>
          </cell>
          <cell r="M942" t="str">
            <v>50만원 대표님 계약</v>
          </cell>
          <cell r="N942">
            <v>844</v>
          </cell>
          <cell r="P942">
            <v>0</v>
          </cell>
          <cell r="Q942" t="str">
            <v>done</v>
          </cell>
          <cell r="R942">
            <v>46192</v>
          </cell>
          <cell r="S942" t="str">
            <v>R.S.h L.L.C.</v>
          </cell>
          <cell r="T942" t="str">
            <v>R.Sh L.L.C.</v>
          </cell>
          <cell r="U942">
            <v>812326016</v>
          </cell>
          <cell r="V942" t="str">
            <v>+383486 611 61</v>
          </cell>
          <cell r="W942" t="str">
            <v>Kosovo</v>
          </cell>
          <cell r="X942">
            <v>1502</v>
          </cell>
          <cell r="AB942">
            <v>1741</v>
          </cell>
          <cell r="AC942">
            <v>4779</v>
          </cell>
          <cell r="AD942">
            <v>1501</v>
          </cell>
          <cell r="AE942">
            <v>6280</v>
          </cell>
        </row>
        <row r="943">
          <cell r="A943">
            <v>942</v>
          </cell>
          <cell r="B943">
            <v>46189</v>
          </cell>
          <cell r="C943" t="str">
            <v>AUDI Q7</v>
          </cell>
          <cell r="D943" t="str">
            <v>AUDI</v>
          </cell>
          <cell r="E943" t="str">
            <v>Q7</v>
          </cell>
          <cell r="G943" t="str">
            <v>357나7700</v>
          </cell>
          <cell r="H943" t="str">
            <v>WAUZZZ4M0LD019561</v>
          </cell>
          <cell r="I943">
            <v>46197</v>
          </cell>
          <cell r="J943" t="str">
            <v>㈜ 나이스카</v>
          </cell>
          <cell r="L943" t="str">
            <v>잔금</v>
          </cell>
          <cell r="M943" t="str">
            <v>100만원 대표님 계약</v>
          </cell>
          <cell r="N943">
            <v>4046</v>
          </cell>
          <cell r="O943">
            <v>44</v>
          </cell>
          <cell r="P943">
            <v>0</v>
          </cell>
          <cell r="Q943" t="str">
            <v>done</v>
          </cell>
          <cell r="R943">
            <v>46206</v>
          </cell>
          <cell r="S943" t="str">
            <v>TAFA</v>
          </cell>
          <cell r="T943" t="str">
            <v>MECAJ KRESHNIK</v>
          </cell>
          <cell r="U943" t="str">
            <v>I80921021J</v>
          </cell>
          <cell r="V943" t="str">
            <v>355 68 855 8026</v>
          </cell>
          <cell r="W943" t="str">
            <v>ALBANIA</v>
          </cell>
          <cell r="X943">
            <v>1502</v>
          </cell>
          <cell r="AB943">
            <v>1741</v>
          </cell>
          <cell r="AC943">
            <v>22413</v>
          </cell>
          <cell r="AD943">
            <v>1587</v>
          </cell>
          <cell r="AE943">
            <v>24000</v>
          </cell>
          <cell r="AF943">
            <v>7000</v>
          </cell>
        </row>
        <row r="944">
          <cell r="A944">
            <v>943</v>
          </cell>
          <cell r="B944">
            <v>46190</v>
          </cell>
          <cell r="C944" t="str">
            <v>VOLKSWAGEN Golf 2.0</v>
          </cell>
          <cell r="D944" t="str">
            <v>VOLKSWAGEN</v>
          </cell>
          <cell r="E944" t="str">
            <v>Golf 2.0</v>
          </cell>
          <cell r="G944" t="str">
            <v>390거6416</v>
          </cell>
          <cell r="H944" t="str">
            <v>WVWZZZCDZNW127681</v>
          </cell>
          <cell r="I944">
            <v>46190</v>
          </cell>
          <cell r="J944" t="str">
            <v>㈜오토핸즈</v>
          </cell>
          <cell r="L944" t="str">
            <v>잔금</v>
          </cell>
          <cell r="M944" t="str">
            <v>바로 잔금</v>
          </cell>
          <cell r="N944">
            <v>2210</v>
          </cell>
          <cell r="P944">
            <v>0</v>
          </cell>
          <cell r="Q944" t="str">
            <v>done</v>
          </cell>
          <cell r="R944">
            <v>46191</v>
          </cell>
          <cell r="S944" t="str">
            <v>AUTO SCOUT</v>
          </cell>
          <cell r="T944" t="str">
            <v>DONI</v>
          </cell>
          <cell r="U944">
            <v>933682</v>
          </cell>
          <cell r="V944" t="str">
            <v>3 8 3 4 9 3 2 5 7 0 3</v>
          </cell>
          <cell r="W944" t="str">
            <v xml:space="preserve"> HYZRI TALLA OB 16 HY 1 NR 18
 Kosovë</v>
          </cell>
          <cell r="X944">
            <v>1495</v>
          </cell>
          <cell r="AB944">
            <v>1737</v>
          </cell>
          <cell r="AC944">
            <v>12169</v>
          </cell>
          <cell r="AD944">
            <v>1411</v>
          </cell>
          <cell r="AE944">
            <v>13580</v>
          </cell>
        </row>
        <row r="945">
          <cell r="A945">
            <v>944</v>
          </cell>
          <cell r="B945">
            <v>46190</v>
          </cell>
          <cell r="C945" t="str">
            <v>BMW M3</v>
          </cell>
          <cell r="D945" t="str">
            <v>BMW</v>
          </cell>
          <cell r="E945" t="str">
            <v>M3</v>
          </cell>
          <cell r="G945" t="str">
            <v>43고0494</v>
          </cell>
          <cell r="H945" t="str">
            <v>WBSKG9102CE854494</v>
          </cell>
          <cell r="I945">
            <v>46196</v>
          </cell>
          <cell r="J945" t="str">
            <v>개인매입- 안해종님 , 안정모님 (010 2331 7671)</v>
          </cell>
          <cell r="L945" t="str">
            <v>잔금</v>
          </cell>
          <cell r="M945" t="str">
            <v>50만원 회사통장 계약</v>
          </cell>
          <cell r="N945">
            <v>2900</v>
          </cell>
          <cell r="P945">
            <v>0</v>
          </cell>
          <cell r="Q945" t="str">
            <v>DONE</v>
          </cell>
          <cell r="R945">
            <v>46203</v>
          </cell>
          <cell r="S945" t="str">
            <v>DAX IMPORT</v>
          </cell>
          <cell r="T945" t="str">
            <v xml:space="preserve">Michael Karl  </v>
          </cell>
          <cell r="U945" t="str">
            <v>LF9N8WZ16</v>
          </cell>
          <cell r="V945" t="str">
            <v>‪+49 471 94189050‬</v>
          </cell>
          <cell r="W945" t="str">
            <v xml:space="preserve">Dorfstr,33C,(82024) Taufkirchen, Germany </v>
          </cell>
          <cell r="X945">
            <v>1509</v>
          </cell>
          <cell r="AB945">
            <v>1737</v>
          </cell>
          <cell r="AC945">
            <v>16070</v>
          </cell>
        </row>
        <row r="946">
          <cell r="A946">
            <v>945</v>
          </cell>
          <cell r="B946">
            <v>46190</v>
          </cell>
          <cell r="C946" t="str">
            <v>BENZ ML350 BlueTEC 4Matic</v>
          </cell>
          <cell r="D946" t="str">
            <v>BENZ</v>
          </cell>
          <cell r="E946" t="str">
            <v>ML350 BlueTEC 4Matic</v>
          </cell>
          <cell r="G946" t="str">
            <v>01마4868</v>
          </cell>
          <cell r="H946" t="str">
            <v>WDCDA2EB7FA565993</v>
          </cell>
          <cell r="I946">
            <v>46192</v>
          </cell>
          <cell r="J946" t="str">
            <v>㈜카스토어</v>
          </cell>
          <cell r="L946" t="str">
            <v>잔금</v>
          </cell>
          <cell r="M946" t="str">
            <v>50만원 회사통장 계약</v>
          </cell>
          <cell r="N946">
            <v>1394</v>
          </cell>
          <cell r="P946">
            <v>0</v>
          </cell>
          <cell r="Q946" t="str">
            <v>done</v>
          </cell>
          <cell r="R946">
            <v>46203</v>
          </cell>
          <cell r="S946" t="str">
            <v>EASY DRIVE 🇧🇬</v>
          </cell>
          <cell r="T946" t="str">
            <v>Easy Drive LTD</v>
          </cell>
          <cell r="U946">
            <v>206557008</v>
          </cell>
          <cell r="V946" t="str">
            <v>359 89 936 8386</v>
          </cell>
          <cell r="W946" t="str">
            <v>ul. Sokolna 47
1444 Sofia
Bulgaria</v>
          </cell>
          <cell r="X946">
            <v>1509</v>
          </cell>
          <cell r="AB946">
            <v>1737</v>
          </cell>
          <cell r="AC946">
            <v>13332500</v>
          </cell>
        </row>
        <row r="947">
          <cell r="A947">
            <v>946</v>
          </cell>
          <cell r="B947">
            <v>46190</v>
          </cell>
          <cell r="C947" t="str">
            <v>AUDI Q5</v>
          </cell>
          <cell r="D947" t="str">
            <v>AUDI</v>
          </cell>
          <cell r="E947" t="str">
            <v>Q5</v>
          </cell>
          <cell r="G947" t="str">
            <v>63더0726</v>
          </cell>
          <cell r="H947" t="str">
            <v>WAUZZZ8RXDA092266</v>
          </cell>
          <cell r="I947">
            <v>46196</v>
          </cell>
          <cell r="J947" t="str">
            <v>㈜오랜드</v>
          </cell>
          <cell r="L947" t="str">
            <v>잔금</v>
          </cell>
          <cell r="M947" t="str">
            <v>50만원 회사통장 계약</v>
          </cell>
          <cell r="N947">
            <v>1100</v>
          </cell>
          <cell r="P947">
            <v>0</v>
          </cell>
          <cell r="Q947" t="str">
            <v>DONE</v>
          </cell>
          <cell r="R947">
            <v>46203</v>
          </cell>
          <cell r="S947" t="str">
            <v>CALJA</v>
          </cell>
          <cell r="T947" t="str">
            <v>KOTORRI ARBEN</v>
          </cell>
          <cell r="U947" t="str">
            <v>G80906015D</v>
          </cell>
          <cell r="V947" t="str">
            <v>355 69 550 5533</v>
          </cell>
          <cell r="W947" t="str">
            <v>Albania</v>
          </cell>
          <cell r="X947">
            <v>1495</v>
          </cell>
          <cell r="AB947">
            <v>1737</v>
          </cell>
          <cell r="AC947">
            <v>6112</v>
          </cell>
          <cell r="AD947">
            <v>1498</v>
          </cell>
          <cell r="AE947">
            <v>7610</v>
          </cell>
          <cell r="AF947">
            <v>8000</v>
          </cell>
        </row>
        <row r="948">
          <cell r="A948">
            <v>947</v>
          </cell>
          <cell r="B948">
            <v>46190</v>
          </cell>
          <cell r="C948" t="str">
            <v>AUDI A5</v>
          </cell>
          <cell r="D948" t="str">
            <v>AUDI</v>
          </cell>
          <cell r="E948" t="str">
            <v>A5</v>
          </cell>
          <cell r="G948" t="str">
            <v>152라2827</v>
          </cell>
          <cell r="H948" t="str">
            <v>WAUZZZ8T8FA037149</v>
          </cell>
          <cell r="I948">
            <v>46196</v>
          </cell>
          <cell r="J948" t="str">
            <v>㈜ 준모터스</v>
          </cell>
          <cell r="L948" t="str">
            <v>잔금</v>
          </cell>
          <cell r="M948" t="str">
            <v>50만원 회사통장 계약</v>
          </cell>
          <cell r="N948">
            <v>950</v>
          </cell>
          <cell r="P948">
            <v>0</v>
          </cell>
          <cell r="Q948" t="str">
            <v>DONE</v>
          </cell>
          <cell r="R948">
            <v>46203</v>
          </cell>
          <cell r="S948" t="str">
            <v>CALJA</v>
          </cell>
          <cell r="T948" t="str">
            <v>BAHA SELVI</v>
          </cell>
          <cell r="U948" t="str">
            <v>G75822008O</v>
          </cell>
          <cell r="V948" t="str">
            <v>355 69 550 5533</v>
          </cell>
          <cell r="W948" t="str">
            <v>Albania</v>
          </cell>
          <cell r="X948">
            <v>1495</v>
          </cell>
          <cell r="AB948">
            <v>1737</v>
          </cell>
          <cell r="AC948">
            <v>5289</v>
          </cell>
          <cell r="AD948">
            <v>1411</v>
          </cell>
          <cell r="AE948">
            <v>6700</v>
          </cell>
          <cell r="AF948">
            <v>9860</v>
          </cell>
        </row>
        <row r="949">
          <cell r="A949">
            <v>948</v>
          </cell>
          <cell r="B949">
            <v>46191</v>
          </cell>
          <cell r="C949" t="str">
            <v>BMW 530</v>
          </cell>
          <cell r="D949" t="str">
            <v>BMW</v>
          </cell>
          <cell r="E949">
            <v>530</v>
          </cell>
          <cell r="G949" t="str">
            <v>176마1819</v>
          </cell>
          <cell r="H949" t="str">
            <v>WBAJD310XKWE99477</v>
          </cell>
          <cell r="I949">
            <v>46192</v>
          </cell>
          <cell r="J949" t="str">
            <v>㈜찬찬찬모터스</v>
          </cell>
          <cell r="L949" t="str">
            <v>잔금</v>
          </cell>
          <cell r="M949" t="str">
            <v>100만원 회사통장 계약</v>
          </cell>
          <cell r="N949">
            <v>2974</v>
          </cell>
          <cell r="P949">
            <v>0</v>
          </cell>
          <cell r="Q949" t="str">
            <v>done</v>
          </cell>
          <cell r="R949" t="str">
            <v>CON2</v>
          </cell>
          <cell r="S949" t="str">
            <v>DAX IMPORT</v>
          </cell>
          <cell r="T949" t="str">
            <v xml:space="preserve">Michael Karl  </v>
          </cell>
          <cell r="U949" t="str">
            <v>LF9N8WZ16</v>
          </cell>
          <cell r="V949" t="str">
            <v>‪+49 471 94189050‬</v>
          </cell>
          <cell r="W949" t="str">
            <v xml:space="preserve">Dorfstr,33C,(82024) Taufkirchen, Germany </v>
          </cell>
          <cell r="X949">
            <v>1509</v>
          </cell>
          <cell r="AB949">
            <v>1737</v>
          </cell>
          <cell r="AC949">
            <v>16380</v>
          </cell>
        </row>
        <row r="950">
          <cell r="A950">
            <v>949</v>
          </cell>
          <cell r="B950">
            <v>46191</v>
          </cell>
          <cell r="C950" t="str">
            <v>BENZ S350 BlueTEC L</v>
          </cell>
          <cell r="D950" t="str">
            <v>BENZ</v>
          </cell>
          <cell r="E950" t="str">
            <v>S350 BlueTEC L</v>
          </cell>
          <cell r="G950" t="str">
            <v>53주7711</v>
          </cell>
          <cell r="H950" t="str">
            <v>WDDUG3CB9FA164545</v>
          </cell>
          <cell r="I950">
            <v>46196</v>
          </cell>
          <cell r="J950" t="str">
            <v>㈜ 케이엠자동차</v>
          </cell>
          <cell r="L950" t="str">
            <v>잔금</v>
          </cell>
          <cell r="M950" t="str">
            <v>100만원 회사통장 계약</v>
          </cell>
          <cell r="N950">
            <v>2800</v>
          </cell>
          <cell r="P950">
            <v>0</v>
          </cell>
          <cell r="Q950" t="str">
            <v>DONE</v>
          </cell>
          <cell r="R950">
            <v>46203</v>
          </cell>
          <cell r="S950" t="str">
            <v>Ardijan Qorraj</v>
          </cell>
          <cell r="T950" t="str">
            <v>Ardijan Qorraj</v>
          </cell>
          <cell r="U950" t="str">
            <v>C6YRK7K2F</v>
          </cell>
          <cell r="V950">
            <v>4917655744700</v>
          </cell>
          <cell r="W950" t="str">
            <v>Germany, Piepersweg 35 (41066)</v>
          </cell>
          <cell r="X950">
            <v>1509</v>
          </cell>
          <cell r="AB950">
            <v>1737</v>
          </cell>
          <cell r="AC950">
            <v>15400</v>
          </cell>
        </row>
        <row r="951">
          <cell r="A951">
            <v>950</v>
          </cell>
          <cell r="B951">
            <v>46191</v>
          </cell>
          <cell r="C951" t="str">
            <v>Chrysler 300C</v>
          </cell>
          <cell r="D951" t="str">
            <v>Chrysler</v>
          </cell>
          <cell r="E951" t="str">
            <v>300C</v>
          </cell>
          <cell r="G951" t="str">
            <v>11무8205</v>
          </cell>
          <cell r="H951" t="str">
            <v>2C3CCACG2EH318406</v>
          </cell>
          <cell r="I951">
            <v>46192</v>
          </cell>
          <cell r="J951" t="str">
            <v>㈜ 브이라이피모터스</v>
          </cell>
          <cell r="L951" t="str">
            <v>잔금</v>
          </cell>
          <cell r="M951" t="str">
            <v>50만원 회사통장 계약</v>
          </cell>
          <cell r="N951">
            <v>690</v>
          </cell>
          <cell r="P951">
            <v>0</v>
          </cell>
          <cell r="Q951" t="str">
            <v>done</v>
          </cell>
          <cell r="R951">
            <v>46203</v>
          </cell>
          <cell r="S951" t="str">
            <v>EASY DRIVE 🇧🇬</v>
          </cell>
          <cell r="T951" t="str">
            <v>Easy Drive LTD</v>
          </cell>
          <cell r="U951">
            <v>206557008</v>
          </cell>
          <cell r="V951" t="str">
            <v>359 89 936 8386</v>
          </cell>
          <cell r="W951" t="str">
            <v>ul. Sokolna 47
1444 Sofia
Bulgaria</v>
          </cell>
          <cell r="X951">
            <v>1509</v>
          </cell>
          <cell r="AB951">
            <v>1737</v>
          </cell>
          <cell r="AC951">
            <v>7100000</v>
          </cell>
        </row>
        <row r="952">
          <cell r="A952">
            <v>952</v>
          </cell>
          <cell r="B952">
            <v>46191</v>
          </cell>
          <cell r="C952" t="str">
            <v>BENZ E220</v>
          </cell>
          <cell r="D952" t="str">
            <v>BENZ</v>
          </cell>
          <cell r="E952" t="str">
            <v>E220</v>
          </cell>
          <cell r="G952" t="str">
            <v>57서7986</v>
          </cell>
          <cell r="H952" t="str">
            <v>WDDHF0CB4EA915486</v>
          </cell>
          <cell r="I952">
            <v>46196</v>
          </cell>
          <cell r="J952" t="str">
            <v>㈜디에이치모터스</v>
          </cell>
          <cell r="L952" t="str">
            <v>잔금</v>
          </cell>
          <cell r="M952" t="str">
            <v>50만원 대표님 계약</v>
          </cell>
          <cell r="N952">
            <v>780</v>
          </cell>
          <cell r="P952">
            <v>0</v>
          </cell>
          <cell r="Q952" t="str">
            <v>DONE</v>
          </cell>
          <cell r="R952">
            <v>46203</v>
          </cell>
          <cell r="S952" t="str">
            <v xml:space="preserve">EUROAUTO.AL </v>
          </cell>
          <cell r="T952" t="str">
            <v>Erion Gjergji</v>
          </cell>
          <cell r="U952" t="str">
            <v>I90516099R</v>
          </cell>
          <cell r="V952" t="str">
            <v>49 163 6979 099</v>
          </cell>
          <cell r="W952" t="str">
            <v>Albania</v>
          </cell>
          <cell r="X952">
            <v>1509</v>
          </cell>
          <cell r="AB952">
            <v>1737</v>
          </cell>
          <cell r="AC952">
            <v>4415</v>
          </cell>
          <cell r="AD952">
            <v>1425</v>
          </cell>
          <cell r="AE952">
            <v>5840</v>
          </cell>
        </row>
        <row r="953">
          <cell r="A953">
            <v>953</v>
          </cell>
          <cell r="B953">
            <v>46191</v>
          </cell>
          <cell r="C953" t="str">
            <v>BMW M3</v>
          </cell>
          <cell r="D953" t="str">
            <v>BMW</v>
          </cell>
          <cell r="E953" t="str">
            <v>M3</v>
          </cell>
          <cell r="G953" t="str">
            <v>269너9172</v>
          </cell>
          <cell r="H953" t="str">
            <v>WBSKG9100AE397875</v>
          </cell>
          <cell r="I953">
            <v>46192</v>
          </cell>
          <cell r="J953" t="str">
            <v>㈜ 신대진자동차</v>
          </cell>
          <cell r="L953" t="str">
            <v>잔금</v>
          </cell>
          <cell r="M953" t="str">
            <v>50만원 대표님 계약</v>
          </cell>
          <cell r="N953">
            <v>2400</v>
          </cell>
          <cell r="P953">
            <v>0</v>
          </cell>
          <cell r="Q953" t="str">
            <v>DONE</v>
          </cell>
          <cell r="R953">
            <v>46203</v>
          </cell>
          <cell r="S953" t="str">
            <v>DAX IMPORT</v>
          </cell>
          <cell r="T953" t="str">
            <v xml:space="preserve">Michael Karl  </v>
          </cell>
          <cell r="U953" t="str">
            <v>LF9N8WZ16</v>
          </cell>
          <cell r="V953" t="str">
            <v>‪+49 471 94189050‬</v>
          </cell>
          <cell r="W953" t="str">
            <v xml:space="preserve">Dorfstr,33C,(82024) Taufkirchen, Germany </v>
          </cell>
          <cell r="X953">
            <v>1509</v>
          </cell>
          <cell r="AB953">
            <v>1737</v>
          </cell>
          <cell r="AC953">
            <v>13450</v>
          </cell>
        </row>
        <row r="954">
          <cell r="A954">
            <v>954</v>
          </cell>
          <cell r="B954">
            <v>46191</v>
          </cell>
          <cell r="C954" t="str">
            <v>AUDI Q8</v>
          </cell>
          <cell r="D954" t="str">
            <v>AUDI</v>
          </cell>
          <cell r="E954" t="str">
            <v>Q8</v>
          </cell>
          <cell r="G954" t="str">
            <v>257도5535</v>
          </cell>
          <cell r="H954" t="str">
            <v>WAUZZZF12ND013492</v>
          </cell>
          <cell r="I954">
            <v>46202</v>
          </cell>
          <cell r="J954" t="str">
            <v>㈜제우스토</v>
          </cell>
          <cell r="L954" t="str">
            <v>잔금</v>
          </cell>
          <cell r="M954" t="str">
            <v>100만원 대표님 계약</v>
          </cell>
          <cell r="N954">
            <v>5880</v>
          </cell>
          <cell r="P954">
            <v>0</v>
          </cell>
          <cell r="Q954" t="str">
            <v>DONE</v>
          </cell>
          <cell r="R954">
            <v>46205</v>
          </cell>
          <cell r="S954" t="str">
            <v>R.S.h L.L.C.</v>
          </cell>
          <cell r="T954" t="str">
            <v>R.Sh L.L.C.</v>
          </cell>
          <cell r="U954">
            <v>812326016</v>
          </cell>
          <cell r="V954" t="str">
            <v>+383486 611 61</v>
          </cell>
          <cell r="W954" t="str">
            <v>Kosovo</v>
          </cell>
          <cell r="X954">
            <v>1509</v>
          </cell>
          <cell r="AB954">
            <v>1737</v>
          </cell>
          <cell r="AC954">
            <v>32101</v>
          </cell>
          <cell r="AD954">
            <v>1599</v>
          </cell>
          <cell r="AE954">
            <v>33700</v>
          </cell>
        </row>
        <row r="955">
          <cell r="A955">
            <v>955</v>
          </cell>
          <cell r="B955">
            <v>46191</v>
          </cell>
          <cell r="C955" t="str">
            <v>AUDI A6</v>
          </cell>
          <cell r="D955" t="str">
            <v>AUDI</v>
          </cell>
          <cell r="E955" t="str">
            <v>A6</v>
          </cell>
          <cell r="G955" t="str">
            <v>10모4223</v>
          </cell>
          <cell r="H955" t="str">
            <v>WAUZZZ4G6JN067583</v>
          </cell>
          <cell r="I955">
            <v>46197</v>
          </cell>
          <cell r="J955" t="str">
            <v>㈜ 왕카</v>
          </cell>
          <cell r="L955" t="str">
            <v>잔금</v>
          </cell>
          <cell r="M955" t="str">
            <v>50만원</v>
          </cell>
          <cell r="N955">
            <v>1320</v>
          </cell>
          <cell r="P955">
            <v>0</v>
          </cell>
          <cell r="Q955" t="str">
            <v>done</v>
          </cell>
          <cell r="R955">
            <v>46205</v>
          </cell>
          <cell r="S955" t="str">
            <v>DONI</v>
          </cell>
          <cell r="T955" t="str">
            <v>DONI</v>
          </cell>
          <cell r="U955">
            <v>933682</v>
          </cell>
          <cell r="V955" t="str">
            <v>3 8 3 4 9 3 2 5 7 0 3</v>
          </cell>
          <cell r="W955" t="str">
            <v xml:space="preserve"> HYZRI TALLA OB 16 HY 1 NR 18
 Kosovë</v>
          </cell>
          <cell r="X955">
            <v>1509</v>
          </cell>
          <cell r="AB955">
            <v>1737</v>
          </cell>
          <cell r="AC955">
            <v>7255</v>
          </cell>
          <cell r="AD955">
            <v>1425</v>
          </cell>
          <cell r="AE955">
            <v>8680</v>
          </cell>
        </row>
        <row r="956">
          <cell r="A956">
            <v>956</v>
          </cell>
          <cell r="B956">
            <v>46191</v>
          </cell>
          <cell r="C956" t="str">
            <v>AUDI A5</v>
          </cell>
          <cell r="D956" t="str">
            <v>AUDI</v>
          </cell>
          <cell r="E956" t="str">
            <v>A5</v>
          </cell>
          <cell r="G956" t="str">
            <v>252노6732</v>
          </cell>
          <cell r="H956" t="str">
            <v>WAUZZZF55MA001792</v>
          </cell>
          <cell r="I956">
            <v>46196</v>
          </cell>
          <cell r="J956" t="str">
            <v>㈜사마일자동차 레바토</v>
          </cell>
          <cell r="L956" t="str">
            <v>잔금</v>
          </cell>
          <cell r="M956" t="str">
            <v>100만원 회사통장 계약</v>
          </cell>
          <cell r="N956">
            <v>2780</v>
          </cell>
          <cell r="P956">
            <v>0</v>
          </cell>
          <cell r="Q956" t="str">
            <v>DONE</v>
          </cell>
          <cell r="R956">
            <v>46203</v>
          </cell>
          <cell r="S956" t="str">
            <v>DONI</v>
          </cell>
          <cell r="T956" t="str">
            <v>DONI</v>
          </cell>
          <cell r="U956">
            <v>933682</v>
          </cell>
          <cell r="V956" t="str">
            <v>3 8 3 4 9 3 2 5 7 0 3</v>
          </cell>
          <cell r="W956" t="str">
            <v xml:space="preserve"> HYZRI TALLA OB 16 HY 1 NR 18
 Kosovë</v>
          </cell>
          <cell r="X956">
            <v>1509</v>
          </cell>
          <cell r="AB956">
            <v>1737</v>
          </cell>
          <cell r="AC956">
            <v>15285</v>
          </cell>
          <cell r="AD956">
            <v>1425</v>
          </cell>
          <cell r="AE956">
            <v>16710</v>
          </cell>
        </row>
        <row r="957">
          <cell r="A957">
            <v>957</v>
          </cell>
          <cell r="B957">
            <v>46191</v>
          </cell>
          <cell r="C957" t="str">
            <v>HYUNDAI SANTAFE</v>
          </cell>
          <cell r="D957" t="str">
            <v>HYUNDAI</v>
          </cell>
          <cell r="E957" t="str">
            <v>SANTAFE</v>
          </cell>
          <cell r="G957" t="str">
            <v>54가0578</v>
          </cell>
          <cell r="H957" t="str">
            <v>KMHSW81UBFU513624</v>
          </cell>
          <cell r="I957">
            <v>46197</v>
          </cell>
          <cell r="J957" t="str">
            <v>㈜아차차</v>
          </cell>
          <cell r="L957" t="str">
            <v>잔금</v>
          </cell>
          <cell r="M957" t="str">
            <v>50만원 회사통장 계약</v>
          </cell>
          <cell r="N957">
            <v>760</v>
          </cell>
          <cell r="P957">
            <v>0</v>
          </cell>
          <cell r="Q957" t="str">
            <v>done</v>
          </cell>
          <cell r="R957">
            <v>46205</v>
          </cell>
          <cell r="S957" t="str">
            <v>CALJA</v>
          </cell>
          <cell r="T957" t="str">
            <v>ZEKTHI BAKI</v>
          </cell>
          <cell r="U957" t="str">
            <v>G10823004R</v>
          </cell>
          <cell r="V957" t="str">
            <v>355 69 550 5533</v>
          </cell>
          <cell r="W957" t="str">
            <v>Albania</v>
          </cell>
          <cell r="X957">
            <v>1509</v>
          </cell>
          <cell r="AB957">
            <v>1737</v>
          </cell>
          <cell r="AC957">
            <v>4338</v>
          </cell>
          <cell r="AD957">
            <v>1512</v>
          </cell>
          <cell r="AE957">
            <v>5850</v>
          </cell>
          <cell r="AF957">
            <v>6600</v>
          </cell>
        </row>
        <row r="958">
          <cell r="A958">
            <v>958</v>
          </cell>
          <cell r="B958">
            <v>46192</v>
          </cell>
          <cell r="C958" t="str">
            <v>AUDI A5</v>
          </cell>
          <cell r="D958" t="str">
            <v>AUDI</v>
          </cell>
          <cell r="E958" t="str">
            <v>A5</v>
          </cell>
          <cell r="G958" t="str">
            <v>184소9015</v>
          </cell>
          <cell r="H958" t="str">
            <v>WAUZZZF54MA001685</v>
          </cell>
          <cell r="I958">
            <v>46196</v>
          </cell>
          <cell r="J958" t="str">
            <v>개인매입- 박희순, 김송연 010 5325 1224</v>
          </cell>
          <cell r="L958" t="str">
            <v>잔금</v>
          </cell>
          <cell r="M958" t="str">
            <v>50만원 회사통장 계약</v>
          </cell>
          <cell r="N958">
            <v>2875</v>
          </cell>
          <cell r="P958">
            <v>0</v>
          </cell>
          <cell r="Q958" t="str">
            <v>DONE</v>
          </cell>
          <cell r="R958">
            <v>46203</v>
          </cell>
          <cell r="S958" t="str">
            <v>DONI</v>
          </cell>
          <cell r="T958" t="str">
            <v>DONI</v>
          </cell>
          <cell r="U958">
            <v>933682</v>
          </cell>
          <cell r="V958" t="str">
            <v>3 8 3 4 9 3 2 5 7 0 3</v>
          </cell>
          <cell r="W958" t="str">
            <v xml:space="preserve"> HYZRI TALLA OB 16 HY 1 NR 18
 Kosovë</v>
          </cell>
          <cell r="X958">
            <v>1524</v>
          </cell>
          <cell r="AB958">
            <v>1746</v>
          </cell>
          <cell r="AC958">
            <v>15279</v>
          </cell>
          <cell r="AD958">
            <v>1431</v>
          </cell>
          <cell r="AE958">
            <v>16710</v>
          </cell>
        </row>
        <row r="959">
          <cell r="A959">
            <v>959</v>
          </cell>
          <cell r="B959">
            <v>46192</v>
          </cell>
          <cell r="C959" t="str">
            <v>BMW X3</v>
          </cell>
          <cell r="D959" t="str">
            <v>BMW</v>
          </cell>
          <cell r="E959" t="str">
            <v>X3</v>
          </cell>
          <cell r="G959" t="str">
            <v>154고7321</v>
          </cell>
          <cell r="H959" t="str">
            <v xml:space="preserve">WBA71DP07N9K86390 </v>
          </cell>
          <cell r="I959">
            <v>46198</v>
          </cell>
          <cell r="J959" t="str">
            <v>㈜지디카</v>
          </cell>
          <cell r="L959" t="str">
            <v>잔금</v>
          </cell>
          <cell r="M959" t="str">
            <v>100만원 회사통장 계약</v>
          </cell>
          <cell r="N959">
            <v>3550</v>
          </cell>
          <cell r="P959">
            <v>0</v>
          </cell>
          <cell r="Q959" t="str">
            <v>done</v>
          </cell>
          <cell r="R959">
            <v>46205</v>
          </cell>
          <cell r="S959" t="str">
            <v>ATLAS GROUP SH.P.K</v>
          </cell>
          <cell r="T959" t="str">
            <v>ATLAS GROUP SH.P.K</v>
          </cell>
          <cell r="U959">
            <v>812137455</v>
          </cell>
          <cell r="V959" t="str">
            <v>+38348702207</v>
          </cell>
          <cell r="W959" t="str">
            <v>Xhelal Hajda, p.n. Rahovec</v>
          </cell>
          <cell r="X959">
            <v>1524</v>
          </cell>
          <cell r="AB959">
            <v>1746</v>
          </cell>
          <cell r="AC959">
            <v>19531</v>
          </cell>
          <cell r="AD959">
            <v>1519</v>
          </cell>
          <cell r="AE959">
            <v>21050</v>
          </cell>
          <cell r="AF959">
            <v>21050</v>
          </cell>
        </row>
        <row r="960">
          <cell r="A960">
            <v>960</v>
          </cell>
          <cell r="B960">
            <v>46192</v>
          </cell>
          <cell r="C960" t="str">
            <v>AUDI A7</v>
          </cell>
          <cell r="D960" t="str">
            <v>AUDI</v>
          </cell>
          <cell r="E960" t="str">
            <v>A7</v>
          </cell>
          <cell r="G960" t="str">
            <v>57두0134</v>
          </cell>
          <cell r="H960" t="str">
            <v>WAUZZZ4G3EN098828</v>
          </cell>
          <cell r="I960">
            <v>46197</v>
          </cell>
          <cell r="J960" t="str">
            <v>㈜ 월드상사</v>
          </cell>
          <cell r="L960" t="str">
            <v>잔금</v>
          </cell>
          <cell r="M960" t="str">
            <v>50만원 대표님 계약</v>
          </cell>
          <cell r="N960">
            <v>700</v>
          </cell>
          <cell r="P960">
            <v>0</v>
          </cell>
          <cell r="Q960" t="str">
            <v>done</v>
          </cell>
          <cell r="R960">
            <v>46204</v>
          </cell>
          <cell r="S960" t="str">
            <v>CALJA</v>
          </cell>
          <cell r="T960" t="str">
            <v>SPAHIU FABIO</v>
          </cell>
          <cell r="U960" t="str">
            <v>K70411009S</v>
          </cell>
          <cell r="V960" t="str">
            <v>355 69 550 5533</v>
          </cell>
          <cell r="W960" t="str">
            <v>Albania</v>
          </cell>
          <cell r="X960">
            <v>1524</v>
          </cell>
          <cell r="AB960">
            <v>1746</v>
          </cell>
          <cell r="AC960">
            <v>4069</v>
          </cell>
          <cell r="AD960">
            <v>1431</v>
          </cell>
          <cell r="AE960">
            <v>5500</v>
          </cell>
          <cell r="AF960">
            <v>7000</v>
          </cell>
        </row>
        <row r="961">
          <cell r="A961">
            <v>961</v>
          </cell>
          <cell r="B961">
            <v>46192</v>
          </cell>
          <cell r="C961" t="str">
            <v>HYUNDAI TUCSON</v>
          </cell>
          <cell r="D961" t="str">
            <v>HYUNDAI</v>
          </cell>
          <cell r="E961" t="str">
            <v>TUCSON</v>
          </cell>
          <cell r="G961" t="str">
            <v>34수0178</v>
          </cell>
          <cell r="H961" t="str">
            <v>KMHJ581ABHU347268</v>
          </cell>
          <cell r="I961">
            <v>46197</v>
          </cell>
          <cell r="J961" t="str">
            <v>㈜카딜</v>
          </cell>
          <cell r="L961" t="str">
            <v>잔금</v>
          </cell>
          <cell r="M961" t="str">
            <v>50만원 대표님 계약</v>
          </cell>
          <cell r="N961">
            <v>1190</v>
          </cell>
          <cell r="P961">
            <v>0</v>
          </cell>
          <cell r="Q961" t="str">
            <v>DONE</v>
          </cell>
          <cell r="R961">
            <v>46203</v>
          </cell>
          <cell r="S961" t="str">
            <v>CALJA</v>
          </cell>
          <cell r="T961" t="str">
            <v>ERNEST PROTOPAPA</v>
          </cell>
          <cell r="U961" t="str">
            <v>J70103069K</v>
          </cell>
          <cell r="V961" t="str">
            <v>355 69 550 5533</v>
          </cell>
          <cell r="W961" t="str">
            <v>Albania</v>
          </cell>
          <cell r="X961">
            <v>1524</v>
          </cell>
          <cell r="AB961">
            <v>1746</v>
          </cell>
          <cell r="AC961">
            <v>6531</v>
          </cell>
          <cell r="AD961">
            <v>1519</v>
          </cell>
          <cell r="AE961">
            <v>8050</v>
          </cell>
          <cell r="AF961">
            <v>8200</v>
          </cell>
        </row>
        <row r="962">
          <cell r="A962">
            <v>962</v>
          </cell>
          <cell r="B962">
            <v>46192</v>
          </cell>
          <cell r="C962" t="str">
            <v>AUDI Q7</v>
          </cell>
          <cell r="D962" t="str">
            <v>AUDI</v>
          </cell>
          <cell r="E962" t="str">
            <v>Q7</v>
          </cell>
          <cell r="G962" t="str">
            <v>04라0231</v>
          </cell>
          <cell r="H962" t="str">
            <v>WAUZZZ4M0GD051609</v>
          </cell>
          <cell r="I962">
            <v>46197</v>
          </cell>
          <cell r="J962" t="str">
            <v>㈜플랜오토</v>
          </cell>
          <cell r="L962" t="str">
            <v>잔금</v>
          </cell>
          <cell r="M962" t="str">
            <v>70만원 대표님 계약</v>
          </cell>
          <cell r="N962">
            <v>2060</v>
          </cell>
          <cell r="P962">
            <v>0</v>
          </cell>
          <cell r="Q962" t="str">
            <v>done</v>
          </cell>
          <cell r="R962">
            <v>46204</v>
          </cell>
          <cell r="S962" t="str">
            <v>CALJA</v>
          </cell>
          <cell r="T962" t="str">
            <v>ZJARRI ENDRI</v>
          </cell>
          <cell r="U962" t="str">
            <v>I81019062K</v>
          </cell>
          <cell r="V962" t="str">
            <v>355 69 550 5533</v>
          </cell>
          <cell r="W962" t="str">
            <v>Albania</v>
          </cell>
          <cell r="X962">
            <v>1524</v>
          </cell>
          <cell r="AB962">
            <v>1746</v>
          </cell>
          <cell r="AC962">
            <v>11234</v>
          </cell>
          <cell r="AD962">
            <v>1606</v>
          </cell>
          <cell r="AE962">
            <v>12840</v>
          </cell>
          <cell r="AF962">
            <v>9940</v>
          </cell>
        </row>
        <row r="963">
          <cell r="A963">
            <v>963</v>
          </cell>
          <cell r="B963">
            <v>46192</v>
          </cell>
          <cell r="C963" t="str">
            <v>BENZ E250</v>
          </cell>
          <cell r="D963" t="str">
            <v>BENZ</v>
          </cell>
          <cell r="E963" t="str">
            <v>E250</v>
          </cell>
          <cell r="G963" t="str">
            <v>43가0141</v>
          </cell>
          <cell r="H963" t="str">
            <v>WDDHF9HBXGB227163</v>
          </cell>
          <cell r="J963" t="str">
            <v>경매장- 현대</v>
          </cell>
          <cell r="L963" t="str">
            <v>잔금</v>
          </cell>
          <cell r="N963">
            <v>860</v>
          </cell>
          <cell r="O963">
            <v>19</v>
          </cell>
          <cell r="P963">
            <v>0</v>
          </cell>
          <cell r="Q963" t="str">
            <v>DONE</v>
          </cell>
          <cell r="R963">
            <v>46205</v>
          </cell>
          <cell r="S963" t="str">
            <v>DONI</v>
          </cell>
          <cell r="T963" t="str">
            <v>DONI</v>
          </cell>
          <cell r="U963">
            <v>933682</v>
          </cell>
          <cell r="V963" t="str">
            <v>3 8 3 4 9 3 2 5 7 0 3</v>
          </cell>
          <cell r="W963" t="str">
            <v xml:space="preserve"> HYZRI TALLA OB 16 HY 1 NR 18
 Kosovë</v>
          </cell>
          <cell r="X963">
            <v>1541</v>
          </cell>
          <cell r="AB963">
            <v>1753</v>
          </cell>
          <cell r="AC963">
            <v>4908</v>
          </cell>
          <cell r="AD963">
            <v>1442</v>
          </cell>
          <cell r="AE963">
            <v>6350</v>
          </cell>
        </row>
        <row r="964">
          <cell r="A964">
            <v>964</v>
          </cell>
          <cell r="B964">
            <v>46192</v>
          </cell>
          <cell r="C964" t="str">
            <v>VOLKSWAGEN TIGUAN</v>
          </cell>
          <cell r="D964" t="str">
            <v>VOLKSWAGEN</v>
          </cell>
          <cell r="E964" t="str">
            <v>TIGUAN</v>
          </cell>
          <cell r="G964" t="str">
            <v>36노1159</v>
          </cell>
          <cell r="H964" t="str">
            <v>WVGZZZ5NZJW935525</v>
          </cell>
          <cell r="I964">
            <v>46198</v>
          </cell>
          <cell r="J964" t="str">
            <v>㈜오토플러스</v>
          </cell>
          <cell r="L964" t="str">
            <v>잔금</v>
          </cell>
          <cell r="M964" t="str">
            <v>50만원 회사통장 계약</v>
          </cell>
          <cell r="N964">
            <v>2100</v>
          </cell>
          <cell r="P964">
            <v>0</v>
          </cell>
          <cell r="Q964" t="str">
            <v>DONE</v>
          </cell>
          <cell r="R964">
            <v>46203</v>
          </cell>
          <cell r="S964" t="str">
            <v>Auto Posh SH.P.K</v>
          </cell>
          <cell r="T964" t="str">
            <v>Auto Posh SH.P.K</v>
          </cell>
          <cell r="U964">
            <v>812219427</v>
          </cell>
          <cell r="V964" t="str">
            <v>38345560145</v>
          </cell>
          <cell r="W964" t="str">
            <v>KOSOVO</v>
          </cell>
          <cell r="X964">
            <v>1524</v>
          </cell>
          <cell r="AB964">
            <v>1745</v>
          </cell>
          <cell r="AC964">
            <v>11480</v>
          </cell>
          <cell r="AD964">
            <v>1520</v>
          </cell>
          <cell r="AE964">
            <v>13000</v>
          </cell>
        </row>
        <row r="965">
          <cell r="A965">
            <v>965</v>
          </cell>
          <cell r="B965">
            <v>46195</v>
          </cell>
          <cell r="C965" t="str">
            <v>BENZ GLC220</v>
          </cell>
          <cell r="D965" t="str">
            <v>BENZ</v>
          </cell>
          <cell r="E965" t="str">
            <v>GLC220</v>
          </cell>
          <cell r="G965" t="str">
            <v>153머7235</v>
          </cell>
          <cell r="H965" t="str">
            <v>W1NKM0FB8RF148454</v>
          </cell>
          <cell r="I965">
            <v>46198</v>
          </cell>
          <cell r="L965" t="str">
            <v>잔금</v>
          </cell>
          <cell r="M965" t="str">
            <v>100만원 대표님 계약</v>
          </cell>
          <cell r="N965">
            <v>5250</v>
          </cell>
          <cell r="P965">
            <v>0</v>
          </cell>
          <cell r="Q965" t="str">
            <v>DONE</v>
          </cell>
          <cell r="R965">
            <v>46203</v>
          </cell>
          <cell r="S965" t="str">
            <v>DONI</v>
          </cell>
          <cell r="T965" t="str">
            <v>DONI</v>
          </cell>
          <cell r="U965">
            <v>933682</v>
          </cell>
          <cell r="V965" t="str">
            <v>3 8 3 4 9 3 2 5 7 0 3</v>
          </cell>
          <cell r="W965" t="str">
            <v xml:space="preserve"> HYZRI TALLA OB 16 HY 1 NR 18
 Kosovë</v>
          </cell>
          <cell r="X965">
            <v>1526</v>
          </cell>
          <cell r="AB965">
            <v>1741</v>
          </cell>
          <cell r="AC965">
            <v>28775</v>
          </cell>
          <cell r="AD965">
            <v>1525</v>
          </cell>
          <cell r="AE965">
            <v>30300</v>
          </cell>
        </row>
        <row r="966">
          <cell r="A966">
            <v>966</v>
          </cell>
          <cell r="B966">
            <v>46195</v>
          </cell>
          <cell r="C966" t="str">
            <v>BENZ  GLA45 AMG 4Matic</v>
          </cell>
          <cell r="D966" t="str">
            <v>BENZ</v>
          </cell>
          <cell r="E966" t="str">
            <v xml:space="preserve"> GLA45 AMG 4Matic</v>
          </cell>
          <cell r="G966" t="str">
            <v>48러7097</v>
          </cell>
          <cell r="H966" t="str">
            <v>WDCTG5CB0FJ089407</v>
          </cell>
          <cell r="I966">
            <v>46196</v>
          </cell>
          <cell r="J966" t="str">
            <v>㈜남수원모터스</v>
          </cell>
          <cell r="L966" t="str">
            <v>잔금</v>
          </cell>
          <cell r="M966" t="str">
            <v>70만원 대표님 계약</v>
          </cell>
          <cell r="N966">
            <v>1750</v>
          </cell>
          <cell r="P966">
            <v>0</v>
          </cell>
          <cell r="Q966" t="str">
            <v>DONE</v>
          </cell>
          <cell r="R966">
            <v>46196</v>
          </cell>
          <cell r="S966" t="str">
            <v>AJ VIKINGS</v>
          </cell>
          <cell r="T966" t="str">
            <v>JOHANSEN WILLIAM DREYER</v>
          </cell>
          <cell r="U966" t="str">
            <v>CCC267969</v>
          </cell>
          <cell r="V966" t="str">
            <v>47 454 96 622</v>
          </cell>
          <cell r="W966" t="str">
            <v>Ramstadaasen 14, 1900 Fetsund , Norway</v>
          </cell>
          <cell r="X966">
            <v>1526</v>
          </cell>
          <cell r="AB966">
            <v>1741</v>
          </cell>
          <cell r="AC966">
            <v>9700</v>
          </cell>
          <cell r="AF966">
            <v>9850</v>
          </cell>
        </row>
        <row r="967">
          <cell r="A967">
            <v>967</v>
          </cell>
          <cell r="B967">
            <v>46196</v>
          </cell>
          <cell r="C967" t="str">
            <v>BMW 530I</v>
          </cell>
          <cell r="D967" t="str">
            <v>BMW</v>
          </cell>
          <cell r="E967" t="str">
            <v>530I</v>
          </cell>
          <cell r="G967" t="str">
            <v>63보5006</v>
          </cell>
          <cell r="H967" t="str">
            <v>WBAJD3107HG475914</v>
          </cell>
          <cell r="I967">
            <v>46198</v>
          </cell>
          <cell r="J967" t="str">
            <v>㈜우진오토모빌</v>
          </cell>
          <cell r="L967" t="str">
            <v>잔금</v>
          </cell>
          <cell r="M967" t="str">
            <v>100만원 회사통장 계약</v>
          </cell>
          <cell r="N967">
            <v>2400</v>
          </cell>
          <cell r="P967">
            <v>0</v>
          </cell>
          <cell r="Q967" t="str">
            <v>done</v>
          </cell>
          <cell r="R967" t="str">
            <v>CON1</v>
          </cell>
          <cell r="S967" t="str">
            <v>DAX IMPORT</v>
          </cell>
          <cell r="T967" t="str">
            <v xml:space="preserve">Michael Karl  </v>
          </cell>
          <cell r="U967" t="str">
            <v>LF9N8WZ16</v>
          </cell>
          <cell r="V967" t="str">
            <v>‪+49 471 94189050‬</v>
          </cell>
          <cell r="W967" t="str">
            <v xml:space="preserve">Dorfstr,33C,(82024) Taufkirchen, Germany </v>
          </cell>
          <cell r="X967">
            <v>1518</v>
          </cell>
          <cell r="AB967">
            <v>1741</v>
          </cell>
          <cell r="AC967">
            <v>13190</v>
          </cell>
          <cell r="AF967">
            <v>13400</v>
          </cell>
        </row>
        <row r="968">
          <cell r="A968">
            <v>968</v>
          </cell>
          <cell r="B968">
            <v>46197</v>
          </cell>
          <cell r="C968" t="str">
            <v>AUDI  A6</v>
          </cell>
          <cell r="D968" t="str">
            <v xml:space="preserve">AUDI </v>
          </cell>
          <cell r="E968" t="str">
            <v>A6</v>
          </cell>
          <cell r="G968" t="str">
            <v>47두0137</v>
          </cell>
          <cell r="H968" t="str">
            <v>WAUZZZ4GXGN038810</v>
          </cell>
          <cell r="I968">
            <v>46199</v>
          </cell>
          <cell r="J968" t="str">
            <v>㈜진심오토</v>
          </cell>
          <cell r="L968" t="str">
            <v>잔금</v>
          </cell>
          <cell r="M968" t="str">
            <v>50만원 대표님 계약</v>
          </cell>
          <cell r="N968">
            <v>1160</v>
          </cell>
          <cell r="P968">
            <v>0</v>
          </cell>
          <cell r="Q968" t="str">
            <v>done</v>
          </cell>
          <cell r="R968" t="str">
            <v>CON1</v>
          </cell>
          <cell r="S968" t="str">
            <v>DAX IMPORT</v>
          </cell>
          <cell r="T968" t="str">
            <v xml:space="preserve">Michael Karl  </v>
          </cell>
          <cell r="U968" t="str">
            <v>LF9N8WZ16</v>
          </cell>
          <cell r="V968" t="str">
            <v>‪+49 471 94189050‬</v>
          </cell>
          <cell r="W968" t="str">
            <v xml:space="preserve">Dorfstr,33C,(82024) Taufkirchen, Germany </v>
          </cell>
          <cell r="X968">
            <v>1521</v>
          </cell>
          <cell r="AB968">
            <v>1730</v>
          </cell>
          <cell r="AC968">
            <v>6470</v>
          </cell>
        </row>
        <row r="969">
          <cell r="A969">
            <v>969</v>
          </cell>
          <cell r="B969">
            <v>46197</v>
          </cell>
          <cell r="C969" t="str">
            <v>Maserati Ghibli</v>
          </cell>
          <cell r="D969" t="str">
            <v>Maserati</v>
          </cell>
          <cell r="E969" t="str">
            <v>Ghibli</v>
          </cell>
          <cell r="G969" t="str">
            <v>347버4375</v>
          </cell>
          <cell r="H969" t="str">
            <v xml:space="preserve"> ZAM57XSG8K1328439</v>
          </cell>
          <cell r="I969">
            <v>46199</v>
          </cell>
          <cell r="J969" t="str">
            <v>개인매입- 최성환</v>
          </cell>
          <cell r="L969" t="str">
            <v>잔금</v>
          </cell>
          <cell r="M969" t="str">
            <v>70만원 대표님 계약</v>
          </cell>
          <cell r="N969">
            <v>2550</v>
          </cell>
          <cell r="P969">
            <v>0</v>
          </cell>
          <cell r="Q969" t="str">
            <v>done</v>
          </cell>
          <cell r="R969" t="str">
            <v>CON1</v>
          </cell>
          <cell r="S969" t="str">
            <v>DAX IMPORT</v>
          </cell>
          <cell r="T969" t="str">
            <v xml:space="preserve">Michael Karl  </v>
          </cell>
          <cell r="U969" t="str">
            <v>LF9N8WZ16</v>
          </cell>
          <cell r="V969" t="str">
            <v>‪+49 471 94189050‬</v>
          </cell>
          <cell r="W969" t="str">
            <v xml:space="preserve">Dorfstr,33C,(82024) Taufkirchen, Germany </v>
          </cell>
          <cell r="X969">
            <v>1521</v>
          </cell>
          <cell r="AB969">
            <v>1730</v>
          </cell>
          <cell r="AC969">
            <v>14100</v>
          </cell>
        </row>
        <row r="970">
          <cell r="A970">
            <v>970</v>
          </cell>
          <cell r="B970">
            <v>46197</v>
          </cell>
          <cell r="C970" t="str">
            <v>BENZ GLE350 d 4Matic Coupe</v>
          </cell>
          <cell r="D970" t="str">
            <v>BENZ</v>
          </cell>
          <cell r="E970" t="str">
            <v>GLE350 d 4Matic Coupe</v>
          </cell>
          <cell r="G970" t="str">
            <v>47로7508</v>
          </cell>
          <cell r="H970" t="str">
            <v>WDCED2EB4HA067670</v>
          </cell>
          <cell r="I970">
            <v>46198</v>
          </cell>
          <cell r="J970" t="str">
            <v>㈜카스토어</v>
          </cell>
          <cell r="L970" t="str">
            <v>잔금</v>
          </cell>
          <cell r="M970" t="str">
            <v>120만원 대표님 계약</v>
          </cell>
          <cell r="N970">
            <v>3020</v>
          </cell>
          <cell r="P970">
            <v>0</v>
          </cell>
          <cell r="Q970" t="str">
            <v>done</v>
          </cell>
          <cell r="R970">
            <v>46203</v>
          </cell>
          <cell r="S970" t="str">
            <v>EASY DRIVE 🇧🇬</v>
          </cell>
          <cell r="T970" t="str">
            <v>Easy Drive LTD</v>
          </cell>
          <cell r="U970">
            <v>206557008</v>
          </cell>
          <cell r="V970" t="str">
            <v>359 89 936 8386</v>
          </cell>
          <cell r="W970" t="str">
            <v>ul. Sokolna 47
1444 Sofia
Bulgaria</v>
          </cell>
          <cell r="AC970">
            <v>29147300</v>
          </cell>
          <cell r="AF970">
            <v>28847300</v>
          </cell>
        </row>
        <row r="971">
          <cell r="A971">
            <v>971</v>
          </cell>
          <cell r="B971">
            <v>46197</v>
          </cell>
          <cell r="C971" t="str">
            <v>HYUNDAI TUCSON</v>
          </cell>
          <cell r="D971" t="str">
            <v>HYUNDAI</v>
          </cell>
          <cell r="E971" t="str">
            <v>TUCSON</v>
          </cell>
          <cell r="G971" t="str">
            <v>135가7416</v>
          </cell>
          <cell r="H971" t="str">
            <v>KMHJE81BGNU123243</v>
          </cell>
          <cell r="I971">
            <v>46198</v>
          </cell>
          <cell r="J971" t="str">
            <v>㈜오토록</v>
          </cell>
          <cell r="L971" t="str">
            <v>잔금</v>
          </cell>
          <cell r="M971" t="str">
            <v>100만원 회사통장 계약</v>
          </cell>
          <cell r="N971">
            <v>1950</v>
          </cell>
          <cell r="P971">
            <v>0</v>
          </cell>
          <cell r="Q971" t="str">
            <v>done</v>
          </cell>
          <cell r="R971">
            <v>46203</v>
          </cell>
          <cell r="S971" t="str">
            <v>EASY DRIVE 🇧🇬</v>
          </cell>
          <cell r="T971" t="str">
            <v>Easy Drive LTD</v>
          </cell>
          <cell r="U971">
            <v>206557008</v>
          </cell>
          <cell r="V971" t="str">
            <v>359 89 936 8386</v>
          </cell>
          <cell r="W971" t="str">
            <v>ul. Sokolna 47
1444 Sofia
Bulgaria</v>
          </cell>
          <cell r="AC971">
            <v>18833300</v>
          </cell>
          <cell r="AF971">
            <v>18633300</v>
          </cell>
        </row>
        <row r="972">
          <cell r="A972">
            <v>972</v>
          </cell>
          <cell r="B972">
            <v>46197</v>
          </cell>
          <cell r="C972" t="str">
            <v>BMW M3</v>
          </cell>
          <cell r="D972" t="str">
            <v>BMW</v>
          </cell>
          <cell r="E972" t="str">
            <v>M3</v>
          </cell>
          <cell r="G972" t="str">
            <v>54머7628</v>
          </cell>
          <cell r="H972" t="str">
            <v>WBSWD91019P304565</v>
          </cell>
          <cell r="I972">
            <v>46199</v>
          </cell>
          <cell r="J972" t="str">
            <v>개인매입-김병지-010 8264 1126</v>
          </cell>
          <cell r="L972" t="str">
            <v>잔금</v>
          </cell>
          <cell r="N972">
            <v>2150</v>
          </cell>
          <cell r="P972">
            <v>0</v>
          </cell>
          <cell r="Q972" t="str">
            <v>DONE</v>
          </cell>
          <cell r="R972">
            <v>46203</v>
          </cell>
          <cell r="S972" t="str">
            <v>DAX IMPORT</v>
          </cell>
          <cell r="T972" t="str">
            <v xml:space="preserve">Michael Karl  </v>
          </cell>
          <cell r="U972" t="str">
            <v>LF9N8WZ16</v>
          </cell>
          <cell r="V972" t="str">
            <v>‪+49 471 94189050‬</v>
          </cell>
          <cell r="W972" t="str">
            <v xml:space="preserve">Dorfstr,33C,(82024) Taufkirchen, Germany </v>
          </cell>
          <cell r="X972">
            <v>1521</v>
          </cell>
          <cell r="AB972">
            <v>1730</v>
          </cell>
          <cell r="AC972">
            <v>11880</v>
          </cell>
        </row>
        <row r="973">
          <cell r="A973">
            <v>973</v>
          </cell>
          <cell r="B973">
            <v>46197</v>
          </cell>
          <cell r="C973" t="str">
            <v>AUDI SQ5</v>
          </cell>
          <cell r="D973" t="str">
            <v>AUDI</v>
          </cell>
          <cell r="E973" t="str">
            <v>SQ5</v>
          </cell>
          <cell r="G973" t="str">
            <v>23라0996</v>
          </cell>
          <cell r="H973" t="str">
            <v>WAUZZZ8R8FA136283</v>
          </cell>
          <cell r="I973">
            <v>46198</v>
          </cell>
          <cell r="J973" t="str">
            <v>경매장 -AJ</v>
          </cell>
          <cell r="L973" t="str">
            <v>잔금</v>
          </cell>
          <cell r="N973">
            <v>1350</v>
          </cell>
          <cell r="O973">
            <v>35</v>
          </cell>
          <cell r="P973">
            <v>0</v>
          </cell>
          <cell r="Q973" t="str">
            <v>DONE</v>
          </cell>
          <cell r="R973">
            <v>46205</v>
          </cell>
          <cell r="S973" t="str">
            <v xml:space="preserve">Andrea Kasa </v>
          </cell>
          <cell r="T973" t="str">
            <v>PRECI OLGERT</v>
          </cell>
          <cell r="U973" t="str">
            <v>K10818011C</v>
          </cell>
          <cell r="V973" t="str">
            <v>355 69 746 2556</v>
          </cell>
          <cell r="W973" t="str">
            <v>Albania</v>
          </cell>
          <cell r="X973">
            <v>1534</v>
          </cell>
          <cell r="AB973">
            <v>1740</v>
          </cell>
          <cell r="AC973">
            <v>7616</v>
          </cell>
          <cell r="AD973">
            <v>1534</v>
          </cell>
          <cell r="AE973">
            <v>9150</v>
          </cell>
          <cell r="AF973">
            <v>10150</v>
          </cell>
        </row>
        <row r="974">
          <cell r="A974">
            <v>974</v>
          </cell>
          <cell r="B974">
            <v>46197</v>
          </cell>
          <cell r="C974" t="str">
            <v>AUDI A6</v>
          </cell>
          <cell r="D974" t="str">
            <v>AUDI</v>
          </cell>
          <cell r="E974" t="str">
            <v>A6</v>
          </cell>
          <cell r="F974">
            <v>2018</v>
          </cell>
          <cell r="G974" t="str">
            <v>08로7675</v>
          </cell>
          <cell r="H974" t="str">
            <v>WAUZZZ4G2JN062316</v>
          </cell>
          <cell r="I974">
            <v>46198</v>
          </cell>
          <cell r="J974" t="str">
            <v>경매장 -AJ</v>
          </cell>
          <cell r="L974" t="str">
            <v>잔금</v>
          </cell>
          <cell r="N974">
            <v>1145</v>
          </cell>
          <cell r="O974">
            <v>30</v>
          </cell>
          <cell r="P974">
            <v>0</v>
          </cell>
          <cell r="Q974" t="str">
            <v>DONE</v>
          </cell>
          <cell r="R974">
            <v>46281</v>
          </cell>
          <cell r="S974" t="str">
            <v>AUTO SCOUT</v>
          </cell>
          <cell r="T974" t="str">
            <v>DONI</v>
          </cell>
          <cell r="U974">
            <v>933682</v>
          </cell>
          <cell r="V974" t="str">
            <v>3 8 3 4 9 3 2 5 7 0 3</v>
          </cell>
          <cell r="W974" t="str">
            <v xml:space="preserve"> HYZRI TALLA OB 16 HY 1 NR 18
 Kosovë</v>
          </cell>
          <cell r="AB974">
            <v>1544</v>
          </cell>
          <cell r="AC974">
            <v>7045</v>
          </cell>
          <cell r="AD974">
            <v>1755</v>
          </cell>
          <cell r="AE974">
            <v>8800</v>
          </cell>
        </row>
        <row r="975">
          <cell r="A975">
            <v>975</v>
          </cell>
          <cell r="B975">
            <v>46197</v>
          </cell>
          <cell r="C975" t="str">
            <v>VOLKSWAGEN TIGUAN</v>
          </cell>
          <cell r="D975" t="str">
            <v>VOLKSWAGEN</v>
          </cell>
          <cell r="E975" t="str">
            <v>TIGUAN</v>
          </cell>
          <cell r="G975" t="str">
            <v>65러0114</v>
          </cell>
          <cell r="H975" t="str">
            <v>WVGZZZ5NZGW082331</v>
          </cell>
          <cell r="I975">
            <v>46198</v>
          </cell>
          <cell r="J975" t="str">
            <v>경매장 헤이딜러</v>
          </cell>
          <cell r="L975" t="str">
            <v>잔금</v>
          </cell>
          <cell r="N975">
            <v>974</v>
          </cell>
          <cell r="P975">
            <v>0</v>
          </cell>
          <cell r="Q975" t="str">
            <v>DONE</v>
          </cell>
          <cell r="R975">
            <v>46260</v>
          </cell>
          <cell r="S975" t="str">
            <v>DONI</v>
          </cell>
          <cell r="T975" t="str">
            <v>DONI</v>
          </cell>
          <cell r="U975">
            <v>933682</v>
          </cell>
          <cell r="V975" t="str">
            <v>3 8 3 4 9 3 2 5 7 0 3</v>
          </cell>
          <cell r="W975" t="str">
            <v xml:space="preserve"> HYZRI TALLA OB 16 HY 1 NR 18
 Kosovë</v>
          </cell>
          <cell r="AC975">
            <v>0</v>
          </cell>
        </row>
        <row r="976">
          <cell r="A976">
            <v>976</v>
          </cell>
          <cell r="B976">
            <v>46197</v>
          </cell>
          <cell r="C976" t="str">
            <v>Mercedes-Benz  S400</v>
          </cell>
          <cell r="D976" t="str">
            <v xml:space="preserve">Mercedes-Benz </v>
          </cell>
          <cell r="E976" t="str">
            <v>S400</v>
          </cell>
          <cell r="G976" t="str">
            <v>394수9681</v>
          </cell>
          <cell r="H976" t="str">
            <v>W1K6F3DB8MA014496</v>
          </cell>
          <cell r="I976">
            <v>46199</v>
          </cell>
          <cell r="J976" t="str">
            <v>㈜리더카</v>
          </cell>
          <cell r="L976" t="str">
            <v>잔금</v>
          </cell>
          <cell r="M976" t="str">
            <v>100만원 회사통장 계약</v>
          </cell>
          <cell r="N976">
            <v>6700</v>
          </cell>
          <cell r="P976">
            <v>0</v>
          </cell>
          <cell r="Q976" t="str">
            <v>done</v>
          </cell>
          <cell r="R976">
            <v>46205</v>
          </cell>
          <cell r="S976" t="str">
            <v>CALJA</v>
          </cell>
          <cell r="T976" t="str">
            <v>GELE ZANI SHPK</v>
          </cell>
          <cell r="U976" t="str">
            <v>L87301801L</v>
          </cell>
          <cell r="V976" t="str">
            <v>355 69 550 5533</v>
          </cell>
          <cell r="W976" t="str">
            <v>Albania</v>
          </cell>
          <cell r="X976">
            <v>1534</v>
          </cell>
          <cell r="AB976">
            <v>1740</v>
          </cell>
          <cell r="AC976">
            <v>36166</v>
          </cell>
          <cell r="AD976">
            <v>1534</v>
          </cell>
          <cell r="AE976">
            <v>37700</v>
          </cell>
          <cell r="AF976">
            <v>25500</v>
          </cell>
        </row>
        <row r="977">
          <cell r="A977">
            <v>977</v>
          </cell>
          <cell r="B977">
            <v>46198</v>
          </cell>
          <cell r="C977" t="str">
            <v>BMW X6 xDrive40d</v>
          </cell>
          <cell r="D977" t="str">
            <v>BMW</v>
          </cell>
          <cell r="E977" t="str">
            <v>X6 xDrive40d</v>
          </cell>
          <cell r="G977" t="str">
            <v>368머4746</v>
          </cell>
          <cell r="H977" t="str">
            <v>WBA21EY05R9U33827</v>
          </cell>
          <cell r="I977">
            <v>46210</v>
          </cell>
          <cell r="J977" t="str">
            <v xml:space="preserve">㈜사마일자동차 </v>
          </cell>
          <cell r="L977" t="str">
            <v>잔금</v>
          </cell>
          <cell r="M977" t="str">
            <v>300만원 회사통장 계약</v>
          </cell>
          <cell r="N977">
            <v>8700</v>
          </cell>
          <cell r="P977">
            <v>0</v>
          </cell>
          <cell r="Q977" t="str">
            <v>DONE</v>
          </cell>
          <cell r="R977">
            <v>46219</v>
          </cell>
          <cell r="S977" t="str">
            <v>R.S.h L.L.C.</v>
          </cell>
          <cell r="T977" t="str">
            <v>R.Sh L.L.C.</v>
          </cell>
          <cell r="U977">
            <v>812326016</v>
          </cell>
          <cell r="V977" t="str">
            <v>+383486 611 61</v>
          </cell>
          <cell r="W977" t="str">
            <v>Kosovo</v>
          </cell>
          <cell r="X977">
            <v>1534</v>
          </cell>
          <cell r="AB977">
            <v>1740</v>
          </cell>
          <cell r="AC977">
            <v>47513</v>
          </cell>
          <cell r="AD977">
            <v>1887</v>
          </cell>
          <cell r="AE977">
            <v>49059</v>
          </cell>
          <cell r="AF977">
            <v>49400</v>
          </cell>
        </row>
        <row r="978">
          <cell r="A978">
            <v>978</v>
          </cell>
          <cell r="B978">
            <v>46198</v>
          </cell>
          <cell r="C978" t="str">
            <v>HYUNDAI TUCSON</v>
          </cell>
          <cell r="D978" t="str">
            <v>HYUNDAI</v>
          </cell>
          <cell r="E978" t="str">
            <v>TUCSON</v>
          </cell>
          <cell r="G978" t="str">
            <v>15구2464</v>
          </cell>
          <cell r="H978" t="str">
            <v>KMHJ581ABGU135663</v>
          </cell>
          <cell r="I978">
            <v>46199</v>
          </cell>
          <cell r="J978" t="str">
            <v>㈜다온모터스</v>
          </cell>
          <cell r="L978" t="str">
            <v>잔금</v>
          </cell>
          <cell r="M978" t="str">
            <v>50만원 회사통장 계약</v>
          </cell>
          <cell r="N978">
            <v>1250</v>
          </cell>
          <cell r="P978">
            <v>0</v>
          </cell>
          <cell r="Q978" t="str">
            <v>done</v>
          </cell>
          <cell r="R978">
            <v>46205</v>
          </cell>
          <cell r="S978" t="str">
            <v>CALJA</v>
          </cell>
          <cell r="T978" t="str">
            <v>PLAKU KLEJDI</v>
          </cell>
          <cell r="U978" t="str">
            <v>I81203042O</v>
          </cell>
          <cell r="V978" t="str">
            <v>355 69 550 5533</v>
          </cell>
          <cell r="W978" t="str">
            <v>Albania</v>
          </cell>
          <cell r="X978">
            <v>1534</v>
          </cell>
          <cell r="AB978">
            <v>1740</v>
          </cell>
          <cell r="AC978">
            <v>6916</v>
          </cell>
          <cell r="AD978">
            <v>1534</v>
          </cell>
          <cell r="AE978">
            <v>8450</v>
          </cell>
          <cell r="AF978">
            <v>8680</v>
          </cell>
        </row>
        <row r="979">
          <cell r="A979">
            <v>979</v>
          </cell>
          <cell r="B979">
            <v>46198</v>
          </cell>
          <cell r="C979" t="str">
            <v>AUDI A6</v>
          </cell>
          <cell r="D979" t="str">
            <v>AUDI</v>
          </cell>
          <cell r="E979" t="str">
            <v>A6</v>
          </cell>
          <cell r="G979" t="str">
            <v>45조0652</v>
          </cell>
          <cell r="H979" t="str">
            <v>WAUZZZ4G3GN126906</v>
          </cell>
          <cell r="J979" t="str">
            <v>경매장 헤이딜러</v>
          </cell>
          <cell r="L979" t="str">
            <v>잔금</v>
          </cell>
          <cell r="N979">
            <v>850</v>
          </cell>
          <cell r="O979">
            <v>25</v>
          </cell>
          <cell r="P979">
            <v>0</v>
          </cell>
          <cell r="Q979" t="str">
            <v>done</v>
          </cell>
          <cell r="R979">
            <v>46207</v>
          </cell>
          <cell r="S979" t="str">
            <v>DONI</v>
          </cell>
          <cell r="T979" t="str">
            <v>DONI</v>
          </cell>
          <cell r="U979">
            <v>933682</v>
          </cell>
          <cell r="V979" t="str">
            <v>3 8 3 4 9 3 2 5 7 0 3</v>
          </cell>
          <cell r="W979" t="str">
            <v xml:space="preserve"> HYZRI TALLA OB 16 HY 1 NR 18
 Kosovë</v>
          </cell>
          <cell r="X979">
            <v>1541</v>
          </cell>
          <cell r="AB979">
            <v>1753</v>
          </cell>
          <cell r="AC979">
            <v>5018</v>
          </cell>
          <cell r="AD979">
            <v>1442</v>
          </cell>
          <cell r="AE979">
            <v>6460</v>
          </cell>
        </row>
        <row r="980">
          <cell r="A980">
            <v>980</v>
          </cell>
          <cell r="B980">
            <v>46198</v>
          </cell>
          <cell r="C980" t="str">
            <v>Mercedes-Benz  S500</v>
          </cell>
          <cell r="D980" t="str">
            <v xml:space="preserve">Mercedes-Benz </v>
          </cell>
          <cell r="E980" t="str">
            <v>S500</v>
          </cell>
          <cell r="G980" t="str">
            <v>154보3689</v>
          </cell>
          <cell r="H980" t="str">
            <v>WDDUX8CB8FA178790</v>
          </cell>
          <cell r="I980">
            <v>46203</v>
          </cell>
          <cell r="J980" t="str">
            <v>㈜준모터스</v>
          </cell>
          <cell r="L980" t="str">
            <v>잔금</v>
          </cell>
          <cell r="M980" t="str">
            <v>100만원 회사통장 계약</v>
          </cell>
          <cell r="N980">
            <v>2700</v>
          </cell>
          <cell r="P980">
            <v>0</v>
          </cell>
          <cell r="Q980" t="str">
            <v>done</v>
          </cell>
          <cell r="R980">
            <v>46206</v>
          </cell>
          <cell r="S980" t="str">
            <v>HYSA</v>
          </cell>
          <cell r="T980" t="str">
            <v>HYSA JUGERS</v>
          </cell>
          <cell r="U980" t="str">
            <v>M42902202Q</v>
          </cell>
          <cell r="V980" t="str">
            <v>355 69 690 2972</v>
          </cell>
          <cell r="W980" t="str">
            <v>Albania</v>
          </cell>
          <cell r="X980">
            <v>1534</v>
          </cell>
          <cell r="AB980">
            <v>1740</v>
          </cell>
          <cell r="AC980">
            <v>14866</v>
          </cell>
          <cell r="AD980">
            <v>1534</v>
          </cell>
          <cell r="AE980">
            <v>16400</v>
          </cell>
          <cell r="AF980">
            <v>8200</v>
          </cell>
        </row>
        <row r="981">
          <cell r="A981">
            <v>981</v>
          </cell>
          <cell r="B981">
            <v>46198</v>
          </cell>
          <cell r="C981" t="str">
            <v>AUDI Q8</v>
          </cell>
          <cell r="D981" t="str">
            <v>AUDI</v>
          </cell>
          <cell r="E981" t="str">
            <v>Q8</v>
          </cell>
          <cell r="G981" t="str">
            <v>207구2353</v>
          </cell>
          <cell r="H981" t="str">
            <v>WAUZZZF14MD010821</v>
          </cell>
          <cell r="I981">
            <v>46209</v>
          </cell>
          <cell r="L981" t="str">
            <v>잔금</v>
          </cell>
          <cell r="M981" t="str">
            <v>100만원 회사통장 계약</v>
          </cell>
          <cell r="N981">
            <v>5550</v>
          </cell>
          <cell r="P981">
            <v>0</v>
          </cell>
          <cell r="Q981" t="str">
            <v>done</v>
          </cell>
          <cell r="R981" t="str">
            <v>08-07-2026</v>
          </cell>
          <cell r="S981" t="str">
            <v>R.S.h L.L.C.</v>
          </cell>
          <cell r="T981" t="str">
            <v>R.Sh L.L.C.</v>
          </cell>
          <cell r="U981">
            <v>812326016</v>
          </cell>
          <cell r="V981" t="str">
            <v>+383486 611 61</v>
          </cell>
          <cell r="W981" t="str">
            <v>Kosovo</v>
          </cell>
          <cell r="X981">
            <v>1534</v>
          </cell>
          <cell r="AB981">
            <v>1740</v>
          </cell>
          <cell r="AC981">
            <v>30376</v>
          </cell>
          <cell r="AD981">
            <v>1887</v>
          </cell>
          <cell r="AE981">
            <v>32263</v>
          </cell>
          <cell r="AF981">
            <v>32100</v>
          </cell>
        </row>
        <row r="982">
          <cell r="A982">
            <v>982</v>
          </cell>
          <cell r="B982">
            <v>46198</v>
          </cell>
          <cell r="C982" t="str">
            <v>HYUNDAI PALISADE</v>
          </cell>
          <cell r="D982" t="str">
            <v>HYUNDAI</v>
          </cell>
          <cell r="E982" t="str">
            <v>PALISADE</v>
          </cell>
          <cell r="G982" t="str">
            <v>272무4681</v>
          </cell>
          <cell r="H982" t="str">
            <v xml:space="preserve">KMHR581EBMU222554 </v>
          </cell>
          <cell r="I982">
            <v>46199</v>
          </cell>
          <cell r="J982" t="str">
            <v>㈜뉴카카</v>
          </cell>
          <cell r="L982" t="str">
            <v>잔금</v>
          </cell>
          <cell r="M982" t="str">
            <v>50만원 회사통장 계약</v>
          </cell>
          <cell r="N982">
            <v>2760</v>
          </cell>
          <cell r="P982">
            <v>0</v>
          </cell>
          <cell r="Q982" t="str">
            <v>done</v>
          </cell>
          <cell r="R982">
            <v>46203</v>
          </cell>
          <cell r="S982" t="str">
            <v>EASY DRIVE 🇧🇬</v>
          </cell>
          <cell r="T982" t="str">
            <v>Easy Drive LTD</v>
          </cell>
          <cell r="U982">
            <v>206557008</v>
          </cell>
          <cell r="V982" t="str">
            <v>359 89 936 8386</v>
          </cell>
          <cell r="W982" t="str">
            <v>ul. Sokolna 47
1444 Sofia
Bulgaria</v>
          </cell>
          <cell r="AC982">
            <v>26377800</v>
          </cell>
        </row>
        <row r="983">
          <cell r="A983">
            <v>983</v>
          </cell>
          <cell r="B983">
            <v>46198</v>
          </cell>
          <cell r="C983" t="str">
            <v>Mercedes-Benz  GLC220D</v>
          </cell>
          <cell r="D983" t="str">
            <v xml:space="preserve">Mercedes-Benz </v>
          </cell>
          <cell r="E983" t="str">
            <v>GLC220D</v>
          </cell>
          <cell r="G983" t="str">
            <v>205나9581</v>
          </cell>
          <cell r="H983" t="str">
            <v>W1N0G1FB1MF973801</v>
          </cell>
          <cell r="I983">
            <v>46199</v>
          </cell>
          <cell r="J983" t="str">
            <v>㈜ 유레카</v>
          </cell>
          <cell r="L983" t="str">
            <v>잔금</v>
          </cell>
          <cell r="M983" t="str">
            <v>100만원 회사통장 계약</v>
          </cell>
          <cell r="N983">
            <v>3200</v>
          </cell>
          <cell r="P983">
            <v>0</v>
          </cell>
          <cell r="Q983" t="str">
            <v>done</v>
          </cell>
          <cell r="R983">
            <v>46204</v>
          </cell>
          <cell r="S983" t="str">
            <v>DONI</v>
          </cell>
          <cell r="T983" t="str">
            <v>DONI</v>
          </cell>
          <cell r="U983">
            <v>933682</v>
          </cell>
          <cell r="V983" t="str">
            <v>3 8 3 4 9 3 2 5 7 0 3</v>
          </cell>
          <cell r="W983" t="str">
            <v xml:space="preserve"> HYZRI TALLA OB 16 HY 1 NR 18
 Kosovë</v>
          </cell>
          <cell r="X983">
            <v>1534</v>
          </cell>
          <cell r="AB983">
            <v>1740</v>
          </cell>
          <cell r="AC983">
            <v>17536</v>
          </cell>
          <cell r="AD983">
            <v>1534</v>
          </cell>
          <cell r="AE983">
            <v>19070</v>
          </cell>
        </row>
        <row r="984">
          <cell r="A984">
            <v>984</v>
          </cell>
          <cell r="B984">
            <v>46198</v>
          </cell>
          <cell r="C984" t="str">
            <v>BMW 520D</v>
          </cell>
          <cell r="D984" t="str">
            <v>BMW</v>
          </cell>
          <cell r="E984" t="str">
            <v>520D</v>
          </cell>
          <cell r="G984" t="str">
            <v>26나4633</v>
          </cell>
          <cell r="H984" t="str">
            <v>WBAJC5106JWE54968</v>
          </cell>
          <cell r="I984">
            <v>46203</v>
          </cell>
          <cell r="J984" t="str">
            <v>㈜신원자동차</v>
          </cell>
          <cell r="L984" t="str">
            <v>잔금</v>
          </cell>
          <cell r="M984" t="str">
            <v>50만원 회사통장 계약</v>
          </cell>
          <cell r="N984">
            <v>2430</v>
          </cell>
          <cell r="P984">
            <v>0</v>
          </cell>
          <cell r="Q984" t="str">
            <v>done</v>
          </cell>
          <cell r="R984">
            <v>46206</v>
          </cell>
          <cell r="S984" t="str">
            <v>Auto Posh SH.P.K</v>
          </cell>
          <cell r="T984" t="str">
            <v>Auto Posh SH.P.K</v>
          </cell>
          <cell r="U984">
            <v>812219427</v>
          </cell>
          <cell r="V984" t="str">
            <v>38345560145</v>
          </cell>
          <cell r="W984" t="str">
            <v>KOSOVO</v>
          </cell>
          <cell r="X984">
            <v>1534</v>
          </cell>
          <cell r="AB984">
            <v>1740</v>
          </cell>
          <cell r="AC984">
            <v>13304</v>
          </cell>
          <cell r="AD984">
            <v>1446</v>
          </cell>
          <cell r="AE984">
            <v>14750</v>
          </cell>
          <cell r="AF984">
            <v>14830</v>
          </cell>
        </row>
        <row r="985">
          <cell r="A985">
            <v>985</v>
          </cell>
          <cell r="B985">
            <v>46198</v>
          </cell>
          <cell r="C985" t="str">
            <v>HYUNDAI SONATA</v>
          </cell>
          <cell r="D985" t="str">
            <v>HYUNDAI</v>
          </cell>
          <cell r="E985" t="str">
            <v>SONATA</v>
          </cell>
          <cell r="G985" t="str">
            <v>187주2605</v>
          </cell>
          <cell r="H985" t="str">
            <v>KMHE341DBFA016234</v>
          </cell>
          <cell r="I985">
            <v>46199</v>
          </cell>
          <cell r="J985" t="str">
            <v>경매장- KCAR</v>
          </cell>
          <cell r="L985" t="str">
            <v>잔금</v>
          </cell>
          <cell r="N985">
            <v>380</v>
          </cell>
          <cell r="O985">
            <v>16</v>
          </cell>
          <cell r="P985">
            <v>0</v>
          </cell>
          <cell r="Q985" t="str">
            <v>DONE</v>
          </cell>
          <cell r="R985">
            <v>46205</v>
          </cell>
          <cell r="S985" t="str">
            <v xml:space="preserve">Andrea Kasa </v>
          </cell>
          <cell r="T985" t="str">
            <v xml:space="preserve">Andrea Kasa </v>
          </cell>
          <cell r="U985" t="str">
            <v>K30122016U</v>
          </cell>
          <cell r="V985" t="str">
            <v>355 69 746 2556</v>
          </cell>
          <cell r="W985" t="str">
            <v>Albania</v>
          </cell>
          <cell r="X985">
            <v>1534</v>
          </cell>
          <cell r="AB985">
            <v>1740</v>
          </cell>
          <cell r="AC985">
            <v>2404</v>
          </cell>
          <cell r="AD985">
            <v>1446</v>
          </cell>
          <cell r="AE985">
            <v>3850</v>
          </cell>
          <cell r="AF985">
            <v>2200</v>
          </cell>
        </row>
        <row r="986">
          <cell r="A986">
            <v>986</v>
          </cell>
          <cell r="B986">
            <v>46198</v>
          </cell>
          <cell r="C986" t="str">
            <v xml:space="preserve">FERRARI </v>
          </cell>
          <cell r="D986" t="str">
            <v>FERRARI</v>
          </cell>
          <cell r="P986">
            <v>0</v>
          </cell>
          <cell r="Q986" t="str">
            <v>HEYMAN</v>
          </cell>
          <cell r="S986" t="str">
            <v>EASY DRIVE 🇧🇬</v>
          </cell>
          <cell r="T986" t="str">
            <v>Easy Drive LTD</v>
          </cell>
          <cell r="U986">
            <v>206557008</v>
          </cell>
          <cell r="V986" t="str">
            <v>359 89 936 8386</v>
          </cell>
          <cell r="W986" t="str">
            <v>ul. Sokolna 47
1444 Sofia
Bulgaria</v>
          </cell>
          <cell r="AC986">
            <v>0</v>
          </cell>
        </row>
        <row r="987">
          <cell r="A987">
            <v>987</v>
          </cell>
          <cell r="B987">
            <v>46198</v>
          </cell>
          <cell r="C987" t="str">
            <v>AUDI SQ5</v>
          </cell>
          <cell r="D987" t="str">
            <v>AUDI</v>
          </cell>
          <cell r="E987" t="str">
            <v>SQ5</v>
          </cell>
          <cell r="G987" t="str">
            <v>251조5318</v>
          </cell>
          <cell r="H987" t="str">
            <v>WAUZZZ8R5EA076946</v>
          </cell>
          <cell r="I987">
            <v>46203</v>
          </cell>
          <cell r="J987" t="str">
            <v>㈜제네럴모터스</v>
          </cell>
          <cell r="L987" t="str">
            <v>잔금</v>
          </cell>
          <cell r="M987" t="str">
            <v>50만원 회사통장 계약</v>
          </cell>
          <cell r="N987">
            <v>1500</v>
          </cell>
          <cell r="P987">
            <v>0</v>
          </cell>
          <cell r="Q987" t="str">
            <v>done</v>
          </cell>
          <cell r="R987">
            <v>46206</v>
          </cell>
          <cell r="S987" t="str">
            <v>RIZA</v>
          </cell>
          <cell r="T987" t="str">
            <v>Riza Qosja</v>
          </cell>
          <cell r="U987" t="str">
            <v>M33304205K</v>
          </cell>
          <cell r="V987" t="str">
            <v>355 682769063</v>
          </cell>
          <cell r="W987" t="str">
            <v>Albania</v>
          </cell>
          <cell r="X987">
            <v>1534</v>
          </cell>
          <cell r="AB987">
            <v>1740</v>
          </cell>
          <cell r="AC987">
            <v>8216</v>
          </cell>
          <cell r="AD987">
            <v>1534</v>
          </cell>
          <cell r="AE987">
            <v>9750</v>
          </cell>
          <cell r="AF987">
            <v>9750</v>
          </cell>
        </row>
        <row r="988">
          <cell r="A988">
            <v>988</v>
          </cell>
          <cell r="B988">
            <v>46199</v>
          </cell>
          <cell r="C988" t="str">
            <v>HYUNDAI TUCSON</v>
          </cell>
          <cell r="D988" t="str">
            <v>HYUNDAI</v>
          </cell>
          <cell r="E988" t="str">
            <v>TUCSON</v>
          </cell>
          <cell r="G988" t="str">
            <v>124누6917</v>
          </cell>
          <cell r="H988" t="str">
            <v>KMHJC81CBMU036322</v>
          </cell>
          <cell r="I988">
            <v>46199</v>
          </cell>
          <cell r="L988" t="str">
            <v>잔금</v>
          </cell>
          <cell r="M988" t="str">
            <v>50만원 회사통장 계약</v>
          </cell>
          <cell r="N988">
            <v>1700</v>
          </cell>
          <cell r="P988">
            <v>0</v>
          </cell>
          <cell r="Q988" t="str">
            <v>done</v>
          </cell>
          <cell r="R988">
            <v>46203</v>
          </cell>
          <cell r="S988" t="str">
            <v>EASY DRIVE 🇧🇬</v>
          </cell>
          <cell r="T988" t="str">
            <v>Easy Drive LTD</v>
          </cell>
          <cell r="U988">
            <v>206557008</v>
          </cell>
          <cell r="V988" t="str">
            <v>359 89 936 8386</v>
          </cell>
          <cell r="W988" t="str">
            <v>ul. Sokolna 47
1444 Sofia
Bulgaria</v>
          </cell>
          <cell r="AC988">
            <v>16254800</v>
          </cell>
        </row>
        <row r="989">
          <cell r="A989">
            <v>989</v>
          </cell>
          <cell r="B989">
            <v>46199</v>
          </cell>
          <cell r="C989" t="str">
            <v>Mercedes-Benz  E350</v>
          </cell>
          <cell r="D989" t="str">
            <v xml:space="preserve">Mercedes-Benz </v>
          </cell>
          <cell r="E989" t="str">
            <v>E350</v>
          </cell>
          <cell r="G989" t="str">
            <v>51어3688</v>
          </cell>
          <cell r="H989" t="str">
            <v>WDDHF5GB0AA239555</v>
          </cell>
          <cell r="I989">
            <v>46199</v>
          </cell>
          <cell r="J989" t="str">
            <v>㈜진모터스</v>
          </cell>
          <cell r="L989" t="str">
            <v>잔금</v>
          </cell>
          <cell r="M989" t="str">
            <v>50만원 회사통장 계약</v>
          </cell>
          <cell r="N989">
            <v>620</v>
          </cell>
          <cell r="P989">
            <v>0</v>
          </cell>
          <cell r="Q989" t="str">
            <v>done</v>
          </cell>
          <cell r="R989" t="str">
            <v>08-07-2026</v>
          </cell>
          <cell r="S989" t="str">
            <v>EASY DRIVE 🇧🇬</v>
          </cell>
          <cell r="T989" t="str">
            <v>Easy Drive LTD</v>
          </cell>
          <cell r="U989">
            <v>206557008</v>
          </cell>
          <cell r="V989" t="str">
            <v>359 89 936 8386</v>
          </cell>
          <cell r="W989" t="str">
            <v>ul. Sokolna 47
1444 Sofia
Bulgaria</v>
          </cell>
          <cell r="AC989">
            <v>6500000</v>
          </cell>
        </row>
        <row r="990">
          <cell r="A990">
            <v>990</v>
          </cell>
          <cell r="B990">
            <v>46199</v>
          </cell>
          <cell r="C990" t="str">
            <v>HYUNDAI PALISADE</v>
          </cell>
          <cell r="D990" t="str">
            <v>HYUNDAI</v>
          </cell>
          <cell r="E990" t="str">
            <v>PALISADE</v>
          </cell>
          <cell r="G990" t="str">
            <v>211누7601</v>
          </cell>
          <cell r="H990" t="str">
            <v>KMHR581EDPU604050</v>
          </cell>
          <cell r="I990">
            <v>46206</v>
          </cell>
          <cell r="J990" t="str">
            <v>㈜좋은 자동차</v>
          </cell>
          <cell r="L990" t="str">
            <v>잔금</v>
          </cell>
          <cell r="M990" t="str">
            <v>100만원 회사통장 계약</v>
          </cell>
          <cell r="N990">
            <v>3390</v>
          </cell>
          <cell r="P990">
            <v>0</v>
          </cell>
          <cell r="Q990" t="str">
            <v>done</v>
          </cell>
          <cell r="R990" t="str">
            <v>08-07-2026</v>
          </cell>
          <cell r="S990" t="str">
            <v>EASY DRIVE 🇧🇬</v>
          </cell>
          <cell r="T990" t="str">
            <v>Easy Drive LTD</v>
          </cell>
          <cell r="U990">
            <v>206557008</v>
          </cell>
          <cell r="V990" t="str">
            <v>359 89 936 8386</v>
          </cell>
          <cell r="W990" t="str">
            <v>ul. Sokolna 47
1444 Sofia
Bulgaria</v>
          </cell>
          <cell r="AC990">
            <v>32394000</v>
          </cell>
        </row>
        <row r="991">
          <cell r="A991">
            <v>991</v>
          </cell>
          <cell r="B991">
            <v>46202</v>
          </cell>
          <cell r="C991" t="str">
            <v>VOLKSWAGEN GOLF</v>
          </cell>
          <cell r="D991" t="str">
            <v>VOLKSWAGEN</v>
          </cell>
          <cell r="E991" t="str">
            <v>GOLF</v>
          </cell>
          <cell r="G991" t="str">
            <v>20어0454</v>
          </cell>
          <cell r="H991" t="str">
            <v>WVWZZZAUZGW021898</v>
          </cell>
          <cell r="I991">
            <v>46209</v>
          </cell>
          <cell r="J991" t="str">
            <v>㈜오토피아</v>
          </cell>
          <cell r="L991" t="str">
            <v>잔금</v>
          </cell>
          <cell r="M991" t="str">
            <v>50만원 대표님 계약</v>
          </cell>
          <cell r="N991">
            <v>970</v>
          </cell>
          <cell r="O991">
            <v>44</v>
          </cell>
          <cell r="P991">
            <v>0</v>
          </cell>
          <cell r="Q991" t="str">
            <v>done</v>
          </cell>
          <cell r="R991">
            <v>46212</v>
          </cell>
          <cell r="S991" t="str">
            <v>Auto Posh SH.P.K</v>
          </cell>
          <cell r="T991" t="str">
            <v>Auto Posh SH.P.K</v>
          </cell>
          <cell r="U991">
            <v>812219427</v>
          </cell>
          <cell r="V991" t="str">
            <v>38345560145</v>
          </cell>
          <cell r="W991" t="str">
            <v>KOSOVO</v>
          </cell>
          <cell r="X991">
            <v>1524</v>
          </cell>
          <cell r="AB991">
            <v>1734</v>
          </cell>
          <cell r="AC991">
            <v>5539</v>
          </cell>
          <cell r="AD991">
            <v>1441</v>
          </cell>
          <cell r="AE991">
            <v>6980</v>
          </cell>
        </row>
        <row r="992">
          <cell r="A992">
            <v>992</v>
          </cell>
          <cell r="B992">
            <v>46202</v>
          </cell>
          <cell r="C992" t="str">
            <v>HYUNDAI TUCSON</v>
          </cell>
          <cell r="D992" t="str">
            <v>HYUNDAI</v>
          </cell>
          <cell r="E992" t="str">
            <v>TUCSON</v>
          </cell>
          <cell r="G992" t="str">
            <v>11누8990</v>
          </cell>
          <cell r="H992" t="str">
            <v>KMHJ3815GGU011015</v>
          </cell>
          <cell r="I992">
            <v>46203</v>
          </cell>
          <cell r="J992" t="str">
            <v>㈜금평자동차매매상사</v>
          </cell>
          <cell r="L992" t="str">
            <v>잔금</v>
          </cell>
          <cell r="M992" t="str">
            <v>50만원 대표님 계약</v>
          </cell>
          <cell r="N992">
            <v>860</v>
          </cell>
          <cell r="P992">
            <v>0</v>
          </cell>
          <cell r="Q992" t="str">
            <v>done</v>
          </cell>
          <cell r="R992">
            <v>46206</v>
          </cell>
          <cell r="S992" t="str">
            <v>CALJA</v>
          </cell>
          <cell r="T992" t="str">
            <v>BRAHIMI NERTIL</v>
          </cell>
          <cell r="U992" t="str">
            <v>I50526022E</v>
          </cell>
          <cell r="V992" t="str">
            <v>355 69 550 5533</v>
          </cell>
          <cell r="W992" t="str">
            <v>Albania</v>
          </cell>
          <cell r="X992">
            <v>1524</v>
          </cell>
          <cell r="AB992">
            <v>1734</v>
          </cell>
          <cell r="AC992">
            <v>4851</v>
          </cell>
          <cell r="AD992">
            <v>1529</v>
          </cell>
          <cell r="AE992">
            <v>6380</v>
          </cell>
          <cell r="AF992">
            <v>7180</v>
          </cell>
        </row>
        <row r="993">
          <cell r="A993">
            <v>993</v>
          </cell>
          <cell r="B993">
            <v>46202</v>
          </cell>
          <cell r="C993" t="str">
            <v>AUDI A6</v>
          </cell>
          <cell r="D993" t="str">
            <v>AUDI</v>
          </cell>
          <cell r="E993" t="str">
            <v>A6</v>
          </cell>
          <cell r="G993" t="str">
            <v>263부1894</v>
          </cell>
          <cell r="H993" t="str">
            <v>WAUZZZF26MN023072</v>
          </cell>
          <cell r="I993">
            <v>46203</v>
          </cell>
          <cell r="J993" t="str">
            <v>㈜다빈치오토</v>
          </cell>
          <cell r="L993" t="str">
            <v>잔금</v>
          </cell>
          <cell r="M993" t="str">
            <v>100만원 대표님 계약</v>
          </cell>
          <cell r="N993">
            <v>2970</v>
          </cell>
          <cell r="P993">
            <v>0</v>
          </cell>
          <cell r="Q993" t="str">
            <v>done</v>
          </cell>
          <cell r="R993">
            <v>46206</v>
          </cell>
          <cell r="S993" t="str">
            <v>Auto Posh SH.P.K</v>
          </cell>
          <cell r="T993" t="str">
            <v>Auto Posh SH.P.K</v>
          </cell>
          <cell r="U993">
            <v>812219427</v>
          </cell>
          <cell r="V993" t="str">
            <v>38345560145</v>
          </cell>
          <cell r="W993" t="str">
            <v>KOSOVO</v>
          </cell>
          <cell r="X993">
            <v>1524</v>
          </cell>
          <cell r="AB993">
            <v>1734</v>
          </cell>
          <cell r="AC993">
            <v>16209</v>
          </cell>
          <cell r="AD993">
            <v>1441</v>
          </cell>
          <cell r="AE993">
            <v>17650</v>
          </cell>
        </row>
        <row r="994">
          <cell r="A994">
            <v>994</v>
          </cell>
          <cell r="B994">
            <v>46202</v>
          </cell>
          <cell r="C994" t="str">
            <v>VOLKSWAGEN TIGUAN</v>
          </cell>
          <cell r="D994" t="str">
            <v>VOLKSWAGEN</v>
          </cell>
          <cell r="E994" t="str">
            <v>TIGUAN</v>
          </cell>
          <cell r="G994" t="str">
            <v>141머3937</v>
          </cell>
          <cell r="H994" t="str">
            <v>WVGZZZ5NZMW543493</v>
          </cell>
          <cell r="I994">
            <v>46209</v>
          </cell>
          <cell r="J994" t="str">
            <v>㈜디에치모터스</v>
          </cell>
          <cell r="L994" t="str">
            <v>잔금</v>
          </cell>
          <cell r="M994" t="str">
            <v>100만원 대표님 계약</v>
          </cell>
          <cell r="N994">
            <v>2820</v>
          </cell>
          <cell r="P994">
            <v>0</v>
          </cell>
          <cell r="Q994" t="str">
            <v>done</v>
          </cell>
          <cell r="R994">
            <v>46212</v>
          </cell>
          <cell r="S994" t="str">
            <v>Auto Posh SH.P.K</v>
          </cell>
          <cell r="T994" t="str">
            <v>Auto Posh SH.P.K</v>
          </cell>
          <cell r="U994">
            <v>812219427</v>
          </cell>
          <cell r="V994" t="str">
            <v>38345560145</v>
          </cell>
          <cell r="W994" t="str">
            <v>KOSOVO</v>
          </cell>
          <cell r="X994">
            <v>1524</v>
          </cell>
          <cell r="AB994">
            <v>1734</v>
          </cell>
          <cell r="AC994">
            <v>15371</v>
          </cell>
          <cell r="AD994">
            <v>1529</v>
          </cell>
          <cell r="AE994">
            <v>16900</v>
          </cell>
        </row>
        <row r="995">
          <cell r="A995">
            <v>995</v>
          </cell>
          <cell r="B995">
            <v>46202</v>
          </cell>
          <cell r="C995" t="str">
            <v>AUDI Q7</v>
          </cell>
          <cell r="D995" t="str">
            <v>AUDI</v>
          </cell>
          <cell r="E995" t="str">
            <v>Q7</v>
          </cell>
          <cell r="G995" t="str">
            <v>69구0179</v>
          </cell>
          <cell r="H995" t="str">
            <v>WAUZZZ4M3GD041009</v>
          </cell>
          <cell r="I995">
            <v>46203</v>
          </cell>
          <cell r="J995" t="str">
            <v>㈜통일모터스</v>
          </cell>
          <cell r="L995" t="str">
            <v>잔금</v>
          </cell>
          <cell r="M995" t="str">
            <v>100만원 대표님 계약</v>
          </cell>
          <cell r="N995">
            <v>2850</v>
          </cell>
          <cell r="P995">
            <v>0</v>
          </cell>
          <cell r="Q995" t="str">
            <v>DONE</v>
          </cell>
          <cell r="R995">
            <v>46205</v>
          </cell>
          <cell r="S995" t="str">
            <v xml:space="preserve">Andrea Kasa </v>
          </cell>
          <cell r="T995" t="str">
            <v>Sindi Xhyra</v>
          </cell>
          <cell r="U995" t="str">
            <v>K25514045O</v>
          </cell>
          <cell r="V995" t="str">
            <v>355 69 746 2556</v>
          </cell>
          <cell r="W995" t="str">
            <v>Albania</v>
          </cell>
          <cell r="X995">
            <v>1524</v>
          </cell>
          <cell r="AB995">
            <v>1734</v>
          </cell>
          <cell r="AC995">
            <v>15583</v>
          </cell>
          <cell r="AD995">
            <v>1617</v>
          </cell>
          <cell r="AE995">
            <v>17200</v>
          </cell>
          <cell r="AF995">
            <v>21550</v>
          </cell>
        </row>
        <row r="996">
          <cell r="A996">
            <v>996</v>
          </cell>
          <cell r="B996">
            <v>46202</v>
          </cell>
          <cell r="C996" t="str">
            <v>BMW 320D</v>
          </cell>
          <cell r="D996" t="str">
            <v>BMW</v>
          </cell>
          <cell r="E996" t="str">
            <v>320D</v>
          </cell>
          <cell r="G996" t="str">
            <v>175나2276</v>
          </cell>
          <cell r="H996" t="str">
            <v>WBA8C5101GK634175</v>
          </cell>
          <cell r="I996">
            <v>46203</v>
          </cell>
          <cell r="J996" t="str">
            <v>㈜카베이</v>
          </cell>
          <cell r="L996" t="str">
            <v>잔금</v>
          </cell>
          <cell r="M996" t="str">
            <v>50만원 대표님 계약</v>
          </cell>
          <cell r="N996">
            <v>1094</v>
          </cell>
          <cell r="P996">
            <v>0</v>
          </cell>
          <cell r="Q996" t="str">
            <v>done</v>
          </cell>
          <cell r="R996" t="str">
            <v>CON2</v>
          </cell>
          <cell r="S996" t="str">
            <v>DAX IMPORT</v>
          </cell>
          <cell r="T996" t="str">
            <v xml:space="preserve">Michael Karl  </v>
          </cell>
          <cell r="U996" t="str">
            <v>LF9N8WZ16</v>
          </cell>
          <cell r="V996" t="str">
            <v>‪+49 471 94189050‬</v>
          </cell>
          <cell r="W996" t="str">
            <v xml:space="preserve">Dorfstr,33C,(82024) Taufkirchen, Germany </v>
          </cell>
          <cell r="X996">
            <v>1524</v>
          </cell>
          <cell r="AB996">
            <v>1734</v>
          </cell>
          <cell r="AC996">
            <v>6070</v>
          </cell>
        </row>
        <row r="997">
          <cell r="A997">
            <v>997</v>
          </cell>
          <cell r="B997">
            <v>46202</v>
          </cell>
          <cell r="C997" t="str">
            <v>BMW 320D</v>
          </cell>
          <cell r="D997" t="str">
            <v>BMW</v>
          </cell>
          <cell r="E997" t="str">
            <v>320D</v>
          </cell>
          <cell r="G997" t="str">
            <v>31다0180</v>
          </cell>
          <cell r="H997" t="str">
            <v>WBA3D3101FK613949</v>
          </cell>
          <cell r="I997">
            <v>46206</v>
          </cell>
          <cell r="J997" t="str">
            <v>㈜오토피아</v>
          </cell>
          <cell r="L997" t="str">
            <v>잔금</v>
          </cell>
          <cell r="M997" t="str">
            <v>50만원 대표님 계약</v>
          </cell>
          <cell r="N997">
            <v>970</v>
          </cell>
          <cell r="O997">
            <v>44</v>
          </cell>
          <cell r="P997">
            <v>0</v>
          </cell>
          <cell r="Q997" t="str">
            <v>done</v>
          </cell>
          <cell r="R997" t="str">
            <v>08-07-2026</v>
          </cell>
          <cell r="S997" t="str">
            <v>EASY DRIVE 🇧🇬</v>
          </cell>
          <cell r="T997" t="str">
            <v>Easy Drive LTD</v>
          </cell>
          <cell r="U997">
            <v>206557008</v>
          </cell>
          <cell r="V997" t="str">
            <v>359 89 936 8386</v>
          </cell>
          <cell r="W997" t="str">
            <v>ul. Sokolna 47
1444 Sofia
Bulgaria</v>
          </cell>
          <cell r="AC997">
            <v>9850000</v>
          </cell>
        </row>
        <row r="998">
          <cell r="A998">
            <v>998</v>
          </cell>
          <cell r="B998">
            <v>46202</v>
          </cell>
          <cell r="C998" t="str">
            <v>BENZ C220D</v>
          </cell>
          <cell r="D998" t="str">
            <v>BENZ</v>
          </cell>
          <cell r="E998" t="str">
            <v>C220D</v>
          </cell>
          <cell r="G998" t="str">
            <v>11보2364</v>
          </cell>
          <cell r="H998" t="str">
            <v>WDDWF0EB0GF231271</v>
          </cell>
          <cell r="I998">
            <v>46203</v>
          </cell>
          <cell r="J998" t="str">
            <v>㈜하이엔드중고사업부</v>
          </cell>
          <cell r="L998" t="str">
            <v>잔금</v>
          </cell>
          <cell r="M998" t="str">
            <v>50만원 대표님 계약</v>
          </cell>
          <cell r="N998">
            <v>1420</v>
          </cell>
          <cell r="P998">
            <v>0</v>
          </cell>
          <cell r="Q998" t="str">
            <v>done</v>
          </cell>
          <cell r="R998" t="str">
            <v>CON2</v>
          </cell>
          <cell r="S998" t="str">
            <v>DAX IMPORT</v>
          </cell>
          <cell r="T998" t="str">
            <v xml:space="preserve">Michael Karl  </v>
          </cell>
          <cell r="U998" t="str">
            <v>LF9N8WZ16</v>
          </cell>
          <cell r="V998" t="str">
            <v>‪+49 471 94189050‬</v>
          </cell>
          <cell r="W998" t="str">
            <v xml:space="preserve">Dorfstr,33C,(82024) Taufkirchen, Germany </v>
          </cell>
          <cell r="X998">
            <v>1524</v>
          </cell>
          <cell r="AB998">
            <v>1734</v>
          </cell>
          <cell r="AC998">
            <v>7820</v>
          </cell>
        </row>
        <row r="999">
          <cell r="A999">
            <v>999</v>
          </cell>
          <cell r="B999">
            <v>46202</v>
          </cell>
          <cell r="C999" t="str">
            <v>BMW M3 Convertible</v>
          </cell>
          <cell r="D999" t="str">
            <v>BMW</v>
          </cell>
          <cell r="E999" t="str">
            <v>M3 Convertible</v>
          </cell>
          <cell r="G999" t="str">
            <v>19거2771</v>
          </cell>
          <cell r="H999" t="str">
            <v>WBSDX9104DJ495991</v>
          </cell>
          <cell r="I999">
            <v>46209</v>
          </cell>
          <cell r="J999" t="str">
            <v>개인매입- 윤형철 010 3401 9767</v>
          </cell>
          <cell r="L999" t="str">
            <v>잔금</v>
          </cell>
          <cell r="M999" t="str">
            <v>100만원 회사통장 계약</v>
          </cell>
          <cell r="N999">
            <v>6400</v>
          </cell>
          <cell r="P999">
            <v>0</v>
          </cell>
          <cell r="Q999" t="str">
            <v>done</v>
          </cell>
          <cell r="R999" t="str">
            <v>CON1</v>
          </cell>
          <cell r="S999" t="str">
            <v>DAX IMPORT</v>
          </cell>
          <cell r="T999" t="str">
            <v xml:space="preserve">Michael Karl  </v>
          </cell>
          <cell r="U999" t="str">
            <v>LF9N8WZ16</v>
          </cell>
          <cell r="V999" t="str">
            <v>‪+49 471 94189050‬</v>
          </cell>
          <cell r="W999" t="str">
            <v xml:space="preserve">Dorfstr,33C,(82024) Taufkirchen, Germany </v>
          </cell>
          <cell r="X999">
            <v>1524</v>
          </cell>
          <cell r="AB999">
            <v>1734</v>
          </cell>
          <cell r="AC999">
            <v>35070</v>
          </cell>
        </row>
        <row r="1000">
          <cell r="A1000">
            <v>1000</v>
          </cell>
          <cell r="B1000">
            <v>46203</v>
          </cell>
          <cell r="C1000" t="str">
            <v>VOLKSWAGEN ARTEON</v>
          </cell>
          <cell r="D1000" t="str">
            <v>VOLKSWAGEN</v>
          </cell>
          <cell r="E1000" t="str">
            <v>ARTEON</v>
          </cell>
          <cell r="G1000" t="str">
            <v>284저8472</v>
          </cell>
          <cell r="H1000" t="str">
            <v>WVWZZZ3HZKE009477</v>
          </cell>
          <cell r="I1000">
            <v>46209</v>
          </cell>
          <cell r="J1000" t="str">
            <v>㈜유씨에스오토</v>
          </cell>
          <cell r="L1000" t="str">
            <v>잔금</v>
          </cell>
          <cell r="M1000" t="str">
            <v>50만원 대표님 계약</v>
          </cell>
          <cell r="N1000">
            <v>2024</v>
          </cell>
          <cell r="P1000">
            <v>0</v>
          </cell>
          <cell r="Q1000" t="str">
            <v>done</v>
          </cell>
          <cell r="R1000">
            <v>46212</v>
          </cell>
          <cell r="S1000" t="str">
            <v>Auto Posh SH.P.K</v>
          </cell>
          <cell r="T1000" t="str">
            <v>Auto Posh SH.P.K</v>
          </cell>
          <cell r="U1000">
            <v>812219427</v>
          </cell>
          <cell r="V1000" t="str">
            <v>38345560145</v>
          </cell>
          <cell r="W1000" t="str">
            <v>KOSOVO</v>
          </cell>
          <cell r="X1000">
            <v>1533</v>
          </cell>
          <cell r="AB1000">
            <v>1750</v>
          </cell>
          <cell r="AC1000">
            <v>11163</v>
          </cell>
          <cell r="AD1000">
            <v>1437</v>
          </cell>
          <cell r="AE1000">
            <v>12600</v>
          </cell>
        </row>
        <row r="1001">
          <cell r="A1001">
            <v>1001</v>
          </cell>
          <cell r="B1001">
            <v>46203</v>
          </cell>
          <cell r="C1001" t="str">
            <v>HYUNDAI PALISADE</v>
          </cell>
          <cell r="D1001" t="str">
            <v>HYUNDAI</v>
          </cell>
          <cell r="E1001" t="str">
            <v>PALISADE</v>
          </cell>
          <cell r="G1001" t="str">
            <v>255나7744</v>
          </cell>
          <cell r="H1001" t="str">
            <v>KMHR581EDPU548864</v>
          </cell>
          <cell r="I1001">
            <v>46206</v>
          </cell>
          <cell r="J1001" t="str">
            <v>㈜</v>
          </cell>
          <cell r="L1001" t="str">
            <v>잔금</v>
          </cell>
          <cell r="M1001" t="str">
            <v>100만원 대표님 계약</v>
          </cell>
          <cell r="N1001">
            <v>3070</v>
          </cell>
          <cell r="P1001">
            <v>0</v>
          </cell>
          <cell r="Q1001" t="str">
            <v>done</v>
          </cell>
          <cell r="R1001" t="str">
            <v>08-07-2026</v>
          </cell>
          <cell r="S1001" t="str">
            <v>EASY DRIVE 🇧🇬</v>
          </cell>
          <cell r="T1001" t="str">
            <v>Easy Drive LTD</v>
          </cell>
          <cell r="U1001">
            <v>206557008</v>
          </cell>
          <cell r="V1001" t="str">
            <v>359 89 936 8386</v>
          </cell>
          <cell r="W1001" t="str">
            <v>ul. Sokolna 47
1444 Sofia
Bulgaria</v>
          </cell>
          <cell r="AC1001">
            <v>29529300</v>
          </cell>
          <cell r="AF1001">
            <v>200000</v>
          </cell>
        </row>
        <row r="1002">
          <cell r="A1002">
            <v>1002</v>
          </cell>
          <cell r="B1002">
            <v>46204</v>
          </cell>
          <cell r="C1002" t="str">
            <v>AUDI A7</v>
          </cell>
          <cell r="D1002" t="str">
            <v>AUDI</v>
          </cell>
          <cell r="E1002" t="str">
            <v>A7</v>
          </cell>
          <cell r="G1002" t="str">
            <v>37고7359</v>
          </cell>
          <cell r="H1002" t="str">
            <v xml:space="preserve">WAUZZZ4G4GN018780 </v>
          </cell>
          <cell r="I1002">
            <v>46209</v>
          </cell>
          <cell r="J1002" t="str">
            <v>㈜더오토프라임</v>
          </cell>
          <cell r="L1002" t="str">
            <v>잔금</v>
          </cell>
          <cell r="M1002" t="str">
            <v>50만원 대표님 계약</v>
          </cell>
          <cell r="N1002">
            <v>1270</v>
          </cell>
          <cell r="P1002">
            <v>0</v>
          </cell>
          <cell r="Q1002" t="str">
            <v>done</v>
          </cell>
          <cell r="R1002">
            <v>46212</v>
          </cell>
          <cell r="S1002" t="str">
            <v>RIZA</v>
          </cell>
          <cell r="T1002" t="str">
            <v>Riza Qosja</v>
          </cell>
          <cell r="U1002" t="str">
            <v>M33304205K</v>
          </cell>
          <cell r="V1002" t="str">
            <v>355 682769063</v>
          </cell>
          <cell r="W1002" t="str">
            <v>Albania</v>
          </cell>
          <cell r="X1002">
            <v>1541</v>
          </cell>
          <cell r="AB1002">
            <v>1758</v>
          </cell>
          <cell r="AC1002">
            <v>7250</v>
          </cell>
          <cell r="AD1002">
            <v>1700</v>
          </cell>
          <cell r="AE1002">
            <v>8950</v>
          </cell>
          <cell r="AF1002">
            <v>8390</v>
          </cell>
        </row>
        <row r="1003">
          <cell r="A1003">
            <v>1003</v>
          </cell>
          <cell r="B1003">
            <v>46204</v>
          </cell>
          <cell r="C1003" t="str">
            <v>BENZ A200</v>
          </cell>
          <cell r="D1003" t="str">
            <v>BENZ</v>
          </cell>
          <cell r="E1003" t="str">
            <v>A200</v>
          </cell>
          <cell r="G1003" t="str">
            <v>69가5237</v>
          </cell>
          <cell r="H1003" t="str">
            <v>WDDBF4DB8HJ530156</v>
          </cell>
          <cell r="I1003">
            <v>46213</v>
          </cell>
          <cell r="J1003" t="str">
            <v>㈜유니앤모터스</v>
          </cell>
          <cell r="L1003" t="str">
            <v>잔금</v>
          </cell>
          <cell r="M1003" t="str">
            <v>50만원 대표님 계약 + 회사 통장 50</v>
          </cell>
          <cell r="N1003">
            <v>1054</v>
          </cell>
          <cell r="P1003">
            <v>0</v>
          </cell>
          <cell r="Q1003" t="str">
            <v>DONE</v>
          </cell>
          <cell r="R1003">
            <v>46224</v>
          </cell>
          <cell r="S1003" t="str">
            <v>BUTRINT</v>
          </cell>
          <cell r="T1003" t="str">
            <v>BYTYQI MEHDI</v>
          </cell>
          <cell r="U1003">
            <v>2030161907</v>
          </cell>
          <cell r="V1003" t="str">
            <v>386 49 776 654</v>
          </cell>
          <cell r="W1003" t="str">
            <v>Kosovo</v>
          </cell>
          <cell r="X1003">
            <v>1531</v>
          </cell>
          <cell r="AB1003">
            <v>1748</v>
          </cell>
          <cell r="AC1003">
            <v>5964</v>
          </cell>
          <cell r="AD1003">
            <v>1436</v>
          </cell>
          <cell r="AE1003">
            <v>7400</v>
          </cell>
          <cell r="AF1003">
            <v>6400</v>
          </cell>
        </row>
        <row r="1004">
          <cell r="A1004">
            <v>1004</v>
          </cell>
          <cell r="B1004">
            <v>46204</v>
          </cell>
          <cell r="C1004" t="str">
            <v>MERCEDES AMG E53 4Matic + Coupe</v>
          </cell>
          <cell r="D1004" t="str">
            <v>MERCEDES</v>
          </cell>
          <cell r="E1004" t="str">
            <v>AMG E53 4Matic + Coupe</v>
          </cell>
          <cell r="G1004" t="str">
            <v>256구9472</v>
          </cell>
          <cell r="H1004" t="str">
            <v>W1K1J6BB2LF136866</v>
          </cell>
          <cell r="J1004" t="str">
            <v>㈜뉴카카</v>
          </cell>
          <cell r="L1004" t="str">
            <v>취소</v>
          </cell>
          <cell r="N1004">
            <v>4450</v>
          </cell>
          <cell r="P1004">
            <v>0</v>
          </cell>
          <cell r="S1004" t="str">
            <v>DAX IMPORT</v>
          </cell>
          <cell r="T1004" t="str">
            <v xml:space="preserve">Michael Karl  </v>
          </cell>
          <cell r="U1004" t="str">
            <v>LF9N8WZ16</v>
          </cell>
          <cell r="V1004" t="str">
            <v>‪+49 471 94189050‬</v>
          </cell>
          <cell r="W1004" t="str">
            <v xml:space="preserve">Dorfstr,33C,(82024) Taufkirchen, Germany </v>
          </cell>
          <cell r="X1004">
            <v>1531</v>
          </cell>
          <cell r="AB1004">
            <v>1748</v>
          </cell>
          <cell r="AC1004">
            <v>0</v>
          </cell>
        </row>
        <row r="1005">
          <cell r="A1005">
            <v>1005</v>
          </cell>
          <cell r="B1005">
            <v>46204</v>
          </cell>
          <cell r="C1005" t="str">
            <v>MERCEDES GLC250</v>
          </cell>
          <cell r="D1005" t="str">
            <v>MERCEDES</v>
          </cell>
          <cell r="E1005" t="str">
            <v>GLC250</v>
          </cell>
          <cell r="G1005" t="str">
            <v>46더2645</v>
          </cell>
          <cell r="H1005" t="str">
            <v>WDC0G0KBXJF417063</v>
          </cell>
          <cell r="I1005">
            <v>46209</v>
          </cell>
          <cell r="L1005" t="str">
            <v>잔금</v>
          </cell>
          <cell r="M1005" t="str">
            <v>70만원 회사통장 계약</v>
          </cell>
          <cell r="N1005">
            <v>2300</v>
          </cell>
          <cell r="P1005">
            <v>0</v>
          </cell>
          <cell r="Q1005" t="str">
            <v>done</v>
          </cell>
          <cell r="R1005">
            <v>46218</v>
          </cell>
          <cell r="S1005" t="str">
            <v>VIBE KOREA</v>
          </cell>
          <cell r="T1005" t="str">
            <v>MIRDITA NIKSON</v>
          </cell>
          <cell r="U1005">
            <v>1164926</v>
          </cell>
          <cell r="V1005">
            <v>38345609813</v>
          </cell>
          <cell r="W1005" t="str">
            <v>Kosovo</v>
          </cell>
          <cell r="X1005">
            <v>1541</v>
          </cell>
          <cell r="AB1005">
            <v>1753</v>
          </cell>
          <cell r="AC1005">
            <v>12540</v>
          </cell>
          <cell r="AD1005">
            <v>1530</v>
          </cell>
          <cell r="AE1005">
            <v>14070</v>
          </cell>
          <cell r="AF1005">
            <v>14300</v>
          </cell>
        </row>
        <row r="1006">
          <cell r="A1006">
            <v>1006</v>
          </cell>
          <cell r="B1006">
            <v>46205</v>
          </cell>
          <cell r="C1006" t="str">
            <v>discovery sport</v>
          </cell>
          <cell r="D1006" t="str">
            <v>discovery</v>
          </cell>
          <cell r="E1006" t="str">
            <v>sport</v>
          </cell>
          <cell r="G1006" t="str">
            <v>25보8402</v>
          </cell>
          <cell r="H1006" t="str">
            <v>SALCA2BNXHH671941</v>
          </cell>
          <cell r="I1006">
            <v>46209</v>
          </cell>
          <cell r="J1006" t="str">
            <v>㈜카팔</v>
          </cell>
          <cell r="L1006" t="str">
            <v>잔금</v>
          </cell>
          <cell r="M1006" t="str">
            <v>50만원 대표님 계약</v>
          </cell>
          <cell r="N1006">
            <v>780</v>
          </cell>
          <cell r="P1006">
            <v>0</v>
          </cell>
          <cell r="Q1006" t="str">
            <v>done</v>
          </cell>
          <cell r="R1006">
            <v>46214</v>
          </cell>
          <cell r="S1006" t="str">
            <v>Auto Posh SH.P.K</v>
          </cell>
          <cell r="T1006" t="str">
            <v>Auto Posh SH.P.K</v>
          </cell>
          <cell r="U1006">
            <v>812219427</v>
          </cell>
          <cell r="V1006" t="str">
            <v>38345560145</v>
          </cell>
          <cell r="W1006" t="str">
            <v>KOSOVO</v>
          </cell>
          <cell r="X1006">
            <v>1531</v>
          </cell>
          <cell r="AB1006">
            <v>1748</v>
          </cell>
          <cell r="AC1006">
            <v>4358</v>
          </cell>
          <cell r="AD1006">
            <v>1612</v>
          </cell>
          <cell r="AE1006">
            <v>5970</v>
          </cell>
        </row>
        <row r="1007">
          <cell r="A1007">
            <v>1007</v>
          </cell>
          <cell r="B1007">
            <v>46204</v>
          </cell>
          <cell r="C1007" t="str">
            <v>HYUNDAI TUCSON</v>
          </cell>
          <cell r="D1007" t="str">
            <v>HYUNDAI</v>
          </cell>
          <cell r="E1007" t="str">
            <v>TUCSON</v>
          </cell>
          <cell r="G1007" t="str">
            <v>167허5046</v>
          </cell>
          <cell r="H1007" t="str">
            <v>KMHJC81CBMU016190</v>
          </cell>
          <cell r="I1007">
            <v>46205</v>
          </cell>
          <cell r="J1007" t="str">
            <v>경매장 -AJ</v>
          </cell>
          <cell r="L1007" t="str">
            <v>잔금</v>
          </cell>
          <cell r="N1007">
            <v>1515</v>
          </cell>
          <cell r="O1007">
            <v>40</v>
          </cell>
          <cell r="P1007">
            <v>0</v>
          </cell>
          <cell r="Q1007" t="str">
            <v>done</v>
          </cell>
          <cell r="R1007">
            <v>46212</v>
          </cell>
          <cell r="S1007" t="str">
            <v>CALJA</v>
          </cell>
          <cell r="T1007" t="str">
            <v>MULLA GEART</v>
          </cell>
          <cell r="U1007" t="str">
            <v>I81203042O</v>
          </cell>
          <cell r="V1007" t="str">
            <v>355 69 550 5533</v>
          </cell>
          <cell r="W1007" t="str">
            <v>Albania</v>
          </cell>
          <cell r="X1007">
            <v>1524</v>
          </cell>
          <cell r="AB1007">
            <v>1734</v>
          </cell>
          <cell r="AC1007">
            <v>8511</v>
          </cell>
          <cell r="AD1007">
            <v>1529</v>
          </cell>
          <cell r="AE1007">
            <v>10040</v>
          </cell>
          <cell r="AF1007">
            <v>11000</v>
          </cell>
        </row>
        <row r="1008">
          <cell r="A1008">
            <v>1008</v>
          </cell>
          <cell r="B1008">
            <v>46204</v>
          </cell>
          <cell r="C1008" t="str">
            <v>MERCEDES CLS450</v>
          </cell>
          <cell r="D1008" t="str">
            <v>MERCEDES</v>
          </cell>
          <cell r="E1008" t="str">
            <v>CLS450</v>
          </cell>
          <cell r="G1008" t="str">
            <v>160고6461</v>
          </cell>
          <cell r="H1008" t="str">
            <v>WDDLJ9HB6HA199264</v>
          </cell>
          <cell r="I1008">
            <v>46206</v>
          </cell>
          <cell r="J1008" t="str">
            <v>경매장 -AJ</v>
          </cell>
          <cell r="L1008" t="str">
            <v>잔금</v>
          </cell>
          <cell r="N1008">
            <v>1250</v>
          </cell>
          <cell r="O1008">
            <v>32</v>
          </cell>
          <cell r="P1008">
            <v>0</v>
          </cell>
          <cell r="Q1008" t="str">
            <v>done</v>
          </cell>
          <cell r="R1008" t="str">
            <v>08-07-2026</v>
          </cell>
          <cell r="S1008" t="str">
            <v>R.S.h L.L.C.</v>
          </cell>
          <cell r="T1008" t="str">
            <v>R.Sh L.L.C.</v>
          </cell>
          <cell r="U1008">
            <v>812326016</v>
          </cell>
          <cell r="V1008" t="str">
            <v>+383486 611 61</v>
          </cell>
          <cell r="W1008" t="str">
            <v>Kosovo</v>
          </cell>
          <cell r="X1008">
            <v>1515</v>
          </cell>
          <cell r="AB1008">
            <v>1733</v>
          </cell>
          <cell r="AC1008">
            <v>7135</v>
          </cell>
          <cell r="AD1008">
            <v>1695</v>
          </cell>
          <cell r="AE1008">
            <v>8830</v>
          </cell>
          <cell r="AF1008">
            <v>8570</v>
          </cell>
        </row>
        <row r="1009">
          <cell r="A1009">
            <v>1009</v>
          </cell>
          <cell r="B1009">
            <v>46204</v>
          </cell>
          <cell r="C1009" t="str">
            <v>KIA SORENTO</v>
          </cell>
          <cell r="D1009" t="str">
            <v>KIA</v>
          </cell>
          <cell r="E1009" t="str">
            <v>SORENTO</v>
          </cell>
          <cell r="G1009" t="str">
            <v>157호5833</v>
          </cell>
          <cell r="H1009" t="str">
            <v>KNARH81BGMA107700</v>
          </cell>
          <cell r="I1009">
            <v>46206</v>
          </cell>
          <cell r="J1009" t="str">
            <v>경매장 -kcar</v>
          </cell>
          <cell r="L1009" t="str">
            <v>잔금</v>
          </cell>
          <cell r="N1009">
            <v>1730</v>
          </cell>
          <cell r="O1009">
            <v>40</v>
          </cell>
          <cell r="P1009">
            <v>0</v>
          </cell>
          <cell r="Q1009" t="str">
            <v>done</v>
          </cell>
          <cell r="R1009" t="str">
            <v>CON 2</v>
          </cell>
          <cell r="S1009" t="str">
            <v>MANTAS</v>
          </cell>
          <cell r="T1009" t="str">
            <v>UAB GRALIS</v>
          </cell>
          <cell r="U1009">
            <v>179285533</v>
          </cell>
          <cell r="V1009" t="str">
            <v>370 (618) 11 666</v>
          </cell>
          <cell r="W1009" t="str">
            <v xml:space="preserve">Jūros g. 33, Tauragė  </v>
          </cell>
          <cell r="X1009">
            <v>1495</v>
          </cell>
          <cell r="AC1009">
            <v>11425</v>
          </cell>
          <cell r="AD1009">
            <v>1575</v>
          </cell>
          <cell r="AE1009">
            <v>13000</v>
          </cell>
          <cell r="AF1009">
            <v>11475</v>
          </cell>
        </row>
        <row r="1010">
          <cell r="A1010">
            <v>1010</v>
          </cell>
          <cell r="B1010">
            <v>46204</v>
          </cell>
          <cell r="C1010" t="str">
            <v>AUDI A4</v>
          </cell>
          <cell r="D1010" t="str">
            <v>AUDI</v>
          </cell>
          <cell r="E1010" t="str">
            <v>A4</v>
          </cell>
          <cell r="G1010" t="str">
            <v>235오3162</v>
          </cell>
          <cell r="H1010" t="str">
            <v>WAUZZZF40PA016857</v>
          </cell>
          <cell r="I1010">
            <v>46218</v>
          </cell>
          <cell r="J1010" t="str">
            <v>㈜위본</v>
          </cell>
          <cell r="L1010" t="str">
            <v>잔금</v>
          </cell>
          <cell r="M1010" t="str">
            <v>200만원 회사통장 계약</v>
          </cell>
          <cell r="N1010">
            <v>3050</v>
          </cell>
          <cell r="P1010">
            <v>0</v>
          </cell>
          <cell r="Q1010" t="str">
            <v>done</v>
          </cell>
          <cell r="R1010">
            <v>46223</v>
          </cell>
          <cell r="S1010" t="str">
            <v>BUTRINT</v>
          </cell>
          <cell r="T1010" t="str">
            <v>VENENO GROUP SHPK</v>
          </cell>
          <cell r="U1010">
            <v>812449553</v>
          </cell>
          <cell r="V1010" t="str">
            <v>386 49 776 654</v>
          </cell>
          <cell r="W1010" t="str">
            <v>Kosovo</v>
          </cell>
          <cell r="X1010">
            <v>1531</v>
          </cell>
          <cell r="AB1010">
            <v>1748</v>
          </cell>
          <cell r="AC1010">
            <v>16624</v>
          </cell>
          <cell r="AD1010">
            <v>1436</v>
          </cell>
          <cell r="AE1010">
            <v>18060</v>
          </cell>
          <cell r="AF1010">
            <v>19060</v>
          </cell>
        </row>
        <row r="1011">
          <cell r="A1011">
            <v>1011</v>
          </cell>
          <cell r="B1011">
            <v>46204</v>
          </cell>
          <cell r="C1011" t="str">
            <v>AUDI A6</v>
          </cell>
          <cell r="D1011" t="str">
            <v>AUDI</v>
          </cell>
          <cell r="E1011" t="str">
            <v>A6</v>
          </cell>
          <cell r="G1011" t="str">
            <v>58주9117</v>
          </cell>
          <cell r="H1011" t="str">
            <v>WAUZZZ4G5CN125248</v>
          </cell>
          <cell r="I1011">
            <v>46206</v>
          </cell>
          <cell r="J1011" t="str">
            <v>㈜제네럴모터스</v>
          </cell>
          <cell r="L1011" t="str">
            <v>잔금</v>
          </cell>
          <cell r="N1011">
            <v>620</v>
          </cell>
          <cell r="P1011">
            <v>0</v>
          </cell>
          <cell r="Q1011" t="str">
            <v>done</v>
          </cell>
          <cell r="R1011">
            <v>46209</v>
          </cell>
          <cell r="S1011" t="str">
            <v>BEN</v>
          </cell>
          <cell r="T1011" t="str">
            <v>Evo Prestige &amp; Classic Cars</v>
          </cell>
          <cell r="U1011" t="str">
            <v>945.390.052.00013</v>
          </cell>
          <cell r="V1011" t="str">
            <v xml:space="preserve"> 33 649 5005 94</v>
          </cell>
          <cell r="W1011" t="str">
            <v>2 rue de le ferronnerie 
43000 Polignac</v>
          </cell>
          <cell r="X1011">
            <v>1531</v>
          </cell>
          <cell r="AB1011">
            <v>1748</v>
          </cell>
          <cell r="AC1011">
            <v>3720</v>
          </cell>
          <cell r="AD1011">
            <v>1750</v>
          </cell>
          <cell r="AF1011">
            <v>5470</v>
          </cell>
        </row>
        <row r="1012">
          <cell r="A1012">
            <v>1012</v>
          </cell>
          <cell r="B1012">
            <v>46204</v>
          </cell>
          <cell r="C1012" t="str">
            <v>KIA K5</v>
          </cell>
          <cell r="D1012" t="str">
            <v>KIA</v>
          </cell>
          <cell r="E1012" t="str">
            <v>K5</v>
          </cell>
          <cell r="G1012" t="str">
            <v>235다6559</v>
          </cell>
          <cell r="H1012" t="str">
            <v>KNAG3412BPA222750</v>
          </cell>
          <cell r="I1012">
            <v>46209</v>
          </cell>
          <cell r="L1012" t="str">
            <v>잔금</v>
          </cell>
          <cell r="M1012" t="str">
            <v>70만원 회사통장 계약</v>
          </cell>
          <cell r="N1012">
            <v>2370</v>
          </cell>
          <cell r="P1012">
            <v>0</v>
          </cell>
          <cell r="Q1012" t="str">
            <v>done</v>
          </cell>
          <cell r="R1012" t="str">
            <v>08-07-2026</v>
          </cell>
          <cell r="S1012" t="str">
            <v>EASY DRIVE 🇧🇬</v>
          </cell>
          <cell r="T1012" t="str">
            <v>Easy Drive LTD</v>
          </cell>
          <cell r="U1012">
            <v>206557008</v>
          </cell>
          <cell r="V1012" t="str">
            <v>359 89 936 8386</v>
          </cell>
          <cell r="W1012" t="str">
            <v>ul. Sokolna 47
1444 Sofia
Bulgaria</v>
          </cell>
          <cell r="AC1012">
            <v>22653300</v>
          </cell>
        </row>
        <row r="1013">
          <cell r="A1013">
            <v>1013</v>
          </cell>
          <cell r="B1013">
            <v>46204</v>
          </cell>
          <cell r="C1013" t="str">
            <v>MERCEDES GLE45</v>
          </cell>
          <cell r="D1013" t="str">
            <v>MERCEDES</v>
          </cell>
          <cell r="E1013" t="str">
            <v>GLE45</v>
          </cell>
          <cell r="G1013" t="str">
            <v>183저2868</v>
          </cell>
          <cell r="H1013" t="str">
            <v>WDCFB5KB4LA133210</v>
          </cell>
          <cell r="I1013">
            <v>46209</v>
          </cell>
          <cell r="J1013" t="str">
            <v>㈜영업왕자</v>
          </cell>
          <cell r="L1013" t="str">
            <v>잔금</v>
          </cell>
          <cell r="M1013" t="str">
            <v>100만원 회사통장 계약</v>
          </cell>
          <cell r="N1013">
            <v>5506</v>
          </cell>
          <cell r="O1013">
            <v>44</v>
          </cell>
          <cell r="P1013">
            <v>0</v>
          </cell>
          <cell r="Q1013" t="str">
            <v>done</v>
          </cell>
          <cell r="R1013" t="str">
            <v>08-07-2026</v>
          </cell>
          <cell r="S1013" t="str">
            <v>EASY DRIVE 🇧🇬</v>
          </cell>
          <cell r="T1013" t="str">
            <v>Easy Drive LTD</v>
          </cell>
          <cell r="U1013">
            <v>206557008</v>
          </cell>
          <cell r="V1013" t="str">
            <v>359 89 936 8386</v>
          </cell>
          <cell r="W1013" t="str">
            <v>ul. Sokolna 47
1444 Sofia
Bulgaria</v>
          </cell>
          <cell r="AC1013">
            <v>53022300</v>
          </cell>
        </row>
        <row r="1014">
          <cell r="A1014">
            <v>1014</v>
          </cell>
          <cell r="B1014">
            <v>46206</v>
          </cell>
          <cell r="C1014" t="str">
            <v>HYUNDAI TUCSON</v>
          </cell>
          <cell r="D1014" t="str">
            <v>HYUNDAI</v>
          </cell>
          <cell r="E1014" t="str">
            <v>TUCSON</v>
          </cell>
          <cell r="G1014" t="str">
            <v>08부6952</v>
          </cell>
          <cell r="H1014" t="str">
            <v>KMHJ581ABKU029988</v>
          </cell>
          <cell r="I1014">
            <v>46209</v>
          </cell>
          <cell r="J1014" t="str">
            <v>㈜천마상사</v>
          </cell>
          <cell r="L1014" t="str">
            <v>잔금</v>
          </cell>
          <cell r="M1014" t="str">
            <v>50만원 대표님 계약</v>
          </cell>
          <cell r="N1014">
            <v>1580</v>
          </cell>
          <cell r="P1014">
            <v>0</v>
          </cell>
          <cell r="Q1014" t="str">
            <v>done</v>
          </cell>
          <cell r="R1014">
            <v>46214</v>
          </cell>
          <cell r="S1014" t="str">
            <v>CALJA</v>
          </cell>
          <cell r="T1014" t="str">
            <v>ARAPI KLINTON</v>
          </cell>
          <cell r="U1014" t="str">
            <v>J30124044L</v>
          </cell>
          <cell r="V1014" t="str">
            <v>355 69 550 5533</v>
          </cell>
          <cell r="W1014" t="str">
            <v>Albania</v>
          </cell>
          <cell r="X1014">
            <v>1531</v>
          </cell>
          <cell r="AB1014">
            <v>1748</v>
          </cell>
          <cell r="AC1014">
            <v>8576</v>
          </cell>
          <cell r="AD1014">
            <v>1524</v>
          </cell>
          <cell r="AE1014">
            <v>10100</v>
          </cell>
          <cell r="AF1014">
            <v>10330</v>
          </cell>
        </row>
        <row r="1015">
          <cell r="A1015">
            <v>1015</v>
          </cell>
          <cell r="B1015">
            <v>46206</v>
          </cell>
          <cell r="C1015" t="str">
            <v>RENAULT QM3</v>
          </cell>
          <cell r="D1015" t="str">
            <v>RENAULT</v>
          </cell>
          <cell r="E1015" t="str">
            <v>QM3</v>
          </cell>
          <cell r="G1015" t="str">
            <v>43나8693</v>
          </cell>
          <cell r="H1015" t="str">
            <v>VF12RS01AJW971512</v>
          </cell>
          <cell r="J1015" t="str">
            <v>㈜경매장-헤이딜러</v>
          </cell>
          <cell r="L1015" t="str">
            <v>잔금</v>
          </cell>
          <cell r="N1015">
            <v>600</v>
          </cell>
          <cell r="O1015">
            <v>37</v>
          </cell>
          <cell r="P1015">
            <v>0</v>
          </cell>
          <cell r="Q1015" t="str">
            <v>done</v>
          </cell>
          <cell r="R1015" t="str">
            <v>08-07-2026</v>
          </cell>
          <cell r="S1015" t="str">
            <v>R.S.h L.L.C.</v>
          </cell>
          <cell r="T1015" t="str">
            <v>R.Sh L.L.C.</v>
          </cell>
          <cell r="U1015">
            <v>812326016</v>
          </cell>
          <cell r="V1015" t="str">
            <v>+383486 611 61</v>
          </cell>
          <cell r="W1015" t="str">
            <v>Kosovo</v>
          </cell>
          <cell r="X1015">
            <v>1515</v>
          </cell>
          <cell r="AB1015">
            <v>1733</v>
          </cell>
          <cell r="AC1015">
            <v>3635</v>
          </cell>
          <cell r="AD1015">
            <v>1695</v>
          </cell>
          <cell r="AE1015">
            <v>5330</v>
          </cell>
        </row>
        <row r="1016">
          <cell r="A1016">
            <v>1016</v>
          </cell>
          <cell r="B1016">
            <v>46206</v>
          </cell>
          <cell r="C1016" t="str">
            <v>MERCEDES S350</v>
          </cell>
          <cell r="D1016" t="str">
            <v>MERCEDES</v>
          </cell>
          <cell r="E1016" t="str">
            <v>S350</v>
          </cell>
          <cell r="G1016" t="str">
            <v>51로5337</v>
          </cell>
          <cell r="H1016" t="str">
            <v>WDDUF2BBXJA411787</v>
          </cell>
          <cell r="I1016">
            <v>46212</v>
          </cell>
          <cell r="L1016" t="str">
            <v>잔금</v>
          </cell>
          <cell r="M1016" t="str">
            <v>100만원 회사통장 계약</v>
          </cell>
          <cell r="N1016">
            <v>3400</v>
          </cell>
          <cell r="O1016">
            <v>44</v>
          </cell>
          <cell r="P1016">
            <v>0</v>
          </cell>
          <cell r="Q1016" t="str">
            <v>DONE</v>
          </cell>
          <cell r="R1016">
            <v>46219</v>
          </cell>
          <cell r="S1016" t="str">
            <v>R.S.h L.L.C.</v>
          </cell>
          <cell r="T1016" t="str">
            <v>R.Sh L.L.C.</v>
          </cell>
          <cell r="U1016">
            <v>812326016</v>
          </cell>
          <cell r="V1016" t="str">
            <v>+383486 611 61</v>
          </cell>
          <cell r="W1016" t="str">
            <v>Kosovo</v>
          </cell>
          <cell r="X1016">
            <v>1515</v>
          </cell>
          <cell r="AB1016">
            <v>1733</v>
          </cell>
          <cell r="AC1016">
            <v>18984</v>
          </cell>
          <cell r="AD1016">
            <v>1696</v>
          </cell>
          <cell r="AF1016">
            <v>20420</v>
          </cell>
        </row>
        <row r="1017">
          <cell r="A1017">
            <v>1017</v>
          </cell>
          <cell r="B1017">
            <v>46206</v>
          </cell>
          <cell r="C1017" t="str">
            <v xml:space="preserve">MERCEDES GLK </v>
          </cell>
          <cell r="D1017" t="str">
            <v>MERCEDES</v>
          </cell>
          <cell r="E1017" t="str">
            <v xml:space="preserve">GLK </v>
          </cell>
          <cell r="G1017" t="str">
            <v>61조1356</v>
          </cell>
          <cell r="H1017" t="str">
            <v>WDCGG8EB1DG073310</v>
          </cell>
          <cell r="I1017">
            <v>46210</v>
          </cell>
          <cell r="J1017" t="str">
            <v xml:space="preserve">주)루비노모빌리티   </v>
          </cell>
          <cell r="L1017" t="str">
            <v>잔금</v>
          </cell>
          <cell r="M1017" t="str">
            <v>50만원 대표님 계약</v>
          </cell>
          <cell r="N1017">
            <v>1164</v>
          </cell>
          <cell r="P1017">
            <v>0</v>
          </cell>
          <cell r="Q1017" t="str">
            <v>done</v>
          </cell>
          <cell r="R1017" t="str">
            <v>08-07-2026</v>
          </cell>
          <cell r="S1017" t="str">
            <v>EASY DRIVE 🇧🇬</v>
          </cell>
          <cell r="T1017" t="str">
            <v>Easy Drive LTD</v>
          </cell>
          <cell r="U1017">
            <v>206557008</v>
          </cell>
          <cell r="V1017" t="str">
            <v>359 89 936 8386</v>
          </cell>
          <cell r="W1017" t="str">
            <v>ul. Sokolna 47
1444 Sofia
Bulgaria</v>
          </cell>
          <cell r="AC1017">
            <v>11240000</v>
          </cell>
        </row>
        <row r="1018">
          <cell r="A1018">
            <v>1018</v>
          </cell>
          <cell r="B1018">
            <v>46206</v>
          </cell>
          <cell r="C1018" t="str">
            <v>AUDI A6</v>
          </cell>
          <cell r="D1018" t="str">
            <v>AUDI</v>
          </cell>
          <cell r="E1018" t="str">
            <v>A6</v>
          </cell>
          <cell r="G1018" t="str">
            <v>183누5984</v>
          </cell>
          <cell r="H1018" t="str">
            <v>WAUZZZ4G3EN126028</v>
          </cell>
          <cell r="I1018">
            <v>46212</v>
          </cell>
          <cell r="J1018" t="str">
            <v>㈜카올렉</v>
          </cell>
          <cell r="L1018" t="str">
            <v>잔금</v>
          </cell>
          <cell r="M1018" t="str">
            <v>50만원 대표님 계약</v>
          </cell>
          <cell r="N1018">
            <v>670</v>
          </cell>
          <cell r="P1018">
            <v>0</v>
          </cell>
          <cell r="Q1018" t="str">
            <v>done</v>
          </cell>
          <cell r="R1018">
            <v>46214</v>
          </cell>
          <cell r="S1018" t="str">
            <v>HYSA</v>
          </cell>
          <cell r="T1018" t="str">
            <v>HYSA JUGERS</v>
          </cell>
          <cell r="U1018" t="str">
            <v>M42902202Q</v>
          </cell>
          <cell r="V1018" t="str">
            <v>355 69 690 2972</v>
          </cell>
          <cell r="W1018" t="str">
            <v>Albania</v>
          </cell>
          <cell r="X1018">
            <v>1515</v>
          </cell>
          <cell r="AB1018">
            <v>1733</v>
          </cell>
          <cell r="AC1018">
            <v>3866</v>
          </cell>
          <cell r="AD1018">
            <v>1434</v>
          </cell>
          <cell r="AE1018">
            <v>5300</v>
          </cell>
        </row>
        <row r="1019">
          <cell r="A1019">
            <v>1019</v>
          </cell>
          <cell r="B1019">
            <v>46206</v>
          </cell>
          <cell r="C1019" t="str">
            <v>HYUNDAI PALISADE HYBRID</v>
          </cell>
          <cell r="D1019" t="str">
            <v>HYUNDAI</v>
          </cell>
          <cell r="E1019" t="str">
            <v>PALISADE HYBRID</v>
          </cell>
          <cell r="G1019" t="str">
            <v>147너1910</v>
          </cell>
          <cell r="H1019" t="str">
            <v>KMHRK81ADTU067576</v>
          </cell>
          <cell r="I1019">
            <v>46212</v>
          </cell>
          <cell r="J1019" t="str">
            <v>㈜서울모터스</v>
          </cell>
          <cell r="L1019" t="str">
            <v>잔금</v>
          </cell>
          <cell r="M1019" t="str">
            <v>100만원 대표님 계약</v>
          </cell>
          <cell r="N1019">
            <v>6800</v>
          </cell>
          <cell r="P1019">
            <v>0</v>
          </cell>
          <cell r="Q1019" t="str">
            <v>done</v>
          </cell>
          <cell r="R1019">
            <v>46232</v>
          </cell>
          <cell r="S1019" t="str">
            <v>EASY DRIVE 🇧🇬</v>
          </cell>
          <cell r="T1019" t="str">
            <v>Easy Drive LTD</v>
          </cell>
          <cell r="U1019">
            <v>206557008</v>
          </cell>
          <cell r="V1019" t="str">
            <v>359 89 936 8386</v>
          </cell>
          <cell r="W1019" t="str">
            <v>ul. Sokolna 47
1444 Sofia
Bulgaria</v>
          </cell>
          <cell r="X1019">
            <v>1515</v>
          </cell>
          <cell r="AB1019">
            <v>1733</v>
          </cell>
          <cell r="AC1019">
            <v>37620</v>
          </cell>
          <cell r="AD1019">
            <v>1870</v>
          </cell>
          <cell r="AF1019">
            <v>39227</v>
          </cell>
        </row>
        <row r="1020">
          <cell r="A1020">
            <v>1020</v>
          </cell>
          <cell r="B1020">
            <v>46209</v>
          </cell>
          <cell r="C1020" t="str">
            <v>VOLKSWAGEN TIGUAN</v>
          </cell>
          <cell r="D1020" t="str">
            <v>VOLKSWAGEN</v>
          </cell>
          <cell r="E1020" t="str">
            <v>TIGUAN</v>
          </cell>
          <cell r="G1020" t="str">
            <v>69나0798</v>
          </cell>
          <cell r="H1020" t="str">
            <v>WVGZZZ5NZGW564981</v>
          </cell>
          <cell r="I1020">
            <v>46211</v>
          </cell>
          <cell r="J1020" t="str">
            <v>㈜경매장-헤이딜러</v>
          </cell>
          <cell r="L1020" t="str">
            <v>잔금</v>
          </cell>
          <cell r="N1020">
            <v>924</v>
          </cell>
          <cell r="O1020">
            <v>33</v>
          </cell>
          <cell r="P1020">
            <v>0</v>
          </cell>
          <cell r="Q1020" t="str">
            <v>done</v>
          </cell>
          <cell r="R1020">
            <v>46234</v>
          </cell>
          <cell r="S1020" t="str">
            <v>DONI</v>
          </cell>
          <cell r="T1020" t="str">
            <v>DONI</v>
          </cell>
          <cell r="U1020">
            <v>933682</v>
          </cell>
          <cell r="V1020" t="str">
            <v>3 8 3 4 9 3 2 5 7 0 3</v>
          </cell>
          <cell r="W1020" t="str">
            <v xml:space="preserve"> HYZRI TALLA OB 16 HY 1 NR 18
 Kosovë</v>
          </cell>
          <cell r="X1020">
            <v>1442</v>
          </cell>
          <cell r="AB1020">
            <v>1642</v>
          </cell>
          <cell r="AC1020">
            <v>5678</v>
          </cell>
          <cell r="AD1020">
            <v>1792</v>
          </cell>
          <cell r="AE1020">
            <v>7470</v>
          </cell>
        </row>
        <row r="1021">
          <cell r="A1021">
            <v>1021</v>
          </cell>
          <cell r="B1021">
            <v>46209</v>
          </cell>
          <cell r="C1021" t="str">
            <v>AUDI A7</v>
          </cell>
          <cell r="D1021" t="str">
            <v>AUDI</v>
          </cell>
          <cell r="E1021" t="str">
            <v>A7</v>
          </cell>
          <cell r="G1021" t="str">
            <v>395고7890</v>
          </cell>
          <cell r="H1021" t="str">
            <v>WAUZZZ4G8HN035518</v>
          </cell>
          <cell r="J1021" t="str">
            <v>㈜경매장-헤이딜러</v>
          </cell>
          <cell r="L1021" t="str">
            <v>취소</v>
          </cell>
          <cell r="N1021">
            <v>1404</v>
          </cell>
          <cell r="P1021">
            <v>0</v>
          </cell>
          <cell r="Q1021" t="str">
            <v>Done</v>
          </cell>
          <cell r="S1021" t="str">
            <v>DONI</v>
          </cell>
          <cell r="T1021" t="str">
            <v>DONI</v>
          </cell>
          <cell r="U1021">
            <v>933682</v>
          </cell>
          <cell r="V1021" t="str">
            <v>3 8 3 4 9 3 2 5 7 0 3</v>
          </cell>
          <cell r="W1021" t="str">
            <v xml:space="preserve"> HYZRI TALLA OB 16 HY 1 NR 18
 Kosovë</v>
          </cell>
          <cell r="AC1021">
            <v>0</v>
          </cell>
        </row>
        <row r="1022">
          <cell r="A1022">
            <v>1022</v>
          </cell>
          <cell r="B1022">
            <v>46209</v>
          </cell>
          <cell r="C1022" t="str">
            <v>VOLKSWAGEN CC</v>
          </cell>
          <cell r="D1022" t="str">
            <v>VOLKSWAGEN</v>
          </cell>
          <cell r="E1022" t="str">
            <v>CC</v>
          </cell>
          <cell r="G1022" t="str">
            <v>45소0816</v>
          </cell>
          <cell r="H1022" t="str">
            <v>WVWZZZ3CZGE509431</v>
          </cell>
          <cell r="I1022">
            <v>46211</v>
          </cell>
          <cell r="J1022" t="str">
            <v>㈜경매장-헤이딜러</v>
          </cell>
          <cell r="L1022" t="str">
            <v>잔금</v>
          </cell>
          <cell r="N1022">
            <v>770</v>
          </cell>
          <cell r="O1022">
            <v>22</v>
          </cell>
          <cell r="P1022">
            <v>0</v>
          </cell>
          <cell r="Q1022" t="str">
            <v>done</v>
          </cell>
          <cell r="R1022">
            <v>46234</v>
          </cell>
          <cell r="S1022" t="str">
            <v>DONI</v>
          </cell>
          <cell r="T1022" t="str">
            <v>DONI</v>
          </cell>
          <cell r="U1022">
            <v>933682</v>
          </cell>
          <cell r="V1022" t="str">
            <v>3 8 3 4 9 3 2 5 7 0 3</v>
          </cell>
          <cell r="W1022" t="str">
            <v xml:space="preserve"> HYZRI TALLA OB 16 HY 1 NR 18
 Kosovë</v>
          </cell>
          <cell r="X1022">
            <v>1442</v>
          </cell>
          <cell r="AB1022">
            <v>1642</v>
          </cell>
          <cell r="AC1022">
            <v>4736</v>
          </cell>
          <cell r="AD1022">
            <v>1704</v>
          </cell>
          <cell r="AE1022">
            <v>6440</v>
          </cell>
        </row>
        <row r="1023">
          <cell r="A1023">
            <v>1023</v>
          </cell>
          <cell r="B1023">
            <v>46209</v>
          </cell>
          <cell r="C1023" t="str">
            <v>AUDI A3</v>
          </cell>
          <cell r="D1023" t="str">
            <v>AUDI</v>
          </cell>
          <cell r="E1023" t="str">
            <v>A3</v>
          </cell>
          <cell r="G1023" t="str">
            <v>39주0202</v>
          </cell>
          <cell r="H1023" t="str">
            <v>WAUZZZ8V0G1045281</v>
          </cell>
          <cell r="I1023">
            <v>46218</v>
          </cell>
          <cell r="J1023" t="str">
            <v>㈜경매장-헤이딜러</v>
          </cell>
          <cell r="L1023" t="str">
            <v>잔금</v>
          </cell>
          <cell r="N1023">
            <v>1120</v>
          </cell>
          <cell r="P1023">
            <v>0</v>
          </cell>
          <cell r="Q1023" t="str">
            <v>done</v>
          </cell>
          <cell r="R1023">
            <v>46253</v>
          </cell>
          <cell r="S1023" t="str">
            <v>DONI</v>
          </cell>
          <cell r="T1023" t="str">
            <v>DONI</v>
          </cell>
          <cell r="U1023">
            <v>933682</v>
          </cell>
          <cell r="V1023" t="str">
            <v>3 8 3 4 9 3 2 5 7 0 3</v>
          </cell>
          <cell r="W1023" t="str">
            <v xml:space="preserve"> HYZRI TALLA OB 16 HY 1 NR 18
 Kosovë</v>
          </cell>
          <cell r="X1023">
            <v>1398</v>
          </cell>
          <cell r="AB1023">
            <v>1612</v>
          </cell>
          <cell r="AC1023">
            <v>6781</v>
          </cell>
          <cell r="AD1023">
            <v>1769</v>
          </cell>
          <cell r="AE1023">
            <v>8550</v>
          </cell>
        </row>
        <row r="1024">
          <cell r="A1024">
            <v>1024</v>
          </cell>
          <cell r="B1024">
            <v>46209</v>
          </cell>
          <cell r="C1024" t="str">
            <v>BMW 320D</v>
          </cell>
          <cell r="D1024" t="str">
            <v>BMW</v>
          </cell>
          <cell r="E1024" t="str">
            <v>320D</v>
          </cell>
          <cell r="G1024" t="str">
            <v>65머2452</v>
          </cell>
          <cell r="H1024" t="str">
            <v>WBA8H9103GK662942</v>
          </cell>
          <cell r="I1024">
            <v>46210</v>
          </cell>
          <cell r="J1024" t="str">
            <v>㈜경매장-헤이딜러</v>
          </cell>
          <cell r="L1024" t="str">
            <v>잔금</v>
          </cell>
          <cell r="P1024">
            <v>0</v>
          </cell>
          <cell r="Q1024" t="str">
            <v>done</v>
          </cell>
          <cell r="R1024" t="str">
            <v>28/08/2026</v>
          </cell>
          <cell r="S1024" t="str">
            <v>DONI</v>
          </cell>
          <cell r="T1024" t="str">
            <v>DONI</v>
          </cell>
          <cell r="U1024">
            <v>933682</v>
          </cell>
          <cell r="V1024" t="str">
            <v>3 8 3 4 9 3 2 5 7 0 3</v>
          </cell>
          <cell r="W1024" t="str">
            <v xml:space="preserve"> HYZRI TALLA OB 16 HY 1 NR 18
 Kosovë</v>
          </cell>
          <cell r="AC1024">
            <v>0</v>
          </cell>
        </row>
        <row r="1025">
          <cell r="A1025">
            <v>1025</v>
          </cell>
          <cell r="B1025">
            <v>46209</v>
          </cell>
          <cell r="C1025" t="str">
            <v>Mercedes BENZ GLC220 D4MATIC</v>
          </cell>
          <cell r="D1025" t="str">
            <v>Mercedes</v>
          </cell>
          <cell r="E1025" t="str">
            <v>BENZ GLC220 D4MATIC</v>
          </cell>
          <cell r="G1025" t="str">
            <v>125하1657</v>
          </cell>
          <cell r="H1025" t="str">
            <v>W1NKM0FB7PF037116</v>
          </cell>
          <cell r="I1025">
            <v>46217</v>
          </cell>
          <cell r="J1025" t="str">
            <v xml:space="preserve">(주)투투헨트카 </v>
          </cell>
          <cell r="L1025" t="str">
            <v>잔금</v>
          </cell>
          <cell r="M1025" t="str">
            <v>100만원 대표님 계약</v>
          </cell>
          <cell r="N1025">
            <v>5400</v>
          </cell>
          <cell r="P1025">
            <v>0</v>
          </cell>
          <cell r="Q1025" t="str">
            <v>DONE</v>
          </cell>
          <cell r="R1025">
            <v>46219</v>
          </cell>
          <cell r="S1025" t="str">
            <v>AUTO GALLERY DIOR SHPK</v>
          </cell>
          <cell r="T1025" t="str">
            <v>AUTO GALLERY DIOR SHPK</v>
          </cell>
          <cell r="U1025">
            <v>812050409</v>
          </cell>
          <cell r="V1025" t="str">
            <v>383 44 900 906</v>
          </cell>
          <cell r="W1025" t="str">
            <v>Kosovo</v>
          </cell>
          <cell r="X1025">
            <v>1515</v>
          </cell>
          <cell r="AB1025">
            <v>1733</v>
          </cell>
          <cell r="AC1025">
            <v>29727</v>
          </cell>
          <cell r="AD1025">
            <v>1783</v>
          </cell>
          <cell r="AE1025">
            <v>31250</v>
          </cell>
          <cell r="AF1025">
            <v>31512</v>
          </cell>
        </row>
        <row r="1026">
          <cell r="A1026">
            <v>1026</v>
          </cell>
          <cell r="B1026">
            <v>46209</v>
          </cell>
          <cell r="C1026" t="str">
            <v>VOLKSWAGEN GOLF</v>
          </cell>
          <cell r="D1026" t="str">
            <v>VOLKSWAGEN</v>
          </cell>
          <cell r="E1026" t="str">
            <v>GOLF</v>
          </cell>
          <cell r="G1026" t="str">
            <v>67수5301</v>
          </cell>
          <cell r="H1026" t="str">
            <v>WVWZZZ1KZDW042566</v>
          </cell>
          <cell r="I1026">
            <v>46211</v>
          </cell>
          <cell r="J1026" t="str">
            <v>주)차모터스</v>
          </cell>
          <cell r="L1026" t="str">
            <v>잔금</v>
          </cell>
          <cell r="M1026" t="str">
            <v>50만원 대표님 계약</v>
          </cell>
          <cell r="N1026">
            <v>450</v>
          </cell>
          <cell r="P1026">
            <v>0</v>
          </cell>
          <cell r="Q1026" t="str">
            <v>done</v>
          </cell>
          <cell r="R1026">
            <v>46218</v>
          </cell>
          <cell r="S1026" t="str">
            <v>Auto Posh SH.P.K</v>
          </cell>
          <cell r="T1026" t="str">
            <v>Auto Posh SH.P.K</v>
          </cell>
          <cell r="U1026">
            <v>812219427</v>
          </cell>
          <cell r="V1026" t="str">
            <v>38345560145</v>
          </cell>
          <cell r="W1026" t="str">
            <v>KOSOVO</v>
          </cell>
          <cell r="X1026">
            <v>1515</v>
          </cell>
          <cell r="AB1026">
            <v>1733</v>
          </cell>
          <cell r="AC1026">
            <v>2674</v>
          </cell>
          <cell r="AD1026">
            <v>1696</v>
          </cell>
          <cell r="AE1026">
            <v>4370</v>
          </cell>
        </row>
        <row r="1027">
          <cell r="A1027">
            <v>1027</v>
          </cell>
          <cell r="B1027">
            <v>46209</v>
          </cell>
          <cell r="C1027" t="str">
            <v>AUDI A6</v>
          </cell>
          <cell r="D1027" t="str">
            <v>AUDI</v>
          </cell>
          <cell r="E1027" t="str">
            <v>A6</v>
          </cell>
          <cell r="G1027" t="str">
            <v>128루8460</v>
          </cell>
          <cell r="H1027" t="str">
            <v>WAUZZZF23MN074576</v>
          </cell>
          <cell r="I1027">
            <v>46217</v>
          </cell>
          <cell r="J1027" t="str">
            <v>㈜풍년자동차매매상사</v>
          </cell>
          <cell r="L1027" t="str">
            <v>잔금</v>
          </cell>
          <cell r="M1027" t="str">
            <v>70만원 대표님 계약</v>
          </cell>
          <cell r="N1027">
            <v>2850</v>
          </cell>
          <cell r="P1027">
            <v>0</v>
          </cell>
          <cell r="Q1027" t="str">
            <v>DONE</v>
          </cell>
          <cell r="R1027">
            <v>46219</v>
          </cell>
          <cell r="S1027" t="str">
            <v>AUTO GALLERY DIOR SHPK</v>
          </cell>
          <cell r="T1027" t="str">
            <v>AUTO GALLERY DIOR SHPK</v>
          </cell>
          <cell r="U1027">
            <v>812050409</v>
          </cell>
          <cell r="V1027" t="str">
            <v>383 44 900 906</v>
          </cell>
          <cell r="W1027" t="str">
            <v>Kosovo</v>
          </cell>
          <cell r="X1027">
            <v>1515</v>
          </cell>
          <cell r="AB1027">
            <v>1733</v>
          </cell>
          <cell r="AC1027">
            <v>15664</v>
          </cell>
          <cell r="AD1027">
            <v>1696</v>
          </cell>
          <cell r="AE1027">
            <v>17100</v>
          </cell>
          <cell r="AF1027">
            <v>17362</v>
          </cell>
        </row>
        <row r="1028">
          <cell r="A1028">
            <v>1028</v>
          </cell>
          <cell r="B1028">
            <v>46209</v>
          </cell>
          <cell r="C1028" t="str">
            <v>MERCEDES C220D</v>
          </cell>
          <cell r="D1028" t="str">
            <v>MERCEDES</v>
          </cell>
          <cell r="E1028" t="str">
            <v>C220D</v>
          </cell>
          <cell r="G1028" t="str">
            <v>43무1876</v>
          </cell>
          <cell r="H1028" t="str">
            <v>WDDWF1EB8KR520895</v>
          </cell>
          <cell r="I1028">
            <v>46216</v>
          </cell>
          <cell r="J1028" t="str">
            <v>개인매입- 조경림 99% 곽창신 18. 010 5282 4888</v>
          </cell>
          <cell r="L1028" t="str">
            <v>잔금</v>
          </cell>
          <cell r="M1028" t="str">
            <v>50만원 대표님 계약</v>
          </cell>
          <cell r="N1028">
            <v>1710</v>
          </cell>
          <cell r="P1028">
            <v>0</v>
          </cell>
          <cell r="Q1028" t="str">
            <v>DONE</v>
          </cell>
          <cell r="R1028">
            <v>46219</v>
          </cell>
          <cell r="S1028" t="str">
            <v>AUTO GALLERY DIOR SHPK</v>
          </cell>
          <cell r="T1028" t="str">
            <v>AUTO GALLERY DIOR SHPK</v>
          </cell>
          <cell r="U1028">
            <v>812050409</v>
          </cell>
          <cell r="V1028" t="str">
            <v>383 44 900 906</v>
          </cell>
          <cell r="W1028" t="str">
            <v>Kosovo</v>
          </cell>
          <cell r="X1028">
            <v>1515</v>
          </cell>
          <cell r="AB1028">
            <v>1733</v>
          </cell>
          <cell r="AC1028">
            <v>9464</v>
          </cell>
          <cell r="AD1028">
            <v>1696</v>
          </cell>
          <cell r="AE1028">
            <v>10900</v>
          </cell>
          <cell r="AF1028">
            <v>11162</v>
          </cell>
        </row>
        <row r="1029">
          <cell r="A1029">
            <v>1029</v>
          </cell>
          <cell r="B1029">
            <v>46210</v>
          </cell>
          <cell r="C1029" t="str">
            <v>BMW 118d</v>
          </cell>
          <cell r="D1029" t="str">
            <v>BMW</v>
          </cell>
          <cell r="E1029" t="str">
            <v>118d</v>
          </cell>
          <cell r="F1029">
            <v>2018</v>
          </cell>
          <cell r="G1029" t="str">
            <v>32가2543</v>
          </cell>
          <cell r="H1029" t="str">
            <v>WBA1S5109J5G79667</v>
          </cell>
          <cell r="I1029">
            <v>46210</v>
          </cell>
          <cell r="J1029" t="str">
            <v>㈜경매장-헤이딜러</v>
          </cell>
          <cell r="L1029" t="str">
            <v>잔금</v>
          </cell>
          <cell r="N1029">
            <v>1164</v>
          </cell>
          <cell r="O1029">
            <v>33</v>
          </cell>
          <cell r="P1029">
            <v>0</v>
          </cell>
          <cell r="Q1029" t="str">
            <v>done</v>
          </cell>
          <cell r="R1029">
            <v>46274</v>
          </cell>
          <cell r="S1029" t="str">
            <v>AUTO SCOUT</v>
          </cell>
          <cell r="T1029" t="str">
            <v>DONI</v>
          </cell>
          <cell r="U1029">
            <v>933682</v>
          </cell>
          <cell r="V1029" t="str">
            <v>3 8 3 4 9 3 2 5 7 0 3</v>
          </cell>
          <cell r="W1029" t="str">
            <v xml:space="preserve"> HYZRI TALLA OB 16 HY 1 NR 18
 Kosovë</v>
          </cell>
          <cell r="AC1029">
            <v>7165</v>
          </cell>
          <cell r="AD1029">
            <v>1755</v>
          </cell>
          <cell r="AE1029">
            <v>8920</v>
          </cell>
        </row>
        <row r="1030">
          <cell r="A1030">
            <v>1030</v>
          </cell>
          <cell r="B1030">
            <v>46210</v>
          </cell>
          <cell r="C1030" t="str">
            <v>RENAULT QM3</v>
          </cell>
          <cell r="D1030" t="str">
            <v>RENAULT</v>
          </cell>
          <cell r="E1030" t="str">
            <v>QM3</v>
          </cell>
          <cell r="G1030" t="str">
            <v>03고1957</v>
          </cell>
          <cell r="H1030" t="str">
            <v>VF12RS01AJW248136</v>
          </cell>
          <cell r="J1030" t="str">
            <v>㈜경매장-헤이딜러</v>
          </cell>
          <cell r="L1030" t="str">
            <v>잔금</v>
          </cell>
          <cell r="N1030">
            <v>564</v>
          </cell>
          <cell r="P1030">
            <v>0</v>
          </cell>
          <cell r="Q1030" t="str">
            <v>done</v>
          </cell>
          <cell r="R1030" t="str">
            <v>28/08/2026</v>
          </cell>
          <cell r="S1030" t="str">
            <v>DONI</v>
          </cell>
          <cell r="T1030" t="str">
            <v>DONI</v>
          </cell>
          <cell r="U1030">
            <v>933682</v>
          </cell>
          <cell r="V1030" t="str">
            <v>3 8 3 4 9 3 2 5 7 0 3</v>
          </cell>
          <cell r="W1030" t="str">
            <v xml:space="preserve"> HYZRI TALLA OB 16 HY 1 NR 18
 Kosovë</v>
          </cell>
          <cell r="X1030">
            <v>1442</v>
          </cell>
          <cell r="AB1030">
            <v>1642</v>
          </cell>
          <cell r="AC1030">
            <v>3776</v>
          </cell>
          <cell r="AD1030">
            <v>1704</v>
          </cell>
          <cell r="AE1030">
            <v>5480</v>
          </cell>
        </row>
        <row r="1031">
          <cell r="A1031">
            <v>1031</v>
          </cell>
          <cell r="B1031">
            <v>46210</v>
          </cell>
          <cell r="C1031" t="str">
            <v>AUDI A6</v>
          </cell>
          <cell r="D1031" t="str">
            <v>AUDI</v>
          </cell>
          <cell r="E1031" t="str">
            <v>A6</v>
          </cell>
          <cell r="G1031" t="str">
            <v>69라3813</v>
          </cell>
          <cell r="H1031" t="str">
            <v>WAUZZZ4G0GN169633</v>
          </cell>
          <cell r="I1031">
            <v>46211</v>
          </cell>
          <cell r="J1031" t="str">
            <v>㈜제이원모터스</v>
          </cell>
          <cell r="L1031" t="str">
            <v>잔금</v>
          </cell>
          <cell r="M1031" t="str">
            <v>50만원 회사통장 계약</v>
          </cell>
          <cell r="N1031">
            <v>1204</v>
          </cell>
          <cell r="P1031">
            <v>0</v>
          </cell>
          <cell r="Q1031" t="str">
            <v>done</v>
          </cell>
          <cell r="R1031">
            <v>46214</v>
          </cell>
          <cell r="S1031" t="str">
            <v>ARMIR</v>
          </cell>
          <cell r="T1031" t="str">
            <v>JETULLAHI DRILON</v>
          </cell>
          <cell r="U1031">
            <v>1241275945</v>
          </cell>
          <cell r="V1031" t="str">
            <v>383 49 690 998</v>
          </cell>
          <cell r="W1031" t="str">
            <v>KOSOVO</v>
          </cell>
          <cell r="X1031">
            <v>1515</v>
          </cell>
          <cell r="AB1031">
            <v>1733</v>
          </cell>
          <cell r="AC1031">
            <v>6614</v>
          </cell>
          <cell r="AD1031">
            <v>1696</v>
          </cell>
          <cell r="AE1031">
            <v>8310</v>
          </cell>
          <cell r="AF1031">
            <v>8040</v>
          </cell>
        </row>
        <row r="1032">
          <cell r="A1032">
            <v>1032</v>
          </cell>
          <cell r="B1032">
            <v>46211</v>
          </cell>
          <cell r="C1032" t="str">
            <v>VOLKSWAGEN GOLF</v>
          </cell>
          <cell r="D1032" t="str">
            <v>VOLKSWAGEN</v>
          </cell>
          <cell r="E1032" t="str">
            <v>GOLF</v>
          </cell>
          <cell r="G1032" t="str">
            <v>109두2125</v>
          </cell>
          <cell r="H1032" t="str">
            <v>WVWZZZCDZNW170738</v>
          </cell>
          <cell r="I1032">
            <v>46216</v>
          </cell>
          <cell r="J1032" t="str">
            <v>㈜유케이모터스</v>
          </cell>
          <cell r="L1032" t="str">
            <v>잔금</v>
          </cell>
          <cell r="M1032" t="str">
            <v>100만원 회사통장 계약</v>
          </cell>
          <cell r="N1032">
            <v>2384</v>
          </cell>
          <cell r="P1032">
            <v>0</v>
          </cell>
          <cell r="Q1032" t="str">
            <v>done</v>
          </cell>
          <cell r="R1032">
            <v>46218</v>
          </cell>
          <cell r="S1032" t="str">
            <v>DONI</v>
          </cell>
          <cell r="T1032" t="str">
            <v>DONI</v>
          </cell>
          <cell r="U1032">
            <v>933682</v>
          </cell>
          <cell r="V1032" t="str">
            <v>3 8 3 4 9 3 2 5 7 0 3</v>
          </cell>
          <cell r="W1032" t="str">
            <v xml:space="preserve"> HYZRI TALLA OB 16 HY 1 NR 18
 Kosovë</v>
          </cell>
          <cell r="X1032">
            <v>1502</v>
          </cell>
          <cell r="AB1032">
            <v>1731</v>
          </cell>
          <cell r="AC1032">
            <v>13157</v>
          </cell>
          <cell r="AD1032">
            <v>1683</v>
          </cell>
          <cell r="AE1032">
            <v>14840</v>
          </cell>
        </row>
        <row r="1033">
          <cell r="A1033">
            <v>1033</v>
          </cell>
          <cell r="B1033">
            <v>46211</v>
          </cell>
          <cell r="C1033" t="str">
            <v>AUDI S6</v>
          </cell>
          <cell r="D1033" t="str">
            <v>AUDI</v>
          </cell>
          <cell r="E1033" t="str">
            <v>S6</v>
          </cell>
          <cell r="G1033" t="str">
            <v>242도6561</v>
          </cell>
          <cell r="H1033" t="str">
            <v>WAUZZZF27MN001999</v>
          </cell>
          <cell r="I1033">
            <v>46217</v>
          </cell>
          <cell r="L1033" t="str">
            <v>잔금</v>
          </cell>
          <cell r="M1033" t="str">
            <v>100만원 회사통장 계약</v>
          </cell>
          <cell r="N1033">
            <v>5050</v>
          </cell>
          <cell r="P1033">
            <v>0</v>
          </cell>
          <cell r="Q1033" t="str">
            <v>DONE</v>
          </cell>
          <cell r="R1033">
            <v>46219</v>
          </cell>
          <cell r="S1033" t="str">
            <v>AUTO GALLERY DIOR SHPK</v>
          </cell>
          <cell r="T1033" t="str">
            <v>AUTO GALLERY DIOR SHPK</v>
          </cell>
          <cell r="U1033">
            <v>812050409</v>
          </cell>
          <cell r="V1033" t="str">
            <v>383 44 900 906</v>
          </cell>
          <cell r="W1033" t="str">
            <v>Kosovo</v>
          </cell>
          <cell r="X1033">
            <v>1489</v>
          </cell>
          <cell r="AB1033">
            <v>1701</v>
          </cell>
          <cell r="AC1033">
            <v>28302</v>
          </cell>
          <cell r="AD1033">
            <v>1698</v>
          </cell>
          <cell r="AE1033">
            <v>30000</v>
          </cell>
          <cell r="AF1033">
            <v>30000</v>
          </cell>
        </row>
        <row r="1034">
          <cell r="A1034">
            <v>1034</v>
          </cell>
          <cell r="B1034">
            <v>46211</v>
          </cell>
          <cell r="C1034" t="str">
            <v>BMW 320D</v>
          </cell>
          <cell r="D1034" t="str">
            <v>BMW</v>
          </cell>
          <cell r="E1034" t="str">
            <v>320D</v>
          </cell>
          <cell r="G1034" t="str">
            <v>09가0810</v>
          </cell>
          <cell r="H1034" t="str">
            <v>WBA8C5102GK638123</v>
          </cell>
          <cell r="I1034">
            <v>46213</v>
          </cell>
          <cell r="J1034" t="str">
            <v>㈜경매장-헤이딜러</v>
          </cell>
          <cell r="L1034" t="str">
            <v>잔금</v>
          </cell>
          <cell r="N1034">
            <v>930</v>
          </cell>
          <cell r="O1034">
            <v>38</v>
          </cell>
          <cell r="P1034">
            <v>0</v>
          </cell>
          <cell r="Q1034" t="str">
            <v>DONE</v>
          </cell>
          <cell r="R1034">
            <v>46219</v>
          </cell>
          <cell r="S1034" t="str">
            <v>R.S.h L.L.C.</v>
          </cell>
          <cell r="T1034" t="str">
            <v>R.Sh L.L.C.</v>
          </cell>
          <cell r="U1034">
            <v>812326016</v>
          </cell>
          <cell r="V1034" t="str">
            <v>+383486 611 61</v>
          </cell>
          <cell r="W1034" t="str">
            <v>Kosovo</v>
          </cell>
          <cell r="X1034">
            <v>1483</v>
          </cell>
          <cell r="AB1034">
            <v>1687</v>
          </cell>
          <cell r="AC1034">
            <v>5575</v>
          </cell>
          <cell r="AD1034">
            <v>1705</v>
          </cell>
          <cell r="AE1034">
            <v>7280</v>
          </cell>
        </row>
        <row r="1035">
          <cell r="A1035">
            <v>1035</v>
          </cell>
          <cell r="B1035">
            <v>46211</v>
          </cell>
          <cell r="C1035" t="str">
            <v>RENAULT SAMSUNG CLIO</v>
          </cell>
          <cell r="D1035" t="str">
            <v>RENAULT SAMSUNG</v>
          </cell>
          <cell r="E1035" t="str">
            <v>CLIO</v>
          </cell>
          <cell r="F1035">
            <v>2018</v>
          </cell>
          <cell r="G1035" t="str">
            <v>22두4984</v>
          </cell>
          <cell r="H1035" t="str">
            <v>VF15RBJ0DJR504638</v>
          </cell>
          <cell r="I1035">
            <v>46213</v>
          </cell>
          <cell r="J1035" t="str">
            <v>㈜경매장-헤이딜러</v>
          </cell>
          <cell r="L1035" t="str">
            <v>잔금</v>
          </cell>
          <cell r="N1035">
            <v>544</v>
          </cell>
          <cell r="O1035">
            <v>33</v>
          </cell>
          <cell r="P1035">
            <v>0</v>
          </cell>
          <cell r="Q1035" t="str">
            <v>DONE</v>
          </cell>
          <cell r="R1035">
            <v>46274</v>
          </cell>
          <cell r="S1035" t="str">
            <v>AUTO SCOUT</v>
          </cell>
          <cell r="T1035" t="str">
            <v>DONI</v>
          </cell>
          <cell r="U1035">
            <v>933682</v>
          </cell>
          <cell r="V1035" t="str">
            <v>3 8 3 4 9 3 2 5 7 0 3</v>
          </cell>
          <cell r="W1035" t="str">
            <v xml:space="preserve"> HYZRI TALLA OB 16 HY 1 NR 18
 Kosovë</v>
          </cell>
          <cell r="AC1035">
            <v>3615</v>
          </cell>
          <cell r="AD1035">
            <v>1755</v>
          </cell>
          <cell r="AE1035">
            <v>5370</v>
          </cell>
        </row>
        <row r="1036">
          <cell r="A1036">
            <v>1036</v>
          </cell>
          <cell r="B1036">
            <v>46211</v>
          </cell>
          <cell r="C1036" t="str">
            <v>FORD MONDEO</v>
          </cell>
          <cell r="D1036" t="str">
            <v>FORD</v>
          </cell>
          <cell r="E1036" t="str">
            <v>MONDEO</v>
          </cell>
          <cell r="G1036" t="str">
            <v>10도0721</v>
          </cell>
          <cell r="H1036" t="str">
            <v>WF0DXXWPCGFM55536</v>
          </cell>
          <cell r="I1036">
            <v>46212</v>
          </cell>
          <cell r="J1036" t="str">
            <v>㈜카픽</v>
          </cell>
          <cell r="L1036" t="str">
            <v>잔금</v>
          </cell>
          <cell r="M1036" t="str">
            <v>50만원 대표님 계약</v>
          </cell>
          <cell r="N1036">
            <v>850</v>
          </cell>
          <cell r="P1036">
            <v>0</v>
          </cell>
          <cell r="Q1036" t="str">
            <v>done</v>
          </cell>
          <cell r="R1036">
            <v>46214</v>
          </cell>
          <cell r="S1036" t="str">
            <v>Auto Posh SH.P.K</v>
          </cell>
          <cell r="T1036" t="str">
            <v>Auto Posh SH.P.K</v>
          </cell>
          <cell r="U1036">
            <v>812219427</v>
          </cell>
          <cell r="V1036" t="str">
            <v>38345560145</v>
          </cell>
          <cell r="W1036" t="str">
            <v>KOSOVO</v>
          </cell>
          <cell r="X1036">
            <v>1502</v>
          </cell>
          <cell r="AB1036">
            <v>1714</v>
          </cell>
          <cell r="AC1036">
            <v>4880</v>
          </cell>
          <cell r="AD1036">
            <v>1700</v>
          </cell>
          <cell r="AE1036">
            <v>6580</v>
          </cell>
        </row>
        <row r="1037">
          <cell r="A1037">
            <v>1037</v>
          </cell>
          <cell r="B1037">
            <v>46211</v>
          </cell>
          <cell r="C1037" t="str">
            <v>BENZ E220</v>
          </cell>
          <cell r="D1037" t="str">
            <v>BENZ</v>
          </cell>
          <cell r="E1037" t="str">
            <v>E220</v>
          </cell>
          <cell r="G1037" t="str">
            <v>17라9368</v>
          </cell>
          <cell r="H1037" t="str">
            <v>WDD1J1EB4HF039822</v>
          </cell>
          <cell r="I1037">
            <v>46213</v>
          </cell>
          <cell r="J1037" t="str">
            <v>㈜ 카플러스</v>
          </cell>
          <cell r="L1037" t="str">
            <v>잔금</v>
          </cell>
          <cell r="M1037" t="str">
            <v>100만원 대표님 계약</v>
          </cell>
          <cell r="N1037">
            <v>2375</v>
          </cell>
          <cell r="P1037">
            <v>0</v>
          </cell>
          <cell r="Q1037" t="str">
            <v>done</v>
          </cell>
          <cell r="R1037" t="str">
            <v>CON2</v>
          </cell>
          <cell r="S1037" t="str">
            <v>DAX IMPORT</v>
          </cell>
          <cell r="T1037" t="str">
            <v xml:space="preserve">Michael Karl  </v>
          </cell>
          <cell r="U1037" t="str">
            <v>LF9N8WZ16</v>
          </cell>
          <cell r="V1037" t="str">
            <v>‪+49 471 94189050‬</v>
          </cell>
          <cell r="W1037" t="str">
            <v xml:space="preserve">Dorfstr,33C,(82024) Taufkirchen, Germany </v>
          </cell>
          <cell r="X1037">
            <v>1502</v>
          </cell>
          <cell r="AB1037">
            <v>1714</v>
          </cell>
          <cell r="AC1037">
            <v>13870</v>
          </cell>
        </row>
        <row r="1038">
          <cell r="A1038">
            <v>1038</v>
          </cell>
          <cell r="B1038">
            <v>46211</v>
          </cell>
          <cell r="C1038" t="str">
            <v>VOLKSWAGEN GOLF</v>
          </cell>
          <cell r="D1038" t="str">
            <v>VOLKSWAGEN</v>
          </cell>
          <cell r="E1038" t="str">
            <v>GOLF</v>
          </cell>
          <cell r="G1038" t="str">
            <v>11어7127</v>
          </cell>
          <cell r="H1038" t="str">
            <v>WVWZZZAUZEW309548</v>
          </cell>
          <cell r="I1038">
            <v>46213</v>
          </cell>
          <cell r="J1038" t="str">
            <v>㈜엔젤모터스</v>
          </cell>
          <cell r="L1038" t="str">
            <v>잔금</v>
          </cell>
          <cell r="M1038" t="str">
            <v>50만원 대표님 계약</v>
          </cell>
          <cell r="N1038">
            <v>600</v>
          </cell>
          <cell r="P1038">
            <v>0</v>
          </cell>
          <cell r="Q1038" t="str">
            <v>DONE</v>
          </cell>
          <cell r="R1038">
            <v>46219</v>
          </cell>
          <cell r="S1038" t="str">
            <v>CALJA</v>
          </cell>
          <cell r="T1038" t="str">
            <v>CAPJA ERDI</v>
          </cell>
          <cell r="U1038" t="str">
            <v>J71103015O</v>
          </cell>
          <cell r="V1038" t="str">
            <v>355 69 550 5533</v>
          </cell>
          <cell r="W1038" t="str">
            <v>Albania</v>
          </cell>
          <cell r="X1038">
            <v>1502</v>
          </cell>
          <cell r="AB1038">
            <v>1714</v>
          </cell>
          <cell r="AC1038">
            <v>3550</v>
          </cell>
          <cell r="AD1038">
            <v>1700</v>
          </cell>
          <cell r="AE1038">
            <v>5250</v>
          </cell>
          <cell r="AF1038">
            <v>9550</v>
          </cell>
        </row>
        <row r="1039">
          <cell r="A1039">
            <v>1039</v>
          </cell>
          <cell r="B1039">
            <v>46211</v>
          </cell>
          <cell r="C1039" t="str">
            <v>VOLKSWAGEN TIGUAN</v>
          </cell>
          <cell r="D1039" t="str">
            <v>VOLKSWAGEN</v>
          </cell>
          <cell r="E1039" t="str">
            <v>TIGUAN</v>
          </cell>
          <cell r="G1039" t="str">
            <v>306너6017</v>
          </cell>
          <cell r="H1039" t="str">
            <v>WVGZZZ5NZLW813123</v>
          </cell>
          <cell r="I1039">
            <v>46218</v>
          </cell>
          <cell r="J1039" t="str">
            <v>㈜올카모터스</v>
          </cell>
          <cell r="L1039" t="str">
            <v>잔금</v>
          </cell>
          <cell r="M1039" t="str">
            <v>100만원 대표님 계약</v>
          </cell>
          <cell r="N1039">
            <v>2044</v>
          </cell>
          <cell r="P1039">
            <v>0</v>
          </cell>
          <cell r="Q1039" t="str">
            <v>DONE</v>
          </cell>
          <cell r="R1039">
            <v>46224</v>
          </cell>
          <cell r="S1039" t="str">
            <v>DONI</v>
          </cell>
          <cell r="T1039" t="str">
            <v>DONI</v>
          </cell>
          <cell r="U1039">
            <v>933682</v>
          </cell>
          <cell r="V1039" t="str">
            <v>3 8 3 4 9 3 2 5 7 0 3</v>
          </cell>
          <cell r="W1039" t="str">
            <v xml:space="preserve"> HYZRI TALLA OB 16 HY 1 NR 18
 Kosovë</v>
          </cell>
          <cell r="X1039">
            <v>1502</v>
          </cell>
          <cell r="AB1039">
            <v>1714</v>
          </cell>
          <cell r="AC1039">
            <v>11452</v>
          </cell>
          <cell r="AD1039">
            <v>1788</v>
          </cell>
          <cell r="AE1039">
            <v>13240</v>
          </cell>
        </row>
        <row r="1040">
          <cell r="A1040">
            <v>1040</v>
          </cell>
          <cell r="B1040">
            <v>46211</v>
          </cell>
          <cell r="C1040" t="str">
            <v>VOLKSWAGEN TIGUAN</v>
          </cell>
          <cell r="D1040" t="str">
            <v>VOLKSWAGEN</v>
          </cell>
          <cell r="E1040" t="str">
            <v>TIGUAN</v>
          </cell>
          <cell r="G1040" t="str">
            <v>258노9963</v>
          </cell>
          <cell r="H1040" t="str">
            <v>WVGZZZ5NZLW356275</v>
          </cell>
          <cell r="I1040">
            <v>46213</v>
          </cell>
          <cell r="J1040" t="str">
            <v>㈜모터스</v>
          </cell>
          <cell r="L1040" t="str">
            <v>잔금</v>
          </cell>
          <cell r="M1040" t="str">
            <v>70만원 대표님 계약</v>
          </cell>
          <cell r="N1040">
            <v>2030</v>
          </cell>
          <cell r="O1040">
            <v>44</v>
          </cell>
          <cell r="P1040">
            <v>0</v>
          </cell>
          <cell r="Q1040" t="str">
            <v>done</v>
          </cell>
          <cell r="R1040">
            <v>46219</v>
          </cell>
          <cell r="S1040" t="str">
            <v>ATLAS GROUP SH.P.K</v>
          </cell>
          <cell r="T1040" t="str">
            <v>Elma Canziba</v>
          </cell>
          <cell r="U1040">
            <v>1176183744</v>
          </cell>
          <cell r="V1040" t="str">
            <v xml:space="preserve"> +383 48 160 160</v>
          </cell>
          <cell r="W1040" t="str">
            <v>Xhelal Hajda, p.n. Rahovec</v>
          </cell>
          <cell r="X1040">
            <v>1502</v>
          </cell>
          <cell r="AB1040">
            <v>1714</v>
          </cell>
          <cell r="AC1040">
            <v>11632</v>
          </cell>
          <cell r="AD1040">
            <v>1788</v>
          </cell>
          <cell r="AE1040">
            <v>13420</v>
          </cell>
          <cell r="AF1040">
            <v>13420</v>
          </cell>
        </row>
        <row r="1041">
          <cell r="A1041">
            <v>1041</v>
          </cell>
          <cell r="B1041">
            <v>46211</v>
          </cell>
          <cell r="C1041" t="str">
            <v>BMW 320D</v>
          </cell>
          <cell r="D1041" t="str">
            <v>BMW</v>
          </cell>
          <cell r="E1041" t="str">
            <v>320D</v>
          </cell>
          <cell r="F1041">
            <v>2018</v>
          </cell>
          <cell r="G1041" t="str">
            <v>51너7622</v>
          </cell>
          <cell r="H1041" t="str">
            <v>WBA8C5106J5L44617</v>
          </cell>
          <cell r="J1041" t="str">
            <v>㈜경매장-헤이딜러</v>
          </cell>
          <cell r="L1041" t="str">
            <v>잔금</v>
          </cell>
          <cell r="N1041">
            <v>1214</v>
          </cell>
          <cell r="O1041">
            <v>33</v>
          </cell>
          <cell r="P1041">
            <v>0</v>
          </cell>
          <cell r="Q1041" t="str">
            <v>done</v>
          </cell>
          <cell r="R1041">
            <v>46274</v>
          </cell>
          <cell r="S1041" t="str">
            <v>AUTO SCOUT</v>
          </cell>
          <cell r="T1041" t="str">
            <v>DONI</v>
          </cell>
          <cell r="U1041">
            <v>933682</v>
          </cell>
          <cell r="V1041" t="str">
            <v>3 8 3 4 9 3 2 5 7 0 3</v>
          </cell>
          <cell r="W1041" t="str">
            <v xml:space="preserve"> HYZRI TALLA OB 16 HY 1 NR 18
 Kosovë</v>
          </cell>
          <cell r="AC1041">
            <v>7455</v>
          </cell>
          <cell r="AD1041">
            <v>1755</v>
          </cell>
          <cell r="AE1041">
            <v>9210</v>
          </cell>
        </row>
        <row r="1042">
          <cell r="A1042">
            <v>1042</v>
          </cell>
          <cell r="B1042">
            <v>46213</v>
          </cell>
          <cell r="C1042" t="str">
            <v>JEEP CHEROKEE</v>
          </cell>
          <cell r="D1042" t="str">
            <v>JEEP</v>
          </cell>
          <cell r="E1042" t="str">
            <v>CHEROKEE</v>
          </cell>
          <cell r="G1042" t="str">
            <v>328서9043</v>
          </cell>
          <cell r="H1042" t="str">
            <v>1C4RJFJG1KC837148</v>
          </cell>
          <cell r="I1042">
            <v>46217</v>
          </cell>
          <cell r="J1042" t="str">
            <v>㈜유니앤모터스</v>
          </cell>
          <cell r="L1042" t="str">
            <v>잔금</v>
          </cell>
          <cell r="M1042" t="str">
            <v>50만원 회사통장 계약</v>
          </cell>
          <cell r="N1042">
            <v>1944</v>
          </cell>
          <cell r="P1042">
            <v>0</v>
          </cell>
          <cell r="Q1042" t="str">
            <v>done</v>
          </cell>
          <cell r="R1042">
            <v>46232</v>
          </cell>
          <cell r="S1042" t="str">
            <v>EASY DRIVE 🇧🇬</v>
          </cell>
          <cell r="T1042" t="str">
            <v>Easy Drive LTD</v>
          </cell>
          <cell r="U1042">
            <v>206557008</v>
          </cell>
          <cell r="V1042" t="str">
            <v>359 89 936 8386</v>
          </cell>
          <cell r="W1042" t="str">
            <v>ul. Sokolna 47
1444 Sofia
Bulgaria</v>
          </cell>
          <cell r="AC1042">
            <v>19062500</v>
          </cell>
        </row>
        <row r="1043">
          <cell r="A1043">
            <v>1043</v>
          </cell>
          <cell r="B1043">
            <v>46215</v>
          </cell>
          <cell r="C1043" t="str">
            <v>AUDI A7</v>
          </cell>
          <cell r="D1043" t="str">
            <v>AUDI</v>
          </cell>
          <cell r="E1043" t="str">
            <v>A7</v>
          </cell>
          <cell r="G1043" t="str">
            <v>16머0879</v>
          </cell>
          <cell r="H1043" t="str">
            <v>WAUZZZ4G4GN129510</v>
          </cell>
          <cell r="I1043">
            <v>46218</v>
          </cell>
          <cell r="J1043" t="str">
            <v>㈜카베이</v>
          </cell>
          <cell r="L1043" t="str">
            <v>잔금</v>
          </cell>
          <cell r="M1043" t="str">
            <v>50만원 대표님 계약</v>
          </cell>
          <cell r="N1043">
            <v>1300</v>
          </cell>
          <cell r="O1043">
            <v>44</v>
          </cell>
          <cell r="P1043">
            <v>0</v>
          </cell>
          <cell r="Q1043" t="str">
            <v>done</v>
          </cell>
          <cell r="R1043">
            <v>46223</v>
          </cell>
          <cell r="S1043" t="str">
            <v>RIZA</v>
          </cell>
          <cell r="T1043" t="str">
            <v>Riza Qosja</v>
          </cell>
          <cell r="U1043" t="str">
            <v>M33304205K</v>
          </cell>
          <cell r="V1043" t="str">
            <v>355 682769063</v>
          </cell>
          <cell r="W1043" t="str">
            <v>Albania</v>
          </cell>
          <cell r="X1043">
            <v>1483</v>
          </cell>
          <cell r="AB1043">
            <v>1687</v>
          </cell>
          <cell r="AC1043">
            <v>7545</v>
          </cell>
          <cell r="AD1043">
            <v>1705</v>
          </cell>
          <cell r="AE1043">
            <v>9250</v>
          </cell>
          <cell r="AF1043">
            <v>9250</v>
          </cell>
        </row>
        <row r="1044">
          <cell r="A1044">
            <v>1044</v>
          </cell>
          <cell r="B1044">
            <v>46215</v>
          </cell>
          <cell r="C1044" t="str">
            <v>MERCERDES-BENZ GLC</v>
          </cell>
          <cell r="D1044" t="str">
            <v>MERCERDES-BENZ</v>
          </cell>
          <cell r="E1044" t="str">
            <v>GLC</v>
          </cell>
          <cell r="G1044" t="str">
            <v>263구5461</v>
          </cell>
          <cell r="H1044" t="str">
            <v>WDC0J0KB2HF232498</v>
          </cell>
          <cell r="I1044">
            <v>46218</v>
          </cell>
          <cell r="J1044" t="str">
            <v>㈜카팡모터스</v>
          </cell>
          <cell r="L1044" t="str">
            <v>잔금</v>
          </cell>
          <cell r="M1044" t="str">
            <v>100만원 대표님 계약</v>
          </cell>
          <cell r="N1044">
            <v>2490</v>
          </cell>
          <cell r="P1044">
            <v>0</v>
          </cell>
          <cell r="Q1044" t="str">
            <v>DONE</v>
          </cell>
          <cell r="R1044">
            <v>46224</v>
          </cell>
          <cell r="S1044" t="str">
            <v>BUTRINT</v>
          </cell>
          <cell r="T1044" t="str">
            <v>KASTRATI VEJSEL</v>
          </cell>
          <cell r="U1044">
            <v>1206129</v>
          </cell>
          <cell r="V1044" t="str">
            <v>383 49 516 793</v>
          </cell>
          <cell r="W1044" t="str">
            <v>Kosovo</v>
          </cell>
          <cell r="X1044">
            <v>1483</v>
          </cell>
          <cell r="AB1044">
            <v>1687</v>
          </cell>
          <cell r="AC1044">
            <v>13907</v>
          </cell>
          <cell r="AD1044">
            <v>1793</v>
          </cell>
          <cell r="AE1044">
            <v>15700</v>
          </cell>
          <cell r="AF1044">
            <v>15700</v>
          </cell>
        </row>
        <row r="1045">
          <cell r="A1045">
            <v>1045</v>
          </cell>
          <cell r="B1045">
            <v>46215</v>
          </cell>
          <cell r="C1045" t="str">
            <v>BMW 530I</v>
          </cell>
          <cell r="D1045" t="str">
            <v>BMW</v>
          </cell>
          <cell r="E1045" t="str">
            <v>530I</v>
          </cell>
          <cell r="G1045" t="str">
            <v>40나3647</v>
          </cell>
          <cell r="H1045" t="str">
            <v>WBAJD9100JWC11399</v>
          </cell>
          <cell r="I1045" t="str">
            <v>20206-07-14</v>
          </cell>
          <cell r="J1045" t="str">
            <v>㈜드림카마켓</v>
          </cell>
          <cell r="L1045" t="str">
            <v>잔금</v>
          </cell>
          <cell r="M1045" t="str">
            <v>50만원 대표님 계약</v>
          </cell>
          <cell r="N1045">
            <v>1730</v>
          </cell>
          <cell r="P1045">
            <v>0</v>
          </cell>
          <cell r="Q1045" t="str">
            <v>DONE</v>
          </cell>
          <cell r="R1045">
            <v>46219</v>
          </cell>
          <cell r="S1045" t="str">
            <v>R.S.h L.L.C.</v>
          </cell>
          <cell r="T1045" t="str">
            <v>R.Sh L.L.C.</v>
          </cell>
          <cell r="U1045">
            <v>812326016</v>
          </cell>
          <cell r="V1045" t="str">
            <v>+383486 611 61</v>
          </cell>
          <cell r="W1045" t="str">
            <v>Kosovo</v>
          </cell>
          <cell r="X1045">
            <v>1483</v>
          </cell>
          <cell r="AB1045">
            <v>1687</v>
          </cell>
          <cell r="AC1045">
            <v>9745</v>
          </cell>
          <cell r="AD1045">
            <v>1705</v>
          </cell>
          <cell r="AE1045">
            <v>11450</v>
          </cell>
        </row>
        <row r="1046">
          <cell r="A1046">
            <v>1046</v>
          </cell>
          <cell r="B1046">
            <v>46215</v>
          </cell>
          <cell r="C1046" t="str">
            <v>Porsche Cayene</v>
          </cell>
          <cell r="D1046" t="str">
            <v>Porsche</v>
          </cell>
          <cell r="E1046" t="str">
            <v>Cayene</v>
          </cell>
          <cell r="G1046" t="str">
            <v>345소8921</v>
          </cell>
          <cell r="H1046" t="str">
            <v>WP1AF292XGLA46400</v>
          </cell>
          <cell r="I1046">
            <v>46218</v>
          </cell>
          <cell r="J1046" t="str">
            <v>㈜스카이모터스</v>
          </cell>
          <cell r="L1046" t="str">
            <v>잔금</v>
          </cell>
          <cell r="M1046" t="str">
            <v>100만원 대표님 계약</v>
          </cell>
          <cell r="N1046">
            <v>2240</v>
          </cell>
          <cell r="P1046">
            <v>0</v>
          </cell>
          <cell r="Q1046" t="str">
            <v>done</v>
          </cell>
          <cell r="R1046">
            <v>46223</v>
          </cell>
          <cell r="S1046" t="str">
            <v>CALJA</v>
          </cell>
          <cell r="T1046" t="str">
            <v>Rezart Sallja</v>
          </cell>
          <cell r="U1046" t="str">
            <v>H40226017D</v>
          </cell>
          <cell r="V1046" t="str">
            <v>355 69 550 5533</v>
          </cell>
          <cell r="W1046" t="str">
            <v>Albania</v>
          </cell>
          <cell r="X1046">
            <v>1483</v>
          </cell>
          <cell r="AB1046">
            <v>1687</v>
          </cell>
          <cell r="AC1046">
            <v>12507</v>
          </cell>
          <cell r="AD1046">
            <v>1793</v>
          </cell>
          <cell r="AE1046">
            <v>14300</v>
          </cell>
          <cell r="AF1046">
            <v>15530</v>
          </cell>
        </row>
        <row r="1047">
          <cell r="A1047">
            <v>1047</v>
          </cell>
          <cell r="B1047">
            <v>46215</v>
          </cell>
          <cell r="C1047" t="str">
            <v>MERCERDES-BENZ C200 4Matic</v>
          </cell>
          <cell r="D1047" t="str">
            <v>MERCERDES-BENZ</v>
          </cell>
          <cell r="E1047" t="str">
            <v>C200 4Matic</v>
          </cell>
          <cell r="G1047" t="str">
            <v>04우8251</v>
          </cell>
          <cell r="H1047" t="str">
            <v>WDDWF4DB2JF710050</v>
          </cell>
          <cell r="I1047">
            <v>46219</v>
          </cell>
          <cell r="J1047" t="str">
            <v>㈜오토플러스</v>
          </cell>
          <cell r="L1047" t="str">
            <v>잔금</v>
          </cell>
          <cell r="M1047" t="str">
            <v>50만원 회사통장 계약</v>
          </cell>
          <cell r="N1047">
            <v>1984</v>
          </cell>
          <cell r="P1047">
            <v>0</v>
          </cell>
          <cell r="Q1047" t="str">
            <v>done</v>
          </cell>
          <cell r="R1047" t="str">
            <v>CON 12</v>
          </cell>
          <cell r="S1047" t="str">
            <v>DAX IMPORT</v>
          </cell>
          <cell r="T1047" t="str">
            <v xml:space="preserve">Michael Karl  </v>
          </cell>
          <cell r="U1047" t="str">
            <v>LF9N8WZ16</v>
          </cell>
          <cell r="V1047" t="str">
            <v>‪+49 471 94189050‬</v>
          </cell>
          <cell r="W1047" t="str">
            <v xml:space="preserve">Dorfstr,33C,(82024) Taufkirchen, Germany </v>
          </cell>
          <cell r="X1047">
            <v>1483</v>
          </cell>
          <cell r="AB1047">
            <v>1687</v>
          </cell>
          <cell r="AC1047">
            <v>11140</v>
          </cell>
        </row>
        <row r="1048">
          <cell r="A1048">
            <v>1048</v>
          </cell>
          <cell r="B1048">
            <v>46215</v>
          </cell>
          <cell r="C1048" t="str">
            <v>AUDI A4</v>
          </cell>
          <cell r="D1048" t="str">
            <v>AUDI</v>
          </cell>
          <cell r="E1048" t="str">
            <v>A4</v>
          </cell>
          <cell r="G1048" t="str">
            <v>61모2008</v>
          </cell>
          <cell r="H1048" t="str">
            <v>WAUZZZF42JA172504</v>
          </cell>
          <cell r="I1048">
            <v>46218</v>
          </cell>
          <cell r="J1048" t="str">
            <v>㈜바른모터스</v>
          </cell>
          <cell r="L1048" t="str">
            <v>잔금</v>
          </cell>
          <cell r="M1048" t="str">
            <v>50만원 회사통장 계약</v>
          </cell>
          <cell r="N1048">
            <v>1590</v>
          </cell>
          <cell r="P1048">
            <v>0</v>
          </cell>
          <cell r="Q1048" t="str">
            <v>done</v>
          </cell>
          <cell r="R1048">
            <v>46223</v>
          </cell>
          <cell r="S1048" t="str">
            <v>ARMIR</v>
          </cell>
          <cell r="T1048" t="str">
            <v>IBISHI ARDIAN</v>
          </cell>
          <cell r="U1048">
            <v>2142311</v>
          </cell>
          <cell r="V1048" t="str">
            <v>383 49 690 998</v>
          </cell>
          <cell r="W1048" t="str">
            <v>KOSOVO</v>
          </cell>
          <cell r="X1048">
            <v>1483</v>
          </cell>
          <cell r="AB1048">
            <v>1687</v>
          </cell>
          <cell r="AC1048">
            <v>8945</v>
          </cell>
          <cell r="AD1048">
            <v>1705</v>
          </cell>
          <cell r="AE1048">
            <v>10650</v>
          </cell>
          <cell r="AF1048">
            <v>10650</v>
          </cell>
        </row>
        <row r="1049">
          <cell r="A1049">
            <v>1049</v>
          </cell>
          <cell r="B1049">
            <v>46215</v>
          </cell>
          <cell r="C1049" t="str">
            <v>FORD Mondeo 2.0</v>
          </cell>
          <cell r="D1049" t="str">
            <v>FORD</v>
          </cell>
          <cell r="E1049" t="str">
            <v>Mondeo 2.0</v>
          </cell>
          <cell r="G1049" t="str">
            <v>01너0337</v>
          </cell>
          <cell r="H1049" t="str">
            <v>WF0DXXWPCGGC05910</v>
          </cell>
          <cell r="I1049">
            <v>46219</v>
          </cell>
          <cell r="J1049" t="str">
            <v>㈜뉴코리아모터스</v>
          </cell>
          <cell r="L1049" t="str">
            <v>잔금</v>
          </cell>
          <cell r="M1049" t="str">
            <v>50만원 대표님 계약</v>
          </cell>
          <cell r="N1049">
            <v>580</v>
          </cell>
          <cell r="P1049">
            <v>0</v>
          </cell>
          <cell r="Q1049" t="str">
            <v>done</v>
          </cell>
          <cell r="R1049">
            <v>46226</v>
          </cell>
          <cell r="S1049" t="str">
            <v>Auto Posh SH.P.K</v>
          </cell>
          <cell r="T1049" t="str">
            <v>Auto Posh SH.P.K</v>
          </cell>
          <cell r="U1049">
            <v>812219427</v>
          </cell>
          <cell r="V1049" t="str">
            <v>38345560145</v>
          </cell>
          <cell r="W1049" t="str">
            <v>KOSOVO</v>
          </cell>
          <cell r="X1049">
            <v>1483</v>
          </cell>
          <cell r="AB1049">
            <v>1687</v>
          </cell>
          <cell r="AC1049">
            <v>3465</v>
          </cell>
          <cell r="AD1049">
            <v>1705</v>
          </cell>
          <cell r="AE1049">
            <v>5170</v>
          </cell>
        </row>
        <row r="1050">
          <cell r="A1050">
            <v>1050</v>
          </cell>
          <cell r="B1050">
            <v>46215</v>
          </cell>
          <cell r="C1050" t="str">
            <v>AUDI A6 35 TDI quattro</v>
          </cell>
          <cell r="D1050" t="str">
            <v>AUDI</v>
          </cell>
          <cell r="E1050" t="str">
            <v>A6 35 TDI quattro</v>
          </cell>
          <cell r="G1050" t="str">
            <v>167마2680</v>
          </cell>
          <cell r="H1050" t="str">
            <v>WAUZZZ4G1GN156423</v>
          </cell>
          <cell r="I1050">
            <v>46224</v>
          </cell>
          <cell r="J1050" t="str">
            <v>개인매입- 김성한 010 4154 9406/ 김민호</v>
          </cell>
          <cell r="L1050" t="str">
            <v>잔금</v>
          </cell>
          <cell r="M1050" t="str">
            <v>50만원 대표님 계약</v>
          </cell>
          <cell r="N1050">
            <v>1080</v>
          </cell>
          <cell r="P1050">
            <v>0</v>
          </cell>
          <cell r="Q1050" t="str">
            <v>done</v>
          </cell>
          <cell r="R1050" t="str">
            <v>REPORT DONE</v>
          </cell>
          <cell r="S1050" t="str">
            <v>Auto Posh SH.P.K</v>
          </cell>
          <cell r="T1050" t="str">
            <v>Auto Posh SH.P.K</v>
          </cell>
          <cell r="U1050">
            <v>812219427</v>
          </cell>
          <cell r="V1050" t="str">
            <v>38345560145</v>
          </cell>
          <cell r="W1050" t="str">
            <v>KOSOVO</v>
          </cell>
          <cell r="X1050">
            <v>1483</v>
          </cell>
          <cell r="AB1050">
            <v>1687</v>
          </cell>
          <cell r="AC1050">
            <v>6295</v>
          </cell>
          <cell r="AD1050">
            <v>1705</v>
          </cell>
          <cell r="AE1050">
            <v>8000</v>
          </cell>
        </row>
        <row r="1051">
          <cell r="A1051">
            <v>1051</v>
          </cell>
          <cell r="B1051">
            <v>46217</v>
          </cell>
          <cell r="C1051" t="str">
            <v>AUDI A4</v>
          </cell>
          <cell r="D1051" t="str">
            <v>AUDI</v>
          </cell>
          <cell r="E1051" t="str">
            <v>A4</v>
          </cell>
          <cell r="G1051" t="str">
            <v>309다4966</v>
          </cell>
          <cell r="H1051" t="str">
            <v>WAUZZZF48MN001334</v>
          </cell>
          <cell r="I1051">
            <v>46226</v>
          </cell>
          <cell r="J1051" t="str">
            <v>㈜ 새차처럼모터스</v>
          </cell>
          <cell r="L1051" t="str">
            <v>잔금</v>
          </cell>
          <cell r="M1051" t="str">
            <v>100만원 회사통장 계약</v>
          </cell>
          <cell r="N1051">
            <v>2650</v>
          </cell>
          <cell r="P1051">
            <v>0</v>
          </cell>
          <cell r="Q1051" t="str">
            <v>DONE</v>
          </cell>
          <cell r="R1051">
            <v>46230</v>
          </cell>
          <cell r="S1051" t="str">
            <v>AUTO GALLERY DIOR SHPK</v>
          </cell>
          <cell r="T1051" t="str">
            <v>AUTO GALLERY DIOR SHPK</v>
          </cell>
          <cell r="U1051">
            <v>812050409</v>
          </cell>
          <cell r="V1051" t="str">
            <v>383 44 900 906</v>
          </cell>
          <cell r="W1051" t="str">
            <v>Kosovo</v>
          </cell>
          <cell r="X1051">
            <v>1483</v>
          </cell>
          <cell r="AB1051">
            <v>1687</v>
          </cell>
          <cell r="AC1051">
            <v>14895</v>
          </cell>
          <cell r="AD1051">
            <v>1705</v>
          </cell>
          <cell r="AE1051">
            <v>16600</v>
          </cell>
          <cell r="AF1051">
            <v>16600</v>
          </cell>
        </row>
        <row r="1052">
          <cell r="A1052">
            <v>1052</v>
          </cell>
          <cell r="B1052">
            <v>46217</v>
          </cell>
          <cell r="C1052" t="str">
            <v>BENZ GLA</v>
          </cell>
          <cell r="D1052" t="str">
            <v>BENZ</v>
          </cell>
          <cell r="E1052" t="str">
            <v>GLA</v>
          </cell>
          <cell r="G1052" t="str">
            <v>03구2234</v>
          </cell>
          <cell r="H1052" t="str">
            <v>WDCTG0JB5HJ357490</v>
          </cell>
          <cell r="I1052">
            <v>46224</v>
          </cell>
          <cell r="J1052" t="str">
            <v>㈜사마일모터스</v>
          </cell>
          <cell r="L1052" t="str">
            <v>잔금</v>
          </cell>
          <cell r="M1052" t="str">
            <v>50만원 회사통장 계약</v>
          </cell>
          <cell r="N1052">
            <v>1450</v>
          </cell>
          <cell r="P1052">
            <v>0</v>
          </cell>
          <cell r="Q1052" t="str">
            <v>done</v>
          </cell>
          <cell r="R1052">
            <v>46230</v>
          </cell>
          <cell r="S1052" t="str">
            <v>VILLA KOHA</v>
          </cell>
          <cell r="T1052" t="str">
            <v>VILLA KOHA SH.P.K</v>
          </cell>
          <cell r="U1052">
            <v>810039588</v>
          </cell>
          <cell r="V1052" t="str">
            <v>383 49247777</v>
          </cell>
          <cell r="W1052" t="str">
            <v>KOSOVO</v>
          </cell>
          <cell r="X1052">
            <v>1483</v>
          </cell>
          <cell r="AB1052">
            <v>1687</v>
          </cell>
          <cell r="AC1052">
            <v>8357</v>
          </cell>
          <cell r="AD1052">
            <v>1793</v>
          </cell>
          <cell r="AE1052">
            <v>10150</v>
          </cell>
          <cell r="AF1052">
            <v>10150</v>
          </cell>
        </row>
        <row r="1053">
          <cell r="A1053">
            <v>1053</v>
          </cell>
          <cell r="B1053">
            <v>46217</v>
          </cell>
          <cell r="C1053" t="str">
            <v>HYUNDAI SANTAFE</v>
          </cell>
          <cell r="D1053" t="str">
            <v>HYUNDAI</v>
          </cell>
          <cell r="E1053" t="str">
            <v>SANTAFE</v>
          </cell>
          <cell r="G1053" t="str">
            <v>183무7196</v>
          </cell>
          <cell r="H1053" t="str">
            <v>KMHS581HGMU312454</v>
          </cell>
          <cell r="I1053">
            <v>46219</v>
          </cell>
          <cell r="J1053" t="str">
            <v>㈜케이원카</v>
          </cell>
          <cell r="L1053" t="str">
            <v>잔금</v>
          </cell>
          <cell r="M1053" t="str">
            <v>100만원 대표님 계약</v>
          </cell>
          <cell r="N1053">
            <v>2000</v>
          </cell>
          <cell r="P1053">
            <v>0</v>
          </cell>
          <cell r="Q1053" t="str">
            <v>done</v>
          </cell>
          <cell r="R1053">
            <v>46226</v>
          </cell>
          <cell r="S1053" t="str">
            <v>CALJA</v>
          </cell>
          <cell r="T1053" t="str">
            <v>LUAN CAPJA</v>
          </cell>
          <cell r="U1053" t="str">
            <v>K83510203K</v>
          </cell>
          <cell r="V1053" t="str">
            <v>355 69 550 5533</v>
          </cell>
          <cell r="W1053" t="str">
            <v>Albania</v>
          </cell>
          <cell r="X1053">
            <v>1483</v>
          </cell>
          <cell r="AB1053">
            <v>1687</v>
          </cell>
          <cell r="AC1053">
            <v>11307</v>
          </cell>
          <cell r="AD1053">
            <v>1793</v>
          </cell>
          <cell r="AE1053">
            <v>13100</v>
          </cell>
          <cell r="AF1053">
            <v>10000</v>
          </cell>
        </row>
        <row r="1054">
          <cell r="A1054">
            <v>1054</v>
          </cell>
          <cell r="B1054">
            <v>46218</v>
          </cell>
          <cell r="C1054" t="str">
            <v>Mercedes-Benz E220 d 4MATIC</v>
          </cell>
          <cell r="D1054" t="str">
            <v>Mercedes-Benz</v>
          </cell>
          <cell r="E1054" t="str">
            <v>E220 d 4MATIC</v>
          </cell>
          <cell r="G1054" t="str">
            <v>180소8354</v>
          </cell>
          <cell r="H1054" t="str">
            <v>W1KZF0FBXMA869547</v>
          </cell>
          <cell r="I1054">
            <v>46224</v>
          </cell>
          <cell r="J1054" t="str">
            <v>㈜해피카</v>
          </cell>
          <cell r="L1054" t="str">
            <v>잔금</v>
          </cell>
          <cell r="M1054" t="str">
            <v>100만원 대표님 계약</v>
          </cell>
          <cell r="N1054">
            <v>2950</v>
          </cell>
          <cell r="P1054">
            <v>0</v>
          </cell>
          <cell r="Q1054" t="str">
            <v>DONE</v>
          </cell>
          <cell r="R1054">
            <v>46226</v>
          </cell>
          <cell r="S1054" t="str">
            <v>R.S.h L.L.C.</v>
          </cell>
          <cell r="T1054" t="str">
            <v>R.Sh L.L.C.</v>
          </cell>
          <cell r="U1054">
            <v>812326016</v>
          </cell>
          <cell r="V1054" t="str">
            <v>+383486 611 61</v>
          </cell>
          <cell r="W1054" t="str">
            <v>Kosovo</v>
          </cell>
          <cell r="X1054">
            <v>1471</v>
          </cell>
          <cell r="AB1054">
            <v>1682</v>
          </cell>
          <cell r="AC1054">
            <v>16663</v>
          </cell>
          <cell r="AD1054">
            <v>1697</v>
          </cell>
          <cell r="AE1054">
            <v>18360</v>
          </cell>
          <cell r="AF1054">
            <v>18900</v>
          </cell>
        </row>
        <row r="1055">
          <cell r="A1055">
            <v>1055</v>
          </cell>
          <cell r="B1055">
            <v>46218</v>
          </cell>
          <cell r="C1055" t="str">
            <v>VOLKSWAGEN ARTEON</v>
          </cell>
          <cell r="D1055" t="str">
            <v>VOLKSWAGEN</v>
          </cell>
          <cell r="E1055" t="str">
            <v>ARTEON</v>
          </cell>
          <cell r="G1055" t="str">
            <v>164너7075</v>
          </cell>
          <cell r="H1055" t="str">
            <v>WVWZZZ3HZNE003892</v>
          </cell>
          <cell r="I1055">
            <v>46226</v>
          </cell>
          <cell r="J1055" t="str">
            <v>㈜장학EMOTORS</v>
          </cell>
          <cell r="L1055" t="str">
            <v>잔금</v>
          </cell>
          <cell r="M1055" t="str">
            <v>60만원 회사통장 계약</v>
          </cell>
          <cell r="N1055">
            <v>2460</v>
          </cell>
          <cell r="P1055">
            <v>0</v>
          </cell>
          <cell r="Q1055" t="str">
            <v>done</v>
          </cell>
          <cell r="R1055">
            <v>46232</v>
          </cell>
          <cell r="S1055" t="str">
            <v>EASY DRIVE 🇧🇬</v>
          </cell>
          <cell r="T1055" t="str">
            <v>Easy Drive LTD</v>
          </cell>
          <cell r="U1055">
            <v>206557008</v>
          </cell>
          <cell r="V1055" t="str">
            <v>359 89 936 8386</v>
          </cell>
          <cell r="W1055" t="str">
            <v>ul. Sokolna 47
1444 Sofia
Bulgaria</v>
          </cell>
          <cell r="AC1055">
            <v>23512800</v>
          </cell>
        </row>
        <row r="1056">
          <cell r="A1056">
            <v>1056</v>
          </cell>
          <cell r="B1056">
            <v>46218</v>
          </cell>
          <cell r="C1056" t="str">
            <v>AUDI A6</v>
          </cell>
          <cell r="D1056" t="str">
            <v>AUDI</v>
          </cell>
          <cell r="E1056" t="str">
            <v>A6</v>
          </cell>
          <cell r="G1056" t="str">
            <v>66다2724</v>
          </cell>
          <cell r="H1056" t="str">
            <v>WAUZZZ4GXEN141349</v>
          </cell>
          <cell r="I1056">
            <v>46219</v>
          </cell>
          <cell r="J1056" t="str">
            <v>경매장 - AJ</v>
          </cell>
          <cell r="L1056" t="str">
            <v>잔금</v>
          </cell>
          <cell r="P1056">
            <v>0</v>
          </cell>
          <cell r="Q1056" t="str">
            <v>done</v>
          </cell>
          <cell r="R1056" t="str">
            <v>CON 2</v>
          </cell>
          <cell r="S1056" t="str">
            <v>MANTAS</v>
          </cell>
          <cell r="T1056" t="str">
            <v>UAB GRALIS</v>
          </cell>
          <cell r="U1056">
            <v>179285533</v>
          </cell>
          <cell r="V1056" t="str">
            <v>370 (618) 11 666</v>
          </cell>
          <cell r="W1056" t="str">
            <v xml:space="preserve">Jūros g. 33, Tauragė  </v>
          </cell>
          <cell r="X1056">
            <v>1431</v>
          </cell>
          <cell r="AC1056">
            <v>3430</v>
          </cell>
          <cell r="AD1056">
            <v>1575</v>
          </cell>
          <cell r="AE1056">
            <v>5005</v>
          </cell>
        </row>
        <row r="1057">
          <cell r="A1057">
            <v>1057</v>
          </cell>
          <cell r="B1057">
            <v>46218</v>
          </cell>
          <cell r="C1057" t="str">
            <v>BMW X3</v>
          </cell>
          <cell r="D1057" t="str">
            <v>BMW</v>
          </cell>
          <cell r="E1057" t="str">
            <v>X3</v>
          </cell>
          <cell r="G1057" t="str">
            <v>60거2334</v>
          </cell>
          <cell r="H1057" t="str">
            <v>WBAWZ5107F0L01768</v>
          </cell>
          <cell r="I1057">
            <v>46219</v>
          </cell>
          <cell r="J1057" t="str">
            <v>경매장 - AJ</v>
          </cell>
          <cell r="L1057" t="str">
            <v>잔금</v>
          </cell>
          <cell r="P1057">
            <v>0</v>
          </cell>
          <cell r="Q1057" t="str">
            <v>done</v>
          </cell>
          <cell r="R1057" t="str">
            <v>CON1</v>
          </cell>
          <cell r="S1057" t="str">
            <v>MANTAS</v>
          </cell>
          <cell r="T1057" t="str">
            <v>UAB GRALIS</v>
          </cell>
          <cell r="U1057">
            <v>179285533</v>
          </cell>
          <cell r="V1057" t="str">
            <v>370 (618) 11 666</v>
          </cell>
          <cell r="W1057" t="str">
            <v xml:space="preserve">Jūros g. 33, Tauragė  </v>
          </cell>
          <cell r="X1057">
            <v>1431</v>
          </cell>
          <cell r="AC1057">
            <v>5130</v>
          </cell>
          <cell r="AD1057">
            <v>1575</v>
          </cell>
        </row>
        <row r="1058">
          <cell r="A1058">
            <v>1058</v>
          </cell>
          <cell r="B1058">
            <v>46218</v>
          </cell>
          <cell r="C1058" t="str">
            <v>MERCEDES BENZ S400</v>
          </cell>
          <cell r="D1058" t="str">
            <v>MERCEDES BENZ</v>
          </cell>
          <cell r="E1058" t="str">
            <v>S400</v>
          </cell>
          <cell r="G1058" t="str">
            <v>31어7611</v>
          </cell>
          <cell r="H1058" t="str">
            <v>WDDUG6FB8FA132926</v>
          </cell>
          <cell r="I1058">
            <v>46219</v>
          </cell>
          <cell r="J1058" t="str">
            <v>경매장 - AJ</v>
          </cell>
          <cell r="L1058" t="str">
            <v>잔금</v>
          </cell>
          <cell r="P1058">
            <v>0</v>
          </cell>
          <cell r="Q1058" t="str">
            <v>done</v>
          </cell>
          <cell r="R1058" t="str">
            <v>CON1</v>
          </cell>
          <cell r="S1058" t="str">
            <v>MANTAS</v>
          </cell>
          <cell r="T1058" t="str">
            <v>UAB GRALIS</v>
          </cell>
          <cell r="U1058">
            <v>179285533</v>
          </cell>
          <cell r="V1058" t="str">
            <v>370 (618) 11 666</v>
          </cell>
          <cell r="W1058" t="str">
            <v xml:space="preserve">Jūros g. 33, Tauragė  </v>
          </cell>
          <cell r="X1058">
            <v>1431</v>
          </cell>
          <cell r="AC1058">
            <v>6500</v>
          </cell>
          <cell r="AD1058">
            <v>1575</v>
          </cell>
        </row>
        <row r="1059">
          <cell r="A1059">
            <v>1059</v>
          </cell>
          <cell r="B1059">
            <v>46218</v>
          </cell>
          <cell r="C1059" t="str">
            <v>RENAULT QM6</v>
          </cell>
          <cell r="D1059" t="str">
            <v>RENAULT</v>
          </cell>
          <cell r="E1059" t="str">
            <v>QM6</v>
          </cell>
          <cell r="G1059" t="str">
            <v>32다0179</v>
          </cell>
          <cell r="H1059" t="str">
            <v>KNME5C2M5HP007277</v>
          </cell>
          <cell r="I1059">
            <v>46219</v>
          </cell>
          <cell r="J1059" t="str">
            <v>경매장 - AJ</v>
          </cell>
          <cell r="L1059" t="str">
            <v>잔금</v>
          </cell>
          <cell r="P1059">
            <v>0</v>
          </cell>
          <cell r="Q1059" t="str">
            <v>DONE</v>
          </cell>
          <cell r="R1059">
            <v>46232</v>
          </cell>
          <cell r="S1059" t="str">
            <v>R.S.h L.L.C.</v>
          </cell>
          <cell r="T1059" t="str">
            <v>R.Sh L.L.C.</v>
          </cell>
          <cell r="U1059">
            <v>812326016</v>
          </cell>
          <cell r="V1059" t="str">
            <v>+383486 611 61</v>
          </cell>
          <cell r="W1059" t="str">
            <v>Kosovo</v>
          </cell>
          <cell r="X1059">
            <v>1445</v>
          </cell>
          <cell r="AB1059">
            <v>1648</v>
          </cell>
          <cell r="AC1059">
            <v>3061</v>
          </cell>
          <cell r="AD1059">
            <v>1789</v>
          </cell>
          <cell r="AE1059">
            <v>4850</v>
          </cell>
        </row>
        <row r="1060">
          <cell r="A1060">
            <v>1060</v>
          </cell>
          <cell r="B1060">
            <v>46218</v>
          </cell>
          <cell r="C1060" t="str">
            <v>AUDI A6</v>
          </cell>
          <cell r="D1060" t="str">
            <v>AUDI</v>
          </cell>
          <cell r="E1060" t="str">
            <v>A6</v>
          </cell>
          <cell r="F1060">
            <v>2018</v>
          </cell>
          <cell r="G1060" t="str">
            <v>06주4859</v>
          </cell>
          <cell r="H1060" t="str">
            <v>WAUZZZ4G8JN116511</v>
          </cell>
          <cell r="I1060">
            <v>46219</v>
          </cell>
          <cell r="J1060" t="str">
            <v>경매장 - AJ</v>
          </cell>
          <cell r="L1060" t="str">
            <v>잔금</v>
          </cell>
          <cell r="N1060">
            <v>1220</v>
          </cell>
          <cell r="O1060">
            <v>32</v>
          </cell>
          <cell r="P1060">
            <v>0</v>
          </cell>
          <cell r="Q1060" t="str">
            <v>done</v>
          </cell>
          <cell r="R1060">
            <v>46274</v>
          </cell>
          <cell r="S1060" t="str">
            <v>DONI</v>
          </cell>
          <cell r="T1060" t="str">
            <v>DONI</v>
          </cell>
          <cell r="U1060">
            <v>933682</v>
          </cell>
          <cell r="V1060" t="str">
            <v>3 8 3 4 9 3 2 5 7 0 3</v>
          </cell>
          <cell r="W1060" t="str">
            <v xml:space="preserve"> HYZRI TALLA OB 16 HY 1 NR 18
 Kosovë</v>
          </cell>
          <cell r="X1060">
            <v>1328</v>
          </cell>
          <cell r="AB1060">
            <v>1544</v>
          </cell>
          <cell r="AC1060">
            <v>7475</v>
          </cell>
          <cell r="AD1060">
            <v>1755</v>
          </cell>
          <cell r="AE1060">
            <v>9230</v>
          </cell>
        </row>
        <row r="1061">
          <cell r="A1061">
            <v>1061</v>
          </cell>
          <cell r="B1061">
            <v>46218</v>
          </cell>
          <cell r="C1061" t="str">
            <v>HYUNDAI SANTAFE</v>
          </cell>
          <cell r="D1061" t="str">
            <v>HYUNDAI</v>
          </cell>
          <cell r="E1061" t="str">
            <v>SANTAFE</v>
          </cell>
          <cell r="G1061" t="str">
            <v>25우0556</v>
          </cell>
          <cell r="H1061" t="str">
            <v>KMHSW81XDGU619628</v>
          </cell>
          <cell r="I1061">
            <v>46225</v>
          </cell>
          <cell r="J1061" t="str">
            <v>㈜ 라인모터스</v>
          </cell>
          <cell r="L1061" t="str">
            <v>잔금</v>
          </cell>
          <cell r="M1061" t="str">
            <v>50만원 대표님 계약</v>
          </cell>
          <cell r="N1061">
            <v>1090</v>
          </cell>
          <cell r="P1061">
            <v>0</v>
          </cell>
          <cell r="Q1061" t="str">
            <v>done</v>
          </cell>
          <cell r="R1061">
            <v>46230</v>
          </cell>
          <cell r="S1061" t="str">
            <v>Auto Posh SH.P.K</v>
          </cell>
          <cell r="T1061" t="str">
            <v>Auto Posh SH.P.K</v>
          </cell>
          <cell r="U1061">
            <v>812219427</v>
          </cell>
          <cell r="V1061" t="str">
            <v>38345560145</v>
          </cell>
          <cell r="W1061" t="str">
            <v>KOSOVO</v>
          </cell>
          <cell r="X1061">
            <v>1464</v>
          </cell>
          <cell r="AB1061">
            <v>1670</v>
          </cell>
          <cell r="AC1061">
            <v>6252</v>
          </cell>
          <cell r="AD1061">
            <v>1788</v>
          </cell>
          <cell r="AE1061">
            <v>8040</v>
          </cell>
        </row>
        <row r="1062">
          <cell r="A1062">
            <v>1062</v>
          </cell>
          <cell r="B1062">
            <v>46218</v>
          </cell>
          <cell r="C1062" t="str">
            <v>AUDI Q5</v>
          </cell>
          <cell r="D1062" t="str">
            <v>AUDI</v>
          </cell>
          <cell r="E1062" t="str">
            <v>Q5</v>
          </cell>
          <cell r="G1062" t="str">
            <v>257가8165</v>
          </cell>
          <cell r="H1062" t="str">
            <v>WAUZZZFY8L2071449</v>
          </cell>
          <cell r="I1062">
            <v>46225</v>
          </cell>
          <cell r="J1062" t="str">
            <v>㈜넘버원모터스</v>
          </cell>
          <cell r="L1062" t="str">
            <v>잔금</v>
          </cell>
          <cell r="M1062" t="str">
            <v>100만원 대표님 계약</v>
          </cell>
          <cell r="N1062">
            <v>2900</v>
          </cell>
          <cell r="P1062">
            <v>0</v>
          </cell>
          <cell r="Q1062" t="str">
            <v>done</v>
          </cell>
          <cell r="R1062">
            <v>46230</v>
          </cell>
          <cell r="S1062" t="str">
            <v>Auto Posh SH.P.K</v>
          </cell>
          <cell r="T1062" t="str">
            <v>Auto Posh SH.P.K</v>
          </cell>
          <cell r="U1062">
            <v>812219427</v>
          </cell>
          <cell r="V1062" t="str">
            <v>38345560145</v>
          </cell>
          <cell r="W1062" t="str">
            <v>KOSOVO</v>
          </cell>
          <cell r="X1062">
            <v>1464</v>
          </cell>
          <cell r="AB1062">
            <v>1670</v>
          </cell>
          <cell r="AC1062">
            <v>16312</v>
          </cell>
          <cell r="AD1062">
            <v>1788</v>
          </cell>
          <cell r="AE1062">
            <v>18100</v>
          </cell>
          <cell r="AF1062">
            <v>18100</v>
          </cell>
        </row>
        <row r="1063">
          <cell r="A1063">
            <v>1063</v>
          </cell>
          <cell r="B1063">
            <v>46218</v>
          </cell>
          <cell r="C1063" t="str">
            <v>BMW 320D</v>
          </cell>
          <cell r="D1063" t="str">
            <v>BMW</v>
          </cell>
          <cell r="E1063" t="str">
            <v>320D</v>
          </cell>
          <cell r="G1063" t="str">
            <v>353로1890</v>
          </cell>
          <cell r="H1063" t="str">
            <v>WBA5V5109KAJ53358</v>
          </cell>
          <cell r="I1063">
            <v>46226</v>
          </cell>
          <cell r="J1063" t="str">
            <v>㈜와이엠토터스</v>
          </cell>
          <cell r="L1063" t="str">
            <v>잔금</v>
          </cell>
          <cell r="M1063" t="str">
            <v>50만원 대표님 계약</v>
          </cell>
          <cell r="N1063">
            <v>2030</v>
          </cell>
          <cell r="P1063">
            <v>0</v>
          </cell>
          <cell r="Q1063" t="str">
            <v>DONE</v>
          </cell>
          <cell r="R1063">
            <v>46230</v>
          </cell>
          <cell r="S1063" t="str">
            <v>AUTO GALLERY DIOR SHPK</v>
          </cell>
          <cell r="T1063" t="str">
            <v>AUTO GALLERY DIOR SHPK</v>
          </cell>
          <cell r="U1063">
            <v>812050409</v>
          </cell>
          <cell r="V1063" t="str">
            <v>383 44 900 906</v>
          </cell>
          <cell r="W1063" t="str">
            <v>Kosovo</v>
          </cell>
          <cell r="X1063">
            <v>1471</v>
          </cell>
          <cell r="AB1063">
            <v>1687</v>
          </cell>
          <cell r="AC1063">
            <v>11408</v>
          </cell>
          <cell r="AD1063">
            <v>1692</v>
          </cell>
          <cell r="AE1063">
            <v>13100</v>
          </cell>
          <cell r="AF1063">
            <v>13100</v>
          </cell>
        </row>
        <row r="1064">
          <cell r="A1064">
            <v>1064</v>
          </cell>
          <cell r="B1064">
            <v>46218</v>
          </cell>
          <cell r="C1064" t="str">
            <v>BMW 320D</v>
          </cell>
          <cell r="D1064" t="str">
            <v>BMW</v>
          </cell>
          <cell r="E1064" t="str">
            <v>320D</v>
          </cell>
          <cell r="G1064" t="str">
            <v>290무5487</v>
          </cell>
          <cell r="H1064" t="str">
            <v>WBA8C5101HK857883</v>
          </cell>
          <cell r="I1064">
            <v>46225</v>
          </cell>
          <cell r="J1064" t="str">
            <v>㈜카베이</v>
          </cell>
          <cell r="L1064" t="str">
            <v>잔금</v>
          </cell>
          <cell r="M1064" t="str">
            <v>50만원 대표님 계약</v>
          </cell>
          <cell r="N1064">
            <v>1190</v>
          </cell>
          <cell r="P1064">
            <v>0</v>
          </cell>
          <cell r="Q1064" t="str">
            <v>done</v>
          </cell>
          <cell r="R1064">
            <v>46230</v>
          </cell>
          <cell r="S1064" t="str">
            <v>Auto Posh SH.P.K</v>
          </cell>
          <cell r="T1064" t="str">
            <v>Auto Posh SH.P.K</v>
          </cell>
          <cell r="U1064">
            <v>812219427</v>
          </cell>
          <cell r="V1064" t="str">
            <v>38345560145</v>
          </cell>
          <cell r="W1064" t="str">
            <v>KOSOVO</v>
          </cell>
          <cell r="X1064">
            <v>1464</v>
          </cell>
          <cell r="AB1064">
            <v>1670</v>
          </cell>
          <cell r="AC1064">
            <v>6749</v>
          </cell>
          <cell r="AD1064">
            <v>1701</v>
          </cell>
          <cell r="AE1064">
            <v>8450</v>
          </cell>
        </row>
        <row r="1065">
          <cell r="A1065">
            <v>1065</v>
          </cell>
          <cell r="B1065">
            <v>46219</v>
          </cell>
          <cell r="C1065" t="str">
            <v>VOLVO XC90</v>
          </cell>
          <cell r="D1065" t="str">
            <v>VOLVO</v>
          </cell>
          <cell r="E1065" t="str">
            <v>XC90</v>
          </cell>
          <cell r="G1065" t="str">
            <v>52머6628</v>
          </cell>
          <cell r="H1065" t="str">
            <v>YV1LCA22CJ1376937</v>
          </cell>
          <cell r="I1065">
            <v>46226</v>
          </cell>
          <cell r="J1065" t="str">
            <v>㈜ 프렌즈모빌리티</v>
          </cell>
          <cell r="L1065" t="str">
            <v>잔금</v>
          </cell>
          <cell r="M1065" t="str">
            <v>50만원 대표님 계약</v>
          </cell>
          <cell r="N1065">
            <v>2194</v>
          </cell>
          <cell r="P1065">
            <v>0</v>
          </cell>
          <cell r="Q1065" t="str">
            <v>done</v>
          </cell>
          <cell r="R1065">
            <v>46232</v>
          </cell>
          <cell r="S1065" t="str">
            <v>EASY DRIVE 🇧🇬</v>
          </cell>
          <cell r="T1065" t="str">
            <v>Easy Drive LTD</v>
          </cell>
          <cell r="U1065">
            <v>206557008</v>
          </cell>
          <cell r="V1065" t="str">
            <v>359 89 936 8386</v>
          </cell>
          <cell r="W1065" t="str">
            <v>ul. Sokolna 47
1444 Sofia
Bulgaria</v>
          </cell>
          <cell r="X1065">
            <v>1471</v>
          </cell>
          <cell r="AB1065">
            <v>1687</v>
          </cell>
          <cell r="AC1065">
            <v>20972500</v>
          </cell>
        </row>
        <row r="1066">
          <cell r="A1066">
            <v>1066</v>
          </cell>
          <cell r="B1066">
            <v>46219</v>
          </cell>
          <cell r="C1066" t="str">
            <v>AUDI Q2</v>
          </cell>
          <cell r="D1066" t="str">
            <v>AUDI</v>
          </cell>
          <cell r="E1066" t="str">
            <v>Q2</v>
          </cell>
          <cell r="G1066" t="str">
            <v>392다7308</v>
          </cell>
          <cell r="H1066" t="str">
            <v>WAUZZZGA0LA051123</v>
          </cell>
          <cell r="I1066">
            <v>46226</v>
          </cell>
          <cell r="J1066" t="str">
            <v>㈜ 초성모터스</v>
          </cell>
          <cell r="L1066" t="str">
            <v>잔금</v>
          </cell>
          <cell r="M1066" t="str">
            <v>100만원 대표님 계약</v>
          </cell>
          <cell r="N1066">
            <v>1980</v>
          </cell>
          <cell r="P1066">
            <v>0</v>
          </cell>
          <cell r="Q1066" t="str">
            <v>done</v>
          </cell>
          <cell r="R1066" t="str">
            <v>REPORT DONE</v>
          </cell>
          <cell r="S1066" t="str">
            <v>AUTO GALLERY DIOR SHPK</v>
          </cell>
          <cell r="T1066" t="str">
            <v>AUTO GALLERY DIOR SHPK</v>
          </cell>
          <cell r="U1066">
            <v>812050409</v>
          </cell>
          <cell r="V1066" t="str">
            <v>383 44 900 906</v>
          </cell>
          <cell r="W1066" t="str">
            <v>Kosovo</v>
          </cell>
          <cell r="X1066">
            <v>1471</v>
          </cell>
          <cell r="AB1066">
            <v>1687</v>
          </cell>
          <cell r="AC1066">
            <v>11221</v>
          </cell>
          <cell r="AD1066">
            <v>1779</v>
          </cell>
          <cell r="AE1066">
            <v>13000</v>
          </cell>
          <cell r="AF1066">
            <v>13000</v>
          </cell>
        </row>
        <row r="1067">
          <cell r="A1067">
            <v>1067</v>
          </cell>
          <cell r="B1067">
            <v>46219</v>
          </cell>
          <cell r="C1067" t="str">
            <v>HYUNDAI I30</v>
          </cell>
          <cell r="D1067" t="str">
            <v>HYUNDAI</v>
          </cell>
          <cell r="E1067" t="str">
            <v>I30</v>
          </cell>
          <cell r="G1067" t="str">
            <v>13조5366</v>
          </cell>
          <cell r="H1067" t="str">
            <v>KMHD251UBFU198228</v>
          </cell>
          <cell r="J1067" t="str">
            <v>경매장 - KCAR</v>
          </cell>
          <cell r="L1067" t="str">
            <v>잔금</v>
          </cell>
          <cell r="N1067">
            <v>500</v>
          </cell>
          <cell r="O1067">
            <v>16</v>
          </cell>
          <cell r="P1067">
            <v>0</v>
          </cell>
          <cell r="Q1067" t="str">
            <v>done</v>
          </cell>
          <cell r="R1067">
            <v>46231</v>
          </cell>
          <cell r="S1067" t="str">
            <v xml:space="preserve">EUROAUTO.AL </v>
          </cell>
          <cell r="T1067" t="str">
            <v>Erion Gjergji</v>
          </cell>
          <cell r="U1067" t="str">
            <v>I90516099R</v>
          </cell>
          <cell r="V1067" t="str">
            <v>49 163 6979 099</v>
          </cell>
          <cell r="W1067" t="str">
            <v>Albania</v>
          </cell>
          <cell r="X1067">
            <v>1464</v>
          </cell>
          <cell r="AB1067">
            <v>1670</v>
          </cell>
          <cell r="AC1067">
            <v>3159</v>
          </cell>
          <cell r="AD1067">
            <v>1701</v>
          </cell>
          <cell r="AE1067">
            <v>4860</v>
          </cell>
        </row>
        <row r="1068">
          <cell r="A1068">
            <v>1068</v>
          </cell>
          <cell r="B1068">
            <v>46220</v>
          </cell>
          <cell r="C1068" t="str">
            <v>BMW Gran Turismo EfficientDynamics Edition</v>
          </cell>
          <cell r="D1068" t="str">
            <v>BMW</v>
          </cell>
          <cell r="E1068" t="str">
            <v>Gran Turismo EfficientDynamics Edition</v>
          </cell>
          <cell r="G1068" t="str">
            <v>37누0878</v>
          </cell>
          <cell r="H1068" t="str">
            <v xml:space="preserve"> WBA5N2102GG267205</v>
          </cell>
          <cell r="I1068">
            <v>46227</v>
          </cell>
          <cell r="J1068" t="str">
            <v>㈜카메이트</v>
          </cell>
          <cell r="L1068" t="str">
            <v>잔금</v>
          </cell>
          <cell r="M1068" t="str">
            <v>50만원 대표님 계약</v>
          </cell>
          <cell r="N1068">
            <v>1460</v>
          </cell>
          <cell r="P1068">
            <v>0</v>
          </cell>
          <cell r="Q1068" t="str">
            <v>done</v>
          </cell>
          <cell r="R1068" t="str">
            <v>26.07.29</v>
          </cell>
          <cell r="S1068" t="str">
            <v>ATLAS GROUP SH.P.K</v>
          </cell>
          <cell r="T1068" t="str">
            <v>ATLAS GROUP SH.P.K</v>
          </cell>
          <cell r="U1068">
            <v>812137455</v>
          </cell>
          <cell r="V1068" t="str">
            <v>+38348702207</v>
          </cell>
          <cell r="W1068" t="str">
            <v>Xhelal Hajda, p.n. Rahovec</v>
          </cell>
          <cell r="X1068">
            <v>1471</v>
          </cell>
          <cell r="AB1068">
            <v>1687</v>
          </cell>
          <cell r="AC1068">
            <v>8298</v>
          </cell>
          <cell r="AD1068">
            <v>1692</v>
          </cell>
          <cell r="AE1068">
            <v>9990</v>
          </cell>
        </row>
        <row r="1069">
          <cell r="A1069">
            <v>1069</v>
          </cell>
          <cell r="B1069">
            <v>46220</v>
          </cell>
          <cell r="C1069" t="str">
            <v>BMW 320I</v>
          </cell>
          <cell r="D1069" t="str">
            <v>BMW</v>
          </cell>
          <cell r="E1069" t="str">
            <v>320I</v>
          </cell>
          <cell r="G1069" t="str">
            <v>48로3230</v>
          </cell>
          <cell r="H1069" t="str">
            <v>WBA8A9107HK883790</v>
          </cell>
          <cell r="I1069">
            <v>46224</v>
          </cell>
          <cell r="J1069" t="str">
            <v>㈜와이지모터스</v>
          </cell>
          <cell r="L1069" t="str">
            <v>잔금</v>
          </cell>
          <cell r="M1069" t="str">
            <v>50만원 대표님 계약</v>
          </cell>
          <cell r="P1069">
            <v>0</v>
          </cell>
          <cell r="Q1069" t="str">
            <v>done</v>
          </cell>
          <cell r="R1069" t="str">
            <v>REPORT DONE</v>
          </cell>
          <cell r="S1069" t="str">
            <v>BEN</v>
          </cell>
          <cell r="T1069" t="str">
            <v>Evo Prestige &amp; Classic Cars</v>
          </cell>
          <cell r="U1069" t="str">
            <v>945.390.052.00013</v>
          </cell>
          <cell r="V1069" t="str">
            <v xml:space="preserve"> 33 649 5005 94</v>
          </cell>
          <cell r="W1069" t="str">
            <v>2 rue de le ferronnerie 
43000 Polignac</v>
          </cell>
          <cell r="X1069">
            <v>1471</v>
          </cell>
          <cell r="AB1069">
            <v>1687</v>
          </cell>
          <cell r="AC1069">
            <v>7320</v>
          </cell>
          <cell r="AD1069">
            <v>1755</v>
          </cell>
          <cell r="AF1069">
            <v>9075</v>
          </cell>
        </row>
        <row r="1070">
          <cell r="A1070">
            <v>1070</v>
          </cell>
          <cell r="B1070">
            <v>46220</v>
          </cell>
          <cell r="C1070" t="str">
            <v>BMW 523D</v>
          </cell>
          <cell r="D1070" t="str">
            <v>BMW</v>
          </cell>
          <cell r="E1070" t="str">
            <v>523D</v>
          </cell>
          <cell r="G1070" t="str">
            <v>393소4914</v>
          </cell>
          <cell r="H1070" t="str">
            <v>WBA11ES06MCG09819</v>
          </cell>
          <cell r="I1070">
            <v>46226</v>
          </cell>
          <cell r="J1070" t="str">
            <v>㈜세모카</v>
          </cell>
          <cell r="L1070" t="str">
            <v>잔금</v>
          </cell>
          <cell r="M1070" t="str">
            <v>100만원 대표님 계약</v>
          </cell>
          <cell r="N1070">
            <v>2914</v>
          </cell>
          <cell r="P1070">
            <v>0</v>
          </cell>
          <cell r="Q1070" t="str">
            <v>done</v>
          </cell>
          <cell r="R1070">
            <v>46230</v>
          </cell>
          <cell r="S1070" t="str">
            <v>Auto Posh SH.P.K</v>
          </cell>
          <cell r="T1070" t="str">
            <v>Auto Posh SH.P.K</v>
          </cell>
          <cell r="U1070">
            <v>812219427</v>
          </cell>
          <cell r="V1070" t="str">
            <v>38345560145</v>
          </cell>
          <cell r="W1070" t="str">
            <v>KOSOVO</v>
          </cell>
          <cell r="X1070">
            <v>1465</v>
          </cell>
          <cell r="AB1070">
            <v>1687</v>
          </cell>
          <cell r="AC1070">
            <v>16295</v>
          </cell>
          <cell r="AD1070">
            <v>1685</v>
          </cell>
          <cell r="AE1070">
            <v>17980</v>
          </cell>
        </row>
        <row r="1071">
          <cell r="A1071">
            <v>1071</v>
          </cell>
          <cell r="B1071">
            <v>46220</v>
          </cell>
          <cell r="C1071" t="str">
            <v>VOLKSWAGEN GOLF</v>
          </cell>
          <cell r="D1071" t="str">
            <v>VOLKSWAGEN</v>
          </cell>
          <cell r="E1071" t="str">
            <v>GOLF</v>
          </cell>
          <cell r="G1071" t="str">
            <v>68오1152</v>
          </cell>
          <cell r="H1071" t="str">
            <v>WVWZZZAUZDW151388</v>
          </cell>
          <cell r="I1071">
            <v>46224</v>
          </cell>
          <cell r="J1071" t="str">
            <v>㈜바른자동차</v>
          </cell>
          <cell r="L1071" t="str">
            <v>잔금</v>
          </cell>
          <cell r="M1071" t="str">
            <v>50만원 대표님 계약</v>
          </cell>
          <cell r="N1071">
            <v>600</v>
          </cell>
          <cell r="P1071">
            <v>0</v>
          </cell>
          <cell r="Q1071" t="str">
            <v>done</v>
          </cell>
          <cell r="R1071">
            <v>46226</v>
          </cell>
          <cell r="S1071" t="str">
            <v>CALJA</v>
          </cell>
          <cell r="T1071" t="str">
            <v>SCAFFAZZILLO MARIGLEN</v>
          </cell>
          <cell r="U1071" t="str">
            <v>J10603033T</v>
          </cell>
          <cell r="V1071" t="str">
            <v>355 69 550 5533</v>
          </cell>
          <cell r="W1071" t="str">
            <v>Albania</v>
          </cell>
          <cell r="X1071">
            <v>1471</v>
          </cell>
          <cell r="AB1071">
            <v>1687</v>
          </cell>
          <cell r="AC1071">
            <v>3608</v>
          </cell>
          <cell r="AD1071">
            <v>1692</v>
          </cell>
          <cell r="AE1071">
            <v>5300</v>
          </cell>
          <cell r="AF1071">
            <v>7000</v>
          </cell>
        </row>
        <row r="1072">
          <cell r="A1072">
            <v>1072</v>
          </cell>
          <cell r="B1072">
            <v>46220</v>
          </cell>
          <cell r="C1072" t="str">
            <v>BMW  330i</v>
          </cell>
          <cell r="D1072" t="str">
            <v>BMW</v>
          </cell>
          <cell r="E1072" t="str">
            <v xml:space="preserve"> 330i</v>
          </cell>
          <cell r="G1072" t="str">
            <v>28소7935</v>
          </cell>
          <cell r="H1072" t="str">
            <v>WBA8B9107JA826742</v>
          </cell>
          <cell r="I1072">
            <v>46226</v>
          </cell>
          <cell r="L1072" t="str">
            <v>잔금</v>
          </cell>
          <cell r="M1072" t="str">
            <v>50만원 대표님 계약</v>
          </cell>
          <cell r="N1072">
            <v>2150</v>
          </cell>
          <cell r="P1072">
            <v>0</v>
          </cell>
          <cell r="Q1072" t="str">
            <v>done</v>
          </cell>
          <cell r="R1072">
            <v>46232</v>
          </cell>
          <cell r="S1072" t="str">
            <v>EASY DRIVE 🇧🇬</v>
          </cell>
          <cell r="T1072" t="str">
            <v>Easy Drive LTD</v>
          </cell>
          <cell r="U1072">
            <v>206557008</v>
          </cell>
          <cell r="V1072" t="str">
            <v>359 89 936 8386</v>
          </cell>
          <cell r="W1072" t="str">
            <v>ul. Sokolna 47
1444 Sofia
Bulgaria</v>
          </cell>
          <cell r="AC1072">
            <v>20552300</v>
          </cell>
        </row>
        <row r="1073">
          <cell r="A1073">
            <v>1073</v>
          </cell>
          <cell r="B1073">
            <v>46221</v>
          </cell>
          <cell r="C1073" t="str">
            <v>AUDI A6 40 TDI</v>
          </cell>
          <cell r="D1073" t="str">
            <v>AUDI</v>
          </cell>
          <cell r="E1073" t="str">
            <v>A6 40 TDI</v>
          </cell>
          <cell r="G1073" t="str">
            <v>361다8931</v>
          </cell>
          <cell r="H1073" t="str">
            <v>WAUZZZF26LN032983</v>
          </cell>
          <cell r="I1073">
            <v>46226</v>
          </cell>
          <cell r="L1073" t="str">
            <v>잔금</v>
          </cell>
          <cell r="M1073" t="str">
            <v>100만원 회사통장 계약</v>
          </cell>
          <cell r="N1073">
            <v>2554</v>
          </cell>
          <cell r="P1073">
            <v>0</v>
          </cell>
          <cell r="Q1073" t="str">
            <v>DONE</v>
          </cell>
          <cell r="R1073">
            <v>46230</v>
          </cell>
          <cell r="S1073" t="str">
            <v>AUTO GALLERY DIOR SHPK</v>
          </cell>
          <cell r="T1073" t="str">
            <v>AUTO GALLERY DIOR SHPK</v>
          </cell>
          <cell r="U1073">
            <v>812050409</v>
          </cell>
          <cell r="V1073" t="str">
            <v>383 44 900 906</v>
          </cell>
          <cell r="W1073" t="str">
            <v>Kosovo</v>
          </cell>
          <cell r="X1073">
            <v>1471</v>
          </cell>
          <cell r="AB1073">
            <v>1682</v>
          </cell>
          <cell r="AC1073">
            <v>14593</v>
          </cell>
          <cell r="AD1073">
            <v>1697</v>
          </cell>
          <cell r="AE1073">
            <v>16290</v>
          </cell>
        </row>
        <row r="1074">
          <cell r="A1074">
            <v>1074</v>
          </cell>
          <cell r="B1074">
            <v>46221</v>
          </cell>
          <cell r="C1074" t="str">
            <v>MERCEDES BENZ E400 4Matic Coupe</v>
          </cell>
          <cell r="D1074" t="str">
            <v>MERCEDES BENZ</v>
          </cell>
          <cell r="E1074" t="str">
            <v>E400 4Matic Coupe</v>
          </cell>
          <cell r="G1074" t="str">
            <v>65누1779</v>
          </cell>
          <cell r="H1074" t="str">
            <v>WDD1J6GB9HF017535</v>
          </cell>
          <cell r="I1074">
            <v>46225</v>
          </cell>
          <cell r="L1074" t="str">
            <v>잔금</v>
          </cell>
          <cell r="M1074" t="str">
            <v>70만원 회사통장 계약</v>
          </cell>
          <cell r="N1074">
            <v>2204</v>
          </cell>
          <cell r="P1074">
            <v>0</v>
          </cell>
          <cell r="Q1074" t="str">
            <v>done</v>
          </cell>
          <cell r="R1074">
            <v>46232</v>
          </cell>
          <cell r="S1074" t="str">
            <v>EASY DRIVE 🇧🇬</v>
          </cell>
          <cell r="T1074" t="str">
            <v>Easy Drive LTD</v>
          </cell>
          <cell r="U1074">
            <v>206557008</v>
          </cell>
          <cell r="V1074" t="str">
            <v>359 89 936 8386</v>
          </cell>
          <cell r="W1074" t="str">
            <v>ul. Sokolna 47
1444 Sofia
Bulgaria</v>
          </cell>
          <cell r="AC1074">
            <v>21163500</v>
          </cell>
        </row>
        <row r="1075">
          <cell r="A1075">
            <v>1075</v>
          </cell>
          <cell r="B1075">
            <v>46221</v>
          </cell>
          <cell r="C1075" t="str">
            <v>AUDI A6 40 TDI</v>
          </cell>
          <cell r="D1075" t="str">
            <v>AUDI</v>
          </cell>
          <cell r="E1075" t="str">
            <v>A6 40 TDI</v>
          </cell>
          <cell r="G1075" t="str">
            <v>236더4874</v>
          </cell>
          <cell r="H1075" t="str">
            <v>WAUZZZF24LN018712</v>
          </cell>
          <cell r="I1075">
            <v>46226</v>
          </cell>
          <cell r="J1075" t="str">
            <v>㈜차차</v>
          </cell>
          <cell r="L1075" t="str">
            <v>잔금</v>
          </cell>
          <cell r="M1075" t="str">
            <v>70만원 대표님 계약</v>
          </cell>
          <cell r="N1075">
            <v>2654</v>
          </cell>
          <cell r="P1075">
            <v>0</v>
          </cell>
          <cell r="Q1075" t="str">
            <v>DONE</v>
          </cell>
          <cell r="R1075">
            <v>46230</v>
          </cell>
          <cell r="S1075" t="str">
            <v>AUTO GALLERY DIOR SHPK</v>
          </cell>
          <cell r="T1075" t="str">
            <v>AUTO GALLERY DIOR SHPK</v>
          </cell>
          <cell r="U1075">
            <v>812050409</v>
          </cell>
          <cell r="V1075" t="str">
            <v>383 44 900 906</v>
          </cell>
          <cell r="W1075" t="str">
            <v>Kosovo</v>
          </cell>
          <cell r="X1075">
            <v>1471</v>
          </cell>
          <cell r="AB1075">
            <v>1682</v>
          </cell>
          <cell r="AC1075">
            <v>15003</v>
          </cell>
          <cell r="AD1075">
            <v>1697</v>
          </cell>
          <cell r="AE1075">
            <v>16700</v>
          </cell>
        </row>
        <row r="1076">
          <cell r="A1076">
            <v>1076</v>
          </cell>
          <cell r="B1076">
            <v>46221</v>
          </cell>
          <cell r="C1076" t="str">
            <v>Mercedes-BENz AMG GLE63 4Matic</v>
          </cell>
          <cell r="D1076" t="str">
            <v>Mercedes-BENz</v>
          </cell>
          <cell r="E1076" t="str">
            <v>AMG GLE63 4Matic</v>
          </cell>
          <cell r="G1076" t="str">
            <v>65보2256</v>
          </cell>
          <cell r="H1076" t="str">
            <v>WDCDA7EB3GA770452</v>
          </cell>
          <cell r="I1076">
            <v>46237</v>
          </cell>
          <cell r="J1076" t="str">
            <v>㈜아우텍스 김포지점</v>
          </cell>
          <cell r="L1076" t="str">
            <v>잔금</v>
          </cell>
          <cell r="M1076" t="str">
            <v>100만원 대표님 계약</v>
          </cell>
          <cell r="N1076">
            <v>3464</v>
          </cell>
          <cell r="P1076">
            <v>0</v>
          </cell>
          <cell r="Q1076" t="str">
            <v>DONE</v>
          </cell>
          <cell r="R1076">
            <v>46240</v>
          </cell>
          <cell r="S1076" t="str">
            <v>KOREA EXPORT EXPERT</v>
          </cell>
          <cell r="T1076" t="str">
            <v>Trym Hoff</v>
          </cell>
          <cell r="U1076" t="str">
            <v>CCC955589</v>
          </cell>
          <cell r="V1076" t="str">
            <v>47 900 55 199</v>
          </cell>
          <cell r="W1076" t="str">
            <v>Havsteinlia 16, 7021 Trondheim, Norway</v>
          </cell>
          <cell r="AC1076">
            <v>34200000</v>
          </cell>
          <cell r="AF1076">
            <v>20365</v>
          </cell>
        </row>
        <row r="1077">
          <cell r="A1077">
            <v>1077</v>
          </cell>
          <cell r="B1077">
            <v>46223</v>
          </cell>
          <cell r="C1077" t="str">
            <v>Mercedes-BENz GLA</v>
          </cell>
          <cell r="D1077" t="str">
            <v>Mercedes-BENz</v>
          </cell>
          <cell r="E1077" t="str">
            <v>GLA</v>
          </cell>
          <cell r="G1077" t="str">
            <v>07마0656</v>
          </cell>
          <cell r="H1077" t="str">
            <v>WDCTG0JB0FJ180568</v>
          </cell>
          <cell r="I1077">
            <v>46233</v>
          </cell>
          <cell r="J1077" t="str">
            <v>㈜팔승모터스</v>
          </cell>
          <cell r="L1077" t="str">
            <v>잔금</v>
          </cell>
          <cell r="M1077" t="str">
            <v>50만원 회사통장 계약</v>
          </cell>
          <cell r="N1077">
            <v>1050</v>
          </cell>
          <cell r="P1077">
            <v>0</v>
          </cell>
          <cell r="Q1077" t="str">
            <v>DONE</v>
          </cell>
          <cell r="R1077">
            <v>46240</v>
          </cell>
          <cell r="S1077" t="str">
            <v>TAFA</v>
          </cell>
          <cell r="T1077" t="str">
            <v>MECAJ KRESHNIK</v>
          </cell>
          <cell r="U1077" t="str">
            <v>I80921021J</v>
          </cell>
          <cell r="V1077" t="str">
            <v>355 68 855 8026</v>
          </cell>
          <cell r="W1077" t="str">
            <v>ALBANIA</v>
          </cell>
          <cell r="X1077">
            <v>1381</v>
          </cell>
          <cell r="AB1077">
            <v>1612</v>
          </cell>
          <cell r="AC1077">
            <v>6317</v>
          </cell>
          <cell r="AD1077">
            <v>1833</v>
          </cell>
          <cell r="AE1077">
            <v>8150</v>
          </cell>
          <cell r="AF1077">
            <v>7000</v>
          </cell>
        </row>
        <row r="1078">
          <cell r="A1078">
            <v>1078</v>
          </cell>
          <cell r="B1078">
            <v>46223</v>
          </cell>
          <cell r="C1078" t="str">
            <v>BMW X3</v>
          </cell>
          <cell r="D1078" t="str">
            <v>BMW</v>
          </cell>
          <cell r="E1078" t="str">
            <v>X3</v>
          </cell>
          <cell r="G1078" t="str">
            <v>64다8549</v>
          </cell>
          <cell r="H1078" t="str">
            <v>WBAWZ5101G0M29683</v>
          </cell>
          <cell r="J1078" t="str">
            <v>경매장- 헤이딜러</v>
          </cell>
          <cell r="L1078" t="str">
            <v>잔금</v>
          </cell>
          <cell r="P1078">
            <v>0</v>
          </cell>
          <cell r="Q1078" t="str">
            <v>done</v>
          </cell>
          <cell r="R1078" t="str">
            <v>28/08/2026</v>
          </cell>
          <cell r="S1078" t="str">
            <v>DONI</v>
          </cell>
          <cell r="T1078" t="str">
            <v>DONI</v>
          </cell>
          <cell r="U1078">
            <v>933682</v>
          </cell>
          <cell r="V1078" t="str">
            <v>3 8 3 4 9 3 2 5 7 0 3</v>
          </cell>
          <cell r="W1078" t="str">
            <v xml:space="preserve"> HYZRI TALLA OB 16 HY 1 NR 18
 Kosovë</v>
          </cell>
          <cell r="X1078">
            <v>1381</v>
          </cell>
          <cell r="AB1078">
            <v>1612</v>
          </cell>
          <cell r="AC1078">
            <v>7587</v>
          </cell>
          <cell r="AD1078">
            <v>1833</v>
          </cell>
          <cell r="AE1078">
            <v>9420</v>
          </cell>
        </row>
        <row r="1079">
          <cell r="A1079">
            <v>1079</v>
          </cell>
          <cell r="B1079">
            <v>46223</v>
          </cell>
          <cell r="C1079" t="str">
            <v>BMW 520D</v>
          </cell>
          <cell r="D1079" t="str">
            <v>BMW</v>
          </cell>
          <cell r="E1079" t="str">
            <v>520D</v>
          </cell>
          <cell r="G1079" t="str">
            <v>370수9625</v>
          </cell>
          <cell r="H1079" t="str">
            <v>WBAJC3102HWB59610</v>
          </cell>
          <cell r="I1079">
            <v>46226</v>
          </cell>
          <cell r="J1079" t="str">
            <v>㈜부산대박중고차</v>
          </cell>
          <cell r="L1079" t="str">
            <v>잔금</v>
          </cell>
          <cell r="N1079">
            <v>1850</v>
          </cell>
          <cell r="P1079">
            <v>0</v>
          </cell>
          <cell r="Q1079" t="str">
            <v>DONE</v>
          </cell>
          <cell r="R1079">
            <v>46230</v>
          </cell>
          <cell r="S1079" t="str">
            <v>AUTO GALLERY DIOR SHPK</v>
          </cell>
          <cell r="T1079" t="str">
            <v>AUTO GALLERY DIOR SHPK</v>
          </cell>
          <cell r="U1079">
            <v>812050409</v>
          </cell>
          <cell r="V1079" t="str">
            <v>383 44 900 906</v>
          </cell>
          <cell r="W1079" t="str">
            <v>Kosovo</v>
          </cell>
          <cell r="X1079">
            <v>1471</v>
          </cell>
          <cell r="AB1079">
            <v>1682</v>
          </cell>
          <cell r="AC1079">
            <v>10563</v>
          </cell>
          <cell r="AD1079">
            <v>1697</v>
          </cell>
          <cell r="AE1079">
            <v>12260</v>
          </cell>
          <cell r="AF1079">
            <v>12260</v>
          </cell>
        </row>
        <row r="1080">
          <cell r="A1080">
            <v>1080</v>
          </cell>
          <cell r="B1080">
            <v>46221</v>
          </cell>
          <cell r="C1080" t="str">
            <v>LANDROVER Range Rover</v>
          </cell>
          <cell r="D1080" t="str">
            <v>LANDROVER</v>
          </cell>
          <cell r="E1080" t="str">
            <v>Range Rover</v>
          </cell>
          <cell r="G1080" t="str">
            <v>226나4545</v>
          </cell>
          <cell r="H1080" t="str">
            <v>SALGA2JF3GA283047</v>
          </cell>
          <cell r="I1080">
            <v>46234</v>
          </cell>
          <cell r="J1080" t="str">
            <v>㈜장군모터스</v>
          </cell>
          <cell r="L1080" t="str">
            <v>잔금</v>
          </cell>
          <cell r="M1080" t="str">
            <v>100만원 회사통장 계약</v>
          </cell>
          <cell r="N1080">
            <v>3200</v>
          </cell>
          <cell r="P1080">
            <v>0</v>
          </cell>
          <cell r="Q1080" t="str">
            <v>done</v>
          </cell>
          <cell r="S1080" t="str">
            <v>KOREA EXPORT EXPERT</v>
          </cell>
          <cell r="T1080" t="str">
            <v>Trym Hoff</v>
          </cell>
          <cell r="U1080" t="str">
            <v>CCC955589</v>
          </cell>
          <cell r="V1080" t="str">
            <v>47 900 55 199</v>
          </cell>
          <cell r="W1080" t="str">
            <v>Havsteinlia 16, 7021 Trondheim, Norway</v>
          </cell>
          <cell r="AC1080">
            <v>32500000</v>
          </cell>
        </row>
        <row r="1081">
          <cell r="A1081">
            <v>1081</v>
          </cell>
          <cell r="B1081">
            <v>46224</v>
          </cell>
          <cell r="C1081" t="str">
            <v>AUDI A7 50 TDI quattro</v>
          </cell>
          <cell r="D1081" t="str">
            <v>AUDI</v>
          </cell>
          <cell r="E1081" t="str">
            <v>A7 50 TDI quattro</v>
          </cell>
          <cell r="G1081" t="str">
            <v>60두1818</v>
          </cell>
          <cell r="H1081" t="str">
            <v>WAUZZZ4G5GN017122</v>
          </cell>
          <cell r="J1081" t="str">
            <v>㈜준모터스</v>
          </cell>
          <cell r="L1081" t="str">
            <v>취소</v>
          </cell>
          <cell r="M1081" t="str">
            <v>50만원 회사통장 계약</v>
          </cell>
          <cell r="N1081">
            <v>1230</v>
          </cell>
          <cell r="P1081">
            <v>0</v>
          </cell>
          <cell r="S1081" t="str">
            <v xml:space="preserve">Andrea Kasa </v>
          </cell>
          <cell r="T1081" t="str">
            <v>Sindi Xhyra</v>
          </cell>
          <cell r="U1081" t="str">
            <v>K25514045O</v>
          </cell>
          <cell r="V1081" t="str">
            <v>355 69 746 2556</v>
          </cell>
          <cell r="W1081" t="str">
            <v>Albania</v>
          </cell>
          <cell r="X1081">
            <v>1464</v>
          </cell>
          <cell r="AB1081">
            <v>1670</v>
          </cell>
          <cell r="AC1081">
            <v>6999</v>
          </cell>
          <cell r="AD1081">
            <v>1701</v>
          </cell>
          <cell r="AE1081">
            <v>8700</v>
          </cell>
        </row>
        <row r="1082">
          <cell r="A1082">
            <v>1082</v>
          </cell>
          <cell r="B1082">
            <v>46224</v>
          </cell>
          <cell r="C1082" t="str">
            <v>BMW 640d xDrive Gran Coupe</v>
          </cell>
          <cell r="D1082" t="str">
            <v>BMW</v>
          </cell>
          <cell r="E1082" t="str">
            <v>640d xDrive Gran Coupe</v>
          </cell>
          <cell r="G1082" t="str">
            <v>24모4491</v>
          </cell>
          <cell r="H1082" t="str">
            <v>WBA6E4109GG378494</v>
          </cell>
          <cell r="I1082">
            <v>46226</v>
          </cell>
          <cell r="J1082" t="str">
            <v>㈜명문자동차</v>
          </cell>
          <cell r="L1082" t="str">
            <v>잔금</v>
          </cell>
          <cell r="M1082" t="str">
            <v>50만원 회사통장 계약</v>
          </cell>
          <cell r="N1082">
            <v>1730</v>
          </cell>
          <cell r="O1082">
            <v>44</v>
          </cell>
          <cell r="P1082">
            <v>0</v>
          </cell>
          <cell r="Q1082" t="str">
            <v>done</v>
          </cell>
          <cell r="R1082" t="str">
            <v>CON 11</v>
          </cell>
          <cell r="S1082" t="str">
            <v>DAX IMPORT</v>
          </cell>
          <cell r="T1082" t="str">
            <v xml:space="preserve">Michael Karl  </v>
          </cell>
          <cell r="U1082" t="str">
            <v>LF9N8WZ16</v>
          </cell>
          <cell r="V1082" t="str">
            <v>‪+49 471 94189050‬</v>
          </cell>
          <cell r="W1082" t="str">
            <v xml:space="preserve">Dorfstr,33C,(82024) Taufkirchen, Germany </v>
          </cell>
          <cell r="X1082">
            <v>1465</v>
          </cell>
          <cell r="AB1082">
            <v>1670</v>
          </cell>
          <cell r="AC1082">
            <v>10160</v>
          </cell>
          <cell r="AE1082">
            <v>10160</v>
          </cell>
        </row>
        <row r="1083">
          <cell r="A1083">
            <v>1083</v>
          </cell>
          <cell r="B1083">
            <v>46224</v>
          </cell>
          <cell r="C1083" t="str">
            <v>BMW X3</v>
          </cell>
          <cell r="D1083" t="str">
            <v>BMW</v>
          </cell>
          <cell r="E1083" t="str">
            <v>X3</v>
          </cell>
          <cell r="G1083" t="str">
            <v>162구6385</v>
          </cell>
          <cell r="H1083" t="str">
            <v>WBAUZ3107M9F31835</v>
          </cell>
          <cell r="I1083">
            <v>46230</v>
          </cell>
          <cell r="J1083" t="str">
            <v>㈜오토플러스</v>
          </cell>
          <cell r="L1083" t="str">
            <v>잔금</v>
          </cell>
          <cell r="M1083" t="str">
            <v>100만원 회사통장 계약</v>
          </cell>
          <cell r="N1083">
            <v>3194</v>
          </cell>
          <cell r="P1083">
            <v>0</v>
          </cell>
          <cell r="Q1083" t="str">
            <v>done</v>
          </cell>
          <cell r="R1083" t="str">
            <v>26.07.29</v>
          </cell>
          <cell r="S1083" t="str">
            <v>ATLAS GROUP SH.P.K</v>
          </cell>
          <cell r="T1083" t="str">
            <v>ATLAS GROUP SH.P.K</v>
          </cell>
          <cell r="U1083">
            <v>812137455</v>
          </cell>
          <cell r="V1083" t="str">
            <v>+38348702207</v>
          </cell>
          <cell r="W1083" t="str">
            <v>Xhelal Hajda, p.n. Rahovec</v>
          </cell>
          <cell r="X1083">
            <v>1465</v>
          </cell>
          <cell r="AB1083">
            <v>1687</v>
          </cell>
          <cell r="AC1083">
            <v>18208</v>
          </cell>
          <cell r="AD1083">
            <v>1772</v>
          </cell>
          <cell r="AE1083">
            <v>19980</v>
          </cell>
        </row>
        <row r="1084">
          <cell r="A1084">
            <v>1084</v>
          </cell>
          <cell r="B1084">
            <v>46224</v>
          </cell>
          <cell r="C1084" t="str">
            <v>KIA  SPORTAGE</v>
          </cell>
          <cell r="D1084" t="str">
            <v xml:space="preserve">KIA </v>
          </cell>
          <cell r="E1084" t="str">
            <v>SPORTAGE</v>
          </cell>
          <cell r="G1084" t="str">
            <v>122수2466</v>
          </cell>
          <cell r="H1084" t="str">
            <v>KNAPV81BGRK277017</v>
          </cell>
          <cell r="I1084">
            <v>46234</v>
          </cell>
          <cell r="J1084" t="str">
            <v>㈜오토플러스</v>
          </cell>
          <cell r="L1084" t="str">
            <v>잔금</v>
          </cell>
          <cell r="M1084" t="str">
            <v>100만원 대표님 계약</v>
          </cell>
          <cell r="N1084">
            <v>2710</v>
          </cell>
          <cell r="P1084">
            <v>0</v>
          </cell>
          <cell r="Q1084" t="str">
            <v>done</v>
          </cell>
          <cell r="R1084">
            <v>46237</v>
          </cell>
          <cell r="S1084" t="str">
            <v>EASY DRIVE 🇧🇬</v>
          </cell>
          <cell r="T1084" t="str">
            <v>Easy Drive LTD</v>
          </cell>
          <cell r="U1084">
            <v>206557008</v>
          </cell>
          <cell r="V1084" t="str">
            <v>359 89 936 8386</v>
          </cell>
          <cell r="W1084" t="str">
            <v>ul. Sokolna 47
1444 Sofia
Bulgaria</v>
          </cell>
          <cell r="AC1084">
            <v>25900300</v>
          </cell>
          <cell r="AD1084">
            <v>26000000</v>
          </cell>
        </row>
        <row r="1085">
          <cell r="A1085">
            <v>1085</v>
          </cell>
          <cell r="B1085">
            <v>46224</v>
          </cell>
          <cell r="C1085" t="str">
            <v>BENZ ECLASS</v>
          </cell>
          <cell r="D1085" t="str">
            <v>BENZ</v>
          </cell>
          <cell r="E1085" t="str">
            <v>ECLASS</v>
          </cell>
          <cell r="G1085" t="str">
            <v>372누3387</v>
          </cell>
          <cell r="H1085" t="str">
            <v>WDDZF0EB5KA671537</v>
          </cell>
          <cell r="I1085">
            <v>46230</v>
          </cell>
          <cell r="J1085" t="str">
            <v>㈜아차차</v>
          </cell>
          <cell r="L1085" t="str">
            <v>잔금</v>
          </cell>
          <cell r="M1085" t="str">
            <v>70만원 대표님 계약</v>
          </cell>
          <cell r="N1085">
            <v>2030</v>
          </cell>
          <cell r="P1085">
            <v>0</v>
          </cell>
          <cell r="Q1085" t="str">
            <v>done</v>
          </cell>
          <cell r="R1085" t="str">
            <v>26.07.29</v>
          </cell>
          <cell r="S1085" t="str">
            <v>VILLA KOHA</v>
          </cell>
          <cell r="T1085" t="str">
            <v>VILLA KOHA SH.P.K</v>
          </cell>
          <cell r="U1085">
            <v>810039588</v>
          </cell>
          <cell r="V1085" t="str">
            <v>383 49247777</v>
          </cell>
          <cell r="W1085" t="str">
            <v>KOSOVO</v>
          </cell>
          <cell r="X1085">
            <v>1465</v>
          </cell>
          <cell r="AB1085">
            <v>1687</v>
          </cell>
          <cell r="AC1085">
            <v>11635</v>
          </cell>
          <cell r="AD1085">
            <v>1685</v>
          </cell>
          <cell r="AE1085">
            <v>13320</v>
          </cell>
          <cell r="AF1085">
            <v>13320</v>
          </cell>
        </row>
        <row r="1086">
          <cell r="A1086">
            <v>1086</v>
          </cell>
          <cell r="B1086">
            <v>46224</v>
          </cell>
          <cell r="C1086" t="str">
            <v>VOLVO V60CCB5 AWD</v>
          </cell>
          <cell r="D1086" t="str">
            <v>VOLVO</v>
          </cell>
          <cell r="E1086" t="str">
            <v>V60CCB5 AWD</v>
          </cell>
          <cell r="G1086" t="str">
            <v>288조2004</v>
          </cell>
          <cell r="H1086" t="str">
            <v>YV1ZZL123S2146750</v>
          </cell>
          <cell r="I1086">
            <v>46231</v>
          </cell>
          <cell r="J1086" t="str">
            <v>㈜오토앤오토</v>
          </cell>
          <cell r="L1086" t="str">
            <v>잔금</v>
          </cell>
          <cell r="M1086" t="str">
            <v>100만원 대표님 계약</v>
          </cell>
          <cell r="N1086">
            <v>5020</v>
          </cell>
          <cell r="P1086">
            <v>0</v>
          </cell>
          <cell r="Q1086" t="str">
            <v>done</v>
          </cell>
          <cell r="R1086">
            <v>46232</v>
          </cell>
          <cell r="S1086" t="str">
            <v>EASY DRIVE 🇧🇬</v>
          </cell>
          <cell r="T1086" t="str">
            <v>Easy Drive LTD</v>
          </cell>
          <cell r="U1086">
            <v>206557008</v>
          </cell>
          <cell r="V1086" t="str">
            <v>359 89 936 8386</v>
          </cell>
          <cell r="W1086" t="str">
            <v>ul. Sokolna 47
1444 Sofia
Bulgaria</v>
          </cell>
          <cell r="AC1086">
            <v>47951800</v>
          </cell>
          <cell r="AD1086">
            <v>48151800</v>
          </cell>
        </row>
        <row r="1087">
          <cell r="A1087">
            <v>1087</v>
          </cell>
          <cell r="B1087">
            <v>46225</v>
          </cell>
          <cell r="C1087" t="str">
            <v>KIA MOHAVE</v>
          </cell>
          <cell r="D1087" t="str">
            <v>KIA</v>
          </cell>
          <cell r="E1087" t="str">
            <v>MOHAVE</v>
          </cell>
          <cell r="H1087" t="str">
            <v>KNAKR814DEA11586</v>
          </cell>
          <cell r="J1087" t="str">
            <v>경매징- AJ</v>
          </cell>
          <cell r="L1087" t="str">
            <v>잔금</v>
          </cell>
          <cell r="P1087">
            <v>0</v>
          </cell>
          <cell r="Q1087" t="str">
            <v>DONE</v>
          </cell>
          <cell r="R1087" t="str">
            <v>CON  15</v>
          </cell>
          <cell r="S1087" t="str">
            <v>MANTAS</v>
          </cell>
          <cell r="T1087" t="str">
            <v>UAB GRALIS</v>
          </cell>
          <cell r="U1087">
            <v>179285533</v>
          </cell>
          <cell r="V1087" t="str">
            <v>370 (618) 11 666</v>
          </cell>
          <cell r="W1087" t="str">
            <v xml:space="preserve">Jūros g. 33, Tauragė  </v>
          </cell>
          <cell r="AC1087">
            <v>0</v>
          </cell>
        </row>
        <row r="1088">
          <cell r="A1088">
            <v>1088</v>
          </cell>
          <cell r="B1088">
            <v>46225</v>
          </cell>
          <cell r="C1088" t="str">
            <v>VOLKSWAGEN Tiguan 2.0TDI</v>
          </cell>
          <cell r="D1088" t="str">
            <v>VOLKSWAGEN</v>
          </cell>
          <cell r="E1088" t="str">
            <v>Tiguan 2.0TDI</v>
          </cell>
          <cell r="G1088" t="str">
            <v>337두7843</v>
          </cell>
          <cell r="H1088" t="str">
            <v>WVGZZZ5NZMW544059</v>
          </cell>
          <cell r="I1088">
            <v>46231</v>
          </cell>
          <cell r="J1088" t="str">
            <v>㈜ 플랜오토</v>
          </cell>
          <cell r="L1088" t="str">
            <v>잔금</v>
          </cell>
          <cell r="M1088" t="str">
            <v>100만원 회사통장 계약</v>
          </cell>
          <cell r="N1088">
            <v>2840</v>
          </cell>
          <cell r="P1088">
            <v>0</v>
          </cell>
          <cell r="Q1088" t="str">
            <v>done</v>
          </cell>
          <cell r="R1088">
            <v>46233</v>
          </cell>
          <cell r="S1088" t="str">
            <v>Auto Posh SH.P.K</v>
          </cell>
          <cell r="T1088" t="str">
            <v>Auto Posh SH.P.K</v>
          </cell>
          <cell r="U1088">
            <v>812219427</v>
          </cell>
          <cell r="V1088" t="str">
            <v>38345560145</v>
          </cell>
          <cell r="W1088" t="str">
            <v>KOSOVO</v>
          </cell>
          <cell r="X1088">
            <v>1464</v>
          </cell>
          <cell r="AB1088">
            <v>1669</v>
          </cell>
          <cell r="AC1088">
            <v>16211</v>
          </cell>
          <cell r="AD1088">
            <v>1789</v>
          </cell>
          <cell r="AE1088">
            <v>18000</v>
          </cell>
        </row>
        <row r="1089">
          <cell r="A1089">
            <v>1089</v>
          </cell>
          <cell r="B1089">
            <v>46225</v>
          </cell>
          <cell r="C1089" t="str">
            <v>TOYOTA Camry</v>
          </cell>
          <cell r="D1089" t="str">
            <v>TOYOTA</v>
          </cell>
          <cell r="E1089" t="str">
            <v>Camry</v>
          </cell>
          <cell r="G1089" t="str">
            <v>30서3615</v>
          </cell>
          <cell r="H1089" t="str">
            <v>JTNB11HK2K3088581</v>
          </cell>
          <cell r="I1089">
            <v>46230</v>
          </cell>
          <cell r="J1089" t="str">
            <v>㈜엘리트모터스</v>
          </cell>
          <cell r="L1089" t="str">
            <v>잔금</v>
          </cell>
          <cell r="M1089" t="str">
            <v>100만원 회사 통장</v>
          </cell>
          <cell r="N1089">
            <v>2100</v>
          </cell>
          <cell r="P1089">
            <v>0</v>
          </cell>
          <cell r="Q1089" t="str">
            <v>done</v>
          </cell>
          <cell r="R1089">
            <v>46232</v>
          </cell>
          <cell r="S1089" t="str">
            <v>EASY DRIVE 🇧🇬</v>
          </cell>
          <cell r="T1089" t="str">
            <v>Easy Drive LTD</v>
          </cell>
          <cell r="U1089">
            <v>206557008</v>
          </cell>
          <cell r="V1089" t="str">
            <v>359 89 936 8386</v>
          </cell>
          <cell r="W1089" t="str">
            <v>ul. Sokolna 47
1444 Sofia
Bulgaria</v>
          </cell>
          <cell r="AC1089">
            <v>20074800</v>
          </cell>
        </row>
        <row r="1090">
          <cell r="A1090">
            <v>1090</v>
          </cell>
          <cell r="B1090">
            <v>46226</v>
          </cell>
          <cell r="C1090" t="str">
            <v>AUDI A6</v>
          </cell>
          <cell r="D1090" t="str">
            <v>AUDI</v>
          </cell>
          <cell r="E1090" t="str">
            <v>A6</v>
          </cell>
          <cell r="G1090" t="str">
            <v>02구0973</v>
          </cell>
          <cell r="H1090" t="str">
            <v>WAUZZZ4G1GN116696</v>
          </cell>
          <cell r="I1090">
            <v>46230</v>
          </cell>
          <cell r="J1090" t="str">
            <v>㈜서울모터스</v>
          </cell>
          <cell r="L1090" t="str">
            <v>잔금</v>
          </cell>
          <cell r="M1090" t="str">
            <v>50만원 회사 통장</v>
          </cell>
          <cell r="N1090">
            <v>1600</v>
          </cell>
          <cell r="P1090">
            <v>0</v>
          </cell>
          <cell r="Q1090" t="str">
            <v>done</v>
          </cell>
          <cell r="R1090" t="str">
            <v>26.07.29</v>
          </cell>
          <cell r="S1090" t="str">
            <v>DONI</v>
          </cell>
          <cell r="T1090" t="str">
            <v>DONI</v>
          </cell>
          <cell r="U1090">
            <v>933682</v>
          </cell>
          <cell r="V1090" t="str">
            <v>3 8 3 4 9 3 2 5 7 0 3</v>
          </cell>
          <cell r="W1090" t="str">
            <v xml:space="preserve"> HYZRI TALLA OB 16 HY 1 NR 18
 Kosovë</v>
          </cell>
          <cell r="X1090">
            <v>1464</v>
          </cell>
          <cell r="AB1090">
            <v>1669</v>
          </cell>
          <cell r="AC1090">
            <v>9128</v>
          </cell>
          <cell r="AD1090">
            <v>1702</v>
          </cell>
          <cell r="AE1090">
            <v>10830</v>
          </cell>
        </row>
        <row r="1091">
          <cell r="A1091">
            <v>1091</v>
          </cell>
          <cell r="B1091">
            <v>46226</v>
          </cell>
          <cell r="C1091" t="str">
            <v>VOLKSWAGEN Tiguan 2.0TDI</v>
          </cell>
          <cell r="D1091" t="str">
            <v>VOLKSWAGEN</v>
          </cell>
          <cell r="E1091" t="str">
            <v>Tiguan 2.0TDI</v>
          </cell>
          <cell r="G1091" t="str">
            <v>346조9145</v>
          </cell>
          <cell r="H1091" t="str">
            <v>WVGZZZ5NZLW808573</v>
          </cell>
          <cell r="I1091">
            <v>46227</v>
          </cell>
          <cell r="J1091" t="str">
            <v>㈜왕카</v>
          </cell>
          <cell r="L1091" t="str">
            <v>잔금</v>
          </cell>
          <cell r="M1091" t="str">
            <v>50만원 대표님 계약</v>
          </cell>
          <cell r="N1091">
            <v>1700</v>
          </cell>
          <cell r="P1091">
            <v>0</v>
          </cell>
          <cell r="Q1091" t="str">
            <v>done</v>
          </cell>
          <cell r="R1091" t="str">
            <v>26.07.29</v>
          </cell>
          <cell r="S1091" t="str">
            <v>GENC HETA</v>
          </cell>
          <cell r="T1091" t="str">
            <v>Edona Dolaku</v>
          </cell>
          <cell r="U1091" t="str">
            <v>ID0356531</v>
          </cell>
          <cell r="V1091">
            <v>38344259332</v>
          </cell>
          <cell r="W1091" t="str">
            <v>Ulpiane E 30 3 B Nr 18</v>
          </cell>
          <cell r="X1091">
            <v>1464</v>
          </cell>
          <cell r="AB1091">
            <v>1669</v>
          </cell>
          <cell r="AC1091">
            <v>9711</v>
          </cell>
          <cell r="AD1091">
            <v>1789</v>
          </cell>
          <cell r="AE1091">
            <v>11500</v>
          </cell>
          <cell r="AF1091">
            <v>11500</v>
          </cell>
        </row>
        <row r="1092">
          <cell r="A1092">
            <v>1092</v>
          </cell>
          <cell r="B1092">
            <v>46226</v>
          </cell>
          <cell r="C1092" t="str">
            <v>HYUNDAI SONATA</v>
          </cell>
          <cell r="D1092" t="str">
            <v>HYUNDAI</v>
          </cell>
          <cell r="E1092" t="str">
            <v>SONATA</v>
          </cell>
          <cell r="G1092" t="str">
            <v>375무8170</v>
          </cell>
          <cell r="H1092" t="str">
            <v>LBEDNALEBSY054362</v>
          </cell>
          <cell r="I1092">
            <v>46231</v>
          </cell>
          <cell r="J1092" t="str">
            <v>㈜KD 모터스</v>
          </cell>
          <cell r="L1092" t="str">
            <v>잔금</v>
          </cell>
          <cell r="M1092" t="str">
            <v>50만원 회사 통장</v>
          </cell>
          <cell r="N1092">
            <v>1760</v>
          </cell>
          <cell r="P1092">
            <v>0</v>
          </cell>
          <cell r="Q1092" t="str">
            <v>done</v>
          </cell>
          <cell r="R1092">
            <v>46233</v>
          </cell>
          <cell r="S1092" t="str">
            <v>CALJA</v>
          </cell>
          <cell r="T1092" t="str">
            <v>KUQJA ERALD</v>
          </cell>
          <cell r="U1092" t="str">
            <v>ID0356531</v>
          </cell>
          <cell r="V1092" t="str">
            <v>355 69 550 5533</v>
          </cell>
          <cell r="W1092" t="str">
            <v>Albania</v>
          </cell>
          <cell r="X1092">
            <v>1464</v>
          </cell>
          <cell r="AB1092">
            <v>1669</v>
          </cell>
          <cell r="AC1092">
            <v>9978</v>
          </cell>
          <cell r="AD1092">
            <v>1702</v>
          </cell>
          <cell r="AE1092">
            <v>11680</v>
          </cell>
          <cell r="AF1092">
            <v>11750</v>
          </cell>
        </row>
        <row r="1093">
          <cell r="A1093">
            <v>1093</v>
          </cell>
          <cell r="B1093">
            <v>46226</v>
          </cell>
          <cell r="C1093" t="str">
            <v>VOLKSWAGEN Tiguan 2.0TDI</v>
          </cell>
          <cell r="D1093" t="str">
            <v>VOLKSWAGEN</v>
          </cell>
          <cell r="E1093" t="str">
            <v>Tiguan 2.0TDI</v>
          </cell>
          <cell r="G1093" t="str">
            <v>324고9501</v>
          </cell>
          <cell r="H1093" t="str">
            <v>WVGZZZ5NZJW929357</v>
          </cell>
          <cell r="I1093">
            <v>46231</v>
          </cell>
          <cell r="J1093" t="str">
            <v>㈜열린모터스</v>
          </cell>
          <cell r="L1093" t="str">
            <v>잔금</v>
          </cell>
          <cell r="M1093" t="str">
            <v>50만원 대표님 계약</v>
          </cell>
          <cell r="N1093">
            <v>1470</v>
          </cell>
          <cell r="P1093">
            <v>0</v>
          </cell>
          <cell r="Q1093" t="str">
            <v>done</v>
          </cell>
          <cell r="R1093">
            <v>46233</v>
          </cell>
          <cell r="S1093" t="str">
            <v>Auto Posh SH.P.K</v>
          </cell>
          <cell r="T1093" t="str">
            <v>Auto Posh SH.P.K</v>
          </cell>
          <cell r="U1093">
            <v>812219427</v>
          </cell>
          <cell r="V1093" t="str">
            <v>38345560145</v>
          </cell>
          <cell r="W1093" t="str">
            <v>KOSOVO</v>
          </cell>
          <cell r="X1093">
            <v>1464</v>
          </cell>
          <cell r="AB1093">
            <v>1669</v>
          </cell>
          <cell r="AC1093">
            <v>8461</v>
          </cell>
          <cell r="AD1093">
            <v>1789</v>
          </cell>
          <cell r="AE1093">
            <v>10250</v>
          </cell>
        </row>
        <row r="1094">
          <cell r="A1094">
            <v>1094</v>
          </cell>
          <cell r="B1094">
            <v>46226</v>
          </cell>
          <cell r="C1094" t="str">
            <v>VOLKSWAGEN Tiguan 2.0TDI</v>
          </cell>
          <cell r="D1094" t="str">
            <v>VOLKSWAGEN</v>
          </cell>
          <cell r="E1094" t="str">
            <v>Tiguan 2.0TDI</v>
          </cell>
          <cell r="G1094" t="str">
            <v>03주6958</v>
          </cell>
          <cell r="H1094" t="str">
            <v>WVGZZZ5NZJW944267</v>
          </cell>
          <cell r="I1094">
            <v>46232</v>
          </cell>
          <cell r="J1094" t="str">
            <v>㈜카맨모터스</v>
          </cell>
          <cell r="L1094" t="str">
            <v>잔금</v>
          </cell>
          <cell r="M1094" t="str">
            <v>70만원 대표님 계약</v>
          </cell>
          <cell r="N1094">
            <v>1820</v>
          </cell>
          <cell r="P1094">
            <v>0</v>
          </cell>
          <cell r="Q1094" t="str">
            <v>done</v>
          </cell>
          <cell r="R1094">
            <v>46233</v>
          </cell>
          <cell r="S1094" t="str">
            <v>Auto Posh SH.P.K</v>
          </cell>
          <cell r="T1094" t="str">
            <v>Auto Posh SH.P.K</v>
          </cell>
          <cell r="U1094">
            <v>812219427</v>
          </cell>
          <cell r="V1094" t="str">
            <v>38345560145</v>
          </cell>
          <cell r="W1094" t="str">
            <v>KOSOVO</v>
          </cell>
          <cell r="X1094">
            <v>1464</v>
          </cell>
          <cell r="AB1094">
            <v>1669</v>
          </cell>
          <cell r="AC1094">
            <v>10411</v>
          </cell>
          <cell r="AD1094">
            <v>1789</v>
          </cell>
          <cell r="AE1094">
            <v>12200</v>
          </cell>
        </row>
        <row r="1095">
          <cell r="A1095">
            <v>1095</v>
          </cell>
          <cell r="B1095">
            <v>46226</v>
          </cell>
          <cell r="C1095" t="str">
            <v>HYUNDAI SONATA</v>
          </cell>
          <cell r="D1095" t="str">
            <v>HYUNDAI</v>
          </cell>
          <cell r="E1095" t="str">
            <v>SONATA</v>
          </cell>
          <cell r="G1095" t="str">
            <v>54거9146</v>
          </cell>
          <cell r="H1095" t="str">
            <v>KMHEC415BCA019173</v>
          </cell>
          <cell r="J1095" t="str">
            <v>경매장- KCAR</v>
          </cell>
          <cell r="L1095" t="str">
            <v>잔금</v>
          </cell>
          <cell r="N1095">
            <v>246</v>
          </cell>
          <cell r="O1095">
            <v>25</v>
          </cell>
          <cell r="P1095">
            <v>0</v>
          </cell>
          <cell r="Q1095" t="str">
            <v>done</v>
          </cell>
          <cell r="R1095">
            <v>46234</v>
          </cell>
          <cell r="S1095" t="str">
            <v xml:space="preserve">EUROAUTO.AL </v>
          </cell>
          <cell r="T1095" t="str">
            <v>Erion Gjergji</v>
          </cell>
          <cell r="U1095" t="str">
            <v>I90516099R</v>
          </cell>
          <cell r="V1095" t="str">
            <v>49 163 6979 099</v>
          </cell>
          <cell r="W1095" t="str">
            <v>Albania</v>
          </cell>
          <cell r="X1095">
            <v>1442</v>
          </cell>
          <cell r="AB1095">
            <v>1642</v>
          </cell>
          <cell r="AC1095">
            <v>1696</v>
          </cell>
          <cell r="AD1095">
            <v>1704</v>
          </cell>
          <cell r="AE1095">
            <v>3400</v>
          </cell>
        </row>
        <row r="1096">
          <cell r="A1096">
            <v>1096</v>
          </cell>
          <cell r="B1096">
            <v>46226</v>
          </cell>
          <cell r="C1096" t="str">
            <v>HYUNDAI SANTAFE</v>
          </cell>
          <cell r="D1096" t="str">
            <v>HYUNDAI</v>
          </cell>
          <cell r="E1096" t="str">
            <v>SANTAFE</v>
          </cell>
          <cell r="G1096" t="str">
            <v>107라1180</v>
          </cell>
          <cell r="H1096" t="str">
            <v xml:space="preserve">KMHS581HHMU323435 </v>
          </cell>
          <cell r="I1096">
            <v>46232</v>
          </cell>
          <cell r="J1096" t="str">
            <v>㈜케이카</v>
          </cell>
          <cell r="L1096" t="str">
            <v>잔금</v>
          </cell>
          <cell r="M1096" t="str">
            <v>100만원 회사 통장</v>
          </cell>
          <cell r="N1096">
            <v>2650</v>
          </cell>
          <cell r="P1096">
            <v>0</v>
          </cell>
          <cell r="Q1096" t="str">
            <v>done</v>
          </cell>
          <cell r="R1096">
            <v>46237</v>
          </cell>
          <cell r="S1096" t="str">
            <v>EASY DRIVE 🇧🇬</v>
          </cell>
          <cell r="T1096" t="str">
            <v>Easy Drive LTD</v>
          </cell>
          <cell r="U1096">
            <v>206557008</v>
          </cell>
          <cell r="V1096" t="str">
            <v>359 89 936 8386</v>
          </cell>
          <cell r="W1096" t="str">
            <v>ul. Sokolna 47
1444 Sofia
Bulgaria</v>
          </cell>
          <cell r="AC1096">
            <v>25613800</v>
          </cell>
        </row>
        <row r="1097">
          <cell r="A1097">
            <v>1097</v>
          </cell>
          <cell r="B1097">
            <v>46226</v>
          </cell>
          <cell r="C1097" t="str">
            <v>RENAULT QM6</v>
          </cell>
          <cell r="D1097" t="str">
            <v>RENAULT</v>
          </cell>
          <cell r="E1097" t="str">
            <v>QM6</v>
          </cell>
          <cell r="G1097" t="str">
            <v>42루2319</v>
          </cell>
          <cell r="H1097" t="str">
            <v>KNME5C2M4HP029447</v>
          </cell>
          <cell r="I1097">
            <v>46231</v>
          </cell>
          <cell r="J1097" t="str">
            <v>㈜차사인모터스</v>
          </cell>
          <cell r="L1097" t="str">
            <v>잔금</v>
          </cell>
          <cell r="M1097" t="str">
            <v>60만원 대표님 계약</v>
          </cell>
          <cell r="N1097">
            <v>810</v>
          </cell>
          <cell r="P1097">
            <v>0</v>
          </cell>
          <cell r="Q1097" t="str">
            <v>DONE</v>
          </cell>
          <cell r="R1097">
            <v>46233</v>
          </cell>
          <cell r="S1097" t="str">
            <v>R.S.h L.L.C.</v>
          </cell>
          <cell r="T1097" t="str">
            <v>R.Sh L.L.C.</v>
          </cell>
          <cell r="U1097">
            <v>812326016</v>
          </cell>
          <cell r="V1097" t="str">
            <v>+383486 611 61</v>
          </cell>
          <cell r="W1097" t="str">
            <v>Kosovo</v>
          </cell>
          <cell r="X1097">
            <v>1445</v>
          </cell>
          <cell r="AB1097">
            <v>1648</v>
          </cell>
          <cell r="AC1097">
            <v>4861</v>
          </cell>
          <cell r="AD1097">
            <v>1789</v>
          </cell>
          <cell r="AE1097">
            <v>6650</v>
          </cell>
        </row>
        <row r="1098">
          <cell r="A1098">
            <v>1098</v>
          </cell>
          <cell r="B1098">
            <v>46229</v>
          </cell>
          <cell r="C1098" t="str">
            <v>AUDI A5</v>
          </cell>
          <cell r="D1098" t="str">
            <v>AUDI</v>
          </cell>
          <cell r="E1098" t="str">
            <v>A5</v>
          </cell>
          <cell r="G1098" t="str">
            <v>64서3016</v>
          </cell>
          <cell r="H1098" t="str">
            <v>WAUZZZ8T7FA015885</v>
          </cell>
          <cell r="I1098">
            <v>46230</v>
          </cell>
          <cell r="J1098" t="str">
            <v>㈜에스오토</v>
          </cell>
          <cell r="L1098" t="str">
            <v>잔금</v>
          </cell>
          <cell r="M1098" t="str">
            <v>50만원 대표님 계약</v>
          </cell>
          <cell r="N1098">
            <v>910</v>
          </cell>
          <cell r="P1098">
            <v>0</v>
          </cell>
          <cell r="Q1098" t="str">
            <v>done</v>
          </cell>
          <cell r="R1098">
            <v>46232</v>
          </cell>
          <cell r="S1098" t="str">
            <v>EASY DRIVE 🇧🇬</v>
          </cell>
          <cell r="T1098" t="str">
            <v>Easy Drive LTD</v>
          </cell>
          <cell r="U1098">
            <v>206557008</v>
          </cell>
          <cell r="V1098" t="str">
            <v>359 89 936 8386</v>
          </cell>
          <cell r="W1098" t="str">
            <v>ul. Sokolna 47
1444 Sofia
Bulgaria</v>
          </cell>
          <cell r="AC1098">
            <v>9050000</v>
          </cell>
        </row>
        <row r="1099">
          <cell r="A1099">
            <v>1099</v>
          </cell>
          <cell r="B1099">
            <v>46229</v>
          </cell>
          <cell r="C1099" t="str">
            <v>AUDI A6</v>
          </cell>
          <cell r="D1099" t="str">
            <v>AUDI</v>
          </cell>
          <cell r="E1099" t="str">
            <v>A6</v>
          </cell>
          <cell r="G1099" t="str">
            <v>64노9918</v>
          </cell>
          <cell r="H1099" t="str">
            <v>WAUZZZ4G3EN108077</v>
          </cell>
          <cell r="I1099">
            <v>46233</v>
          </cell>
          <cell r="J1099" t="str">
            <v>㈜광주중고차</v>
          </cell>
          <cell r="L1099" t="str">
            <v>잔금</v>
          </cell>
          <cell r="M1099" t="str">
            <v>50만원 대표님 계약</v>
          </cell>
          <cell r="N1099">
            <v>450</v>
          </cell>
          <cell r="P1099">
            <v>0</v>
          </cell>
          <cell r="Q1099" t="str">
            <v>done</v>
          </cell>
          <cell r="R1099" t="str">
            <v>REPORT DONE</v>
          </cell>
          <cell r="S1099" t="str">
            <v>CALJA</v>
          </cell>
          <cell r="T1099" t="str">
            <v>BULLARI FITMTAR</v>
          </cell>
          <cell r="U1099" t="str">
            <v>H70710012Q</v>
          </cell>
          <cell r="V1099" t="str">
            <v>355 69 550 5533</v>
          </cell>
          <cell r="W1099" t="str">
            <v>Albania</v>
          </cell>
          <cell r="X1099">
            <v>1471</v>
          </cell>
          <cell r="AB1099">
            <v>1687</v>
          </cell>
          <cell r="AC1099">
            <v>2898</v>
          </cell>
          <cell r="AD1099">
            <v>1692</v>
          </cell>
          <cell r="AE1099">
            <v>4590</v>
          </cell>
          <cell r="AF1099">
            <v>4800</v>
          </cell>
        </row>
        <row r="1100">
          <cell r="A1100">
            <v>1100</v>
          </cell>
          <cell r="B1100">
            <v>46229</v>
          </cell>
          <cell r="C1100" t="str">
            <v>BMW M3</v>
          </cell>
          <cell r="D1100" t="str">
            <v>BMW</v>
          </cell>
          <cell r="E1100" t="str">
            <v>M3</v>
          </cell>
          <cell r="G1100" t="str">
            <v>49라6463</v>
          </cell>
          <cell r="H1100" t="str">
            <v>WBSKG9105CE854618</v>
          </cell>
          <cell r="I1100">
            <v>46230</v>
          </cell>
          <cell r="J1100" t="str">
            <v>개인매입- 010 9194 8848 김준헉</v>
          </cell>
          <cell r="L1100" t="str">
            <v>잔금</v>
          </cell>
          <cell r="M1100" t="str">
            <v>100만원 회사 통장</v>
          </cell>
          <cell r="N1100">
            <v>2450</v>
          </cell>
          <cell r="P1100">
            <v>0</v>
          </cell>
          <cell r="Q1100" t="str">
            <v>done</v>
          </cell>
          <cell r="R1100" t="str">
            <v>CON 11</v>
          </cell>
          <cell r="S1100" t="str">
            <v>DAX IMPORT</v>
          </cell>
          <cell r="T1100" t="str">
            <v xml:space="preserve">Michael Karl  </v>
          </cell>
          <cell r="U1100" t="str">
            <v>LF9N8WZ16</v>
          </cell>
          <cell r="V1100" t="str">
            <v>‪+49 471 94189050‬</v>
          </cell>
          <cell r="W1100" t="str">
            <v xml:space="preserve">Dorfstr,33C,(82024) Taufkirchen, Germany </v>
          </cell>
          <cell r="X1100">
            <v>1445</v>
          </cell>
          <cell r="AB1100">
            <v>1648</v>
          </cell>
          <cell r="AC1100">
            <v>14160</v>
          </cell>
          <cell r="AF1100">
            <v>14460</v>
          </cell>
        </row>
        <row r="1101">
          <cell r="A1101">
            <v>1101</v>
          </cell>
          <cell r="B1101">
            <v>46229</v>
          </cell>
          <cell r="C1101" t="str">
            <v>AUDI S8</v>
          </cell>
          <cell r="D1101" t="str">
            <v>AUDI</v>
          </cell>
          <cell r="E1101" t="str">
            <v>S8</v>
          </cell>
          <cell r="G1101" t="str">
            <v>55거0888</v>
          </cell>
          <cell r="H1101" t="str">
            <v>WAUZZZ4H0DN009093</v>
          </cell>
          <cell r="I1101">
            <v>46231</v>
          </cell>
          <cell r="J1101" t="str">
            <v>㈜카톡모터스</v>
          </cell>
          <cell r="L1101" t="str">
            <v>잔금</v>
          </cell>
          <cell r="M1101" t="str">
            <v>50만원 회사 통장</v>
          </cell>
          <cell r="N1101">
            <v>1400</v>
          </cell>
          <cell r="P1101">
            <v>0</v>
          </cell>
          <cell r="Q1101" t="str">
            <v>done</v>
          </cell>
          <cell r="R1101">
            <v>46234</v>
          </cell>
          <cell r="S1101" t="str">
            <v>CALJA</v>
          </cell>
          <cell r="T1101" t="str">
            <v>BULLARI FITMTAR</v>
          </cell>
          <cell r="U1101" t="str">
            <v>H70710012Q</v>
          </cell>
          <cell r="V1101" t="str">
            <v>355 69 550 5533</v>
          </cell>
          <cell r="W1101" t="str">
            <v>Albania</v>
          </cell>
          <cell r="X1101">
            <v>1445</v>
          </cell>
          <cell r="AB1101">
            <v>1648</v>
          </cell>
          <cell r="AC1101">
            <v>8211</v>
          </cell>
          <cell r="AD1101">
            <v>1789</v>
          </cell>
          <cell r="AE1101">
            <v>10000</v>
          </cell>
        </row>
        <row r="1102">
          <cell r="A1102">
            <v>1102</v>
          </cell>
          <cell r="B1102">
            <v>46229</v>
          </cell>
          <cell r="C1102" t="str">
            <v>BENZ E220D</v>
          </cell>
          <cell r="D1102" t="str">
            <v>BENZ</v>
          </cell>
          <cell r="E1102" t="str">
            <v>E220D</v>
          </cell>
          <cell r="G1102" t="str">
            <v>60도6066</v>
          </cell>
          <cell r="H1102" t="str">
            <v>WDD1J1EB3KF072785</v>
          </cell>
          <cell r="I1102">
            <v>46231</v>
          </cell>
          <cell r="J1102" t="str">
            <v>㈜스마일자동차</v>
          </cell>
          <cell r="L1102" t="str">
            <v>잔금</v>
          </cell>
          <cell r="M1102" t="str">
            <v>70만원 대표님 계약</v>
          </cell>
          <cell r="N1102">
            <v>1984</v>
          </cell>
          <cell r="P1102">
            <v>0</v>
          </cell>
          <cell r="Q1102" t="str">
            <v>DONE</v>
          </cell>
          <cell r="R1102">
            <v>46233</v>
          </cell>
          <cell r="S1102" t="str">
            <v>R.S.h L.L.C.</v>
          </cell>
          <cell r="T1102" t="str">
            <v>R.Sh L.L.C.</v>
          </cell>
          <cell r="U1102">
            <v>812326016</v>
          </cell>
          <cell r="V1102" t="str">
            <v>+383486 611 61</v>
          </cell>
          <cell r="W1102" t="str">
            <v>Kosovo</v>
          </cell>
          <cell r="X1102">
            <v>1445</v>
          </cell>
          <cell r="AB1102">
            <v>1648</v>
          </cell>
          <cell r="AC1102">
            <v>11469</v>
          </cell>
          <cell r="AD1102">
            <v>1701</v>
          </cell>
          <cell r="AE1102">
            <v>13170</v>
          </cell>
        </row>
        <row r="1103">
          <cell r="A1103">
            <v>1103</v>
          </cell>
          <cell r="B1103">
            <v>46231</v>
          </cell>
          <cell r="C1103" t="str">
            <v>Jeep Grand Cherokee</v>
          </cell>
          <cell r="D1103" t="str">
            <v>Jeep</v>
          </cell>
          <cell r="E1103" t="str">
            <v>Grand Cherokee</v>
          </cell>
          <cell r="G1103" t="str">
            <v>28머2098</v>
          </cell>
          <cell r="H1103" t="str">
            <v>1C4RJFJM0JC164163</v>
          </cell>
          <cell r="I1103">
            <v>46237</v>
          </cell>
          <cell r="J1103" t="str">
            <v>㈜수성자동차</v>
          </cell>
          <cell r="L1103" t="str">
            <v>잔금</v>
          </cell>
          <cell r="M1103" t="str">
            <v>50만원 회사 통장</v>
          </cell>
          <cell r="N1103">
            <v>1500</v>
          </cell>
          <cell r="P1103">
            <v>0</v>
          </cell>
          <cell r="Q1103" t="str">
            <v>done</v>
          </cell>
          <cell r="R1103">
            <v>46240</v>
          </cell>
          <cell r="S1103" t="str">
            <v>EASY DRIVE 🇧🇬</v>
          </cell>
          <cell r="T1103" t="str">
            <v>Easy Drive LTD</v>
          </cell>
          <cell r="U1103">
            <v>206557008</v>
          </cell>
          <cell r="V1103" t="str">
            <v>359 89 936 8386</v>
          </cell>
          <cell r="W1103" t="str">
            <v>ul. Sokolna 47
1444 Sofia
Bulgaria</v>
          </cell>
          <cell r="AC1103">
            <v>14331300</v>
          </cell>
          <cell r="AE1103">
            <v>14631300</v>
          </cell>
        </row>
        <row r="1104">
          <cell r="A1104">
            <v>1104</v>
          </cell>
          <cell r="B1104">
            <v>46231</v>
          </cell>
          <cell r="C1104" t="str">
            <v>KIA SPORTAGE</v>
          </cell>
          <cell r="D1104" t="str">
            <v>KIA</v>
          </cell>
          <cell r="E1104" t="str">
            <v>SPORTAGE</v>
          </cell>
          <cell r="G1104" t="str">
            <v>03어9440</v>
          </cell>
          <cell r="H1104" t="str">
            <v>KNAP6815GJK341038</v>
          </cell>
          <cell r="I1104">
            <v>46232</v>
          </cell>
          <cell r="J1104" t="str">
            <v>경매장- KCAR</v>
          </cell>
          <cell r="L1104" t="str">
            <v>잔금</v>
          </cell>
          <cell r="P1104">
            <v>0</v>
          </cell>
          <cell r="Q1104" t="str">
            <v>done</v>
          </cell>
          <cell r="R1104" t="str">
            <v>CON1</v>
          </cell>
          <cell r="S1104" t="str">
            <v>MANTAS</v>
          </cell>
          <cell r="T1104" t="str">
            <v>UAB GRALIS</v>
          </cell>
          <cell r="U1104">
            <v>179285533</v>
          </cell>
          <cell r="V1104" t="str">
            <v>370 (618) 11 666</v>
          </cell>
          <cell r="W1104" t="str">
            <v xml:space="preserve">Jūros g. 33, Tauragė  </v>
          </cell>
          <cell r="X1104">
            <v>1431</v>
          </cell>
          <cell r="AC1104">
            <v>4060</v>
          </cell>
          <cell r="AD1104">
            <v>1575</v>
          </cell>
        </row>
        <row r="1105">
          <cell r="A1105">
            <v>1105</v>
          </cell>
          <cell r="B1105">
            <v>46231</v>
          </cell>
          <cell r="C1105" t="str">
            <v>KIA SPORTAGE</v>
          </cell>
          <cell r="D1105" t="str">
            <v>KIA</v>
          </cell>
          <cell r="E1105" t="str">
            <v>SPORTAGE</v>
          </cell>
          <cell r="G1105" t="str">
            <v>372모9537</v>
          </cell>
          <cell r="H1105" t="str">
            <v>KNAP6815GJK394363</v>
          </cell>
          <cell r="I1105">
            <v>46232</v>
          </cell>
          <cell r="J1105" t="str">
            <v>경매장- KCAR</v>
          </cell>
          <cell r="L1105" t="str">
            <v>잔금</v>
          </cell>
          <cell r="P1105">
            <v>0</v>
          </cell>
          <cell r="Q1105" t="str">
            <v>done</v>
          </cell>
          <cell r="R1105" t="str">
            <v>CON1</v>
          </cell>
          <cell r="S1105" t="str">
            <v>MANTAS</v>
          </cell>
          <cell r="T1105" t="str">
            <v>UAB GRALIS</v>
          </cell>
          <cell r="U1105">
            <v>179285533</v>
          </cell>
          <cell r="V1105" t="str">
            <v>370 (618) 11 666</v>
          </cell>
          <cell r="W1105" t="str">
            <v xml:space="preserve">Jūros g. 33, Tauragė  </v>
          </cell>
          <cell r="X1105">
            <v>1431</v>
          </cell>
          <cell r="AC1105">
            <v>5040</v>
          </cell>
          <cell r="AD1105">
            <v>1575</v>
          </cell>
        </row>
        <row r="1106">
          <cell r="A1106">
            <v>1106</v>
          </cell>
          <cell r="B1106">
            <v>46231</v>
          </cell>
          <cell r="C1106" t="str">
            <v>RENAULT SM6</v>
          </cell>
          <cell r="D1106" t="str">
            <v>RENAULT</v>
          </cell>
          <cell r="E1106" t="str">
            <v>SM6</v>
          </cell>
          <cell r="G1106" t="str">
            <v>61저4300</v>
          </cell>
          <cell r="H1106" t="str">
            <v>KNMA4C2HMHP013796</v>
          </cell>
          <cell r="I1106">
            <v>46232</v>
          </cell>
          <cell r="J1106" t="str">
            <v>경매장- KCAR</v>
          </cell>
          <cell r="L1106" t="str">
            <v>잔금</v>
          </cell>
          <cell r="N1106">
            <v>310</v>
          </cell>
          <cell r="O1106">
            <v>16</v>
          </cell>
          <cell r="P1106">
            <v>0</v>
          </cell>
          <cell r="Q1106" t="str">
            <v>done</v>
          </cell>
          <cell r="R1106" t="str">
            <v>CON 16</v>
          </cell>
          <cell r="S1106" t="str">
            <v>MANTAS</v>
          </cell>
          <cell r="T1106" t="str">
            <v>UAB GRALIS</v>
          </cell>
          <cell r="U1106">
            <v>179285533</v>
          </cell>
          <cell r="V1106" t="str">
            <v>370 (618) 11 666</v>
          </cell>
          <cell r="W1106" t="str">
            <v xml:space="preserve">Jūros g. 33, Tauragė  </v>
          </cell>
          <cell r="X1106">
            <v>1381</v>
          </cell>
          <cell r="AC1106">
            <v>2600</v>
          </cell>
        </row>
        <row r="1107">
          <cell r="A1107">
            <v>1107</v>
          </cell>
          <cell r="B1107">
            <v>46231</v>
          </cell>
          <cell r="C1107" t="str">
            <v>KIA SPORTAGE</v>
          </cell>
          <cell r="D1107" t="str">
            <v>KIA</v>
          </cell>
          <cell r="E1107" t="str">
            <v>SPORTAGE</v>
          </cell>
          <cell r="G1107" t="str">
            <v>03로1665</v>
          </cell>
          <cell r="H1107" t="str">
            <v>KNAP6815GJK381747</v>
          </cell>
          <cell r="I1107">
            <v>46232</v>
          </cell>
          <cell r="J1107" t="str">
            <v>경매장- KCAR</v>
          </cell>
          <cell r="L1107" t="str">
            <v>잔금</v>
          </cell>
          <cell r="P1107">
            <v>0</v>
          </cell>
          <cell r="Q1107" t="str">
            <v>done</v>
          </cell>
          <cell r="R1107" t="str">
            <v>CON 2</v>
          </cell>
          <cell r="S1107" t="str">
            <v>MANTAS</v>
          </cell>
          <cell r="T1107" t="str">
            <v>UAB GRALIS</v>
          </cell>
          <cell r="U1107">
            <v>179285533</v>
          </cell>
          <cell r="V1107" t="str">
            <v>370 (618) 11 666</v>
          </cell>
          <cell r="W1107" t="str">
            <v xml:space="preserve">Jūros g. 33, Tauragė  </v>
          </cell>
          <cell r="X1107">
            <v>1431</v>
          </cell>
          <cell r="AC1107">
            <v>4275</v>
          </cell>
          <cell r="AD1107">
            <v>1575</v>
          </cell>
          <cell r="AE1107">
            <v>5850</v>
          </cell>
        </row>
        <row r="1108">
          <cell r="A1108">
            <v>1108</v>
          </cell>
          <cell r="B1108">
            <v>46231</v>
          </cell>
          <cell r="C1108" t="str">
            <v>BMW  Z4 sDrive35is</v>
          </cell>
          <cell r="D1108" t="str">
            <v>BMW</v>
          </cell>
          <cell r="E1108" t="str">
            <v xml:space="preserve"> Z4 sDrive35is</v>
          </cell>
          <cell r="G1108" t="str">
            <v>275모7174</v>
          </cell>
          <cell r="H1108" t="str">
            <v xml:space="preserve">WBALM1102EPK50874 </v>
          </cell>
          <cell r="I1108">
            <v>46239</v>
          </cell>
          <cell r="J1108" t="str">
            <v>㈜오토프라일</v>
          </cell>
          <cell r="L1108" t="str">
            <v>잔금</v>
          </cell>
          <cell r="M1108" t="str">
            <v>100만원 회사 통장</v>
          </cell>
          <cell r="N1108">
            <v>2220</v>
          </cell>
          <cell r="P1108">
            <v>0</v>
          </cell>
          <cell r="Q1108" t="str">
            <v>done</v>
          </cell>
          <cell r="R1108" t="str">
            <v>CON 12</v>
          </cell>
          <cell r="S1108" t="str">
            <v>DAX IMPORT</v>
          </cell>
          <cell r="T1108" t="str">
            <v xml:space="preserve">Michael Karl  </v>
          </cell>
          <cell r="U1108" t="str">
            <v>LF9N8WZ16</v>
          </cell>
          <cell r="V1108" t="str">
            <v>‪+49 471 94189050‬</v>
          </cell>
          <cell r="W1108" t="str">
            <v xml:space="preserve">Dorfstr,33C,(82024) Taufkirchen, Germany </v>
          </cell>
          <cell r="X1108">
            <v>1445</v>
          </cell>
          <cell r="AB1108">
            <v>1648</v>
          </cell>
          <cell r="AC1108">
            <v>13015</v>
          </cell>
        </row>
        <row r="1109">
          <cell r="A1109">
            <v>1109</v>
          </cell>
          <cell r="B1109">
            <v>46231</v>
          </cell>
          <cell r="C1109" t="str">
            <v>BMW X3</v>
          </cell>
          <cell r="D1109" t="str">
            <v>BMW</v>
          </cell>
          <cell r="E1109" t="str">
            <v>X3</v>
          </cell>
          <cell r="G1109" t="str">
            <v>339두6282</v>
          </cell>
          <cell r="H1109" t="str">
            <v>WBATX3103KLB98146</v>
          </cell>
          <cell r="I1109">
            <v>46232</v>
          </cell>
          <cell r="J1109" t="str">
            <v>㈜준모터스</v>
          </cell>
          <cell r="L1109" t="str">
            <v>잔금</v>
          </cell>
          <cell r="M1109" t="str">
            <v>70만원 대표님 계약</v>
          </cell>
          <cell r="N1109">
            <v>2194</v>
          </cell>
          <cell r="P1109">
            <v>0</v>
          </cell>
          <cell r="Q1109" t="str">
            <v>done</v>
          </cell>
          <cell r="R1109">
            <v>46233</v>
          </cell>
          <cell r="S1109" t="str">
            <v>Auto Posh SH.P.K</v>
          </cell>
          <cell r="T1109" t="str">
            <v>Auto Posh SH.P.K</v>
          </cell>
          <cell r="U1109">
            <v>812219427</v>
          </cell>
          <cell r="V1109" t="str">
            <v>38345560145</v>
          </cell>
          <cell r="W1109" t="str">
            <v>KOSOVO</v>
          </cell>
          <cell r="X1109">
            <v>1445</v>
          </cell>
          <cell r="AB1109">
            <v>1648</v>
          </cell>
          <cell r="AC1109">
            <v>12731</v>
          </cell>
          <cell r="AD1109">
            <v>1789</v>
          </cell>
          <cell r="AE1109">
            <v>14520</v>
          </cell>
        </row>
        <row r="1110">
          <cell r="A1110">
            <v>1110</v>
          </cell>
          <cell r="B1110">
            <v>46231</v>
          </cell>
          <cell r="C1110" t="str">
            <v>RENAULT QM3</v>
          </cell>
          <cell r="D1110" t="str">
            <v>RENAULT</v>
          </cell>
          <cell r="E1110" t="str">
            <v>QM3</v>
          </cell>
          <cell r="G1110" t="str">
            <v>69서0543</v>
          </cell>
          <cell r="H1110" t="str">
            <v>VF12RGJ1DGW300188</v>
          </cell>
          <cell r="I1110">
            <v>46232</v>
          </cell>
          <cell r="J1110" t="str">
            <v>㈜카베이</v>
          </cell>
          <cell r="L1110" t="str">
            <v>잔금</v>
          </cell>
          <cell r="M1110" t="str">
            <v>50만원 대표님 계약</v>
          </cell>
          <cell r="N1110">
            <v>564</v>
          </cell>
          <cell r="P1110">
            <v>0</v>
          </cell>
          <cell r="Q1110" t="str">
            <v>DONE</v>
          </cell>
          <cell r="R1110">
            <v>46233</v>
          </cell>
          <cell r="S1110" t="str">
            <v>R.S.h L.L.C.</v>
          </cell>
          <cell r="T1110" t="str">
            <v>R.Sh L.L.C.</v>
          </cell>
          <cell r="U1110">
            <v>812326016</v>
          </cell>
          <cell r="V1110" t="str">
            <v>+383486 611 61</v>
          </cell>
          <cell r="W1110" t="str">
            <v>Kosovo</v>
          </cell>
          <cell r="X1110">
            <v>1442</v>
          </cell>
          <cell r="AB1110">
            <v>1642</v>
          </cell>
          <cell r="AC1110">
            <v>3446</v>
          </cell>
          <cell r="AD1110">
            <v>1704</v>
          </cell>
          <cell r="AE1110">
            <v>5150</v>
          </cell>
        </row>
        <row r="1111">
          <cell r="A1111">
            <v>1111</v>
          </cell>
          <cell r="B1111">
            <v>46231</v>
          </cell>
          <cell r="C1111" t="str">
            <v>BMW 520D</v>
          </cell>
          <cell r="D1111" t="str">
            <v>BMW</v>
          </cell>
          <cell r="E1111" t="str">
            <v>520D</v>
          </cell>
          <cell r="G1111" t="str">
            <v>157거7446</v>
          </cell>
          <cell r="H1111" t="str">
            <v>WBAJC3109HG922259</v>
          </cell>
          <cell r="I1111">
            <v>46232</v>
          </cell>
          <cell r="J1111" t="str">
            <v>㈜탐모터스</v>
          </cell>
          <cell r="L1111" t="str">
            <v>잔금</v>
          </cell>
          <cell r="M1111" t="str">
            <v>50만원 회사 통장</v>
          </cell>
          <cell r="N1111">
            <v>2180</v>
          </cell>
          <cell r="P1111">
            <v>0</v>
          </cell>
          <cell r="Q1111" t="str">
            <v>done</v>
          </cell>
          <cell r="R1111">
            <v>46234</v>
          </cell>
          <cell r="S1111" t="str">
            <v>DONI</v>
          </cell>
          <cell r="T1111" t="str">
            <v>DONI</v>
          </cell>
          <cell r="U1111">
            <v>933682</v>
          </cell>
          <cell r="V1111" t="str">
            <v>3 8 3 4 9 3 2 5 7 0 3</v>
          </cell>
          <cell r="W1111" t="str">
            <v xml:space="preserve"> HYZRI TALLA OB 16 HY 1 NR 18
 Kosovë</v>
          </cell>
          <cell r="X1111">
            <v>1442</v>
          </cell>
          <cell r="AB1111">
            <v>1642</v>
          </cell>
          <cell r="AC1111">
            <v>12796</v>
          </cell>
          <cell r="AD1111">
            <v>1704</v>
          </cell>
          <cell r="AE1111">
            <v>14500</v>
          </cell>
        </row>
        <row r="1112">
          <cell r="A1112">
            <v>1112</v>
          </cell>
          <cell r="B1112">
            <v>46231</v>
          </cell>
          <cell r="C1112" t="str">
            <v>BENZ C220D</v>
          </cell>
          <cell r="D1112" t="str">
            <v>BENZ</v>
          </cell>
          <cell r="E1112" t="str">
            <v>C220D</v>
          </cell>
          <cell r="G1112" t="str">
            <v>66머9760</v>
          </cell>
          <cell r="H1112" t="str">
            <v>WDDWF0EB5FF173673</v>
          </cell>
          <cell r="I1112">
            <v>46232</v>
          </cell>
          <cell r="J1112" t="str">
            <v>㈜오토플러스</v>
          </cell>
          <cell r="L1112" t="str">
            <v>잔금</v>
          </cell>
          <cell r="M1112" t="str">
            <v>50만원 회사 통장</v>
          </cell>
          <cell r="N1112">
            <v>1100</v>
          </cell>
          <cell r="P1112">
            <v>0</v>
          </cell>
          <cell r="Q1112" t="str">
            <v>done</v>
          </cell>
          <cell r="R1112">
            <v>46234</v>
          </cell>
          <cell r="S1112" t="str">
            <v>CALJA</v>
          </cell>
          <cell r="T1112" t="str">
            <v>BEKO ANXHELA</v>
          </cell>
          <cell r="U1112" t="str">
            <v>K16027055D</v>
          </cell>
          <cell r="V1112" t="str">
            <v>355 69 550 5533</v>
          </cell>
          <cell r="W1112" t="str">
            <v>Albania</v>
          </cell>
          <cell r="X1112">
            <v>1442</v>
          </cell>
          <cell r="AB1112">
            <v>1642</v>
          </cell>
          <cell r="AC1112">
            <v>6426</v>
          </cell>
          <cell r="AD1112">
            <v>1704</v>
          </cell>
          <cell r="AE1112">
            <v>8130</v>
          </cell>
          <cell r="AF1112">
            <v>8830</v>
          </cell>
        </row>
        <row r="1113">
          <cell r="A1113">
            <v>1113</v>
          </cell>
          <cell r="B1113">
            <v>46231</v>
          </cell>
          <cell r="C1113" t="str">
            <v>AUDI A4</v>
          </cell>
          <cell r="D1113" t="str">
            <v>AUDI</v>
          </cell>
          <cell r="E1113" t="str">
            <v>A4</v>
          </cell>
          <cell r="G1113" t="str">
            <v>29소0870</v>
          </cell>
          <cell r="H1113" t="str">
            <v xml:space="preserve"> WAUZZZ8K1GA011470</v>
          </cell>
          <cell r="J1113" t="str">
            <v>경매장- 헤이딜러</v>
          </cell>
          <cell r="L1113" t="str">
            <v>잔금</v>
          </cell>
          <cell r="N1113">
            <v>784</v>
          </cell>
          <cell r="O1113">
            <v>768</v>
          </cell>
          <cell r="P1113">
            <v>0</v>
          </cell>
          <cell r="Q1113" t="str">
            <v>done</v>
          </cell>
          <cell r="R1113">
            <v>46233</v>
          </cell>
          <cell r="S1113" t="str">
            <v>AUTO SCOUT</v>
          </cell>
          <cell r="T1113" t="str">
            <v>DONI</v>
          </cell>
          <cell r="U1113">
            <v>933682</v>
          </cell>
          <cell r="V1113" t="str">
            <v>3 8 3 4 9 3 2 5 7 0 3</v>
          </cell>
          <cell r="W1113" t="str">
            <v xml:space="preserve"> HYZRI TALLA OB 16 HY 1 NR 18
 Kosovë</v>
          </cell>
          <cell r="X1113">
            <v>1425</v>
          </cell>
          <cell r="AB1113">
            <v>1633</v>
          </cell>
          <cell r="AC1113">
            <v>5157</v>
          </cell>
          <cell r="AD1113">
            <v>1693</v>
          </cell>
          <cell r="AE1113">
            <v>6850</v>
          </cell>
        </row>
        <row r="1114">
          <cell r="A1114">
            <v>1114</v>
          </cell>
          <cell r="B1114">
            <v>46232</v>
          </cell>
          <cell r="C1114" t="str">
            <v>AUDI RS5</v>
          </cell>
          <cell r="D1114" t="str">
            <v>AUDI</v>
          </cell>
          <cell r="E1114" t="str">
            <v>RS5</v>
          </cell>
          <cell r="G1114" t="str">
            <v>63루6484</v>
          </cell>
          <cell r="H1114" t="str">
            <v>WUAZZZ8T2DA901499</v>
          </cell>
          <cell r="I1114">
            <v>46239</v>
          </cell>
          <cell r="J1114" t="str">
            <v>㈜카스토어</v>
          </cell>
          <cell r="L1114" t="str">
            <v>잔금</v>
          </cell>
          <cell r="M1114" t="str">
            <v>100만원 대표님 계약</v>
          </cell>
          <cell r="N1114">
            <v>2100</v>
          </cell>
          <cell r="P1114">
            <v>0</v>
          </cell>
          <cell r="Q1114" t="str">
            <v>done</v>
          </cell>
          <cell r="S1114" t="str">
            <v>KOREA EXPORT EXPERT</v>
          </cell>
          <cell r="T1114" t="str">
            <v xml:space="preserve">Seif Aldin Emad Alhariri </v>
          </cell>
          <cell r="U1114" t="str">
            <v>FKF032421</v>
          </cell>
          <cell r="V1114" t="str">
            <v>47 900 55 199</v>
          </cell>
          <cell r="W1114" t="str">
            <v>Utleirtunet 5c, Norway</v>
          </cell>
          <cell r="AC1114">
            <v>21000000</v>
          </cell>
          <cell r="AF1114">
            <v>-500000</v>
          </cell>
        </row>
        <row r="1115">
          <cell r="A1115">
            <v>1115</v>
          </cell>
          <cell r="B1115">
            <v>46232</v>
          </cell>
          <cell r="C1115" t="str">
            <v>BENZ E220</v>
          </cell>
          <cell r="D1115" t="str">
            <v>BENZ</v>
          </cell>
          <cell r="E1115" t="str">
            <v>E220</v>
          </cell>
          <cell r="G1115" t="str">
            <v>12더2537</v>
          </cell>
          <cell r="H1115" t="str">
            <v>WDDHF0CB1EA819265</v>
          </cell>
          <cell r="I1115">
            <v>46234</v>
          </cell>
          <cell r="J1115" t="str">
            <v>㈜오토라인</v>
          </cell>
          <cell r="L1115" t="str">
            <v>잔금</v>
          </cell>
          <cell r="N1115">
            <v>860</v>
          </cell>
          <cell r="P1115">
            <v>0</v>
          </cell>
          <cell r="Q1115" t="str">
            <v>done</v>
          </cell>
          <cell r="R1115">
            <v>46237</v>
          </cell>
          <cell r="S1115" t="str">
            <v>EASY DRIVE 🇧🇬</v>
          </cell>
          <cell r="T1115" t="str">
            <v>Easy Drive LTD</v>
          </cell>
          <cell r="U1115">
            <v>206557008</v>
          </cell>
          <cell r="V1115" t="str">
            <v>359 89 936 8386</v>
          </cell>
          <cell r="W1115" t="str">
            <v>ul. Sokolna 47
1444 Sofia
Bulgaria</v>
          </cell>
          <cell r="AC1115">
            <v>8640000</v>
          </cell>
        </row>
        <row r="1116">
          <cell r="A1116">
            <v>1116</v>
          </cell>
          <cell r="B1116">
            <v>46232</v>
          </cell>
          <cell r="C1116" t="str">
            <v>BENZ E220</v>
          </cell>
          <cell r="D1116" t="str">
            <v>BENZ</v>
          </cell>
          <cell r="E1116" t="str">
            <v>E220</v>
          </cell>
          <cell r="G1116" t="str">
            <v>102오2123</v>
          </cell>
          <cell r="H1116" t="str">
            <v>WDDZF0EB4JA465351</v>
          </cell>
          <cell r="I1116">
            <v>46234</v>
          </cell>
          <cell r="J1116" t="str">
            <v>㈜라온모터스</v>
          </cell>
          <cell r="L1116" t="str">
            <v>잔금</v>
          </cell>
          <cell r="N1116">
            <v>1950</v>
          </cell>
          <cell r="P1116">
            <v>0</v>
          </cell>
          <cell r="Q1116" t="str">
            <v>done</v>
          </cell>
          <cell r="R1116">
            <v>46237</v>
          </cell>
          <cell r="S1116" t="str">
            <v>EASY DRIVE 🇧🇬</v>
          </cell>
          <cell r="T1116" t="str">
            <v>Easy Drive LTD</v>
          </cell>
          <cell r="U1116">
            <v>206557008</v>
          </cell>
          <cell r="V1116" t="str">
            <v>359 89 936 8386</v>
          </cell>
          <cell r="W1116" t="str">
            <v>ul. Sokolna 47
1444 Sofia
Bulgaria</v>
          </cell>
          <cell r="AB1116">
            <v>18871500</v>
          </cell>
          <cell r="AC1116">
            <v>0</v>
          </cell>
          <cell r="AF1116">
            <v>240000</v>
          </cell>
        </row>
        <row r="1117">
          <cell r="A1117">
            <v>1117</v>
          </cell>
          <cell r="B1117">
            <v>46232</v>
          </cell>
          <cell r="C1117" t="str">
            <v>VOLKSWAGEN Tiguan 2.0TDI</v>
          </cell>
          <cell r="D1117" t="str">
            <v>VOLKSWAGEN</v>
          </cell>
          <cell r="E1117" t="str">
            <v>Tiguan 2.0TDI</v>
          </cell>
          <cell r="G1117" t="str">
            <v>129나2969</v>
          </cell>
          <cell r="H1117" t="str">
            <v>WVGZZZ5NZLM106416 </v>
          </cell>
          <cell r="I1117">
            <v>46233</v>
          </cell>
          <cell r="J1117" t="str">
            <v>㈜신원자동차</v>
          </cell>
          <cell r="L1117" t="str">
            <v>잔금</v>
          </cell>
          <cell r="N1117">
            <v>2240</v>
          </cell>
          <cell r="P1117">
            <v>0</v>
          </cell>
          <cell r="Q1117" t="str">
            <v>done</v>
          </cell>
          <cell r="R1117">
            <v>46234</v>
          </cell>
          <cell r="S1117" t="str">
            <v>AUTO SCOUT</v>
          </cell>
          <cell r="T1117" t="str">
            <v>DONI</v>
          </cell>
          <cell r="U1117">
            <v>933682</v>
          </cell>
          <cell r="V1117" t="str">
            <v>3 8 3 4 9 3 2 5 7 0 3</v>
          </cell>
          <cell r="W1117" t="str">
            <v xml:space="preserve"> HYZRI TALLA OB 16 HY 1 NR 18
 Kosovë</v>
          </cell>
          <cell r="X1117">
            <v>1425</v>
          </cell>
          <cell r="AB1117">
            <v>1633</v>
          </cell>
          <cell r="AC1117">
            <v>13140</v>
          </cell>
          <cell r="AD1117">
            <v>1780</v>
          </cell>
          <cell r="AE1117">
            <v>14920</v>
          </cell>
        </row>
        <row r="1118">
          <cell r="A1118">
            <v>1118</v>
          </cell>
          <cell r="B1118">
            <v>46233</v>
          </cell>
          <cell r="C1118" t="str">
            <v>AUDI Q5</v>
          </cell>
          <cell r="D1118" t="str">
            <v>AUDI</v>
          </cell>
          <cell r="E1118" t="str">
            <v>Q5</v>
          </cell>
          <cell r="G1118" t="str">
            <v>277모3873</v>
          </cell>
          <cell r="H1118" t="str">
            <v>WAUZZZFY9N2014681</v>
          </cell>
          <cell r="I1118">
            <v>46239</v>
          </cell>
          <cell r="J1118" t="str">
            <v>㈜카메이트</v>
          </cell>
          <cell r="L1118" t="str">
            <v>잔금</v>
          </cell>
          <cell r="M1118" t="str">
            <v>100만원 회사 통장</v>
          </cell>
          <cell r="N1118">
            <v>3700</v>
          </cell>
          <cell r="P1118">
            <v>0</v>
          </cell>
          <cell r="Q1118" t="str">
            <v>DONE</v>
          </cell>
          <cell r="R1118">
            <v>46248</v>
          </cell>
          <cell r="S1118" t="str">
            <v>R.S.h L.L.C.</v>
          </cell>
          <cell r="T1118" t="str">
            <v>R.Sh L.L.C.</v>
          </cell>
          <cell r="U1118">
            <v>812326016</v>
          </cell>
          <cell r="V1118" t="str">
            <v>+383486 611 61</v>
          </cell>
          <cell r="W1118" t="str">
            <v>Kosovo</v>
          </cell>
          <cell r="X1118">
            <v>1425</v>
          </cell>
          <cell r="AB1118">
            <v>1633</v>
          </cell>
          <cell r="AC1118">
            <v>21723</v>
          </cell>
          <cell r="AD1118">
            <v>1867</v>
          </cell>
          <cell r="AE1118">
            <v>23590</v>
          </cell>
          <cell r="AF1118">
            <v>23500</v>
          </cell>
        </row>
        <row r="1119">
          <cell r="A1119">
            <v>1119</v>
          </cell>
          <cell r="B1119">
            <v>46233</v>
          </cell>
          <cell r="C1119" t="str">
            <v>CITREON DS4</v>
          </cell>
          <cell r="D1119" t="str">
            <v>CITREON</v>
          </cell>
          <cell r="E1119" t="str">
            <v>DS4</v>
          </cell>
          <cell r="G1119" t="str">
            <v>35너2594</v>
          </cell>
          <cell r="H1119" t="str">
            <v>VF7NXBHZTHY500121</v>
          </cell>
          <cell r="I1119">
            <v>46233</v>
          </cell>
          <cell r="J1119" t="str">
            <v>경매장- kcar</v>
          </cell>
          <cell r="L1119" t="str">
            <v>잔금</v>
          </cell>
          <cell r="N1119">
            <v>365</v>
          </cell>
          <cell r="P1119">
            <v>0</v>
          </cell>
          <cell r="Q1119" t="str">
            <v>DONE</v>
          </cell>
          <cell r="R1119">
            <v>46248</v>
          </cell>
          <cell r="S1119" t="str">
            <v>R.S.h L.L.C.</v>
          </cell>
          <cell r="T1119" t="str">
            <v xml:space="preserve">Ramiz Kelmendi </v>
          </cell>
          <cell r="U1119">
            <v>1011048303</v>
          </cell>
          <cell r="V1119" t="str">
            <v>+383486 611 61</v>
          </cell>
          <cell r="W1119" t="str">
            <v>Kosovo</v>
          </cell>
          <cell r="X1119">
            <v>1398</v>
          </cell>
          <cell r="AB1119">
            <v>1612</v>
          </cell>
          <cell r="AC1119">
            <v>2461</v>
          </cell>
          <cell r="AD1119">
            <v>1769</v>
          </cell>
          <cell r="AE1119">
            <v>4230</v>
          </cell>
          <cell r="AF1119">
            <v>4150</v>
          </cell>
        </row>
        <row r="1120">
          <cell r="A1120">
            <v>1120</v>
          </cell>
          <cell r="B1120">
            <v>46233</v>
          </cell>
          <cell r="C1120" t="str">
            <v>BMW  528I</v>
          </cell>
          <cell r="D1120" t="str">
            <v xml:space="preserve">BMW </v>
          </cell>
          <cell r="E1120" t="str">
            <v>528I</v>
          </cell>
          <cell r="G1120" t="str">
            <v>18나4909</v>
          </cell>
          <cell r="H1120" t="str">
            <v>WBANU51009C010848</v>
          </cell>
          <cell r="I1120">
            <v>46239</v>
          </cell>
          <cell r="J1120" t="str">
            <v>㈜바바리안모터스</v>
          </cell>
          <cell r="L1120" t="str">
            <v>잔금</v>
          </cell>
          <cell r="M1120" t="str">
            <v>50만원 대표님 계약</v>
          </cell>
          <cell r="N1120">
            <v>550</v>
          </cell>
          <cell r="P1120">
            <v>0</v>
          </cell>
          <cell r="Q1120" t="str">
            <v>done</v>
          </cell>
          <cell r="R1120">
            <v>46240</v>
          </cell>
          <cell r="S1120" t="str">
            <v>EASY DRIVE 🇧🇬</v>
          </cell>
          <cell r="T1120" t="str">
            <v>Easy Drive LTD</v>
          </cell>
          <cell r="U1120">
            <v>206557008</v>
          </cell>
          <cell r="V1120" t="str">
            <v>359 89 936 8386</v>
          </cell>
          <cell r="W1120" t="str">
            <v>ul. Sokolna 47
1444 Sofia
Bulgaria</v>
          </cell>
          <cell r="AC1120">
            <v>5750000</v>
          </cell>
        </row>
        <row r="1121">
          <cell r="A1121">
            <v>1121</v>
          </cell>
          <cell r="B1121">
            <v>46233</v>
          </cell>
          <cell r="C1121" t="str">
            <v xml:space="preserve">AUDI A7 </v>
          </cell>
          <cell r="D1121" t="str">
            <v>AUDI</v>
          </cell>
          <cell r="E1121" t="str">
            <v xml:space="preserve">A7 </v>
          </cell>
          <cell r="G1121" t="str">
            <v>04구8782</v>
          </cell>
          <cell r="H1121" t="str">
            <v>WAUZZZ4G7GN017140</v>
          </cell>
          <cell r="I1121">
            <v>46238</v>
          </cell>
          <cell r="J1121" t="str">
            <v>㈜ 차모터스</v>
          </cell>
          <cell r="L1121" t="str">
            <v>잔금</v>
          </cell>
          <cell r="M1121" t="str">
            <v>50만원 대표님 계약</v>
          </cell>
          <cell r="N1121">
            <v>1100</v>
          </cell>
          <cell r="P1121">
            <v>0</v>
          </cell>
          <cell r="Q1121" t="str">
            <v>done</v>
          </cell>
          <cell r="R1121">
            <v>46240</v>
          </cell>
          <cell r="S1121" t="str">
            <v>CALJA</v>
          </cell>
          <cell r="T1121" t="str">
            <v>FITIMTAR BULLARI</v>
          </cell>
          <cell r="U1121" t="str">
            <v>H70710012Q</v>
          </cell>
          <cell r="V1121" t="str">
            <v>355 69 550 5533</v>
          </cell>
          <cell r="W1121" t="str">
            <v>Albania</v>
          </cell>
          <cell r="X1121">
            <v>1442</v>
          </cell>
          <cell r="AB1121">
            <v>1642</v>
          </cell>
          <cell r="AC1121">
            <v>6496</v>
          </cell>
          <cell r="AD1121">
            <v>1704</v>
          </cell>
          <cell r="AE1121">
            <v>8200</v>
          </cell>
          <cell r="AF1121">
            <v>8600</v>
          </cell>
        </row>
        <row r="1122">
          <cell r="A1122">
            <v>1122</v>
          </cell>
          <cell r="B1122">
            <v>46234</v>
          </cell>
          <cell r="C1122" t="str">
            <v>HYUNDAI TUCSON</v>
          </cell>
          <cell r="D1122" t="str">
            <v>HYUNDAI</v>
          </cell>
          <cell r="E1122" t="str">
            <v>TUCSON</v>
          </cell>
          <cell r="G1122" t="str">
            <v>172가3387</v>
          </cell>
          <cell r="H1122" t="str">
            <v xml:space="preserve">KMHJ2815GGU198519 </v>
          </cell>
          <cell r="I1122">
            <v>46245</v>
          </cell>
          <cell r="J1122" t="str">
            <v>㈜스마일 자동차</v>
          </cell>
          <cell r="L1122" t="str">
            <v>잔금</v>
          </cell>
          <cell r="M1122" t="str">
            <v>50만원 대표님 계약</v>
          </cell>
          <cell r="N1122">
            <v>740</v>
          </cell>
          <cell r="P1122">
            <v>0</v>
          </cell>
          <cell r="Q1122" t="str">
            <v>DONE</v>
          </cell>
          <cell r="R1122">
            <v>46248</v>
          </cell>
          <cell r="S1122" t="str">
            <v>CALJA</v>
          </cell>
          <cell r="T1122" t="str">
            <v>Calja Marius</v>
          </cell>
          <cell r="U1122" t="str">
            <v>J70807019Q</v>
          </cell>
          <cell r="V1122" t="str">
            <v>355 69 550 5533</v>
          </cell>
          <cell r="W1122" t="str">
            <v>Albania</v>
          </cell>
          <cell r="X1122">
            <v>1418</v>
          </cell>
          <cell r="AB1122">
            <v>1632</v>
          </cell>
          <cell r="AC1122">
            <v>4517</v>
          </cell>
          <cell r="AD1122">
            <v>1773</v>
          </cell>
          <cell r="AE1122">
            <v>6290</v>
          </cell>
          <cell r="AF1122">
            <v>6290</v>
          </cell>
        </row>
        <row r="1123">
          <cell r="A1123">
            <v>1123</v>
          </cell>
          <cell r="B1123">
            <v>46234</v>
          </cell>
          <cell r="C1123" t="str">
            <v>HYUNDAI SONATA</v>
          </cell>
          <cell r="D1123" t="str">
            <v>HYUNDAI</v>
          </cell>
          <cell r="E1123" t="str">
            <v>SONATA</v>
          </cell>
          <cell r="G1123" t="str">
            <v>181우9445</v>
          </cell>
          <cell r="H1123" t="str">
            <v xml:space="preserve">KMHE341DBJA383356 </v>
          </cell>
          <cell r="I1123">
            <v>46245</v>
          </cell>
          <cell r="J1123" t="str">
            <v>㈜한걸모터스</v>
          </cell>
          <cell r="L1123" t="str">
            <v>잔금</v>
          </cell>
          <cell r="M1123" t="str">
            <v>50만원 대표님 계약</v>
          </cell>
          <cell r="N1123">
            <v>680</v>
          </cell>
          <cell r="P1123">
            <v>0</v>
          </cell>
          <cell r="Q1123" t="str">
            <v>DONE</v>
          </cell>
          <cell r="R1123">
            <v>46248</v>
          </cell>
          <cell r="S1123" t="str">
            <v>CALJA</v>
          </cell>
          <cell r="T1123" t="str">
            <v xml:space="preserve">ZOGU ARLEND </v>
          </cell>
          <cell r="U1123" t="str">
            <v>J90727019A</v>
          </cell>
          <cell r="V1123" t="str">
            <v>355 69 550 5533</v>
          </cell>
          <cell r="W1123" t="str">
            <v>Albania</v>
          </cell>
          <cell r="X1123">
            <v>1418</v>
          </cell>
          <cell r="AB1123">
            <v>1632</v>
          </cell>
          <cell r="AC1123">
            <v>4214</v>
          </cell>
          <cell r="AD1123">
            <v>1686</v>
          </cell>
          <cell r="AE1123">
            <v>5900</v>
          </cell>
          <cell r="AF1123">
            <v>6300</v>
          </cell>
        </row>
        <row r="1124">
          <cell r="A1124">
            <v>1124</v>
          </cell>
          <cell r="B1124">
            <v>46234</v>
          </cell>
          <cell r="C1124" t="str">
            <v>VOLKSWAGEN ARTEON</v>
          </cell>
          <cell r="D1124" t="str">
            <v>VOLKSWAGEN</v>
          </cell>
          <cell r="E1124" t="str">
            <v>ARTEON</v>
          </cell>
          <cell r="G1124" t="str">
            <v>51보9747</v>
          </cell>
          <cell r="H1124" t="str">
            <v>WVWZZZ3HZJE515950</v>
          </cell>
          <cell r="I1124">
            <v>46239</v>
          </cell>
          <cell r="J1124" t="str">
            <v>㈜에스유카</v>
          </cell>
          <cell r="L1124" t="str">
            <v>잔금</v>
          </cell>
          <cell r="M1124" t="str">
            <v>50만원 대표님 계약</v>
          </cell>
          <cell r="N1124">
            <v>1990</v>
          </cell>
          <cell r="P1124">
            <v>0</v>
          </cell>
          <cell r="Q1124" t="str">
            <v>done</v>
          </cell>
          <cell r="R1124">
            <v>46240</v>
          </cell>
          <cell r="S1124" t="str">
            <v>EASY DRIVE 🇧🇬</v>
          </cell>
          <cell r="T1124" t="str">
            <v>Easy Drive LTD</v>
          </cell>
          <cell r="U1124">
            <v>206557008</v>
          </cell>
          <cell r="V1124" t="str">
            <v>359 89 936 8386</v>
          </cell>
          <cell r="W1124" t="str">
            <v>ul. Sokolna 47
1444 Sofia
Bulgaria</v>
          </cell>
          <cell r="AC1124">
            <v>19024300</v>
          </cell>
        </row>
        <row r="1125">
          <cell r="A1125">
            <v>1125</v>
          </cell>
          <cell r="B1125">
            <v>46234</v>
          </cell>
          <cell r="C1125" t="str">
            <v>AUDI Q7</v>
          </cell>
          <cell r="D1125" t="str">
            <v>AUDI</v>
          </cell>
          <cell r="E1125" t="str">
            <v>Q7</v>
          </cell>
          <cell r="G1125" t="str">
            <v>384러1998</v>
          </cell>
          <cell r="H1125" t="str">
            <v xml:space="preserve"> WAUZZZ4MXLD016859</v>
          </cell>
          <cell r="I1125">
            <v>46246</v>
          </cell>
          <cell r="J1125" t="str">
            <v>㈜더퍼스트카</v>
          </cell>
          <cell r="L1125" t="str">
            <v>잔금</v>
          </cell>
          <cell r="M1125" t="str">
            <v>100만원 대표님 계약</v>
          </cell>
          <cell r="N1125">
            <v>3780</v>
          </cell>
          <cell r="P1125">
            <v>0</v>
          </cell>
          <cell r="Q1125" t="str">
            <v>DONE</v>
          </cell>
          <cell r="R1125">
            <v>46248</v>
          </cell>
          <cell r="S1125" t="str">
            <v>CALJA</v>
          </cell>
          <cell r="T1125" t="str">
            <v>Calja Marius</v>
          </cell>
          <cell r="U1125" t="str">
            <v>J70807019Q</v>
          </cell>
          <cell r="V1125" t="str">
            <v>355 69 550 5533</v>
          </cell>
          <cell r="W1125" t="str">
            <v>Albania</v>
          </cell>
          <cell r="X1125">
            <v>1418</v>
          </cell>
          <cell r="AB1125">
            <v>1632</v>
          </cell>
          <cell r="AC1125">
            <v>22141</v>
          </cell>
          <cell r="AD1125">
            <v>1859</v>
          </cell>
          <cell r="AE1125">
            <v>24000</v>
          </cell>
          <cell r="AF1125">
            <v>24000</v>
          </cell>
        </row>
        <row r="1126">
          <cell r="A1126">
            <v>1126</v>
          </cell>
          <cell r="B1126">
            <v>46234</v>
          </cell>
          <cell r="C1126" t="str">
            <v>Porsche CAYMAN GTS</v>
          </cell>
          <cell r="D1126" t="str">
            <v>Porsche</v>
          </cell>
          <cell r="E1126" t="str">
            <v>CAYMAN GTS</v>
          </cell>
          <cell r="G1126" t="str">
            <v>233두5405</v>
          </cell>
          <cell r="H1126" t="str">
            <v>WP0AD2982MS281094</v>
          </cell>
          <cell r="I1126">
            <v>46248</v>
          </cell>
          <cell r="J1126" t="str">
            <v>㈜에이완오토모빌</v>
          </cell>
          <cell r="L1126" t="str">
            <v>잔금</v>
          </cell>
          <cell r="M1126" t="str">
            <v>100만원 대표님 계약</v>
          </cell>
          <cell r="N1126">
            <v>8200</v>
          </cell>
          <cell r="P1126">
            <v>0</v>
          </cell>
          <cell r="Q1126" t="str">
            <v>DONE</v>
          </cell>
          <cell r="R1126">
            <v>46274</v>
          </cell>
          <cell r="S1126" t="str">
            <v>DAX IMPORT</v>
          </cell>
          <cell r="T1126" t="str">
            <v xml:space="preserve">Michael Karl  </v>
          </cell>
          <cell r="U1126" t="str">
            <v>LF9N8WZ16</v>
          </cell>
          <cell r="V1126" t="str">
            <v>‪+49 471 94189050‬</v>
          </cell>
          <cell r="W1126" t="str">
            <v xml:space="preserve">Dorfstr,33C,(82024) Taufkirchen, Germany </v>
          </cell>
          <cell r="X1126">
            <v>1442</v>
          </cell>
          <cell r="AB1126">
            <v>1642</v>
          </cell>
          <cell r="AC1126">
            <v>47780</v>
          </cell>
        </row>
        <row r="1127">
          <cell r="A1127">
            <v>1127</v>
          </cell>
          <cell r="B1127">
            <v>46235</v>
          </cell>
          <cell r="C1127" t="str">
            <v>BMW M5</v>
          </cell>
          <cell r="D1127" t="str">
            <v>BMW</v>
          </cell>
          <cell r="E1127" t="str">
            <v>M5</v>
          </cell>
          <cell r="G1127" t="str">
            <v>12무3011</v>
          </cell>
          <cell r="H1127" t="str">
            <v>WBSFV9101FD095290</v>
          </cell>
          <cell r="I1127">
            <v>46239</v>
          </cell>
          <cell r="J1127" t="str">
            <v>㈜코리아모터스</v>
          </cell>
          <cell r="L1127" t="str">
            <v>잔금</v>
          </cell>
          <cell r="M1127" t="str">
            <v>100만원 대표님 계약</v>
          </cell>
          <cell r="N1127">
            <v>2500</v>
          </cell>
          <cell r="P1127">
            <v>0</v>
          </cell>
          <cell r="Q1127" t="str">
            <v>done</v>
          </cell>
          <cell r="R1127" t="str">
            <v>CON 11</v>
          </cell>
          <cell r="S1127" t="str">
            <v>DAX IMPORT</v>
          </cell>
          <cell r="T1127" t="str">
            <v xml:space="preserve">Michael Karl  </v>
          </cell>
          <cell r="U1127" t="str">
            <v>LF9N8WZ16</v>
          </cell>
          <cell r="V1127" t="str">
            <v>‪+49 471 94189050‬</v>
          </cell>
          <cell r="W1127" t="str">
            <v xml:space="preserve">Dorfstr,33C,(82024) Taufkirchen, Germany </v>
          </cell>
          <cell r="X1127">
            <v>1442</v>
          </cell>
          <cell r="AB1127">
            <v>1642</v>
          </cell>
          <cell r="AC1127">
            <v>14475</v>
          </cell>
        </row>
        <row r="1128">
          <cell r="A1128">
            <v>1128</v>
          </cell>
          <cell r="B1128">
            <v>46235</v>
          </cell>
          <cell r="C1128" t="str">
            <v>VOLKSWAGEN TIGUAN</v>
          </cell>
          <cell r="D1128" t="str">
            <v>VOLKSWAGEN</v>
          </cell>
          <cell r="E1128" t="str">
            <v>TIGUAN</v>
          </cell>
          <cell r="G1128" t="str">
            <v>185노5339</v>
          </cell>
          <cell r="H1128" t="str">
            <v>WVGZZZ5NZLW352680</v>
          </cell>
          <cell r="I1128">
            <v>46241</v>
          </cell>
          <cell r="J1128" t="str">
            <v>㈜아이에스모터스</v>
          </cell>
          <cell r="L1128" t="str">
            <v>잔금</v>
          </cell>
          <cell r="M1128" t="str">
            <v>100만원 대표님 계약</v>
          </cell>
          <cell r="N1128">
            <v>2130</v>
          </cell>
          <cell r="P1128">
            <v>0</v>
          </cell>
          <cell r="Q1128" t="str">
            <v>DONE</v>
          </cell>
          <cell r="R1128">
            <v>46248</v>
          </cell>
          <cell r="S1128" t="str">
            <v>DONI</v>
          </cell>
          <cell r="T1128" t="str">
            <v>DONI</v>
          </cell>
          <cell r="U1128">
            <v>933682</v>
          </cell>
          <cell r="V1128" t="str">
            <v>3 8 3 4 9 3 2 5 7 0 3</v>
          </cell>
          <cell r="W1128" t="str">
            <v xml:space="preserve"> HYZRI TALLA OB 16 HY 1 NR 18
 Kosovë</v>
          </cell>
          <cell r="X1128">
            <v>1442</v>
          </cell>
          <cell r="AB1128">
            <v>1642</v>
          </cell>
          <cell r="AC1128">
            <v>12409</v>
          </cell>
          <cell r="AD1128">
            <v>1791</v>
          </cell>
          <cell r="AE1128">
            <v>14200</v>
          </cell>
        </row>
        <row r="1129">
          <cell r="A1129">
            <v>1129</v>
          </cell>
          <cell r="B1129">
            <v>46237</v>
          </cell>
          <cell r="C1129" t="str">
            <v>FERRARI 458</v>
          </cell>
          <cell r="D1129" t="str">
            <v>FERRARI</v>
          </cell>
          <cell r="E1129">
            <v>458</v>
          </cell>
          <cell r="G1129" t="str">
            <v>12너0444</v>
          </cell>
          <cell r="H1129" t="str">
            <v>ZFF67NFL3D0190338</v>
          </cell>
          <cell r="L1129" t="str">
            <v>취소</v>
          </cell>
          <cell r="M1129" t="str">
            <v>1000만원 회사 통장</v>
          </cell>
          <cell r="N1129" t="str">
            <v>1억 6천</v>
          </cell>
          <cell r="P1129">
            <v>0</v>
          </cell>
          <cell r="Q1129" t="str">
            <v>DONE</v>
          </cell>
          <cell r="S1129" t="str">
            <v>DAX IMPORT</v>
          </cell>
          <cell r="T1129" t="str">
            <v xml:space="preserve">Michael Karl  </v>
          </cell>
          <cell r="U1129" t="str">
            <v>LF9N8WZ16</v>
          </cell>
          <cell r="V1129" t="str">
            <v>‪+49 471 94189050‬</v>
          </cell>
          <cell r="W1129" t="str">
            <v xml:space="preserve">Dorfstr,33C,(82024) Taufkirchen, Germany </v>
          </cell>
          <cell r="X1129">
            <v>1404</v>
          </cell>
          <cell r="AB1129">
            <v>1617</v>
          </cell>
          <cell r="AC1129">
            <v>92100</v>
          </cell>
        </row>
        <row r="1130">
          <cell r="A1130">
            <v>1130</v>
          </cell>
          <cell r="B1130">
            <v>46237</v>
          </cell>
          <cell r="C1130" t="str">
            <v>VOLVO V40 D3</v>
          </cell>
          <cell r="D1130" t="str">
            <v>VOLVO</v>
          </cell>
          <cell r="E1130" t="str">
            <v>V40 D3</v>
          </cell>
          <cell r="G1130" t="str">
            <v>35모0258</v>
          </cell>
          <cell r="H1130" t="str">
            <v>YV1MV79K0H2380819</v>
          </cell>
          <cell r="J1130" t="str">
            <v>경매장- 헤이딜러</v>
          </cell>
          <cell r="L1130" t="str">
            <v>잔금</v>
          </cell>
          <cell r="N1130">
            <v>554</v>
          </cell>
          <cell r="O1130" t="str">
            <v>???</v>
          </cell>
          <cell r="P1130">
            <v>0</v>
          </cell>
          <cell r="Q1130" t="str">
            <v>done</v>
          </cell>
          <cell r="R1130">
            <v>46248</v>
          </cell>
          <cell r="S1130" t="str">
            <v>Auto Posh SH.P.K</v>
          </cell>
          <cell r="T1130" t="str">
            <v>Auto Posh SH.P.K</v>
          </cell>
          <cell r="U1130">
            <v>812219427</v>
          </cell>
          <cell r="V1130" t="str">
            <v>38345560145</v>
          </cell>
          <cell r="W1130" t="str">
            <v>KOSOVO</v>
          </cell>
          <cell r="X1130">
            <v>1398</v>
          </cell>
          <cell r="AB1130">
            <v>1612</v>
          </cell>
          <cell r="AC1130">
            <v>3661</v>
          </cell>
          <cell r="AD1130">
            <v>1769</v>
          </cell>
          <cell r="AE1130">
            <v>5430</v>
          </cell>
        </row>
        <row r="1131">
          <cell r="A1131">
            <v>1131</v>
          </cell>
          <cell r="B1131">
            <v>46238</v>
          </cell>
          <cell r="C1131" t="str">
            <v>MERCERDES-BENZ S350</v>
          </cell>
          <cell r="D1131" t="str">
            <v>MERCERDES-BENZ</v>
          </cell>
          <cell r="E1131" t="str">
            <v>S350</v>
          </cell>
          <cell r="G1131" t="str">
            <v>18머0869</v>
          </cell>
          <cell r="H1131" t="str">
            <v>WDDUF3DB8GA266566</v>
          </cell>
          <cell r="I1131">
            <v>46239</v>
          </cell>
          <cell r="J1131" t="str">
            <v>㈜스카이모터스</v>
          </cell>
          <cell r="L1131" t="str">
            <v>잔금</v>
          </cell>
          <cell r="M1131" t="str">
            <v>50만원 대표님 계약</v>
          </cell>
          <cell r="N1131">
            <v>1900</v>
          </cell>
          <cell r="P1131">
            <v>0</v>
          </cell>
          <cell r="Q1131" t="str">
            <v>done</v>
          </cell>
          <cell r="R1131" t="str">
            <v>CON 12</v>
          </cell>
          <cell r="S1131" t="str">
            <v>DAX IMPORT</v>
          </cell>
          <cell r="T1131" t="str">
            <v xml:space="preserve">Michael Karl  </v>
          </cell>
          <cell r="U1131" t="str">
            <v>LF9N8WZ16</v>
          </cell>
          <cell r="V1131" t="str">
            <v>‪+49 471 94189050‬</v>
          </cell>
          <cell r="W1131" t="str">
            <v xml:space="preserve">Dorfstr,33C,(82024) Taufkirchen, Germany </v>
          </cell>
          <cell r="X1131">
            <v>1442</v>
          </cell>
          <cell r="AB1131">
            <v>1642</v>
          </cell>
          <cell r="AC1131">
            <v>11140</v>
          </cell>
          <cell r="AF1131">
            <v>11320</v>
          </cell>
        </row>
        <row r="1132">
          <cell r="A1132">
            <v>1132</v>
          </cell>
          <cell r="B1132">
            <v>46238</v>
          </cell>
          <cell r="C1132" t="str">
            <v>BENZ E220D</v>
          </cell>
          <cell r="D1132" t="str">
            <v>BENZ</v>
          </cell>
          <cell r="E1132" t="str">
            <v>E220D</v>
          </cell>
          <cell r="G1132" t="str">
            <v>294러6850</v>
          </cell>
          <cell r="H1132" t="str">
            <v>W1KZF0FB7NB018026</v>
          </cell>
          <cell r="I1132">
            <v>46239</v>
          </cell>
          <cell r="J1132" t="str">
            <v>㈜카리브 모터스</v>
          </cell>
          <cell r="L1132" t="str">
            <v>잔금</v>
          </cell>
          <cell r="M1132" t="str">
            <v>100만원 회사 통장</v>
          </cell>
          <cell r="N1132">
            <v>3450</v>
          </cell>
          <cell r="P1132">
            <v>0</v>
          </cell>
          <cell r="Q1132" t="str">
            <v>done</v>
          </cell>
          <cell r="R1132">
            <v>46240</v>
          </cell>
          <cell r="S1132" t="str">
            <v>EASY DRIVE 🇧🇬</v>
          </cell>
          <cell r="T1132" t="str">
            <v>Easy Drive LTD</v>
          </cell>
          <cell r="U1132">
            <v>206557008</v>
          </cell>
          <cell r="V1132" t="str">
            <v>359 89 936 8386</v>
          </cell>
          <cell r="W1132" t="str">
            <v>ul. Sokolna 47
1444 Sofia
Bulgaria</v>
          </cell>
          <cell r="AC1132">
            <v>32953800</v>
          </cell>
          <cell r="AE1132">
            <v>33253800</v>
          </cell>
        </row>
        <row r="1133">
          <cell r="A1133">
            <v>1133</v>
          </cell>
          <cell r="B1133">
            <v>46238</v>
          </cell>
          <cell r="C1133" t="str">
            <v>AUDI A6</v>
          </cell>
          <cell r="D1133" t="str">
            <v>AUDI</v>
          </cell>
          <cell r="E1133" t="str">
            <v>A6</v>
          </cell>
          <cell r="G1133" t="str">
            <v>51보6580</v>
          </cell>
          <cell r="H1133" t="str">
            <v>WAUZZZ4G7JN073795</v>
          </cell>
          <cell r="I1133">
            <v>46241</v>
          </cell>
          <cell r="J1133" t="str">
            <v>㈜더 좋은차</v>
          </cell>
          <cell r="L1133" t="str">
            <v>잔금</v>
          </cell>
          <cell r="M1133" t="str">
            <v>50만원 대표님 계약</v>
          </cell>
          <cell r="N1133">
            <v>1570</v>
          </cell>
          <cell r="P1133">
            <v>0</v>
          </cell>
          <cell r="Q1133" t="str">
            <v>DONE</v>
          </cell>
          <cell r="R1133">
            <v>46248</v>
          </cell>
          <cell r="S1133" t="str">
            <v>DONI</v>
          </cell>
          <cell r="T1133" t="str">
            <v>DONI</v>
          </cell>
          <cell r="U1133">
            <v>933682</v>
          </cell>
          <cell r="V1133" t="str">
            <v>3 8 3 4 9 3 2 5 7 0 3</v>
          </cell>
          <cell r="W1133" t="str">
            <v xml:space="preserve"> HYZRI TALLA OB 16 HY 1 NR 18
 Kosovë</v>
          </cell>
          <cell r="X1133">
            <v>1414</v>
          </cell>
          <cell r="AB1133">
            <v>1631</v>
          </cell>
          <cell r="AC1133">
            <v>9288</v>
          </cell>
          <cell r="AD1133">
            <v>1682</v>
          </cell>
          <cell r="AE1133">
            <v>10970</v>
          </cell>
        </row>
        <row r="1134">
          <cell r="A1134">
            <v>1134</v>
          </cell>
          <cell r="B1134">
            <v>46238</v>
          </cell>
          <cell r="C1134" t="str">
            <v>BENZ E220</v>
          </cell>
          <cell r="D1134" t="str">
            <v>BENZ</v>
          </cell>
          <cell r="E1134" t="str">
            <v>E220</v>
          </cell>
          <cell r="G1134" t="str">
            <v>53나2526</v>
          </cell>
          <cell r="H1134" t="str">
            <v>WDD1J1EB2HF028740</v>
          </cell>
          <cell r="I1134">
            <v>46246</v>
          </cell>
          <cell r="J1134" t="str">
            <v>㈜카베이</v>
          </cell>
          <cell r="L1134" t="str">
            <v>잔금</v>
          </cell>
          <cell r="M1134" t="str">
            <v>50만원 대표님 계약</v>
          </cell>
          <cell r="N1134">
            <v>1894</v>
          </cell>
          <cell r="P1134">
            <v>0</v>
          </cell>
          <cell r="Q1134" t="str">
            <v>DONE</v>
          </cell>
          <cell r="R1134">
            <v>46248</v>
          </cell>
          <cell r="S1134" t="str">
            <v>EASY DRIVE 🇧🇬</v>
          </cell>
          <cell r="T1134" t="str">
            <v>Easy Drive LTD</v>
          </cell>
          <cell r="U1134">
            <v>206557008</v>
          </cell>
          <cell r="V1134" t="str">
            <v>359 89 936 8386</v>
          </cell>
          <cell r="W1134" t="str">
            <v>ul. Sokolna 47
1444 Sofia
Bulgaria</v>
          </cell>
          <cell r="X1134">
            <v>1400</v>
          </cell>
          <cell r="AB1134">
            <v>1618</v>
          </cell>
          <cell r="AC1134">
            <v>11191</v>
          </cell>
          <cell r="AD1134">
            <v>1168</v>
          </cell>
        </row>
        <row r="1135">
          <cell r="A1135">
            <v>1135</v>
          </cell>
          <cell r="B1135">
            <v>46239</v>
          </cell>
          <cell r="C1135" t="str">
            <v>AUDI SQ5</v>
          </cell>
          <cell r="D1135" t="str">
            <v>AUDI</v>
          </cell>
          <cell r="E1135" t="str">
            <v>SQ5</v>
          </cell>
          <cell r="G1135" t="str">
            <v>20무6866</v>
          </cell>
          <cell r="H1135" t="str">
            <v>WAUZZZ8R4EA111931</v>
          </cell>
          <cell r="I1135">
            <v>46248</v>
          </cell>
          <cell r="J1135" t="str">
            <v>개인매입- 배근호 010 2937 3781</v>
          </cell>
          <cell r="L1135" t="str">
            <v>잔금</v>
          </cell>
          <cell r="M1135" t="str">
            <v>50만원 회사 통장</v>
          </cell>
          <cell r="N1135">
            <v>1380</v>
          </cell>
          <cell r="P1135">
            <v>0</v>
          </cell>
          <cell r="Q1135" t="str">
            <v>done</v>
          </cell>
          <cell r="R1135">
            <v>46253</v>
          </cell>
          <cell r="S1135" t="str">
            <v>RIZA</v>
          </cell>
          <cell r="T1135" t="str">
            <v>Riza Qosja</v>
          </cell>
          <cell r="U1135" t="str">
            <v>M33304205K</v>
          </cell>
          <cell r="V1135" t="str">
            <v>355 682769063</v>
          </cell>
          <cell r="W1135" t="str">
            <v>Albania</v>
          </cell>
          <cell r="X1135">
            <v>1414</v>
          </cell>
          <cell r="Y1135">
            <v>1687</v>
          </cell>
          <cell r="Z1135">
            <v>7545</v>
          </cell>
          <cell r="AA1135">
            <v>1705</v>
          </cell>
          <cell r="AB1135">
            <v>1631</v>
          </cell>
          <cell r="AC1135">
            <v>8181</v>
          </cell>
          <cell r="AD1135">
            <v>1769</v>
          </cell>
          <cell r="AE1135">
            <v>9950</v>
          </cell>
          <cell r="AF1135">
            <v>10250</v>
          </cell>
        </row>
        <row r="1136">
          <cell r="A1136">
            <v>1136</v>
          </cell>
          <cell r="B1136">
            <v>46239</v>
          </cell>
          <cell r="C1136" t="str">
            <v>JEEP Grand Cherokee</v>
          </cell>
          <cell r="D1136" t="str">
            <v>JEEP</v>
          </cell>
          <cell r="E1136" t="str">
            <v>Grand Cherokee</v>
          </cell>
          <cell r="G1136" t="str">
            <v>33다9901</v>
          </cell>
          <cell r="H1136" t="str">
            <v>1C4RJFCM9GC472471</v>
          </cell>
          <cell r="I1136">
            <v>46245</v>
          </cell>
          <cell r="J1136" t="str">
            <v>㈜ 청춘카</v>
          </cell>
          <cell r="L1136" t="str">
            <v>잔금</v>
          </cell>
          <cell r="M1136" t="str">
            <v>50만원 회사 통장</v>
          </cell>
          <cell r="N1136">
            <v>1030</v>
          </cell>
          <cell r="O1136">
            <v>44</v>
          </cell>
          <cell r="P1136">
            <v>0</v>
          </cell>
          <cell r="Q1136" t="str">
            <v>DONE</v>
          </cell>
          <cell r="R1136">
            <v>46248</v>
          </cell>
          <cell r="S1136" t="str">
            <v>DONI</v>
          </cell>
          <cell r="T1136" t="str">
            <v>DONI</v>
          </cell>
          <cell r="U1136">
            <v>933682</v>
          </cell>
          <cell r="V1136" t="str">
            <v>3 8 3 4 9 3 2 5 7 0 3</v>
          </cell>
          <cell r="W1136" t="str">
            <v xml:space="preserve"> HYZRI TALLA OB 16 HY 1 NR 18
 Kosovë</v>
          </cell>
          <cell r="X1136">
            <v>1414</v>
          </cell>
          <cell r="AB1136">
            <v>1631</v>
          </cell>
          <cell r="AC1136">
            <v>6395</v>
          </cell>
          <cell r="AD1136">
            <v>1855</v>
          </cell>
          <cell r="AE1136">
            <v>8250</v>
          </cell>
        </row>
        <row r="1137">
          <cell r="A1137">
            <v>1137</v>
          </cell>
          <cell r="B1137">
            <v>46239</v>
          </cell>
          <cell r="C1137" t="str">
            <v>BENZ CLS350</v>
          </cell>
          <cell r="D1137" t="str">
            <v>BENZ</v>
          </cell>
          <cell r="E1137" t="str">
            <v>CLS350</v>
          </cell>
          <cell r="G1137" t="str">
            <v>66다0555</v>
          </cell>
          <cell r="H1137" t="str">
            <v>WDDLJ9EB7GA183061</v>
          </cell>
          <cell r="J1137" t="str">
            <v>경매장 - AJ</v>
          </cell>
          <cell r="L1137" t="str">
            <v>잔금</v>
          </cell>
          <cell r="N1137">
            <v>1160</v>
          </cell>
          <cell r="O1137">
            <v>30</v>
          </cell>
          <cell r="P1137">
            <v>0</v>
          </cell>
          <cell r="Q1137" t="str">
            <v>done</v>
          </cell>
          <cell r="R1137">
            <v>46247</v>
          </cell>
          <cell r="S1137" t="str">
            <v xml:space="preserve">Andrea Kasa </v>
          </cell>
          <cell r="T1137" t="str">
            <v>DERVISHI ALEKSANDER</v>
          </cell>
          <cell r="U1137" t="str">
            <v>K60318052F</v>
          </cell>
          <cell r="V1137" t="str">
            <v>355 69 746 2556</v>
          </cell>
          <cell r="W1137" t="str">
            <v>Albania</v>
          </cell>
          <cell r="X1137">
            <v>1414</v>
          </cell>
          <cell r="AB1137">
            <v>1631</v>
          </cell>
          <cell r="AC1137">
            <v>7058</v>
          </cell>
          <cell r="AD1137">
            <v>1682</v>
          </cell>
          <cell r="AE1137">
            <v>8740</v>
          </cell>
          <cell r="AF1137">
            <v>9940</v>
          </cell>
        </row>
        <row r="1138">
          <cell r="A1138">
            <v>1138</v>
          </cell>
          <cell r="B1138">
            <v>46240</v>
          </cell>
          <cell r="C1138" t="str">
            <v>BMW M5</v>
          </cell>
          <cell r="D1138" t="str">
            <v>BMW</v>
          </cell>
          <cell r="E1138" t="str">
            <v>M5</v>
          </cell>
          <cell r="G1138" t="str">
            <v>107가2561</v>
          </cell>
          <cell r="H1138" t="str">
            <v xml:space="preserve">WBSFV9104FD095204 </v>
          </cell>
          <cell r="I1138">
            <v>46240</v>
          </cell>
          <cell r="L1138" t="str">
            <v>잔금</v>
          </cell>
          <cell r="P1138">
            <v>0</v>
          </cell>
          <cell r="Q1138" t="str">
            <v>done</v>
          </cell>
          <cell r="R1138" t="str">
            <v>CON 12</v>
          </cell>
          <cell r="S1138" t="str">
            <v>DAX IMPORT</v>
          </cell>
          <cell r="T1138" t="str">
            <v xml:space="preserve">Michael Karl  </v>
          </cell>
          <cell r="U1138" t="str">
            <v>LF9N8WZ16</v>
          </cell>
          <cell r="V1138" t="str">
            <v>‪+49 471 94189050‬</v>
          </cell>
          <cell r="W1138" t="str">
            <v xml:space="preserve">Dorfstr,33C,(82024) Taufkirchen, Germany </v>
          </cell>
          <cell r="X1138">
            <v>1414</v>
          </cell>
          <cell r="AB1138">
            <v>1631</v>
          </cell>
          <cell r="AC1138">
            <v>10850</v>
          </cell>
          <cell r="AF1138">
            <v>11150</v>
          </cell>
        </row>
        <row r="1139">
          <cell r="A1139">
            <v>1139</v>
          </cell>
          <cell r="B1139">
            <v>46238</v>
          </cell>
          <cell r="C1139" t="str">
            <v>BENZ S500L</v>
          </cell>
          <cell r="D1139" t="str">
            <v>BENZ</v>
          </cell>
          <cell r="E1139" t="str">
            <v>S500L</v>
          </cell>
          <cell r="G1139" t="str">
            <v>46서7879</v>
          </cell>
          <cell r="H1139" t="str">
            <v>WDDNG7BB9BA377664</v>
          </cell>
          <cell r="I1139">
            <v>46246</v>
          </cell>
          <cell r="J1139" t="str">
            <v xml:space="preserve"> ㈜스카이모터스   </v>
          </cell>
          <cell r="L1139" t="str">
            <v>잔금</v>
          </cell>
          <cell r="M1139" t="str">
            <v>50만원 대표님 계약</v>
          </cell>
          <cell r="N1139">
            <v>1004</v>
          </cell>
          <cell r="P1139">
            <v>0</v>
          </cell>
          <cell r="Q1139" t="str">
            <v>DONE</v>
          </cell>
          <cell r="R1139">
            <v>46248</v>
          </cell>
          <cell r="S1139" t="str">
            <v>EASY DRIVE 🇧🇬</v>
          </cell>
          <cell r="T1139" t="str">
            <v>Easy Drive LTD</v>
          </cell>
          <cell r="U1139">
            <v>206557008</v>
          </cell>
          <cell r="V1139" t="str">
            <v>359 89 936 8386</v>
          </cell>
          <cell r="W1139" t="str">
            <v>ul. Sokolna 47
1444 Sofia
Bulgaria</v>
          </cell>
          <cell r="X1139">
            <v>1400</v>
          </cell>
          <cell r="AB1139">
            <v>1618</v>
          </cell>
          <cell r="AC1139">
            <v>6082</v>
          </cell>
          <cell r="AD1139">
            <v>1168</v>
          </cell>
        </row>
        <row r="1140">
          <cell r="A1140">
            <v>1140</v>
          </cell>
          <cell r="B1140">
            <v>46240</v>
          </cell>
          <cell r="C1140" t="str">
            <v>HYUNDAI TUCSON</v>
          </cell>
          <cell r="D1140" t="str">
            <v>HYUNDAI</v>
          </cell>
          <cell r="E1140" t="str">
            <v>TUCSON</v>
          </cell>
          <cell r="G1140" t="str">
            <v>11서2565</v>
          </cell>
          <cell r="H1140" t="str">
            <v>KMHJ3815GGU053882</v>
          </cell>
          <cell r="I1140">
            <v>46246</v>
          </cell>
          <cell r="J1140" t="str">
            <v>㈜수호모터스</v>
          </cell>
          <cell r="L1140" t="str">
            <v>잔금</v>
          </cell>
          <cell r="M1140" t="str">
            <v>50만원 회사 통장</v>
          </cell>
          <cell r="N1140">
            <v>726</v>
          </cell>
          <cell r="O1140">
            <v>44</v>
          </cell>
          <cell r="P1140">
            <v>0</v>
          </cell>
          <cell r="Q1140" t="str">
            <v>DONE</v>
          </cell>
          <cell r="R1140">
            <v>46248</v>
          </cell>
          <cell r="S1140" t="str">
            <v>CALJA</v>
          </cell>
          <cell r="T1140" t="str">
            <v>Cela Robert</v>
          </cell>
          <cell r="U1140" t="str">
            <v>K80418009I</v>
          </cell>
          <cell r="V1140" t="str">
            <v>355 69 550 5533</v>
          </cell>
          <cell r="W1140" t="str">
            <v>Albania</v>
          </cell>
          <cell r="X1140">
            <v>1409</v>
          </cell>
          <cell r="AB1140">
            <v>1623</v>
          </cell>
          <cell r="AC1140">
            <v>4679</v>
          </cell>
          <cell r="AD1140">
            <v>1771</v>
          </cell>
          <cell r="AE1140">
            <v>6450</v>
          </cell>
          <cell r="AF1140">
            <v>6450</v>
          </cell>
        </row>
        <row r="1141">
          <cell r="A1141">
            <v>1141</v>
          </cell>
          <cell r="B1141">
            <v>46240</v>
          </cell>
          <cell r="C1141" t="str">
            <v>RANGE ROVER EVOQUE</v>
          </cell>
          <cell r="D1141" t="str">
            <v>RANGE ROVER</v>
          </cell>
          <cell r="E1141" t="str">
            <v>EVOQUE</v>
          </cell>
          <cell r="G1141" t="str">
            <v>385더3947</v>
          </cell>
          <cell r="H1141" t="str">
            <v>SALVA2BE3FH029521</v>
          </cell>
          <cell r="I1141">
            <v>46248</v>
          </cell>
          <cell r="J1141" t="str">
            <v>㈜에스클래스</v>
          </cell>
          <cell r="L1141" t="str">
            <v>잔금</v>
          </cell>
          <cell r="M1141" t="str">
            <v>50만원 대표님 계약</v>
          </cell>
          <cell r="N1141">
            <v>720</v>
          </cell>
          <cell r="P1141">
            <v>0</v>
          </cell>
          <cell r="Q1141" t="str">
            <v>done</v>
          </cell>
          <cell r="R1141">
            <v>46253</v>
          </cell>
          <cell r="S1141" t="str">
            <v>AlphaWorldWide</v>
          </cell>
          <cell r="T1141" t="str">
            <v>AlphaWorldWideAlbania</v>
          </cell>
          <cell r="U1141" t="str">
            <v>SN-619176-11-19</v>
          </cell>
          <cell r="V1141" t="str">
            <v>355 69223 3416</v>
          </cell>
          <cell r="W1141" t="str">
            <v xml:space="preserve">Durres, Durres, DURRES, Lagjja nr.11, Rruga Bulevardi, me siperfaqe 30m2 </v>
          </cell>
          <cell r="X1141">
            <v>1409</v>
          </cell>
          <cell r="AB1141">
            <v>1623</v>
          </cell>
          <cell r="AC1141">
            <v>4409</v>
          </cell>
          <cell r="AD1141">
            <v>1771</v>
          </cell>
          <cell r="AE1141">
            <v>6180</v>
          </cell>
          <cell r="AF1141">
            <v>6180</v>
          </cell>
        </row>
        <row r="1142">
          <cell r="A1142">
            <v>1142</v>
          </cell>
          <cell r="B1142">
            <v>46244</v>
          </cell>
          <cell r="C1142" t="str">
            <v>BENZ E200</v>
          </cell>
          <cell r="D1142" t="str">
            <v>BENZ</v>
          </cell>
          <cell r="E1142" t="str">
            <v>E200</v>
          </cell>
          <cell r="G1142" t="str">
            <v>67도4322</v>
          </cell>
          <cell r="H1142" t="str">
            <v>WDDZF4CB1HA118449</v>
          </cell>
          <cell r="I1142">
            <v>46246</v>
          </cell>
          <cell r="J1142" t="str">
            <v>㈜준모터스</v>
          </cell>
          <cell r="L1142" t="str">
            <v>잔금</v>
          </cell>
          <cell r="M1142" t="str">
            <v>50만원 대표님 계약</v>
          </cell>
          <cell r="N1142">
            <v>1360</v>
          </cell>
          <cell r="P1142">
            <v>0</v>
          </cell>
          <cell r="Q1142" t="str">
            <v>DONE</v>
          </cell>
          <cell r="R1142">
            <v>46248</v>
          </cell>
          <cell r="S1142" t="str">
            <v>EASY DRIVE 🇧🇬</v>
          </cell>
          <cell r="T1142" t="str">
            <v>Easy Drive LTD</v>
          </cell>
          <cell r="U1142">
            <v>206557008</v>
          </cell>
          <cell r="V1142" t="str">
            <v>359 89 936 8386</v>
          </cell>
          <cell r="W1142" t="str">
            <v>ul. Sokolna 47
1444 Sofia
Bulgaria</v>
          </cell>
          <cell r="X1142">
            <v>1400</v>
          </cell>
          <cell r="AB1142">
            <v>1618</v>
          </cell>
          <cell r="AC1142">
            <v>8034</v>
          </cell>
          <cell r="AD1142">
            <v>1168</v>
          </cell>
          <cell r="AF1142">
            <v>12998800</v>
          </cell>
        </row>
        <row r="1143">
          <cell r="A1143">
            <v>1143</v>
          </cell>
          <cell r="B1143">
            <v>46244</v>
          </cell>
          <cell r="C1143" t="str">
            <v>HYUNDAI  SONATA</v>
          </cell>
          <cell r="D1143" t="str">
            <v xml:space="preserve">HYUNDAI </v>
          </cell>
          <cell r="E1143" t="str">
            <v>SONATA</v>
          </cell>
          <cell r="G1143" t="str">
            <v>111로9356</v>
          </cell>
          <cell r="H1143" t="str">
            <v>KMHE341DBJA387730</v>
          </cell>
          <cell r="I1143">
            <v>46247</v>
          </cell>
          <cell r="J1143" t="str">
            <v>㈜신한 모터스</v>
          </cell>
          <cell r="L1143" t="str">
            <v>잔금</v>
          </cell>
          <cell r="M1143" t="str">
            <v>50만원 대표님 계약</v>
          </cell>
          <cell r="N1143">
            <v>670</v>
          </cell>
          <cell r="P1143">
            <v>0</v>
          </cell>
          <cell r="Q1143" t="str">
            <v>done</v>
          </cell>
          <cell r="R1143" t="str">
            <v>28/08/2026</v>
          </cell>
          <cell r="S1143" t="str">
            <v>CALJA</v>
          </cell>
          <cell r="T1143" t="str">
            <v>Qosja Sokol</v>
          </cell>
          <cell r="U1143" t="str">
            <v>H60501027L</v>
          </cell>
          <cell r="V1143" t="str">
            <v>355 69 550 5533</v>
          </cell>
          <cell r="W1143" t="str">
            <v>Albania</v>
          </cell>
          <cell r="X1143">
            <v>1409</v>
          </cell>
          <cell r="AB1143">
            <v>1623</v>
          </cell>
          <cell r="AC1143">
            <v>4100</v>
          </cell>
          <cell r="AD1143">
            <v>1700</v>
          </cell>
          <cell r="AE1143">
            <v>5800</v>
          </cell>
          <cell r="AF1143">
            <v>6700</v>
          </cell>
        </row>
        <row r="1144">
          <cell r="A1144">
            <v>1144</v>
          </cell>
          <cell r="B1144">
            <v>46244</v>
          </cell>
          <cell r="C1144" t="str">
            <v>BENZ CLS 350</v>
          </cell>
          <cell r="D1144" t="str">
            <v>BENZ</v>
          </cell>
          <cell r="E1144" t="str">
            <v>CLS 350</v>
          </cell>
          <cell r="G1144" t="str">
            <v>192더2567</v>
          </cell>
          <cell r="H1144" t="str">
            <v>WDDLJ9EB7GA178930</v>
          </cell>
          <cell r="I1144">
            <v>46247</v>
          </cell>
          <cell r="J1144" t="str">
            <v>㈜오토베이</v>
          </cell>
          <cell r="L1144" t="str">
            <v>잔금</v>
          </cell>
          <cell r="M1144" t="str">
            <v>50만원 대표님 계약</v>
          </cell>
          <cell r="N1144">
            <v>1560</v>
          </cell>
          <cell r="P1144">
            <v>0</v>
          </cell>
          <cell r="Q1144" t="str">
            <v>done</v>
          </cell>
          <cell r="R1144">
            <v>46253</v>
          </cell>
          <cell r="S1144" t="str">
            <v>ATLAS GROUP SH.P.K</v>
          </cell>
          <cell r="T1144" t="str">
            <v>ATLAS GROUP SH.P.K</v>
          </cell>
          <cell r="U1144">
            <v>812137455</v>
          </cell>
          <cell r="V1144" t="str">
            <v>+38348702207</v>
          </cell>
          <cell r="W1144" t="str">
            <v>Xhelal Hajda, p.n. Rahovec</v>
          </cell>
          <cell r="AC1144">
            <v>9258</v>
          </cell>
          <cell r="AD1144">
            <v>1682</v>
          </cell>
          <cell r="AE1144">
            <v>10940</v>
          </cell>
        </row>
        <row r="1145">
          <cell r="A1145">
            <v>1145</v>
          </cell>
          <cell r="B1145">
            <v>46244</v>
          </cell>
          <cell r="C1145" t="str">
            <v>HYUNDAI  ACCORD 1.5T</v>
          </cell>
          <cell r="D1145" t="str">
            <v xml:space="preserve">HYUNDAI </v>
          </cell>
          <cell r="E1145" t="str">
            <v>ACCORD 1.5T</v>
          </cell>
          <cell r="G1145" t="str">
            <v>06더4115</v>
          </cell>
          <cell r="H1145" t="str">
            <v>1HGCV1650JA511103</v>
          </cell>
          <cell r="I1145">
            <v>46252</v>
          </cell>
          <cell r="J1145" t="str">
            <v>㈜제이와이무역</v>
          </cell>
          <cell r="L1145" t="str">
            <v>잔금</v>
          </cell>
          <cell r="M1145" t="str">
            <v>50만원 대표님 계약</v>
          </cell>
          <cell r="N1145">
            <v>1354</v>
          </cell>
          <cell r="P1145">
            <v>0</v>
          </cell>
          <cell r="Q1145" t="str">
            <v>done</v>
          </cell>
          <cell r="R1145" t="str">
            <v>CON12</v>
          </cell>
          <cell r="S1145" t="str">
            <v>EASY DRIVE 🇧🇬</v>
          </cell>
          <cell r="T1145" t="str">
            <v>Easy Drive LTD</v>
          </cell>
          <cell r="U1145">
            <v>206557008</v>
          </cell>
          <cell r="V1145" t="str">
            <v>359 89 936 8386</v>
          </cell>
          <cell r="W1145" t="str">
            <v>ul. Sokolna 47
1444 Sofia
Bulgaria</v>
          </cell>
          <cell r="AC1145">
            <v>12950500</v>
          </cell>
        </row>
        <row r="1146">
          <cell r="A1146">
            <v>1146</v>
          </cell>
          <cell r="B1146">
            <v>46244</v>
          </cell>
          <cell r="C1146" t="str">
            <v>AUDI A8</v>
          </cell>
          <cell r="D1146" t="str">
            <v>AUDI</v>
          </cell>
          <cell r="E1146" t="str">
            <v>A8</v>
          </cell>
          <cell r="G1146" t="str">
            <v>57어2000</v>
          </cell>
          <cell r="H1146" t="str">
            <v>WAUZZZ4H2EN007766</v>
          </cell>
          <cell r="I1146">
            <v>46246</v>
          </cell>
          <cell r="J1146" t="str">
            <v>㈜동아엠스엠씨</v>
          </cell>
          <cell r="L1146" t="str">
            <v>잔금</v>
          </cell>
          <cell r="M1146" t="str">
            <v>50만원 대표님 계약</v>
          </cell>
          <cell r="N1146">
            <v>940</v>
          </cell>
          <cell r="P1146">
            <v>0</v>
          </cell>
          <cell r="Q1146" t="str">
            <v>DONE</v>
          </cell>
          <cell r="R1146">
            <v>46248</v>
          </cell>
          <cell r="S1146" t="str">
            <v>CALJA</v>
          </cell>
          <cell r="T1146" t="str">
            <v>ERNESTO BULLARI</v>
          </cell>
          <cell r="U1146" t="str">
            <v>K60726019Q</v>
          </cell>
          <cell r="V1146" t="str">
            <v>355 69 550 5533</v>
          </cell>
          <cell r="W1146" t="str">
            <v>Albania</v>
          </cell>
          <cell r="X1146">
            <v>1409</v>
          </cell>
          <cell r="AB1146">
            <v>1623</v>
          </cell>
          <cell r="AC1146">
            <v>5729</v>
          </cell>
          <cell r="AD1146">
            <v>1771</v>
          </cell>
          <cell r="AE1146">
            <v>7500</v>
          </cell>
          <cell r="AF1146">
            <v>7800</v>
          </cell>
        </row>
        <row r="1147">
          <cell r="A1147">
            <v>1147</v>
          </cell>
          <cell r="B1147">
            <v>46244</v>
          </cell>
          <cell r="C1147" t="str">
            <v>RENAULT QM3</v>
          </cell>
          <cell r="D1147" t="str">
            <v>RENAULT</v>
          </cell>
          <cell r="E1147" t="str">
            <v>QM3</v>
          </cell>
          <cell r="G1147" t="str">
            <v>69주0535</v>
          </cell>
          <cell r="H1147" t="str">
            <v>VF12RGJ1DGW105494</v>
          </cell>
          <cell r="I1147">
            <v>46246</v>
          </cell>
          <cell r="J1147" t="str">
            <v>㈜원스타</v>
          </cell>
          <cell r="L1147" t="str">
            <v>잔금</v>
          </cell>
          <cell r="M1147" t="str">
            <v>50만원 대표님 계약</v>
          </cell>
          <cell r="N1147">
            <v>560</v>
          </cell>
          <cell r="P1147">
            <v>0</v>
          </cell>
          <cell r="Q1147" t="str">
            <v>DONE</v>
          </cell>
          <cell r="R1147">
            <v>46248</v>
          </cell>
          <cell r="S1147" t="str">
            <v>R.S.h L.L.C.</v>
          </cell>
          <cell r="T1147" t="str">
            <v>R.Sh L.L.C.</v>
          </cell>
          <cell r="U1147">
            <v>812326016</v>
          </cell>
          <cell r="V1147" t="str">
            <v>+383486 611 61</v>
          </cell>
          <cell r="W1147" t="str">
            <v>Kosovo</v>
          </cell>
          <cell r="X1147">
            <v>1398</v>
          </cell>
          <cell r="AB1147">
            <v>1612</v>
          </cell>
          <cell r="AC1147">
            <v>3541</v>
          </cell>
          <cell r="AD1147">
            <v>1769</v>
          </cell>
          <cell r="AE1147">
            <v>5310</v>
          </cell>
          <cell r="AF1147">
            <v>5230</v>
          </cell>
        </row>
        <row r="1148">
          <cell r="A1148">
            <v>1148</v>
          </cell>
          <cell r="B1148">
            <v>46244</v>
          </cell>
          <cell r="C1148" t="str">
            <v>Maserati Ghibli Diesel</v>
          </cell>
          <cell r="D1148" t="str">
            <v>Maserati</v>
          </cell>
          <cell r="E1148" t="str">
            <v>Ghibli Diesel</v>
          </cell>
          <cell r="G1148" t="str">
            <v>365러9936</v>
          </cell>
          <cell r="H1148" t="str">
            <v>ZAM57TSA3G1170961</v>
          </cell>
          <cell r="I1148">
            <v>46247</v>
          </cell>
          <cell r="J1148" t="str">
            <v>㈜바른모터스</v>
          </cell>
          <cell r="L1148" t="str">
            <v>잔금</v>
          </cell>
          <cell r="M1148" t="str">
            <v>50만원 대표님 계약</v>
          </cell>
          <cell r="N1148">
            <v>890</v>
          </cell>
          <cell r="O1148">
            <v>44</v>
          </cell>
          <cell r="P1148">
            <v>0</v>
          </cell>
          <cell r="Q1148" t="str">
            <v>done</v>
          </cell>
          <cell r="R1148">
            <v>46253</v>
          </cell>
          <cell r="S1148" t="str">
            <v>CALJA</v>
          </cell>
          <cell r="T1148" t="str">
            <v>Calja Marius</v>
          </cell>
          <cell r="U1148" t="str">
            <v>J70807019Q</v>
          </cell>
          <cell r="V1148" t="str">
            <v>355 69 550 5533</v>
          </cell>
          <cell r="W1148" t="str">
            <v>Albania</v>
          </cell>
          <cell r="AC1148">
            <v>7350</v>
          </cell>
          <cell r="AE1148">
            <v>7350</v>
          </cell>
          <cell r="AF1148">
            <v>7350</v>
          </cell>
        </row>
        <row r="1149">
          <cell r="A1149">
            <v>1149</v>
          </cell>
          <cell r="B1149">
            <v>46244</v>
          </cell>
          <cell r="C1149" t="str">
            <v>KIA K9</v>
          </cell>
          <cell r="D1149" t="str">
            <v>KIA</v>
          </cell>
          <cell r="E1149" t="str">
            <v>K9</v>
          </cell>
          <cell r="G1149" t="str">
            <v>162마2063</v>
          </cell>
          <cell r="H1149" t="str">
            <v>KNAS2418DLS022411</v>
          </cell>
          <cell r="I1149">
            <v>46246</v>
          </cell>
          <cell r="J1149" t="str">
            <v>㈜광현</v>
          </cell>
          <cell r="L1149" t="str">
            <v>잔금</v>
          </cell>
          <cell r="M1149" t="str">
            <v>50만원 회사 통장</v>
          </cell>
          <cell r="N1149">
            <v>1930</v>
          </cell>
          <cell r="P1149">
            <v>0</v>
          </cell>
          <cell r="Q1149" t="str">
            <v>DONE</v>
          </cell>
          <cell r="R1149">
            <v>46248</v>
          </cell>
          <cell r="S1149" t="str">
            <v>EASY DRIVE 🇧🇬</v>
          </cell>
          <cell r="T1149" t="str">
            <v>Easy Drive LTD</v>
          </cell>
          <cell r="U1149">
            <v>206557008</v>
          </cell>
          <cell r="V1149" t="str">
            <v>359 89 936 8386</v>
          </cell>
          <cell r="W1149" t="str">
            <v>ul. Sokolna 47
1444 Sofia
Bulgaria</v>
          </cell>
          <cell r="X1149">
            <v>1400</v>
          </cell>
          <cell r="AB1149">
            <v>1618</v>
          </cell>
          <cell r="AC1149">
            <v>11522</v>
          </cell>
          <cell r="AD1149">
            <v>1168</v>
          </cell>
        </row>
        <row r="1150">
          <cell r="A1150">
            <v>1150</v>
          </cell>
          <cell r="B1150">
            <v>46244</v>
          </cell>
          <cell r="C1150" t="str">
            <v>BENZ E220</v>
          </cell>
          <cell r="D1150" t="str">
            <v>BENZ</v>
          </cell>
          <cell r="E1150" t="str">
            <v>E220</v>
          </cell>
          <cell r="G1150" t="str">
            <v>285도9540</v>
          </cell>
          <cell r="H1150" t="str">
            <v>W1K1J1EB9LF135938</v>
          </cell>
          <cell r="I1150">
            <v>46252</v>
          </cell>
          <cell r="J1150" t="str">
            <v>㈜예스오토</v>
          </cell>
          <cell r="L1150" t="str">
            <v>잔금</v>
          </cell>
          <cell r="M1150" t="str">
            <v>100만원 회사 통장</v>
          </cell>
          <cell r="N1150">
            <v>2914</v>
          </cell>
          <cell r="P1150">
            <v>0</v>
          </cell>
          <cell r="Q1150" t="str">
            <v>DONE</v>
          </cell>
          <cell r="R1150" t="str">
            <v>REPORT DONE</v>
          </cell>
          <cell r="S1150" t="str">
            <v>Avendor Auto</v>
          </cell>
          <cell r="T1150" t="str">
            <v>ISUFI FESTIM</v>
          </cell>
          <cell r="U1150" t="str">
            <v>2838236</v>
          </cell>
          <cell r="V1150">
            <v>38348480119</v>
          </cell>
          <cell r="W1150" t="str">
            <v>Kosovo</v>
          </cell>
          <cell r="AC1150">
            <v>17350</v>
          </cell>
          <cell r="AD1150">
            <v>1600</v>
          </cell>
          <cell r="AE1150">
            <v>18950</v>
          </cell>
          <cell r="AF1150">
            <v>4370</v>
          </cell>
        </row>
        <row r="1151">
          <cell r="A1151">
            <v>1151</v>
          </cell>
          <cell r="B1151">
            <v>46244</v>
          </cell>
          <cell r="C1151" t="str">
            <v>HYUNDAI  SONATA</v>
          </cell>
          <cell r="D1151" t="str">
            <v xml:space="preserve">HYUNDAI </v>
          </cell>
          <cell r="E1151" t="str">
            <v>SONATA</v>
          </cell>
          <cell r="G1151" t="str">
            <v>325러8408</v>
          </cell>
          <cell r="H1151" t="str">
            <v>KMHE341DBFA014458</v>
          </cell>
          <cell r="I1151">
            <v>46252</v>
          </cell>
          <cell r="J1151" t="str">
            <v>㈜브라더샵</v>
          </cell>
          <cell r="L1151" t="str">
            <v>잔금</v>
          </cell>
          <cell r="M1151" t="str">
            <v>50만원 회사 통장</v>
          </cell>
          <cell r="N1151">
            <v>355</v>
          </cell>
          <cell r="P1151">
            <v>0</v>
          </cell>
          <cell r="Q1151" t="str">
            <v>done</v>
          </cell>
          <cell r="R1151" t="str">
            <v>28/08/2026</v>
          </cell>
          <cell r="S1151" t="str">
            <v>HYSA</v>
          </cell>
          <cell r="T1151" t="str">
            <v>HYSA KRISELA</v>
          </cell>
          <cell r="U1151" t="str">
            <v>J95606012H</v>
          </cell>
          <cell r="V1151" t="str">
            <v>355 69 690 2972</v>
          </cell>
          <cell r="W1151" t="str">
            <v>Albania</v>
          </cell>
          <cell r="X1151">
            <v>1400</v>
          </cell>
          <cell r="AB1151">
            <v>1618</v>
          </cell>
          <cell r="AC1151">
            <v>2321</v>
          </cell>
          <cell r="AD1151">
            <v>1679</v>
          </cell>
          <cell r="AE1151">
            <v>4000</v>
          </cell>
          <cell r="AF1151">
            <v>4000</v>
          </cell>
        </row>
        <row r="1152">
          <cell r="A1152">
            <v>1152</v>
          </cell>
          <cell r="B1152">
            <v>46245</v>
          </cell>
          <cell r="C1152" t="str">
            <v>BMW 530I</v>
          </cell>
          <cell r="D1152" t="str">
            <v>BMW</v>
          </cell>
          <cell r="E1152" t="str">
            <v>530I</v>
          </cell>
          <cell r="G1152" t="str">
            <v>07조8123</v>
          </cell>
          <cell r="H1152" t="str">
            <v>WBAJD310XHWA90453</v>
          </cell>
          <cell r="I1152">
            <v>46246</v>
          </cell>
          <cell r="J1152" t="str">
            <v>㈜수원오토월드</v>
          </cell>
          <cell r="L1152" t="str">
            <v>잔금</v>
          </cell>
          <cell r="M1152" t="str">
            <v>100만원 대표님 계약</v>
          </cell>
          <cell r="N1152">
            <v>2020</v>
          </cell>
          <cell r="P1152">
            <v>0</v>
          </cell>
          <cell r="Q1152" t="str">
            <v>DONE</v>
          </cell>
          <cell r="R1152">
            <v>46248</v>
          </cell>
          <cell r="S1152" t="str">
            <v>R.S.h L.L.C.</v>
          </cell>
          <cell r="T1152" t="str">
            <v>R.Sh L.L.C.</v>
          </cell>
          <cell r="U1152">
            <v>812326016</v>
          </cell>
          <cell r="V1152" t="str">
            <v>+383486 611 61</v>
          </cell>
          <cell r="W1152" t="str">
            <v>Kosovo</v>
          </cell>
          <cell r="X1152">
            <v>1398</v>
          </cell>
          <cell r="AB1152">
            <v>1612</v>
          </cell>
          <cell r="AC1152">
            <v>11931</v>
          </cell>
          <cell r="AD1152">
            <v>1769</v>
          </cell>
          <cell r="AE1152">
            <v>13700</v>
          </cell>
          <cell r="AF1152">
            <v>13630</v>
          </cell>
        </row>
        <row r="1153">
          <cell r="A1153">
            <v>1153</v>
          </cell>
          <cell r="B1153">
            <v>46245</v>
          </cell>
          <cell r="C1153" t="str">
            <v>HYUNDAI  TUCSON</v>
          </cell>
          <cell r="D1153" t="str">
            <v xml:space="preserve">HYUNDAI </v>
          </cell>
          <cell r="E1153" t="str">
            <v>TUCSON</v>
          </cell>
          <cell r="G1153" t="str">
            <v>258저1900</v>
          </cell>
          <cell r="H1153" t="str">
            <v xml:space="preserve">KMHJE81CBMU006802 </v>
          </cell>
          <cell r="I1153">
            <v>46247</v>
          </cell>
          <cell r="J1153" t="str">
            <v>㈜유정모터스</v>
          </cell>
          <cell r="L1153" t="str">
            <v>잔금</v>
          </cell>
          <cell r="N1153">
            <v>1600</v>
          </cell>
          <cell r="P1153">
            <v>0</v>
          </cell>
          <cell r="Q1153" t="str">
            <v>done</v>
          </cell>
          <cell r="R1153">
            <v>46253</v>
          </cell>
          <cell r="S1153" t="str">
            <v>CALJA</v>
          </cell>
          <cell r="T1153" t="str">
            <v>KURTI DRITAN</v>
          </cell>
          <cell r="U1153" t="str">
            <v>H80104051M</v>
          </cell>
          <cell r="V1153" t="str">
            <v>355 69 550 5533</v>
          </cell>
          <cell r="W1153" t="str">
            <v>Albania</v>
          </cell>
          <cell r="X1153">
            <v>1401</v>
          </cell>
          <cell r="AB1153">
            <v>1616</v>
          </cell>
          <cell r="AC1153">
            <v>9531</v>
          </cell>
          <cell r="AD1153">
            <v>1769</v>
          </cell>
          <cell r="AE1153">
            <v>11300</v>
          </cell>
          <cell r="AF1153">
            <v>12300</v>
          </cell>
        </row>
        <row r="1154">
          <cell r="A1154">
            <v>1154</v>
          </cell>
          <cell r="B1154">
            <v>46245</v>
          </cell>
          <cell r="C1154" t="str">
            <v>Volkswagen Jetta</v>
          </cell>
          <cell r="D1154" t="str">
            <v>Volkswagen</v>
          </cell>
          <cell r="E1154" t="str">
            <v>Jetta</v>
          </cell>
          <cell r="G1154" t="str">
            <v>02구0111</v>
          </cell>
          <cell r="H1154" t="str">
            <v>WVWZZZ16ZGM018637</v>
          </cell>
          <cell r="I1154">
            <v>46247</v>
          </cell>
          <cell r="J1154" t="str">
            <v>㈜인하모터스</v>
          </cell>
          <cell r="L1154" t="str">
            <v>잔금</v>
          </cell>
          <cell r="M1154" t="str">
            <v>50만원 회사 통장</v>
          </cell>
          <cell r="N1154">
            <v>914</v>
          </cell>
          <cell r="P1154">
            <v>0</v>
          </cell>
          <cell r="Q1154" t="str">
            <v>DONE</v>
          </cell>
          <cell r="R1154">
            <v>46248</v>
          </cell>
          <cell r="S1154" t="str">
            <v>ATLAS GROUP SH.P.K</v>
          </cell>
          <cell r="T1154" t="str">
            <v>ATLAS GROUP SH.P.K</v>
          </cell>
          <cell r="U1154">
            <v>812137455</v>
          </cell>
          <cell r="V1154" t="str">
            <v>+38348702207</v>
          </cell>
          <cell r="W1154" t="str">
            <v>Xhelal Hajda, p.n. Rahovec</v>
          </cell>
          <cell r="X1154">
            <v>1401</v>
          </cell>
          <cell r="AB1154">
            <v>1616</v>
          </cell>
          <cell r="AC1154">
            <v>5538</v>
          </cell>
          <cell r="AD1154">
            <v>1682</v>
          </cell>
          <cell r="AE1154">
            <v>7220</v>
          </cell>
        </row>
        <row r="1155">
          <cell r="A1155">
            <v>1155</v>
          </cell>
          <cell r="B1155">
            <v>46245</v>
          </cell>
          <cell r="C1155" t="str">
            <v>PEUGEOT  308 1.6 BlueHDi</v>
          </cell>
          <cell r="D1155" t="str">
            <v xml:space="preserve">PEUGEOT </v>
          </cell>
          <cell r="E1155" t="str">
            <v>308 1.6 BlueHDi</v>
          </cell>
          <cell r="G1155" t="str">
            <v>10서1542</v>
          </cell>
          <cell r="H1155" t="str">
            <v>VF3LBBHZWHS001916</v>
          </cell>
          <cell r="I1155">
            <v>46247</v>
          </cell>
          <cell r="J1155" t="str">
            <v>㈜경매장 -헤이딜러</v>
          </cell>
          <cell r="L1155" t="str">
            <v>잔금</v>
          </cell>
          <cell r="M1155" t="str">
            <v>헤이딜러 464, 빽 30만. 토탈 434</v>
          </cell>
          <cell r="N1155">
            <v>434</v>
          </cell>
          <cell r="P1155">
            <v>0</v>
          </cell>
          <cell r="Q1155" t="str">
            <v>done</v>
          </cell>
          <cell r="R1155">
            <v>46253</v>
          </cell>
          <cell r="S1155" t="str">
            <v>Auto Posh SH.P.K</v>
          </cell>
          <cell r="T1155" t="str">
            <v>Auto Posh SH.P.K</v>
          </cell>
          <cell r="U1155">
            <v>812219427</v>
          </cell>
          <cell r="V1155" t="str">
            <v>38345560145</v>
          </cell>
          <cell r="W1155" t="str">
            <v>KOSOVO</v>
          </cell>
          <cell r="X1155">
            <v>1398</v>
          </cell>
          <cell r="AB1155">
            <v>1612</v>
          </cell>
          <cell r="AC1155">
            <v>2781</v>
          </cell>
          <cell r="AD1155">
            <v>1769</v>
          </cell>
          <cell r="AE1155">
            <v>4550</v>
          </cell>
        </row>
        <row r="1156">
          <cell r="A1156">
            <v>1156</v>
          </cell>
          <cell r="B1156">
            <v>46246</v>
          </cell>
          <cell r="C1156" t="str">
            <v>Volkswagen Tiguan Allspace</v>
          </cell>
          <cell r="D1156" t="str">
            <v>Volkswagen</v>
          </cell>
          <cell r="E1156" t="str">
            <v>Tiguan Allspace</v>
          </cell>
          <cell r="G1156" t="str">
            <v>66로2213</v>
          </cell>
          <cell r="H1156" t="str">
            <v>WVGZZZ5NZJM171206</v>
          </cell>
          <cell r="I1156">
            <v>46247</v>
          </cell>
          <cell r="L1156" t="str">
            <v>잔금</v>
          </cell>
          <cell r="M1156" t="str">
            <v>50만원 대표님 계약</v>
          </cell>
          <cell r="N1156">
            <v>1840</v>
          </cell>
          <cell r="P1156">
            <v>0</v>
          </cell>
          <cell r="Q1156" t="str">
            <v>DONE</v>
          </cell>
          <cell r="R1156">
            <v>46248</v>
          </cell>
          <cell r="S1156" t="str">
            <v>ATLAS GROUP SH.P.K</v>
          </cell>
          <cell r="T1156" t="str">
            <v>ATLAS GROUP SH.P.K</v>
          </cell>
          <cell r="U1156">
            <v>812137455</v>
          </cell>
          <cell r="V1156" t="str">
            <v>+38348702207</v>
          </cell>
          <cell r="W1156" t="str">
            <v>Xhelal Hajda, p.n. Rahovec</v>
          </cell>
          <cell r="X1156">
            <v>1401</v>
          </cell>
          <cell r="AB1156">
            <v>1616</v>
          </cell>
          <cell r="AC1156">
            <v>10921</v>
          </cell>
          <cell r="AD1156">
            <v>1769</v>
          </cell>
          <cell r="AE1156">
            <v>12690</v>
          </cell>
        </row>
        <row r="1157">
          <cell r="A1157">
            <v>1157</v>
          </cell>
          <cell r="B1157">
            <v>46246</v>
          </cell>
          <cell r="C1157" t="str">
            <v>AUDI A6</v>
          </cell>
          <cell r="D1157" t="str">
            <v>AUDI</v>
          </cell>
          <cell r="E1157" t="str">
            <v>A6</v>
          </cell>
          <cell r="G1157" t="str">
            <v>69나0435</v>
          </cell>
          <cell r="H1157" t="str">
            <v>WAUZZZ4G3GN160649</v>
          </cell>
          <cell r="I1157">
            <v>46246</v>
          </cell>
          <cell r="J1157" t="str">
            <v>㈜경매장-현대</v>
          </cell>
          <cell r="L1157" t="str">
            <v>잔금</v>
          </cell>
          <cell r="N1157">
            <v>955</v>
          </cell>
          <cell r="O1157">
            <v>21</v>
          </cell>
          <cell r="P1157">
            <v>0</v>
          </cell>
          <cell r="Q1157" t="str">
            <v>DONE</v>
          </cell>
          <cell r="R1157">
            <v>46248</v>
          </cell>
          <cell r="S1157" t="str">
            <v>DONI</v>
          </cell>
          <cell r="T1157" t="str">
            <v>DONI</v>
          </cell>
          <cell r="U1157">
            <v>933682</v>
          </cell>
          <cell r="V1157" t="str">
            <v>3 8 3 4 9 3 2 5 7 0 3</v>
          </cell>
          <cell r="W1157" t="str">
            <v xml:space="preserve"> HYZRI TALLA OB 16 HY 1 NR 18
 Kosovë</v>
          </cell>
          <cell r="X1157">
            <v>1398</v>
          </cell>
          <cell r="AB1157">
            <v>1612</v>
          </cell>
          <cell r="AC1157">
            <v>5851</v>
          </cell>
          <cell r="AD1157">
            <v>1769</v>
          </cell>
          <cell r="AE1157">
            <v>7620</v>
          </cell>
        </row>
        <row r="1158">
          <cell r="A1158">
            <v>1158</v>
          </cell>
          <cell r="B1158">
            <v>46246</v>
          </cell>
          <cell r="C1158" t="str">
            <v>RENAULT SM6</v>
          </cell>
          <cell r="D1158" t="str">
            <v>RENAULT</v>
          </cell>
          <cell r="E1158" t="str">
            <v>SM6</v>
          </cell>
          <cell r="G1158" t="str">
            <v>34가8196</v>
          </cell>
          <cell r="H1158" t="str">
            <v>KNMA4B2LMGP003822</v>
          </cell>
          <cell r="I1158">
            <v>46247</v>
          </cell>
          <cell r="J1158" t="str">
            <v>경매장 - AJ</v>
          </cell>
          <cell r="L1158" t="str">
            <v>잔금</v>
          </cell>
          <cell r="N1158">
            <v>400</v>
          </cell>
          <cell r="O1158">
            <v>16</v>
          </cell>
          <cell r="P1158">
            <v>0</v>
          </cell>
          <cell r="Q1158" t="str">
            <v>done</v>
          </cell>
          <cell r="R1158" t="str">
            <v>CON 16</v>
          </cell>
          <cell r="S1158" t="str">
            <v>MANTAS</v>
          </cell>
          <cell r="T1158" t="str">
            <v>UAB GRALIS</v>
          </cell>
          <cell r="U1158">
            <v>179285533</v>
          </cell>
          <cell r="V1158" t="str">
            <v>370 (618) 11 666</v>
          </cell>
          <cell r="W1158" t="str">
            <v xml:space="preserve">Jūros g. 33, Tauragė  </v>
          </cell>
          <cell r="X1158">
            <v>1381</v>
          </cell>
          <cell r="AC1158">
            <v>3190</v>
          </cell>
        </row>
        <row r="1159">
          <cell r="A1159">
            <v>1159</v>
          </cell>
          <cell r="B1159">
            <v>46247</v>
          </cell>
          <cell r="C1159" t="str">
            <v>HYUNDAI AVANTE</v>
          </cell>
          <cell r="D1159" t="str">
            <v>HYUNDAI</v>
          </cell>
          <cell r="E1159" t="str">
            <v>AVANTE</v>
          </cell>
          <cell r="G1159" t="str">
            <v>50로0774</v>
          </cell>
          <cell r="H1159" t="str">
            <v>KMHD841UGGU106383</v>
          </cell>
          <cell r="I1159">
            <v>46253</v>
          </cell>
          <cell r="J1159" t="str">
            <v>개인매입- 010 7122 4568</v>
          </cell>
          <cell r="L1159" t="str">
            <v>잔금</v>
          </cell>
          <cell r="M1159" t="str">
            <v>50만원 회사 통장</v>
          </cell>
          <cell r="N1159">
            <v>900</v>
          </cell>
          <cell r="P1159">
            <v>0</v>
          </cell>
          <cell r="Q1159" t="str">
            <v>done</v>
          </cell>
          <cell r="R1159" t="str">
            <v>28/08/2026</v>
          </cell>
          <cell r="S1159" t="str">
            <v>DONI</v>
          </cell>
          <cell r="T1159" t="str">
            <v>DONI</v>
          </cell>
          <cell r="U1159">
            <v>933682</v>
          </cell>
          <cell r="V1159" t="str">
            <v>3 8 3 4 9 3 2 5 7 0 3</v>
          </cell>
          <cell r="W1159" t="str">
            <v xml:space="preserve"> HYZRI TALLA OB 16 HY 1 NR 18
 Kosovë</v>
          </cell>
          <cell r="X1159">
            <v>1398</v>
          </cell>
          <cell r="AB1159">
            <v>1612</v>
          </cell>
          <cell r="AC1159">
            <v>5578</v>
          </cell>
          <cell r="AD1159">
            <v>1682</v>
          </cell>
          <cell r="AE1159">
            <v>7260</v>
          </cell>
        </row>
        <row r="1160">
          <cell r="A1160">
            <v>1160</v>
          </cell>
          <cell r="B1160">
            <v>46247</v>
          </cell>
          <cell r="C1160" t="str">
            <v>AUDI Q5</v>
          </cell>
          <cell r="D1160" t="str">
            <v>AUDI</v>
          </cell>
          <cell r="E1160" t="str">
            <v>Q5</v>
          </cell>
          <cell r="G1160" t="str">
            <v>16부7048</v>
          </cell>
          <cell r="H1160" t="str">
            <v>WAUZZZ8R7CA021296</v>
          </cell>
          <cell r="I1160">
            <v>46252</v>
          </cell>
          <cell r="J1160" t="str">
            <v>㈜제이에스오토</v>
          </cell>
          <cell r="L1160" t="str">
            <v>잔금</v>
          </cell>
          <cell r="M1160" t="str">
            <v>50만원 대표님 계약</v>
          </cell>
          <cell r="N1160">
            <v>700</v>
          </cell>
          <cell r="O1160">
            <v>44</v>
          </cell>
          <cell r="P1160">
            <v>0</v>
          </cell>
          <cell r="Q1160" t="str">
            <v>DONE</v>
          </cell>
          <cell r="R1160" t="str">
            <v>REPORT DONE</v>
          </cell>
          <cell r="S1160" t="str">
            <v>BEN</v>
          </cell>
          <cell r="T1160" t="str">
            <v>Evo Prestige &amp; Classic Cars</v>
          </cell>
          <cell r="U1160" t="str">
            <v>945.390.052.00013</v>
          </cell>
          <cell r="V1160" t="str">
            <v xml:space="preserve"> 33 649 5005 94</v>
          </cell>
          <cell r="W1160" t="str">
            <v>2 rue de le ferronnerie 
43000 Polignac</v>
          </cell>
          <cell r="X1160">
            <v>1398</v>
          </cell>
          <cell r="AB1160">
            <v>1612</v>
          </cell>
          <cell r="AC1160">
            <v>4649</v>
          </cell>
          <cell r="AD1160">
            <v>1821</v>
          </cell>
          <cell r="AE1160">
            <v>6470</v>
          </cell>
          <cell r="AF1160">
            <v>6470</v>
          </cell>
        </row>
        <row r="1161">
          <cell r="A1161">
            <v>1161</v>
          </cell>
          <cell r="B1161">
            <v>46247</v>
          </cell>
          <cell r="C1161" t="str">
            <v>BENZ CLS400</v>
          </cell>
          <cell r="D1161" t="str">
            <v>BENZ</v>
          </cell>
          <cell r="E1161" t="str">
            <v>CLS400</v>
          </cell>
          <cell r="G1161" t="str">
            <v>156더5015</v>
          </cell>
          <cell r="H1161" t="str">
            <v>WDD2J2DBXKA046824 </v>
          </cell>
          <cell r="I1161">
            <v>46253</v>
          </cell>
          <cell r="J1161" t="str">
            <v>㈜ 유니엔모터스</v>
          </cell>
          <cell r="L1161" t="str">
            <v>잔금</v>
          </cell>
          <cell r="M1161" t="str">
            <v>100만원 대표님 계약</v>
          </cell>
          <cell r="N1161">
            <v>2850</v>
          </cell>
          <cell r="P1161">
            <v>0</v>
          </cell>
          <cell r="Q1161" t="str">
            <v>DONE</v>
          </cell>
          <cell r="R1161" t="str">
            <v>CON 14</v>
          </cell>
          <cell r="S1161" t="str">
            <v>DAX IMPORT</v>
          </cell>
          <cell r="T1161" t="str">
            <v xml:space="preserve">Michael Karl  </v>
          </cell>
          <cell r="U1161" t="str">
            <v>LF9N8WZ16</v>
          </cell>
          <cell r="V1161" t="str">
            <v>‪+49 471 94189050‬</v>
          </cell>
          <cell r="W1161" t="str">
            <v xml:space="preserve">Dorfstr,33C,(82024) Taufkirchen, Germany </v>
          </cell>
          <cell r="X1161">
            <v>1404</v>
          </cell>
          <cell r="AB1161">
            <v>1625</v>
          </cell>
          <cell r="AC1161">
            <v>16830</v>
          </cell>
        </row>
        <row r="1162">
          <cell r="A1162">
            <v>1162</v>
          </cell>
          <cell r="B1162">
            <v>46247</v>
          </cell>
          <cell r="C1162" t="str">
            <v>BENZ C200</v>
          </cell>
          <cell r="D1162" t="str">
            <v>BENZ</v>
          </cell>
          <cell r="E1162" t="str">
            <v>C200</v>
          </cell>
          <cell r="G1162" t="str">
            <v>43루0906</v>
          </cell>
          <cell r="H1162" t="str">
            <v>WDDWF4CB5GF250117</v>
          </cell>
          <cell r="I1162">
            <v>46252</v>
          </cell>
          <cell r="J1162" t="str">
            <v>㈜뉴행복드림카</v>
          </cell>
          <cell r="L1162" t="str">
            <v>잔금</v>
          </cell>
          <cell r="M1162" t="str">
            <v>70만원 회사 통장 + 대표님 계약</v>
          </cell>
          <cell r="N1162">
            <v>1330</v>
          </cell>
          <cell r="P1162">
            <v>0</v>
          </cell>
          <cell r="Q1162" t="str">
            <v>done</v>
          </cell>
          <cell r="R1162" t="str">
            <v>CON12</v>
          </cell>
          <cell r="S1162" t="str">
            <v>EASY DRIVE 🇧🇬</v>
          </cell>
          <cell r="T1162" t="str">
            <v>Easy Drive LTD</v>
          </cell>
          <cell r="U1162">
            <v>206557008</v>
          </cell>
          <cell r="V1162" t="str">
            <v>359 89 936 8386</v>
          </cell>
          <cell r="W1162" t="str">
            <v>ul. Sokolna 47
1444 Sofia
Bulgaria</v>
          </cell>
          <cell r="AC1162">
            <v>12816800</v>
          </cell>
          <cell r="AE1162">
            <v>12716800</v>
          </cell>
        </row>
        <row r="1163">
          <cell r="A1163">
            <v>1163</v>
          </cell>
          <cell r="B1163">
            <v>46247</v>
          </cell>
          <cell r="C1163" t="str">
            <v>HYUNDAI SANTAFE</v>
          </cell>
          <cell r="D1163" t="str">
            <v>HYUNDAI</v>
          </cell>
          <cell r="E1163" t="str">
            <v>SANTAFE</v>
          </cell>
          <cell r="G1163" t="str">
            <v>238버3030</v>
          </cell>
          <cell r="H1163" t="str">
            <v>KMHS581CDKU077911</v>
          </cell>
          <cell r="I1163">
            <v>46252</v>
          </cell>
          <cell r="J1163" t="str">
            <v>㈜드림카마켓</v>
          </cell>
          <cell r="L1163" t="str">
            <v>잔금</v>
          </cell>
          <cell r="M1163" t="str">
            <v>70만원 회사 통장</v>
          </cell>
          <cell r="N1163">
            <v>1930</v>
          </cell>
          <cell r="P1163">
            <v>0</v>
          </cell>
          <cell r="Q1163" t="str">
            <v>done</v>
          </cell>
          <cell r="R1163" t="str">
            <v>CON12</v>
          </cell>
          <cell r="S1163" t="str">
            <v>EASY DRIVE 🇧🇬</v>
          </cell>
          <cell r="T1163" t="str">
            <v>Easy Drive LTD</v>
          </cell>
          <cell r="U1163">
            <v>206557008</v>
          </cell>
          <cell r="V1163" t="str">
            <v>359 89 936 8386</v>
          </cell>
          <cell r="W1163" t="str">
            <v>ul. Sokolna 47
1444 Sofia
Bulgaria</v>
          </cell>
          <cell r="AC1163">
            <v>18642300</v>
          </cell>
        </row>
        <row r="1164">
          <cell r="A1164">
            <v>1164</v>
          </cell>
          <cell r="B1164">
            <v>46247</v>
          </cell>
          <cell r="C1164" t="str">
            <v>BMW 520I</v>
          </cell>
          <cell r="D1164" t="str">
            <v>BMW</v>
          </cell>
          <cell r="E1164" t="str">
            <v>520I</v>
          </cell>
          <cell r="G1164" t="str">
            <v>186고9616</v>
          </cell>
          <cell r="H1164" t="str">
            <v>WBAJC3107JDA33518</v>
          </cell>
          <cell r="I1164">
            <v>46254</v>
          </cell>
          <cell r="L1164" t="str">
            <v>잔금</v>
          </cell>
          <cell r="M1164" t="str">
            <v>100만원 회사 통장</v>
          </cell>
          <cell r="N1164">
            <v>2170</v>
          </cell>
          <cell r="P1164">
            <v>0</v>
          </cell>
          <cell r="Q1164" t="str">
            <v>done</v>
          </cell>
          <cell r="R1164" t="str">
            <v>28/08/2026</v>
          </cell>
          <cell r="S1164" t="str">
            <v>R.S.h L.L.C.</v>
          </cell>
          <cell r="T1164" t="str">
            <v>R.Sh L.L.C.</v>
          </cell>
          <cell r="U1164">
            <v>206557008</v>
          </cell>
          <cell r="V1164" t="str">
            <v>359 89 936 8386</v>
          </cell>
          <cell r="W1164" t="str">
            <v>ul. Sokolna 47
1444 Sofia
Bulgaria</v>
          </cell>
          <cell r="X1164">
            <v>1400</v>
          </cell>
          <cell r="AB1164">
            <v>1620</v>
          </cell>
          <cell r="AC1164">
            <v>12857</v>
          </cell>
          <cell r="AD1164">
            <v>1763</v>
          </cell>
          <cell r="AE1164">
            <v>14620</v>
          </cell>
        </row>
        <row r="1165">
          <cell r="A1165">
            <v>1165</v>
          </cell>
          <cell r="B1165">
            <v>46247</v>
          </cell>
          <cell r="C1165" t="str">
            <v>KIA CARNIVAL</v>
          </cell>
          <cell r="D1165" t="str">
            <v>KIA</v>
          </cell>
          <cell r="E1165" t="str">
            <v>CARNIVAL</v>
          </cell>
          <cell r="G1165" t="str">
            <v>365노9943</v>
          </cell>
          <cell r="H1165" t="str">
            <v>KNANB81BBMS081887</v>
          </cell>
          <cell r="J1165" t="str">
            <v>경매장-KCAR</v>
          </cell>
          <cell r="L1165" t="str">
            <v>잔금</v>
          </cell>
          <cell r="N1165">
            <v>1470</v>
          </cell>
          <cell r="O1165">
            <v>32</v>
          </cell>
          <cell r="P1165">
            <v>0</v>
          </cell>
          <cell r="Q1165" t="str">
            <v>done</v>
          </cell>
          <cell r="R1165" t="str">
            <v>CON17</v>
          </cell>
          <cell r="S1165" t="str">
            <v>MANTAS</v>
          </cell>
          <cell r="T1165" t="str">
            <v>UAB GRALIS</v>
          </cell>
          <cell r="U1165">
            <v>179285533</v>
          </cell>
          <cell r="V1165" t="str">
            <v>370 (618) 11 666</v>
          </cell>
          <cell r="W1165" t="str">
            <v xml:space="preserve">Jūros g. 33, Tauragė  </v>
          </cell>
          <cell r="X1165">
            <v>1381</v>
          </cell>
          <cell r="AC1165">
            <v>10540</v>
          </cell>
        </row>
        <row r="1166">
          <cell r="A1166">
            <v>1166</v>
          </cell>
          <cell r="B1166">
            <v>46252</v>
          </cell>
          <cell r="C1166" t="str">
            <v xml:space="preserve"> SM6</v>
          </cell>
          <cell r="E1166" t="str">
            <v>SM6</v>
          </cell>
          <cell r="G1166" t="str">
            <v>254가9120</v>
          </cell>
          <cell r="H1166" t="str">
            <v>KNMA4B2RMNP004106</v>
          </cell>
          <cell r="L1166" t="str">
            <v>잔금</v>
          </cell>
          <cell r="P1166">
            <v>0</v>
          </cell>
          <cell r="Q1166" t="str">
            <v>done</v>
          </cell>
          <cell r="R1166" t="str">
            <v>CON  15</v>
          </cell>
          <cell r="S1166" t="str">
            <v>MANTAS</v>
          </cell>
          <cell r="T1166" t="str">
            <v>UAB GRALIS</v>
          </cell>
          <cell r="U1166">
            <v>179285533</v>
          </cell>
          <cell r="V1166" t="str">
            <v>370 (618) 11 666</v>
          </cell>
          <cell r="W1166" t="str">
            <v xml:space="preserve">Jūros g. 33, Tauragė  </v>
          </cell>
          <cell r="AC1166">
            <v>0</v>
          </cell>
        </row>
        <row r="1167">
          <cell r="A1167">
            <v>1167</v>
          </cell>
          <cell r="B1167">
            <v>46252</v>
          </cell>
          <cell r="C1167" t="str">
            <v xml:space="preserve"> 300C</v>
          </cell>
          <cell r="E1167" t="str">
            <v>300C</v>
          </cell>
          <cell r="G1167" t="str">
            <v>17조0216</v>
          </cell>
          <cell r="H1167" t="str">
            <v>2C3CCACG5GH198362</v>
          </cell>
          <cell r="I1167">
            <v>46252</v>
          </cell>
          <cell r="J1167" t="str">
            <v>㈜ 준모터스</v>
          </cell>
          <cell r="L1167" t="str">
            <v>잔금</v>
          </cell>
          <cell r="M1167" t="str">
            <v>50만원 대표님 계약</v>
          </cell>
          <cell r="N1167">
            <v>1050</v>
          </cell>
          <cell r="P1167">
            <v>0</v>
          </cell>
          <cell r="Q1167" t="str">
            <v>done</v>
          </cell>
          <cell r="R1167" t="str">
            <v>CON12</v>
          </cell>
          <cell r="S1167" t="str">
            <v>EASY DRIVE</v>
          </cell>
          <cell r="T1167" t="str">
            <v>Easy Drive LTD</v>
          </cell>
          <cell r="U1167">
            <v>206557008</v>
          </cell>
          <cell r="V1167" t="str">
            <v>359 89 936 8386</v>
          </cell>
          <cell r="W1167" t="str">
            <v>ul. Sokolna 47
1444 Sofia
Bulgaria</v>
          </cell>
          <cell r="AC1167">
            <v>1020</v>
          </cell>
        </row>
        <row r="1168">
          <cell r="A1168">
            <v>1168</v>
          </cell>
          <cell r="B1168">
            <v>46252</v>
          </cell>
          <cell r="C1168" t="str">
            <v>VOLKSWAGEN TIGUAN</v>
          </cell>
          <cell r="D1168" t="str">
            <v>VOLKSWAGEN</v>
          </cell>
          <cell r="E1168" t="str">
            <v>TIGUAN</v>
          </cell>
          <cell r="G1168" t="str">
            <v>386수9694</v>
          </cell>
          <cell r="H1168" t="str">
            <v>WVGZZZ5NZLW808875</v>
          </cell>
          <cell r="I1168">
            <v>46255</v>
          </cell>
          <cell r="J1168" t="str">
            <v>㈜수호모터스</v>
          </cell>
          <cell r="L1168" t="str">
            <v>잔금</v>
          </cell>
          <cell r="M1168" t="str">
            <v>50만원 대표님 계약</v>
          </cell>
          <cell r="N1168">
            <v>1456</v>
          </cell>
          <cell r="O1168">
            <v>44</v>
          </cell>
          <cell r="P1168">
            <v>0</v>
          </cell>
          <cell r="Q1168" t="str">
            <v>done</v>
          </cell>
          <cell r="R1168" t="str">
            <v>28/08/2026</v>
          </cell>
          <cell r="S1168" t="str">
            <v>BUTRINT</v>
          </cell>
          <cell r="T1168" t="str">
            <v>VENENO GROUP SHPK</v>
          </cell>
          <cell r="U1168">
            <v>812449553</v>
          </cell>
          <cell r="V1168" t="str">
            <v>383 49 516 793</v>
          </cell>
          <cell r="W1168" t="str">
            <v>Kosovo</v>
          </cell>
          <cell r="X1168">
            <v>1404</v>
          </cell>
          <cell r="AB1168">
            <v>1617</v>
          </cell>
          <cell r="AC1168">
            <v>8862</v>
          </cell>
          <cell r="AD1168">
            <v>1858</v>
          </cell>
          <cell r="AE1168">
            <v>10720</v>
          </cell>
          <cell r="AF1168">
            <v>10720</v>
          </cell>
        </row>
        <row r="1169">
          <cell r="A1169">
            <v>1169</v>
          </cell>
          <cell r="B1169">
            <v>46252</v>
          </cell>
          <cell r="C1169" t="str">
            <v>BENZ A200</v>
          </cell>
          <cell r="D1169" t="str">
            <v>BENZ</v>
          </cell>
          <cell r="E1169" t="str">
            <v>A200</v>
          </cell>
          <cell r="G1169" t="str">
            <v>136조6085</v>
          </cell>
          <cell r="H1169" t="str">
            <v xml:space="preserve"> WDDBF4DB6HJ539387</v>
          </cell>
          <cell r="I1169">
            <v>46253</v>
          </cell>
          <cell r="J1169" t="str">
            <v>㈜ 더원오토</v>
          </cell>
          <cell r="L1169" t="str">
            <v>잔금</v>
          </cell>
          <cell r="M1169" t="str">
            <v>50만원 대표님 계약</v>
          </cell>
          <cell r="N1169">
            <v>884</v>
          </cell>
          <cell r="P1169">
            <v>0</v>
          </cell>
          <cell r="Q1169" t="str">
            <v>DONE</v>
          </cell>
          <cell r="R1169">
            <v>46260</v>
          </cell>
          <cell r="S1169" t="str">
            <v>R.S.h L.L.C.</v>
          </cell>
          <cell r="T1169" t="str">
            <v>R.Sh L.L.C.</v>
          </cell>
          <cell r="U1169">
            <v>206557008</v>
          </cell>
          <cell r="V1169" t="str">
            <v>359 89 936 8386</v>
          </cell>
          <cell r="W1169" t="str">
            <v>ul. Sokolna 47
1444 Sofia
Bulgaria</v>
          </cell>
          <cell r="X1169">
            <v>1400</v>
          </cell>
          <cell r="AB1169">
            <v>1620</v>
          </cell>
          <cell r="AC1169">
            <v>5337</v>
          </cell>
          <cell r="AD1169">
            <v>1763</v>
          </cell>
          <cell r="AE1169">
            <v>7100</v>
          </cell>
        </row>
        <row r="1170">
          <cell r="A1170">
            <v>1170</v>
          </cell>
          <cell r="B1170">
            <v>46250</v>
          </cell>
          <cell r="C1170" t="str">
            <v>KIA  Stinger</v>
          </cell>
          <cell r="D1170" t="str">
            <v xml:space="preserve">KIA </v>
          </cell>
          <cell r="E1170" t="str">
            <v>Stinger</v>
          </cell>
          <cell r="G1170" t="str">
            <v>234소3226</v>
          </cell>
          <cell r="H1170" t="str">
            <v>KNAE551CDMS093684</v>
          </cell>
          <cell r="I1170">
            <v>46259</v>
          </cell>
          <cell r="J1170" t="str">
            <v>㈜정모터스</v>
          </cell>
          <cell r="L1170" t="str">
            <v>잔금</v>
          </cell>
          <cell r="M1170" t="str">
            <v>100만원 회사 통장</v>
          </cell>
          <cell r="N1170">
            <v>2570</v>
          </cell>
          <cell r="P1170">
            <v>0</v>
          </cell>
          <cell r="Q1170" t="str">
            <v>done</v>
          </cell>
          <cell r="R1170" t="str">
            <v>con 13</v>
          </cell>
          <cell r="S1170" t="str">
            <v>EASY DRIVE</v>
          </cell>
          <cell r="T1170" t="str">
            <v>Easy Drive LTD</v>
          </cell>
          <cell r="U1170">
            <v>206557008</v>
          </cell>
          <cell r="V1170" t="str">
            <v>359 89 936 8386</v>
          </cell>
          <cell r="W1170" t="str">
            <v>ul. Sokolna 47
1444 Sofia
Bulgaria</v>
          </cell>
          <cell r="AC1170">
            <v>24563300</v>
          </cell>
          <cell r="AE1170">
            <v>25700000</v>
          </cell>
        </row>
        <row r="1171">
          <cell r="A1171">
            <v>1171</v>
          </cell>
          <cell r="B1171">
            <v>46252</v>
          </cell>
          <cell r="C1171" t="str">
            <v>BMW 520d</v>
          </cell>
          <cell r="D1171" t="str">
            <v>BMW</v>
          </cell>
          <cell r="E1171" t="str">
            <v>520d</v>
          </cell>
          <cell r="G1171" t="str">
            <v>69보0404</v>
          </cell>
          <cell r="H1171" t="str">
            <v>WBA5E710XGG566390</v>
          </cell>
          <cell r="I1171">
            <v>46253</v>
          </cell>
          <cell r="J1171" t="str">
            <v>㈜에스원모터스</v>
          </cell>
          <cell r="L1171" t="str">
            <v>잔금</v>
          </cell>
          <cell r="M1171" t="str">
            <v>50만원 대표님 계약</v>
          </cell>
          <cell r="N1171">
            <v>1730</v>
          </cell>
          <cell r="P1171">
            <v>0</v>
          </cell>
          <cell r="Q1171" t="str">
            <v>DONE</v>
          </cell>
          <cell r="R1171" t="str">
            <v>CON 14</v>
          </cell>
          <cell r="S1171" t="str">
            <v>DAX IMPORT</v>
          </cell>
          <cell r="T1171" t="str">
            <v xml:space="preserve">Michael Karl  </v>
          </cell>
          <cell r="U1171" t="str">
            <v>LF9N8WZ16</v>
          </cell>
          <cell r="V1171" t="str">
            <v>‪+49 471 94189050‬</v>
          </cell>
          <cell r="W1171" t="str">
            <v xml:space="preserve">Dorfstr,33C,(82024) Taufkirchen, Germany </v>
          </cell>
          <cell r="X1171">
            <v>1404</v>
          </cell>
          <cell r="AB1171">
            <v>1625</v>
          </cell>
          <cell r="AC1171">
            <v>10240</v>
          </cell>
        </row>
        <row r="1172">
          <cell r="A1172">
            <v>1172</v>
          </cell>
          <cell r="B1172">
            <v>46252</v>
          </cell>
          <cell r="C1172" t="str">
            <v>PORSCHE 718 BOXTER</v>
          </cell>
          <cell r="D1172" t="str">
            <v>PORSCHE</v>
          </cell>
          <cell r="E1172" t="str">
            <v>718 BOXTER</v>
          </cell>
          <cell r="G1172" t="str">
            <v>251도1478</v>
          </cell>
          <cell r="H1172" t="str">
            <v>WP0CD2980NS228274</v>
          </cell>
          <cell r="I1172">
            <v>46261</v>
          </cell>
          <cell r="L1172" t="str">
            <v>잔금</v>
          </cell>
          <cell r="M1172" t="str">
            <v>100만원 회사 통장</v>
          </cell>
          <cell r="N1172">
            <v>9750</v>
          </cell>
          <cell r="P1172">
            <v>0</v>
          </cell>
          <cell r="Q1172" t="str">
            <v>DONE</v>
          </cell>
          <cell r="R1172">
            <v>46274</v>
          </cell>
          <cell r="S1172" t="str">
            <v>DAX IMPORT</v>
          </cell>
          <cell r="T1172" t="str">
            <v xml:space="preserve">Michael Karl  </v>
          </cell>
          <cell r="U1172" t="str">
            <v>LF9N8WZ16</v>
          </cell>
          <cell r="V1172" t="str">
            <v>‪+49 471 94189050‬</v>
          </cell>
          <cell r="W1172" t="str">
            <v xml:space="preserve">Dorfstr,33C,(82024) Taufkirchen, Germany </v>
          </cell>
          <cell r="X1172">
            <v>1404</v>
          </cell>
          <cell r="AB1172">
            <v>1625</v>
          </cell>
          <cell r="AC1172">
            <v>57220</v>
          </cell>
          <cell r="AE1172">
            <v>57530</v>
          </cell>
        </row>
        <row r="1173">
          <cell r="A1173">
            <v>1173</v>
          </cell>
          <cell r="B1173">
            <v>46252</v>
          </cell>
          <cell r="C1173" t="str">
            <v>BENZ CLS350</v>
          </cell>
          <cell r="D1173" t="str">
            <v>BENZ</v>
          </cell>
          <cell r="E1173" t="str">
            <v>CLS350</v>
          </cell>
          <cell r="G1173" t="str">
            <v>15우8721</v>
          </cell>
          <cell r="H1173" t="str">
            <v>WDDLJ5KB8EA130654</v>
          </cell>
          <cell r="I1173">
            <v>46255</v>
          </cell>
          <cell r="L1173" t="str">
            <v>잔금</v>
          </cell>
          <cell r="M1173" t="str">
            <v>50만원 회사 통장</v>
          </cell>
          <cell r="N1173">
            <v>1300</v>
          </cell>
          <cell r="P1173">
            <v>0</v>
          </cell>
          <cell r="Q1173" t="str">
            <v>done</v>
          </cell>
          <cell r="R1173" t="str">
            <v>28/08/2026</v>
          </cell>
          <cell r="S1173" t="str">
            <v>CALJA</v>
          </cell>
          <cell r="T1173" t="str">
            <v>CAPJA ERDI</v>
          </cell>
          <cell r="U1173" t="str">
            <v>J71103015O</v>
          </cell>
          <cell r="V1173" t="str">
            <v>355 69 550 5533</v>
          </cell>
          <cell r="W1173" t="str">
            <v>Albania</v>
          </cell>
          <cell r="X1173">
            <v>1404</v>
          </cell>
          <cell r="AB1173">
            <v>1617</v>
          </cell>
          <cell r="AC1173">
            <v>7679</v>
          </cell>
          <cell r="AD1173">
            <v>1771</v>
          </cell>
          <cell r="AE1173">
            <v>9450</v>
          </cell>
          <cell r="AF1173">
            <v>10450</v>
          </cell>
        </row>
        <row r="1174">
          <cell r="A1174">
            <v>1174</v>
          </cell>
          <cell r="B1174">
            <v>46252</v>
          </cell>
          <cell r="C1174" t="str">
            <v>BMW 520d M Sport Package</v>
          </cell>
          <cell r="D1174" t="str">
            <v>BMW</v>
          </cell>
          <cell r="E1174" t="str">
            <v>520d M Sport Package</v>
          </cell>
          <cell r="G1174" t="str">
            <v>32노4885</v>
          </cell>
          <cell r="H1174" t="str">
            <v>WBAJF3107KWC66425</v>
          </cell>
          <cell r="I1174">
            <v>46255</v>
          </cell>
          <cell r="J1174" t="str">
            <v>㈜ 플랜오토</v>
          </cell>
          <cell r="L1174" t="str">
            <v>잔금</v>
          </cell>
          <cell r="M1174" t="str">
            <v>50만원 회사 통장</v>
          </cell>
          <cell r="N1174">
            <v>2550</v>
          </cell>
          <cell r="P1174">
            <v>0</v>
          </cell>
          <cell r="Q1174" t="str">
            <v>done</v>
          </cell>
          <cell r="R1174" t="str">
            <v>28/08/2026</v>
          </cell>
          <cell r="S1174" t="str">
            <v>Avendor Auto</v>
          </cell>
          <cell r="T1174" t="str">
            <v>Avendor Auto</v>
          </cell>
          <cell r="U1174" t="str">
            <v>812353613</v>
          </cell>
          <cell r="V1174">
            <v>38348480119</v>
          </cell>
          <cell r="W1174" t="str">
            <v>Kosovo</v>
          </cell>
          <cell r="X1174">
            <v>1404</v>
          </cell>
          <cell r="AB1174">
            <v>1617</v>
          </cell>
          <cell r="AC1174">
            <v>15129</v>
          </cell>
          <cell r="AD1174">
            <v>1771</v>
          </cell>
          <cell r="AE1174">
            <v>16900</v>
          </cell>
          <cell r="AF1174">
            <v>16900</v>
          </cell>
        </row>
        <row r="1175">
          <cell r="A1175">
            <v>1175</v>
          </cell>
          <cell r="B1175">
            <v>46252</v>
          </cell>
          <cell r="C1175" t="str">
            <v>BMW 320D</v>
          </cell>
          <cell r="D1175" t="str">
            <v>BMW</v>
          </cell>
          <cell r="E1175" t="str">
            <v>320D</v>
          </cell>
          <cell r="G1175" t="str">
            <v>06어5534</v>
          </cell>
          <cell r="H1175" t="str">
            <v>WBA8C5101JK733859</v>
          </cell>
          <cell r="I1175">
            <v>46253</v>
          </cell>
          <cell r="J1175" t="str">
            <v>㈜레인보우</v>
          </cell>
          <cell r="L1175" t="str">
            <v>잔금</v>
          </cell>
          <cell r="M1175" t="str">
            <v>50만원 대표님 계약</v>
          </cell>
          <cell r="N1175">
            <v>1180</v>
          </cell>
          <cell r="P1175">
            <v>0</v>
          </cell>
          <cell r="Q1175" t="str">
            <v>done</v>
          </cell>
          <cell r="R1175" t="str">
            <v>28/08/2026</v>
          </cell>
          <cell r="S1175" t="str">
            <v>DONI</v>
          </cell>
          <cell r="T1175" t="str">
            <v>DONI</v>
          </cell>
          <cell r="U1175">
            <v>933682</v>
          </cell>
          <cell r="V1175" t="str">
            <v>3 8 3 4 9 3 2 5 7 0 3</v>
          </cell>
          <cell r="W1175" t="str">
            <v xml:space="preserve"> HYZRI TALLA OB 16 HY 1 NR 18
 Kosovë</v>
          </cell>
          <cell r="X1175">
            <v>1404</v>
          </cell>
          <cell r="AB1175">
            <v>1617</v>
          </cell>
          <cell r="AC1175">
            <v>7009</v>
          </cell>
          <cell r="AD1175">
            <v>1771</v>
          </cell>
          <cell r="AE1175">
            <v>8780</v>
          </cell>
        </row>
        <row r="1176">
          <cell r="A1176">
            <v>1176</v>
          </cell>
          <cell r="B1176">
            <v>46253</v>
          </cell>
          <cell r="C1176" t="str">
            <v>BMW 320d</v>
          </cell>
          <cell r="D1176" t="str">
            <v>BMW</v>
          </cell>
          <cell r="E1176" t="str">
            <v>320d</v>
          </cell>
          <cell r="G1176" t="str">
            <v>10로8381</v>
          </cell>
          <cell r="H1176" t="str">
            <v>WBA8C510XHA069061</v>
          </cell>
          <cell r="I1176">
            <v>46254</v>
          </cell>
          <cell r="J1176" t="str">
            <v>㈜마이카</v>
          </cell>
          <cell r="L1176" t="str">
            <v>잔금</v>
          </cell>
          <cell r="M1176" t="str">
            <v>50만원 회사 통장</v>
          </cell>
          <cell r="N1176">
            <v>1150</v>
          </cell>
          <cell r="P1176">
            <v>0</v>
          </cell>
          <cell r="Q1176" t="str">
            <v>DONE</v>
          </cell>
          <cell r="R1176" t="str">
            <v>REPORT DONE</v>
          </cell>
          <cell r="S1176" t="str">
            <v>Auto Posh SH.P.K</v>
          </cell>
          <cell r="T1176" t="str">
            <v>Auto Posh SH.P.K</v>
          </cell>
          <cell r="U1176">
            <v>812219427</v>
          </cell>
          <cell r="V1176" t="str">
            <v>38345560145</v>
          </cell>
          <cell r="W1176" t="str">
            <v>KOSOVO</v>
          </cell>
          <cell r="X1176">
            <v>1404</v>
          </cell>
          <cell r="AB1176">
            <v>1617</v>
          </cell>
          <cell r="AC1176">
            <v>6879</v>
          </cell>
          <cell r="AD1176">
            <v>1771</v>
          </cell>
          <cell r="AE1176">
            <v>8650</v>
          </cell>
        </row>
        <row r="1177">
          <cell r="A1177">
            <v>1177</v>
          </cell>
          <cell r="B1177">
            <v>46253</v>
          </cell>
          <cell r="C1177" t="str">
            <v>VOLKSWAGEN Jetta</v>
          </cell>
          <cell r="D1177" t="str">
            <v>VOLKSWAGEN</v>
          </cell>
          <cell r="E1177" t="str">
            <v>Jetta</v>
          </cell>
          <cell r="G1177" t="str">
            <v>02고0848</v>
          </cell>
          <cell r="H1177" t="str">
            <v>WVWZZZ16ZGM018768</v>
          </cell>
          <cell r="J1177" t="str">
            <v>경매장-헤이딜러</v>
          </cell>
          <cell r="L1177" t="str">
            <v>잔금</v>
          </cell>
          <cell r="N1177">
            <v>724</v>
          </cell>
          <cell r="P1177">
            <v>0</v>
          </cell>
          <cell r="Q1177" t="str">
            <v>done</v>
          </cell>
          <cell r="R1177" t="str">
            <v>28/08/2026</v>
          </cell>
          <cell r="S1177" t="str">
            <v>Auto Posh SH.P.K</v>
          </cell>
          <cell r="T1177" t="str">
            <v>Auto Posh SH.P.K</v>
          </cell>
          <cell r="U1177">
            <v>812219427</v>
          </cell>
          <cell r="V1177" t="str">
            <v>38345560145</v>
          </cell>
          <cell r="W1177" t="str">
            <v>KOSOVO</v>
          </cell>
          <cell r="X1177">
            <v>1381</v>
          </cell>
          <cell r="AB1177">
            <v>1612</v>
          </cell>
          <cell r="AC1177">
            <v>4702</v>
          </cell>
          <cell r="AD1177">
            <v>1748</v>
          </cell>
          <cell r="AE1177">
            <v>6450</v>
          </cell>
        </row>
        <row r="1178">
          <cell r="A1178">
            <v>1178</v>
          </cell>
          <cell r="B1178">
            <v>46253</v>
          </cell>
          <cell r="C1178" t="str">
            <v>AUDI A6</v>
          </cell>
          <cell r="D1178" t="str">
            <v>AUDI</v>
          </cell>
          <cell r="E1178" t="str">
            <v>A6</v>
          </cell>
          <cell r="G1178" t="str">
            <v>149나7051</v>
          </cell>
          <cell r="H1178" t="str">
            <v>WAUZZZF26MN007017</v>
          </cell>
          <cell r="I1178">
            <v>46255</v>
          </cell>
          <cell r="J1178" t="str">
            <v>㈜에스제이모터스</v>
          </cell>
          <cell r="L1178" t="str">
            <v>잔금</v>
          </cell>
          <cell r="M1178" t="str">
            <v>100만원 대표님 계약</v>
          </cell>
          <cell r="N1178">
            <v>3050</v>
          </cell>
          <cell r="P1178">
            <v>0</v>
          </cell>
          <cell r="Q1178" t="str">
            <v>DONE</v>
          </cell>
          <cell r="R1178" t="str">
            <v>REPORT DONE</v>
          </cell>
          <cell r="S1178" t="str">
            <v>BUTRINT</v>
          </cell>
          <cell r="T1178" t="str">
            <v>VENENO GROUP SHPK</v>
          </cell>
          <cell r="U1178">
            <v>812449553</v>
          </cell>
          <cell r="V1178" t="str">
            <v>386 49 776 654</v>
          </cell>
          <cell r="W1178" t="str">
            <v>Kosovo</v>
          </cell>
          <cell r="X1178">
            <v>1404</v>
          </cell>
          <cell r="AB1178">
            <v>1617</v>
          </cell>
          <cell r="AC1178">
            <v>17979</v>
          </cell>
          <cell r="AD1178">
            <v>1771</v>
          </cell>
          <cell r="AE1178">
            <v>19750</v>
          </cell>
          <cell r="AF1178">
            <v>19750</v>
          </cell>
        </row>
        <row r="1179">
          <cell r="A1179">
            <v>1179</v>
          </cell>
          <cell r="B1179">
            <v>46253</v>
          </cell>
          <cell r="C1179" t="str">
            <v>BMW 520D</v>
          </cell>
          <cell r="D1179" t="str">
            <v>BMW</v>
          </cell>
          <cell r="E1179" t="str">
            <v>520D</v>
          </cell>
          <cell r="G1179" t="str">
            <v>46구5544</v>
          </cell>
          <cell r="H1179" t="str">
            <v>WBAJC310XJWC95506</v>
          </cell>
          <cell r="I1179">
            <v>46255</v>
          </cell>
          <cell r="J1179" t="str">
            <v>㈜오케이오토</v>
          </cell>
          <cell r="L1179" t="str">
            <v>잔금</v>
          </cell>
          <cell r="M1179" t="str">
            <v>50만원 대표님 계약</v>
          </cell>
          <cell r="N1179">
            <v>1550</v>
          </cell>
          <cell r="P1179">
            <v>0</v>
          </cell>
          <cell r="Q1179" t="str">
            <v>done</v>
          </cell>
          <cell r="R1179" t="str">
            <v>28/08/2026</v>
          </cell>
          <cell r="S1179" t="str">
            <v>BUTRINT</v>
          </cell>
          <cell r="T1179" t="str">
            <v>VENENO GROUP SHPK</v>
          </cell>
          <cell r="U1179">
            <v>812449553</v>
          </cell>
          <cell r="V1179" t="str">
            <v>386 49 776 654</v>
          </cell>
          <cell r="W1179" t="str">
            <v>Kosovo</v>
          </cell>
          <cell r="X1179">
            <v>1404</v>
          </cell>
          <cell r="AB1179">
            <v>1617</v>
          </cell>
          <cell r="AC1179">
            <v>9269</v>
          </cell>
          <cell r="AD1179">
            <v>1771</v>
          </cell>
          <cell r="AE1179">
            <v>11040</v>
          </cell>
          <cell r="AF1179">
            <v>11040</v>
          </cell>
        </row>
        <row r="1180">
          <cell r="A1180">
            <v>1180</v>
          </cell>
          <cell r="B1180">
            <v>46253</v>
          </cell>
          <cell r="C1180" t="str">
            <v>BMW  X3</v>
          </cell>
          <cell r="D1180" t="str">
            <v xml:space="preserve">BMW </v>
          </cell>
          <cell r="E1180" t="str">
            <v>X3</v>
          </cell>
          <cell r="G1180" t="str">
            <v>123모9762</v>
          </cell>
          <cell r="H1180" t="str">
            <v>WBAUZ3108L9D29763</v>
          </cell>
          <cell r="I1180">
            <v>46259</v>
          </cell>
          <cell r="L1180" t="str">
            <v>잔금</v>
          </cell>
          <cell r="M1180" t="str">
            <v>100만원 회사 통장</v>
          </cell>
          <cell r="N1180">
            <v>2880</v>
          </cell>
          <cell r="P1180">
            <v>0</v>
          </cell>
          <cell r="Q1180" t="str">
            <v>done</v>
          </cell>
          <cell r="R1180" t="str">
            <v>28/08/2026</v>
          </cell>
          <cell r="S1180" t="str">
            <v>R.S.h L.L.C.</v>
          </cell>
          <cell r="T1180" t="str">
            <v>R.Sh L.L.C.</v>
          </cell>
          <cell r="U1180">
            <v>206557008</v>
          </cell>
          <cell r="V1180" t="str">
            <v>359 89 936 8386</v>
          </cell>
          <cell r="W1180" t="str">
            <v>ul. Sokolna 47
1444 Sofia
Bulgaria</v>
          </cell>
          <cell r="X1180">
            <v>1404</v>
          </cell>
          <cell r="AB1180">
            <v>1617</v>
          </cell>
          <cell r="AC1180">
            <v>17042</v>
          </cell>
          <cell r="AD1180">
            <v>1858</v>
          </cell>
          <cell r="AE1180">
            <v>18900</v>
          </cell>
        </row>
        <row r="1181">
          <cell r="A1181">
            <v>1181</v>
          </cell>
          <cell r="B1181">
            <v>46253</v>
          </cell>
          <cell r="C1181" t="str">
            <v>BMW  X3</v>
          </cell>
          <cell r="D1181" t="str">
            <v xml:space="preserve">BMW </v>
          </cell>
          <cell r="E1181" t="str">
            <v>X3</v>
          </cell>
          <cell r="F1181">
            <v>2017</v>
          </cell>
          <cell r="G1181" t="str">
            <v>63보5172</v>
          </cell>
          <cell r="H1181" t="str">
            <v>WBAWZ5106H0M36274</v>
          </cell>
          <cell r="J1181" t="str">
            <v>경매장-헤이딜러/ 010 9221 9721</v>
          </cell>
          <cell r="L1181" t="str">
            <v>잔금</v>
          </cell>
          <cell r="N1181">
            <v>1120</v>
          </cell>
          <cell r="O1181">
            <v>25</v>
          </cell>
          <cell r="P1181">
            <v>0</v>
          </cell>
          <cell r="Q1181" t="str">
            <v>DONE</v>
          </cell>
          <cell r="R1181">
            <v>46276</v>
          </cell>
          <cell r="S1181" t="str">
            <v>AUTO SCOUT</v>
          </cell>
          <cell r="T1181" t="str">
            <v>DONI</v>
          </cell>
          <cell r="U1181">
            <v>933682</v>
          </cell>
          <cell r="V1181" t="str">
            <v>3 8 3 4 9 3 2 5 7 0 3</v>
          </cell>
          <cell r="W1181" t="str">
            <v xml:space="preserve"> HYZRI TALLA OB 16 HY 1 NR 18
 Kosovë</v>
          </cell>
          <cell r="X1181">
            <v>1328</v>
          </cell>
          <cell r="AB1181">
            <v>1544</v>
          </cell>
          <cell r="AC1181">
            <v>6949</v>
          </cell>
          <cell r="AD1181">
            <v>1841</v>
          </cell>
          <cell r="AE1181">
            <v>8790</v>
          </cell>
        </row>
        <row r="1182">
          <cell r="A1182">
            <v>1182</v>
          </cell>
          <cell r="B1182">
            <v>46253</v>
          </cell>
          <cell r="C1182" t="str">
            <v>BENZ S350</v>
          </cell>
          <cell r="D1182" t="str">
            <v>BENZ</v>
          </cell>
          <cell r="E1182" t="str">
            <v>S350</v>
          </cell>
          <cell r="G1182" t="str">
            <v>21소0193</v>
          </cell>
          <cell r="H1182" t="str">
            <v>WDDUF3DBXGA268481</v>
          </cell>
          <cell r="I1182">
            <v>46254</v>
          </cell>
          <cell r="J1182" t="str">
            <v>㈜오토씨티</v>
          </cell>
          <cell r="L1182" t="str">
            <v>잔금</v>
          </cell>
          <cell r="M1182" t="str">
            <v>50만원 회사 통장</v>
          </cell>
          <cell r="N1182">
            <v>1940</v>
          </cell>
          <cell r="P1182">
            <v>0</v>
          </cell>
          <cell r="Q1182" t="str">
            <v>done</v>
          </cell>
          <cell r="R1182" t="str">
            <v>28/08/2026</v>
          </cell>
          <cell r="S1182" t="str">
            <v>Auto Posh SH.P.K</v>
          </cell>
          <cell r="T1182" t="str">
            <v>Auto Posh SH.P.K</v>
          </cell>
          <cell r="U1182">
            <v>812219427</v>
          </cell>
          <cell r="V1182" t="str">
            <v>38345560145</v>
          </cell>
          <cell r="W1182" t="str">
            <v>KOSOVO</v>
          </cell>
          <cell r="X1182">
            <v>1404</v>
          </cell>
          <cell r="AB1182">
            <v>1617</v>
          </cell>
          <cell r="AC1182">
            <v>11442</v>
          </cell>
          <cell r="AD1182">
            <v>1858</v>
          </cell>
          <cell r="AE1182">
            <v>13300</v>
          </cell>
        </row>
        <row r="1183">
          <cell r="A1183">
            <v>1183</v>
          </cell>
          <cell r="B1183">
            <v>46254</v>
          </cell>
          <cell r="C1183" t="str">
            <v>KIA CARNIVAL</v>
          </cell>
          <cell r="D1183" t="str">
            <v>KIA</v>
          </cell>
          <cell r="E1183" t="str">
            <v>CARNIVAL</v>
          </cell>
          <cell r="G1183" t="str">
            <v>198허2457/227더3735</v>
          </cell>
          <cell r="H1183" t="str">
            <v>KNANC81BBPS291394</v>
          </cell>
          <cell r="J1183" t="str">
            <v>경매장- AJ\</v>
          </cell>
          <cell r="L1183" t="str">
            <v>잔금</v>
          </cell>
          <cell r="N1183">
            <v>1565</v>
          </cell>
          <cell r="O1183">
            <v>40</v>
          </cell>
          <cell r="P1183">
            <v>0</v>
          </cell>
          <cell r="Q1183" t="str">
            <v>done</v>
          </cell>
          <cell r="R1183" t="str">
            <v>CON17</v>
          </cell>
          <cell r="S1183" t="str">
            <v>MANTAS</v>
          </cell>
          <cell r="T1183" t="str">
            <v>UAB GRALIS</v>
          </cell>
          <cell r="U1183">
            <v>179285533</v>
          </cell>
          <cell r="V1183" t="str">
            <v>370 (618) 11 666</v>
          </cell>
          <cell r="W1183" t="str">
            <v xml:space="preserve">Jūros g. 33, Tauragė  </v>
          </cell>
          <cell r="X1183">
            <v>1381</v>
          </cell>
          <cell r="AC1183">
            <v>11250</v>
          </cell>
        </row>
        <row r="1184">
          <cell r="A1184">
            <v>1184</v>
          </cell>
          <cell r="B1184">
            <v>46254</v>
          </cell>
          <cell r="C1184" t="str">
            <v>Benz E220d</v>
          </cell>
          <cell r="D1184" t="str">
            <v>Benz</v>
          </cell>
          <cell r="E1184" t="str">
            <v>E220d</v>
          </cell>
          <cell r="G1184" t="str">
            <v>300주3349</v>
          </cell>
          <cell r="H1184" t="str">
            <v>WDDZF0EB5HA168616</v>
          </cell>
          <cell r="I1184">
            <v>46255</v>
          </cell>
          <cell r="J1184" t="str">
            <v>㈜삼일상사</v>
          </cell>
          <cell r="L1184" t="str">
            <v>잔금</v>
          </cell>
          <cell r="M1184" t="str">
            <v>50만원 회사 통장</v>
          </cell>
          <cell r="N1184">
            <v>1640</v>
          </cell>
          <cell r="P1184">
            <v>0</v>
          </cell>
          <cell r="Q1184" t="str">
            <v>done</v>
          </cell>
          <cell r="R1184" t="str">
            <v>28/08/2026</v>
          </cell>
          <cell r="S1184" t="str">
            <v>BUTRINT</v>
          </cell>
          <cell r="T1184" t="str">
            <v>VENENO GROUP SHPK</v>
          </cell>
          <cell r="U1184">
            <v>812449553</v>
          </cell>
          <cell r="V1184" t="str">
            <v>386 49 776 654</v>
          </cell>
          <cell r="W1184" t="str">
            <v>Kosovo</v>
          </cell>
          <cell r="X1184">
            <v>1381</v>
          </cell>
          <cell r="AB1184">
            <v>1612</v>
          </cell>
          <cell r="AC1184">
            <v>9892</v>
          </cell>
          <cell r="AD1184">
            <v>1748</v>
          </cell>
          <cell r="AE1184">
            <v>11640</v>
          </cell>
          <cell r="AF1184">
            <v>11640</v>
          </cell>
        </row>
        <row r="1185">
          <cell r="A1185">
            <v>1185</v>
          </cell>
          <cell r="B1185">
            <v>46254</v>
          </cell>
          <cell r="C1185" t="str">
            <v>HYUNDAI TUCSON</v>
          </cell>
          <cell r="D1185" t="str">
            <v>HYUNDAI</v>
          </cell>
          <cell r="E1185" t="str">
            <v>TUCSON</v>
          </cell>
          <cell r="G1185" t="str">
            <v>04버8863</v>
          </cell>
          <cell r="H1185" t="str">
            <v>KMHJ581ABKU851684</v>
          </cell>
          <cell r="I1185">
            <v>46255</v>
          </cell>
          <cell r="J1185" t="str">
            <v>㈜미카</v>
          </cell>
          <cell r="L1185" t="str">
            <v>잔금</v>
          </cell>
          <cell r="M1185" t="str">
            <v>50만원 회사 통장</v>
          </cell>
          <cell r="N1185">
            <v>950</v>
          </cell>
          <cell r="P1185">
            <v>0</v>
          </cell>
          <cell r="Q1185" t="str">
            <v>done</v>
          </cell>
          <cell r="R1185" t="str">
            <v>28/08/2026</v>
          </cell>
          <cell r="S1185" t="str">
            <v>CALJA</v>
          </cell>
          <cell r="T1185" t="str">
            <v>MEMA DAMIANA</v>
          </cell>
          <cell r="U1185" t="str">
            <v>J05812016U</v>
          </cell>
          <cell r="V1185" t="str">
            <v>355 69 550 5533</v>
          </cell>
          <cell r="W1185" t="str">
            <v>Albania</v>
          </cell>
          <cell r="X1185">
            <v>1381</v>
          </cell>
          <cell r="AB1185">
            <v>1612</v>
          </cell>
          <cell r="AC1185">
            <v>5767</v>
          </cell>
          <cell r="AD1185">
            <v>1833</v>
          </cell>
          <cell r="AE1185">
            <v>7600</v>
          </cell>
          <cell r="AF1185">
            <v>7850</v>
          </cell>
        </row>
        <row r="1186">
          <cell r="A1186">
            <v>1186</v>
          </cell>
          <cell r="B1186">
            <v>46254</v>
          </cell>
          <cell r="C1186" t="str">
            <v>AUDI A6</v>
          </cell>
          <cell r="D1186" t="str">
            <v>AUDI</v>
          </cell>
          <cell r="E1186" t="str">
            <v>A6</v>
          </cell>
          <cell r="G1186" t="str">
            <v>110주9183</v>
          </cell>
          <cell r="H1186" t="str">
            <v>WAUZZZF25LN042453</v>
          </cell>
          <cell r="I1186">
            <v>46255</v>
          </cell>
          <cell r="J1186" t="str">
            <v>㈜홈카</v>
          </cell>
          <cell r="L1186" t="str">
            <v>잔금</v>
          </cell>
          <cell r="M1186" t="str">
            <v>100만원 회사 통장</v>
          </cell>
          <cell r="N1186">
            <v>2200</v>
          </cell>
          <cell r="P1186">
            <v>0</v>
          </cell>
          <cell r="Q1186" t="str">
            <v>done</v>
          </cell>
          <cell r="R1186" t="str">
            <v>28/08/2026</v>
          </cell>
          <cell r="S1186" t="str">
            <v>HYSA</v>
          </cell>
          <cell r="T1186" t="str">
            <v>HYSA JUGERS</v>
          </cell>
          <cell r="U1186" t="str">
            <v>J90912021M</v>
          </cell>
          <cell r="V1186" t="str">
            <v>355 69 690 2972</v>
          </cell>
          <cell r="W1186" t="str">
            <v>Albania</v>
          </cell>
          <cell r="X1186">
            <v>1381</v>
          </cell>
          <cell r="AB1186">
            <v>1612</v>
          </cell>
          <cell r="AC1186">
            <v>13102</v>
          </cell>
          <cell r="AD1186">
            <v>1748</v>
          </cell>
          <cell r="AE1186">
            <v>14850</v>
          </cell>
          <cell r="AF1186">
            <v>5560</v>
          </cell>
        </row>
        <row r="1187">
          <cell r="A1187">
            <v>1187</v>
          </cell>
          <cell r="B1187">
            <v>46254</v>
          </cell>
          <cell r="C1187" t="str">
            <v>Benz c220d</v>
          </cell>
          <cell r="D1187" t="str">
            <v>Benz</v>
          </cell>
          <cell r="E1187" t="str">
            <v>c220d</v>
          </cell>
          <cell r="G1187" t="str">
            <v>63어4808</v>
          </cell>
          <cell r="H1187" t="str">
            <v>WDDWF0EB3FF180699</v>
          </cell>
          <cell r="I1187">
            <v>46255</v>
          </cell>
          <cell r="J1187" t="str">
            <v>㈜바른모토스</v>
          </cell>
          <cell r="L1187" t="str">
            <v>잔금</v>
          </cell>
          <cell r="M1187" t="str">
            <v>50만원 회사 통장</v>
          </cell>
          <cell r="N1187">
            <v>1004</v>
          </cell>
          <cell r="P1187">
            <v>0</v>
          </cell>
          <cell r="Q1187" t="str">
            <v>done</v>
          </cell>
          <cell r="R1187" t="str">
            <v>28/08/2026</v>
          </cell>
          <cell r="S1187" t="str">
            <v>CALJA</v>
          </cell>
          <cell r="T1187" t="str">
            <v>KAMAMI REGINA</v>
          </cell>
          <cell r="U1187" t="str">
            <v>K25220006P</v>
          </cell>
          <cell r="V1187" t="str">
            <v xml:space="preserve">355 69 659 2514 </v>
          </cell>
          <cell r="W1187" t="str">
            <v>Albania</v>
          </cell>
          <cell r="X1187">
            <v>1381</v>
          </cell>
          <cell r="AB1187">
            <v>1612</v>
          </cell>
          <cell r="AC1187">
            <v>5952</v>
          </cell>
          <cell r="AD1187">
            <v>1748</v>
          </cell>
          <cell r="AE1187">
            <v>7700</v>
          </cell>
          <cell r="AF1187">
            <v>8170</v>
          </cell>
        </row>
        <row r="1188">
          <cell r="A1188">
            <v>1188</v>
          </cell>
          <cell r="B1188">
            <v>46254</v>
          </cell>
          <cell r="C1188" t="str">
            <v>BMW 118d</v>
          </cell>
          <cell r="D1188" t="str">
            <v>BMW</v>
          </cell>
          <cell r="E1188" t="str">
            <v>118d</v>
          </cell>
          <cell r="G1188" t="str">
            <v>49너6323</v>
          </cell>
          <cell r="H1188" t="str">
            <v>WBA1S510XJ5K36103</v>
          </cell>
          <cell r="I1188">
            <v>46260</v>
          </cell>
          <cell r="J1188" t="str">
            <v>㈜</v>
          </cell>
          <cell r="L1188" t="str">
            <v>잔금</v>
          </cell>
          <cell r="M1188" t="str">
            <v>50만원 회사 통장</v>
          </cell>
          <cell r="N1188">
            <v>1500</v>
          </cell>
          <cell r="P1188">
            <v>0</v>
          </cell>
          <cell r="Q1188" t="str">
            <v>DONE</v>
          </cell>
          <cell r="R1188">
            <v>46274</v>
          </cell>
          <cell r="S1188" t="str">
            <v>DAX IMPORT</v>
          </cell>
          <cell r="T1188" t="str">
            <v xml:space="preserve">Michael Karl  </v>
          </cell>
          <cell r="U1188" t="str">
            <v>LF9N8WZ16</v>
          </cell>
          <cell r="V1188" t="str">
            <v>‪+49 471 94189050‬</v>
          </cell>
          <cell r="W1188" t="str">
            <v xml:space="preserve">Dorfstr,33C,(82024) Taufkirchen, Germany </v>
          </cell>
          <cell r="X1188">
            <v>1369</v>
          </cell>
          <cell r="AB1188">
            <v>1597</v>
          </cell>
          <cell r="AC1188">
            <v>8890</v>
          </cell>
          <cell r="AE1188">
            <v>8890</v>
          </cell>
        </row>
        <row r="1189">
          <cell r="A1189">
            <v>1189</v>
          </cell>
          <cell r="B1189">
            <v>46255</v>
          </cell>
          <cell r="C1189" t="str">
            <v>HYUNDAI SANTAFE</v>
          </cell>
          <cell r="D1189" t="str">
            <v>HYUNDAI</v>
          </cell>
          <cell r="E1189" t="str">
            <v>SANTAFE</v>
          </cell>
          <cell r="G1189" t="str">
            <v>369고1708</v>
          </cell>
          <cell r="H1189" t="str">
            <v>KMHS281HHMU392292</v>
          </cell>
          <cell r="I1189">
            <v>46259</v>
          </cell>
          <cell r="L1189" t="str">
            <v>잔금</v>
          </cell>
          <cell r="M1189" t="str">
            <v>50만원 대표님 계약</v>
          </cell>
          <cell r="N1189">
            <v>2294</v>
          </cell>
          <cell r="P1189">
            <v>0</v>
          </cell>
          <cell r="Q1189" t="str">
            <v>done</v>
          </cell>
          <cell r="R1189" t="str">
            <v>con 13</v>
          </cell>
          <cell r="S1189" t="str">
            <v>EASY DRIVE</v>
          </cell>
          <cell r="T1189" t="str">
            <v>Easy Drive LTD</v>
          </cell>
          <cell r="U1189">
            <v>206557008</v>
          </cell>
          <cell r="V1189" t="str">
            <v>359 89 936 8386</v>
          </cell>
          <cell r="W1189" t="str">
            <v>ul. Sokolna 47
1444 Sofia
Bulgaria</v>
          </cell>
          <cell r="AC1189">
            <v>22927500</v>
          </cell>
        </row>
        <row r="1190">
          <cell r="A1190">
            <v>1190</v>
          </cell>
          <cell r="B1190">
            <v>46255</v>
          </cell>
          <cell r="C1190" t="str">
            <v>bmw X3</v>
          </cell>
          <cell r="D1190" t="str">
            <v>bmw</v>
          </cell>
          <cell r="E1190" t="str">
            <v>X3</v>
          </cell>
          <cell r="G1190" t="str">
            <v>154러7017</v>
          </cell>
          <cell r="H1190" t="str">
            <v>WBATY9109M9F31255</v>
          </cell>
          <cell r="I1190">
            <v>46259</v>
          </cell>
          <cell r="L1190" t="str">
            <v>잔금</v>
          </cell>
          <cell r="M1190" t="str">
            <v>100만원 대표님 계약</v>
          </cell>
          <cell r="N1190">
            <v>4230</v>
          </cell>
          <cell r="P1190">
            <v>0</v>
          </cell>
          <cell r="Q1190" t="str">
            <v>done</v>
          </cell>
          <cell r="R1190" t="str">
            <v>con 13</v>
          </cell>
          <cell r="S1190" t="str">
            <v>EASY DRIVE</v>
          </cell>
          <cell r="T1190" t="str">
            <v>Easy Drive LTD</v>
          </cell>
          <cell r="U1190">
            <v>206557008</v>
          </cell>
          <cell r="V1190" t="str">
            <v>359 89 936 8386</v>
          </cell>
          <cell r="W1190" t="str">
            <v>ul. Sokolna 47
1444 Sofia
Bulgaria</v>
          </cell>
          <cell r="AC1190">
            <v>40607300</v>
          </cell>
          <cell r="AE1190">
            <v>-300000</v>
          </cell>
        </row>
        <row r="1191">
          <cell r="A1191">
            <v>1191</v>
          </cell>
          <cell r="B1191">
            <v>46255</v>
          </cell>
          <cell r="C1191" t="str">
            <v>RENAULT CLIO</v>
          </cell>
          <cell r="D1191" t="str">
            <v>RENAULT</v>
          </cell>
          <cell r="E1191" t="str">
            <v>CLIO</v>
          </cell>
          <cell r="G1191" t="str">
            <v>66소6937</v>
          </cell>
          <cell r="H1191" t="str">
            <v>VF1R98001KR592047</v>
          </cell>
          <cell r="J1191" t="str">
            <v xml:space="preserve">경매장-헤이딜러 대표님 </v>
          </cell>
          <cell r="L1191" t="str">
            <v>잔금</v>
          </cell>
          <cell r="N1191">
            <v>504</v>
          </cell>
          <cell r="P1191">
            <v>0</v>
          </cell>
          <cell r="Q1191" t="str">
            <v>done</v>
          </cell>
          <cell r="R1191" t="str">
            <v>28/08/2026</v>
          </cell>
          <cell r="S1191" t="str">
            <v>Auto Posh SH.P.K</v>
          </cell>
          <cell r="T1191" t="str">
            <v>Auto Posh SH.P.K</v>
          </cell>
          <cell r="U1191">
            <v>812219427</v>
          </cell>
          <cell r="V1191" t="str">
            <v>38345560145</v>
          </cell>
          <cell r="W1191" t="str">
            <v>KOSOVO</v>
          </cell>
          <cell r="X1191">
            <v>1369</v>
          </cell>
          <cell r="AB1191">
            <v>1598</v>
          </cell>
          <cell r="AC1191">
            <v>3472</v>
          </cell>
          <cell r="AD1191">
            <v>1748</v>
          </cell>
          <cell r="AE1191">
            <v>5220</v>
          </cell>
        </row>
        <row r="1192">
          <cell r="A1192">
            <v>1192</v>
          </cell>
          <cell r="B1192">
            <v>46255</v>
          </cell>
          <cell r="C1192" t="str">
            <v xml:space="preserve"> F-PACE 20d</v>
          </cell>
          <cell r="E1192" t="str">
            <v>F-PACE 20d</v>
          </cell>
          <cell r="G1192" t="str">
            <v>48나5088</v>
          </cell>
          <cell r="H1192" t="str">
            <v>SADCA2BN2JA291552</v>
          </cell>
          <cell r="J1192" t="str">
            <v xml:space="preserve">경매장-헤이딜러 대표님 </v>
          </cell>
          <cell r="L1192" t="str">
            <v>cancel</v>
          </cell>
          <cell r="N1192">
            <v>844</v>
          </cell>
          <cell r="P1192">
            <v>0</v>
          </cell>
          <cell r="S1192" t="str">
            <v>Auto Posh SH.P.K</v>
          </cell>
          <cell r="T1192" t="str">
            <v>Auto Posh SH.P.K</v>
          </cell>
          <cell r="U1192">
            <v>812219427</v>
          </cell>
          <cell r="V1192" t="str">
            <v>38345560145</v>
          </cell>
          <cell r="W1192" t="str">
            <v>KOSOVO</v>
          </cell>
          <cell r="AC1192">
            <v>0</v>
          </cell>
        </row>
        <row r="1193">
          <cell r="A1193">
            <v>1193</v>
          </cell>
          <cell r="B1193">
            <v>46255</v>
          </cell>
          <cell r="C1193" t="str">
            <v>AUDI A6</v>
          </cell>
          <cell r="D1193" t="str">
            <v>AUDI</v>
          </cell>
          <cell r="E1193" t="str">
            <v>A6</v>
          </cell>
          <cell r="G1193" t="str">
            <v>61소0322</v>
          </cell>
          <cell r="H1193" t="str">
            <v>WAUZZZ4G0GN047368</v>
          </cell>
          <cell r="J1193" t="str">
            <v>경매장- 현대</v>
          </cell>
          <cell r="L1193" t="str">
            <v>잔금</v>
          </cell>
          <cell r="N1193">
            <v>880</v>
          </cell>
          <cell r="O1193">
            <v>20</v>
          </cell>
          <cell r="P1193">
            <v>0</v>
          </cell>
          <cell r="Q1193" t="str">
            <v>done</v>
          </cell>
          <cell r="R1193" t="str">
            <v>28/08/2026</v>
          </cell>
          <cell r="S1193" t="str">
            <v>DONI</v>
          </cell>
          <cell r="T1193" t="str">
            <v>DONI</v>
          </cell>
          <cell r="U1193">
            <v>933682</v>
          </cell>
          <cell r="V1193" t="str">
            <v>3 8 3 4 9 3 2 5 7 0 3</v>
          </cell>
          <cell r="W1193" t="str">
            <v xml:space="preserve"> HYZRI TALLA OB 16 HY 1 NR 18
 Kosovë</v>
          </cell>
          <cell r="X1193">
            <v>1369</v>
          </cell>
          <cell r="AB1193">
            <v>1598</v>
          </cell>
          <cell r="AC1193">
            <v>5492</v>
          </cell>
          <cell r="AD1193">
            <v>1748</v>
          </cell>
          <cell r="AE1193">
            <v>7240</v>
          </cell>
        </row>
        <row r="1194">
          <cell r="A1194">
            <v>1194</v>
          </cell>
          <cell r="B1194">
            <v>46255</v>
          </cell>
          <cell r="C1194" t="str">
            <v>PEUGEOT 3008</v>
          </cell>
          <cell r="D1194" t="str">
            <v>PEUGEOT</v>
          </cell>
          <cell r="E1194">
            <v>3008</v>
          </cell>
          <cell r="G1194" t="str">
            <v>64루7439</v>
          </cell>
          <cell r="H1194" t="str">
            <v>VF3MCBHZWKS008471</v>
          </cell>
          <cell r="I1194">
            <v>46261</v>
          </cell>
          <cell r="J1194" t="str">
            <v>㈜카베이</v>
          </cell>
          <cell r="L1194" t="str">
            <v>잔금</v>
          </cell>
          <cell r="M1194" t="str">
            <v>50만원 회사 통장</v>
          </cell>
          <cell r="N1194">
            <v>1364</v>
          </cell>
          <cell r="P1194">
            <v>0</v>
          </cell>
          <cell r="Q1194" t="str">
            <v>done</v>
          </cell>
          <cell r="R1194" t="str">
            <v>04-09-2026</v>
          </cell>
          <cell r="S1194" t="str">
            <v>Armir</v>
          </cell>
          <cell r="T1194" t="str">
            <v>ARMEND SANAJA</v>
          </cell>
          <cell r="U1194" t="str">
            <v>ID1741772</v>
          </cell>
          <cell r="V1194" t="str">
            <v>383 49 690 998</v>
          </cell>
          <cell r="W1194" t="str">
            <v>KOSOVO</v>
          </cell>
          <cell r="X1194">
            <v>1371</v>
          </cell>
          <cell r="AB1194">
            <v>1601</v>
          </cell>
          <cell r="AC1194">
            <v>8177</v>
          </cell>
          <cell r="AD1194">
            <v>1833</v>
          </cell>
          <cell r="AE1194">
            <v>10010</v>
          </cell>
          <cell r="AF1194">
            <v>10010</v>
          </cell>
        </row>
        <row r="1195">
          <cell r="A1195">
            <v>1195</v>
          </cell>
          <cell r="B1195">
            <v>46258</v>
          </cell>
          <cell r="C1195" t="str">
            <v>BENZ E350</v>
          </cell>
          <cell r="D1195" t="str">
            <v>BENZ</v>
          </cell>
          <cell r="E1195" t="str">
            <v>E350</v>
          </cell>
          <cell r="G1195" t="str">
            <v>237노8525</v>
          </cell>
          <cell r="H1195" t="str">
            <v>WDDZF3DB6HA278173</v>
          </cell>
          <cell r="I1195">
            <v>46266</v>
          </cell>
          <cell r="J1195" t="str">
            <v>주 다정.자동차매매상사  010 2879 5555</v>
          </cell>
          <cell r="L1195" t="str">
            <v>잔금</v>
          </cell>
          <cell r="M1195" t="str">
            <v>50만원 대표님 계약</v>
          </cell>
          <cell r="N1195">
            <v>1950</v>
          </cell>
          <cell r="P1195">
            <v>0</v>
          </cell>
          <cell r="Q1195" t="str">
            <v>done</v>
          </cell>
          <cell r="R1195" t="str">
            <v>04-09-2026</v>
          </cell>
          <cell r="S1195" t="str">
            <v>HYSA</v>
          </cell>
          <cell r="T1195" t="str">
            <v>Gazment hysa</v>
          </cell>
          <cell r="U1195" t="str">
            <v>J51126019V</v>
          </cell>
          <cell r="V1195">
            <v>694546766</v>
          </cell>
          <cell r="W1195" t="str">
            <v>Albania</v>
          </cell>
          <cell r="X1195">
            <v>1371</v>
          </cell>
          <cell r="AB1195">
            <v>1601</v>
          </cell>
          <cell r="AC1195">
            <v>11653</v>
          </cell>
          <cell r="AD1195">
            <v>1747</v>
          </cell>
          <cell r="AE1195">
            <v>13400</v>
          </cell>
          <cell r="AF1195">
            <v>7800</v>
          </cell>
        </row>
        <row r="1196">
          <cell r="A1196">
            <v>1196</v>
          </cell>
          <cell r="B1196">
            <v>46258</v>
          </cell>
          <cell r="C1196" t="str">
            <v>VOLKSWAGEN TIGUAN</v>
          </cell>
          <cell r="D1196" t="str">
            <v>VOLKSWAGEN</v>
          </cell>
          <cell r="E1196" t="str">
            <v>TIGUAN</v>
          </cell>
          <cell r="G1196" t="str">
            <v>227조9116</v>
          </cell>
          <cell r="H1196" t="str">
            <v>WVGZZZ5NZLW887114</v>
          </cell>
          <cell r="I1196">
            <v>46256</v>
          </cell>
          <cell r="J1196" t="str">
            <v>㈜드림모터스</v>
          </cell>
          <cell r="L1196" t="str">
            <v>잔금</v>
          </cell>
          <cell r="M1196" t="str">
            <v>50만원 대표님 계약</v>
          </cell>
          <cell r="N1196">
            <v>1670</v>
          </cell>
          <cell r="P1196">
            <v>0</v>
          </cell>
          <cell r="Q1196" t="str">
            <v>done</v>
          </cell>
          <cell r="R1196" t="str">
            <v>28-08-2026</v>
          </cell>
          <cell r="S1196" t="str">
            <v>BUTRINT</v>
          </cell>
          <cell r="T1196" t="str">
            <v>VENENO GROUP SHPK</v>
          </cell>
          <cell r="U1196">
            <v>812449553</v>
          </cell>
          <cell r="V1196" t="str">
            <v>386 49 776 654</v>
          </cell>
          <cell r="W1196" t="str">
            <v>Kosovo</v>
          </cell>
          <cell r="X1196">
            <v>1371</v>
          </cell>
          <cell r="AB1196">
            <v>1601</v>
          </cell>
          <cell r="AC1196">
            <v>9967</v>
          </cell>
          <cell r="AD1196">
            <v>1833</v>
          </cell>
          <cell r="AE1196">
            <v>11800</v>
          </cell>
        </row>
        <row r="1197">
          <cell r="A1197">
            <v>1197</v>
          </cell>
          <cell r="B1197">
            <v>46258</v>
          </cell>
          <cell r="C1197" t="str">
            <v>AUDI Q5</v>
          </cell>
          <cell r="D1197" t="str">
            <v>AUDI</v>
          </cell>
          <cell r="E1197" t="str">
            <v>Q5</v>
          </cell>
          <cell r="G1197" t="str">
            <v>161버8601</v>
          </cell>
          <cell r="H1197" t="str">
            <v>WAUZZZFYXL2080055</v>
          </cell>
          <cell r="I1197">
            <v>46267</v>
          </cell>
          <cell r="J1197" t="str">
            <v>㈜플랜오토</v>
          </cell>
          <cell r="L1197" t="str">
            <v>잔금</v>
          </cell>
          <cell r="M1197" t="str">
            <v>100만원 대표님 계약</v>
          </cell>
          <cell r="N1197">
            <v>2850</v>
          </cell>
          <cell r="P1197">
            <v>0</v>
          </cell>
          <cell r="Q1197" t="str">
            <v>done</v>
          </cell>
          <cell r="R1197" t="str">
            <v>04-09-2026</v>
          </cell>
          <cell r="S1197" t="str">
            <v>Avendor Auto</v>
          </cell>
          <cell r="T1197" t="str">
            <v>Avendor Auto</v>
          </cell>
          <cell r="U1197" t="str">
            <v>812353613</v>
          </cell>
          <cell r="V1197">
            <v>38348480119</v>
          </cell>
          <cell r="W1197" t="str">
            <v>Kosovo</v>
          </cell>
          <cell r="X1197">
            <v>1404</v>
          </cell>
          <cell r="AB1197">
            <v>1617</v>
          </cell>
          <cell r="AC1197">
            <v>17022</v>
          </cell>
          <cell r="AD1197">
            <v>1858</v>
          </cell>
          <cell r="AE1197">
            <v>18880</v>
          </cell>
          <cell r="AF1197">
            <v>18880</v>
          </cell>
        </row>
        <row r="1198">
          <cell r="A1198">
            <v>1198</v>
          </cell>
          <cell r="B1198">
            <v>46258</v>
          </cell>
          <cell r="C1198" t="str">
            <v>AUDI A6</v>
          </cell>
          <cell r="D1198" t="str">
            <v>AUDI</v>
          </cell>
          <cell r="E1198" t="str">
            <v>A6</v>
          </cell>
          <cell r="G1198" t="str">
            <v>02모4555</v>
          </cell>
          <cell r="H1198" t="str">
            <v>WAUZZZ4G6JN061752</v>
          </cell>
          <cell r="I1198">
            <v>46256</v>
          </cell>
          <cell r="J1198" t="str">
            <v>㈜카톡모터스</v>
          </cell>
          <cell r="L1198" t="str">
            <v>잔금</v>
          </cell>
          <cell r="M1198" t="str">
            <v>50만원 대표님 계약</v>
          </cell>
          <cell r="N1198">
            <v>1320</v>
          </cell>
          <cell r="P1198">
            <v>0</v>
          </cell>
          <cell r="Q1198" t="str">
            <v>done</v>
          </cell>
          <cell r="R1198" t="str">
            <v>28/08/2026</v>
          </cell>
          <cell r="S1198" t="str">
            <v>BUTRINT</v>
          </cell>
          <cell r="T1198" t="str">
            <v>VENENO GROUP SHPK</v>
          </cell>
          <cell r="U1198">
            <v>812449553</v>
          </cell>
          <cell r="V1198" t="str">
            <v>386 49 776 654</v>
          </cell>
          <cell r="W1198" t="str">
            <v>Kosovo</v>
          </cell>
          <cell r="X1198">
            <v>1371</v>
          </cell>
          <cell r="AB1198">
            <v>1601</v>
          </cell>
          <cell r="AC1198">
            <v>7903</v>
          </cell>
          <cell r="AD1198">
            <v>1747</v>
          </cell>
          <cell r="AE1198">
            <v>9650</v>
          </cell>
          <cell r="AF1198">
            <v>9650</v>
          </cell>
        </row>
        <row r="1199">
          <cell r="A1199">
            <v>1199</v>
          </cell>
          <cell r="B1199">
            <v>46258</v>
          </cell>
          <cell r="C1199" t="str">
            <v>VOLKSWAGEN TIGUAN</v>
          </cell>
          <cell r="D1199" t="str">
            <v>VOLKSWAGEN</v>
          </cell>
          <cell r="E1199" t="str">
            <v>TIGUAN</v>
          </cell>
          <cell r="G1199" t="str">
            <v>196다2669</v>
          </cell>
          <cell r="H1199" t="str">
            <v>WVGZZZ5NZJW916472</v>
          </cell>
          <cell r="I1199">
            <v>46259</v>
          </cell>
          <cell r="J1199" t="str">
            <v>㈜대연상사</v>
          </cell>
          <cell r="L1199" t="str">
            <v>잔금</v>
          </cell>
          <cell r="M1199" t="str">
            <v>50만원 회사 통장</v>
          </cell>
          <cell r="N1199">
            <v>1570</v>
          </cell>
          <cell r="P1199">
            <v>0</v>
          </cell>
          <cell r="Q1199" t="str">
            <v>done</v>
          </cell>
          <cell r="R1199">
            <v>46263</v>
          </cell>
          <cell r="S1199" t="str">
            <v>BUTRINT</v>
          </cell>
          <cell r="T1199" t="str">
            <v>VENENO GROUP SHPK</v>
          </cell>
          <cell r="U1199">
            <v>812449553</v>
          </cell>
          <cell r="V1199" t="str">
            <v>386 49 776 654</v>
          </cell>
          <cell r="W1199" t="str">
            <v>Kosovo</v>
          </cell>
          <cell r="X1199">
            <v>1371</v>
          </cell>
          <cell r="AB1199">
            <v>1601</v>
          </cell>
          <cell r="AC1199">
            <v>9317</v>
          </cell>
          <cell r="AD1199">
            <v>1833</v>
          </cell>
          <cell r="AE1199">
            <v>11150</v>
          </cell>
          <cell r="AF1199">
            <v>11150</v>
          </cell>
        </row>
        <row r="1200">
          <cell r="A1200">
            <v>1200</v>
          </cell>
          <cell r="B1200">
            <v>46259</v>
          </cell>
          <cell r="C1200" t="str">
            <v>BMW X4</v>
          </cell>
          <cell r="D1200" t="str">
            <v>BMW</v>
          </cell>
          <cell r="E1200" t="str">
            <v>X4</v>
          </cell>
          <cell r="G1200" t="str">
            <v>326고9564</v>
          </cell>
          <cell r="H1200" t="str">
            <v>WBAXX1104H0W11575</v>
          </cell>
          <cell r="I1200">
            <v>46260</v>
          </cell>
          <cell r="J1200" t="str">
            <v>㈜차카</v>
          </cell>
          <cell r="L1200" t="str">
            <v>잔금</v>
          </cell>
          <cell r="M1200" t="str">
            <v>100 만원 대표님</v>
          </cell>
          <cell r="N1200">
            <v>1650</v>
          </cell>
          <cell r="P1200">
            <v>0</v>
          </cell>
          <cell r="Q1200" t="str">
            <v>done</v>
          </cell>
          <cell r="R1200">
            <v>46268</v>
          </cell>
          <cell r="S1200" t="str">
            <v>BUTRINT</v>
          </cell>
          <cell r="T1200" t="str">
            <v>VENENO GROUP SHPK</v>
          </cell>
          <cell r="U1200">
            <v>812449553</v>
          </cell>
          <cell r="V1200" t="str">
            <v>386 49 776 654</v>
          </cell>
          <cell r="W1200" t="str">
            <v>Kosovo</v>
          </cell>
          <cell r="X1200">
            <v>1369</v>
          </cell>
          <cell r="AB1200">
            <v>1597</v>
          </cell>
          <cell r="AC1200">
            <v>9876</v>
          </cell>
          <cell r="AD1200">
            <v>1834</v>
          </cell>
          <cell r="AE1200">
            <v>11710</v>
          </cell>
          <cell r="AF1200">
            <v>11730</v>
          </cell>
        </row>
        <row r="1201">
          <cell r="A1201">
            <v>1201</v>
          </cell>
          <cell r="B1201">
            <v>46259</v>
          </cell>
          <cell r="C1201" t="str">
            <v>AUDI A4</v>
          </cell>
          <cell r="D1201" t="str">
            <v>AUDI</v>
          </cell>
          <cell r="E1201" t="str">
            <v>A4</v>
          </cell>
          <cell r="F1201">
            <v>2016</v>
          </cell>
          <cell r="G1201" t="str">
            <v>52라0815</v>
          </cell>
          <cell r="H1201" t="str">
            <v>WAUZZZ8K4GN018731</v>
          </cell>
          <cell r="J1201" t="str">
            <v>경매장- 헤이딜러</v>
          </cell>
          <cell r="L1201" t="str">
            <v>잔금</v>
          </cell>
          <cell r="N1201">
            <v>944</v>
          </cell>
          <cell r="O1201">
            <v>36</v>
          </cell>
          <cell r="P1201">
            <v>0</v>
          </cell>
          <cell r="Q1201" t="str">
            <v>done</v>
          </cell>
          <cell r="R1201" t="str">
            <v>28/08/2026</v>
          </cell>
          <cell r="S1201" t="str">
            <v>DONI</v>
          </cell>
          <cell r="T1201" t="str">
            <v>DONI</v>
          </cell>
          <cell r="U1201">
            <v>933682</v>
          </cell>
          <cell r="V1201" t="str">
            <v>3 8 3 4 9 3 2 5 7 0 3</v>
          </cell>
          <cell r="W1201" t="str">
            <v xml:space="preserve"> HYZRI TALLA OB 16 HY 1 NR 18
 Kosovë</v>
          </cell>
          <cell r="X1201">
            <v>1369</v>
          </cell>
          <cell r="AB1201">
            <v>1598</v>
          </cell>
          <cell r="AC1201">
            <v>5982</v>
          </cell>
          <cell r="AD1201">
            <v>1748</v>
          </cell>
          <cell r="AE1201">
            <v>7730</v>
          </cell>
        </row>
        <row r="1202">
          <cell r="A1202">
            <v>1202</v>
          </cell>
          <cell r="B1202">
            <v>46259</v>
          </cell>
          <cell r="C1202" t="str">
            <v>KIA K5</v>
          </cell>
          <cell r="D1202" t="str">
            <v>KIA</v>
          </cell>
          <cell r="E1202" t="str">
            <v>K5</v>
          </cell>
          <cell r="G1202" t="str">
            <v>28조0390</v>
          </cell>
          <cell r="H1202" t="str">
            <v xml:space="preserve">KNAGU411BHA113095 </v>
          </cell>
          <cell r="I1202">
            <v>46260</v>
          </cell>
          <cell r="L1202" t="str">
            <v>잔금</v>
          </cell>
          <cell r="M1202" t="str">
            <v>50만원 회사 통장</v>
          </cell>
          <cell r="P1202">
            <v>0</v>
          </cell>
          <cell r="Q1202" t="str">
            <v>done</v>
          </cell>
          <cell r="R1202" t="str">
            <v>con 13</v>
          </cell>
          <cell r="S1202" t="str">
            <v>EASY DRIVE</v>
          </cell>
          <cell r="T1202" t="str">
            <v>Easy Drive LTD</v>
          </cell>
          <cell r="U1202">
            <v>206557008</v>
          </cell>
          <cell r="V1202" t="str">
            <v>359 89 936 8386</v>
          </cell>
          <cell r="W1202" t="str">
            <v>ul. Sokolna 47
1444 Sofia
Bulgaria</v>
          </cell>
          <cell r="AC1202">
            <v>0</v>
          </cell>
        </row>
        <row r="1203">
          <cell r="A1203">
            <v>1203</v>
          </cell>
          <cell r="B1203">
            <v>46259</v>
          </cell>
          <cell r="C1203" t="str">
            <v>AUDI A6</v>
          </cell>
          <cell r="D1203" t="str">
            <v>AUDI</v>
          </cell>
          <cell r="E1203" t="str">
            <v>A6</v>
          </cell>
          <cell r="F1203">
            <v>2018</v>
          </cell>
          <cell r="G1203" t="str">
            <v>35너6617</v>
          </cell>
          <cell r="H1203" t="str">
            <v>WAUZZZ4G3JN074068</v>
          </cell>
          <cell r="J1203" t="str">
            <v>경매장- 헤이딜러</v>
          </cell>
          <cell r="L1203" t="str">
            <v>잔금</v>
          </cell>
          <cell r="N1203">
            <v>1214</v>
          </cell>
          <cell r="O1203">
            <v>37</v>
          </cell>
          <cell r="P1203">
            <v>0</v>
          </cell>
          <cell r="Q1203" t="str">
            <v>done</v>
          </cell>
          <cell r="R1203">
            <v>46297</v>
          </cell>
          <cell r="S1203" t="str">
            <v>DONI</v>
          </cell>
          <cell r="T1203" t="str">
            <v>DONI</v>
          </cell>
          <cell r="U1203">
            <v>933682</v>
          </cell>
          <cell r="V1203" t="str">
            <v>3 8 3 4 9 3 2 5 7 0 3</v>
          </cell>
          <cell r="W1203" t="str">
            <v xml:space="preserve"> HYZRI TALLA OB 16 HY 1 NR 18
 Kosovë</v>
          </cell>
          <cell r="X1203">
            <v>1325</v>
          </cell>
          <cell r="AB1203">
            <v>1541</v>
          </cell>
          <cell r="AC1203">
            <v>7526</v>
          </cell>
          <cell r="AD1203">
            <v>1754</v>
          </cell>
          <cell r="AE1203">
            <v>9280</v>
          </cell>
        </row>
        <row r="1204">
          <cell r="A1204">
            <v>1204</v>
          </cell>
          <cell r="B1204">
            <v>46259</v>
          </cell>
          <cell r="C1204" t="str">
            <v>BMW X3</v>
          </cell>
          <cell r="D1204" t="str">
            <v>BMW</v>
          </cell>
          <cell r="E1204" t="str">
            <v>X3</v>
          </cell>
          <cell r="F1204">
            <v>2017</v>
          </cell>
          <cell r="G1204" t="str">
            <v>50나1656</v>
          </cell>
          <cell r="H1204" t="str">
            <v>WBAWZ5102G0M30096</v>
          </cell>
          <cell r="J1204" t="str">
            <v>경매장- 헤이딜러</v>
          </cell>
          <cell r="L1204" t="str">
            <v>잔금</v>
          </cell>
          <cell r="N1204">
            <v>1285</v>
          </cell>
          <cell r="O1204">
            <v>37</v>
          </cell>
          <cell r="P1204">
            <v>0</v>
          </cell>
          <cell r="Q1204" t="str">
            <v>DONE</v>
          </cell>
          <cell r="R1204">
            <v>46276</v>
          </cell>
          <cell r="S1204" t="str">
            <v>DONI</v>
          </cell>
          <cell r="T1204" t="str">
            <v>DONI</v>
          </cell>
          <cell r="U1204">
            <v>933682</v>
          </cell>
          <cell r="V1204" t="str">
            <v>3 8 3 4 9 3 2 5 7 0 3</v>
          </cell>
          <cell r="W1204" t="str">
            <v xml:space="preserve"> HYZRI TALLA OB 16 HY 1 NR 18
 Kosovë</v>
          </cell>
          <cell r="X1204">
            <v>1328</v>
          </cell>
          <cell r="AB1204">
            <v>1544</v>
          </cell>
          <cell r="AC1204">
            <v>7919</v>
          </cell>
          <cell r="AD1204">
            <v>1841</v>
          </cell>
          <cell r="AE1204">
            <v>9760</v>
          </cell>
        </row>
        <row r="1205">
          <cell r="A1205">
            <v>1205</v>
          </cell>
          <cell r="B1205">
            <v>46259</v>
          </cell>
          <cell r="C1205" t="str">
            <v>AUDI A6</v>
          </cell>
          <cell r="D1205" t="str">
            <v>AUDI</v>
          </cell>
          <cell r="E1205" t="str">
            <v>A6</v>
          </cell>
          <cell r="G1205" t="str">
            <v>32버0724</v>
          </cell>
          <cell r="H1205" t="str">
            <v>WAUZZZ4G6GN013435</v>
          </cell>
          <cell r="J1205" t="str">
            <v>경매장- 헤이딜러</v>
          </cell>
          <cell r="L1205" t="str">
            <v>잔금</v>
          </cell>
          <cell r="N1205">
            <v>1214</v>
          </cell>
          <cell r="O1205">
            <v>37</v>
          </cell>
          <cell r="P1205">
            <v>0</v>
          </cell>
          <cell r="Q1205" t="str">
            <v>DONE</v>
          </cell>
          <cell r="R1205">
            <v>46274</v>
          </cell>
          <cell r="S1205" t="str">
            <v>DONI</v>
          </cell>
          <cell r="T1205" t="str">
            <v>DONI</v>
          </cell>
          <cell r="U1205">
            <v>933682</v>
          </cell>
          <cell r="V1205" t="str">
            <v>3 8 3 4 9 3 2 5 7 0 3</v>
          </cell>
          <cell r="W1205" t="str">
            <v xml:space="preserve"> HYZRI TALLA OB 16 HY 1 NR 18
 Kosovë</v>
          </cell>
          <cell r="X1205">
            <v>1328</v>
          </cell>
          <cell r="AB1205">
            <v>1544</v>
          </cell>
          <cell r="AC1205">
            <v>7735</v>
          </cell>
          <cell r="AD1205">
            <v>1755</v>
          </cell>
          <cell r="AE1205">
            <v>9490</v>
          </cell>
        </row>
        <row r="1206">
          <cell r="A1206">
            <v>1206</v>
          </cell>
          <cell r="B1206">
            <v>46259</v>
          </cell>
          <cell r="C1206" t="str">
            <v>BENZ C220</v>
          </cell>
          <cell r="D1206" t="str">
            <v>BENZ</v>
          </cell>
          <cell r="E1206" t="str">
            <v>C220</v>
          </cell>
          <cell r="F1206">
            <v>2018</v>
          </cell>
          <cell r="G1206" t="str">
            <v>43조7383</v>
          </cell>
          <cell r="H1206" t="str">
            <v>WDDWF0EB6JR366809</v>
          </cell>
          <cell r="J1206" t="str">
            <v>경매장- 헤이딜러</v>
          </cell>
          <cell r="L1206" t="str">
            <v>잔금</v>
          </cell>
          <cell r="N1206">
            <v>1274</v>
          </cell>
          <cell r="O1206">
            <v>38</v>
          </cell>
          <cell r="P1206">
            <v>0</v>
          </cell>
          <cell r="Q1206" t="str">
            <v>DONE</v>
          </cell>
          <cell r="R1206">
            <v>46274</v>
          </cell>
          <cell r="S1206" t="str">
            <v>DONI</v>
          </cell>
          <cell r="T1206" t="str">
            <v>DONI</v>
          </cell>
          <cell r="U1206">
            <v>933682</v>
          </cell>
          <cell r="V1206" t="str">
            <v>3 8 3 4 9 3 2 5 7 0 3</v>
          </cell>
          <cell r="W1206" t="str">
            <v xml:space="preserve"> HYZRI TALLA OB 16 HY 1 NR 18
 Kosovë</v>
          </cell>
          <cell r="X1206">
            <v>1328</v>
          </cell>
          <cell r="AB1206">
            <v>1544</v>
          </cell>
          <cell r="AC1206">
            <v>7895</v>
          </cell>
          <cell r="AD1206">
            <v>1755</v>
          </cell>
          <cell r="AE1206">
            <v>9650</v>
          </cell>
        </row>
        <row r="1207">
          <cell r="A1207">
            <v>1207</v>
          </cell>
          <cell r="B1207">
            <v>46259</v>
          </cell>
          <cell r="C1207" t="str">
            <v>VOLKSWAGEN Golf 2.0 TDI BMT</v>
          </cell>
          <cell r="D1207" t="str">
            <v>VOLKSWAGEN</v>
          </cell>
          <cell r="E1207" t="str">
            <v>Golf 2.0 TDI BMT</v>
          </cell>
          <cell r="F1207">
            <v>2016</v>
          </cell>
          <cell r="G1207" t="str">
            <v>46구0251</v>
          </cell>
          <cell r="H1207" t="str">
            <v>WVWZZZAUZGW147530</v>
          </cell>
          <cell r="J1207" t="str">
            <v>경매장- 헤이딜러</v>
          </cell>
          <cell r="L1207" t="str">
            <v>잔금</v>
          </cell>
          <cell r="N1207">
            <v>1114</v>
          </cell>
          <cell r="O1207">
            <v>39</v>
          </cell>
          <cell r="P1207">
            <v>0</v>
          </cell>
          <cell r="Q1207" t="str">
            <v>done</v>
          </cell>
          <cell r="R1207" t="str">
            <v>04-09-2026</v>
          </cell>
          <cell r="S1207" t="str">
            <v>DONI</v>
          </cell>
          <cell r="T1207" t="str">
            <v>DONI</v>
          </cell>
          <cell r="U1207">
            <v>933682</v>
          </cell>
          <cell r="V1207" t="str">
            <v>3 8 3 4 9 3 2 5 7 0 3</v>
          </cell>
          <cell r="W1207" t="str">
            <v xml:space="preserve"> HYZRI TALLA OB 16 HY 1 NR 18
 Kosovë</v>
          </cell>
          <cell r="X1207">
            <v>1358</v>
          </cell>
          <cell r="AB1207">
            <v>1576</v>
          </cell>
          <cell r="AC1207">
            <v>6962</v>
          </cell>
          <cell r="AD1207">
            <v>1758</v>
          </cell>
          <cell r="AE1207">
            <v>8720</v>
          </cell>
        </row>
        <row r="1208">
          <cell r="A1208">
            <v>1208</v>
          </cell>
          <cell r="B1208">
            <v>46259</v>
          </cell>
          <cell r="C1208" t="str">
            <v>VOLKSWAGEN TIGUAN</v>
          </cell>
          <cell r="D1208" t="str">
            <v>VOLKSWAGEN</v>
          </cell>
          <cell r="E1208" t="str">
            <v>TIGUAN</v>
          </cell>
          <cell r="G1208" t="str">
            <v>265조9985</v>
          </cell>
          <cell r="H1208" t="str">
            <v>WVGZZZ5NZLW806082</v>
          </cell>
          <cell r="I1208">
            <v>46265</v>
          </cell>
          <cell r="J1208" t="str">
            <v>㈜코리아모터스</v>
          </cell>
          <cell r="L1208" t="str">
            <v>잔금</v>
          </cell>
          <cell r="M1208" t="str">
            <v>50만원 회사 통장</v>
          </cell>
          <cell r="N1208">
            <v>2020</v>
          </cell>
          <cell r="Q1208" t="str">
            <v>done</v>
          </cell>
          <cell r="R1208" t="str">
            <v>04-09-2026</v>
          </cell>
          <cell r="S1208" t="str">
            <v>DONI</v>
          </cell>
          <cell r="T1208" t="str">
            <v>DONI</v>
          </cell>
          <cell r="U1208">
            <v>933682</v>
          </cell>
          <cell r="V1208" t="str">
            <v>3 8 3 4 9 3 2 5 7 0 3</v>
          </cell>
          <cell r="W1208" t="str">
            <v xml:space="preserve"> HYZRI TALLA OB 16 HY 1 NR 18
 Kosovë</v>
          </cell>
          <cell r="X1208">
            <v>1369</v>
          </cell>
          <cell r="AB1208">
            <v>1597</v>
          </cell>
          <cell r="AC1208">
            <v>12096</v>
          </cell>
          <cell r="AD1208">
            <v>1834</v>
          </cell>
          <cell r="AE1208">
            <v>13930</v>
          </cell>
        </row>
        <row r="1209">
          <cell r="A1209">
            <v>1209</v>
          </cell>
          <cell r="B1209">
            <v>46259</v>
          </cell>
          <cell r="C1209" t="str">
            <v>VOLKSWAGEN TIGUAN</v>
          </cell>
          <cell r="D1209" t="str">
            <v>VOLKSWAGEN</v>
          </cell>
          <cell r="E1209" t="str">
            <v>TIGUAN</v>
          </cell>
          <cell r="F1209">
            <v>2018</v>
          </cell>
          <cell r="G1209" t="str">
            <v>18수5715</v>
          </cell>
          <cell r="H1209" t="str">
            <v>WVGZZZ5NZJW927881</v>
          </cell>
          <cell r="J1209" t="str">
            <v>경매장- 헤이딜러</v>
          </cell>
          <cell r="L1209" t="str">
            <v>잔금</v>
          </cell>
          <cell r="N1209">
            <v>1494</v>
          </cell>
          <cell r="O1209">
            <v>52</v>
          </cell>
          <cell r="Q1209" t="str">
            <v>DONE</v>
          </cell>
          <cell r="R1209">
            <v>46276</v>
          </cell>
          <cell r="S1209" t="str">
            <v>DONI</v>
          </cell>
          <cell r="T1209" t="str">
            <v>DONI</v>
          </cell>
          <cell r="U1209">
            <v>933682</v>
          </cell>
          <cell r="V1209" t="str">
            <v>3 8 3 4 9 3 2 5 7 0 3</v>
          </cell>
          <cell r="W1209" t="str">
            <v xml:space="preserve"> HYZRI TALLA OB 16 HY 1 NR 18
 Kosovë</v>
          </cell>
          <cell r="X1209">
            <v>1328</v>
          </cell>
          <cell r="AB1209">
            <v>1544</v>
          </cell>
          <cell r="AC1209">
            <v>9159</v>
          </cell>
          <cell r="AD1209">
            <v>1841</v>
          </cell>
          <cell r="AE1209">
            <v>11000</v>
          </cell>
        </row>
        <row r="1210">
          <cell r="A1210">
            <v>1210</v>
          </cell>
          <cell r="B1210">
            <v>46259</v>
          </cell>
          <cell r="C1210" t="str">
            <v>VOLKSWAGEN GOLF</v>
          </cell>
          <cell r="D1210" t="str">
            <v>VOLKSWAGEN</v>
          </cell>
          <cell r="E1210" t="str">
            <v>GOLF</v>
          </cell>
          <cell r="G1210" t="str">
            <v>10저0838</v>
          </cell>
          <cell r="H1210" t="str">
            <v>WVWZZZAUZGW132795</v>
          </cell>
          <cell r="J1210" t="str">
            <v>경매장- 헤이딜러</v>
          </cell>
          <cell r="L1210" t="str">
            <v>잔금</v>
          </cell>
          <cell r="N1210">
            <v>624</v>
          </cell>
          <cell r="Q1210" t="str">
            <v>DONE</v>
          </cell>
          <cell r="R1210">
            <v>46281</v>
          </cell>
          <cell r="S1210" t="str">
            <v>Auto Posh SH.P.K</v>
          </cell>
          <cell r="T1210" t="str">
            <v>Auto Posh SH.P.K</v>
          </cell>
          <cell r="U1210">
            <v>812219427</v>
          </cell>
          <cell r="V1210" t="str">
            <v>38345560145</v>
          </cell>
          <cell r="W1210" t="str">
            <v>KOSOVO</v>
          </cell>
          <cell r="X1210">
            <v>1328</v>
          </cell>
          <cell r="AB1210">
            <v>1544</v>
          </cell>
          <cell r="AC1210">
            <v>4265</v>
          </cell>
          <cell r="AD1210">
            <v>1755</v>
          </cell>
          <cell r="AE1210">
            <v>6020</v>
          </cell>
        </row>
        <row r="1211">
          <cell r="A1211">
            <v>1211</v>
          </cell>
          <cell r="B1211">
            <v>46259</v>
          </cell>
          <cell r="C1211" t="str">
            <v>VOLKSWAGEN JETTA</v>
          </cell>
          <cell r="D1211" t="str">
            <v>VOLKSWAGEN</v>
          </cell>
          <cell r="E1211" t="str">
            <v>JETTA</v>
          </cell>
          <cell r="G1211" t="str">
            <v>35보0570</v>
          </cell>
          <cell r="H1211" t="str">
            <v>WVWZZZ16ZGM018631</v>
          </cell>
          <cell r="J1211" t="str">
            <v>경매장- 헤이딜러</v>
          </cell>
          <cell r="L1211" t="str">
            <v>잔금</v>
          </cell>
          <cell r="N1211">
            <v>64</v>
          </cell>
          <cell r="O1211">
            <v>35</v>
          </cell>
          <cell r="Q1211" t="str">
            <v>done</v>
          </cell>
          <cell r="R1211" t="str">
            <v>04-09-2026</v>
          </cell>
          <cell r="S1211" t="str">
            <v>Auto Posh SH.P.K</v>
          </cell>
          <cell r="T1211" t="str">
            <v>Auto Posh SH.P.K</v>
          </cell>
          <cell r="U1211">
            <v>812219427</v>
          </cell>
          <cell r="V1211" t="str">
            <v>38345560145</v>
          </cell>
          <cell r="W1211" t="str">
            <v>KOSOVO</v>
          </cell>
          <cell r="X1211">
            <v>1358</v>
          </cell>
          <cell r="AB1211">
            <v>1576</v>
          </cell>
          <cell r="AC1211">
            <v>4432</v>
          </cell>
          <cell r="AD1211">
            <v>1758</v>
          </cell>
          <cell r="AE1211">
            <v>6190</v>
          </cell>
        </row>
        <row r="1212">
          <cell r="A1212">
            <v>1212</v>
          </cell>
          <cell r="B1212">
            <v>46259</v>
          </cell>
          <cell r="C1212" t="str">
            <v>BMW X4</v>
          </cell>
          <cell r="D1212" t="str">
            <v>BMW</v>
          </cell>
          <cell r="E1212" t="str">
            <v>X4</v>
          </cell>
          <cell r="G1212" t="str">
            <v>69가6286</v>
          </cell>
          <cell r="H1212" t="str">
            <v>WBAXX110XJ0Y53728</v>
          </cell>
          <cell r="J1212" t="str">
            <v>경매장- AJ</v>
          </cell>
          <cell r="L1212" t="str">
            <v>잔금</v>
          </cell>
          <cell r="N1212">
            <v>1380</v>
          </cell>
          <cell r="O1212">
            <v>36</v>
          </cell>
          <cell r="Q1212" t="str">
            <v>done</v>
          </cell>
          <cell r="R1212" t="str">
            <v>04-09-2026</v>
          </cell>
          <cell r="S1212" t="str">
            <v>DONI</v>
          </cell>
          <cell r="T1212" t="str">
            <v>DONI</v>
          </cell>
          <cell r="U1212">
            <v>933682</v>
          </cell>
          <cell r="V1212" t="str">
            <v>3 8 3 4 9 3 2 5 7 0 3</v>
          </cell>
          <cell r="W1212" t="str">
            <v xml:space="preserve"> HYZRI TALLA OB 16 HY 1 NR 18
 Kosovë</v>
          </cell>
          <cell r="X1212">
            <v>1358</v>
          </cell>
          <cell r="AB1212">
            <v>1576</v>
          </cell>
          <cell r="AC1212">
            <v>8526</v>
          </cell>
          <cell r="AD1212">
            <v>1844</v>
          </cell>
          <cell r="AE1212">
            <v>10370</v>
          </cell>
        </row>
        <row r="1213">
          <cell r="A1213">
            <v>1213</v>
          </cell>
          <cell r="B1213">
            <v>46259</v>
          </cell>
          <cell r="C1213" t="str">
            <v>BMW 420D</v>
          </cell>
          <cell r="D1213" t="str">
            <v>BMW</v>
          </cell>
          <cell r="E1213" t="str">
            <v>420D</v>
          </cell>
          <cell r="F1213">
            <v>2018</v>
          </cell>
          <cell r="G1213" t="str">
            <v>52버2416</v>
          </cell>
          <cell r="H1213" t="str">
            <v>WBA4K3108JBG86368</v>
          </cell>
          <cell r="J1213" t="str">
            <v>경매장- AJ</v>
          </cell>
          <cell r="L1213" t="str">
            <v>잔금</v>
          </cell>
          <cell r="N1213">
            <v>950</v>
          </cell>
          <cell r="O1213">
            <v>24</v>
          </cell>
          <cell r="Q1213" t="str">
            <v>DONE</v>
          </cell>
          <cell r="R1213">
            <v>46274</v>
          </cell>
          <cell r="S1213" t="str">
            <v>DONI</v>
          </cell>
          <cell r="T1213" t="str">
            <v>DONI</v>
          </cell>
          <cell r="U1213">
            <v>933682</v>
          </cell>
          <cell r="V1213" t="str">
            <v>3 8 3 4 9 3 2 5 7 0 3</v>
          </cell>
          <cell r="W1213" t="str">
            <v xml:space="preserve"> HYZRI TALLA OB 16 HY 1 NR 18
 Kosovë</v>
          </cell>
          <cell r="X1213">
            <v>1358</v>
          </cell>
          <cell r="AB1213">
            <v>1576</v>
          </cell>
          <cell r="AC1213">
            <v>5942</v>
          </cell>
          <cell r="AD1213">
            <v>1758</v>
          </cell>
          <cell r="AE1213">
            <v>7700</v>
          </cell>
        </row>
        <row r="1214">
          <cell r="A1214">
            <v>1214</v>
          </cell>
          <cell r="B1214">
            <v>46259</v>
          </cell>
          <cell r="C1214" t="str">
            <v>BENZ E250</v>
          </cell>
          <cell r="D1214" t="str">
            <v>BENZ</v>
          </cell>
          <cell r="E1214" t="str">
            <v>E250</v>
          </cell>
          <cell r="G1214" t="str">
            <v>12노9041</v>
          </cell>
          <cell r="H1214" t="str">
            <v xml:space="preserve">WDDHF8CB7EB049467 </v>
          </cell>
          <cell r="J1214" t="str">
            <v>경매장- AJ</v>
          </cell>
          <cell r="L1214" t="str">
            <v>잔금</v>
          </cell>
          <cell r="Q1214" t="str">
            <v>done</v>
          </cell>
          <cell r="R1214" t="str">
            <v>04-09-2026</v>
          </cell>
          <cell r="S1214" t="str">
            <v xml:space="preserve">Andrea Kasa </v>
          </cell>
          <cell r="T1214" t="str">
            <v>SLLAMI RUZHDI</v>
          </cell>
          <cell r="U1214" t="str">
            <v>G90406002E</v>
          </cell>
          <cell r="V1214" t="str">
            <v>355 69 746 2556</v>
          </cell>
          <cell r="W1214" t="str">
            <v>Albania</v>
          </cell>
          <cell r="X1214">
            <v>1414</v>
          </cell>
          <cell r="AB1214">
            <v>1631</v>
          </cell>
          <cell r="AC1214">
            <v>3981</v>
          </cell>
          <cell r="AD1214">
            <v>1769</v>
          </cell>
          <cell r="AE1214">
            <v>5750</v>
          </cell>
          <cell r="AF1214">
            <v>7560</v>
          </cell>
        </row>
        <row r="1215">
          <cell r="A1215">
            <v>1215</v>
          </cell>
          <cell r="B1215">
            <v>46260</v>
          </cell>
          <cell r="C1215" t="str">
            <v>HYUNDAI KONA</v>
          </cell>
          <cell r="D1215" t="str">
            <v>HYUNDAI</v>
          </cell>
          <cell r="E1215" t="str">
            <v>KONA</v>
          </cell>
          <cell r="G1215" t="str">
            <v>199누1906</v>
          </cell>
          <cell r="H1215" t="str">
            <v>KMHK2817GLU583247</v>
          </cell>
          <cell r="I1215">
            <v>46265</v>
          </cell>
          <cell r="J1215" t="str">
            <v>뉴코리아모터스</v>
          </cell>
          <cell r="L1215" t="str">
            <v>잔금</v>
          </cell>
          <cell r="M1215" t="str">
            <v>70만원 대표님 계약</v>
          </cell>
          <cell r="N1215">
            <v>1100</v>
          </cell>
          <cell r="Q1215" t="str">
            <v>done</v>
          </cell>
          <cell r="R1215" t="str">
            <v>CON 15</v>
          </cell>
          <cell r="S1215" t="str">
            <v>EASY DRIVE</v>
          </cell>
          <cell r="T1215" t="str">
            <v>Easy Drive LTD</v>
          </cell>
          <cell r="U1215">
            <v>206557008</v>
          </cell>
          <cell r="V1215" t="str">
            <v>359 89 936 8386</v>
          </cell>
          <cell r="W1215" t="str">
            <v>ul. Sokolna 47
1444 Sofia
Bulgaria</v>
          </cell>
          <cell r="AC1215">
            <v>10630000</v>
          </cell>
        </row>
        <row r="1216">
          <cell r="A1216">
            <v>1216</v>
          </cell>
          <cell r="B1216">
            <v>46260</v>
          </cell>
          <cell r="C1216" t="str">
            <v>BMW 520D</v>
          </cell>
          <cell r="D1216" t="str">
            <v>BMW</v>
          </cell>
          <cell r="E1216" t="str">
            <v>520D</v>
          </cell>
          <cell r="G1216" t="str">
            <v>266나1248</v>
          </cell>
          <cell r="H1216" t="str">
            <v>WBAJC3101HG466094</v>
          </cell>
          <cell r="I1216">
            <v>46265</v>
          </cell>
          <cell r="J1216" t="str">
            <v>한성모터스</v>
          </cell>
          <cell r="L1216" t="str">
            <v>잔금</v>
          </cell>
          <cell r="M1216" t="str">
            <v>100만원 대표님 계약</v>
          </cell>
          <cell r="N1216">
            <v>2050</v>
          </cell>
          <cell r="Q1216" t="str">
            <v>done</v>
          </cell>
          <cell r="R1216" t="str">
            <v>04-09-2026</v>
          </cell>
          <cell r="S1216" t="str">
            <v>Auto Posh SH.P.K</v>
          </cell>
          <cell r="T1216" t="str">
            <v>Auto Posh SH.P.K</v>
          </cell>
          <cell r="U1216">
            <v>812219427</v>
          </cell>
          <cell r="V1216" t="str">
            <v>38345560145</v>
          </cell>
          <cell r="W1216" t="str">
            <v>KOSOVO</v>
          </cell>
          <cell r="X1216">
            <v>1369</v>
          </cell>
          <cell r="AB1216">
            <v>1597</v>
          </cell>
          <cell r="AC1216">
            <v>12352</v>
          </cell>
          <cell r="AD1216">
            <v>1748</v>
          </cell>
          <cell r="AE1216">
            <v>14100</v>
          </cell>
        </row>
        <row r="1217">
          <cell r="A1217">
            <v>1217</v>
          </cell>
          <cell r="B1217">
            <v>46260</v>
          </cell>
          <cell r="C1217" t="str">
            <v>BENZ GLC</v>
          </cell>
          <cell r="D1217" t="str">
            <v>BENZ</v>
          </cell>
          <cell r="E1217" t="str">
            <v>GLC</v>
          </cell>
          <cell r="G1217" t="str">
            <v>67라5281</v>
          </cell>
          <cell r="H1217" t="str">
            <v>WDC0G0FB9HF189478</v>
          </cell>
          <cell r="I1217">
            <v>46267</v>
          </cell>
          <cell r="J1217" t="str">
            <v>준모터스</v>
          </cell>
          <cell r="L1217" t="str">
            <v>잔금</v>
          </cell>
          <cell r="M1217" t="str">
            <v>50만원 대표님 계약</v>
          </cell>
          <cell r="N1217">
            <v>1800</v>
          </cell>
          <cell r="Q1217" t="str">
            <v>done</v>
          </cell>
          <cell r="R1217" t="str">
            <v>04-09-2026</v>
          </cell>
          <cell r="S1217" t="str">
            <v>BUTRINT</v>
          </cell>
          <cell r="T1217" t="str">
            <v>VENENO GROUP SHPK</v>
          </cell>
          <cell r="U1217">
            <v>812449553</v>
          </cell>
          <cell r="V1217" t="str">
            <v>386 49 776 654</v>
          </cell>
          <cell r="W1217" t="str">
            <v>Kosovo</v>
          </cell>
          <cell r="X1217">
            <v>1369</v>
          </cell>
          <cell r="AB1217">
            <v>1597</v>
          </cell>
          <cell r="AC1217">
            <v>10766</v>
          </cell>
          <cell r="AD1217">
            <v>1834</v>
          </cell>
          <cell r="AE1217">
            <v>12600</v>
          </cell>
          <cell r="AF1217">
            <v>12620</v>
          </cell>
        </row>
        <row r="1218">
          <cell r="A1218">
            <v>1218</v>
          </cell>
          <cell r="B1218">
            <v>46260</v>
          </cell>
          <cell r="C1218" t="str">
            <v>VOLKSWAGEN ARTEON</v>
          </cell>
          <cell r="D1218" t="str">
            <v>VOLKSWAGEN</v>
          </cell>
          <cell r="E1218" t="str">
            <v>ARTEON</v>
          </cell>
          <cell r="G1218" t="str">
            <v>331저3206</v>
          </cell>
          <cell r="H1218" t="str">
            <v>WVWZZZ3HZKE017366</v>
          </cell>
          <cell r="I1218">
            <v>46267</v>
          </cell>
          <cell r="J1218" t="str">
            <v>세이프웨이오토 주식회사</v>
          </cell>
          <cell r="L1218" t="str">
            <v>잔금</v>
          </cell>
          <cell r="M1218" t="str">
            <v>50만원 회사 통장</v>
          </cell>
          <cell r="N1218">
            <v>1564</v>
          </cell>
          <cell r="Q1218" t="str">
            <v>done</v>
          </cell>
          <cell r="R1218" t="str">
            <v>04-09-2026</v>
          </cell>
          <cell r="S1218" t="str">
            <v>BUTRINT</v>
          </cell>
          <cell r="T1218" t="str">
            <v>VENENO GROUP SHPK</v>
          </cell>
          <cell r="U1218">
            <v>812449553</v>
          </cell>
          <cell r="V1218" t="str">
            <v>386 49 776 654</v>
          </cell>
          <cell r="W1218" t="str">
            <v>Kosovo</v>
          </cell>
          <cell r="X1218">
            <v>1369</v>
          </cell>
          <cell r="AB1218">
            <v>1597</v>
          </cell>
          <cell r="AC1218">
            <v>9352</v>
          </cell>
          <cell r="AD1218">
            <v>1748</v>
          </cell>
          <cell r="AE1218">
            <v>11100</v>
          </cell>
          <cell r="AF1218">
            <v>11100</v>
          </cell>
        </row>
        <row r="1219">
          <cell r="A1219">
            <v>1219</v>
          </cell>
          <cell r="B1219">
            <v>46260</v>
          </cell>
          <cell r="C1219" t="str">
            <v>HYUNDAI GRANDEUR</v>
          </cell>
          <cell r="D1219" t="str">
            <v>HYUNDAI</v>
          </cell>
          <cell r="E1219" t="str">
            <v>GRANDEUR</v>
          </cell>
          <cell r="G1219" t="str">
            <v>154어1418</v>
          </cell>
          <cell r="H1219" t="str">
            <v>KMHN141FBPA016102</v>
          </cell>
          <cell r="I1219">
            <v>46266</v>
          </cell>
          <cell r="J1219" t="str">
            <v>롯데렌탈</v>
          </cell>
          <cell r="L1219" t="str">
            <v>잔금</v>
          </cell>
          <cell r="M1219" t="str">
            <v>50만원 회사 통장</v>
          </cell>
          <cell r="N1219">
            <v>2620</v>
          </cell>
          <cell r="Q1219" t="str">
            <v>DONE</v>
          </cell>
          <cell r="R1219">
            <v>46274</v>
          </cell>
          <cell r="S1219" t="str">
            <v>HYSA</v>
          </cell>
          <cell r="T1219" t="str">
            <v>HYSA KRISELA</v>
          </cell>
          <cell r="U1219" t="str">
            <v>J95606012H</v>
          </cell>
          <cell r="V1219" t="str">
            <v>355 69 690 2972</v>
          </cell>
          <cell r="W1219" t="str">
            <v>Albania</v>
          </cell>
          <cell r="X1219">
            <v>1365</v>
          </cell>
          <cell r="AB1219">
            <v>1590</v>
          </cell>
          <cell r="AC1219">
            <v>15649</v>
          </cell>
          <cell r="AD1219">
            <v>1751</v>
          </cell>
          <cell r="AE1219">
            <v>17400</v>
          </cell>
        </row>
        <row r="1220">
          <cell r="A1220">
            <v>1220</v>
          </cell>
          <cell r="B1220">
            <v>46261</v>
          </cell>
          <cell r="C1220" t="str">
            <v>VOLKSWAGEN TIGUAN</v>
          </cell>
          <cell r="D1220" t="str">
            <v>VOLKSWAGEN</v>
          </cell>
          <cell r="E1220" t="str">
            <v>TIGUAN</v>
          </cell>
          <cell r="F1220">
            <v>2016</v>
          </cell>
          <cell r="G1220" t="str">
            <v>24구0355</v>
          </cell>
          <cell r="H1220" t="str">
            <v>WVGZZZ5NZGW062384</v>
          </cell>
          <cell r="J1220" t="str">
            <v>경매장- 헤이딜러</v>
          </cell>
          <cell r="L1220" t="str">
            <v>잔금</v>
          </cell>
          <cell r="N1220">
            <v>944</v>
          </cell>
          <cell r="O1220">
            <v>47</v>
          </cell>
          <cell r="Q1220" t="str">
            <v>DONE</v>
          </cell>
          <cell r="R1220">
            <v>46276</v>
          </cell>
          <cell r="S1220" t="str">
            <v>DONI</v>
          </cell>
          <cell r="T1220" t="str">
            <v>DONI</v>
          </cell>
          <cell r="U1220">
            <v>933682</v>
          </cell>
          <cell r="V1220" t="str">
            <v>3 8 3 4 9 3 2 5 7 0 3</v>
          </cell>
          <cell r="W1220" t="str">
            <v xml:space="preserve"> HYZRI TALLA OB 16 HY 1 NR 18
 Kosovë</v>
          </cell>
          <cell r="X1220">
            <v>1328</v>
          </cell>
          <cell r="AB1220">
            <v>1544</v>
          </cell>
          <cell r="AC1220">
            <v>6029</v>
          </cell>
          <cell r="AD1220">
            <v>1841</v>
          </cell>
          <cell r="AE1220">
            <v>7870</v>
          </cell>
        </row>
        <row r="1221">
          <cell r="A1221">
            <v>1221</v>
          </cell>
          <cell r="B1221">
            <v>46261</v>
          </cell>
          <cell r="C1221" t="str">
            <v>AUDI A6</v>
          </cell>
          <cell r="D1221" t="str">
            <v>AUDI</v>
          </cell>
          <cell r="E1221" t="str">
            <v>A6</v>
          </cell>
          <cell r="G1221" t="str">
            <v>28머2271</v>
          </cell>
          <cell r="H1221" t="str">
            <v xml:space="preserve"> WAUZZZ4GXJN069661</v>
          </cell>
          <cell r="I1221">
            <v>46265</v>
          </cell>
          <cell r="J1221" t="str">
            <v>㈜위드카</v>
          </cell>
          <cell r="L1221" t="str">
            <v>잔금</v>
          </cell>
          <cell r="M1221" t="str">
            <v>50만원 회사 통장</v>
          </cell>
          <cell r="N1221">
            <v>1164</v>
          </cell>
          <cell r="Q1221" t="str">
            <v>done</v>
          </cell>
          <cell r="R1221" t="str">
            <v>04-09-2026</v>
          </cell>
          <cell r="S1221" t="str">
            <v>Auto Posh SH.P.K</v>
          </cell>
          <cell r="T1221" t="str">
            <v>Auto Posh SH.P.K</v>
          </cell>
          <cell r="U1221">
            <v>812219427</v>
          </cell>
          <cell r="V1221" t="str">
            <v>38345560145</v>
          </cell>
          <cell r="W1221" t="str">
            <v>KOSOVO</v>
          </cell>
          <cell r="X1221">
            <v>1365</v>
          </cell>
          <cell r="AB1221">
            <v>1590</v>
          </cell>
          <cell r="AC1221">
            <v>7029</v>
          </cell>
          <cell r="AD1221">
            <v>1751</v>
          </cell>
          <cell r="AE1221">
            <v>8780</v>
          </cell>
        </row>
        <row r="1222">
          <cell r="A1222">
            <v>1222</v>
          </cell>
          <cell r="B1222">
            <v>46261</v>
          </cell>
          <cell r="C1222" t="str">
            <v>RENAULT QM3</v>
          </cell>
          <cell r="D1222" t="str">
            <v>RENAULT</v>
          </cell>
          <cell r="E1222" t="str">
            <v>QM3</v>
          </cell>
          <cell r="G1222" t="str">
            <v>46소3860</v>
          </cell>
          <cell r="H1222" t="str">
            <v>VF12RS01AJW106830</v>
          </cell>
          <cell r="I1222">
            <v>46267</v>
          </cell>
          <cell r="J1222" t="str">
            <v>카울렛</v>
          </cell>
          <cell r="L1222" t="str">
            <v>잔금</v>
          </cell>
          <cell r="M1222" t="str">
            <v>50만원 회사 통장</v>
          </cell>
          <cell r="N1222">
            <v>580</v>
          </cell>
          <cell r="Q1222" t="str">
            <v>done</v>
          </cell>
          <cell r="R1222" t="str">
            <v>04-09-2026</v>
          </cell>
          <cell r="S1222" t="str">
            <v>BUTRINT</v>
          </cell>
          <cell r="T1222" t="str">
            <v>VENENO GROUP SHPK</v>
          </cell>
          <cell r="U1222">
            <v>812449553</v>
          </cell>
          <cell r="V1222" t="str">
            <v>386 49 776 654</v>
          </cell>
          <cell r="W1222" t="str">
            <v>Kosovo</v>
          </cell>
          <cell r="X1222">
            <v>1365</v>
          </cell>
          <cell r="AB1222">
            <v>1590</v>
          </cell>
          <cell r="AC1222">
            <v>3689</v>
          </cell>
          <cell r="AD1222">
            <v>1751</v>
          </cell>
          <cell r="AE1222">
            <v>5440</v>
          </cell>
          <cell r="AF1222">
            <v>5440</v>
          </cell>
        </row>
        <row r="1223">
          <cell r="A1223">
            <v>1223</v>
          </cell>
          <cell r="B1223">
            <v>46261</v>
          </cell>
          <cell r="C1223" t="str">
            <v>AUDI A7</v>
          </cell>
          <cell r="D1223" t="str">
            <v>AUDI</v>
          </cell>
          <cell r="E1223" t="str">
            <v>A7</v>
          </cell>
          <cell r="F1223">
            <v>2016</v>
          </cell>
          <cell r="G1223" t="str">
            <v>142모8044</v>
          </cell>
          <cell r="H1223" t="str">
            <v>WAUZZZ4G7GN150657</v>
          </cell>
          <cell r="J1223" t="str">
            <v>경매장- 헤이딜러</v>
          </cell>
          <cell r="L1223" t="str">
            <v>잔금</v>
          </cell>
          <cell r="N1223">
            <v>1144</v>
          </cell>
          <cell r="O1223">
            <v>50</v>
          </cell>
          <cell r="Q1223" t="str">
            <v>DONE</v>
          </cell>
          <cell r="R1223">
            <v>46281</v>
          </cell>
          <cell r="S1223" t="str">
            <v>AUTO SCOUT</v>
          </cell>
          <cell r="T1223" t="str">
            <v>DONI</v>
          </cell>
          <cell r="U1223">
            <v>933682</v>
          </cell>
          <cell r="V1223" t="str">
            <v>3 8 3 4 9 3 2 5 7 0 3</v>
          </cell>
          <cell r="W1223" t="str">
            <v xml:space="preserve"> HYZRI TALLA OB 16 HY 1 NR 18
 Kosovë</v>
          </cell>
          <cell r="X1223">
            <v>1325</v>
          </cell>
          <cell r="AB1223">
            <v>1541</v>
          </cell>
          <cell r="AC1223">
            <v>7436</v>
          </cell>
          <cell r="AD1223">
            <v>1754</v>
          </cell>
          <cell r="AE1223">
            <v>9190</v>
          </cell>
        </row>
        <row r="1224">
          <cell r="A1224">
            <v>1224</v>
          </cell>
          <cell r="B1224">
            <v>46261</v>
          </cell>
          <cell r="C1224" t="str">
            <v>HYUNDAI I30</v>
          </cell>
          <cell r="D1224" t="str">
            <v>HYUNDAI</v>
          </cell>
          <cell r="E1224" t="str">
            <v>I30</v>
          </cell>
          <cell r="G1224" t="str">
            <v>32머0571</v>
          </cell>
          <cell r="H1224" t="str">
            <v>KMHD351UGGU298098</v>
          </cell>
          <cell r="I1224">
            <v>46267</v>
          </cell>
          <cell r="J1224" t="str">
            <v>㈜양주중고차</v>
          </cell>
          <cell r="L1224" t="str">
            <v>잔금</v>
          </cell>
          <cell r="M1224" t="str">
            <v>50만원 회사 통장</v>
          </cell>
          <cell r="N1224">
            <v>990</v>
          </cell>
          <cell r="Q1224" t="str">
            <v>done</v>
          </cell>
          <cell r="R1224" t="str">
            <v>04-09-2026</v>
          </cell>
          <cell r="S1224" t="str">
            <v>ATLAS GROUP SH.P.K</v>
          </cell>
          <cell r="T1224" t="str">
            <v>ATLAS GROUP SH.P.K</v>
          </cell>
          <cell r="U1224">
            <v>812137455</v>
          </cell>
          <cell r="V1224" t="str">
            <v>+38348702207</v>
          </cell>
          <cell r="W1224" t="str">
            <v>Xhelal Hajda, p.n. Rahovec</v>
          </cell>
          <cell r="X1224">
            <v>1370</v>
          </cell>
          <cell r="AB1224">
            <v>1586</v>
          </cell>
          <cell r="AC1224">
            <v>6072</v>
          </cell>
          <cell r="AD1224">
            <v>1758</v>
          </cell>
          <cell r="AE1224">
            <v>7830</v>
          </cell>
          <cell r="AF1224">
            <v>7830</v>
          </cell>
        </row>
        <row r="1225">
          <cell r="A1225">
            <v>1225</v>
          </cell>
          <cell r="B1225">
            <v>46261</v>
          </cell>
          <cell r="C1225" t="str">
            <v>BENZ E220</v>
          </cell>
          <cell r="D1225" t="str">
            <v>BENZ</v>
          </cell>
          <cell r="E1225" t="str">
            <v>E220</v>
          </cell>
          <cell r="G1225" t="str">
            <v>27고7399</v>
          </cell>
          <cell r="H1225" t="str">
            <v>WDDZF0FB2HA263309</v>
          </cell>
          <cell r="I1225">
            <v>46267</v>
          </cell>
          <cell r="J1225" t="str">
            <v>㈜수호모터스</v>
          </cell>
          <cell r="L1225" t="str">
            <v>잔금</v>
          </cell>
          <cell r="M1225" t="str">
            <v>50만원 대표님 계약</v>
          </cell>
          <cell r="N1225">
            <v>1600</v>
          </cell>
          <cell r="Q1225" t="str">
            <v>done</v>
          </cell>
          <cell r="R1225" t="str">
            <v>04-09-2026</v>
          </cell>
          <cell r="S1225" t="str">
            <v>BUTRINT</v>
          </cell>
          <cell r="T1225" t="str">
            <v>VENENO GROUP SHPK</v>
          </cell>
          <cell r="U1225">
            <v>812449553</v>
          </cell>
          <cell r="V1225" t="str">
            <v>386 49 776 654</v>
          </cell>
          <cell r="W1225" t="str">
            <v>Kosovo</v>
          </cell>
          <cell r="X1225">
            <v>1358</v>
          </cell>
          <cell r="AB1225">
            <v>1576</v>
          </cell>
          <cell r="AC1225">
            <v>9642</v>
          </cell>
          <cell r="AD1225">
            <v>1758</v>
          </cell>
          <cell r="AE1225">
            <v>11400</v>
          </cell>
          <cell r="AF1225">
            <v>11400</v>
          </cell>
        </row>
        <row r="1226">
          <cell r="A1226">
            <v>1226</v>
          </cell>
          <cell r="B1226">
            <v>46261</v>
          </cell>
          <cell r="C1226" t="str">
            <v>BMW 520D</v>
          </cell>
          <cell r="D1226" t="str">
            <v>BMW</v>
          </cell>
          <cell r="E1226" t="str">
            <v>520D</v>
          </cell>
          <cell r="G1226" t="str">
            <v>134도9661</v>
          </cell>
          <cell r="H1226" t="str">
            <v>WBAJC310XHG921234</v>
          </cell>
          <cell r="I1226">
            <v>46267</v>
          </cell>
          <cell r="J1226" t="str">
            <v>㈜모터스퀘어</v>
          </cell>
          <cell r="L1226" t="str">
            <v>잔금</v>
          </cell>
          <cell r="M1226" t="str">
            <v>50만원 대표님 계약</v>
          </cell>
          <cell r="N1226">
            <v>1750</v>
          </cell>
          <cell r="Q1226" t="str">
            <v>DONE</v>
          </cell>
          <cell r="R1226">
            <v>46281</v>
          </cell>
          <cell r="S1226" t="str">
            <v>BUTRINT</v>
          </cell>
          <cell r="T1226" t="str">
            <v>VENENO GROUP SHPK</v>
          </cell>
          <cell r="U1226">
            <v>812449553</v>
          </cell>
          <cell r="V1226" t="str">
            <v>386 49 776 654</v>
          </cell>
          <cell r="W1226" t="str">
            <v>Kosovo</v>
          </cell>
          <cell r="X1226">
            <v>1358</v>
          </cell>
          <cell r="AB1226">
            <v>1576</v>
          </cell>
          <cell r="AC1226">
            <v>10542</v>
          </cell>
          <cell r="AD1226">
            <v>1758</v>
          </cell>
          <cell r="AE1226">
            <v>12300</v>
          </cell>
          <cell r="AF1226">
            <v>12300</v>
          </cell>
        </row>
        <row r="1227">
          <cell r="A1227">
            <v>1227</v>
          </cell>
          <cell r="B1227">
            <v>46261</v>
          </cell>
          <cell r="C1227" t="str">
            <v>BMW M3</v>
          </cell>
          <cell r="D1227" t="str">
            <v>BMW</v>
          </cell>
          <cell r="E1227" t="str">
            <v>M3</v>
          </cell>
          <cell r="G1227" t="str">
            <v>43소5245</v>
          </cell>
          <cell r="H1227" t="str">
            <v>WBSWD910XAP306173</v>
          </cell>
          <cell r="I1227">
            <v>46267</v>
          </cell>
          <cell r="J1227" t="str">
            <v>개인매입-강현수 010 4467 5000</v>
          </cell>
          <cell r="L1227" t="str">
            <v>잔금</v>
          </cell>
          <cell r="M1227" t="str">
            <v>100만원 대표님 계약</v>
          </cell>
          <cell r="N1227">
            <v>2150</v>
          </cell>
          <cell r="Q1227" t="str">
            <v>DONE</v>
          </cell>
          <cell r="R1227" t="str">
            <v>CON 14</v>
          </cell>
          <cell r="S1227" t="str">
            <v>DAX IMPORT</v>
          </cell>
          <cell r="T1227" t="str">
            <v xml:space="preserve">Michael Karl  </v>
          </cell>
          <cell r="U1227" t="str">
            <v>LF9N8WZ16</v>
          </cell>
          <cell r="V1227" t="str">
            <v>‪+49 471 94189050‬</v>
          </cell>
          <cell r="W1227" t="str">
            <v xml:space="preserve">Dorfstr,33C,(82024) Taufkirchen, Germany </v>
          </cell>
          <cell r="X1227">
            <v>1358</v>
          </cell>
          <cell r="AB1227">
            <v>1576</v>
          </cell>
          <cell r="AC1227">
            <v>13000</v>
          </cell>
          <cell r="AF1227">
            <v>13100</v>
          </cell>
        </row>
        <row r="1228">
          <cell r="A1228">
            <v>1228</v>
          </cell>
          <cell r="B1228">
            <v>46265</v>
          </cell>
          <cell r="C1228" t="str">
            <v>VOLVO XC40</v>
          </cell>
          <cell r="D1228" t="str">
            <v>VOLVO</v>
          </cell>
          <cell r="E1228" t="str">
            <v>XC40</v>
          </cell>
          <cell r="G1228" t="str">
            <v>29서5812</v>
          </cell>
          <cell r="H1228" t="str">
            <v>YV1XZACACK2109384</v>
          </cell>
          <cell r="I1228">
            <v>46273</v>
          </cell>
          <cell r="J1228" t="str">
            <v>㈜늘푸른 자동차</v>
          </cell>
          <cell r="L1228" t="str">
            <v>잔금</v>
          </cell>
          <cell r="M1228" t="str">
            <v>50만원 대표님 계약</v>
          </cell>
          <cell r="N1228">
            <v>1740</v>
          </cell>
          <cell r="Q1228" t="str">
            <v>DONE</v>
          </cell>
          <cell r="R1228">
            <v>46281</v>
          </cell>
          <cell r="S1228" t="str">
            <v>VILLA KOHA</v>
          </cell>
          <cell r="T1228" t="str">
            <v>VILLA KOHA SH.P.K</v>
          </cell>
          <cell r="U1228">
            <v>810039588</v>
          </cell>
          <cell r="V1228" t="str">
            <v>383 49247777</v>
          </cell>
          <cell r="W1228" t="str">
            <v>KOSOVO</v>
          </cell>
          <cell r="X1228">
            <v>1358</v>
          </cell>
          <cell r="AB1228">
            <v>1576</v>
          </cell>
          <cell r="AC1228">
            <v>10476</v>
          </cell>
          <cell r="AD1228">
            <v>1844</v>
          </cell>
          <cell r="AE1228">
            <v>12320</v>
          </cell>
          <cell r="AF1228">
            <v>12320</v>
          </cell>
        </row>
        <row r="1229">
          <cell r="A1229">
            <v>1229</v>
          </cell>
          <cell r="B1229">
            <v>46265</v>
          </cell>
          <cell r="C1229" t="str">
            <v>BENZ C220</v>
          </cell>
          <cell r="D1229" t="str">
            <v>BENZ</v>
          </cell>
          <cell r="E1229" t="str">
            <v>C220</v>
          </cell>
          <cell r="G1229" t="str">
            <v>02두5242</v>
          </cell>
          <cell r="H1229" t="str">
            <v>WDDWF0EB6HR250794</v>
          </cell>
          <cell r="I1229">
            <v>46267</v>
          </cell>
          <cell r="J1229" t="str">
            <v>백진주= 010 3244 5555</v>
          </cell>
          <cell r="L1229" t="str">
            <v>잔금</v>
          </cell>
          <cell r="M1229" t="str">
            <v>50만원 대표님 계약</v>
          </cell>
          <cell r="N1229">
            <v>1300</v>
          </cell>
          <cell r="Q1229" t="str">
            <v>done</v>
          </cell>
          <cell r="R1229" t="str">
            <v>04-09-2026</v>
          </cell>
          <cell r="S1229" t="str">
            <v>BUTRINT</v>
          </cell>
          <cell r="T1229" t="str">
            <v>VENENO GROUP SHPK</v>
          </cell>
          <cell r="U1229">
            <v>812449553</v>
          </cell>
          <cell r="V1229" t="str">
            <v>386 49 776 654</v>
          </cell>
          <cell r="W1229" t="str">
            <v>Kosovo</v>
          </cell>
          <cell r="X1229">
            <v>1363</v>
          </cell>
          <cell r="AB1229">
            <v>1580</v>
          </cell>
          <cell r="AC1229">
            <v>7940</v>
          </cell>
          <cell r="AD1229">
            <v>1760</v>
          </cell>
          <cell r="AE1229">
            <v>9700</v>
          </cell>
          <cell r="AF1229">
            <v>9700</v>
          </cell>
        </row>
        <row r="1230">
          <cell r="A1230">
            <v>1230</v>
          </cell>
          <cell r="B1230">
            <v>46266</v>
          </cell>
          <cell r="C1230" t="str">
            <v>VOLKSWAGEN GOLF</v>
          </cell>
          <cell r="D1230" t="str">
            <v>VOLKSWAGEN</v>
          </cell>
          <cell r="E1230" t="str">
            <v>GOLF</v>
          </cell>
          <cell r="G1230" t="str">
            <v>23루0383</v>
          </cell>
          <cell r="H1230" t="str">
            <v>WVWZZZAUZGW014548</v>
          </cell>
          <cell r="I1230">
            <v>46267</v>
          </cell>
          <cell r="J1230" t="str">
            <v>㈜홍차</v>
          </cell>
          <cell r="L1230" t="str">
            <v>잔금</v>
          </cell>
          <cell r="M1230" t="str">
            <v>50만원 대표님 계약</v>
          </cell>
          <cell r="N1230">
            <v>794</v>
          </cell>
          <cell r="Q1230" t="str">
            <v>done</v>
          </cell>
          <cell r="R1230" t="str">
            <v>04-09-2026</v>
          </cell>
          <cell r="S1230" t="str">
            <v>DONI</v>
          </cell>
          <cell r="T1230" t="str">
            <v>DONI</v>
          </cell>
          <cell r="U1230">
            <v>933682</v>
          </cell>
          <cell r="V1230" t="str">
            <v>3 8 3 4 9 3 2 5 7 0 3</v>
          </cell>
          <cell r="W1230" t="str">
            <v xml:space="preserve"> HYZRI TALLA OB 16 HY 1 NR 18
 Kosovë</v>
          </cell>
          <cell r="X1230">
            <v>1358</v>
          </cell>
          <cell r="AB1230">
            <v>1576</v>
          </cell>
          <cell r="AC1230">
            <v>4962</v>
          </cell>
          <cell r="AD1230">
            <v>1758</v>
          </cell>
          <cell r="AE1230">
            <v>6720</v>
          </cell>
        </row>
        <row r="1231">
          <cell r="A1231">
            <v>1231</v>
          </cell>
          <cell r="B1231">
            <v>46266</v>
          </cell>
          <cell r="C1231" t="str">
            <v>BMW M3</v>
          </cell>
          <cell r="D1231" t="str">
            <v>BMW</v>
          </cell>
          <cell r="E1231" t="str">
            <v>M3</v>
          </cell>
          <cell r="G1231" t="str">
            <v>13마8512</v>
          </cell>
          <cell r="H1231" t="str">
            <v>WBSKG9106CE855440</v>
          </cell>
          <cell r="I1231">
            <v>46267</v>
          </cell>
          <cell r="J1231" t="str">
            <v>개인맹입- 윤영기. 010 7662 3518</v>
          </cell>
          <cell r="L1231" t="str">
            <v>잔금</v>
          </cell>
          <cell r="M1231" t="str">
            <v>100만원 회사 통장</v>
          </cell>
          <cell r="N1231">
            <v>2770</v>
          </cell>
          <cell r="Q1231" t="str">
            <v>DONE</v>
          </cell>
          <cell r="R1231" t="str">
            <v>CON 14</v>
          </cell>
          <cell r="S1231" t="str">
            <v>DAX IMPORT</v>
          </cell>
          <cell r="T1231" t="str">
            <v xml:space="preserve">Michael Karl  </v>
          </cell>
          <cell r="U1231" t="str">
            <v>LF9N8WZ16</v>
          </cell>
          <cell r="V1231" t="str">
            <v>‪+49 471 94189050‬</v>
          </cell>
          <cell r="W1231" t="str">
            <v xml:space="preserve">Dorfstr,33C,(82024) Taufkirchen, Germany </v>
          </cell>
          <cell r="X1231">
            <v>1358</v>
          </cell>
          <cell r="AB1231">
            <v>1576</v>
          </cell>
          <cell r="AC1231">
            <v>17110</v>
          </cell>
        </row>
        <row r="1232">
          <cell r="A1232">
            <v>1232</v>
          </cell>
          <cell r="B1232">
            <v>46266</v>
          </cell>
          <cell r="C1232" t="str">
            <v>BMW 320D</v>
          </cell>
          <cell r="D1232" t="str">
            <v>BMW</v>
          </cell>
          <cell r="E1232" t="str">
            <v>320D</v>
          </cell>
          <cell r="G1232" t="str">
            <v>58도7018</v>
          </cell>
          <cell r="H1232" t="str">
            <v>WBA8C5109JA075441</v>
          </cell>
          <cell r="I1232">
            <v>46267</v>
          </cell>
          <cell r="J1232" t="str">
            <v>㈜뉴봉봉</v>
          </cell>
          <cell r="L1232" t="str">
            <v>잔금</v>
          </cell>
          <cell r="M1232" t="str">
            <v>50만원 회사 통장</v>
          </cell>
          <cell r="N1232">
            <v>1120</v>
          </cell>
          <cell r="Q1232" t="str">
            <v>done</v>
          </cell>
          <cell r="R1232" t="str">
            <v>04-09-2026</v>
          </cell>
          <cell r="S1232" t="str">
            <v>BUTRINT</v>
          </cell>
          <cell r="T1232" t="str">
            <v>VENENO GROUP SHPK</v>
          </cell>
          <cell r="U1232">
            <v>812449553</v>
          </cell>
          <cell r="V1232" t="str">
            <v>386 49 776 654</v>
          </cell>
          <cell r="W1232" t="str">
            <v>Kosovo</v>
          </cell>
          <cell r="X1232">
            <v>1358</v>
          </cell>
          <cell r="AB1232">
            <v>1576</v>
          </cell>
          <cell r="AC1232">
            <v>6892</v>
          </cell>
          <cell r="AD1232">
            <v>1758</v>
          </cell>
          <cell r="AE1232">
            <v>8650</v>
          </cell>
          <cell r="AF1232">
            <v>8650</v>
          </cell>
        </row>
        <row r="1233">
          <cell r="A1233">
            <v>1233</v>
          </cell>
          <cell r="B1233">
            <v>46266</v>
          </cell>
          <cell r="C1233" t="str">
            <v>VOLKSWAGEN pasat</v>
          </cell>
          <cell r="D1233" t="str">
            <v>VOLKSWAGEN</v>
          </cell>
          <cell r="E1233" t="str">
            <v>pasat</v>
          </cell>
          <cell r="G1233" t="str">
            <v>60도7842</v>
          </cell>
          <cell r="H1233" t="str">
            <v>WVWZZZ3CZJE128530</v>
          </cell>
          <cell r="I1233">
            <v>46268</v>
          </cell>
          <cell r="L1233" t="str">
            <v>잔금</v>
          </cell>
          <cell r="M1233" t="str">
            <v>50만원 대표님 계약</v>
          </cell>
          <cell r="Q1233" t="str">
            <v>DONE</v>
          </cell>
          <cell r="R1233">
            <v>46281</v>
          </cell>
          <cell r="S1233" t="str">
            <v>R.S.h L.L.C.</v>
          </cell>
          <cell r="T1233" t="str">
            <v>R.Sh L.L.C.</v>
          </cell>
          <cell r="U1233">
            <v>206557008</v>
          </cell>
          <cell r="V1233" t="str">
            <v>359 89 936 8386</v>
          </cell>
          <cell r="W1233" t="str">
            <v>ul. Sokolna 47
1444 Sofia
Bulgaria</v>
          </cell>
          <cell r="AC1233">
            <v>0</v>
          </cell>
        </row>
        <row r="1234">
          <cell r="A1234">
            <v>1234</v>
          </cell>
          <cell r="B1234">
            <v>46266</v>
          </cell>
          <cell r="C1234" t="str">
            <v>VOLKSWAGEN GOLF</v>
          </cell>
          <cell r="D1234" t="str">
            <v>VOLKSWAGEN</v>
          </cell>
          <cell r="E1234" t="str">
            <v>GOLF</v>
          </cell>
          <cell r="G1234" t="str">
            <v>43너0957</v>
          </cell>
          <cell r="H1234" t="str">
            <v xml:space="preserve">WVWZZZAUZGW062100 </v>
          </cell>
          <cell r="J1234" t="str">
            <v>경매장-현대</v>
          </cell>
          <cell r="L1234" t="str">
            <v>잔금</v>
          </cell>
          <cell r="N1234">
            <v>500</v>
          </cell>
          <cell r="Q1234" t="str">
            <v>done</v>
          </cell>
          <cell r="R1234" t="str">
            <v>04-09-2026</v>
          </cell>
          <cell r="S1234" t="str">
            <v>TAFA</v>
          </cell>
          <cell r="T1234" t="str">
            <v>RROKAJ MARSILJO</v>
          </cell>
          <cell r="U1234" t="str">
            <v>K40605082O</v>
          </cell>
          <cell r="V1234" t="str">
            <v>355 68 855 8026</v>
          </cell>
          <cell r="W1234" t="str">
            <v>ALBANIA</v>
          </cell>
          <cell r="X1234">
            <v>1358</v>
          </cell>
          <cell r="AB1234">
            <v>1576</v>
          </cell>
          <cell r="AC1234">
            <v>4242</v>
          </cell>
          <cell r="AD1234">
            <v>1758</v>
          </cell>
          <cell r="AE1234">
            <v>6000</v>
          </cell>
        </row>
        <row r="1235">
          <cell r="A1235">
            <v>1235</v>
          </cell>
          <cell r="B1235">
            <v>46266</v>
          </cell>
          <cell r="C1235" t="str">
            <v>BMW  520d</v>
          </cell>
          <cell r="D1235" t="str">
            <v>BMW</v>
          </cell>
          <cell r="E1235" t="str">
            <v xml:space="preserve"> 520d</v>
          </cell>
          <cell r="G1235" t="str">
            <v>319머4874</v>
          </cell>
          <cell r="H1235" t="str">
            <v>WBAJC3108HG857016</v>
          </cell>
          <cell r="J1235" t="str">
            <v>경매장- 헤이딜러</v>
          </cell>
          <cell r="L1235" t="str">
            <v>잔금</v>
          </cell>
          <cell r="M1235">
            <v>1</v>
          </cell>
          <cell r="N1235">
            <v>1684</v>
          </cell>
          <cell r="O1235">
            <v>38</v>
          </cell>
          <cell r="Q1235" t="str">
            <v>done</v>
          </cell>
          <cell r="R1235">
            <v>46297</v>
          </cell>
          <cell r="S1235" t="str">
            <v>AUTO SCOUT</v>
          </cell>
          <cell r="T1235" t="str">
            <v>DONI</v>
          </cell>
          <cell r="U1235">
            <v>933682</v>
          </cell>
          <cell r="V1235" t="str">
            <v>3 8 3 4 9 3 2 5 7 0 3</v>
          </cell>
          <cell r="W1235" t="str">
            <v xml:space="preserve"> HYZRI TALLA OB 16 HY 1 NR 18
 Kosovë</v>
          </cell>
          <cell r="AC1235">
            <v>0</v>
          </cell>
        </row>
        <row r="1236">
          <cell r="A1236">
            <v>1236</v>
          </cell>
          <cell r="B1236">
            <v>46266</v>
          </cell>
          <cell r="C1236" t="str">
            <v>AUDI A6</v>
          </cell>
          <cell r="D1236" t="str">
            <v>AUDI</v>
          </cell>
          <cell r="E1236" t="str">
            <v>A6</v>
          </cell>
          <cell r="G1236" t="str">
            <v>254어9793</v>
          </cell>
          <cell r="H1236" t="str">
            <v>WAUZZZ4G8JN110014</v>
          </cell>
          <cell r="J1236" t="str">
            <v>경매장- 헤이딜러</v>
          </cell>
          <cell r="L1236" t="str">
            <v>잔금</v>
          </cell>
          <cell r="M1236">
            <v>2</v>
          </cell>
          <cell r="N1236">
            <v>1264</v>
          </cell>
          <cell r="Q1236" t="str">
            <v>done</v>
          </cell>
          <cell r="R1236" t="str">
            <v>DK 야드, 면장 X</v>
          </cell>
          <cell r="S1236" t="str">
            <v>AUTO SCOUT</v>
          </cell>
          <cell r="T1236" t="str">
            <v>DONI</v>
          </cell>
          <cell r="U1236">
            <v>933682</v>
          </cell>
          <cell r="V1236" t="str">
            <v>3 8 3 4 9 3 2 5 7 0 3</v>
          </cell>
          <cell r="W1236" t="str">
            <v xml:space="preserve"> HYZRI TALLA OB 16 HY 1 NR 18
 Kosovë</v>
          </cell>
          <cell r="AC1236">
            <v>0</v>
          </cell>
        </row>
        <row r="1237">
          <cell r="A1237">
            <v>1237</v>
          </cell>
          <cell r="B1237">
            <v>46266</v>
          </cell>
          <cell r="C1237" t="str">
            <v>RENAULT QM3</v>
          </cell>
          <cell r="D1237" t="str">
            <v>RENAULT</v>
          </cell>
          <cell r="E1237" t="str">
            <v>QM3</v>
          </cell>
          <cell r="G1237" t="str">
            <v>19로0825</v>
          </cell>
          <cell r="H1237" t="str">
            <v>VF12RGJ1DGW105710</v>
          </cell>
          <cell r="J1237" t="str">
            <v>경매장- 헤이딜러</v>
          </cell>
          <cell r="L1237" t="str">
            <v>잔금</v>
          </cell>
          <cell r="Q1237" t="str">
            <v>DONE</v>
          </cell>
          <cell r="R1237">
            <v>46281</v>
          </cell>
          <cell r="S1237" t="str">
            <v>R.S.h L.L.C.</v>
          </cell>
          <cell r="T1237" t="str">
            <v>R.Sh L.L.C.</v>
          </cell>
          <cell r="U1237">
            <v>206557008</v>
          </cell>
          <cell r="V1237" t="str">
            <v>359 89 936 8386</v>
          </cell>
          <cell r="W1237" t="str">
            <v>ul. Sokolna 47
1444 Sofia
Bulgaria</v>
          </cell>
          <cell r="AC1237">
            <v>3095</v>
          </cell>
          <cell r="AD1237">
            <v>1755</v>
          </cell>
          <cell r="AE1237">
            <v>4850</v>
          </cell>
        </row>
        <row r="1238">
          <cell r="A1238">
            <v>1238</v>
          </cell>
          <cell r="B1238">
            <v>46266</v>
          </cell>
          <cell r="C1238" t="str">
            <v>BMW 320D</v>
          </cell>
          <cell r="D1238" t="str">
            <v>BMW</v>
          </cell>
          <cell r="E1238" t="str">
            <v>320D</v>
          </cell>
          <cell r="G1238" t="str">
            <v>53러0523</v>
          </cell>
          <cell r="H1238" t="str">
            <v>WBA8D1101GK655601</v>
          </cell>
          <cell r="I1238">
            <v>46268</v>
          </cell>
          <cell r="L1238" t="str">
            <v>잔금</v>
          </cell>
          <cell r="M1238" t="str">
            <v>50만원 대표님 계약</v>
          </cell>
          <cell r="Q1238" t="str">
            <v>done</v>
          </cell>
          <cell r="R1238" t="str">
            <v>CON 15</v>
          </cell>
          <cell r="S1238" t="str">
            <v>EASY DRIVE</v>
          </cell>
          <cell r="T1238" t="str">
            <v>Easy Drive LTD</v>
          </cell>
          <cell r="U1238">
            <v>206557008</v>
          </cell>
          <cell r="V1238" t="str">
            <v>359 89 936 8386</v>
          </cell>
          <cell r="W1238" t="str">
            <v>ul. Sokolna 47
1444 Sofia
Bulgaria</v>
          </cell>
          <cell r="AC1238">
            <v>8800000</v>
          </cell>
        </row>
        <row r="1239">
          <cell r="A1239">
            <v>1239</v>
          </cell>
          <cell r="B1239">
            <v>46266</v>
          </cell>
          <cell r="C1239" t="str">
            <v>HYUNDAI SANTAFE</v>
          </cell>
          <cell r="D1239" t="str">
            <v>HYUNDAI</v>
          </cell>
          <cell r="E1239" t="str">
            <v>SANTAFE</v>
          </cell>
          <cell r="G1239" t="str">
            <v>152두9426</v>
          </cell>
          <cell r="H1239" t="str">
            <v>KMHS381HHPU463984</v>
          </cell>
          <cell r="I1239">
            <v>46268</v>
          </cell>
          <cell r="L1239" t="str">
            <v>잔금</v>
          </cell>
          <cell r="M1239" t="str">
            <v>100만원 회사 통장</v>
          </cell>
          <cell r="N1239">
            <v>2650</v>
          </cell>
          <cell r="Q1239" t="str">
            <v>done</v>
          </cell>
          <cell r="R1239" t="str">
            <v>CON 15</v>
          </cell>
          <cell r="S1239" t="str">
            <v>EASY DRIVE</v>
          </cell>
          <cell r="T1239" t="str">
            <v>Easy Drive LTD</v>
          </cell>
          <cell r="U1239">
            <v>206557008</v>
          </cell>
          <cell r="V1239" t="str">
            <v>359 89 936 8386</v>
          </cell>
          <cell r="W1239" t="str">
            <v>ul. Sokolna 47
1444 Sofia
Bulgaria</v>
          </cell>
          <cell r="AC1239">
            <v>25327300</v>
          </cell>
        </row>
        <row r="1240">
          <cell r="A1240">
            <v>1240</v>
          </cell>
          <cell r="B1240">
            <v>46266</v>
          </cell>
          <cell r="C1240" t="str">
            <v>AUDI A6</v>
          </cell>
          <cell r="D1240" t="str">
            <v>AUDI</v>
          </cell>
          <cell r="E1240" t="str">
            <v>A6</v>
          </cell>
          <cell r="G1240" t="str">
            <v>23수1592</v>
          </cell>
          <cell r="H1240" t="str">
            <v>WAUZZZ4G4JN120894</v>
          </cell>
          <cell r="I1240">
            <v>46269</v>
          </cell>
          <cell r="J1240" t="str">
            <v>경매장- 헤이딜러/ 송한신 010 8214 0549</v>
          </cell>
          <cell r="L1240" t="str">
            <v>잔금</v>
          </cell>
          <cell r="M1240" t="str">
            <v>50만원 회사 통장</v>
          </cell>
          <cell r="N1240">
            <v>1250</v>
          </cell>
          <cell r="Q1240" t="str">
            <v>DONE</v>
          </cell>
          <cell r="R1240">
            <v>46281</v>
          </cell>
          <cell r="S1240" t="str">
            <v>DONI</v>
          </cell>
          <cell r="T1240" t="str">
            <v>DONI</v>
          </cell>
          <cell r="U1240">
            <v>933682</v>
          </cell>
          <cell r="V1240" t="str">
            <v>3 8 3 4 9 3 2 5 7 0 3</v>
          </cell>
          <cell r="W1240" t="str">
            <v xml:space="preserve"> HYZRI TALLA OB 16 HY 1 NR 18
 Kosovë</v>
          </cell>
          <cell r="X1240">
            <v>1358</v>
          </cell>
          <cell r="AB1240">
            <v>1576</v>
          </cell>
          <cell r="AC1240">
            <v>7842</v>
          </cell>
          <cell r="AD1240">
            <v>1758</v>
          </cell>
          <cell r="AE1240">
            <v>9600</v>
          </cell>
        </row>
        <row r="1241">
          <cell r="A1241">
            <v>1241</v>
          </cell>
          <cell r="B1241">
            <v>46266</v>
          </cell>
          <cell r="C1241" t="str">
            <v>BMW 520D</v>
          </cell>
          <cell r="D1241" t="str">
            <v>BMW</v>
          </cell>
          <cell r="E1241" t="str">
            <v>520D</v>
          </cell>
          <cell r="G1241" t="str">
            <v>200버4662</v>
          </cell>
          <cell r="H1241" t="str">
            <v>WBAJC3107JWB80491</v>
          </cell>
          <cell r="I1241">
            <v>46269</v>
          </cell>
          <cell r="J1241" t="str">
            <v>경매장- 헤이딜러/ 이장희 010 2074 0820</v>
          </cell>
          <cell r="L1241" t="str">
            <v>잔금</v>
          </cell>
          <cell r="M1241" t="str">
            <v>50만원 회사 통장</v>
          </cell>
          <cell r="N1241">
            <v>1600</v>
          </cell>
          <cell r="Q1241" t="str">
            <v>done</v>
          </cell>
          <cell r="R1241" t="str">
            <v>REPORT DONE</v>
          </cell>
          <cell r="S1241" t="str">
            <v>DONI</v>
          </cell>
          <cell r="T1241" t="str">
            <v>DONI</v>
          </cell>
          <cell r="U1241">
            <v>933682</v>
          </cell>
          <cell r="V1241" t="str">
            <v>3 8 3 4 9 3 2 5 7 0 3</v>
          </cell>
          <cell r="W1241" t="str">
            <v xml:space="preserve"> HYZRI TALLA OB 16 HY 1 NR 18
 Kosovë</v>
          </cell>
          <cell r="X1241">
            <v>1358</v>
          </cell>
          <cell r="AB1241">
            <v>1576</v>
          </cell>
          <cell r="AC1241">
            <v>9892</v>
          </cell>
          <cell r="AD1241">
            <v>1758</v>
          </cell>
          <cell r="AE1241">
            <v>11650</v>
          </cell>
        </row>
        <row r="1242">
          <cell r="A1242">
            <v>1242</v>
          </cell>
          <cell r="B1242">
            <v>46266</v>
          </cell>
          <cell r="C1242" t="str">
            <v>RENAULT QM3</v>
          </cell>
          <cell r="D1242" t="str">
            <v>RENAULT</v>
          </cell>
          <cell r="E1242" t="str">
            <v>QM3</v>
          </cell>
          <cell r="G1242" t="str">
            <v>267두6979</v>
          </cell>
          <cell r="H1242" t="str">
            <v>VF1S87001KW864824</v>
          </cell>
          <cell r="I1242">
            <v>46268</v>
          </cell>
          <cell r="J1242" t="str">
            <v>㈜가나모터스</v>
          </cell>
          <cell r="L1242" t="str">
            <v>잔금</v>
          </cell>
          <cell r="M1242" t="str">
            <v>50만원 회사 통장</v>
          </cell>
          <cell r="N1242">
            <v>870</v>
          </cell>
          <cell r="Q1242" t="str">
            <v>DONE</v>
          </cell>
          <cell r="R1242">
            <v>46276</v>
          </cell>
          <cell r="S1242" t="str">
            <v>DONI</v>
          </cell>
          <cell r="T1242" t="str">
            <v>DONI</v>
          </cell>
          <cell r="U1242">
            <v>933682</v>
          </cell>
          <cell r="V1242" t="str">
            <v>3 8 3 4 9 3 2 5 7 0 3</v>
          </cell>
          <cell r="W1242" t="str">
            <v xml:space="preserve"> HYZRI TALLA OB 16 HY 1 NR 18
 Kosovë</v>
          </cell>
          <cell r="X1242">
            <v>1358</v>
          </cell>
          <cell r="AB1242">
            <v>1576</v>
          </cell>
          <cell r="AC1242">
            <v>5522</v>
          </cell>
          <cell r="AD1242">
            <v>1758</v>
          </cell>
          <cell r="AE1242">
            <v>7280</v>
          </cell>
        </row>
        <row r="1243">
          <cell r="A1243">
            <v>1243</v>
          </cell>
          <cell r="B1243">
            <v>46266</v>
          </cell>
          <cell r="C1243" t="str">
            <v>AUDI A6</v>
          </cell>
          <cell r="D1243" t="str">
            <v>AUDI</v>
          </cell>
          <cell r="E1243" t="str">
            <v>A6</v>
          </cell>
          <cell r="G1243" t="str">
            <v>06머6942</v>
          </cell>
          <cell r="H1243" t="str">
            <v>WAUZZZ4G8JN107999</v>
          </cell>
          <cell r="J1243" t="str">
            <v>경매장- AJ</v>
          </cell>
          <cell r="L1243" t="str">
            <v>잔금</v>
          </cell>
          <cell r="N1243">
            <v>1165</v>
          </cell>
          <cell r="O1243">
            <v>30</v>
          </cell>
          <cell r="S1243" t="str">
            <v>DONI</v>
          </cell>
          <cell r="T1243" t="str">
            <v>DONI</v>
          </cell>
          <cell r="U1243">
            <v>933682</v>
          </cell>
          <cell r="V1243" t="str">
            <v>3 8 3 4 9 3 2 5 7 0 3</v>
          </cell>
          <cell r="W1243" t="str">
            <v xml:space="preserve"> HYZRI TALLA OB 16 HY 1 NR 18
 Kosovë</v>
          </cell>
          <cell r="X1243">
            <v>1358</v>
          </cell>
          <cell r="AB1243">
            <v>1576</v>
          </cell>
          <cell r="AC1243">
            <v>7722</v>
          </cell>
          <cell r="AD1243">
            <v>1758</v>
          </cell>
          <cell r="AE1243">
            <v>9480</v>
          </cell>
        </row>
        <row r="1244">
          <cell r="A1244">
            <v>1244</v>
          </cell>
          <cell r="B1244">
            <v>46266</v>
          </cell>
          <cell r="C1244" t="str">
            <v>AUDI A6</v>
          </cell>
          <cell r="D1244" t="str">
            <v>AUDI</v>
          </cell>
          <cell r="E1244" t="str">
            <v>A6</v>
          </cell>
          <cell r="G1244" t="str">
            <v>60소2727</v>
          </cell>
          <cell r="H1244" t="str">
            <v>WAUZZZ4G7JN119545</v>
          </cell>
          <cell r="J1244" t="str">
            <v>경매장- AJ</v>
          </cell>
          <cell r="L1244" t="str">
            <v>잔금</v>
          </cell>
          <cell r="N1244">
            <v>1300</v>
          </cell>
          <cell r="O1244">
            <v>34</v>
          </cell>
          <cell r="Q1244" t="str">
            <v>done</v>
          </cell>
          <cell r="R1244">
            <v>46296</v>
          </cell>
          <cell r="S1244" t="str">
            <v>DONI</v>
          </cell>
          <cell r="T1244" t="str">
            <v>DONI</v>
          </cell>
          <cell r="U1244">
            <v>933682</v>
          </cell>
          <cell r="V1244" t="str">
            <v>3 8 3 4 9 3 2 5 7 0 3</v>
          </cell>
          <cell r="W1244" t="str">
            <v xml:space="preserve"> HYZRI TALLA OB 16 HY 1 NR 18
 Kosovë</v>
          </cell>
          <cell r="X1244">
            <v>1347</v>
          </cell>
          <cell r="AB1244">
            <v>1532</v>
          </cell>
          <cell r="AC1244">
            <v>8257</v>
          </cell>
          <cell r="AD1244">
            <v>1793</v>
          </cell>
          <cell r="AE1244">
            <v>10050</v>
          </cell>
        </row>
        <row r="1245">
          <cell r="A1245">
            <v>1245</v>
          </cell>
          <cell r="B1245">
            <v>46269</v>
          </cell>
          <cell r="C1245" t="str">
            <v>BMW X4</v>
          </cell>
          <cell r="D1245" t="str">
            <v>BMW</v>
          </cell>
          <cell r="E1245" t="str">
            <v>X4</v>
          </cell>
          <cell r="G1245" t="str">
            <v>340구7054</v>
          </cell>
          <cell r="H1245" t="str">
            <v>WBAVJ9105L9C80102</v>
          </cell>
          <cell r="I1245">
            <v>46274</v>
          </cell>
          <cell r="J1245" t="str">
            <v>㈜오토베이</v>
          </cell>
          <cell r="L1245" t="str">
            <v>잔금</v>
          </cell>
          <cell r="M1245" t="str">
            <v>100만원 회사 통장</v>
          </cell>
          <cell r="N1245">
            <v>3190</v>
          </cell>
          <cell r="Q1245" t="str">
            <v>DONE</v>
          </cell>
          <cell r="R1245">
            <v>46281</v>
          </cell>
          <cell r="S1245" t="str">
            <v>Auto Posh SH.P.K</v>
          </cell>
          <cell r="T1245" t="str">
            <v>Auto Posh SH.P.K</v>
          </cell>
          <cell r="U1245">
            <v>812219427</v>
          </cell>
          <cell r="V1245" t="str">
            <v>38345560145</v>
          </cell>
          <cell r="W1245" t="str">
            <v>KOSOVO</v>
          </cell>
          <cell r="X1245">
            <v>1345</v>
          </cell>
          <cell r="AB1245">
            <v>1564</v>
          </cell>
          <cell r="AC1245">
            <v>19460</v>
          </cell>
          <cell r="AD1245">
            <v>1840</v>
          </cell>
          <cell r="AE1245">
            <v>21300</v>
          </cell>
        </row>
        <row r="1246">
          <cell r="A1246">
            <v>1246</v>
          </cell>
          <cell r="B1246">
            <v>46269</v>
          </cell>
          <cell r="C1246" t="str">
            <v>BENZ s350</v>
          </cell>
          <cell r="D1246" t="str">
            <v>BENZ</v>
          </cell>
          <cell r="E1246" t="str">
            <v>s350</v>
          </cell>
          <cell r="G1246" t="str">
            <v>11누3344</v>
          </cell>
          <cell r="H1246" t="str">
            <v>WDDUG3CB3FA173824</v>
          </cell>
          <cell r="I1246">
            <v>46274</v>
          </cell>
          <cell r="J1246" t="str">
            <v>㈜준모터스</v>
          </cell>
          <cell r="L1246" t="str">
            <v>잔금</v>
          </cell>
          <cell r="M1246" t="str">
            <v>50만원 회사 통장</v>
          </cell>
          <cell r="N1246">
            <v>1624</v>
          </cell>
          <cell r="Q1246" t="str">
            <v>DONE</v>
          </cell>
          <cell r="R1246">
            <v>46281</v>
          </cell>
          <cell r="S1246" t="str">
            <v>TAFA</v>
          </cell>
          <cell r="T1246" t="str">
            <v>RROKAJ MARSILJO</v>
          </cell>
          <cell r="U1246" t="str">
            <v>K40605082O</v>
          </cell>
          <cell r="V1246" t="str">
            <v>355 68 855 8026</v>
          </cell>
          <cell r="W1246" t="str">
            <v>ALBANIA</v>
          </cell>
          <cell r="X1246">
            <v>1345</v>
          </cell>
          <cell r="AB1246">
            <v>1564</v>
          </cell>
          <cell r="AC1246">
            <v>9910</v>
          </cell>
          <cell r="AD1246">
            <v>1840</v>
          </cell>
          <cell r="AE1246">
            <v>11750</v>
          </cell>
        </row>
        <row r="1247">
          <cell r="A1247">
            <v>1247</v>
          </cell>
          <cell r="B1247">
            <v>46273</v>
          </cell>
          <cell r="C1247" t="str">
            <v>BENZ c220</v>
          </cell>
          <cell r="D1247" t="str">
            <v>BENZ</v>
          </cell>
          <cell r="E1247" t="str">
            <v>c220</v>
          </cell>
          <cell r="G1247" t="str">
            <v>17보0839</v>
          </cell>
          <cell r="H1247" t="str">
            <v>WDDWF0EB8GR170850</v>
          </cell>
          <cell r="I1247">
            <v>46274</v>
          </cell>
          <cell r="J1247" t="str">
            <v>㈜나이스카</v>
          </cell>
          <cell r="L1247" t="str">
            <v>잔금</v>
          </cell>
          <cell r="M1247" t="str">
            <v>50만원 대표님 계약</v>
          </cell>
          <cell r="N1247">
            <v>1320</v>
          </cell>
          <cell r="Q1247" t="str">
            <v>DONE</v>
          </cell>
          <cell r="R1247">
            <v>46281</v>
          </cell>
          <cell r="S1247" t="str">
            <v>Auto Posh SH.P.K</v>
          </cell>
          <cell r="T1247" t="str">
            <v>Auto Posh SH.P.K</v>
          </cell>
          <cell r="U1247">
            <v>812219427</v>
          </cell>
          <cell r="V1247" t="str">
            <v>38345560145</v>
          </cell>
          <cell r="W1247" t="str">
            <v>KOSOVO</v>
          </cell>
          <cell r="X1247">
            <v>1345</v>
          </cell>
          <cell r="AB1247">
            <v>1564</v>
          </cell>
          <cell r="AC1247">
            <v>8186</v>
          </cell>
          <cell r="AD1247">
            <v>1754</v>
          </cell>
          <cell r="AE1247">
            <v>9940</v>
          </cell>
        </row>
        <row r="1248">
          <cell r="A1248">
            <v>1248</v>
          </cell>
          <cell r="B1248">
            <v>46273</v>
          </cell>
          <cell r="C1248" t="str">
            <v>BENZ E220D</v>
          </cell>
          <cell r="D1248" t="str">
            <v>BENZ</v>
          </cell>
          <cell r="E1248" t="str">
            <v>E220D</v>
          </cell>
          <cell r="G1248" t="str">
            <v>222저3702</v>
          </cell>
          <cell r="H1248" t="str">
            <v>WDDZF0EBXHA044647</v>
          </cell>
          <cell r="I1248">
            <v>46273</v>
          </cell>
          <cell r="J1248" t="str">
            <v>㈜준이카</v>
          </cell>
          <cell r="L1248" t="str">
            <v>잔금</v>
          </cell>
          <cell r="M1248" t="str">
            <v>70만원 대표님 계약</v>
          </cell>
          <cell r="N1248">
            <v>1560</v>
          </cell>
          <cell r="Q1248" t="str">
            <v>DONE</v>
          </cell>
          <cell r="R1248">
            <v>46281</v>
          </cell>
          <cell r="S1248" t="str">
            <v>R.S.h L.L.C.</v>
          </cell>
          <cell r="T1248" t="str">
            <v>R.Sh L.L.C.</v>
          </cell>
          <cell r="U1248">
            <v>206557008</v>
          </cell>
          <cell r="V1248" t="str">
            <v>359 89 936 8386</v>
          </cell>
          <cell r="W1248" t="str">
            <v>ul. Sokolna 47
1444 Sofia
Bulgaria</v>
          </cell>
          <cell r="AE1248">
            <v>11500</v>
          </cell>
        </row>
        <row r="1249">
          <cell r="A1249">
            <v>1249</v>
          </cell>
          <cell r="B1249">
            <v>46273</v>
          </cell>
          <cell r="C1249" t="str">
            <v>BENZ E220D</v>
          </cell>
          <cell r="D1249" t="str">
            <v>BENZ</v>
          </cell>
          <cell r="E1249" t="str">
            <v>E220D</v>
          </cell>
          <cell r="G1249" t="str">
            <v>392너1981</v>
          </cell>
          <cell r="H1249" t="str">
            <v xml:space="preserve">WDD1K1EB1KF117350 </v>
          </cell>
          <cell r="I1249">
            <v>46274</v>
          </cell>
          <cell r="J1249" t="str">
            <v>다정자동차매매상사</v>
          </cell>
          <cell r="L1249" t="str">
            <v>잔금</v>
          </cell>
          <cell r="M1249" t="str">
            <v>70만원 대표님 계약</v>
          </cell>
          <cell r="N1249">
            <v>1800</v>
          </cell>
          <cell r="Q1249" t="str">
            <v>DONE</v>
          </cell>
          <cell r="R1249">
            <v>46281</v>
          </cell>
          <cell r="S1249" t="str">
            <v>Avendor Auto</v>
          </cell>
          <cell r="T1249" t="str">
            <v>ISUFI FESTIM</v>
          </cell>
          <cell r="U1249" t="str">
            <v>2838236</v>
          </cell>
          <cell r="V1249">
            <v>38348480119</v>
          </cell>
          <cell r="W1249" t="str">
            <v>Kosovo</v>
          </cell>
          <cell r="X1249">
            <v>1328</v>
          </cell>
          <cell r="AB1249">
            <v>1544</v>
          </cell>
          <cell r="AC1249">
            <v>11345</v>
          </cell>
          <cell r="AD1249">
            <v>1755</v>
          </cell>
          <cell r="AE1249">
            <v>13100</v>
          </cell>
          <cell r="AF1249">
            <v>13100</v>
          </cell>
        </row>
        <row r="1250">
          <cell r="A1250">
            <v>1250</v>
          </cell>
          <cell r="B1250">
            <v>46273</v>
          </cell>
          <cell r="C1250" t="str">
            <v>HYUNDAI AVANTE</v>
          </cell>
          <cell r="D1250" t="str">
            <v>HYUNDAI</v>
          </cell>
          <cell r="E1250" t="str">
            <v>AVANTE</v>
          </cell>
          <cell r="G1250" t="str">
            <v>346고5545</v>
          </cell>
          <cell r="H1250" t="str">
            <v>KMHLW41KANU004013</v>
          </cell>
          <cell r="I1250">
            <v>46273</v>
          </cell>
          <cell r="J1250" t="str">
            <v>㈜성진모터스</v>
          </cell>
          <cell r="L1250" t="str">
            <v>잔금</v>
          </cell>
          <cell r="M1250" t="str">
            <v>70만원 대표님 계약</v>
          </cell>
          <cell r="Q1250" t="str">
            <v>done</v>
          </cell>
          <cell r="R1250" t="str">
            <v>CON 15</v>
          </cell>
          <cell r="S1250" t="str">
            <v>EASY DRIVE</v>
          </cell>
          <cell r="T1250" t="str">
            <v>Easy Drive LTD</v>
          </cell>
          <cell r="U1250">
            <v>206557008</v>
          </cell>
          <cell r="V1250" t="str">
            <v>359 89 936 8386</v>
          </cell>
          <cell r="W1250" t="str">
            <v>ul. Sokolna 47
1444 Sofia
Bulgaria</v>
          </cell>
          <cell r="AC1250">
            <v>17496300</v>
          </cell>
        </row>
        <row r="1251">
          <cell r="A1251">
            <v>1251</v>
          </cell>
          <cell r="B1251">
            <v>46273</v>
          </cell>
          <cell r="C1251" t="str">
            <v>BENZ E220</v>
          </cell>
          <cell r="D1251" t="str">
            <v>BENZ</v>
          </cell>
          <cell r="E1251" t="str">
            <v>E220</v>
          </cell>
          <cell r="G1251" t="str">
            <v>40서0101</v>
          </cell>
          <cell r="H1251" t="str">
            <v>WDDZF0EB7HA145242</v>
          </cell>
          <cell r="I1251">
            <v>46273</v>
          </cell>
          <cell r="J1251" t="str">
            <v>㈜더드림카</v>
          </cell>
          <cell r="L1251" t="str">
            <v>잔금</v>
          </cell>
          <cell r="M1251" t="str">
            <v>100만원 대표님 계약</v>
          </cell>
          <cell r="N1251">
            <v>1634</v>
          </cell>
          <cell r="Q1251" t="str">
            <v>DONE</v>
          </cell>
          <cell r="R1251">
            <v>46281</v>
          </cell>
          <cell r="S1251" t="str">
            <v>VILLA KOHA</v>
          </cell>
          <cell r="T1251" t="str">
            <v>VILLA KOHA SH.P.K</v>
          </cell>
          <cell r="U1251">
            <v>810039588</v>
          </cell>
          <cell r="V1251" t="str">
            <v>383 49247777</v>
          </cell>
          <cell r="W1251" t="str">
            <v>KOSOVO</v>
          </cell>
          <cell r="AC1251">
            <v>10204</v>
          </cell>
          <cell r="AD1251">
            <v>1756</v>
          </cell>
          <cell r="AE1251">
            <v>11960</v>
          </cell>
        </row>
        <row r="1252">
          <cell r="A1252">
            <v>1252</v>
          </cell>
          <cell r="B1252">
            <v>46273</v>
          </cell>
          <cell r="C1252" t="str">
            <v>BMW  520D</v>
          </cell>
          <cell r="D1252" t="str">
            <v xml:space="preserve">BMW </v>
          </cell>
          <cell r="E1252" t="str">
            <v>520D</v>
          </cell>
          <cell r="G1252" t="str">
            <v>177버2935</v>
          </cell>
          <cell r="H1252" t="str">
            <v xml:space="preserve">WBAJC5107HG851963 </v>
          </cell>
          <cell r="J1252" t="str">
            <v>경매장-헤이딜러</v>
          </cell>
          <cell r="L1252" t="str">
            <v>잔금</v>
          </cell>
          <cell r="Q1252" t="str">
            <v>DONE</v>
          </cell>
          <cell r="R1252">
            <v>46315</v>
          </cell>
          <cell r="S1252" t="str">
            <v>AUTO SCOUT</v>
          </cell>
          <cell r="T1252" t="str">
            <v>DONI</v>
          </cell>
          <cell r="U1252">
            <v>933682</v>
          </cell>
          <cell r="V1252" t="str">
            <v>3 8 3 4 9 3 2 5 7 0 3</v>
          </cell>
          <cell r="W1252" t="str">
            <v xml:space="preserve"> HYZRI TALLA OB 16 HY 1 NR 18
 Kosovë</v>
          </cell>
          <cell r="X1252">
            <v>1322</v>
          </cell>
          <cell r="AB1252">
            <v>1484</v>
          </cell>
          <cell r="AC1252">
            <v>10633</v>
          </cell>
          <cell r="AD1252">
            <v>1817</v>
          </cell>
          <cell r="AE1252">
            <v>12450</v>
          </cell>
        </row>
        <row r="1253">
          <cell r="A1253">
            <v>1253</v>
          </cell>
          <cell r="B1253">
            <v>46273</v>
          </cell>
          <cell r="C1253" t="str">
            <v>BMW  520D</v>
          </cell>
          <cell r="D1253" t="str">
            <v xml:space="preserve">BMW </v>
          </cell>
          <cell r="E1253" t="str">
            <v>520D</v>
          </cell>
          <cell r="G1253" t="str">
            <v>333로1850</v>
          </cell>
          <cell r="H1253" t="str">
            <v>WBAJC5106JWB85077</v>
          </cell>
          <cell r="J1253" t="str">
            <v>경매장-헤이딜러</v>
          </cell>
          <cell r="L1253" t="str">
            <v>잔금</v>
          </cell>
          <cell r="Q1253" t="str">
            <v>DONE</v>
          </cell>
          <cell r="R1253">
            <v>46315</v>
          </cell>
          <cell r="S1253" t="str">
            <v>AUTO SCOUT</v>
          </cell>
          <cell r="T1253" t="str">
            <v>DONI</v>
          </cell>
          <cell r="U1253">
            <v>933682</v>
          </cell>
          <cell r="V1253" t="str">
            <v>3 8 3 4 9 3 2 5 7 0 3</v>
          </cell>
          <cell r="W1253" t="str">
            <v xml:space="preserve"> HYZRI TALLA OB 16 HY 1 NR 18
 Kosovë</v>
          </cell>
          <cell r="X1253">
            <v>1322</v>
          </cell>
          <cell r="AB1253">
            <v>1484</v>
          </cell>
          <cell r="AC1253">
            <v>9928</v>
          </cell>
          <cell r="AD1253">
            <v>1817</v>
          </cell>
          <cell r="AE1253">
            <v>11745</v>
          </cell>
        </row>
        <row r="1254">
          <cell r="A1254">
            <v>1254</v>
          </cell>
          <cell r="B1254">
            <v>46273</v>
          </cell>
          <cell r="C1254" t="str">
            <v>BMW  520D</v>
          </cell>
          <cell r="D1254" t="str">
            <v xml:space="preserve">BMW </v>
          </cell>
          <cell r="E1254" t="str">
            <v>520D</v>
          </cell>
          <cell r="G1254" t="str">
            <v>146주9216</v>
          </cell>
          <cell r="H1254" t="str">
            <v>WBAJC3101HWB59601</v>
          </cell>
          <cell r="J1254" t="str">
            <v>경매장-헤이딜러</v>
          </cell>
          <cell r="L1254" t="str">
            <v>잔금</v>
          </cell>
          <cell r="Q1254" t="str">
            <v>HEYMAN</v>
          </cell>
          <cell r="S1254" t="str">
            <v>AUTO SCOUT</v>
          </cell>
          <cell r="T1254" t="str">
            <v>DONI</v>
          </cell>
          <cell r="U1254">
            <v>933682</v>
          </cell>
          <cell r="V1254" t="str">
            <v>3 8 3 4 9 3 2 5 7 0 3</v>
          </cell>
          <cell r="W1254" t="str">
            <v xml:space="preserve"> HYZRI TALLA OB 16 HY 1 NR 18
 Kosovë</v>
          </cell>
        </row>
        <row r="1255">
          <cell r="A1255">
            <v>1255</v>
          </cell>
          <cell r="B1255">
            <v>46273</v>
          </cell>
          <cell r="C1255" t="str">
            <v>RENAULT QM3</v>
          </cell>
          <cell r="D1255" t="str">
            <v>RENAULT</v>
          </cell>
          <cell r="E1255" t="str">
            <v>QM3</v>
          </cell>
          <cell r="G1255" t="str">
            <v>39구2855</v>
          </cell>
          <cell r="H1255" t="str">
            <v>VF12RS01AKW342468</v>
          </cell>
          <cell r="J1255" t="str">
            <v>경매장-헤이딜러</v>
          </cell>
          <cell r="L1255" t="str">
            <v>잔금</v>
          </cell>
          <cell r="N1255">
            <v>588</v>
          </cell>
          <cell r="O1255">
            <v>44</v>
          </cell>
          <cell r="Q1255" t="str">
            <v>done</v>
          </cell>
          <cell r="R1255">
            <v>46295</v>
          </cell>
          <cell r="S1255" t="str">
            <v>DONI</v>
          </cell>
          <cell r="T1255" t="str">
            <v>DONI</v>
          </cell>
          <cell r="U1255">
            <v>933682</v>
          </cell>
          <cell r="V1255" t="str">
            <v>3 8 3 4 9 3 2 5 7 0 3</v>
          </cell>
          <cell r="W1255" t="str">
            <v xml:space="preserve"> HYZRI TALLA OB 16 HY 1 NR 18
 Kosovë</v>
          </cell>
          <cell r="X1255">
            <v>1325</v>
          </cell>
          <cell r="AB1255">
            <v>1541</v>
          </cell>
          <cell r="AC1255">
            <v>4091</v>
          </cell>
          <cell r="AD1255">
            <v>1754</v>
          </cell>
          <cell r="AE1255">
            <v>5845</v>
          </cell>
        </row>
        <row r="1256">
          <cell r="A1256">
            <v>1256</v>
          </cell>
          <cell r="B1256">
            <v>46273</v>
          </cell>
          <cell r="C1256" t="str">
            <v>AUDI A4</v>
          </cell>
          <cell r="D1256" t="str">
            <v>AUDI</v>
          </cell>
          <cell r="E1256" t="str">
            <v>A4</v>
          </cell>
          <cell r="G1256" t="str">
            <v>05어0832</v>
          </cell>
          <cell r="H1256" t="str">
            <v>WAUZZZ8K7GN010557</v>
          </cell>
          <cell r="I1256">
            <v>46274</v>
          </cell>
          <cell r="J1256" t="str">
            <v>㈜차차</v>
          </cell>
          <cell r="L1256" t="str">
            <v>잔금</v>
          </cell>
          <cell r="M1256" t="str">
            <v>50만원 회사 통장</v>
          </cell>
          <cell r="N1256">
            <v>1130</v>
          </cell>
          <cell r="Q1256" t="str">
            <v>DONE</v>
          </cell>
          <cell r="R1256">
            <v>46281</v>
          </cell>
          <cell r="S1256" t="str">
            <v>ATLAS GROUP SH.P.K</v>
          </cell>
          <cell r="T1256" t="str">
            <v>ATLAS GROUP SH.P.K</v>
          </cell>
          <cell r="U1256">
            <v>812137455</v>
          </cell>
          <cell r="V1256" t="str">
            <v>+38348702207</v>
          </cell>
          <cell r="W1256" t="str">
            <v>Xhelal Hajda, p.n. Rahovec</v>
          </cell>
          <cell r="X1256">
            <v>1328</v>
          </cell>
          <cell r="AB1256">
            <v>1544</v>
          </cell>
          <cell r="AC1256">
            <v>7055</v>
          </cell>
          <cell r="AD1256">
            <v>1755</v>
          </cell>
          <cell r="AE1256">
            <v>8810</v>
          </cell>
          <cell r="AF1256">
            <v>8810</v>
          </cell>
        </row>
        <row r="1257">
          <cell r="A1257">
            <v>1257</v>
          </cell>
          <cell r="B1257">
            <v>46273</v>
          </cell>
          <cell r="C1257" t="str">
            <v>KIA  K5</v>
          </cell>
          <cell r="D1257" t="str">
            <v xml:space="preserve">KIA </v>
          </cell>
          <cell r="E1257" t="str">
            <v>K5</v>
          </cell>
          <cell r="G1257" t="str">
            <v>244보9276</v>
          </cell>
          <cell r="H1257" t="str">
            <v>KNAG241ABLA047294</v>
          </cell>
          <cell r="I1257">
            <v>46276</v>
          </cell>
          <cell r="L1257" t="str">
            <v>잔금</v>
          </cell>
          <cell r="Q1257" t="str">
            <v>done</v>
          </cell>
          <cell r="R1257" t="str">
            <v>con 16</v>
          </cell>
          <cell r="S1257" t="str">
            <v>EASY DRIVE</v>
          </cell>
          <cell r="T1257" t="str">
            <v>Easy Drive LTD</v>
          </cell>
          <cell r="U1257">
            <v>206557008</v>
          </cell>
          <cell r="V1257" t="str">
            <v>359 89 936 8386</v>
          </cell>
          <cell r="W1257" t="str">
            <v>ul. Sokolna 47
1444 Sofia
Bulgaria</v>
          </cell>
        </row>
        <row r="1258">
          <cell r="A1258">
            <v>1258</v>
          </cell>
          <cell r="B1258">
            <v>46273</v>
          </cell>
          <cell r="C1258" t="str">
            <v>KIA  K5</v>
          </cell>
          <cell r="D1258" t="str">
            <v xml:space="preserve">KIA </v>
          </cell>
          <cell r="E1258" t="str">
            <v>K5</v>
          </cell>
          <cell r="G1258" t="str">
            <v>234고6217</v>
          </cell>
          <cell r="H1258" t="str">
            <v>KNAG741BBRA339578</v>
          </cell>
          <cell r="I1258">
            <v>46276</v>
          </cell>
          <cell r="L1258" t="str">
            <v>잔금</v>
          </cell>
          <cell r="N1258">
            <v>2140</v>
          </cell>
          <cell r="Q1258" t="str">
            <v>done</v>
          </cell>
          <cell r="R1258" t="str">
            <v>con 16</v>
          </cell>
          <cell r="S1258" t="str">
            <v>EASY DRIVE</v>
          </cell>
          <cell r="T1258" t="str">
            <v>Easy Drive LTD</v>
          </cell>
          <cell r="U1258">
            <v>206557008</v>
          </cell>
          <cell r="V1258" t="str">
            <v>359 89 936 8386</v>
          </cell>
          <cell r="W1258" t="str">
            <v>ul. Sokolna 47
1444 Sofia
Bulgaria</v>
          </cell>
          <cell r="AC1258">
            <v>20647800</v>
          </cell>
          <cell r="AE1258">
            <v>20447800</v>
          </cell>
        </row>
        <row r="1259">
          <cell r="A1259">
            <v>1259</v>
          </cell>
          <cell r="B1259">
            <v>46273</v>
          </cell>
          <cell r="C1259" t="str">
            <v>AUDI A6</v>
          </cell>
          <cell r="D1259" t="str">
            <v>AUDI</v>
          </cell>
          <cell r="E1259" t="str">
            <v>A6</v>
          </cell>
          <cell r="G1259" t="str">
            <v>68거9002</v>
          </cell>
          <cell r="H1259" t="str">
            <v>WAUZZZ4G3JN120448</v>
          </cell>
          <cell r="I1259">
            <v>46276</v>
          </cell>
          <cell r="J1259" t="str">
            <v>경매장-헤이딜러</v>
          </cell>
          <cell r="L1259" t="str">
            <v>잔금</v>
          </cell>
          <cell r="Q1259" t="str">
            <v>DONE</v>
          </cell>
          <cell r="R1259">
            <v>46315</v>
          </cell>
          <cell r="S1259" t="str">
            <v>AUTO SCOUT</v>
          </cell>
          <cell r="T1259" t="str">
            <v>DONI</v>
          </cell>
          <cell r="U1259">
            <v>933682</v>
          </cell>
          <cell r="V1259" t="str">
            <v>3 8 3 4 9 3 2 5 7 0 3</v>
          </cell>
          <cell r="W1259" t="str">
            <v xml:space="preserve"> HYZRI TALLA OB 16 HY 1 NR 18
 Kosovë</v>
          </cell>
          <cell r="X1259">
            <v>1322</v>
          </cell>
          <cell r="AB1259">
            <v>1484</v>
          </cell>
          <cell r="AC1259">
            <v>7323</v>
          </cell>
          <cell r="AD1259">
            <v>1817</v>
          </cell>
          <cell r="AE1259">
            <v>9140</v>
          </cell>
        </row>
        <row r="1260">
          <cell r="A1260">
            <v>1260</v>
          </cell>
          <cell r="B1260">
            <v>46273</v>
          </cell>
          <cell r="C1260" t="str">
            <v>BMW  420D</v>
          </cell>
          <cell r="D1260" t="str">
            <v xml:space="preserve">BMW </v>
          </cell>
          <cell r="E1260" t="str">
            <v>420D</v>
          </cell>
          <cell r="G1260" t="str">
            <v>25소7336</v>
          </cell>
          <cell r="H1260" t="str">
            <v>WBA4F1101GG607124</v>
          </cell>
          <cell r="J1260" t="str">
            <v>경매장-헤이딜러</v>
          </cell>
          <cell r="L1260" t="str">
            <v>잔금</v>
          </cell>
          <cell r="M1260">
            <v>7</v>
          </cell>
          <cell r="Q1260" t="str">
            <v>done</v>
          </cell>
          <cell r="R1260">
            <v>46297</v>
          </cell>
          <cell r="S1260" t="str">
            <v>AUTO SCOUT</v>
          </cell>
          <cell r="T1260" t="str">
            <v>DONI</v>
          </cell>
          <cell r="U1260">
            <v>933682</v>
          </cell>
          <cell r="V1260" t="str">
            <v>3 8 3 4 9 3 2 5 7 0 3</v>
          </cell>
          <cell r="W1260" t="str">
            <v xml:space="preserve"> HYZRI TALLA OB 16 HY 1 NR 18
 Kosovë</v>
          </cell>
        </row>
        <row r="1261">
          <cell r="A1261">
            <v>1261</v>
          </cell>
          <cell r="B1261">
            <v>46273</v>
          </cell>
          <cell r="C1261" t="str">
            <v>BENZ GLE 300</v>
          </cell>
          <cell r="D1261" t="str">
            <v>BENZ</v>
          </cell>
          <cell r="E1261" t="str">
            <v>GLE 300</v>
          </cell>
          <cell r="G1261" t="str">
            <v>346너7631</v>
          </cell>
          <cell r="H1261" t="str">
            <v>W1NFB1KB0LA260608</v>
          </cell>
          <cell r="I1261">
            <v>46276</v>
          </cell>
          <cell r="L1261" t="str">
            <v>잔금</v>
          </cell>
          <cell r="N1261">
            <v>4100</v>
          </cell>
          <cell r="Q1261" t="str">
            <v>DONE</v>
          </cell>
          <cell r="R1261">
            <v>46281</v>
          </cell>
          <cell r="S1261" t="str">
            <v>R.S.h L.L.C.</v>
          </cell>
          <cell r="T1261" t="str">
            <v>Easy Drive LTD</v>
          </cell>
          <cell r="U1261">
            <v>206557008</v>
          </cell>
          <cell r="V1261" t="str">
            <v>359 89 936 8386</v>
          </cell>
          <cell r="W1261" t="str">
            <v>ul. Sokolna 47
1444 Sofia
Bulgaria</v>
          </cell>
          <cell r="AE1261">
            <v>27200</v>
          </cell>
        </row>
        <row r="1262">
          <cell r="A1262">
            <v>1262</v>
          </cell>
          <cell r="B1262">
            <v>46273</v>
          </cell>
          <cell r="C1262" t="str">
            <v>AUDI A8</v>
          </cell>
          <cell r="D1262" t="str">
            <v>AUDI</v>
          </cell>
          <cell r="E1262" t="str">
            <v>A8</v>
          </cell>
          <cell r="G1262" t="str">
            <v>13라2780</v>
          </cell>
          <cell r="H1262" t="str">
            <v>WAUZZZ4H1CN034986</v>
          </cell>
          <cell r="J1262" t="str">
            <v>경매장- AJ</v>
          </cell>
          <cell r="L1262" t="str">
            <v>잔금</v>
          </cell>
          <cell r="N1262">
            <v>780</v>
          </cell>
          <cell r="O1262">
            <v>20</v>
          </cell>
          <cell r="Q1262" t="str">
            <v>done</v>
          </cell>
          <cell r="R1262">
            <v>46297</v>
          </cell>
          <cell r="S1262" t="str">
            <v xml:space="preserve">Andrea Kasa </v>
          </cell>
          <cell r="T1262" t="str">
            <v xml:space="preserve">Andrea Kasa </v>
          </cell>
          <cell r="U1262" t="str">
            <v>K30122016U</v>
          </cell>
          <cell r="V1262" t="str">
            <v>355 69 746 2556</v>
          </cell>
          <cell r="W1262" t="str">
            <v>Albania</v>
          </cell>
          <cell r="X1262">
            <v>1325</v>
          </cell>
          <cell r="AB1262">
            <v>1541</v>
          </cell>
          <cell r="AC1262">
            <v>5120</v>
          </cell>
          <cell r="AD1262">
            <v>1840</v>
          </cell>
          <cell r="AE1262">
            <v>6960</v>
          </cell>
          <cell r="AF1262">
            <v>7060</v>
          </cell>
        </row>
        <row r="1263">
          <cell r="A1263">
            <v>1263</v>
          </cell>
          <cell r="B1263">
            <v>46273</v>
          </cell>
          <cell r="C1263" t="str">
            <v>VOLKSWAGEN GOLF</v>
          </cell>
          <cell r="D1263" t="str">
            <v>VOLKSWAGEN</v>
          </cell>
          <cell r="E1263" t="str">
            <v>GOLF</v>
          </cell>
          <cell r="G1263" t="str">
            <v>13주0939</v>
          </cell>
          <cell r="H1263" t="str">
            <v>WVWZZZAUZGW012536</v>
          </cell>
          <cell r="J1263" t="str">
            <v>경매장- AJ</v>
          </cell>
          <cell r="L1263" t="str">
            <v>잔금</v>
          </cell>
          <cell r="N1263">
            <v>645</v>
          </cell>
          <cell r="O1263">
            <v>16</v>
          </cell>
          <cell r="Q1263" t="str">
            <v>done</v>
          </cell>
          <cell r="R1263" t="str">
            <v>REPORT DONE</v>
          </cell>
          <cell r="S1263" t="str">
            <v xml:space="preserve">Andrea Kasa </v>
          </cell>
          <cell r="T1263" t="str">
            <v xml:space="preserve">Andrea Kasa </v>
          </cell>
          <cell r="U1263" t="str">
            <v>K30122016U</v>
          </cell>
          <cell r="V1263" t="str">
            <v>355 69 746 2556</v>
          </cell>
          <cell r="W1263" t="str">
            <v>Albania</v>
          </cell>
          <cell r="X1263">
            <v>1325</v>
          </cell>
          <cell r="AB1263">
            <v>1541</v>
          </cell>
          <cell r="AC1263">
            <v>4296</v>
          </cell>
          <cell r="AD1263">
            <v>1754</v>
          </cell>
          <cell r="AE1263">
            <v>6050</v>
          </cell>
          <cell r="AF1263">
            <v>6150</v>
          </cell>
        </row>
        <row r="1264">
          <cell r="A1264">
            <v>1264</v>
          </cell>
          <cell r="B1264">
            <v>46273</v>
          </cell>
          <cell r="C1264" t="str">
            <v>BMW 520D</v>
          </cell>
          <cell r="D1264" t="str">
            <v>BMW</v>
          </cell>
          <cell r="E1264" t="str">
            <v>520D</v>
          </cell>
          <cell r="G1264" t="str">
            <v>22더3351</v>
          </cell>
          <cell r="H1264" t="str">
            <v>WBA5C310XED041486</v>
          </cell>
          <cell r="J1264" t="str">
            <v>경매장- AJ</v>
          </cell>
          <cell r="L1264" t="str">
            <v>잔금</v>
          </cell>
          <cell r="N1264">
            <v>650</v>
          </cell>
          <cell r="O1264">
            <v>16</v>
          </cell>
          <cell r="Q1264" t="str">
            <v>done</v>
          </cell>
          <cell r="R1264">
            <v>46297</v>
          </cell>
          <cell r="S1264" t="str">
            <v xml:space="preserve">Andrea Kasa </v>
          </cell>
          <cell r="T1264" t="str">
            <v xml:space="preserve">Andrea Kasa </v>
          </cell>
          <cell r="U1264" t="str">
            <v>K30122016U</v>
          </cell>
          <cell r="V1264" t="str">
            <v>355 69 746 2556</v>
          </cell>
          <cell r="W1264" t="str">
            <v>Albania</v>
          </cell>
          <cell r="X1264">
            <v>1325</v>
          </cell>
          <cell r="AB1264">
            <v>1541</v>
          </cell>
          <cell r="AC1264">
            <v>4336</v>
          </cell>
          <cell r="AD1264">
            <v>1754</v>
          </cell>
          <cell r="AE1264">
            <v>6090</v>
          </cell>
          <cell r="AF1264">
            <v>6190</v>
          </cell>
        </row>
        <row r="1265">
          <cell r="A1265">
            <v>1265</v>
          </cell>
          <cell r="B1265">
            <v>46273</v>
          </cell>
          <cell r="C1265" t="str">
            <v>RENAULT SM6</v>
          </cell>
          <cell r="D1265" t="str">
            <v>RENAULT</v>
          </cell>
          <cell r="E1265" t="str">
            <v>SM6</v>
          </cell>
          <cell r="G1265" t="str">
            <v>08서4296</v>
          </cell>
          <cell r="H1265" t="str">
            <v>KNMA4B2LMHP006097</v>
          </cell>
          <cell r="J1265" t="str">
            <v>경매장- AJ</v>
          </cell>
          <cell r="L1265" t="str">
            <v>잔금</v>
          </cell>
          <cell r="N1265">
            <v>405</v>
          </cell>
          <cell r="O1265">
            <v>16</v>
          </cell>
          <cell r="P1265">
            <v>0</v>
          </cell>
          <cell r="Q1265" t="str">
            <v>done</v>
          </cell>
          <cell r="R1265" t="str">
            <v>CON 16</v>
          </cell>
          <cell r="S1265" t="str">
            <v>MANTAS</v>
          </cell>
          <cell r="T1265" t="str">
            <v>UAB GRALIS</v>
          </cell>
          <cell r="U1265">
            <v>179285533</v>
          </cell>
          <cell r="V1265" t="str">
            <v>370 (618) 11 666</v>
          </cell>
          <cell r="W1265" t="str">
            <v xml:space="preserve">Jūros g. 33, Tauragė  </v>
          </cell>
          <cell r="X1265">
            <v>1381</v>
          </cell>
          <cell r="AC1265">
            <v>3220</v>
          </cell>
        </row>
        <row r="1266">
          <cell r="A1266">
            <v>1266</v>
          </cell>
          <cell r="B1266">
            <v>46273</v>
          </cell>
          <cell r="C1266" t="str">
            <v>AUDI A6</v>
          </cell>
          <cell r="D1266" t="str">
            <v>AUDI</v>
          </cell>
          <cell r="E1266" t="str">
            <v>A6</v>
          </cell>
          <cell r="G1266" t="str">
            <v>16주7032</v>
          </cell>
          <cell r="H1266" t="str">
            <v>WAUZZZ4G7FN033837</v>
          </cell>
          <cell r="J1266" t="str">
            <v>경매장- AJ</v>
          </cell>
          <cell r="L1266" t="str">
            <v>잔금</v>
          </cell>
          <cell r="N1266">
            <v>540</v>
          </cell>
          <cell r="O1266">
            <v>16</v>
          </cell>
          <cell r="P1266">
            <v>0</v>
          </cell>
          <cell r="Q1266" t="str">
            <v>done</v>
          </cell>
          <cell r="R1266" t="str">
            <v>CON 16</v>
          </cell>
          <cell r="S1266" t="str">
            <v>MANTAS</v>
          </cell>
          <cell r="T1266" t="str">
            <v>UAB GRALIS</v>
          </cell>
          <cell r="U1266">
            <v>179285533</v>
          </cell>
          <cell r="V1266" t="str">
            <v>370 (618) 11 666</v>
          </cell>
          <cell r="W1266" t="str">
            <v xml:space="preserve">Jūros g. 33, Tauragė  </v>
          </cell>
          <cell r="X1266">
            <v>1381</v>
          </cell>
          <cell r="AC1266">
            <v>4135</v>
          </cell>
        </row>
        <row r="1267">
          <cell r="A1267">
            <v>1267</v>
          </cell>
          <cell r="B1267">
            <v>46273</v>
          </cell>
          <cell r="C1267" t="str">
            <v>BMW X6</v>
          </cell>
          <cell r="D1267" t="str">
            <v>BMW</v>
          </cell>
          <cell r="E1267" t="str">
            <v>X6</v>
          </cell>
          <cell r="G1267" t="str">
            <v>45더0835</v>
          </cell>
          <cell r="H1267" t="str">
            <v>WBAKV2100G0R28354</v>
          </cell>
          <cell r="J1267" t="str">
            <v>경매장- AJ</v>
          </cell>
          <cell r="L1267" t="str">
            <v>잔금</v>
          </cell>
          <cell r="N1267">
            <v>1210</v>
          </cell>
          <cell r="O1267">
            <v>31</v>
          </cell>
          <cell r="P1267">
            <v>0</v>
          </cell>
          <cell r="Q1267" t="str">
            <v>HEYMAN</v>
          </cell>
          <cell r="S1267" t="str">
            <v>MANTAS</v>
          </cell>
          <cell r="T1267" t="str">
            <v>UAB GRALIS</v>
          </cell>
          <cell r="U1267">
            <v>179285533</v>
          </cell>
          <cell r="V1267" t="str">
            <v>370 (618) 11 666</v>
          </cell>
          <cell r="W1267" t="str">
            <v xml:space="preserve">Jūros g. 33, Tauragė  </v>
          </cell>
          <cell r="AC1267">
            <v>0</v>
          </cell>
        </row>
        <row r="1268">
          <cell r="A1268">
            <v>1268</v>
          </cell>
          <cell r="B1268">
            <v>46273</v>
          </cell>
          <cell r="C1268" t="str">
            <v>PORSCHE MACAN</v>
          </cell>
          <cell r="D1268" t="str">
            <v>PORSCHE</v>
          </cell>
          <cell r="E1268" t="str">
            <v>MACAN</v>
          </cell>
          <cell r="G1268" t="str">
            <v>11두6862</v>
          </cell>
          <cell r="H1268" t="str">
            <v>WP1AD2955FLB36357</v>
          </cell>
          <cell r="I1268">
            <v>46276</v>
          </cell>
          <cell r="J1268" t="str">
            <v>㈜관악</v>
          </cell>
          <cell r="L1268" t="str">
            <v>잔금</v>
          </cell>
          <cell r="M1268" t="str">
            <v>100만원 회사 통장</v>
          </cell>
          <cell r="N1268">
            <v>2175</v>
          </cell>
          <cell r="P1268">
            <v>0</v>
          </cell>
          <cell r="Q1268" t="str">
            <v>DONE</v>
          </cell>
          <cell r="R1268">
            <v>46301</v>
          </cell>
          <cell r="S1268" t="str">
            <v>DAX IMPORT</v>
          </cell>
          <cell r="T1268" t="str">
            <v xml:space="preserve">Michael Karl  </v>
          </cell>
          <cell r="U1268" t="str">
            <v>LF9N8WZ16</v>
          </cell>
          <cell r="V1268" t="str">
            <v>‪+49 471 94189050‬</v>
          </cell>
          <cell r="W1268" t="str">
            <v xml:space="preserve">Dorfstr,33C,(82024) Taufkirchen, Germany </v>
          </cell>
          <cell r="X1268">
            <v>1325</v>
          </cell>
          <cell r="AB1268">
            <v>1541</v>
          </cell>
          <cell r="AC1268">
            <v>13455</v>
          </cell>
        </row>
        <row r="1269">
          <cell r="A1269">
            <v>1269</v>
          </cell>
          <cell r="B1269">
            <v>46273</v>
          </cell>
          <cell r="C1269" t="str">
            <v>BMW 320D</v>
          </cell>
          <cell r="D1269" t="str">
            <v>BMW</v>
          </cell>
          <cell r="E1269" t="str">
            <v>320D</v>
          </cell>
          <cell r="G1269" t="str">
            <v>384나6183</v>
          </cell>
          <cell r="H1269" t="str">
            <v>WBA5V7102NFM01274</v>
          </cell>
          <cell r="L1269" t="str">
            <v>잔금</v>
          </cell>
          <cell r="N1269">
            <v>2980</v>
          </cell>
          <cell r="P1269">
            <v>0</v>
          </cell>
          <cell r="Q1269" t="str">
            <v>DONE</v>
          </cell>
          <cell r="R1269">
            <v>46281</v>
          </cell>
          <cell r="S1269" t="str">
            <v>Auto Posh SH.P.K</v>
          </cell>
          <cell r="T1269" t="str">
            <v>Auto Posh SH.P.K</v>
          </cell>
          <cell r="U1269">
            <v>812219427</v>
          </cell>
          <cell r="V1269" t="str">
            <v>38345560145</v>
          </cell>
          <cell r="W1269" t="str">
            <v>KOSOVO</v>
          </cell>
          <cell r="AC1269">
            <v>20250</v>
          </cell>
          <cell r="AE1269">
            <v>20250</v>
          </cell>
        </row>
        <row r="1270">
          <cell r="A1270">
            <v>1270</v>
          </cell>
          <cell r="B1270">
            <v>46275</v>
          </cell>
          <cell r="C1270" t="str">
            <v>HYUNDAI Sonata</v>
          </cell>
          <cell r="D1270" t="str">
            <v>HYUNDAI</v>
          </cell>
          <cell r="E1270" t="str">
            <v>Sonata</v>
          </cell>
          <cell r="G1270" t="str">
            <v>374우2461</v>
          </cell>
          <cell r="H1270" t="str">
            <v>KMHE341DBJA391911</v>
          </cell>
          <cell r="I1270">
            <v>46281</v>
          </cell>
          <cell r="J1270" t="str">
            <v>㈜착한자동차</v>
          </cell>
          <cell r="L1270" t="str">
            <v>잔금</v>
          </cell>
          <cell r="M1270" t="str">
            <v>50만원 회사 통장</v>
          </cell>
          <cell r="N1270">
            <v>664</v>
          </cell>
          <cell r="P1270">
            <v>0</v>
          </cell>
          <cell r="Q1270" t="str">
            <v>done</v>
          </cell>
          <cell r="R1270">
            <v>46287</v>
          </cell>
          <cell r="S1270" t="str">
            <v>CALJA</v>
          </cell>
          <cell r="T1270" t="str">
            <v>MARK CALJA</v>
          </cell>
          <cell r="U1270" t="str">
            <v>K32801239N</v>
          </cell>
          <cell r="V1270" t="str">
            <v>355 69 550 5533</v>
          </cell>
          <cell r="W1270" t="str">
            <v>Albania</v>
          </cell>
          <cell r="X1270">
            <v>1325</v>
          </cell>
          <cell r="AB1270">
            <v>1541</v>
          </cell>
          <cell r="AC1270">
            <v>4346</v>
          </cell>
          <cell r="AD1270">
            <v>1754</v>
          </cell>
          <cell r="AE1270">
            <v>6100</v>
          </cell>
          <cell r="AF1270">
            <v>4800</v>
          </cell>
        </row>
        <row r="1271">
          <cell r="A1271">
            <v>1271</v>
          </cell>
          <cell r="B1271">
            <v>46275</v>
          </cell>
          <cell r="C1271" t="str">
            <v>RENAULT SM6</v>
          </cell>
          <cell r="D1271" t="str">
            <v>RENAULT</v>
          </cell>
          <cell r="E1271" t="str">
            <v>SM6</v>
          </cell>
          <cell r="G1271" t="str">
            <v>176나5527</v>
          </cell>
          <cell r="H1271" t="str">
            <v>KNMA4B2LMKP010752</v>
          </cell>
          <cell r="L1271" t="str">
            <v>잔금</v>
          </cell>
          <cell r="N1271">
            <v>850</v>
          </cell>
          <cell r="P1271">
            <v>0</v>
          </cell>
          <cell r="Q1271" t="str">
            <v>DONE</v>
          </cell>
          <cell r="R1271">
            <v>46281</v>
          </cell>
          <cell r="S1271" t="str">
            <v>AlphaWorldWide</v>
          </cell>
          <cell r="T1271" t="str">
            <v>Xhemaili Driton</v>
          </cell>
          <cell r="U1271" t="str">
            <v>p03341082</v>
          </cell>
          <cell r="V1271" t="str">
            <v>355 69223 3416</v>
          </cell>
          <cell r="W1271" t="str">
            <v>KOSOVO</v>
          </cell>
          <cell r="AC1271">
            <v>5425</v>
          </cell>
          <cell r="AD1271">
            <v>1755</v>
          </cell>
          <cell r="AE1271">
            <v>7180</v>
          </cell>
          <cell r="AF1271">
            <v>7597</v>
          </cell>
        </row>
        <row r="1272">
          <cell r="A1272">
            <v>1272</v>
          </cell>
          <cell r="B1272">
            <v>46276</v>
          </cell>
          <cell r="C1272" t="str">
            <v>BMW M3</v>
          </cell>
          <cell r="D1272" t="str">
            <v>BMW</v>
          </cell>
          <cell r="E1272" t="str">
            <v>M3</v>
          </cell>
          <cell r="G1272" t="str">
            <v>236너9230</v>
          </cell>
          <cell r="H1272" t="str">
            <v>WBSWD910XAP306058</v>
          </cell>
          <cell r="I1272">
            <v>46288</v>
          </cell>
          <cell r="J1272" t="str">
            <v>오세광님, 오형석님 / 010 9050 4238</v>
          </cell>
          <cell r="L1272" t="str">
            <v>잔금</v>
          </cell>
          <cell r="M1272" t="str">
            <v>50만원 회사 통장</v>
          </cell>
          <cell r="N1272">
            <v>2200</v>
          </cell>
          <cell r="P1272">
            <v>0</v>
          </cell>
          <cell r="Q1272" t="str">
            <v>DONE</v>
          </cell>
          <cell r="R1272">
            <v>46301</v>
          </cell>
          <cell r="S1272" t="str">
            <v>DAX IMPORT</v>
          </cell>
          <cell r="T1272" t="str">
            <v xml:space="preserve">Michael Karl  </v>
          </cell>
          <cell r="U1272" t="str">
            <v>LF9N8WZ16</v>
          </cell>
          <cell r="V1272" t="str">
            <v>‪+49 471 94189050‬</v>
          </cell>
          <cell r="W1272" t="str">
            <v xml:space="preserve">Dorfstr,33C,(82024) Taufkirchen, Germany </v>
          </cell>
          <cell r="X1272">
            <v>1375</v>
          </cell>
          <cell r="AB1272">
            <v>1557</v>
          </cell>
          <cell r="AC1272">
            <v>13600</v>
          </cell>
        </row>
        <row r="1273">
          <cell r="A1273">
            <v>1273</v>
          </cell>
          <cell r="B1273">
            <v>46276</v>
          </cell>
          <cell r="C1273" t="str">
            <v>BENZ E220</v>
          </cell>
          <cell r="D1273" t="str">
            <v>BENZ</v>
          </cell>
          <cell r="E1273" t="str">
            <v>E220</v>
          </cell>
          <cell r="G1273" t="str">
            <v>45서6074</v>
          </cell>
          <cell r="H1273" t="str">
            <v>WDDZF0EB8JA454529</v>
          </cell>
          <cell r="I1273">
            <v>46281</v>
          </cell>
          <cell r="J1273" t="str">
            <v>㈜라온모터스</v>
          </cell>
          <cell r="L1273" t="str">
            <v>잔금</v>
          </cell>
          <cell r="M1273" t="str">
            <v>50만원 대표님 계약</v>
          </cell>
          <cell r="N1273">
            <v>1460</v>
          </cell>
          <cell r="P1273">
            <v>0</v>
          </cell>
          <cell r="Q1273" t="str">
            <v>done</v>
          </cell>
          <cell r="R1273" t="str">
            <v>REPORT DONE</v>
          </cell>
          <cell r="S1273" t="str">
            <v xml:space="preserve">Andrea Kasa </v>
          </cell>
          <cell r="T1273" t="str">
            <v>SLLAMI EDISION</v>
          </cell>
          <cell r="U1273" t="str">
            <v>J61214013J</v>
          </cell>
          <cell r="V1273" t="str">
            <v>355 69 746 2556</v>
          </cell>
          <cell r="W1273" t="str">
            <v>Albania</v>
          </cell>
          <cell r="X1273">
            <v>1345</v>
          </cell>
          <cell r="AB1273">
            <v>1541</v>
          </cell>
          <cell r="AC1273">
            <v>9146</v>
          </cell>
          <cell r="AD1273">
            <v>1754</v>
          </cell>
          <cell r="AE1273">
            <v>10900</v>
          </cell>
          <cell r="AF1273">
            <v>11840</v>
          </cell>
        </row>
        <row r="1274">
          <cell r="A1274">
            <v>1274</v>
          </cell>
          <cell r="B1274">
            <v>46276</v>
          </cell>
          <cell r="C1274" t="str">
            <v>AUDI A7</v>
          </cell>
          <cell r="D1274" t="str">
            <v>AUDI</v>
          </cell>
          <cell r="E1274" t="str">
            <v>A7</v>
          </cell>
          <cell r="G1274" t="str">
            <v>63노0996</v>
          </cell>
          <cell r="H1274" t="str">
            <v>WAUZZZ4G8GN130241</v>
          </cell>
          <cell r="I1274">
            <v>46281</v>
          </cell>
          <cell r="J1274" t="str">
            <v>㈜훈카</v>
          </cell>
          <cell r="L1274" t="str">
            <v>잔금</v>
          </cell>
          <cell r="M1274" t="str">
            <v>50만원 대표님 계약</v>
          </cell>
          <cell r="N1274">
            <v>1430</v>
          </cell>
          <cell r="P1274">
            <v>0</v>
          </cell>
          <cell r="Q1274" t="str">
            <v>done</v>
          </cell>
          <cell r="R1274">
            <v>46303</v>
          </cell>
          <cell r="S1274" t="str">
            <v>HYSA</v>
          </cell>
          <cell r="T1274" t="str">
            <v>Gazment hysa</v>
          </cell>
          <cell r="U1274" t="str">
            <v>M63302203K</v>
          </cell>
          <cell r="V1274" t="str">
            <v>355 69 690 2972</v>
          </cell>
          <cell r="W1274" t="str">
            <v>Albania</v>
          </cell>
          <cell r="X1274">
            <v>1325</v>
          </cell>
          <cell r="AB1274">
            <v>1541</v>
          </cell>
          <cell r="AC1274">
            <v>8850</v>
          </cell>
          <cell r="AE1274">
            <v>10600</v>
          </cell>
        </row>
        <row r="1275">
          <cell r="A1275">
            <v>1275</v>
          </cell>
          <cell r="B1275">
            <v>46273</v>
          </cell>
          <cell r="C1275" t="str">
            <v>KIA CARNIVAL</v>
          </cell>
          <cell r="D1275" t="str">
            <v>KIA</v>
          </cell>
          <cell r="E1275" t="str">
            <v>CARNIVAL</v>
          </cell>
          <cell r="G1275" t="str">
            <v>59너4737</v>
          </cell>
          <cell r="H1275" t="str">
            <v>KNAMB81ABKS498052</v>
          </cell>
          <cell r="J1275" t="str">
            <v>경매장-KCAR</v>
          </cell>
          <cell r="L1275" t="str">
            <v>잔금</v>
          </cell>
          <cell r="N1275">
            <v>620</v>
          </cell>
          <cell r="O1275">
            <v>16</v>
          </cell>
          <cell r="P1275">
            <v>0</v>
          </cell>
          <cell r="Q1275" t="str">
            <v>done</v>
          </cell>
          <cell r="R1275" t="str">
            <v>CON17</v>
          </cell>
          <cell r="S1275" t="str">
            <v>MANTAS</v>
          </cell>
          <cell r="T1275" t="str">
            <v>UAB GRALIS</v>
          </cell>
          <cell r="U1275">
            <v>179285533</v>
          </cell>
          <cell r="V1275" t="str">
            <v>370 (618) 11 666</v>
          </cell>
          <cell r="W1275" t="str">
            <v xml:space="preserve">Jūros g. 33, Tauragė  </v>
          </cell>
          <cell r="X1275">
            <v>1381</v>
          </cell>
          <cell r="AC1275" t="str">
            <v>4720$</v>
          </cell>
        </row>
        <row r="1276">
          <cell r="A1276">
            <v>1276</v>
          </cell>
          <cell r="B1276">
            <v>46276</v>
          </cell>
          <cell r="C1276" t="str">
            <v>RENAULT QM3</v>
          </cell>
          <cell r="D1276" t="str">
            <v>RENAULT</v>
          </cell>
          <cell r="E1276" t="str">
            <v>QM3</v>
          </cell>
          <cell r="G1276" t="str">
            <v>33저0506</v>
          </cell>
          <cell r="H1276" t="str">
            <v>VF12RGJ1DGW265878</v>
          </cell>
          <cell r="J1276" t="str">
            <v>경매장-헤이딜러</v>
          </cell>
          <cell r="L1276" t="str">
            <v>잔금</v>
          </cell>
          <cell r="N1276">
            <v>384</v>
          </cell>
          <cell r="O1276">
            <v>44</v>
          </cell>
          <cell r="P1276">
            <v>0</v>
          </cell>
          <cell r="Q1276" t="str">
            <v>DONE</v>
          </cell>
          <cell r="R1276">
            <v>46281</v>
          </cell>
          <cell r="S1276" t="str">
            <v>Auto Posh SH.P.K</v>
          </cell>
          <cell r="T1276" t="str">
            <v>Auto Posh SH.P.K</v>
          </cell>
          <cell r="U1276">
            <v>812219427</v>
          </cell>
          <cell r="V1276" t="str">
            <v>38345560145</v>
          </cell>
          <cell r="W1276" t="str">
            <v>KOSOVO</v>
          </cell>
          <cell r="X1276">
            <v>1325</v>
          </cell>
          <cell r="AB1276">
            <v>1541</v>
          </cell>
          <cell r="AC1276">
            <v>2846</v>
          </cell>
          <cell r="AD1276">
            <v>1754</v>
          </cell>
          <cell r="AE1276">
            <v>4600</v>
          </cell>
        </row>
        <row r="1277">
          <cell r="A1277">
            <v>1277</v>
          </cell>
          <cell r="B1277">
            <v>46276</v>
          </cell>
          <cell r="C1277" t="str">
            <v xml:space="preserve"> </v>
          </cell>
          <cell r="L1277" t="str">
            <v>계약금</v>
          </cell>
          <cell r="P1277">
            <v>0</v>
          </cell>
          <cell r="Q1277" t="str">
            <v>HEYMAN</v>
          </cell>
          <cell r="AC1277">
            <v>0</v>
          </cell>
        </row>
        <row r="1278">
          <cell r="A1278">
            <v>1278</v>
          </cell>
          <cell r="B1278">
            <v>46276</v>
          </cell>
          <cell r="C1278" t="str">
            <v>HYUNDAI SANTAFE</v>
          </cell>
          <cell r="D1278" t="str">
            <v>HYUNDAI</v>
          </cell>
          <cell r="E1278" t="str">
            <v>SANTAFE</v>
          </cell>
          <cell r="G1278" t="str">
            <v>05마0947</v>
          </cell>
          <cell r="H1278" t="str">
            <v>KMHSW81UBGU586921</v>
          </cell>
          <cell r="I1278">
            <v>46282</v>
          </cell>
          <cell r="J1278" t="str">
            <v>㈜이슬모터스</v>
          </cell>
          <cell r="L1278" t="str">
            <v>잔금</v>
          </cell>
          <cell r="M1278" t="str">
            <v>50만원 회사 통장</v>
          </cell>
          <cell r="N1278">
            <v>670</v>
          </cell>
          <cell r="P1278">
            <v>0</v>
          </cell>
          <cell r="Q1278" t="str">
            <v>done</v>
          </cell>
          <cell r="R1278">
            <v>46297</v>
          </cell>
          <cell r="S1278" t="str">
            <v>CALJA</v>
          </cell>
          <cell r="T1278" t="str">
            <v>cela robert</v>
          </cell>
          <cell r="U1278" t="str">
            <v>K80418009I</v>
          </cell>
          <cell r="V1278" t="str">
            <v>355 69 550 5533</v>
          </cell>
          <cell r="W1278" t="str">
            <v>Albania</v>
          </cell>
          <cell r="X1278">
            <v>1325</v>
          </cell>
          <cell r="AB1278">
            <v>1541</v>
          </cell>
          <cell r="AC1278">
            <v>4420</v>
          </cell>
          <cell r="AD1278">
            <v>1840</v>
          </cell>
          <cell r="AE1278">
            <v>6260</v>
          </cell>
        </row>
        <row r="1279">
          <cell r="A1279">
            <v>1279</v>
          </cell>
          <cell r="B1279">
            <v>46282</v>
          </cell>
          <cell r="C1279" t="str">
            <v>AUDI A6</v>
          </cell>
          <cell r="D1279" t="str">
            <v>AUDI</v>
          </cell>
          <cell r="E1279" t="str">
            <v>A6</v>
          </cell>
          <cell r="G1279" t="str">
            <v>373누9810</v>
          </cell>
          <cell r="H1279" t="str">
            <v>WAUZZZF24MN021739</v>
          </cell>
          <cell r="L1279" t="str">
            <v>잔금</v>
          </cell>
          <cell r="N1279">
            <v>3270</v>
          </cell>
          <cell r="P1279">
            <v>0</v>
          </cell>
          <cell r="Q1279" t="str">
            <v>done</v>
          </cell>
          <cell r="R1279">
            <v>46297</v>
          </cell>
          <cell r="S1279" t="str">
            <v>R.S.h L.L.C.</v>
          </cell>
          <cell r="T1279" t="str">
            <v>R.Sh L.L.C.</v>
          </cell>
          <cell r="U1279">
            <v>206557008</v>
          </cell>
          <cell r="V1279" t="str">
            <v>359 89 936 8386</v>
          </cell>
          <cell r="W1279" t="str">
            <v>ul. Sokolna 47
1444 Sofia
Bulgaria</v>
          </cell>
          <cell r="X1279">
            <v>1358</v>
          </cell>
          <cell r="AB1279">
            <v>1566</v>
          </cell>
          <cell r="AC1279">
            <v>20181</v>
          </cell>
          <cell r="AD1279">
            <v>1769</v>
          </cell>
          <cell r="AE1279">
            <v>21950</v>
          </cell>
        </row>
        <row r="1280">
          <cell r="A1280">
            <v>1280</v>
          </cell>
          <cell r="B1280">
            <v>46282</v>
          </cell>
          <cell r="C1280" t="str">
            <v>AUDI Q7</v>
          </cell>
          <cell r="D1280" t="str">
            <v>AUDI</v>
          </cell>
          <cell r="E1280" t="str">
            <v>Q7</v>
          </cell>
          <cell r="G1280" t="str">
            <v>45더0830</v>
          </cell>
          <cell r="H1280" t="str">
            <v>WAUZZZ4M7GD042230</v>
          </cell>
          <cell r="I1280">
            <v>46286</v>
          </cell>
          <cell r="J1280" t="str">
            <v>㈜천미상사</v>
          </cell>
          <cell r="L1280" t="str">
            <v>잔금</v>
          </cell>
          <cell r="M1280" t="str">
            <v>70만원 회사 통장</v>
          </cell>
          <cell r="N1280">
            <v>1800</v>
          </cell>
          <cell r="P1280">
            <v>0</v>
          </cell>
          <cell r="Q1280" t="str">
            <v>done</v>
          </cell>
          <cell r="R1280">
            <v>46297</v>
          </cell>
          <cell r="S1280" t="str">
            <v>CALJA</v>
          </cell>
          <cell r="T1280" t="str">
            <v>HALILAJ FLAVIO</v>
          </cell>
          <cell r="U1280" t="str">
            <v>K51104027S</v>
          </cell>
          <cell r="V1280" t="str">
            <v>355 69 550 5533</v>
          </cell>
          <cell r="W1280" t="str">
            <v>Albania</v>
          </cell>
          <cell r="X1280">
            <v>1358</v>
          </cell>
          <cell r="AB1280">
            <v>1566</v>
          </cell>
          <cell r="AC1280">
            <v>11048</v>
          </cell>
          <cell r="AD1280">
            <v>1952</v>
          </cell>
          <cell r="AE1280">
            <v>13000</v>
          </cell>
          <cell r="AF1280">
            <v>14000</v>
          </cell>
        </row>
        <row r="1281">
          <cell r="A1281">
            <v>1281</v>
          </cell>
          <cell r="B1281">
            <v>46275</v>
          </cell>
          <cell r="C1281" t="str">
            <v>BENZ C200</v>
          </cell>
          <cell r="D1281" t="str">
            <v>BENZ</v>
          </cell>
          <cell r="E1281" t="str">
            <v>C200</v>
          </cell>
          <cell r="G1281" t="str">
            <v>264보1917</v>
          </cell>
          <cell r="H1281" t="str">
            <v>WDDWF8AB3KR508586</v>
          </cell>
          <cell r="I1281">
            <v>46282</v>
          </cell>
          <cell r="J1281" t="str">
            <v>㈜장군모터스</v>
          </cell>
          <cell r="L1281" t="str">
            <v>잔금</v>
          </cell>
          <cell r="M1281" t="str">
            <v>50만원 대표님 계약</v>
          </cell>
          <cell r="N1281">
            <v>1044</v>
          </cell>
          <cell r="P1281">
            <v>0</v>
          </cell>
          <cell r="Q1281" t="str">
            <v>done</v>
          </cell>
          <cell r="R1281">
            <v>46297</v>
          </cell>
          <cell r="S1281" t="str">
            <v>VILLA KOHA</v>
          </cell>
          <cell r="T1281" t="str">
            <v>VILLA KOHA SH.P.K</v>
          </cell>
          <cell r="U1281">
            <v>810039588</v>
          </cell>
          <cell r="V1281" t="str">
            <v>383 49247777</v>
          </cell>
          <cell r="W1281" t="str">
            <v>KOSOVO</v>
          </cell>
          <cell r="X1281">
            <v>1325</v>
          </cell>
          <cell r="AB1281">
            <v>1541</v>
          </cell>
          <cell r="AC1281">
            <v>6526</v>
          </cell>
          <cell r="AD1281">
            <v>1754</v>
          </cell>
          <cell r="AE1281">
            <v>8280</v>
          </cell>
          <cell r="AF1281">
            <v>8280</v>
          </cell>
        </row>
        <row r="1282">
          <cell r="A1282">
            <v>1282</v>
          </cell>
          <cell r="B1282">
            <v>46275</v>
          </cell>
          <cell r="C1282" t="str">
            <v>AUDI Q7</v>
          </cell>
          <cell r="D1282" t="str">
            <v>AUDI</v>
          </cell>
          <cell r="E1282" t="str">
            <v>Q7</v>
          </cell>
          <cell r="G1282" t="str">
            <v>230노2646</v>
          </cell>
          <cell r="H1282" t="str">
            <v>WAUZZZ4M4MD035893</v>
          </cell>
          <cell r="I1282">
            <v>46283</v>
          </cell>
          <cell r="J1282" t="str">
            <v>㈜성진모터스</v>
          </cell>
          <cell r="L1282" t="str">
            <v>잔금</v>
          </cell>
          <cell r="M1282" t="str">
            <v>100만원 대표님 계약</v>
          </cell>
          <cell r="N1282">
            <v>5300</v>
          </cell>
          <cell r="P1282">
            <v>0</v>
          </cell>
          <cell r="Q1282" t="str">
            <v>done</v>
          </cell>
          <cell r="R1282">
            <v>46297</v>
          </cell>
          <cell r="S1282" t="str">
            <v>CALJA</v>
          </cell>
          <cell r="T1282" t="str">
            <v>Calja Marius</v>
          </cell>
          <cell r="U1282" t="str">
            <v>J70807019Q</v>
          </cell>
          <cell r="V1282" t="str">
            <v>355 69 550 5533</v>
          </cell>
          <cell r="W1282" t="str">
            <v>Albania</v>
          </cell>
          <cell r="X1282">
            <v>1367</v>
          </cell>
          <cell r="AB1282">
            <v>1569</v>
          </cell>
          <cell r="AC1282">
            <v>32648</v>
          </cell>
          <cell r="AD1282">
            <v>1952</v>
          </cell>
          <cell r="AE1282">
            <v>34600</v>
          </cell>
        </row>
        <row r="1283">
          <cell r="A1283">
            <v>1283</v>
          </cell>
          <cell r="B1283">
            <v>46278</v>
          </cell>
          <cell r="C1283" t="str">
            <v>HYUNDAI TUCSON</v>
          </cell>
          <cell r="D1283" t="str">
            <v>HYUNDAI</v>
          </cell>
          <cell r="E1283" t="str">
            <v>TUCSON</v>
          </cell>
          <cell r="G1283" t="str">
            <v>58더0885</v>
          </cell>
          <cell r="H1283" t="str">
            <v>KMHJ2815GHU254552</v>
          </cell>
          <cell r="I1283">
            <v>46286</v>
          </cell>
          <cell r="J1283" t="str">
            <v>㈜세명자동차상사</v>
          </cell>
          <cell r="L1283" t="str">
            <v>잔금</v>
          </cell>
          <cell r="M1283" t="str">
            <v>50만원 대표님 계약</v>
          </cell>
          <cell r="N1283">
            <v>650</v>
          </cell>
          <cell r="P1283">
            <v>0</v>
          </cell>
          <cell r="Q1283" t="str">
            <v>done</v>
          </cell>
          <cell r="R1283">
            <v>46297</v>
          </cell>
          <cell r="S1283" t="str">
            <v>CALJA</v>
          </cell>
          <cell r="T1283" t="str">
            <v>BULLARI ERMOND</v>
          </cell>
          <cell r="U1283" t="str">
            <v>K00929017P</v>
          </cell>
          <cell r="V1283" t="str">
            <v>355 69 550 5533</v>
          </cell>
          <cell r="W1283" t="str">
            <v>Albania</v>
          </cell>
          <cell r="X1283">
            <v>1358</v>
          </cell>
          <cell r="AB1283">
            <v>1566</v>
          </cell>
          <cell r="AC1283">
            <v>4174</v>
          </cell>
          <cell r="AD1283">
            <v>1856</v>
          </cell>
          <cell r="AE1283">
            <v>6030</v>
          </cell>
          <cell r="AF1283">
            <v>6230</v>
          </cell>
        </row>
        <row r="1284">
          <cell r="A1284">
            <v>1284</v>
          </cell>
          <cell r="B1284">
            <v>46278</v>
          </cell>
          <cell r="C1284" t="str">
            <v>AUDI Q3</v>
          </cell>
          <cell r="D1284" t="str">
            <v>AUDI</v>
          </cell>
          <cell r="E1284" t="str">
            <v>Q3</v>
          </cell>
          <cell r="G1284" t="str">
            <v>67머3983</v>
          </cell>
          <cell r="H1284" t="str">
            <v>WAUZZZ8U5ER009415</v>
          </cell>
          <cell r="I1284">
            <v>46286</v>
          </cell>
          <cell r="J1284" t="str">
            <v>㈜유니앤모터스</v>
          </cell>
          <cell r="L1284" t="str">
            <v>잔금</v>
          </cell>
          <cell r="M1284" t="str">
            <v>50만원 대표님 계약</v>
          </cell>
          <cell r="N1284">
            <v>754</v>
          </cell>
          <cell r="P1284">
            <v>0</v>
          </cell>
          <cell r="Q1284" t="str">
            <v>done</v>
          </cell>
          <cell r="R1284">
            <v>46297</v>
          </cell>
          <cell r="S1284" t="str">
            <v>CALJA</v>
          </cell>
          <cell r="T1284" t="str">
            <v>BELICARI TICIANA</v>
          </cell>
          <cell r="U1284" t="str">
            <v>I65807060K</v>
          </cell>
          <cell r="V1284" t="str">
            <v>355 69 550 5533</v>
          </cell>
          <cell r="W1284" t="str">
            <v>Albania</v>
          </cell>
          <cell r="X1284">
            <v>1358</v>
          </cell>
          <cell r="AB1284">
            <v>1566</v>
          </cell>
          <cell r="AC1284">
            <v>4844</v>
          </cell>
          <cell r="AD1284">
            <v>1856</v>
          </cell>
          <cell r="AE1284">
            <v>6700</v>
          </cell>
          <cell r="AF1284">
            <v>7500</v>
          </cell>
        </row>
        <row r="1285">
          <cell r="A1285">
            <v>1285</v>
          </cell>
          <cell r="B1285">
            <v>46280</v>
          </cell>
          <cell r="C1285" t="str">
            <v>AUDI A7</v>
          </cell>
          <cell r="D1285" t="str">
            <v>AUDI</v>
          </cell>
          <cell r="E1285" t="str">
            <v>A7</v>
          </cell>
          <cell r="G1285" t="str">
            <v>53노0817</v>
          </cell>
          <cell r="H1285" t="str">
            <v>WAUZZZ4G7GN175025</v>
          </cell>
          <cell r="I1285">
            <v>46286</v>
          </cell>
          <cell r="J1285" t="str">
            <v>㈜한라자동차</v>
          </cell>
          <cell r="L1285" t="str">
            <v>잔금</v>
          </cell>
          <cell r="M1285" t="str">
            <v>50만원 대표님 계약</v>
          </cell>
          <cell r="N1285">
            <v>920</v>
          </cell>
          <cell r="P1285">
            <v>0</v>
          </cell>
          <cell r="Q1285" t="str">
            <v>done</v>
          </cell>
          <cell r="R1285">
            <v>46297</v>
          </cell>
          <cell r="S1285" t="str">
            <v>CALJA</v>
          </cell>
          <cell r="T1285" t="str">
            <v>BULLARI ERMOND</v>
          </cell>
          <cell r="U1285" t="str">
            <v>K00929017P</v>
          </cell>
          <cell r="V1285" t="str">
            <v>355 69 550 5533</v>
          </cell>
          <cell r="W1285" t="str">
            <v>Albania</v>
          </cell>
          <cell r="X1285">
            <v>1358</v>
          </cell>
          <cell r="AB1285">
            <v>1566</v>
          </cell>
          <cell r="AC1285">
            <v>6031</v>
          </cell>
          <cell r="AD1285">
            <v>1769</v>
          </cell>
          <cell r="AE1285">
            <v>7800</v>
          </cell>
          <cell r="AF1285">
            <v>8260</v>
          </cell>
        </row>
        <row r="1286">
          <cell r="A1286">
            <v>1286</v>
          </cell>
          <cell r="B1286">
            <v>46280</v>
          </cell>
          <cell r="C1286" t="str">
            <v>HYUNDAI SANTAFE</v>
          </cell>
          <cell r="D1286" t="str">
            <v>HYUNDAI</v>
          </cell>
          <cell r="E1286" t="str">
            <v>SANTAFE</v>
          </cell>
          <cell r="G1286" t="str">
            <v>15무7870</v>
          </cell>
          <cell r="H1286" t="str">
            <v>KMHSW81XBDU040433</v>
          </cell>
          <cell r="I1286">
            <v>46286</v>
          </cell>
          <cell r="J1286" t="str">
            <v>㈜엔젤모터스</v>
          </cell>
          <cell r="L1286" t="str">
            <v>잔금</v>
          </cell>
          <cell r="M1286" t="str">
            <v>50만원 대표님 계약</v>
          </cell>
          <cell r="N1286">
            <v>530</v>
          </cell>
          <cell r="P1286">
            <v>0</v>
          </cell>
          <cell r="Q1286" t="str">
            <v>done</v>
          </cell>
          <cell r="R1286">
            <v>46297</v>
          </cell>
          <cell r="S1286" t="str">
            <v>CALJA</v>
          </cell>
          <cell r="T1286" t="str">
            <v>BAJRAKTARI ORGES</v>
          </cell>
          <cell r="U1286" t="str">
            <v>K01105027S</v>
          </cell>
          <cell r="V1286" t="str">
            <v>355 69 550 5533</v>
          </cell>
          <cell r="W1286" t="str">
            <v>Albania</v>
          </cell>
          <cell r="X1286">
            <v>1358</v>
          </cell>
          <cell r="AB1286">
            <v>1566</v>
          </cell>
          <cell r="AC1286">
            <v>3494</v>
          </cell>
          <cell r="AD1286">
            <v>1856</v>
          </cell>
          <cell r="AE1286">
            <v>5350</v>
          </cell>
          <cell r="AF1286">
            <v>6380</v>
          </cell>
        </row>
        <row r="1287">
          <cell r="A1287">
            <v>1287</v>
          </cell>
          <cell r="B1287">
            <v>46280</v>
          </cell>
          <cell r="C1287" t="str">
            <v>Mercedes-Benz GLE450 4MATIC</v>
          </cell>
          <cell r="D1287" t="str">
            <v>Mercedes-Benz</v>
          </cell>
          <cell r="E1287" t="str">
            <v>GLE450 4MATIC</v>
          </cell>
          <cell r="G1287" t="str">
            <v>368구1133</v>
          </cell>
          <cell r="H1287" t="str">
            <v>W1NFB5KB1PA848241</v>
          </cell>
          <cell r="I1287">
            <v>46286</v>
          </cell>
          <cell r="J1287" t="str">
            <v>올댓자차 / 실장 김정태</v>
          </cell>
          <cell r="L1287" t="str">
            <v>잔금</v>
          </cell>
          <cell r="M1287" t="str">
            <v>100만원 회사 통장</v>
          </cell>
          <cell r="N1287">
            <v>6230</v>
          </cell>
          <cell r="P1287">
            <v>0</v>
          </cell>
          <cell r="Q1287" t="str">
            <v>done</v>
          </cell>
          <cell r="R1287">
            <v>46297</v>
          </cell>
          <cell r="S1287" t="str">
            <v>R.S.h L.L.C.</v>
          </cell>
          <cell r="T1287" t="str">
            <v>R.Sh L.L.C.</v>
          </cell>
          <cell r="U1287">
            <v>206557008</v>
          </cell>
          <cell r="V1287" t="str">
            <v>359 89 936 8386</v>
          </cell>
          <cell r="W1287" t="str">
            <v>ul. Sokolna 47
1444 Sofia
Bulgaria</v>
          </cell>
          <cell r="X1287">
            <v>1358</v>
          </cell>
          <cell r="AB1287">
            <v>1556</v>
          </cell>
          <cell r="AC1287">
            <v>38048</v>
          </cell>
          <cell r="AD1287">
            <v>1952</v>
          </cell>
          <cell r="AE1287">
            <v>40000</v>
          </cell>
          <cell r="AF1287">
            <v>39000</v>
          </cell>
        </row>
        <row r="1288">
          <cell r="A1288">
            <v>1288</v>
          </cell>
          <cell r="B1288">
            <v>46280</v>
          </cell>
          <cell r="C1288" t="str">
            <v>KIA SORENTO</v>
          </cell>
          <cell r="D1288" t="str">
            <v>KIA</v>
          </cell>
          <cell r="E1288" t="str">
            <v>SORENTO</v>
          </cell>
          <cell r="G1288" t="str">
            <v>110버3170</v>
          </cell>
          <cell r="H1288" t="str">
            <v>KNARK81BGMA112562</v>
          </cell>
          <cell r="I1288">
            <v>46286</v>
          </cell>
          <cell r="J1288" t="str">
            <v>하늘오토 / 전무 최건선</v>
          </cell>
          <cell r="L1288" t="str">
            <v>잔금</v>
          </cell>
          <cell r="M1288" t="str">
            <v>100만원 대표님 계약</v>
          </cell>
          <cell r="N1288">
            <v>1920</v>
          </cell>
          <cell r="P1288">
            <v>0</v>
          </cell>
          <cell r="Q1288" t="str">
            <v>done</v>
          </cell>
          <cell r="R1288" t="str">
            <v>con 16</v>
          </cell>
          <cell r="S1288" t="str">
            <v>EASY DRIVE</v>
          </cell>
          <cell r="T1288" t="str">
            <v>Easy Drive LTD</v>
          </cell>
          <cell r="U1288">
            <v>206557008</v>
          </cell>
          <cell r="V1288" t="str">
            <v>359 89 936 8386</v>
          </cell>
          <cell r="W1288" t="str">
            <v>ul. Sokolna 47
1444 Sofia
Bulgaria</v>
          </cell>
          <cell r="AC1288">
            <v>18451300</v>
          </cell>
          <cell r="AE1288">
            <v>18351300</v>
          </cell>
        </row>
        <row r="1289">
          <cell r="A1289">
            <v>1289</v>
          </cell>
          <cell r="B1289">
            <v>46280</v>
          </cell>
          <cell r="C1289" t="str">
            <v>BMW X3</v>
          </cell>
          <cell r="D1289" t="str">
            <v>BMW</v>
          </cell>
          <cell r="E1289" t="str">
            <v>X3</v>
          </cell>
          <cell r="G1289" t="str">
            <v>06너9117</v>
          </cell>
          <cell r="H1289" t="str">
            <v>WBAWZ510XH0M39209</v>
          </cell>
          <cell r="J1289" t="str">
            <v>경매장-헤이딜러</v>
          </cell>
          <cell r="L1289" t="str">
            <v>잔금</v>
          </cell>
          <cell r="M1289">
            <v>6</v>
          </cell>
          <cell r="N1289">
            <v>1294</v>
          </cell>
          <cell r="P1289">
            <v>0</v>
          </cell>
          <cell r="Q1289" t="str">
            <v>done</v>
          </cell>
          <cell r="R1289">
            <v>46297</v>
          </cell>
          <cell r="S1289" t="str">
            <v>AUTO SCOUT</v>
          </cell>
          <cell r="T1289" t="str">
            <v>DONI</v>
          </cell>
          <cell r="U1289">
            <v>933682</v>
          </cell>
          <cell r="V1289" t="str">
            <v>3 8 3 4 9 3 2 5 7 0 3</v>
          </cell>
          <cell r="W1289" t="str">
            <v xml:space="preserve"> HYZRI TALLA OB 16 HY 1 NR 18
 Kosovë</v>
          </cell>
          <cell r="AC1289">
            <v>0</v>
          </cell>
        </row>
        <row r="1290">
          <cell r="A1290">
            <v>1290</v>
          </cell>
          <cell r="B1290">
            <v>46281</v>
          </cell>
          <cell r="C1290" t="str">
            <v>BMW 118D</v>
          </cell>
          <cell r="D1290" t="str">
            <v>BMW</v>
          </cell>
          <cell r="E1290" t="str">
            <v>118D</v>
          </cell>
          <cell r="G1290" t="str">
            <v>245머7202</v>
          </cell>
          <cell r="H1290" t="str">
            <v>WBA1S5101J5G79470</v>
          </cell>
          <cell r="I1290">
            <v>46286</v>
          </cell>
          <cell r="J1290" t="str">
            <v>경매장-헤이딜러</v>
          </cell>
          <cell r="L1290" t="str">
            <v>잔금</v>
          </cell>
          <cell r="M1290">
            <v>5</v>
          </cell>
          <cell r="P1290">
            <v>0</v>
          </cell>
          <cell r="Q1290" t="str">
            <v>done</v>
          </cell>
          <cell r="R1290">
            <v>46297</v>
          </cell>
          <cell r="S1290" t="str">
            <v>AUTO SCOUT</v>
          </cell>
          <cell r="T1290" t="str">
            <v>DONI</v>
          </cell>
          <cell r="U1290">
            <v>933682</v>
          </cell>
          <cell r="V1290" t="str">
            <v>3 8 3 4 9 3 2 5 7 0 3</v>
          </cell>
          <cell r="W1290" t="str">
            <v xml:space="preserve"> HYZRI TALLA OB 16 HY 1 NR 18
 Kosovë</v>
          </cell>
          <cell r="AC1290">
            <v>0</v>
          </cell>
        </row>
        <row r="1291">
          <cell r="A1291">
            <v>1291</v>
          </cell>
          <cell r="B1291">
            <v>46281</v>
          </cell>
          <cell r="C1291" t="str">
            <v>AUDI S8</v>
          </cell>
          <cell r="D1291" t="str">
            <v>AUDI</v>
          </cell>
          <cell r="E1291" t="str">
            <v>S8</v>
          </cell>
          <cell r="G1291" t="str">
            <v>63다7189</v>
          </cell>
          <cell r="H1291" t="str">
            <v>WAUZZZ4H0FN008190</v>
          </cell>
          <cell r="J1291" t="str">
            <v>경매장- AJ</v>
          </cell>
          <cell r="L1291" t="str">
            <v>잔금</v>
          </cell>
          <cell r="N1291">
            <v>1820</v>
          </cell>
          <cell r="O1291">
            <v>44</v>
          </cell>
          <cell r="P1291">
            <v>0</v>
          </cell>
          <cell r="Q1291" t="str">
            <v>done</v>
          </cell>
          <cell r="R1291">
            <v>46297</v>
          </cell>
          <cell r="S1291" t="str">
            <v xml:space="preserve">Andrea Kasa </v>
          </cell>
          <cell r="T1291" t="str">
            <v>SLLAMI ERGI</v>
          </cell>
          <cell r="U1291" t="str">
            <v>K50620075P</v>
          </cell>
          <cell r="V1291" t="str">
            <v>355 69 746 2556</v>
          </cell>
          <cell r="W1291" t="str">
            <v>Albania</v>
          </cell>
          <cell r="X1291">
            <v>1367</v>
          </cell>
          <cell r="AB1291">
            <v>1569</v>
          </cell>
          <cell r="AC1291">
            <v>11366</v>
          </cell>
          <cell r="AD1291">
            <v>1864</v>
          </cell>
          <cell r="AE1291">
            <v>13230</v>
          </cell>
          <cell r="AF1291">
            <v>14580</v>
          </cell>
        </row>
        <row r="1292">
          <cell r="A1292">
            <v>1292</v>
          </cell>
          <cell r="B1292">
            <v>46283</v>
          </cell>
          <cell r="C1292" t="str">
            <v>HYUNDAI I40</v>
          </cell>
          <cell r="D1292" t="str">
            <v>HYUNDAI</v>
          </cell>
          <cell r="E1292" t="str">
            <v>I40</v>
          </cell>
          <cell r="G1292" t="str">
            <v>55더2291</v>
          </cell>
          <cell r="H1292" t="str">
            <v>KMHLC41UBFU056089</v>
          </cell>
          <cell r="I1292">
            <v>46286</v>
          </cell>
          <cell r="J1292" t="str">
            <v>㈜남부산모터스</v>
          </cell>
          <cell r="L1292" t="str">
            <v>잔금</v>
          </cell>
          <cell r="M1292" t="str">
            <v>50만원 회사 통장</v>
          </cell>
          <cell r="N1292">
            <v>520</v>
          </cell>
          <cell r="P1292">
            <v>0</v>
          </cell>
          <cell r="Q1292" t="str">
            <v>done</v>
          </cell>
          <cell r="R1292">
            <v>46297</v>
          </cell>
          <cell r="S1292" t="str">
            <v>AlphaWorldWide</v>
          </cell>
          <cell r="T1292" t="str">
            <v>Xheka</v>
          </cell>
          <cell r="U1292" t="str">
            <v>M66822402U</v>
          </cell>
          <cell r="V1292" t="str">
            <v>355 69223 3416</v>
          </cell>
          <cell r="W1292" t="str">
            <v>Diber, Bulqize, Albania</v>
          </cell>
          <cell r="X1292">
            <v>1358</v>
          </cell>
          <cell r="AB1292">
            <v>1566</v>
          </cell>
          <cell r="AC1292">
            <v>3431</v>
          </cell>
          <cell r="AD1292">
            <v>1769</v>
          </cell>
          <cell r="AE1292">
            <v>5200</v>
          </cell>
          <cell r="AF1292">
            <v>5272</v>
          </cell>
        </row>
        <row r="1293">
          <cell r="A1293">
            <v>1293</v>
          </cell>
          <cell r="B1293">
            <v>46283</v>
          </cell>
          <cell r="C1293" t="str">
            <v>AUDI A7</v>
          </cell>
          <cell r="D1293" t="str">
            <v>AUDI</v>
          </cell>
          <cell r="E1293" t="str">
            <v>A7</v>
          </cell>
          <cell r="G1293" t="str">
            <v>30마9504</v>
          </cell>
          <cell r="H1293" t="str">
            <v>WAUZZZ4GN021116</v>
          </cell>
          <cell r="I1293">
            <v>46286</v>
          </cell>
          <cell r="J1293" t="str">
            <v>㈜카즈모터스</v>
          </cell>
          <cell r="L1293" t="str">
            <v>잔금</v>
          </cell>
          <cell r="M1293" t="str">
            <v>70만원 회사 통장</v>
          </cell>
          <cell r="N1293">
            <v>1450</v>
          </cell>
          <cell r="P1293">
            <v>0</v>
          </cell>
          <cell r="Q1293" t="str">
            <v>done</v>
          </cell>
          <cell r="R1293">
            <v>46297</v>
          </cell>
          <cell r="S1293" t="str">
            <v>DONI</v>
          </cell>
          <cell r="T1293" t="str">
            <v>DONI</v>
          </cell>
          <cell r="U1293">
            <v>933682</v>
          </cell>
          <cell r="V1293" t="str">
            <v>3 8 3 4 9 3 2 5 7 0 3</v>
          </cell>
          <cell r="W1293" t="str">
            <v xml:space="preserve"> HYZRI TALLA OB 16 HY 1 NR 18
 Kosovë</v>
          </cell>
          <cell r="X1293">
            <v>1358</v>
          </cell>
          <cell r="AB1293">
            <v>1556</v>
          </cell>
          <cell r="AC1293">
            <v>8891</v>
          </cell>
          <cell r="AD1293">
            <v>1769</v>
          </cell>
          <cell r="AE1293">
            <v>10660</v>
          </cell>
        </row>
        <row r="1294">
          <cell r="A1294">
            <v>1294</v>
          </cell>
          <cell r="B1294">
            <v>46283</v>
          </cell>
          <cell r="C1294" t="str">
            <v>BMW 320D</v>
          </cell>
          <cell r="D1294" t="str">
            <v>BMW</v>
          </cell>
          <cell r="E1294" t="str">
            <v>320D</v>
          </cell>
          <cell r="G1294" t="str">
            <v>56오2097</v>
          </cell>
          <cell r="H1294" t="str">
            <v>WBA3Y3104FD771811</v>
          </cell>
          <cell r="I1294">
            <v>46293</v>
          </cell>
          <cell r="J1294" t="str">
            <v>㈜우리들 모터스</v>
          </cell>
          <cell r="L1294" t="str">
            <v>잔금</v>
          </cell>
          <cell r="M1294" t="str">
            <v>50만원 회사 통장</v>
          </cell>
          <cell r="N1294">
            <v>400</v>
          </cell>
          <cell r="P1294">
            <v>0</v>
          </cell>
          <cell r="Q1294" t="str">
            <v>done</v>
          </cell>
          <cell r="R1294">
            <v>46297</v>
          </cell>
          <cell r="S1294" t="str">
            <v>TAFA</v>
          </cell>
          <cell r="T1294" t="str">
            <v>TAFA ALI</v>
          </cell>
          <cell r="U1294" t="str">
            <v>I10226024H</v>
          </cell>
          <cell r="V1294" t="str">
            <v>355 68 855 8026</v>
          </cell>
          <cell r="W1294" t="str">
            <v>ALBANIA</v>
          </cell>
          <cell r="X1294">
            <v>1367</v>
          </cell>
          <cell r="AB1294">
            <v>1569</v>
          </cell>
          <cell r="AC1294">
            <v>2723</v>
          </cell>
          <cell r="AD1294">
            <v>1777</v>
          </cell>
          <cell r="AE1294">
            <v>4500</v>
          </cell>
        </row>
        <row r="1295">
          <cell r="A1295">
            <v>1295</v>
          </cell>
          <cell r="B1295">
            <v>46285</v>
          </cell>
          <cell r="C1295" t="str">
            <v>MASERTI LAVANTE</v>
          </cell>
          <cell r="D1295" t="str">
            <v>MASERTI</v>
          </cell>
          <cell r="E1295" t="str">
            <v>LAVANTE</v>
          </cell>
          <cell r="G1295" t="str">
            <v>207머5075</v>
          </cell>
          <cell r="H1295" t="str">
            <v>ZN661TUG2HX263320</v>
          </cell>
          <cell r="I1295">
            <v>46286</v>
          </cell>
          <cell r="J1295" t="str">
            <v>㈜모터스밸리</v>
          </cell>
          <cell r="L1295" t="str">
            <v>잔금</v>
          </cell>
          <cell r="M1295" t="str">
            <v>100만원 대표님 계약</v>
          </cell>
          <cell r="N1295">
            <v>1700</v>
          </cell>
          <cell r="P1295">
            <v>0</v>
          </cell>
          <cell r="Q1295" t="str">
            <v>done</v>
          </cell>
          <cell r="R1295">
            <v>46297</v>
          </cell>
          <cell r="S1295" t="str">
            <v>VILLA KOHA</v>
          </cell>
          <cell r="T1295" t="str">
            <v>VILLA KOHA SH.P.K</v>
          </cell>
          <cell r="U1295">
            <v>810039588</v>
          </cell>
          <cell r="V1295" t="str">
            <v>383 49247777</v>
          </cell>
          <cell r="W1295" t="str">
            <v>KOSOVO</v>
          </cell>
          <cell r="X1295">
            <v>1375</v>
          </cell>
          <cell r="AB1295">
            <v>1578</v>
          </cell>
          <cell r="AC1295">
            <v>10535</v>
          </cell>
          <cell r="AD1295">
            <v>1865</v>
          </cell>
          <cell r="AE1295">
            <v>12400</v>
          </cell>
          <cell r="AF1295">
            <v>12400</v>
          </cell>
        </row>
        <row r="1296">
          <cell r="A1296">
            <v>1296</v>
          </cell>
          <cell r="B1296">
            <v>46285</v>
          </cell>
          <cell r="C1296" t="str">
            <v>HYUNDAI PALISADE</v>
          </cell>
          <cell r="D1296" t="str">
            <v>HYUNDAI</v>
          </cell>
          <cell r="E1296" t="str">
            <v>PALISADE</v>
          </cell>
          <cell r="G1296" t="str">
            <v>124보6174</v>
          </cell>
          <cell r="H1296" t="str">
            <v>KMHR581EDRU660006</v>
          </cell>
          <cell r="I1296">
            <v>46287</v>
          </cell>
          <cell r="L1296" t="str">
            <v>잔금</v>
          </cell>
          <cell r="M1296" t="str">
            <v>100만원 대표님 계약</v>
          </cell>
          <cell r="N1296">
            <v>3600</v>
          </cell>
          <cell r="P1296">
            <v>0</v>
          </cell>
          <cell r="Q1296" t="str">
            <v>done</v>
          </cell>
          <cell r="R1296" t="str">
            <v>CON 17</v>
          </cell>
          <cell r="S1296" t="str">
            <v>EASY DRIVE</v>
          </cell>
          <cell r="T1296" t="str">
            <v>Easy Drive LTD</v>
          </cell>
          <cell r="U1296">
            <v>206557008</v>
          </cell>
          <cell r="V1296" t="str">
            <v>359 89 936 8386</v>
          </cell>
          <cell r="W1296" t="str">
            <v>ul. Sokolna 47
1444 Sofia
Bulgaria</v>
          </cell>
          <cell r="AC1296">
            <v>34781800</v>
          </cell>
        </row>
        <row r="1297">
          <cell r="A1297">
            <v>1297</v>
          </cell>
          <cell r="B1297">
            <v>46285</v>
          </cell>
          <cell r="C1297" t="str">
            <v>RENAULT QM3</v>
          </cell>
          <cell r="D1297" t="str">
            <v>RENAULT</v>
          </cell>
          <cell r="E1297" t="str">
            <v>QM3</v>
          </cell>
          <cell r="G1297" t="str">
            <v>56머0835</v>
          </cell>
          <cell r="H1297" t="str">
            <v>VF12RGJ1DGW265402</v>
          </cell>
          <cell r="I1297">
            <v>46286</v>
          </cell>
          <cell r="J1297" t="str">
            <v>㈜카울렛</v>
          </cell>
          <cell r="L1297" t="str">
            <v>잔금</v>
          </cell>
          <cell r="M1297" t="str">
            <v>50만원 대표님 계약</v>
          </cell>
          <cell r="N1297">
            <v>400</v>
          </cell>
          <cell r="P1297">
            <v>0</v>
          </cell>
          <cell r="Q1297" t="str">
            <v>done</v>
          </cell>
          <cell r="R1297">
            <v>46297</v>
          </cell>
          <cell r="S1297" t="str">
            <v>Auto Posh SH.P.K</v>
          </cell>
          <cell r="T1297" t="str">
            <v>Auto Posh SH.P.K</v>
          </cell>
          <cell r="U1297">
            <v>812219427</v>
          </cell>
          <cell r="V1297" t="str">
            <v>38345560145</v>
          </cell>
          <cell r="W1297" t="str">
            <v>KOSOVO</v>
          </cell>
          <cell r="X1297">
            <v>1375</v>
          </cell>
          <cell r="AB1297">
            <v>1578</v>
          </cell>
          <cell r="AC1297">
            <v>2622</v>
          </cell>
          <cell r="AD1297">
            <v>1778</v>
          </cell>
          <cell r="AE1297">
            <v>4400</v>
          </cell>
        </row>
        <row r="1298">
          <cell r="A1298">
            <v>1298</v>
          </cell>
          <cell r="B1298">
            <v>46285</v>
          </cell>
          <cell r="C1298" t="str">
            <v>BENZ C220D</v>
          </cell>
          <cell r="D1298" t="str">
            <v>BENZ</v>
          </cell>
          <cell r="E1298" t="str">
            <v>C220D</v>
          </cell>
          <cell r="G1298" t="str">
            <v>15부0644</v>
          </cell>
          <cell r="H1298" t="str">
            <v>WDDWF0EB6GF263237</v>
          </cell>
          <cell r="I1298">
            <v>46287</v>
          </cell>
          <cell r="L1298" t="str">
            <v>잔금</v>
          </cell>
          <cell r="M1298" t="str">
            <v>50만원 대표님 계약</v>
          </cell>
          <cell r="N1298">
            <v>1264</v>
          </cell>
          <cell r="P1298">
            <v>0</v>
          </cell>
          <cell r="Q1298" t="str">
            <v>done</v>
          </cell>
          <cell r="R1298" t="str">
            <v>con 16</v>
          </cell>
          <cell r="S1298" t="str">
            <v>EASY DRIVE</v>
          </cell>
          <cell r="T1298" t="str">
            <v>Easy Drive LTD</v>
          </cell>
          <cell r="U1298">
            <v>206557008</v>
          </cell>
          <cell r="V1298" t="str">
            <v>359 89 936 8386</v>
          </cell>
          <cell r="W1298" t="str">
            <v>ul. Sokolna 47
1444 Sofia
Bulgaria</v>
          </cell>
          <cell r="AC1298">
            <v>1214</v>
          </cell>
        </row>
        <row r="1299">
          <cell r="A1299">
            <v>1299</v>
          </cell>
          <cell r="B1299">
            <v>46285</v>
          </cell>
          <cell r="C1299" t="str">
            <v>BENZ E300</v>
          </cell>
          <cell r="D1299" t="str">
            <v>BENZ</v>
          </cell>
          <cell r="E1299" t="str">
            <v>E300</v>
          </cell>
          <cell r="G1299" t="str">
            <v>125라9461</v>
          </cell>
          <cell r="H1299" t="str">
            <v>WDDZF4JB1HA291701</v>
          </cell>
          <cell r="I1299">
            <v>46287</v>
          </cell>
          <cell r="L1299" t="str">
            <v>잔금</v>
          </cell>
          <cell r="M1299" t="str">
            <v>100만원 대표님 계약</v>
          </cell>
          <cell r="N1299">
            <v>1885</v>
          </cell>
          <cell r="P1299">
            <v>0</v>
          </cell>
          <cell r="Q1299" t="str">
            <v>done</v>
          </cell>
          <cell r="R1299" t="str">
            <v>CON 17</v>
          </cell>
          <cell r="S1299" t="str">
            <v>EASY DRIVE</v>
          </cell>
          <cell r="T1299" t="str">
            <v>Easy Drive LTD</v>
          </cell>
          <cell r="U1299">
            <v>206557008</v>
          </cell>
          <cell r="V1299" t="str">
            <v>359 89 936 8386</v>
          </cell>
          <cell r="W1299" t="str">
            <v>ul. Sokolna 47
1444 Sofia
Bulgaria</v>
          </cell>
          <cell r="AC1299">
            <v>18308050</v>
          </cell>
        </row>
        <row r="1300">
          <cell r="A1300">
            <v>1300</v>
          </cell>
          <cell r="B1300">
            <v>46285</v>
          </cell>
          <cell r="C1300" t="str">
            <v>BMW 520D</v>
          </cell>
          <cell r="D1300" t="str">
            <v>BMW</v>
          </cell>
          <cell r="E1300" t="str">
            <v>520D</v>
          </cell>
          <cell r="G1300" t="str">
            <v>30다2553</v>
          </cell>
          <cell r="H1300" t="str">
            <v>WBAJC3102JWE63073</v>
          </cell>
          <cell r="I1300">
            <v>46307</v>
          </cell>
          <cell r="J1300" t="str">
            <v>경매장-헤이딜러</v>
          </cell>
          <cell r="L1300" t="str">
            <v>잔금</v>
          </cell>
          <cell r="N1300">
            <v>1104</v>
          </cell>
          <cell r="P1300">
            <v>0</v>
          </cell>
          <cell r="Q1300" t="str">
            <v>done</v>
          </cell>
          <cell r="R1300">
            <v>46315</v>
          </cell>
          <cell r="S1300" t="str">
            <v>Auto Posh SH.P.K</v>
          </cell>
          <cell r="T1300" t="str">
            <v>Auto Posh SH.P.K</v>
          </cell>
          <cell r="U1300">
            <v>812219427</v>
          </cell>
          <cell r="V1300" t="str">
            <v>38345560145</v>
          </cell>
          <cell r="W1300" t="str">
            <v>KOSOVO</v>
          </cell>
          <cell r="X1300">
            <v>1333</v>
          </cell>
          <cell r="AB1300">
            <v>1492</v>
          </cell>
          <cell r="AC1300">
            <v>7307</v>
          </cell>
          <cell r="AD1300">
            <v>1823</v>
          </cell>
          <cell r="AE1300">
            <v>9130</v>
          </cell>
        </row>
        <row r="1301">
          <cell r="A1301">
            <v>1301</v>
          </cell>
          <cell r="B1301">
            <v>46285</v>
          </cell>
          <cell r="C1301" t="str">
            <v>BENZ E220D</v>
          </cell>
          <cell r="D1301" t="str">
            <v>BENZ</v>
          </cell>
          <cell r="E1301" t="str">
            <v>E220D</v>
          </cell>
          <cell r="G1301" t="str">
            <v>350어9537</v>
          </cell>
          <cell r="H1301" t="str">
            <v>WDDZF0FB6HA291520 </v>
          </cell>
          <cell r="I1301">
            <v>46286</v>
          </cell>
          <cell r="J1301" t="str">
            <v>경매장-헤이딜러</v>
          </cell>
          <cell r="L1301" t="str">
            <v>잔금</v>
          </cell>
          <cell r="N1301">
            <v>1264</v>
          </cell>
          <cell r="P1301">
            <v>0</v>
          </cell>
          <cell r="Q1301" t="str">
            <v>done</v>
          </cell>
          <cell r="R1301">
            <v>46297</v>
          </cell>
          <cell r="S1301" t="str">
            <v>Auto Posh SH.P.K</v>
          </cell>
          <cell r="T1301" t="str">
            <v>Auto Posh SH.P.K</v>
          </cell>
          <cell r="U1301">
            <v>812219427</v>
          </cell>
          <cell r="V1301" t="str">
            <v>38345560145</v>
          </cell>
          <cell r="W1301" t="str">
            <v>KOSOVO</v>
          </cell>
          <cell r="X1301">
            <v>1336</v>
          </cell>
          <cell r="AB1301">
            <v>1528</v>
          </cell>
          <cell r="AC1301">
            <v>8036</v>
          </cell>
          <cell r="AD1301">
            <v>1784</v>
          </cell>
          <cell r="AE1301">
            <v>9820</v>
          </cell>
        </row>
        <row r="1302">
          <cell r="A1302">
            <v>1302</v>
          </cell>
          <cell r="B1302">
            <v>46287</v>
          </cell>
          <cell r="C1302" t="str">
            <v>BMW  520d</v>
          </cell>
          <cell r="D1302" t="str">
            <v xml:space="preserve">BMW </v>
          </cell>
          <cell r="E1302" t="str">
            <v>520d</v>
          </cell>
          <cell r="G1302" t="str">
            <v>19거5089</v>
          </cell>
          <cell r="H1302" t="str">
            <v>WBAJC3101HG992077</v>
          </cell>
          <cell r="J1302" t="str">
            <v>경매장-헤이딜러</v>
          </cell>
          <cell r="L1302" t="str">
            <v>잔금</v>
          </cell>
          <cell r="P1302">
            <v>0</v>
          </cell>
          <cell r="Q1302" t="str">
            <v>done</v>
          </cell>
          <cell r="R1302">
            <v>46318</v>
          </cell>
          <cell r="S1302" t="str">
            <v>AUTO SCOUT</v>
          </cell>
          <cell r="T1302" t="str">
            <v>DONI</v>
          </cell>
          <cell r="U1302">
            <v>933682</v>
          </cell>
          <cell r="V1302" t="str">
            <v>3 8 3 4 9 3 2 5 7 0 3</v>
          </cell>
          <cell r="W1302" t="str">
            <v xml:space="preserve"> HYZRI TALLA OB 16 HY 1 NR 18
 Kosovë</v>
          </cell>
          <cell r="X1302">
            <v>1322</v>
          </cell>
          <cell r="AB1302">
            <v>1484</v>
          </cell>
          <cell r="AC1302">
            <v>9993</v>
          </cell>
          <cell r="AD1302">
            <v>1817</v>
          </cell>
          <cell r="AE1302">
            <v>11810</v>
          </cell>
          <cell r="AF1302">
            <v>11810</v>
          </cell>
        </row>
        <row r="1303">
          <cell r="A1303">
            <v>1303</v>
          </cell>
          <cell r="B1303">
            <v>46287</v>
          </cell>
          <cell r="C1303" t="str">
            <v>AUDI RS7</v>
          </cell>
          <cell r="D1303" t="str">
            <v>AUDI</v>
          </cell>
          <cell r="E1303" t="str">
            <v>RS7</v>
          </cell>
          <cell r="G1303" t="str">
            <v>25서2175</v>
          </cell>
          <cell r="H1303" t="str">
            <v>WUAZZZ4GXEN903844</v>
          </cell>
          <cell r="I1303">
            <v>46297</v>
          </cell>
          <cell r="J1303" t="str">
            <v>경매장-헤이딜러/010-9999-2198</v>
          </cell>
          <cell r="L1303" t="str">
            <v>잔금</v>
          </cell>
          <cell r="N1303">
            <v>2000</v>
          </cell>
          <cell r="P1303">
            <v>0</v>
          </cell>
          <cell r="Q1303" t="str">
            <v>DONE</v>
          </cell>
          <cell r="R1303">
            <v>46301</v>
          </cell>
          <cell r="S1303" t="str">
            <v>DAX IMPORT</v>
          </cell>
          <cell r="T1303" t="str">
            <v xml:space="preserve">Michael Karl  </v>
          </cell>
          <cell r="U1303" t="str">
            <v>LF9N8WZ16</v>
          </cell>
          <cell r="V1303" t="str">
            <v>‪+49 471 94189050‬</v>
          </cell>
          <cell r="W1303" t="str">
            <v xml:space="preserve">Dorfstr,33C,(82024) Taufkirchen, Germany </v>
          </cell>
          <cell r="X1303">
            <v>1323</v>
          </cell>
          <cell r="AB1303">
            <v>1500</v>
          </cell>
          <cell r="AC1303">
            <v>11780</v>
          </cell>
        </row>
        <row r="1304">
          <cell r="A1304">
            <v>1304</v>
          </cell>
          <cell r="B1304">
            <v>46287</v>
          </cell>
          <cell r="C1304" t="str">
            <v>RENAULT CLIO</v>
          </cell>
          <cell r="D1304" t="str">
            <v>RENAULT</v>
          </cell>
          <cell r="E1304" t="str">
            <v>CLIO</v>
          </cell>
          <cell r="G1304" t="str">
            <v>24서5987</v>
          </cell>
          <cell r="H1304" t="str">
            <v>VF15RBJ0DJR445712</v>
          </cell>
          <cell r="I1304">
            <v>46288</v>
          </cell>
          <cell r="J1304" t="str">
            <v>경매장- AJ</v>
          </cell>
          <cell r="L1304" t="str">
            <v>잔금</v>
          </cell>
          <cell r="N1304">
            <v>580</v>
          </cell>
          <cell r="O1304">
            <v>16</v>
          </cell>
          <cell r="P1304">
            <v>0</v>
          </cell>
          <cell r="R1304" t="str">
            <v>대기</v>
          </cell>
          <cell r="S1304" t="str">
            <v>DONI</v>
          </cell>
          <cell r="T1304" t="str">
            <v>DONI</v>
          </cell>
          <cell r="U1304">
            <v>933682</v>
          </cell>
          <cell r="V1304" t="str">
            <v>3 8 3 4 9 3 2 5 7 0 3</v>
          </cell>
          <cell r="W1304" t="str">
            <v xml:space="preserve"> HYZRI TALLA OB 16 HY 1 NR 18
 Kosovë</v>
          </cell>
          <cell r="AC1304">
            <v>5810</v>
          </cell>
          <cell r="AE1304">
            <v>5810</v>
          </cell>
        </row>
        <row r="1305">
          <cell r="A1305">
            <v>1305</v>
          </cell>
          <cell r="B1305">
            <v>46287</v>
          </cell>
          <cell r="C1305" t="str">
            <v>VOLKSWAGEN ARTEON</v>
          </cell>
          <cell r="D1305" t="str">
            <v>VOLKSWAGEN</v>
          </cell>
          <cell r="E1305" t="str">
            <v>ARTEON</v>
          </cell>
          <cell r="G1305" t="str">
            <v>110모7202</v>
          </cell>
          <cell r="H1305" t="str">
            <v>WVWZZZ3HZLE016635</v>
          </cell>
          <cell r="I1305">
            <v>46288</v>
          </cell>
          <cell r="J1305" t="str">
            <v>경매장- AJ</v>
          </cell>
          <cell r="L1305" t="str">
            <v>잔금</v>
          </cell>
          <cell r="N1305">
            <v>1540</v>
          </cell>
          <cell r="O1305">
            <v>40</v>
          </cell>
          <cell r="P1305">
            <v>0</v>
          </cell>
          <cell r="R1305" t="str">
            <v>대기</v>
          </cell>
          <cell r="S1305" t="str">
            <v>DONI</v>
          </cell>
          <cell r="T1305" t="str">
            <v>DONI</v>
          </cell>
          <cell r="U1305">
            <v>933682</v>
          </cell>
          <cell r="V1305" t="str">
            <v>3 8 3 4 9 3 2 5 7 0 3</v>
          </cell>
          <cell r="W1305" t="str">
            <v xml:space="preserve"> HYZRI TALLA OB 16 HY 1 NR 18
 Kosovë</v>
          </cell>
          <cell r="AC1305">
            <v>11890</v>
          </cell>
          <cell r="AE1305">
            <v>11890</v>
          </cell>
        </row>
        <row r="1306">
          <cell r="A1306">
            <v>1306</v>
          </cell>
          <cell r="B1306">
            <v>46287</v>
          </cell>
          <cell r="C1306" t="str">
            <v>VOLKSWAGEN ARTEON</v>
          </cell>
          <cell r="D1306" t="str">
            <v>VOLKSWAGEN</v>
          </cell>
          <cell r="E1306" t="str">
            <v>ARTEON</v>
          </cell>
          <cell r="G1306" t="str">
            <v>143누5262</v>
          </cell>
          <cell r="H1306" t="str">
            <v>WVWZZZ3HZNE011270</v>
          </cell>
          <cell r="I1306">
            <v>46288</v>
          </cell>
          <cell r="J1306" t="str">
            <v>경매장- 현대</v>
          </cell>
          <cell r="L1306" t="str">
            <v>잔금</v>
          </cell>
          <cell r="N1306">
            <v>2170</v>
          </cell>
          <cell r="O1306">
            <v>44</v>
          </cell>
          <cell r="P1306">
            <v>0</v>
          </cell>
          <cell r="R1306" t="str">
            <v>대기</v>
          </cell>
          <cell r="S1306" t="str">
            <v>DONI</v>
          </cell>
          <cell r="T1306" t="str">
            <v>DONI</v>
          </cell>
          <cell r="U1306">
            <v>933682</v>
          </cell>
          <cell r="V1306" t="str">
            <v>3 8 3 4 9 3 2 5 7 0 3</v>
          </cell>
          <cell r="W1306" t="str">
            <v xml:space="preserve"> HYZRI TALLA OB 16 HY 1 NR 18
 Kosovë</v>
          </cell>
          <cell r="AC1306">
            <v>15930</v>
          </cell>
          <cell r="AE1306">
            <v>15930</v>
          </cell>
        </row>
        <row r="1307">
          <cell r="A1307">
            <v>1307</v>
          </cell>
          <cell r="B1307">
            <v>46287</v>
          </cell>
          <cell r="C1307" t="str">
            <v>AUDI Q2</v>
          </cell>
          <cell r="D1307" t="str">
            <v>AUDI</v>
          </cell>
          <cell r="E1307" t="str">
            <v>Q2</v>
          </cell>
          <cell r="G1307" t="str">
            <v>316부2600</v>
          </cell>
          <cell r="H1307" t="str">
            <v>WAUZZZGA8LA059292</v>
          </cell>
          <cell r="I1307">
            <v>46293</v>
          </cell>
          <cell r="L1307" t="str">
            <v>잔금</v>
          </cell>
          <cell r="M1307" t="str">
            <v>50만원 통장</v>
          </cell>
          <cell r="N1307">
            <v>1675</v>
          </cell>
          <cell r="P1307">
            <v>0</v>
          </cell>
          <cell r="Q1307" t="str">
            <v>done</v>
          </cell>
          <cell r="R1307">
            <v>46297</v>
          </cell>
          <cell r="S1307" t="str">
            <v>AUTO GALLERY DIOR SHPK</v>
          </cell>
          <cell r="T1307" t="str">
            <v>AUTO GALLERY DIOR SHPK</v>
          </cell>
          <cell r="U1307">
            <v>812050409</v>
          </cell>
          <cell r="V1307" t="str">
            <v>383 44 900 906</v>
          </cell>
          <cell r="W1307" t="str">
            <v>Kosovo</v>
          </cell>
          <cell r="X1307">
            <v>1336</v>
          </cell>
          <cell r="AB1307">
            <v>1528</v>
          </cell>
          <cell r="AC1307">
            <v>10379</v>
          </cell>
          <cell r="AD1307">
            <v>1871</v>
          </cell>
          <cell r="AE1307">
            <v>12250</v>
          </cell>
          <cell r="AF1307">
            <v>12250</v>
          </cell>
        </row>
        <row r="1308">
          <cell r="A1308">
            <v>1308</v>
          </cell>
          <cell r="B1308">
            <v>46287</v>
          </cell>
          <cell r="C1308" t="str">
            <v>AUDI Q2</v>
          </cell>
          <cell r="D1308" t="str">
            <v>AUDI</v>
          </cell>
          <cell r="E1308" t="str">
            <v>Q2</v>
          </cell>
          <cell r="G1308" t="str">
            <v>389소7325</v>
          </cell>
          <cell r="H1308" t="str">
            <v>WAUZZZGA4LA055692</v>
          </cell>
          <cell r="I1308">
            <v>46293</v>
          </cell>
          <cell r="J1308" t="str">
            <v>㈜디에이모터스</v>
          </cell>
          <cell r="L1308" t="str">
            <v>잔금</v>
          </cell>
          <cell r="M1308" t="str">
            <v>50만원 대표님 계약</v>
          </cell>
          <cell r="N1308">
            <v>1920</v>
          </cell>
          <cell r="P1308">
            <v>0</v>
          </cell>
          <cell r="Q1308" t="str">
            <v>done</v>
          </cell>
          <cell r="R1308">
            <v>46297</v>
          </cell>
          <cell r="S1308" t="str">
            <v>AUTO GALLERY DIOR SHPK</v>
          </cell>
          <cell r="T1308" t="str">
            <v>AUTO GALLERY DIOR SHPK</v>
          </cell>
          <cell r="U1308">
            <v>812050409</v>
          </cell>
          <cell r="V1308" t="str">
            <v>383 44 900 906</v>
          </cell>
          <cell r="W1308" t="str">
            <v>Kosovo</v>
          </cell>
          <cell r="X1308">
            <v>1336</v>
          </cell>
          <cell r="AB1308">
            <v>1528</v>
          </cell>
          <cell r="AC1308">
            <v>11779</v>
          </cell>
          <cell r="AD1308">
            <v>1871</v>
          </cell>
          <cell r="AE1308">
            <v>13650</v>
          </cell>
          <cell r="AF1308">
            <v>13650</v>
          </cell>
        </row>
        <row r="1309">
          <cell r="A1309">
            <v>1309</v>
          </cell>
          <cell r="B1309">
            <v>46287</v>
          </cell>
          <cell r="C1309" t="str">
            <v>Benz E220D</v>
          </cell>
          <cell r="D1309" t="str">
            <v>Benz</v>
          </cell>
          <cell r="E1309" t="str">
            <v>E220D</v>
          </cell>
          <cell r="G1309" t="str">
            <v>14우9068</v>
          </cell>
          <cell r="H1309" t="str">
            <v>WDDZF0EB1HA141607</v>
          </cell>
          <cell r="I1309">
            <v>46293</v>
          </cell>
          <cell r="J1309" t="str">
            <v>㈜성진모터스</v>
          </cell>
          <cell r="L1309" t="str">
            <v>잔금</v>
          </cell>
          <cell r="M1309" t="str">
            <v>100만원 대표님 계약</v>
          </cell>
          <cell r="N1309">
            <v>1590</v>
          </cell>
          <cell r="P1309">
            <v>0</v>
          </cell>
          <cell r="Q1309" t="str">
            <v>done</v>
          </cell>
          <cell r="R1309">
            <v>46297</v>
          </cell>
          <cell r="S1309" t="str">
            <v>Auto Posh SH.P.K</v>
          </cell>
          <cell r="T1309" t="str">
            <v>Auto Posh SH.P.K</v>
          </cell>
          <cell r="U1309">
            <v>812219427</v>
          </cell>
          <cell r="V1309" t="str">
            <v>38345560145</v>
          </cell>
          <cell r="W1309" t="str">
            <v>KOSOVO</v>
          </cell>
          <cell r="X1309">
            <v>1336</v>
          </cell>
          <cell r="AB1309">
            <v>1528</v>
          </cell>
          <cell r="AC1309">
            <v>9746</v>
          </cell>
          <cell r="AD1309">
            <v>1784</v>
          </cell>
          <cell r="AE1309">
            <v>11530</v>
          </cell>
        </row>
        <row r="1310">
          <cell r="A1310">
            <v>1310</v>
          </cell>
          <cell r="B1310">
            <v>46287</v>
          </cell>
          <cell r="C1310" t="str">
            <v>Benz GLE 350D 4MATIC COUPE</v>
          </cell>
          <cell r="D1310" t="str">
            <v>Benz</v>
          </cell>
          <cell r="E1310" t="str">
            <v>GLE 350D 4MATIC COUPE</v>
          </cell>
          <cell r="G1310" t="str">
            <v>07부5788</v>
          </cell>
          <cell r="H1310" t="str">
            <v>WDCED2EB1JA112330</v>
          </cell>
          <cell r="I1310">
            <v>46293</v>
          </cell>
          <cell r="J1310" t="str">
            <v>㈜해성자동차</v>
          </cell>
          <cell r="L1310" t="str">
            <v>잔금</v>
          </cell>
          <cell r="M1310" t="str">
            <v>100만원 대표님 계약</v>
          </cell>
          <cell r="N1310">
            <v>2380</v>
          </cell>
          <cell r="P1310">
            <v>0</v>
          </cell>
          <cell r="Q1310" t="str">
            <v>done</v>
          </cell>
          <cell r="R1310">
            <v>46302</v>
          </cell>
          <cell r="S1310" t="str">
            <v>HYSA</v>
          </cell>
          <cell r="T1310" t="str">
            <v>LLOSHI FERINAND</v>
          </cell>
          <cell r="U1310" t="str">
            <v>K71108008L</v>
          </cell>
          <cell r="V1310" t="str">
            <v>355 69 690 2972</v>
          </cell>
          <cell r="W1310" t="str">
            <v>Albania</v>
          </cell>
          <cell r="X1310">
            <v>1356</v>
          </cell>
          <cell r="AB1310">
            <v>1540</v>
          </cell>
          <cell r="AC1310">
            <v>14640</v>
          </cell>
        </row>
        <row r="1311">
          <cell r="A1311">
            <v>1311</v>
          </cell>
          <cell r="B1311">
            <v>46287</v>
          </cell>
          <cell r="C1311" t="str">
            <v>BMW 320D</v>
          </cell>
          <cell r="D1311" t="str">
            <v>BMW</v>
          </cell>
          <cell r="E1311" t="str">
            <v>320D</v>
          </cell>
          <cell r="G1311" t="str">
            <v>163더8174</v>
          </cell>
          <cell r="H1311" t="str">
            <v xml:space="preserve"> WBA8C5101JA073411</v>
          </cell>
          <cell r="I1311">
            <v>46293</v>
          </cell>
          <cell r="L1311" t="str">
            <v>잔금</v>
          </cell>
          <cell r="M1311" t="str">
            <v>100만원 대표님 계약</v>
          </cell>
          <cell r="N1311">
            <v>1284</v>
          </cell>
          <cell r="P1311">
            <v>0</v>
          </cell>
          <cell r="Q1311" t="str">
            <v>done</v>
          </cell>
          <cell r="R1311">
            <v>46297</v>
          </cell>
          <cell r="S1311" t="str">
            <v>R.S.h L.L.C.</v>
          </cell>
          <cell r="T1311" t="str">
            <v>R.Sh L.L.C.</v>
          </cell>
          <cell r="U1311">
            <v>206557008</v>
          </cell>
          <cell r="V1311" t="str">
            <v>359 89 936 8386</v>
          </cell>
          <cell r="W1311" t="str">
            <v>ul. Sokolna 47
1444 Sofia
Bulgaria</v>
          </cell>
          <cell r="X1311">
            <v>1336</v>
          </cell>
          <cell r="AB1311">
            <v>1528</v>
          </cell>
          <cell r="AC1311">
            <v>7836</v>
          </cell>
          <cell r="AD1311">
            <v>1784</v>
          </cell>
          <cell r="AE1311">
            <v>9620</v>
          </cell>
        </row>
        <row r="1312">
          <cell r="A1312">
            <v>1312</v>
          </cell>
          <cell r="B1312">
            <v>46287</v>
          </cell>
          <cell r="C1312" t="str">
            <v>AUDI A6</v>
          </cell>
          <cell r="D1312" t="str">
            <v>AUDI</v>
          </cell>
          <cell r="E1312" t="str">
            <v>A6</v>
          </cell>
          <cell r="G1312" t="str">
            <v>67나2420</v>
          </cell>
          <cell r="H1312" t="str">
            <v>WAUZZZ4G7JN117245</v>
          </cell>
          <cell r="I1312">
            <v>46293</v>
          </cell>
          <cell r="J1312" t="str">
            <v>㈜원스타</v>
          </cell>
          <cell r="L1312" t="str">
            <v>잔금</v>
          </cell>
          <cell r="M1312" t="str">
            <v>50만원 대표님 계약</v>
          </cell>
          <cell r="N1312">
            <v>1494</v>
          </cell>
          <cell r="P1312">
            <v>0</v>
          </cell>
          <cell r="Q1312" t="str">
            <v>done</v>
          </cell>
          <cell r="R1312">
            <v>46297</v>
          </cell>
          <cell r="S1312" t="str">
            <v>Auto Posh SH.P.K</v>
          </cell>
          <cell r="T1312" t="str">
            <v>Auto Posh SH.P.K</v>
          </cell>
          <cell r="U1312">
            <v>812219427</v>
          </cell>
          <cell r="V1312" t="str">
            <v>38345560145</v>
          </cell>
          <cell r="W1312" t="str">
            <v>KOSOVO</v>
          </cell>
          <cell r="X1312">
            <v>1356</v>
          </cell>
          <cell r="AB1312">
            <v>1546</v>
          </cell>
          <cell r="AC1312">
            <v>9070</v>
          </cell>
          <cell r="AD1312">
            <v>1790</v>
          </cell>
          <cell r="AE1312">
            <v>10860</v>
          </cell>
        </row>
        <row r="1313">
          <cell r="A1313">
            <v>1313</v>
          </cell>
          <cell r="B1313">
            <v>46288</v>
          </cell>
          <cell r="C1313" t="str">
            <v>Benz S350 d L</v>
          </cell>
          <cell r="D1313" t="str">
            <v>Benz</v>
          </cell>
          <cell r="E1313" t="str">
            <v>S350 d L</v>
          </cell>
          <cell r="G1313" t="str">
            <v>192도6543</v>
          </cell>
          <cell r="H1313" t="str">
            <v>WDDUG3CB4HA294963</v>
          </cell>
          <cell r="I1313">
            <v>46293</v>
          </cell>
          <cell r="L1313" t="str">
            <v>잔금</v>
          </cell>
          <cell r="M1313" t="str">
            <v>100만원 계약금 계약</v>
          </cell>
          <cell r="N1313">
            <v>2470</v>
          </cell>
          <cell r="P1313">
            <v>0</v>
          </cell>
          <cell r="Q1313" t="str">
            <v>done</v>
          </cell>
          <cell r="R1313">
            <v>46303</v>
          </cell>
          <cell r="S1313" t="str">
            <v>HYSA</v>
          </cell>
          <cell r="T1313" t="str">
            <v>Gazment hysa</v>
          </cell>
          <cell r="U1313" t="str">
            <v>M63302203K</v>
          </cell>
          <cell r="V1313" t="str">
            <v>355 69 690 2972</v>
          </cell>
          <cell r="W1313" t="str">
            <v>Albania</v>
          </cell>
          <cell r="X1313">
            <v>1356</v>
          </cell>
          <cell r="AB1313">
            <v>1528</v>
          </cell>
          <cell r="AC1313">
            <v>15200</v>
          </cell>
          <cell r="AE1313">
            <v>17050</v>
          </cell>
          <cell r="AF1313">
            <v>6725</v>
          </cell>
        </row>
        <row r="1314">
          <cell r="A1314">
            <v>1314</v>
          </cell>
          <cell r="B1314">
            <v>46288</v>
          </cell>
          <cell r="C1314" t="str">
            <v xml:space="preserve"> DISCOVERY SPORT</v>
          </cell>
          <cell r="E1314" t="str">
            <v>DISCOVERY SPORT</v>
          </cell>
          <cell r="G1314" t="str">
            <v>49어4064</v>
          </cell>
          <cell r="H1314" t="str">
            <v xml:space="preserve">SALCA2BN0KH784529 </v>
          </cell>
          <cell r="J1314" t="str">
            <v>㈜ 국민중고차</v>
          </cell>
          <cell r="L1314" t="str">
            <v>잔금</v>
          </cell>
          <cell r="M1314">
            <v>3</v>
          </cell>
          <cell r="N1314">
            <v>1100</v>
          </cell>
          <cell r="P1314">
            <v>0</v>
          </cell>
          <cell r="Q1314" t="str">
            <v>done</v>
          </cell>
          <cell r="R1314">
            <v>46297</v>
          </cell>
          <cell r="S1314" t="str">
            <v>AUTO SCOUT</v>
          </cell>
          <cell r="T1314" t="str">
            <v>DONI</v>
          </cell>
          <cell r="U1314">
            <v>933682</v>
          </cell>
          <cell r="V1314" t="str">
            <v>3 8 3 4 9 3 2 5 7 0 3</v>
          </cell>
          <cell r="W1314" t="str">
            <v xml:space="preserve"> HYZRI TALLA OB 16 HY 1 NR 18
 Kosovë</v>
          </cell>
          <cell r="X1314">
            <v>1336</v>
          </cell>
          <cell r="AB1314">
            <v>1528</v>
          </cell>
          <cell r="AC1314">
            <v>6979</v>
          </cell>
          <cell r="AD1314">
            <v>1871</v>
          </cell>
          <cell r="AE1314">
            <v>8850</v>
          </cell>
        </row>
        <row r="1315">
          <cell r="A1315">
            <v>1315</v>
          </cell>
          <cell r="B1315">
            <v>46288</v>
          </cell>
          <cell r="C1315" t="str">
            <v>Benz CLS</v>
          </cell>
          <cell r="D1315" t="str">
            <v>Benz</v>
          </cell>
          <cell r="E1315" t="str">
            <v>CLS</v>
          </cell>
          <cell r="G1315" t="str">
            <v>109나7704</v>
          </cell>
          <cell r="H1315" t="str">
            <v>WDDLJ9HB0GA172205</v>
          </cell>
          <cell r="I1315">
            <v>46293</v>
          </cell>
          <cell r="J1315" t="str">
            <v>개인매입-권명국- 010 3559 1752</v>
          </cell>
          <cell r="L1315" t="str">
            <v>잔금</v>
          </cell>
          <cell r="M1315" t="str">
            <v>100만원 계약금 계약</v>
          </cell>
          <cell r="N1315">
            <v>1170</v>
          </cell>
          <cell r="P1315">
            <v>0</v>
          </cell>
          <cell r="Q1315" t="str">
            <v>done</v>
          </cell>
          <cell r="R1315">
            <v>46297</v>
          </cell>
          <cell r="S1315" t="str">
            <v>CALJA</v>
          </cell>
          <cell r="T1315" t="str">
            <v>CEPI ILMI</v>
          </cell>
          <cell r="U1315" t="str">
            <v>J00213020C</v>
          </cell>
          <cell r="V1315" t="str">
            <v>355 69 550 5533</v>
          </cell>
          <cell r="W1315" t="str">
            <v>Albania</v>
          </cell>
          <cell r="X1315">
            <v>1336</v>
          </cell>
          <cell r="AB1315">
            <v>1528</v>
          </cell>
          <cell r="AC1315">
            <v>7366</v>
          </cell>
          <cell r="AD1315">
            <v>1784</v>
          </cell>
          <cell r="AE1315">
            <v>9150</v>
          </cell>
          <cell r="AF1315">
            <v>9000</v>
          </cell>
        </row>
        <row r="1316">
          <cell r="A1316">
            <v>1316</v>
          </cell>
          <cell r="B1316">
            <v>46288</v>
          </cell>
          <cell r="C1316" t="str">
            <v>RENAULT CLIO</v>
          </cell>
          <cell r="D1316" t="str">
            <v>RENAULT</v>
          </cell>
          <cell r="E1316" t="str">
            <v>CLIO</v>
          </cell>
          <cell r="G1316" t="str">
            <v>20저6133</v>
          </cell>
          <cell r="H1316" t="str">
            <v>VF1S87008KW641471</v>
          </cell>
          <cell r="I1316" t="str">
            <v>천안ㄴ</v>
          </cell>
          <cell r="J1316" t="str">
            <v>㈜에스카</v>
          </cell>
          <cell r="L1316" t="str">
            <v>잔금</v>
          </cell>
          <cell r="M1316">
            <v>4</v>
          </cell>
          <cell r="N1316">
            <v>800</v>
          </cell>
          <cell r="P1316">
            <v>0</v>
          </cell>
          <cell r="Q1316" t="str">
            <v>done</v>
          </cell>
          <cell r="R1316">
            <v>46297</v>
          </cell>
          <cell r="S1316" t="str">
            <v>AUTO SCOUT</v>
          </cell>
          <cell r="T1316" t="str">
            <v>DONI</v>
          </cell>
          <cell r="U1316">
            <v>933682</v>
          </cell>
          <cell r="V1316" t="str">
            <v>3 8 3 4 9 3 2 5 7 0 3</v>
          </cell>
          <cell r="W1316" t="str">
            <v xml:space="preserve"> HYZRI TALLA OB 16 HY 1 NR 18
 Kosovë</v>
          </cell>
          <cell r="AB1316">
            <v>1528</v>
          </cell>
          <cell r="AC1316">
            <v>5116</v>
          </cell>
          <cell r="AD1316">
            <v>1784</v>
          </cell>
          <cell r="AE1316">
            <v>6900</v>
          </cell>
        </row>
        <row r="1317">
          <cell r="A1317">
            <v>1317</v>
          </cell>
          <cell r="B1317">
            <v>46288</v>
          </cell>
          <cell r="C1317" t="str">
            <v>BMW 520D</v>
          </cell>
          <cell r="D1317" t="str">
            <v>BMW</v>
          </cell>
          <cell r="E1317" t="str">
            <v>520D</v>
          </cell>
          <cell r="G1317" t="str">
            <v>369루6514</v>
          </cell>
          <cell r="H1317" t="str">
            <v>WBAJC3103HG466596</v>
          </cell>
          <cell r="I1317">
            <v>46293</v>
          </cell>
          <cell r="J1317" t="str">
            <v>㈜ 드림카마켓</v>
          </cell>
          <cell r="L1317" t="str">
            <v>잔금</v>
          </cell>
          <cell r="M1317" t="str">
            <v>70만원 대표님 계약</v>
          </cell>
          <cell r="N1317">
            <v>1860</v>
          </cell>
          <cell r="P1317">
            <v>0</v>
          </cell>
          <cell r="Q1317" t="str">
            <v>done</v>
          </cell>
          <cell r="R1317">
            <v>46297</v>
          </cell>
          <cell r="S1317" t="str">
            <v>ATLAS GROUP SH.P.K</v>
          </cell>
          <cell r="T1317" t="str">
            <v>ATLAS GROUP SH.P.K</v>
          </cell>
          <cell r="U1317">
            <v>812137455</v>
          </cell>
          <cell r="V1317" t="str">
            <v>+38348702207</v>
          </cell>
          <cell r="W1317" t="str">
            <v>Xhelal Hajda, p.n. Rahovec</v>
          </cell>
          <cell r="X1317">
            <v>1356</v>
          </cell>
          <cell r="AB1317">
            <v>1546</v>
          </cell>
          <cell r="AC1317">
            <v>11510</v>
          </cell>
          <cell r="AD1317">
            <v>1790</v>
          </cell>
          <cell r="AE1317">
            <v>13300</v>
          </cell>
          <cell r="AF1317">
            <v>13300</v>
          </cell>
        </row>
        <row r="1318">
          <cell r="A1318">
            <v>1318</v>
          </cell>
          <cell r="B1318">
            <v>46288</v>
          </cell>
          <cell r="C1318" t="str">
            <v>VOLKSWAGEN TIGUAN</v>
          </cell>
          <cell r="D1318" t="str">
            <v>VOLKSWAGEN</v>
          </cell>
          <cell r="E1318" t="str">
            <v>TIGUAN</v>
          </cell>
          <cell r="G1318" t="str">
            <v>293두3751</v>
          </cell>
          <cell r="H1318" t="str">
            <v>WVGZZZ5NZMW542814</v>
          </cell>
          <cell r="I1318">
            <v>46293</v>
          </cell>
          <cell r="J1318" t="str">
            <v>㈜카스토어</v>
          </cell>
          <cell r="L1318" t="str">
            <v>잔금</v>
          </cell>
          <cell r="M1318" t="str">
            <v>100만원 대표님 계약</v>
          </cell>
          <cell r="N1318">
            <v>2390</v>
          </cell>
          <cell r="P1318">
            <v>0</v>
          </cell>
          <cell r="Q1318" t="str">
            <v>done</v>
          </cell>
          <cell r="R1318">
            <v>46297</v>
          </cell>
          <cell r="S1318" t="str">
            <v>R.S.h L.L.C.</v>
          </cell>
          <cell r="T1318" t="str">
            <v>R.Sh L.L.C.</v>
          </cell>
          <cell r="U1318">
            <v>206557008</v>
          </cell>
          <cell r="V1318" t="str">
            <v>359 89 936 8386</v>
          </cell>
          <cell r="W1318" t="str">
            <v>ul. Sokolna 47
1444 Sofia
Bulgaria</v>
          </cell>
          <cell r="X1318">
            <v>1356</v>
          </cell>
          <cell r="AB1318">
            <v>1543</v>
          </cell>
          <cell r="AC1318">
            <v>14780</v>
          </cell>
          <cell r="AD1318">
            <v>1860</v>
          </cell>
          <cell r="AE1318">
            <v>16640</v>
          </cell>
        </row>
        <row r="1319">
          <cell r="A1319">
            <v>1319</v>
          </cell>
          <cell r="B1319">
            <v>46289</v>
          </cell>
          <cell r="C1319" t="str">
            <v>HYUNDAI SANTAFE</v>
          </cell>
          <cell r="D1319" t="str">
            <v>HYUNDAI</v>
          </cell>
          <cell r="E1319" t="str">
            <v>SANTAFE</v>
          </cell>
          <cell r="G1319" t="str">
            <v>330우1213</v>
          </cell>
          <cell r="H1319" t="str">
            <v>KMHS381BBKU005835</v>
          </cell>
          <cell r="I1319">
            <v>46293</v>
          </cell>
          <cell r="J1319" t="str">
            <v>㈜아뜰중고차</v>
          </cell>
          <cell r="L1319" t="str">
            <v>잔금</v>
          </cell>
          <cell r="M1319" t="str">
            <v>100만원 대표님 계약</v>
          </cell>
          <cell r="N1319">
            <v>1570</v>
          </cell>
          <cell r="P1319">
            <v>0</v>
          </cell>
          <cell r="Q1319" t="str">
            <v>done</v>
          </cell>
          <cell r="R1319">
            <v>46297</v>
          </cell>
          <cell r="S1319" t="str">
            <v>Auto Posh SH.P.K</v>
          </cell>
          <cell r="T1319" t="str">
            <v>Auto Posh SH.P.K</v>
          </cell>
          <cell r="U1319">
            <v>812219427</v>
          </cell>
          <cell r="V1319" t="str">
            <v>38345560145</v>
          </cell>
          <cell r="W1319" t="str">
            <v>KOSOVO</v>
          </cell>
          <cell r="X1319">
            <v>1356</v>
          </cell>
          <cell r="AB1319">
            <v>1546</v>
          </cell>
          <cell r="AC1319">
            <v>9693</v>
          </cell>
          <cell r="AD1319">
            <v>1877</v>
          </cell>
          <cell r="AE1319">
            <v>11570</v>
          </cell>
        </row>
        <row r="1320">
          <cell r="A1320">
            <v>1320</v>
          </cell>
          <cell r="B1320">
            <v>46289</v>
          </cell>
          <cell r="C1320" t="str">
            <v>VOLKSWAGEN TIGUAN</v>
          </cell>
          <cell r="D1320" t="str">
            <v>VOLKSWAGEN</v>
          </cell>
          <cell r="E1320" t="str">
            <v>TIGUAN</v>
          </cell>
          <cell r="G1320" t="str">
            <v>18우5876</v>
          </cell>
          <cell r="H1320" t="str">
            <v>WVGZZZ5NZJW964408</v>
          </cell>
          <cell r="I1320">
            <v>46293</v>
          </cell>
          <cell r="J1320" t="str">
            <v>㈜왓카</v>
          </cell>
          <cell r="L1320" t="str">
            <v>잔금</v>
          </cell>
          <cell r="M1320" t="str">
            <v>70만원 대표님 계약</v>
          </cell>
          <cell r="N1320">
            <v>1970</v>
          </cell>
          <cell r="P1320">
            <v>0</v>
          </cell>
          <cell r="Q1320" t="str">
            <v>done</v>
          </cell>
          <cell r="R1320">
            <v>46297</v>
          </cell>
          <cell r="S1320" t="str">
            <v>Auto Posh SH.P.K</v>
          </cell>
          <cell r="T1320" t="str">
            <v>Auto Posh SH.P.K</v>
          </cell>
          <cell r="U1320">
            <v>812219427</v>
          </cell>
          <cell r="V1320" t="str">
            <v>38345560145</v>
          </cell>
          <cell r="W1320" t="str">
            <v>KOSOVO</v>
          </cell>
          <cell r="X1320">
            <v>1356</v>
          </cell>
          <cell r="AB1320">
            <v>1546</v>
          </cell>
          <cell r="AC1320">
            <v>12173</v>
          </cell>
          <cell r="AD1320">
            <v>1877</v>
          </cell>
          <cell r="AE1320">
            <v>14050</v>
          </cell>
        </row>
        <row r="1321">
          <cell r="A1321">
            <v>1321</v>
          </cell>
          <cell r="B1321">
            <v>46289</v>
          </cell>
          <cell r="C1321" t="str">
            <v>Benz E220</v>
          </cell>
          <cell r="D1321" t="str">
            <v>Benz</v>
          </cell>
          <cell r="E1321" t="str">
            <v>E220</v>
          </cell>
          <cell r="G1321" t="str">
            <v>25고2048</v>
          </cell>
          <cell r="H1321" t="str">
            <v>WDDHF0AB5GB307492</v>
          </cell>
          <cell r="I1321">
            <v>46293</v>
          </cell>
          <cell r="J1321" t="str">
            <v>㈜신원자동차</v>
          </cell>
          <cell r="L1321" t="str">
            <v>잔금</v>
          </cell>
          <cell r="M1321" t="str">
            <v>50만원 대표님 계약</v>
          </cell>
          <cell r="N1321">
            <v>1000</v>
          </cell>
          <cell r="P1321">
            <v>0</v>
          </cell>
          <cell r="Q1321" t="str">
            <v>done</v>
          </cell>
          <cell r="R1321">
            <v>46297</v>
          </cell>
          <cell r="S1321" t="str">
            <v>ATLAS GROUP SH.P.K</v>
          </cell>
          <cell r="T1321" t="str">
            <v>ATLAS GROUP SH.P.K</v>
          </cell>
          <cell r="U1321">
            <v>812137455</v>
          </cell>
          <cell r="V1321" t="str">
            <v>+38348702207</v>
          </cell>
          <cell r="W1321" t="str">
            <v>Xhelal Hajda, p.n. Rahovec</v>
          </cell>
          <cell r="X1321">
            <v>1356</v>
          </cell>
          <cell r="AB1321">
            <v>1546</v>
          </cell>
          <cell r="AC1321">
            <v>6290</v>
          </cell>
          <cell r="AD1321">
            <v>1790</v>
          </cell>
          <cell r="AE1321">
            <v>8080</v>
          </cell>
          <cell r="AF1321">
            <v>8080</v>
          </cell>
        </row>
        <row r="1322">
          <cell r="A1322">
            <v>1322</v>
          </cell>
          <cell r="B1322">
            <v>46292</v>
          </cell>
          <cell r="C1322" t="str">
            <v>KIA STONIC</v>
          </cell>
          <cell r="D1322" t="str">
            <v>KIA</v>
          </cell>
          <cell r="E1322" t="str">
            <v>STONIC</v>
          </cell>
          <cell r="G1322" t="str">
            <v>49루1264</v>
          </cell>
          <cell r="H1322" t="str">
            <v>KNADB815GJS084338</v>
          </cell>
          <cell r="I1322">
            <v>46293</v>
          </cell>
          <cell r="J1322" t="str">
            <v>㈜해피온카</v>
          </cell>
          <cell r="L1322" t="str">
            <v>잔금</v>
          </cell>
          <cell r="M1322" t="str">
            <v>50만원 대표님 계약</v>
          </cell>
          <cell r="N1322">
            <v>804</v>
          </cell>
          <cell r="P1322">
            <v>0</v>
          </cell>
          <cell r="Q1322" t="str">
            <v>done</v>
          </cell>
          <cell r="R1322">
            <v>46297</v>
          </cell>
          <cell r="S1322" t="str">
            <v>R.S.h L.L.C.</v>
          </cell>
          <cell r="T1322" t="str">
            <v>R.Sh L.L.C.</v>
          </cell>
          <cell r="U1322">
            <v>206557008</v>
          </cell>
          <cell r="V1322" t="str">
            <v>359 89 936 8386</v>
          </cell>
          <cell r="W1322" t="str">
            <v>ul. Sokolna 47
1444 Sofia
Bulgaria</v>
          </cell>
          <cell r="X1322">
            <v>1356</v>
          </cell>
          <cell r="AB1322">
            <v>1543</v>
          </cell>
          <cell r="AC1322">
            <v>5100</v>
          </cell>
          <cell r="AD1322">
            <v>1790</v>
          </cell>
          <cell r="AE1322">
            <v>6890</v>
          </cell>
        </row>
        <row r="1323">
          <cell r="A1323">
            <v>1323</v>
          </cell>
          <cell r="B1323">
            <v>46292</v>
          </cell>
          <cell r="C1323" t="str">
            <v>BMW ACTIVE TOURER</v>
          </cell>
          <cell r="D1323" t="str">
            <v>BMW</v>
          </cell>
          <cell r="E1323" t="str">
            <v>ACTIVE TOURER</v>
          </cell>
          <cell r="G1323" t="str">
            <v>228부5965</v>
          </cell>
          <cell r="H1323" t="str">
            <v>WBA6T9106M7J19718</v>
          </cell>
          <cell r="I1323">
            <v>46293</v>
          </cell>
          <cell r="J1323" t="str">
            <v>㈜수호모터스</v>
          </cell>
          <cell r="L1323" t="str">
            <v>잔금</v>
          </cell>
          <cell r="M1323" t="str">
            <v>50만원 대표님 계약</v>
          </cell>
          <cell r="N1323">
            <v>1184</v>
          </cell>
          <cell r="P1323">
            <v>0</v>
          </cell>
          <cell r="Q1323" t="str">
            <v>done</v>
          </cell>
          <cell r="R1323">
            <v>46297</v>
          </cell>
          <cell r="S1323" t="str">
            <v>R.S.h L.L.C.</v>
          </cell>
          <cell r="T1323" t="str">
            <v>R.Sh L.L.C.</v>
          </cell>
          <cell r="U1323">
            <v>206557008</v>
          </cell>
          <cell r="V1323" t="str">
            <v>359 89 936 8386</v>
          </cell>
          <cell r="W1323" t="str">
            <v>ul. Sokolna 47
1444 Sofia
Bulgaria</v>
          </cell>
          <cell r="X1323">
            <v>1356</v>
          </cell>
          <cell r="AB1323">
            <v>1543</v>
          </cell>
          <cell r="AC1323">
            <v>7340</v>
          </cell>
          <cell r="AD1323">
            <v>1790</v>
          </cell>
          <cell r="AE1323">
            <v>9130</v>
          </cell>
        </row>
        <row r="1324">
          <cell r="A1324">
            <v>1324</v>
          </cell>
          <cell r="B1324">
            <v>46292</v>
          </cell>
          <cell r="C1324" t="str">
            <v>AUDI A6</v>
          </cell>
          <cell r="D1324" t="str">
            <v>AUDI</v>
          </cell>
          <cell r="E1324" t="str">
            <v>A6</v>
          </cell>
          <cell r="G1324" t="str">
            <v>25거4358</v>
          </cell>
          <cell r="H1324" t="str">
            <v xml:space="preserve"> WAUZZZ4G4JN121723</v>
          </cell>
          <cell r="J1324" t="str">
            <v>경매장-헤이딜러</v>
          </cell>
          <cell r="L1324" t="str">
            <v>잔금</v>
          </cell>
          <cell r="N1324">
            <v>1214</v>
          </cell>
          <cell r="P1324">
            <v>0</v>
          </cell>
          <cell r="Q1324" t="str">
            <v>DONE</v>
          </cell>
          <cell r="R1324">
            <v>46315</v>
          </cell>
          <cell r="S1324" t="str">
            <v>AUTO SCOUT</v>
          </cell>
          <cell r="T1324" t="str">
            <v>DONI</v>
          </cell>
          <cell r="U1324">
            <v>933682</v>
          </cell>
          <cell r="V1324" t="str">
            <v>3 8 3 4 9 3 2 5 7 0 3</v>
          </cell>
          <cell r="W1324" t="str">
            <v xml:space="preserve"> HYZRI TALLA OB 16 HY 1 NR 18
 Kosovë</v>
          </cell>
          <cell r="X1324">
            <v>1322</v>
          </cell>
          <cell r="AB1324">
            <v>1484</v>
          </cell>
          <cell r="AC1324">
            <v>8063</v>
          </cell>
          <cell r="AD1324">
            <v>1817</v>
          </cell>
          <cell r="AE1324">
            <v>9880</v>
          </cell>
        </row>
        <row r="1325">
          <cell r="A1325">
            <v>1325</v>
          </cell>
          <cell r="B1325">
            <v>46292</v>
          </cell>
          <cell r="C1325" t="str">
            <v>AUDI A6</v>
          </cell>
          <cell r="D1325" t="str">
            <v>AUDI</v>
          </cell>
          <cell r="E1325" t="str">
            <v>A6</v>
          </cell>
          <cell r="G1325" t="str">
            <v>47모0234</v>
          </cell>
          <cell r="H1325" t="str">
            <v>WAUZZZ4G7GN186056</v>
          </cell>
          <cell r="J1325" t="str">
            <v>경매장-헤이딜러</v>
          </cell>
          <cell r="L1325" t="str">
            <v>cancel</v>
          </cell>
          <cell r="N1325">
            <v>804</v>
          </cell>
          <cell r="P1325">
            <v>0</v>
          </cell>
          <cell r="R1325" t="str">
            <v>대기</v>
          </cell>
          <cell r="S1325" t="str">
            <v>Auto Posh SH.P.K</v>
          </cell>
          <cell r="T1325" t="str">
            <v>Auto Posh SH.P.K</v>
          </cell>
          <cell r="U1325">
            <v>812219427</v>
          </cell>
          <cell r="V1325" t="str">
            <v>38345560145</v>
          </cell>
          <cell r="W1325" t="str">
            <v>KOSOVO</v>
          </cell>
          <cell r="AC1325">
            <v>0</v>
          </cell>
        </row>
        <row r="1326">
          <cell r="A1326">
            <v>1326</v>
          </cell>
          <cell r="B1326">
            <v>46292</v>
          </cell>
          <cell r="C1326" t="str">
            <v>BMW 520D</v>
          </cell>
          <cell r="D1326" t="str">
            <v>BMW</v>
          </cell>
          <cell r="E1326" t="str">
            <v>520D</v>
          </cell>
          <cell r="G1326" t="str">
            <v>378주9081</v>
          </cell>
          <cell r="H1326" t="str">
            <v xml:space="preserve">WBAJC3100JWB77660 </v>
          </cell>
          <cell r="J1326" t="str">
            <v>경매장-헤이딜러</v>
          </cell>
          <cell r="L1326" t="str">
            <v>잔금</v>
          </cell>
          <cell r="N1326">
            <v>1529</v>
          </cell>
          <cell r="P1326">
            <v>0</v>
          </cell>
          <cell r="Q1326" t="str">
            <v>HEYMAN</v>
          </cell>
          <cell r="S1326" t="str">
            <v>AUTO SCOUT</v>
          </cell>
          <cell r="T1326" t="str">
            <v>DONI</v>
          </cell>
          <cell r="U1326">
            <v>933682</v>
          </cell>
          <cell r="V1326" t="str">
            <v>3 8 3 4 9 3 2 5 7 0 3</v>
          </cell>
          <cell r="W1326" t="str">
            <v xml:space="preserve"> HYZRI TALLA OB 16 HY 1 NR 18
 Kosovë</v>
          </cell>
          <cell r="AC1326">
            <v>0</v>
          </cell>
        </row>
        <row r="1327">
          <cell r="A1327">
            <v>1327</v>
          </cell>
          <cell r="B1327">
            <v>46294</v>
          </cell>
          <cell r="C1327" t="str">
            <v>BENZ CLS 63</v>
          </cell>
          <cell r="D1327" t="str">
            <v>BENZ</v>
          </cell>
          <cell r="E1327" t="str">
            <v>CLS 63</v>
          </cell>
          <cell r="G1327" t="str">
            <v>302우2850</v>
          </cell>
          <cell r="H1327" t="str">
            <v>WDDLJ7EBXDA079583</v>
          </cell>
          <cell r="I1327">
            <v>46301</v>
          </cell>
          <cell r="J1327" t="str">
            <v>㈜청학 emotor</v>
          </cell>
          <cell r="L1327" t="str">
            <v>잔금</v>
          </cell>
          <cell r="M1327" t="str">
            <v>50만원 회사 통장 계약</v>
          </cell>
          <cell r="N1327">
            <v>1900</v>
          </cell>
          <cell r="P1327">
            <v>0</v>
          </cell>
          <cell r="Q1327" t="str">
            <v>done</v>
          </cell>
          <cell r="R1327">
            <v>46303</v>
          </cell>
          <cell r="S1327" t="str">
            <v>HYSA</v>
          </cell>
          <cell r="T1327" t="str">
            <v>Gazment hysa</v>
          </cell>
          <cell r="U1327" t="str">
            <v>M63302203K</v>
          </cell>
          <cell r="V1327" t="str">
            <v>355 69 690 2972</v>
          </cell>
          <cell r="W1327" t="str">
            <v>Albania</v>
          </cell>
          <cell r="X1327">
            <v>1347</v>
          </cell>
          <cell r="AB1327">
            <v>1547</v>
          </cell>
          <cell r="AC1327">
            <v>11760</v>
          </cell>
          <cell r="AF1327">
            <v>11760</v>
          </cell>
        </row>
        <row r="1328">
          <cell r="A1328">
            <v>1328</v>
          </cell>
          <cell r="B1328">
            <v>46294</v>
          </cell>
          <cell r="C1328" t="str">
            <v>BENZ C220</v>
          </cell>
          <cell r="D1328" t="str">
            <v>BENZ</v>
          </cell>
          <cell r="E1328" t="str">
            <v>C220</v>
          </cell>
          <cell r="G1328" t="str">
            <v>27나0678</v>
          </cell>
          <cell r="H1328" t="str">
            <v>WDDWF0EB2GF227237</v>
          </cell>
          <cell r="I1328">
            <v>46301</v>
          </cell>
          <cell r="J1328" t="str">
            <v>㈜에이플러스모터스</v>
          </cell>
          <cell r="L1328" t="str">
            <v>잔금</v>
          </cell>
          <cell r="M1328" t="str">
            <v>50만원 회사 통장 계약</v>
          </cell>
          <cell r="N1328">
            <v>870</v>
          </cell>
          <cell r="P1328">
            <v>0</v>
          </cell>
          <cell r="Q1328" t="str">
            <v>done</v>
          </cell>
          <cell r="R1328">
            <v>46303</v>
          </cell>
          <cell r="S1328" t="str">
            <v>HYSA</v>
          </cell>
          <cell r="T1328" t="str">
            <v>Gazment hysa</v>
          </cell>
          <cell r="U1328" t="str">
            <v>M63302203K</v>
          </cell>
          <cell r="V1328" t="str">
            <v>355 69 690 2972</v>
          </cell>
          <cell r="W1328" t="str">
            <v>Albania</v>
          </cell>
          <cell r="X1328">
            <v>1347</v>
          </cell>
          <cell r="AB1328">
            <v>1547</v>
          </cell>
          <cell r="AC1328">
            <v>5560</v>
          </cell>
          <cell r="AF1328">
            <v>5560</v>
          </cell>
        </row>
        <row r="1329">
          <cell r="A1329">
            <v>1329</v>
          </cell>
          <cell r="B1329">
            <v>46294</v>
          </cell>
          <cell r="C1329" t="str">
            <v>AUDI A5</v>
          </cell>
          <cell r="D1329" t="str">
            <v>AUDI</v>
          </cell>
          <cell r="E1329" t="str">
            <v>A5</v>
          </cell>
          <cell r="G1329" t="str">
            <v>48누4491</v>
          </cell>
          <cell r="H1329" t="str">
            <v>WAUZZZ8T8DA031929</v>
          </cell>
          <cell r="I1329">
            <v>46301</v>
          </cell>
          <cell r="J1329" t="str">
            <v>㈜카팡</v>
          </cell>
          <cell r="L1329" t="str">
            <v>잔금</v>
          </cell>
          <cell r="M1329" t="str">
            <v>50만원 회사 통장 계약</v>
          </cell>
          <cell r="N1329">
            <v>520</v>
          </cell>
          <cell r="P1329">
            <v>0</v>
          </cell>
          <cell r="Q1329" t="str">
            <v>done</v>
          </cell>
          <cell r="R1329">
            <v>46303</v>
          </cell>
          <cell r="S1329" t="str">
            <v>HYSA</v>
          </cell>
          <cell r="T1329" t="str">
            <v>Gazment hysa</v>
          </cell>
          <cell r="U1329" t="str">
            <v>M63302203K</v>
          </cell>
          <cell r="V1329" t="str">
            <v>355 69 690 2972</v>
          </cell>
          <cell r="W1329" t="str">
            <v>Albania</v>
          </cell>
          <cell r="X1329">
            <v>1347</v>
          </cell>
          <cell r="AB1329">
            <v>1547</v>
          </cell>
          <cell r="AC1329">
            <v>3440</v>
          </cell>
          <cell r="AF1329">
            <v>3440</v>
          </cell>
        </row>
        <row r="1330">
          <cell r="A1330">
            <v>1330</v>
          </cell>
          <cell r="B1330">
            <v>46294</v>
          </cell>
          <cell r="C1330" t="str">
            <v>BENZ CLS</v>
          </cell>
          <cell r="D1330" t="str">
            <v>BENZ</v>
          </cell>
          <cell r="E1330" t="str">
            <v>CLS</v>
          </cell>
          <cell r="G1330" t="str">
            <v>17보0132</v>
          </cell>
          <cell r="H1330" t="str">
            <v>WDDSJ5CB2GN308886</v>
          </cell>
          <cell r="J1330" t="str">
            <v>㈜코리아모터스</v>
          </cell>
          <cell r="L1330" t="str">
            <v>잔금</v>
          </cell>
          <cell r="M1330" t="str">
            <v>50만원 대표님 계약</v>
          </cell>
          <cell r="N1330">
            <v>1320</v>
          </cell>
          <cell r="P1330">
            <v>0</v>
          </cell>
          <cell r="Q1330" t="str">
            <v>done</v>
          </cell>
          <cell r="R1330">
            <v>46297</v>
          </cell>
          <cell r="S1330" t="str">
            <v>Auto Posh SH.P.K</v>
          </cell>
          <cell r="T1330" t="str">
            <v>Auto Posh SH.P.K</v>
          </cell>
          <cell r="U1330">
            <v>812219427</v>
          </cell>
          <cell r="V1330" t="str">
            <v>38345560145</v>
          </cell>
          <cell r="W1330" t="str">
            <v>KOSOVO</v>
          </cell>
          <cell r="AC1330">
            <v>8220</v>
          </cell>
          <cell r="AD1330">
            <v>1750</v>
          </cell>
          <cell r="AE1330">
            <v>9970</v>
          </cell>
          <cell r="AF1330">
            <v>9970</v>
          </cell>
        </row>
        <row r="1331">
          <cell r="A1331">
            <v>1331</v>
          </cell>
          <cell r="B1331">
            <v>46294</v>
          </cell>
          <cell r="C1331" t="str">
            <v>BENZ E220D</v>
          </cell>
          <cell r="D1331" t="str">
            <v>BENZ</v>
          </cell>
          <cell r="E1331" t="str">
            <v>E220D</v>
          </cell>
          <cell r="G1331" t="str">
            <v>07주1383</v>
          </cell>
          <cell r="H1331" t="str">
            <v xml:space="preserve">WDDZF0EB4HA190011 </v>
          </cell>
          <cell r="I1331">
            <v>46294</v>
          </cell>
          <cell r="L1331" t="str">
            <v>잔금</v>
          </cell>
          <cell r="M1331" t="str">
            <v>70만원 대표님 계약</v>
          </cell>
          <cell r="N1331">
            <v>1620</v>
          </cell>
          <cell r="P1331">
            <v>0</v>
          </cell>
          <cell r="Q1331" t="str">
            <v>done</v>
          </cell>
          <cell r="R1331" t="str">
            <v>CON 17</v>
          </cell>
          <cell r="S1331" t="str">
            <v>EASY DRIVE</v>
          </cell>
          <cell r="T1331" t="str">
            <v>Easy Drive LTD</v>
          </cell>
          <cell r="U1331">
            <v>206557008</v>
          </cell>
          <cell r="V1331" t="str">
            <v>359 89 936 8386</v>
          </cell>
          <cell r="W1331" t="str">
            <v>ul. Sokolna 47
1444 Sofia
Bulgaria</v>
          </cell>
          <cell r="AC1331">
            <v>15490800</v>
          </cell>
        </row>
        <row r="1332">
          <cell r="A1332">
            <v>1332</v>
          </cell>
          <cell r="B1332">
            <v>46294</v>
          </cell>
          <cell r="C1332" t="str">
            <v>AUDI A7</v>
          </cell>
          <cell r="D1332" t="str">
            <v>AUDI</v>
          </cell>
          <cell r="E1332" t="str">
            <v>A7</v>
          </cell>
          <cell r="G1332" t="str">
            <v>55로0256</v>
          </cell>
          <cell r="H1332" t="str">
            <v xml:space="preserve">WAUZZZ4GXGN173513 </v>
          </cell>
          <cell r="I1332">
            <v>46303</v>
          </cell>
          <cell r="J1332" t="str">
            <v>㈜우성 모터스</v>
          </cell>
          <cell r="L1332" t="str">
            <v>잔금</v>
          </cell>
          <cell r="M1332" t="str">
            <v>70만원 대표님 계약</v>
          </cell>
          <cell r="N1332">
            <v>1170</v>
          </cell>
          <cell r="P1332">
            <v>0</v>
          </cell>
          <cell r="Q1332" t="str">
            <v>done</v>
          </cell>
          <cell r="R1332">
            <v>46315</v>
          </cell>
          <cell r="S1332" t="str">
            <v>RIZA</v>
          </cell>
          <cell r="T1332" t="str">
            <v>Riza Qosja</v>
          </cell>
          <cell r="U1332" t="str">
            <v>M33304205K</v>
          </cell>
          <cell r="V1332" t="str">
            <v>355 682769063</v>
          </cell>
          <cell r="W1332" t="str">
            <v>Albania</v>
          </cell>
          <cell r="X1332">
            <v>1347</v>
          </cell>
          <cell r="AB1332">
            <v>1547</v>
          </cell>
          <cell r="AC1332">
            <v>7404</v>
          </cell>
          <cell r="AD1332">
            <v>1776</v>
          </cell>
          <cell r="AE1332">
            <v>9180</v>
          </cell>
          <cell r="AF1332">
            <v>9180</v>
          </cell>
        </row>
        <row r="1333">
          <cell r="A1333">
            <v>1333</v>
          </cell>
          <cell r="B1333">
            <v>46294</v>
          </cell>
          <cell r="C1333" t="str">
            <v>VOLKSWAGEN TIGUAN</v>
          </cell>
          <cell r="D1333" t="str">
            <v>VOLKSWAGEN</v>
          </cell>
          <cell r="E1333" t="str">
            <v>TIGUAN</v>
          </cell>
          <cell r="G1333" t="str">
            <v>50가6466</v>
          </cell>
          <cell r="H1333" t="str">
            <v>WVGZZZ5NZFW557388</v>
          </cell>
          <cell r="I1333">
            <v>46301</v>
          </cell>
          <cell r="L1333" t="str">
            <v>잔금</v>
          </cell>
          <cell r="M1333" t="str">
            <v>50만원 대표님 계약</v>
          </cell>
          <cell r="N1333">
            <v>560</v>
          </cell>
          <cell r="P1333">
            <v>0</v>
          </cell>
          <cell r="Q1333" t="str">
            <v>done</v>
          </cell>
          <cell r="R1333">
            <v>46303</v>
          </cell>
          <cell r="S1333" t="str">
            <v>HYSA</v>
          </cell>
          <cell r="T1333" t="str">
            <v>Gazment hysa</v>
          </cell>
          <cell r="U1333" t="str">
            <v>M63302203K</v>
          </cell>
          <cell r="V1333" t="str">
            <v>355 69 690 2972</v>
          </cell>
          <cell r="W1333" t="str">
            <v>Albania</v>
          </cell>
          <cell r="X1333">
            <v>1347</v>
          </cell>
          <cell r="AB1333">
            <v>1547</v>
          </cell>
          <cell r="AC1333">
            <v>3720</v>
          </cell>
          <cell r="AF1333">
            <v>3720</v>
          </cell>
        </row>
        <row r="1334">
          <cell r="A1334">
            <v>1334</v>
          </cell>
          <cell r="B1334">
            <v>46294</v>
          </cell>
          <cell r="C1334" t="str">
            <v>BENZ C220D</v>
          </cell>
          <cell r="D1334" t="str">
            <v>BENZ</v>
          </cell>
          <cell r="E1334" t="str">
            <v>C220D</v>
          </cell>
          <cell r="G1334" t="str">
            <v>40조8338</v>
          </cell>
          <cell r="H1334" t="str">
            <v>WDDGF0CB8CA704011</v>
          </cell>
          <cell r="I1334">
            <v>46294</v>
          </cell>
          <cell r="L1334" t="str">
            <v>잔금</v>
          </cell>
          <cell r="M1334" t="str">
            <v>50만원 대표님 계약</v>
          </cell>
          <cell r="N1334">
            <v>580</v>
          </cell>
          <cell r="P1334">
            <v>0</v>
          </cell>
          <cell r="Q1334" t="str">
            <v>done</v>
          </cell>
          <cell r="R1334" t="str">
            <v>CON 17</v>
          </cell>
          <cell r="S1334" t="str">
            <v>EASY DRIVE</v>
          </cell>
          <cell r="T1334" t="str">
            <v>Easy Drive LTD</v>
          </cell>
          <cell r="U1334">
            <v>206557008</v>
          </cell>
          <cell r="V1334" t="str">
            <v>359 89 936 8386</v>
          </cell>
          <cell r="W1334" t="str">
            <v>ul. Sokolna 47
1444 Sofia
Bulgaria</v>
          </cell>
          <cell r="AC1334">
            <v>6100000</v>
          </cell>
        </row>
        <row r="1335">
          <cell r="A1335">
            <v>1335</v>
          </cell>
          <cell r="B1335">
            <v>46294</v>
          </cell>
          <cell r="C1335" t="str">
            <v>HYUNDAI SANTAFE</v>
          </cell>
          <cell r="D1335" t="str">
            <v>HYUNDAI</v>
          </cell>
          <cell r="E1335" t="str">
            <v>SANTAFE</v>
          </cell>
          <cell r="G1335" t="str">
            <v>47어9534</v>
          </cell>
          <cell r="H1335" t="str">
            <v>KMHSW81XDFU460601</v>
          </cell>
          <cell r="I1335">
            <v>46297</v>
          </cell>
          <cell r="J1335" t="str">
            <v>㈜오토베이</v>
          </cell>
          <cell r="L1335" t="str">
            <v>잔금</v>
          </cell>
          <cell r="M1335" t="str">
            <v>50만원 대표님 계약</v>
          </cell>
          <cell r="N1335">
            <v>1030</v>
          </cell>
          <cell r="P1335">
            <v>0</v>
          </cell>
          <cell r="Q1335" t="str">
            <v>CONTAINER</v>
          </cell>
          <cell r="S1335" t="str">
            <v>CALJA</v>
          </cell>
          <cell r="T1335" t="str">
            <v>MALKA ALDO</v>
          </cell>
          <cell r="U1335" t="str">
            <v>J21110091W</v>
          </cell>
          <cell r="V1335" t="str">
            <v>355 69 550 5533</v>
          </cell>
          <cell r="W1335" t="str">
            <v>Albania</v>
          </cell>
          <cell r="X1335">
            <v>1347</v>
          </cell>
          <cell r="AB1335">
            <v>1547</v>
          </cell>
          <cell r="AC1335">
            <v>6480</v>
          </cell>
          <cell r="AF1335">
            <v>8500</v>
          </cell>
        </row>
        <row r="1336">
          <cell r="A1336">
            <v>1336</v>
          </cell>
          <cell r="B1336">
            <v>46294</v>
          </cell>
          <cell r="C1336" t="str">
            <v>BMW X4</v>
          </cell>
          <cell r="D1336" t="str">
            <v>BMW</v>
          </cell>
          <cell r="E1336" t="str">
            <v>X4</v>
          </cell>
          <cell r="G1336" t="str">
            <v>06수5429</v>
          </cell>
          <cell r="H1336" t="str">
            <v>WBAXX1104H0W13357</v>
          </cell>
          <cell r="I1336">
            <v>46294</v>
          </cell>
          <cell r="J1336" t="str">
            <v>㈜카베이</v>
          </cell>
          <cell r="L1336" t="str">
            <v>잔금</v>
          </cell>
          <cell r="N1336">
            <v>1614</v>
          </cell>
          <cell r="P1336">
            <v>0</v>
          </cell>
          <cell r="Q1336" t="str">
            <v>done</v>
          </cell>
          <cell r="R1336">
            <v>46297</v>
          </cell>
          <cell r="S1336" t="str">
            <v>R.S.h L.L.C.</v>
          </cell>
          <cell r="T1336" t="str">
            <v>R.Sh L.L.C.</v>
          </cell>
          <cell r="U1336">
            <v>206557008</v>
          </cell>
          <cell r="V1336" t="str">
            <v>359 89 936 8386</v>
          </cell>
          <cell r="W1336" t="str">
            <v>ul. Sokolna 47
1444 Sofia
Bulgaria</v>
          </cell>
          <cell r="AC1336">
            <v>11870</v>
          </cell>
          <cell r="AE1336">
            <v>11870</v>
          </cell>
        </row>
        <row r="1337">
          <cell r="A1337">
            <v>1337</v>
          </cell>
          <cell r="B1337">
            <v>46294</v>
          </cell>
          <cell r="C1337" t="str">
            <v>VOLKSWAGEN PASSAT</v>
          </cell>
          <cell r="D1337" t="str">
            <v>VOLKSWAGEN</v>
          </cell>
          <cell r="E1337" t="str">
            <v>PASSAT</v>
          </cell>
          <cell r="G1337" t="str">
            <v>35로4332</v>
          </cell>
          <cell r="H1337" t="str">
            <v>1VWZZZA3ZJC048721</v>
          </cell>
          <cell r="I1337">
            <v>46294</v>
          </cell>
          <cell r="L1337" t="str">
            <v>잔금</v>
          </cell>
          <cell r="N1337">
            <v>680</v>
          </cell>
          <cell r="P1337">
            <v>0</v>
          </cell>
          <cell r="Q1337" t="str">
            <v>done</v>
          </cell>
          <cell r="R1337">
            <v>46297</v>
          </cell>
          <cell r="S1337" t="str">
            <v>R.S.h L.L.C.</v>
          </cell>
          <cell r="T1337" t="str">
            <v>R.Sh L.L.C.</v>
          </cell>
          <cell r="U1337">
            <v>206557008</v>
          </cell>
          <cell r="V1337" t="str">
            <v>359 89 936 8386</v>
          </cell>
          <cell r="W1337" t="str">
            <v>ul. Sokolna 47
1444 Sofia
Bulgaria</v>
          </cell>
          <cell r="AC1337">
            <v>6350</v>
          </cell>
          <cell r="AE1337">
            <v>6350</v>
          </cell>
        </row>
        <row r="1338">
          <cell r="A1338">
            <v>1338</v>
          </cell>
          <cell r="B1338">
            <v>46294</v>
          </cell>
          <cell r="C1338" t="str">
            <v>AUDI A8L</v>
          </cell>
          <cell r="D1338" t="str">
            <v>AUDI</v>
          </cell>
          <cell r="E1338" t="str">
            <v>A8L</v>
          </cell>
          <cell r="G1338" t="str">
            <v>366저1174</v>
          </cell>
          <cell r="H1338" t="str">
            <v xml:space="preserve">WAUZZZF84LN004488 </v>
          </cell>
          <cell r="L1338" t="str">
            <v>잔금</v>
          </cell>
          <cell r="N1338">
            <v>3800</v>
          </cell>
          <cell r="P1338">
            <v>0</v>
          </cell>
          <cell r="Q1338" t="str">
            <v>done</v>
          </cell>
          <cell r="R1338">
            <v>46297</v>
          </cell>
          <cell r="S1338" t="str">
            <v>R.S.h L.L.C.</v>
          </cell>
          <cell r="T1338" t="str">
            <v>R.Sh L.L.C.</v>
          </cell>
          <cell r="U1338">
            <v>206557008</v>
          </cell>
          <cell r="V1338" t="str">
            <v>359 89 936 8386</v>
          </cell>
          <cell r="W1338" t="str">
            <v>ul. Sokolna 47
1444 Sofia
Bulgaria</v>
          </cell>
          <cell r="AC1338">
            <v>25400</v>
          </cell>
          <cell r="AE1338">
            <v>25400</v>
          </cell>
        </row>
        <row r="1339">
          <cell r="A1339">
            <v>1339</v>
          </cell>
          <cell r="B1339">
            <v>46294</v>
          </cell>
          <cell r="C1339" t="str">
            <v>VOLKSWAGEN TIGUAN</v>
          </cell>
          <cell r="D1339" t="str">
            <v>VOLKSWAGEN</v>
          </cell>
          <cell r="E1339" t="str">
            <v>TIGUAN</v>
          </cell>
          <cell r="G1339" t="str">
            <v>109거3131</v>
          </cell>
          <cell r="H1339" t="str">
            <v>WVGZZZ5NZJW942747</v>
          </cell>
          <cell r="L1339" t="str">
            <v>잔금</v>
          </cell>
          <cell r="N1339">
            <v>1410</v>
          </cell>
          <cell r="P1339">
            <v>0</v>
          </cell>
          <cell r="Q1339" t="str">
            <v>done</v>
          </cell>
          <cell r="R1339">
            <v>46297</v>
          </cell>
          <cell r="S1339" t="str">
            <v>R.S.h L.L.C.</v>
          </cell>
          <cell r="T1339" t="str">
            <v>R.Sh L.L.C.</v>
          </cell>
          <cell r="U1339">
            <v>206557008</v>
          </cell>
          <cell r="V1339" t="str">
            <v>359 89 936 8386</v>
          </cell>
          <cell r="W1339" t="str">
            <v>ul. Sokolna 47
1444 Sofia
Bulgaria</v>
          </cell>
          <cell r="AC1339">
            <v>10620</v>
          </cell>
          <cell r="AE1339">
            <v>10620</v>
          </cell>
        </row>
        <row r="1340">
          <cell r="A1340">
            <v>1340</v>
          </cell>
          <cell r="B1340">
            <v>46294</v>
          </cell>
          <cell r="C1340" t="str">
            <v>Peugeot 3008 1.6 BlueHDi</v>
          </cell>
          <cell r="D1340" t="str">
            <v>Peugeot</v>
          </cell>
          <cell r="E1340" t="str">
            <v>3008 1.6 BlueHDi</v>
          </cell>
          <cell r="G1340" t="str">
            <v>37구9005</v>
          </cell>
          <cell r="H1340" t="str">
            <v>VF3MCBHZWJS010422</v>
          </cell>
          <cell r="L1340" t="str">
            <v>잔금</v>
          </cell>
          <cell r="N1340">
            <v>1210</v>
          </cell>
          <cell r="P1340">
            <v>0</v>
          </cell>
          <cell r="Q1340" t="str">
            <v>done</v>
          </cell>
          <cell r="R1340">
            <v>46297</v>
          </cell>
          <cell r="S1340" t="str">
            <v>Auto Posh SH.P.K</v>
          </cell>
          <cell r="T1340" t="str">
            <v>Auto Posh SH.P.K</v>
          </cell>
          <cell r="U1340">
            <v>812219427</v>
          </cell>
          <cell r="V1340" t="str">
            <v>38345560145</v>
          </cell>
          <cell r="W1340" t="str">
            <v>KOSOVO</v>
          </cell>
          <cell r="AC1340">
            <v>7650</v>
          </cell>
          <cell r="AD1340">
            <v>1750</v>
          </cell>
          <cell r="AE1340">
            <v>9400</v>
          </cell>
          <cell r="AF1340">
            <v>9400</v>
          </cell>
        </row>
        <row r="1341">
          <cell r="A1341">
            <v>1341</v>
          </cell>
          <cell r="B1341">
            <v>46294</v>
          </cell>
          <cell r="C1341" t="str">
            <v>Audi s6</v>
          </cell>
          <cell r="D1341" t="str">
            <v>Audi</v>
          </cell>
          <cell r="E1341" t="str">
            <v>s6</v>
          </cell>
          <cell r="G1341" t="str">
            <v>104모9656</v>
          </cell>
          <cell r="H1341" t="str">
            <v>WAUZZZF27LN080993</v>
          </cell>
          <cell r="I1341">
            <v>46302</v>
          </cell>
          <cell r="L1341" t="str">
            <v>잔금</v>
          </cell>
          <cell r="M1341" t="str">
            <v>100만원 대표님 계약</v>
          </cell>
          <cell r="N1341">
            <v>4750</v>
          </cell>
          <cell r="P1341">
            <v>0</v>
          </cell>
          <cell r="Q1341" t="str">
            <v>done</v>
          </cell>
          <cell r="R1341">
            <v>46303</v>
          </cell>
          <cell r="S1341" t="str">
            <v>AUTO GALLERY DIOR SHPK</v>
          </cell>
          <cell r="T1341" t="str">
            <v>AUTO GALLERY DIOR SHPK</v>
          </cell>
          <cell r="U1341">
            <v>812050409</v>
          </cell>
          <cell r="V1341" t="str">
            <v>383 44 900 906</v>
          </cell>
          <cell r="W1341" t="str">
            <v>Kosovo</v>
          </cell>
          <cell r="AB1341">
            <v>1516</v>
          </cell>
          <cell r="AC1341">
            <v>29330</v>
          </cell>
          <cell r="AD1341">
            <v>1870</v>
          </cell>
          <cell r="AE1341">
            <v>31200</v>
          </cell>
          <cell r="AF1341">
            <v>31200</v>
          </cell>
        </row>
        <row r="1342">
          <cell r="A1342">
            <v>1342</v>
          </cell>
          <cell r="B1342">
            <v>46294</v>
          </cell>
          <cell r="C1342" t="str">
            <v>PORSCHE 911</v>
          </cell>
          <cell r="D1342" t="str">
            <v>PORSCHE</v>
          </cell>
          <cell r="E1342">
            <v>911</v>
          </cell>
          <cell r="G1342" t="str">
            <v>155서1905</v>
          </cell>
          <cell r="H1342" t="str">
            <v>WP0AB2991HS122667</v>
          </cell>
          <cell r="I1342">
            <v>46301</v>
          </cell>
          <cell r="J1342" t="str">
            <v>㈜수성자동차</v>
          </cell>
          <cell r="L1342" t="str">
            <v>잔금</v>
          </cell>
          <cell r="M1342" t="str">
            <v>100만원 대표님 계약</v>
          </cell>
          <cell r="N1342">
            <v>8390</v>
          </cell>
          <cell r="P1342">
            <v>0</v>
          </cell>
          <cell r="Q1342" t="str">
            <v>DONE</v>
          </cell>
          <cell r="R1342">
            <v>46301</v>
          </cell>
          <cell r="S1342" t="str">
            <v>DAX IMPORT</v>
          </cell>
          <cell r="T1342" t="str">
            <v xml:space="preserve">Michael Karl  </v>
          </cell>
          <cell r="U1342" t="str">
            <v>LF9N8WZ16</v>
          </cell>
          <cell r="V1342" t="str">
            <v>‪+49 471 94189050‬</v>
          </cell>
          <cell r="W1342" t="str">
            <v xml:space="preserve">Dorfstr,33C,(82024) Taufkirchen, Germany </v>
          </cell>
          <cell r="X1342">
            <v>1323</v>
          </cell>
          <cell r="AB1342">
            <v>1521</v>
          </cell>
          <cell r="AC1342">
            <v>52610</v>
          </cell>
        </row>
        <row r="1343">
          <cell r="A1343">
            <v>1343</v>
          </cell>
          <cell r="B1343">
            <v>46294</v>
          </cell>
          <cell r="C1343" t="str">
            <v>AUDI A6</v>
          </cell>
          <cell r="D1343" t="str">
            <v>AUDI</v>
          </cell>
          <cell r="E1343" t="str">
            <v>A6</v>
          </cell>
          <cell r="G1343" t="str">
            <v>134조2725</v>
          </cell>
          <cell r="H1343" t="str">
            <v>WAUZZZF27MN071471</v>
          </cell>
          <cell r="I1343">
            <v>46301</v>
          </cell>
          <cell r="J1343" t="str">
            <v>베스트카</v>
          </cell>
          <cell r="L1343" t="str">
            <v>잔금</v>
          </cell>
          <cell r="M1343" t="str">
            <v>100만원 회사 통장 계약</v>
          </cell>
          <cell r="N1343">
            <v>2824</v>
          </cell>
          <cell r="P1343">
            <v>0</v>
          </cell>
          <cell r="Q1343" t="str">
            <v>done</v>
          </cell>
          <cell r="R1343">
            <v>46315</v>
          </cell>
          <cell r="S1343" t="str">
            <v>ATLAS GROUP SH.P.K</v>
          </cell>
          <cell r="T1343" t="str">
            <v>ATLAS GROUP SH.P.K</v>
          </cell>
          <cell r="U1343">
            <v>812137455</v>
          </cell>
          <cell r="V1343" t="str">
            <v>+38348702207</v>
          </cell>
          <cell r="W1343" t="str">
            <v>Xhelal Hajda, p.n. Rahovec</v>
          </cell>
          <cell r="X1343">
            <v>1347</v>
          </cell>
          <cell r="AB1343">
            <v>1547</v>
          </cell>
          <cell r="AC1343">
            <v>17504</v>
          </cell>
          <cell r="AD1343">
            <v>1776</v>
          </cell>
          <cell r="AE1343">
            <v>19280</v>
          </cell>
          <cell r="AF1343">
            <v>19280</v>
          </cell>
        </row>
        <row r="1344">
          <cell r="A1344">
            <v>1344</v>
          </cell>
          <cell r="B1344">
            <v>46294</v>
          </cell>
          <cell r="C1344" t="str">
            <v>discovery SPORT</v>
          </cell>
          <cell r="D1344" t="str">
            <v>discovery</v>
          </cell>
          <cell r="E1344" t="str">
            <v>SPORT</v>
          </cell>
          <cell r="G1344" t="str">
            <v>281누2833</v>
          </cell>
          <cell r="H1344" t="str">
            <v>SALCA2BN3LH861654</v>
          </cell>
          <cell r="I1344">
            <v>46301</v>
          </cell>
          <cell r="L1344" t="str">
            <v>잔금</v>
          </cell>
          <cell r="M1344" t="str">
            <v>100만원 대표님 계약</v>
          </cell>
          <cell r="N1344">
            <v>1720</v>
          </cell>
          <cell r="P1344">
            <v>0</v>
          </cell>
          <cell r="Q1344" t="str">
            <v>DONE</v>
          </cell>
          <cell r="R1344">
            <v>46303</v>
          </cell>
          <cell r="S1344" t="str">
            <v>R.S.h L.L.C.</v>
          </cell>
          <cell r="T1344" t="str">
            <v>R.Sh L.L.C.</v>
          </cell>
          <cell r="U1344">
            <v>206557008</v>
          </cell>
          <cell r="V1344" t="str">
            <v>359 89 936 8386</v>
          </cell>
          <cell r="W1344" t="str">
            <v>ul. Sokolna 47
1444 Sofia
Bulgaria</v>
          </cell>
          <cell r="AB1344">
            <v>1530</v>
          </cell>
          <cell r="AC1344">
            <v>10790</v>
          </cell>
          <cell r="AD1344">
            <v>1870</v>
          </cell>
          <cell r="AE1344">
            <v>12660</v>
          </cell>
        </row>
        <row r="1345">
          <cell r="A1345">
            <v>1345</v>
          </cell>
          <cell r="B1345">
            <v>46297</v>
          </cell>
          <cell r="C1345" t="str">
            <v>bmw 520d</v>
          </cell>
          <cell r="D1345" t="str">
            <v>bmw</v>
          </cell>
          <cell r="E1345" t="str">
            <v>520d</v>
          </cell>
          <cell r="G1345" t="str">
            <v>372오7007</v>
          </cell>
          <cell r="H1345" t="str">
            <v>WBAJC5105JWB85992</v>
          </cell>
          <cell r="J1345" t="str">
            <v>경매장-헤이딜러 이새롬</v>
          </cell>
          <cell r="L1345" t="str">
            <v>잔금</v>
          </cell>
          <cell r="N1345">
            <v>1400</v>
          </cell>
          <cell r="P1345">
            <v>0</v>
          </cell>
          <cell r="Q1345" t="str">
            <v>done</v>
          </cell>
          <cell r="R1345">
            <v>46318</v>
          </cell>
          <cell r="S1345" t="str">
            <v>AUTO SCOUT</v>
          </cell>
          <cell r="T1345" t="str">
            <v>DONI</v>
          </cell>
          <cell r="U1345">
            <v>933682</v>
          </cell>
          <cell r="V1345" t="str">
            <v>3 8 3 4 9 3 2 5 7 0 3</v>
          </cell>
          <cell r="W1345" t="str">
            <v xml:space="preserve"> HYZRI TALLA OB 16 HY 1 NR 18
 Kosovë</v>
          </cell>
          <cell r="X1345">
            <v>1322</v>
          </cell>
          <cell r="AB1345">
            <v>1484</v>
          </cell>
          <cell r="AC1345">
            <v>9103</v>
          </cell>
          <cell r="AD1345">
            <v>1817</v>
          </cell>
          <cell r="AE1345">
            <v>10920</v>
          </cell>
        </row>
        <row r="1346">
          <cell r="A1346">
            <v>1346</v>
          </cell>
          <cell r="B1346">
            <v>46297</v>
          </cell>
          <cell r="C1346" t="str">
            <v>BMW 118D</v>
          </cell>
          <cell r="D1346" t="str">
            <v>BMW</v>
          </cell>
          <cell r="E1346" t="str">
            <v>118D</v>
          </cell>
          <cell r="G1346" t="str">
            <v>01고3974</v>
          </cell>
          <cell r="H1346" t="str">
            <v>WBA1S5108J5L15415</v>
          </cell>
          <cell r="I1346">
            <v>46303</v>
          </cell>
          <cell r="J1346" t="str">
            <v>경매장-헤이딜러 대표님</v>
          </cell>
          <cell r="L1346" t="str">
            <v>잔금</v>
          </cell>
          <cell r="P1346">
            <v>0</v>
          </cell>
          <cell r="Q1346" t="str">
            <v>done</v>
          </cell>
          <cell r="R1346">
            <v>46318</v>
          </cell>
          <cell r="S1346" t="str">
            <v>R.S.h L.L.C.</v>
          </cell>
          <cell r="T1346" t="str">
            <v>R.Sh L.L.C.</v>
          </cell>
          <cell r="U1346">
            <v>206557008</v>
          </cell>
          <cell r="V1346" t="str">
            <v>359 89 936 8386</v>
          </cell>
          <cell r="W1346" t="str">
            <v>ul. Sokolna 47
1444 Sofia
Bulgaria</v>
          </cell>
          <cell r="AC1346">
            <v>0</v>
          </cell>
        </row>
        <row r="1347">
          <cell r="A1347">
            <v>1347</v>
          </cell>
          <cell r="B1347">
            <v>46297</v>
          </cell>
          <cell r="C1347" t="str">
            <v>RENAULT QM3</v>
          </cell>
          <cell r="D1347" t="str">
            <v>RENAULT</v>
          </cell>
          <cell r="E1347" t="str">
            <v>QM3</v>
          </cell>
          <cell r="G1347" t="str">
            <v>18무0305</v>
          </cell>
          <cell r="H1347" t="str">
            <v xml:space="preserve">VF12RGJ1DGW237012 </v>
          </cell>
          <cell r="J1347" t="str">
            <v>경매장-헤이딜러 MUSA</v>
          </cell>
          <cell r="L1347" t="str">
            <v>잔금</v>
          </cell>
          <cell r="N1347">
            <v>364</v>
          </cell>
          <cell r="O1347">
            <v>45</v>
          </cell>
          <cell r="P1347">
            <v>0</v>
          </cell>
          <cell r="Q1347" t="str">
            <v>done</v>
          </cell>
          <cell r="R1347">
            <v>46318</v>
          </cell>
          <cell r="S1347" t="str">
            <v>Auto Posh SH.P.K</v>
          </cell>
          <cell r="T1347" t="str">
            <v>Auto Posh SH.P.K</v>
          </cell>
          <cell r="U1347">
            <v>812219427</v>
          </cell>
          <cell r="V1347" t="str">
            <v>38345560145</v>
          </cell>
          <cell r="W1347" t="str">
            <v>KOSOVO</v>
          </cell>
          <cell r="X1347">
            <v>1333</v>
          </cell>
          <cell r="AB1347">
            <v>1492</v>
          </cell>
          <cell r="AC1347">
            <v>2877</v>
          </cell>
          <cell r="AD1347">
            <v>1783</v>
          </cell>
          <cell r="AE1347">
            <v>4660</v>
          </cell>
        </row>
        <row r="1348">
          <cell r="A1348">
            <v>1348</v>
          </cell>
          <cell r="B1348">
            <v>46301</v>
          </cell>
          <cell r="C1348" t="str">
            <v>AUDI A6</v>
          </cell>
          <cell r="D1348" t="str">
            <v>AUDI</v>
          </cell>
          <cell r="E1348" t="str">
            <v>A6</v>
          </cell>
          <cell r="G1348" t="str">
            <v>01모0508</v>
          </cell>
          <cell r="H1348" t="str">
            <v>WAUZZZ4G7GN105699</v>
          </cell>
          <cell r="I1348">
            <v>46307</v>
          </cell>
          <cell r="J1348" t="str">
            <v>㈜진심오토</v>
          </cell>
          <cell r="L1348" t="str">
            <v>잔금</v>
          </cell>
          <cell r="M1348" t="str">
            <v>50만원 대표님 계약</v>
          </cell>
          <cell r="N1348">
            <v>1200</v>
          </cell>
          <cell r="P1348">
            <v>0</v>
          </cell>
          <cell r="Q1348" t="str">
            <v>done</v>
          </cell>
          <cell r="R1348">
            <v>46315</v>
          </cell>
          <cell r="S1348" t="str">
            <v>Auto Posh SH.P.K</v>
          </cell>
          <cell r="T1348" t="str">
            <v>Auto Posh SH.P.K</v>
          </cell>
          <cell r="U1348">
            <v>812219427</v>
          </cell>
          <cell r="V1348" t="str">
            <v>38345560145</v>
          </cell>
          <cell r="W1348" t="str">
            <v>KOSOVO</v>
          </cell>
          <cell r="X1348">
            <v>1333</v>
          </cell>
          <cell r="AB1348">
            <v>1530</v>
          </cell>
          <cell r="AC1348">
            <v>7647</v>
          </cell>
          <cell r="AD1348">
            <v>1783</v>
          </cell>
          <cell r="AE1348">
            <v>9430</v>
          </cell>
        </row>
        <row r="1349">
          <cell r="A1349">
            <v>1349</v>
          </cell>
          <cell r="B1349">
            <v>46301</v>
          </cell>
          <cell r="C1349" t="str">
            <v>HYUNDAI SANTAFE</v>
          </cell>
          <cell r="D1349" t="str">
            <v>HYUNDAI</v>
          </cell>
          <cell r="E1349" t="str">
            <v>SANTAFE</v>
          </cell>
          <cell r="G1349" t="str">
            <v>58무1722</v>
          </cell>
          <cell r="H1349" t="str">
            <v>KMHSU81UBDU003766</v>
          </cell>
          <cell r="I1349">
            <v>46302</v>
          </cell>
          <cell r="J1349" t="str">
            <v>㈜드림마케</v>
          </cell>
          <cell r="L1349" t="str">
            <v>잔금</v>
          </cell>
          <cell r="M1349" t="str">
            <v>50만원 대표님 계약</v>
          </cell>
          <cell r="N1349">
            <v>560</v>
          </cell>
          <cell r="P1349">
            <v>0</v>
          </cell>
          <cell r="Q1349" t="str">
            <v>CONTAINER</v>
          </cell>
          <cell r="S1349" t="str">
            <v>CALJA</v>
          </cell>
          <cell r="T1349" t="str">
            <v>Calja Marius</v>
          </cell>
          <cell r="U1349" t="str">
            <v>J70807019Q</v>
          </cell>
          <cell r="V1349" t="str">
            <v>355 69 550 5533</v>
          </cell>
          <cell r="W1349" t="str">
            <v>Albania</v>
          </cell>
          <cell r="X1349">
            <v>1336</v>
          </cell>
          <cell r="AB1349">
            <v>1500</v>
          </cell>
          <cell r="AC1349">
            <v>3220</v>
          </cell>
        </row>
        <row r="1350">
          <cell r="A1350">
            <v>1350</v>
          </cell>
          <cell r="B1350">
            <v>46301</v>
          </cell>
          <cell r="C1350" t="str">
            <v>AUDI A7 45 TDI quattro</v>
          </cell>
          <cell r="D1350" t="str">
            <v>AUDI</v>
          </cell>
          <cell r="E1350" t="str">
            <v>A7 45 TDI quattro</v>
          </cell>
          <cell r="G1350" t="str">
            <v>130가9624</v>
          </cell>
          <cell r="H1350" t="str">
            <v>WAUZZZF25MN002097</v>
          </cell>
          <cell r="I1350">
            <v>46307</v>
          </cell>
          <cell r="J1350" t="str">
            <v>㈜수성 자동차</v>
          </cell>
          <cell r="L1350" t="str">
            <v>잔금</v>
          </cell>
          <cell r="M1350" t="str">
            <v>100만원 대표님 계약</v>
          </cell>
          <cell r="N1350">
            <v>2800</v>
          </cell>
          <cell r="P1350">
            <v>0</v>
          </cell>
          <cell r="Q1350" t="str">
            <v>done</v>
          </cell>
          <cell r="R1350">
            <v>46315</v>
          </cell>
          <cell r="S1350" t="str">
            <v>HYSA</v>
          </cell>
          <cell r="T1350" t="str">
            <v>Gazment hysa</v>
          </cell>
          <cell r="U1350" t="str">
            <v>M63302203K</v>
          </cell>
          <cell r="V1350" t="str">
            <v>355 69 690 2972</v>
          </cell>
          <cell r="W1350" t="str">
            <v>Albania</v>
          </cell>
          <cell r="X1350">
            <v>1329</v>
          </cell>
          <cell r="AB1350">
            <v>1491</v>
          </cell>
          <cell r="AC1350">
            <v>17652</v>
          </cell>
          <cell r="AD1350">
            <v>1818</v>
          </cell>
          <cell r="AE1350">
            <v>19470</v>
          </cell>
        </row>
        <row r="1351">
          <cell r="A1351">
            <v>1351</v>
          </cell>
          <cell r="B1351">
            <v>46301</v>
          </cell>
          <cell r="C1351" t="str">
            <v>CHEVEROLET TRAX</v>
          </cell>
          <cell r="D1351" t="str">
            <v>CHEVEROLET</v>
          </cell>
          <cell r="E1351" t="str">
            <v>TRAX</v>
          </cell>
          <cell r="G1351" t="str">
            <v>162소9962</v>
          </cell>
          <cell r="H1351" t="str">
            <v>KLABA76CDLB071135</v>
          </cell>
          <cell r="I1351">
            <v>46302</v>
          </cell>
          <cell r="L1351" t="str">
            <v>잔금</v>
          </cell>
          <cell r="M1351" t="str">
            <v>50만원 대표님 계약</v>
          </cell>
          <cell r="N1351">
            <v>690</v>
          </cell>
          <cell r="P1351">
            <v>0</v>
          </cell>
          <cell r="Q1351" t="str">
            <v>DONE</v>
          </cell>
          <cell r="R1351">
            <v>46303</v>
          </cell>
          <cell r="S1351" t="str">
            <v>AUTO SCOUT</v>
          </cell>
          <cell r="T1351" t="str">
            <v>DONI</v>
          </cell>
          <cell r="U1351">
            <v>933682</v>
          </cell>
          <cell r="V1351" t="str">
            <v>3 8 3 4 9 3 2 5 7 0 3</v>
          </cell>
          <cell r="W1351" t="str">
            <v xml:space="preserve"> HYZRI TALLA OB 16 HY 1 NR 18
 Kosovë</v>
          </cell>
          <cell r="X1351">
            <v>1336</v>
          </cell>
          <cell r="AB1351">
            <v>1500</v>
          </cell>
          <cell r="AC1351">
            <v>4736</v>
          </cell>
          <cell r="AD1351">
            <v>1784</v>
          </cell>
          <cell r="AE1351">
            <v>6520</v>
          </cell>
        </row>
        <row r="1352">
          <cell r="A1352">
            <v>1352</v>
          </cell>
          <cell r="B1352">
            <v>46296</v>
          </cell>
          <cell r="C1352" t="str">
            <v>BENZ E250 CDI 4Matic</v>
          </cell>
          <cell r="D1352" t="str">
            <v>BENZ</v>
          </cell>
          <cell r="E1352" t="str">
            <v>E250 CDI 4Matic</v>
          </cell>
          <cell r="G1352" t="str">
            <v>59보2672</v>
          </cell>
          <cell r="H1352" t="str">
            <v>WDDHF8CB8EB041202</v>
          </cell>
          <cell r="J1352" t="str">
            <v>경매장- AJ</v>
          </cell>
          <cell r="L1352" t="str">
            <v>잔금</v>
          </cell>
          <cell r="N1352">
            <v>540</v>
          </cell>
          <cell r="O1352">
            <v>16</v>
          </cell>
          <cell r="P1352">
            <v>0</v>
          </cell>
          <cell r="Q1352" t="str">
            <v>DONE</v>
          </cell>
          <cell r="R1352">
            <v>46311</v>
          </cell>
          <cell r="S1352" t="str">
            <v>ANDREA KASA</v>
          </cell>
          <cell r="T1352" t="str">
            <v xml:space="preserve">Andrea Kasa </v>
          </cell>
          <cell r="U1352" t="str">
            <v>K30122016U</v>
          </cell>
          <cell r="V1352" t="str">
            <v>355 69 746 2556</v>
          </cell>
          <cell r="W1352" t="str">
            <v>Albania</v>
          </cell>
          <cell r="X1352">
            <v>1329</v>
          </cell>
          <cell r="AB1352">
            <v>1491</v>
          </cell>
          <cell r="AC1352">
            <v>3752</v>
          </cell>
          <cell r="AD1352">
            <v>1818</v>
          </cell>
          <cell r="AE1352">
            <v>5570</v>
          </cell>
          <cell r="AF1352">
            <v>5600</v>
          </cell>
        </row>
        <row r="1353">
          <cell r="A1353">
            <v>1353</v>
          </cell>
          <cell r="B1353">
            <v>46296</v>
          </cell>
          <cell r="C1353" t="str">
            <v>BMW x3</v>
          </cell>
          <cell r="D1353" t="str">
            <v>BMW</v>
          </cell>
          <cell r="E1353" t="str">
            <v>x3</v>
          </cell>
          <cell r="G1353" t="str">
            <v>51루7655</v>
          </cell>
          <cell r="H1353" t="str">
            <v>WBAWZ5104F0L05230</v>
          </cell>
          <cell r="J1353" t="str">
            <v>경매장- AJ</v>
          </cell>
          <cell r="L1353" t="str">
            <v>잔금</v>
          </cell>
          <cell r="N1353" t="str">
            <v>NOMAD YARD</v>
          </cell>
          <cell r="P1353">
            <v>0</v>
          </cell>
          <cell r="Q1353" t="str">
            <v>HEYMAN</v>
          </cell>
          <cell r="R1353">
            <v>46303</v>
          </cell>
          <cell r="S1353" t="str">
            <v>MANTAS</v>
          </cell>
          <cell r="AC1353">
            <v>0</v>
          </cell>
        </row>
        <row r="1354">
          <cell r="A1354">
            <v>1354</v>
          </cell>
          <cell r="B1354">
            <v>46296</v>
          </cell>
          <cell r="C1354" t="str">
            <v>KIA CARNIVAL</v>
          </cell>
          <cell r="D1354" t="str">
            <v>KIA</v>
          </cell>
          <cell r="E1354" t="str">
            <v>CARNIVAL</v>
          </cell>
          <cell r="G1354" t="str">
            <v>36나4755</v>
          </cell>
          <cell r="H1354" t="str">
            <v>KNAMC81ABJS401152</v>
          </cell>
          <cell r="J1354" t="str">
            <v>경매장- AJ</v>
          </cell>
          <cell r="L1354" t="str">
            <v>잔금</v>
          </cell>
          <cell r="P1354">
            <v>0</v>
          </cell>
          <cell r="Q1354" t="str">
            <v>HEYMAN</v>
          </cell>
          <cell r="S1354" t="str">
            <v>MANTAS</v>
          </cell>
          <cell r="AC1354">
            <v>0</v>
          </cell>
        </row>
        <row r="1355">
          <cell r="A1355">
            <v>1355</v>
          </cell>
          <cell r="B1355">
            <v>46301</v>
          </cell>
          <cell r="C1355" t="str">
            <v>Peugeot 308</v>
          </cell>
          <cell r="D1355" t="str">
            <v>Peugeot</v>
          </cell>
          <cell r="E1355">
            <v>308</v>
          </cell>
          <cell r="G1355" t="str">
            <v>344구4660</v>
          </cell>
          <cell r="H1355" t="str">
            <v>VF3LBYHZRMS003019</v>
          </cell>
          <cell r="I1355">
            <v>46301</v>
          </cell>
          <cell r="J1355" t="str">
            <v>경매장-헤이딜러 이다은</v>
          </cell>
          <cell r="L1355" t="str">
            <v>잔금</v>
          </cell>
          <cell r="P1355">
            <v>0</v>
          </cell>
          <cell r="Q1355" t="str">
            <v>DONE</v>
          </cell>
          <cell r="R1355">
            <v>46315</v>
          </cell>
          <cell r="S1355" t="str">
            <v>AUTO SCOUT</v>
          </cell>
          <cell r="T1355" t="str">
            <v>DONI</v>
          </cell>
          <cell r="U1355">
            <v>933682</v>
          </cell>
          <cell r="V1355" t="str">
            <v>3 8 3 4 9 3 2 5 7 0 3</v>
          </cell>
          <cell r="W1355" t="str">
            <v xml:space="preserve"> HYZRI TALLA OB 16 HY 1 NR 18
 Kosovë</v>
          </cell>
          <cell r="X1355">
            <v>1322</v>
          </cell>
          <cell r="AB1355">
            <v>1484</v>
          </cell>
          <cell r="AC1355">
            <v>6173</v>
          </cell>
          <cell r="AD1355">
            <v>1817</v>
          </cell>
          <cell r="AE1355">
            <v>7990</v>
          </cell>
        </row>
        <row r="1356">
          <cell r="A1356">
            <v>1356</v>
          </cell>
          <cell r="B1356">
            <v>46301</v>
          </cell>
          <cell r="C1356" t="str">
            <v>BMW 320d</v>
          </cell>
          <cell r="D1356" t="str">
            <v>BMW</v>
          </cell>
          <cell r="E1356" t="str">
            <v>320d</v>
          </cell>
          <cell r="G1356" t="str">
            <v>35보0812</v>
          </cell>
          <cell r="H1356" t="str">
            <v>WBA8C5106GK638495</v>
          </cell>
          <cell r="J1356" t="str">
            <v>경매장-헤이딜러  무사</v>
          </cell>
          <cell r="L1356" t="str">
            <v>잔금</v>
          </cell>
          <cell r="N1356">
            <v>800</v>
          </cell>
          <cell r="P1356">
            <v>0</v>
          </cell>
          <cell r="Q1356" t="str">
            <v>done</v>
          </cell>
          <cell r="R1356">
            <v>46315</v>
          </cell>
          <cell r="S1356" t="str">
            <v>Auto Posh SH.P.K</v>
          </cell>
          <cell r="T1356" t="str">
            <v>Auto Posh SH.P.K</v>
          </cell>
          <cell r="U1356">
            <v>812219427</v>
          </cell>
          <cell r="V1356" t="str">
            <v>38345560145</v>
          </cell>
          <cell r="W1356" t="str">
            <v>KOSOVO</v>
          </cell>
          <cell r="X1356">
            <v>1333</v>
          </cell>
          <cell r="AB1356">
            <v>1492</v>
          </cell>
          <cell r="AC1356">
            <v>5447</v>
          </cell>
          <cell r="AD1356">
            <v>1823</v>
          </cell>
          <cell r="AE1356">
            <v>7270</v>
          </cell>
        </row>
        <row r="1357">
          <cell r="A1357">
            <v>1357</v>
          </cell>
          <cell r="B1357">
            <v>46303</v>
          </cell>
          <cell r="C1357" t="str">
            <v>VOLKSWAGEN TIGUAN</v>
          </cell>
          <cell r="D1357" t="str">
            <v>VOLKSWAGEN</v>
          </cell>
          <cell r="E1357" t="str">
            <v>TIGUAN</v>
          </cell>
          <cell r="G1357" t="str">
            <v>309누6691</v>
          </cell>
          <cell r="H1357" t="str">
            <v>WVGZZZ5NZJW916727</v>
          </cell>
          <cell r="J1357" t="str">
            <v>경매장- AJ</v>
          </cell>
          <cell r="L1357" t="str">
            <v>잔금</v>
          </cell>
          <cell r="N1357">
            <v>1370</v>
          </cell>
          <cell r="O1357">
            <v>35</v>
          </cell>
          <cell r="P1357">
            <v>0</v>
          </cell>
          <cell r="S1357" t="str">
            <v>Doni</v>
          </cell>
          <cell r="T1357" t="str">
            <v>DONI</v>
          </cell>
          <cell r="U1357">
            <v>933682</v>
          </cell>
          <cell r="V1357" t="str">
            <v>3 8 3 4 9 3 2 5 7 0 3</v>
          </cell>
          <cell r="W1357" t="str">
            <v xml:space="preserve"> HYZRI TALLA OB 16 HY 1 NR 18
 Kosovë</v>
          </cell>
          <cell r="AC1357">
            <v>10780</v>
          </cell>
          <cell r="AE1357">
            <v>10780</v>
          </cell>
        </row>
        <row r="1358">
          <cell r="A1358">
            <v>1358</v>
          </cell>
          <cell r="B1358">
            <v>46303</v>
          </cell>
          <cell r="C1358" t="str">
            <v>AUDI A6</v>
          </cell>
          <cell r="D1358" t="str">
            <v>AUDI</v>
          </cell>
          <cell r="E1358" t="str">
            <v>A6</v>
          </cell>
          <cell r="G1358" t="str">
            <v>47주0665</v>
          </cell>
          <cell r="H1358" t="str">
            <v>WAUZZZ4G3GN098315</v>
          </cell>
          <cell r="I1358">
            <v>46305</v>
          </cell>
          <cell r="J1358" t="str">
            <v>경매장 헤이딜러</v>
          </cell>
          <cell r="L1358" t="str">
            <v>잔금</v>
          </cell>
          <cell r="N1358">
            <v>750</v>
          </cell>
          <cell r="P1358">
            <v>0</v>
          </cell>
          <cell r="Q1358" t="str">
            <v>done</v>
          </cell>
          <cell r="R1358">
            <v>46315</v>
          </cell>
          <cell r="S1358" t="str">
            <v>Auto Posh SH.P.K</v>
          </cell>
          <cell r="T1358" t="str">
            <v>Auto Posh SH.P.K</v>
          </cell>
          <cell r="U1358">
            <v>812219427</v>
          </cell>
          <cell r="V1358" t="str">
            <v>38345560145</v>
          </cell>
          <cell r="W1358" t="str">
            <v>KOSOVO</v>
          </cell>
          <cell r="X1358">
            <v>1333</v>
          </cell>
          <cell r="AB1358">
            <v>1492</v>
          </cell>
          <cell r="AC1358">
            <v>5307</v>
          </cell>
          <cell r="AD1358">
            <v>1823</v>
          </cell>
          <cell r="AE1358">
            <v>7130</v>
          </cell>
        </row>
        <row r="1359">
          <cell r="A1359">
            <v>1359</v>
          </cell>
          <cell r="B1359">
            <v>46304</v>
          </cell>
          <cell r="C1359" t="str">
            <v>AUDI Q3</v>
          </cell>
          <cell r="D1359" t="str">
            <v>AUDI</v>
          </cell>
          <cell r="E1359" t="str">
            <v>Q3</v>
          </cell>
          <cell r="G1359" t="str">
            <v>108서5102</v>
          </cell>
          <cell r="H1359" t="str">
            <v>WAUZZZF31L1095098</v>
          </cell>
          <cell r="I1359">
            <v>46308</v>
          </cell>
          <cell r="L1359" t="str">
            <v>잔금</v>
          </cell>
          <cell r="M1359" t="str">
            <v>100만원 대표님 계약</v>
          </cell>
          <cell r="N1359">
            <v>3000</v>
          </cell>
          <cell r="P1359">
            <v>0</v>
          </cell>
          <cell r="Q1359" t="str">
            <v>DONE</v>
          </cell>
          <cell r="R1359">
            <v>46311</v>
          </cell>
          <cell r="S1359" t="str">
            <v>AUTO GALLERY DIOR SHPK</v>
          </cell>
          <cell r="T1359" t="str">
            <v>AUTO GALLERY DIOR SHPK</v>
          </cell>
          <cell r="U1359">
            <v>812050409</v>
          </cell>
          <cell r="V1359" t="str">
            <v>383 44 900 906</v>
          </cell>
          <cell r="W1359" t="str">
            <v>Kosovo</v>
          </cell>
          <cell r="AB1359">
            <v>1490</v>
          </cell>
          <cell r="AC1359">
            <v>19300</v>
          </cell>
          <cell r="AD1359">
            <v>1900</v>
          </cell>
          <cell r="AE1359">
            <v>21200</v>
          </cell>
          <cell r="AF1359">
            <v>21200</v>
          </cell>
        </row>
        <row r="1360">
          <cell r="A1360">
            <v>1360</v>
          </cell>
          <cell r="B1360">
            <v>46304</v>
          </cell>
          <cell r="C1360" t="str">
            <v>JEEP Grand Cherokee</v>
          </cell>
          <cell r="D1360" t="str">
            <v>JEEP</v>
          </cell>
          <cell r="E1360" t="str">
            <v>Grand Cherokee</v>
          </cell>
          <cell r="G1360" t="str">
            <v>05두5095</v>
          </cell>
          <cell r="H1360" t="str">
            <v>1C4RJFCG7KC660487</v>
          </cell>
          <cell r="I1360">
            <v>46308</v>
          </cell>
          <cell r="L1360" t="str">
            <v>잔금</v>
          </cell>
          <cell r="M1360" t="str">
            <v>100만원 대표님 계약</v>
          </cell>
          <cell r="N1360">
            <v>1470</v>
          </cell>
          <cell r="P1360">
            <v>0</v>
          </cell>
          <cell r="Q1360" t="str">
            <v>DONE</v>
          </cell>
          <cell r="R1360">
            <v>46311</v>
          </cell>
          <cell r="S1360" t="str">
            <v>EASY DRIVE</v>
          </cell>
          <cell r="T1360" t="str">
            <v>Easy Drive LTD</v>
          </cell>
          <cell r="U1360">
            <v>206557008</v>
          </cell>
          <cell r="V1360" t="str">
            <v>359 89 936 8386</v>
          </cell>
          <cell r="W1360" t="str">
            <v>ul. Sokolna 47
1444 Sofia
Bulgaria</v>
          </cell>
          <cell r="AC1360">
            <v>9340</v>
          </cell>
          <cell r="AD1360">
            <v>1900</v>
          </cell>
          <cell r="AF1360">
            <v>11240</v>
          </cell>
        </row>
        <row r="1361">
          <cell r="A1361">
            <v>1361</v>
          </cell>
          <cell r="B1361">
            <v>46304</v>
          </cell>
          <cell r="C1361" t="str">
            <v>AUDI A6</v>
          </cell>
          <cell r="D1361" t="str">
            <v>AUDI</v>
          </cell>
          <cell r="E1361" t="str">
            <v>A6</v>
          </cell>
          <cell r="G1361" t="str">
            <v>103보1206</v>
          </cell>
          <cell r="H1361" t="str">
            <v xml:space="preserve">WAUZZZF21LN065034 </v>
          </cell>
          <cell r="I1361">
            <v>46308</v>
          </cell>
          <cell r="J1361" t="str">
            <v>㈜카울렛</v>
          </cell>
          <cell r="L1361" t="str">
            <v>잔금</v>
          </cell>
          <cell r="M1361" t="str">
            <v>50만원 대표님 계약</v>
          </cell>
          <cell r="N1361">
            <v>2370</v>
          </cell>
          <cell r="P1361">
            <v>0</v>
          </cell>
          <cell r="Q1361" t="str">
            <v>DONE</v>
          </cell>
          <cell r="R1361">
            <v>46311</v>
          </cell>
          <cell r="S1361" t="str">
            <v>AUTO GALLERY DIOR SHPK</v>
          </cell>
          <cell r="T1361" t="str">
            <v>AUTO GALLERY DIOR SHPK</v>
          </cell>
          <cell r="U1361">
            <v>812050409</v>
          </cell>
          <cell r="V1361" t="str">
            <v>383 44 900 906</v>
          </cell>
          <cell r="W1361" t="str">
            <v>Kosovo</v>
          </cell>
          <cell r="AC1361">
            <v>15200</v>
          </cell>
          <cell r="AD1361">
            <v>1800</v>
          </cell>
          <cell r="AE1361">
            <v>17000</v>
          </cell>
          <cell r="AF1361">
            <v>16820</v>
          </cell>
        </row>
        <row r="1362">
          <cell r="A1362">
            <v>1362</v>
          </cell>
          <cell r="B1362">
            <v>46304</v>
          </cell>
          <cell r="C1362" t="str">
            <v>AUDI A6</v>
          </cell>
          <cell r="D1362" t="str">
            <v>AUDI</v>
          </cell>
          <cell r="E1362" t="str">
            <v>A6</v>
          </cell>
          <cell r="G1362" t="str">
            <v>263마7325</v>
          </cell>
          <cell r="H1362" t="str">
            <v>WAUZZZF27LN029669</v>
          </cell>
          <cell r="I1362">
            <v>46308</v>
          </cell>
          <cell r="L1362" t="str">
            <v>잔금</v>
          </cell>
          <cell r="M1362" t="str">
            <v>100만원 대표님 계약</v>
          </cell>
          <cell r="N1362">
            <v>2230</v>
          </cell>
          <cell r="Q1362" t="str">
            <v>DONE</v>
          </cell>
          <cell r="R1362">
            <v>46311</v>
          </cell>
          <cell r="S1362" t="str">
            <v>AUTO GALLERY DIOR SHPK</v>
          </cell>
          <cell r="T1362" t="str">
            <v>AUTO GALLERY DIOR SHPK</v>
          </cell>
          <cell r="U1362">
            <v>812050409</v>
          </cell>
          <cell r="V1362" t="str">
            <v>383 44 900 906</v>
          </cell>
          <cell r="W1362" t="str">
            <v>Kosovo</v>
          </cell>
          <cell r="AC1362">
            <v>14350</v>
          </cell>
          <cell r="AD1362">
            <v>1800</v>
          </cell>
          <cell r="AE1362">
            <v>16150</v>
          </cell>
          <cell r="AF1362">
            <v>16200</v>
          </cell>
        </row>
        <row r="1363">
          <cell r="A1363">
            <v>1363</v>
          </cell>
          <cell r="B1363">
            <v>46304</v>
          </cell>
          <cell r="C1363" t="str">
            <v>BMW 2SERIES</v>
          </cell>
          <cell r="D1363" t="str">
            <v>BMW</v>
          </cell>
          <cell r="E1363" t="str">
            <v>2SERIES</v>
          </cell>
          <cell r="G1363" t="str">
            <v>238버6945</v>
          </cell>
          <cell r="H1363" t="str">
            <v>WBA31AM05M7J34829</v>
          </cell>
          <cell r="I1363">
            <v>46308</v>
          </cell>
          <cell r="J1363" t="str">
            <v>㈜참좋은 자동차</v>
          </cell>
          <cell r="L1363" t="str">
            <v>잔금</v>
          </cell>
          <cell r="M1363" t="str">
            <v>50만원 대표님 계약</v>
          </cell>
          <cell r="N1363">
            <v>1670</v>
          </cell>
          <cell r="P1363">
            <v>0</v>
          </cell>
          <cell r="Q1363" t="str">
            <v>DONE</v>
          </cell>
          <cell r="R1363">
            <v>46311</v>
          </cell>
          <cell r="S1363" t="str">
            <v>AUTO GALLERY DIOR SHPK</v>
          </cell>
          <cell r="T1363" t="str">
            <v>AUTO GALLERY DIOR SHPK</v>
          </cell>
          <cell r="U1363">
            <v>812050409</v>
          </cell>
          <cell r="V1363" t="str">
            <v>383 44 900 906</v>
          </cell>
          <cell r="W1363" t="str">
            <v>Kosovo</v>
          </cell>
          <cell r="AC1363">
            <v>10720</v>
          </cell>
          <cell r="AD1363">
            <v>1800</v>
          </cell>
          <cell r="AE1363">
            <v>12520</v>
          </cell>
          <cell r="AF1363">
            <v>12650</v>
          </cell>
        </row>
        <row r="1364">
          <cell r="A1364">
            <v>1364</v>
          </cell>
          <cell r="B1364">
            <v>46304</v>
          </cell>
          <cell r="C1364" t="str">
            <v>CADILAC CTS -V</v>
          </cell>
          <cell r="D1364" t="str">
            <v>CADILAC</v>
          </cell>
          <cell r="E1364" t="str">
            <v>CTS -V</v>
          </cell>
          <cell r="G1364" t="str">
            <v>366다4900</v>
          </cell>
          <cell r="H1364" t="str">
            <v>1G6A85S68G0195807</v>
          </cell>
          <cell r="I1364">
            <v>46315</v>
          </cell>
          <cell r="J1364" t="str">
            <v>㈜왕카</v>
          </cell>
          <cell r="L1364" t="str">
            <v>잔금</v>
          </cell>
          <cell r="M1364" t="str">
            <v>100만원 대표님 계약</v>
          </cell>
          <cell r="P1364">
            <v>0</v>
          </cell>
          <cell r="Q1364" t="str">
            <v>HEYMAN</v>
          </cell>
          <cell r="S1364" t="str">
            <v>AJ VILKINGS</v>
          </cell>
          <cell r="T1364" t="str">
            <v xml:space="preserve">Veronica Dreyer </v>
          </cell>
          <cell r="V1364" t="str">
            <v>47 454 96 622</v>
          </cell>
          <cell r="W1364" t="str">
            <v>Ramstadaasen 14 1900 Fetsund 
Norway</v>
          </cell>
          <cell r="AC1364">
            <v>0</v>
          </cell>
          <cell r="AF1364">
            <v>5000</v>
          </cell>
        </row>
        <row r="1365">
          <cell r="A1365">
            <v>1365</v>
          </cell>
          <cell r="B1365">
            <v>46304</v>
          </cell>
          <cell r="C1365" t="str">
            <v>VOLKSWAGEN TIGUAN</v>
          </cell>
          <cell r="D1365" t="str">
            <v>VOLKSWAGEN</v>
          </cell>
          <cell r="E1365" t="str">
            <v>TIGUAN</v>
          </cell>
          <cell r="G1365" t="str">
            <v>46가8211</v>
          </cell>
          <cell r="H1365" t="str">
            <v>WVGZZZ5NZJW935571</v>
          </cell>
          <cell r="J1365" t="str">
            <v>경매장-헤이딜러 이다은</v>
          </cell>
          <cell r="L1365" t="str">
            <v>잔금</v>
          </cell>
          <cell r="N1365">
            <v>1544</v>
          </cell>
          <cell r="P1365">
            <v>0</v>
          </cell>
          <cell r="Q1365" t="str">
            <v>DONE</v>
          </cell>
          <cell r="R1365">
            <v>46315</v>
          </cell>
          <cell r="S1365" t="str">
            <v>AUTO SCOUT</v>
          </cell>
          <cell r="T1365" t="str">
            <v>DONI</v>
          </cell>
          <cell r="U1365">
            <v>933682</v>
          </cell>
          <cell r="V1365" t="str">
            <v>3 8 3 4 9 3 2 5 7 0 3</v>
          </cell>
          <cell r="W1365" t="str">
            <v xml:space="preserve"> HYZRI TALLA OB 16 HY 1 NR 18
 Kosovë</v>
          </cell>
          <cell r="X1365">
            <v>1322</v>
          </cell>
          <cell r="AB1365">
            <v>1484</v>
          </cell>
          <cell r="AC1365">
            <v>10239</v>
          </cell>
          <cell r="AD1365">
            <v>1906</v>
          </cell>
          <cell r="AE1365">
            <v>12145</v>
          </cell>
        </row>
        <row r="1366">
          <cell r="A1366">
            <v>1366</v>
          </cell>
          <cell r="B1366">
            <v>46304</v>
          </cell>
          <cell r="C1366" t="str">
            <v>VOLKSWAGEN TIGUAN</v>
          </cell>
          <cell r="D1366" t="str">
            <v>VOLKSWAGEN</v>
          </cell>
          <cell r="E1366" t="str">
            <v>TIGUAN</v>
          </cell>
          <cell r="G1366" t="str">
            <v>02어4814</v>
          </cell>
          <cell r="H1366" t="str">
            <v>WVGZZZ5NZJW924808</v>
          </cell>
          <cell r="J1366" t="str">
            <v>경매장-헤이딜러 이다은</v>
          </cell>
          <cell r="L1366" t="str">
            <v>잔금</v>
          </cell>
          <cell r="N1366">
            <v>1314</v>
          </cell>
          <cell r="O1366">
            <v>45</v>
          </cell>
          <cell r="P1366">
            <v>0</v>
          </cell>
          <cell r="Q1366" t="str">
            <v>DONE</v>
          </cell>
          <cell r="R1366">
            <v>46315</v>
          </cell>
          <cell r="S1366" t="str">
            <v>AUTO SCOUT</v>
          </cell>
          <cell r="T1366" t="str">
            <v>DONI</v>
          </cell>
          <cell r="U1366">
            <v>933682</v>
          </cell>
          <cell r="V1366" t="str">
            <v>3 8 3 4 9 3 2 5 7 0 3</v>
          </cell>
          <cell r="W1366" t="str">
            <v xml:space="preserve"> HYZRI TALLA OB 16 HY 1 NR 18
 Kosovë</v>
          </cell>
          <cell r="X1366">
            <v>1322</v>
          </cell>
          <cell r="AB1366">
            <v>1484</v>
          </cell>
          <cell r="AC1366">
            <v>8679</v>
          </cell>
          <cell r="AD1366">
            <v>1906</v>
          </cell>
          <cell r="AE1366">
            <v>10585</v>
          </cell>
        </row>
        <row r="1367">
          <cell r="A1367">
            <v>1367</v>
          </cell>
          <cell r="B1367">
            <v>46304</v>
          </cell>
          <cell r="C1367" t="str">
            <v>VOLKSWAGEN PASSAT</v>
          </cell>
          <cell r="D1367" t="str">
            <v>VOLKSWAGEN</v>
          </cell>
          <cell r="E1367" t="str">
            <v>PASSAT</v>
          </cell>
          <cell r="G1367" t="str">
            <v>45조6343</v>
          </cell>
          <cell r="H1367" t="str">
            <v xml:space="preserve">WVWZZZ3CZJE180073 </v>
          </cell>
          <cell r="J1367" t="str">
            <v>경매장-헤이딜러 이새롬</v>
          </cell>
          <cell r="L1367" t="str">
            <v>잔금</v>
          </cell>
          <cell r="N1367">
            <v>1463</v>
          </cell>
          <cell r="P1367">
            <v>0</v>
          </cell>
          <cell r="Q1367" t="str">
            <v>HEYMAN</v>
          </cell>
          <cell r="S1367" t="str">
            <v>AUTO SCOUT</v>
          </cell>
          <cell r="T1367" t="str">
            <v>DONI</v>
          </cell>
          <cell r="U1367">
            <v>933682</v>
          </cell>
          <cell r="V1367" t="str">
            <v>3 8 3 4 9 3 2 5 7 0 3</v>
          </cell>
          <cell r="W1367" t="str">
            <v xml:space="preserve"> HYZRI TALLA OB 16 HY 1 NR 18
 Kosovë</v>
          </cell>
          <cell r="AC1367">
            <v>0</v>
          </cell>
        </row>
        <row r="1368">
          <cell r="A1368">
            <v>1368</v>
          </cell>
          <cell r="B1368">
            <v>46304</v>
          </cell>
          <cell r="C1368" t="str">
            <v>BMW 520d</v>
          </cell>
          <cell r="D1368" t="str">
            <v>BMW</v>
          </cell>
          <cell r="E1368" t="str">
            <v>520d</v>
          </cell>
          <cell r="G1368" t="str">
            <v>03모2708</v>
          </cell>
          <cell r="H1368" t="str">
            <v>WBAJC5107JWB87419</v>
          </cell>
          <cell r="J1368" t="str">
            <v>경매장-헤이딜러 이새롬</v>
          </cell>
          <cell r="L1368" t="str">
            <v>잔금</v>
          </cell>
          <cell r="N1368">
            <v>1584</v>
          </cell>
          <cell r="P1368">
            <v>0</v>
          </cell>
          <cell r="Q1368" t="str">
            <v>HEYMAN</v>
          </cell>
          <cell r="S1368" t="str">
            <v>AUTO SCOUT</v>
          </cell>
          <cell r="AC1368">
            <v>0</v>
          </cell>
        </row>
        <row r="1369">
          <cell r="A1369">
            <v>1369</v>
          </cell>
          <cell r="B1369">
            <v>46308</v>
          </cell>
          <cell r="C1369" t="str">
            <v>VOLKSWAGEN TIGUAN</v>
          </cell>
          <cell r="D1369" t="str">
            <v>VOLKSWAGEN</v>
          </cell>
          <cell r="E1369" t="str">
            <v>TIGUAN</v>
          </cell>
          <cell r="G1369" t="str">
            <v>338다8155</v>
          </cell>
          <cell r="H1369" t="str">
            <v>WVGZZZ5NZLM170689</v>
          </cell>
          <cell r="J1369" t="str">
            <v>㈜카베이</v>
          </cell>
          <cell r="L1369" t="str">
            <v>잔금</v>
          </cell>
          <cell r="M1369" t="str">
            <v>50만원 대표님 계약</v>
          </cell>
          <cell r="N1369">
            <v>1864</v>
          </cell>
          <cell r="P1369">
            <v>0</v>
          </cell>
          <cell r="Q1369" t="str">
            <v>done</v>
          </cell>
          <cell r="R1369">
            <v>46315</v>
          </cell>
          <cell r="S1369" t="str">
            <v>VILLA KOHA</v>
          </cell>
          <cell r="T1369" t="str">
            <v>VILLA KOHA SH.P.K</v>
          </cell>
          <cell r="U1369">
            <v>810039588</v>
          </cell>
          <cell r="V1369" t="str">
            <v>383 49247777</v>
          </cell>
          <cell r="W1369" t="str">
            <v>KOSOVO</v>
          </cell>
          <cell r="X1369">
            <v>1333</v>
          </cell>
          <cell r="AB1369">
            <v>1492</v>
          </cell>
          <cell r="AC1369">
            <v>11949</v>
          </cell>
          <cell r="AD1369">
            <v>1911</v>
          </cell>
          <cell r="AE1369">
            <v>13860</v>
          </cell>
          <cell r="AF1369">
            <v>13860</v>
          </cell>
        </row>
        <row r="1370">
          <cell r="A1370">
            <v>1370</v>
          </cell>
          <cell r="B1370">
            <v>46308</v>
          </cell>
          <cell r="C1370" t="str">
            <v>VOLKSWAGEN TIGUAN</v>
          </cell>
          <cell r="D1370" t="str">
            <v>VOLKSWAGEN</v>
          </cell>
          <cell r="E1370" t="str">
            <v>TIGUAN</v>
          </cell>
          <cell r="G1370" t="str">
            <v>64수1887</v>
          </cell>
          <cell r="H1370" t="str">
            <v xml:space="preserve"> WVGZZZ5NZJW914930</v>
          </cell>
          <cell r="J1370" t="str">
            <v>㈜고물상</v>
          </cell>
          <cell r="L1370" t="str">
            <v>잔금</v>
          </cell>
          <cell r="M1370" t="str">
            <v>50만원 회사 통장 계약</v>
          </cell>
          <cell r="N1370">
            <v>1540</v>
          </cell>
          <cell r="P1370">
            <v>0</v>
          </cell>
          <cell r="Q1370" t="str">
            <v>done</v>
          </cell>
          <cell r="R1370">
            <v>46315</v>
          </cell>
          <cell r="S1370" t="str">
            <v>VILLA KOHA</v>
          </cell>
          <cell r="T1370" t="str">
            <v>VILLA KOHA SH.P.K</v>
          </cell>
          <cell r="U1370">
            <v>810039588</v>
          </cell>
          <cell r="V1370" t="str">
            <v>383 49247777</v>
          </cell>
          <cell r="W1370" t="str">
            <v>KOSOVO</v>
          </cell>
          <cell r="X1370">
            <v>1333</v>
          </cell>
          <cell r="AB1370">
            <v>1492</v>
          </cell>
          <cell r="AC1370">
            <v>9889</v>
          </cell>
          <cell r="AD1370">
            <v>1911</v>
          </cell>
          <cell r="AE1370">
            <v>11800</v>
          </cell>
          <cell r="AF1370">
            <v>11850</v>
          </cell>
        </row>
        <row r="1371">
          <cell r="A1371">
            <v>1371</v>
          </cell>
          <cell r="B1371">
            <v>46308</v>
          </cell>
          <cell r="C1371" t="str">
            <v>BMW X1</v>
          </cell>
          <cell r="D1371" t="str">
            <v>BMW</v>
          </cell>
          <cell r="E1371" t="str">
            <v>X1</v>
          </cell>
          <cell r="G1371" t="str">
            <v>09어4729</v>
          </cell>
          <cell r="H1371" t="str">
            <v>WBAHT9101H5J09043</v>
          </cell>
          <cell r="J1371" t="str">
            <v>㈜카베이</v>
          </cell>
          <cell r="L1371" t="str">
            <v>잔금</v>
          </cell>
          <cell r="M1371" t="str">
            <v>50만원 회사 통장 계약</v>
          </cell>
          <cell r="N1371">
            <v>980</v>
          </cell>
          <cell r="O1371">
            <v>44</v>
          </cell>
          <cell r="P1371">
            <v>0</v>
          </cell>
          <cell r="Q1371" t="str">
            <v>done</v>
          </cell>
          <cell r="R1371">
            <v>46315</v>
          </cell>
          <cell r="S1371" t="str">
            <v>VILLA KOHA</v>
          </cell>
          <cell r="T1371" t="str">
            <v>VILLA KOHA SH.P.K</v>
          </cell>
          <cell r="U1371">
            <v>810039588</v>
          </cell>
          <cell r="V1371" t="str">
            <v>383 49247777</v>
          </cell>
          <cell r="W1371" t="str">
            <v>KOSOVO</v>
          </cell>
          <cell r="X1371">
            <v>1333</v>
          </cell>
          <cell r="AB1371">
            <v>1492</v>
          </cell>
          <cell r="AC1371">
            <v>6609</v>
          </cell>
          <cell r="AD1371">
            <v>1911</v>
          </cell>
          <cell r="AE1371">
            <v>8520</v>
          </cell>
          <cell r="AF1371">
            <v>8470</v>
          </cell>
        </row>
        <row r="1372">
          <cell r="A1372">
            <v>1372</v>
          </cell>
          <cell r="B1372">
            <v>46308</v>
          </cell>
          <cell r="C1372" t="str">
            <v>BENZ C220</v>
          </cell>
          <cell r="D1372" t="str">
            <v>BENZ</v>
          </cell>
          <cell r="E1372" t="str">
            <v>C220</v>
          </cell>
          <cell r="G1372" t="str">
            <v>112거4024</v>
          </cell>
          <cell r="H1372" t="str">
            <v>WDDWF0EB0HR243579</v>
          </cell>
          <cell r="J1372" t="str">
            <v>㈜카브모터스</v>
          </cell>
          <cell r="L1372" t="str">
            <v>잔금</v>
          </cell>
          <cell r="M1372" t="str">
            <v>50만원 회사 통장 계약</v>
          </cell>
          <cell r="N1372">
            <v>1230</v>
          </cell>
          <cell r="P1372">
            <v>0</v>
          </cell>
          <cell r="Q1372" t="str">
            <v>done</v>
          </cell>
          <cell r="R1372">
            <v>46315</v>
          </cell>
          <cell r="S1372" t="str">
            <v>VILLA KOHA</v>
          </cell>
          <cell r="T1372" t="str">
            <v>VILLA KOHA SH.P.K</v>
          </cell>
          <cell r="U1372">
            <v>810039588</v>
          </cell>
          <cell r="V1372" t="str">
            <v>383 49247777</v>
          </cell>
          <cell r="W1372" t="str">
            <v>KOSOVO</v>
          </cell>
          <cell r="X1372">
            <v>1333</v>
          </cell>
          <cell r="AB1372">
            <v>1492</v>
          </cell>
          <cell r="AC1372">
            <v>7938</v>
          </cell>
          <cell r="AD1372">
            <v>1822</v>
          </cell>
          <cell r="AE1372">
            <v>9760</v>
          </cell>
          <cell r="AF1372">
            <v>9760</v>
          </cell>
        </row>
        <row r="1373">
          <cell r="A1373">
            <v>1373</v>
          </cell>
          <cell r="B1373">
            <v>46308</v>
          </cell>
          <cell r="C1373" t="str">
            <v>BENZ E220</v>
          </cell>
          <cell r="D1373" t="str">
            <v>BENZ</v>
          </cell>
          <cell r="E1373" t="str">
            <v>E220</v>
          </cell>
          <cell r="G1373" t="str">
            <v>21두7766</v>
          </cell>
          <cell r="H1373" t="str">
            <v>WDDZF0FB2HA229628</v>
          </cell>
          <cell r="J1373" t="str">
            <v>㈜수호모터스</v>
          </cell>
          <cell r="L1373" t="str">
            <v>잔금</v>
          </cell>
          <cell r="M1373" t="str">
            <v>50만원 회사 통장 계약</v>
          </cell>
          <cell r="N1373">
            <v>1584</v>
          </cell>
          <cell r="P1373">
            <v>0</v>
          </cell>
          <cell r="Q1373" t="str">
            <v>done</v>
          </cell>
          <cell r="R1373">
            <v>46315</v>
          </cell>
          <cell r="S1373" t="str">
            <v>VILLA KOHA</v>
          </cell>
          <cell r="T1373" t="str">
            <v>VILLA KOHA SH.P.K</v>
          </cell>
          <cell r="U1373">
            <v>810039588</v>
          </cell>
          <cell r="V1373" t="str">
            <v>383 49247777</v>
          </cell>
          <cell r="W1373" t="str">
            <v>KOSOVO</v>
          </cell>
          <cell r="X1373">
            <v>1333</v>
          </cell>
          <cell r="AB1373">
            <v>1492</v>
          </cell>
          <cell r="AC1373">
            <v>10138</v>
          </cell>
          <cell r="AD1373">
            <v>1822</v>
          </cell>
          <cell r="AE1373">
            <v>11960</v>
          </cell>
          <cell r="AF1373">
            <v>11960</v>
          </cell>
        </row>
        <row r="1374">
          <cell r="A1374">
            <v>1374</v>
          </cell>
          <cell r="B1374">
            <v>46308</v>
          </cell>
          <cell r="C1374" t="str">
            <v>BMW   420d xDrive Gran Coupe</v>
          </cell>
          <cell r="D1374" t="str">
            <v>BMW </v>
          </cell>
          <cell r="E1374" t="str">
            <v xml:space="preserve"> 420d xDrive Gran Coupe</v>
          </cell>
          <cell r="G1374" t="str">
            <v>68무8610</v>
          </cell>
          <cell r="H1374" t="str">
            <v xml:space="preserve">WBA4B7105FD958522 </v>
          </cell>
          <cell r="L1374" t="str">
            <v>잔금</v>
          </cell>
          <cell r="M1374" t="str">
            <v>50만원 회사 통장 계약</v>
          </cell>
          <cell r="N1374">
            <v>624</v>
          </cell>
          <cell r="P1374">
            <v>0</v>
          </cell>
          <cell r="Q1374" t="str">
            <v>done</v>
          </cell>
          <cell r="R1374">
            <v>46315</v>
          </cell>
          <cell r="S1374" t="str">
            <v>CALJA</v>
          </cell>
          <cell r="T1374" t="str">
            <v>HALILAJ ANA</v>
          </cell>
          <cell r="U1374" t="str">
            <v>K45805027E</v>
          </cell>
          <cell r="V1374" t="str">
            <v>355 69 550 5533</v>
          </cell>
          <cell r="W1374" t="str">
            <v>Albania</v>
          </cell>
          <cell r="X1374">
            <v>1333</v>
          </cell>
          <cell r="AB1374">
            <v>1492</v>
          </cell>
          <cell r="AC1374">
            <v>4000</v>
          </cell>
          <cell r="AF1374">
            <v>6070</v>
          </cell>
        </row>
        <row r="1375">
          <cell r="A1375">
            <v>1375</v>
          </cell>
          <cell r="B1375">
            <v>46308</v>
          </cell>
          <cell r="C1375" t="str">
            <v>AUDI A6 50 TDI quattro</v>
          </cell>
          <cell r="D1375" t="str">
            <v>AUDI</v>
          </cell>
          <cell r="E1375" t="str">
            <v>A6 50 TDI quattro</v>
          </cell>
          <cell r="G1375" t="str">
            <v>359우2823</v>
          </cell>
          <cell r="H1375" t="str">
            <v>WAUZZZF27MN073964</v>
          </cell>
          <cell r="J1375" t="str">
            <v>경매장 -현대</v>
          </cell>
          <cell r="L1375" t="str">
            <v>잔금</v>
          </cell>
          <cell r="N1375">
            <v>2920</v>
          </cell>
          <cell r="O1375">
            <v>44</v>
          </cell>
          <cell r="P1375">
            <v>0</v>
          </cell>
          <cell r="S1375" t="str">
            <v>DONI</v>
          </cell>
          <cell r="T1375" t="str">
            <v>DONI</v>
          </cell>
          <cell r="U1375">
            <v>933682</v>
          </cell>
          <cell r="V1375" t="str">
            <v>3 8 3 4 9 3 2 5 7 0 3</v>
          </cell>
          <cell r="W1375" t="str">
            <v xml:space="preserve"> HYZRI TALLA OB 16 HY 1 NR 18
 Kosovë</v>
          </cell>
          <cell r="AC1375">
            <v>20700</v>
          </cell>
          <cell r="AE1375">
            <v>20700</v>
          </cell>
        </row>
        <row r="1376">
          <cell r="A1376">
            <v>1376</v>
          </cell>
          <cell r="B1376">
            <v>46308</v>
          </cell>
          <cell r="C1376" t="str">
            <v>BENZ E220 d 4Matic</v>
          </cell>
          <cell r="D1376" t="str">
            <v>BENZ</v>
          </cell>
          <cell r="E1376" t="str">
            <v>E220 d 4Matic</v>
          </cell>
          <cell r="G1376" t="str">
            <v>383버5381</v>
          </cell>
          <cell r="H1376" t="str">
            <v>WDDZF0FB4HA289491</v>
          </cell>
          <cell r="J1376" t="str">
            <v>경매장 -현대</v>
          </cell>
          <cell r="L1376" t="str">
            <v>잔금</v>
          </cell>
          <cell r="N1376">
            <v>1415</v>
          </cell>
          <cell r="O1376">
            <v>30</v>
          </cell>
          <cell r="P1376">
            <v>0</v>
          </cell>
          <cell r="S1376" t="str">
            <v>DONI</v>
          </cell>
          <cell r="T1376" t="str">
            <v>DONI</v>
          </cell>
          <cell r="U1376">
            <v>933682</v>
          </cell>
          <cell r="V1376" t="str">
            <v>3 8 3 4 9 3 2 5 7 0 3</v>
          </cell>
          <cell r="W1376" t="str">
            <v xml:space="preserve"> HYZRI TALLA OB 16 HY 1 NR 18
 Kosovë</v>
          </cell>
          <cell r="AC1376">
            <v>11020</v>
          </cell>
          <cell r="AE1376">
            <v>11020</v>
          </cell>
        </row>
        <row r="1377">
          <cell r="A1377">
            <v>1377</v>
          </cell>
          <cell r="B1377">
            <v>46308</v>
          </cell>
          <cell r="C1377" t="str">
            <v>BMW 320D</v>
          </cell>
          <cell r="D1377" t="str">
            <v>BMW</v>
          </cell>
          <cell r="E1377" t="str">
            <v>320D</v>
          </cell>
          <cell r="G1377" t="str">
            <v>221너4521</v>
          </cell>
          <cell r="H1377" t="str">
            <v>WBA8C510XJ5L47133</v>
          </cell>
          <cell r="J1377" t="str">
            <v>㈜세이프중고차</v>
          </cell>
          <cell r="L1377" t="str">
            <v>잔금</v>
          </cell>
          <cell r="M1377" t="str">
            <v>50만원 회사 통장 계약</v>
          </cell>
          <cell r="N1377">
            <v>1230</v>
          </cell>
          <cell r="P1377">
            <v>0</v>
          </cell>
          <cell r="Q1377" t="str">
            <v>done</v>
          </cell>
          <cell r="R1377">
            <v>46315</v>
          </cell>
          <cell r="S1377" t="str">
            <v>VILLA KOHA</v>
          </cell>
          <cell r="T1377" t="str">
            <v>VILLA KOHA SH.P.K</v>
          </cell>
          <cell r="U1377">
            <v>810039588</v>
          </cell>
          <cell r="V1377" t="str">
            <v>383 49247777</v>
          </cell>
          <cell r="W1377" t="str">
            <v>KOSOVO</v>
          </cell>
          <cell r="X1377">
            <v>1333</v>
          </cell>
          <cell r="AB1377">
            <v>1492</v>
          </cell>
          <cell r="AC1377">
            <v>7818</v>
          </cell>
          <cell r="AD1377">
            <v>1822</v>
          </cell>
          <cell r="AE1377">
            <v>9640</v>
          </cell>
          <cell r="AF1377">
            <v>9640</v>
          </cell>
        </row>
        <row r="1378">
          <cell r="A1378">
            <v>1378</v>
          </cell>
          <cell r="B1378">
            <v>46308</v>
          </cell>
          <cell r="C1378" t="str">
            <v>VOLKSWAGEN ARTEON</v>
          </cell>
          <cell r="D1378" t="str">
            <v>VOLKSWAGEN</v>
          </cell>
          <cell r="E1378" t="str">
            <v>ARTEON</v>
          </cell>
          <cell r="G1378" t="str">
            <v>61버7969</v>
          </cell>
          <cell r="H1378" t="str">
            <v>WVWZZZ3HZKE013391</v>
          </cell>
          <cell r="I1378">
            <v>46314</v>
          </cell>
          <cell r="J1378" t="str">
            <v>㈜코리아모터스</v>
          </cell>
          <cell r="L1378" t="str">
            <v>잔금</v>
          </cell>
          <cell r="M1378" t="str">
            <v>70만원 대표님 계약</v>
          </cell>
          <cell r="N1378">
            <v>1900</v>
          </cell>
          <cell r="P1378">
            <v>0</v>
          </cell>
          <cell r="Q1378" t="str">
            <v>done</v>
          </cell>
          <cell r="R1378">
            <v>46318</v>
          </cell>
          <cell r="S1378" t="str">
            <v>ATLAS GROUP SH.P.K</v>
          </cell>
          <cell r="T1378" t="str">
            <v>ATLAS GROUP SH.P.K</v>
          </cell>
          <cell r="U1378">
            <v>812137455</v>
          </cell>
          <cell r="V1378" t="str">
            <v>+38348702207</v>
          </cell>
          <cell r="W1378" t="str">
            <v>Xhelal Hajda, p.n. Rahovec</v>
          </cell>
          <cell r="X1378">
            <v>1333</v>
          </cell>
          <cell r="AB1378">
            <v>1492</v>
          </cell>
          <cell r="AC1378">
            <v>12177</v>
          </cell>
          <cell r="AD1378">
            <v>1823</v>
          </cell>
          <cell r="AE1378">
            <v>14000</v>
          </cell>
          <cell r="AF1378">
            <v>14100</v>
          </cell>
        </row>
        <row r="1379">
          <cell r="A1379">
            <v>1379</v>
          </cell>
          <cell r="B1379">
            <v>46308</v>
          </cell>
          <cell r="C1379" t="str">
            <v>BMW 520d</v>
          </cell>
          <cell r="D1379" t="str">
            <v>BMW</v>
          </cell>
          <cell r="E1379" t="str">
            <v>520d</v>
          </cell>
          <cell r="G1379" t="str">
            <v>03라2488</v>
          </cell>
          <cell r="H1379" t="str">
            <v>WBAJC3105JG994565</v>
          </cell>
          <cell r="L1379" t="str">
            <v>잔금</v>
          </cell>
          <cell r="N1379">
            <v>1700</v>
          </cell>
          <cell r="P1379">
            <v>0</v>
          </cell>
          <cell r="Q1379" t="str">
            <v>DONE</v>
          </cell>
          <cell r="R1379">
            <v>46315</v>
          </cell>
          <cell r="S1379" t="str">
            <v>AUTO  DIOR SHPK</v>
          </cell>
          <cell r="T1379" t="str">
            <v>AUTO GALLERY DIOR SHPK</v>
          </cell>
          <cell r="U1379">
            <v>812050409</v>
          </cell>
          <cell r="V1379" t="str">
            <v>383 44 900 906</v>
          </cell>
          <cell r="W1379" t="str">
            <v>Kosovo</v>
          </cell>
          <cell r="AC1379">
            <v>10850</v>
          </cell>
          <cell r="AD1379">
            <v>1800</v>
          </cell>
          <cell r="AE1379">
            <v>12650</v>
          </cell>
          <cell r="AF1379">
            <v>12650</v>
          </cell>
        </row>
        <row r="1380">
          <cell r="A1380">
            <v>1380</v>
          </cell>
          <cell r="B1380">
            <v>46308</v>
          </cell>
          <cell r="C1380" t="str">
            <v>HYUNDAI TUCSON</v>
          </cell>
          <cell r="D1380" t="str">
            <v>HYUNDAI</v>
          </cell>
          <cell r="E1380" t="str">
            <v>TUCSON</v>
          </cell>
          <cell r="G1380" t="str">
            <v>54부0327</v>
          </cell>
          <cell r="H1380" t="str">
            <v>KMHJ3815GGU117365</v>
          </cell>
          <cell r="I1380">
            <v>46314</v>
          </cell>
          <cell r="J1380" t="str">
            <v>㈜모터스퀘어</v>
          </cell>
          <cell r="L1380" t="str">
            <v>잔금</v>
          </cell>
          <cell r="M1380" t="str">
            <v>50만원 회사 통장 계약</v>
          </cell>
          <cell r="N1380">
            <v>560</v>
          </cell>
          <cell r="Q1380" t="str">
            <v>done</v>
          </cell>
          <cell r="R1380">
            <v>46315</v>
          </cell>
          <cell r="S1380" t="str">
            <v>CALJA</v>
          </cell>
          <cell r="T1380" t="str">
            <v>HALILAJ ANA</v>
          </cell>
          <cell r="U1380" t="str">
            <v>K45805027E</v>
          </cell>
          <cell r="V1380" t="str">
            <v>355 69 550 5533</v>
          </cell>
          <cell r="W1380" t="str">
            <v>Albania</v>
          </cell>
          <cell r="X1380">
            <v>1333</v>
          </cell>
          <cell r="AB1380">
            <v>1492</v>
          </cell>
          <cell r="AC1380">
            <v>3800</v>
          </cell>
          <cell r="AF1380">
            <v>5500</v>
          </cell>
        </row>
        <row r="1381">
          <cell r="A1381">
            <v>1381</v>
          </cell>
          <cell r="B1381">
            <v>46310</v>
          </cell>
          <cell r="C1381" t="str">
            <v>BENZ B200D</v>
          </cell>
          <cell r="D1381" t="str">
            <v>BENZ</v>
          </cell>
          <cell r="E1381" t="str">
            <v>B200D</v>
          </cell>
          <cell r="G1381" t="str">
            <v>17나6649</v>
          </cell>
          <cell r="H1381" t="str">
            <v>WDDMH0JB1HN192852</v>
          </cell>
          <cell r="I1381">
            <v>46314</v>
          </cell>
          <cell r="J1381" t="str">
            <v>㈜뉴카카</v>
          </cell>
          <cell r="L1381" t="str">
            <v>잔금</v>
          </cell>
          <cell r="M1381" t="str">
            <v>50만원 회사 통장 계약</v>
          </cell>
          <cell r="N1381">
            <v>780</v>
          </cell>
          <cell r="Q1381" t="str">
            <v>done</v>
          </cell>
          <cell r="R1381">
            <v>46318</v>
          </cell>
          <cell r="S1381" t="str">
            <v>VILLA KOHA</v>
          </cell>
          <cell r="T1381" t="str">
            <v>VILLA KOHA SH.P.K</v>
          </cell>
          <cell r="U1381">
            <v>810039588</v>
          </cell>
          <cell r="V1381" t="str">
            <v>383 49247777</v>
          </cell>
          <cell r="W1381" t="str">
            <v>KOSOVO</v>
          </cell>
          <cell r="X1381">
            <v>1333</v>
          </cell>
          <cell r="AB1381">
            <v>1492</v>
          </cell>
          <cell r="AC1381">
            <v>5128</v>
          </cell>
          <cell r="AD1381">
            <v>1822</v>
          </cell>
          <cell r="AE1381">
            <v>6950</v>
          </cell>
          <cell r="AF1381">
            <v>6950</v>
          </cell>
        </row>
        <row r="1382">
          <cell r="A1382">
            <v>1382</v>
          </cell>
          <cell r="B1382">
            <v>46310</v>
          </cell>
          <cell r="C1382" t="str">
            <v>BMW 420D</v>
          </cell>
          <cell r="D1382" t="str">
            <v>BMW</v>
          </cell>
          <cell r="E1382" t="str">
            <v>420D</v>
          </cell>
          <cell r="G1382" t="str">
            <v>07보9879</v>
          </cell>
          <cell r="H1382" t="str">
            <v>WBA4K3108JBG88167</v>
          </cell>
          <cell r="I1382">
            <v>46314</v>
          </cell>
          <cell r="L1382" t="str">
            <v>잔금</v>
          </cell>
          <cell r="M1382" t="str">
            <v>50만원 회사 통장 계약</v>
          </cell>
          <cell r="N1382">
            <v>1150</v>
          </cell>
          <cell r="O1382">
            <v>44</v>
          </cell>
          <cell r="P1382">
            <v>0</v>
          </cell>
          <cell r="Q1382" t="str">
            <v>done</v>
          </cell>
          <cell r="R1382">
            <v>46318</v>
          </cell>
          <cell r="S1382" t="str">
            <v>VILLA KOHA</v>
          </cell>
          <cell r="T1382" t="str">
            <v>VILLA KOHA SH.P.K</v>
          </cell>
          <cell r="U1382">
            <v>810039588</v>
          </cell>
          <cell r="V1382" t="str">
            <v>383 49247777</v>
          </cell>
          <cell r="W1382" t="str">
            <v>KOSOVO</v>
          </cell>
          <cell r="X1382">
            <v>1333</v>
          </cell>
          <cell r="AB1382">
            <v>1492</v>
          </cell>
          <cell r="AC1382">
            <v>7628</v>
          </cell>
          <cell r="AD1382">
            <v>1822</v>
          </cell>
          <cell r="AE1382">
            <v>9450</v>
          </cell>
          <cell r="AF1382">
            <v>9450</v>
          </cell>
        </row>
        <row r="1383">
          <cell r="A1383">
            <v>1383</v>
          </cell>
          <cell r="B1383">
            <v>46311</v>
          </cell>
          <cell r="C1383" t="str">
            <v>AUDI A5</v>
          </cell>
          <cell r="D1383" t="str">
            <v>AUDI</v>
          </cell>
          <cell r="E1383" t="str">
            <v>A5</v>
          </cell>
          <cell r="G1383" t="str">
            <v>47저7327</v>
          </cell>
          <cell r="H1383" t="str">
            <v>WAUZZZ8T7DA062170</v>
          </cell>
          <cell r="I1383">
            <v>46314</v>
          </cell>
          <cell r="J1383" t="str">
            <v>㈜브라더샵</v>
          </cell>
          <cell r="L1383" t="str">
            <v>잔금</v>
          </cell>
          <cell r="M1383" t="str">
            <v>50만원 대표님 계약</v>
          </cell>
          <cell r="N1383">
            <v>540</v>
          </cell>
          <cell r="P1383">
            <v>0</v>
          </cell>
          <cell r="Q1383" t="str">
            <v>done</v>
          </cell>
          <cell r="R1383">
            <v>46315</v>
          </cell>
          <cell r="S1383" t="str">
            <v>CALJA</v>
          </cell>
          <cell r="T1383" t="str">
            <v>HALILAJ FLAVIO</v>
          </cell>
          <cell r="U1383" t="str">
            <v>K51104027S</v>
          </cell>
          <cell r="V1383" t="str">
            <v>355 69 550 5533</v>
          </cell>
          <cell r="W1383" t="str">
            <v>Albania</v>
          </cell>
          <cell r="X1383">
            <v>1333</v>
          </cell>
          <cell r="AB1383">
            <v>1492</v>
          </cell>
          <cell r="AC1383">
            <v>3600</v>
          </cell>
          <cell r="AF1383">
            <v>5280</v>
          </cell>
        </row>
        <row r="1384">
          <cell r="A1384">
            <v>1384</v>
          </cell>
          <cell r="B1384">
            <v>46311</v>
          </cell>
          <cell r="C1384" t="str">
            <v>HYUNDAI KONA</v>
          </cell>
          <cell r="D1384" t="str">
            <v>HYUNDAI</v>
          </cell>
          <cell r="E1384" t="str">
            <v>KONA</v>
          </cell>
          <cell r="G1384" t="str">
            <v>03서8643</v>
          </cell>
          <cell r="H1384" t="str">
            <v>KMHK3816GJU121151</v>
          </cell>
          <cell r="I1384">
            <v>46314</v>
          </cell>
          <cell r="J1384" t="str">
            <v>㈜잘팔카</v>
          </cell>
          <cell r="L1384" t="str">
            <v>잔금</v>
          </cell>
          <cell r="M1384" t="str">
            <v>50만원 대표님 계약</v>
          </cell>
          <cell r="N1384">
            <v>790</v>
          </cell>
          <cell r="P1384">
            <v>0</v>
          </cell>
          <cell r="Q1384" t="str">
            <v>done</v>
          </cell>
          <cell r="R1384">
            <v>46318</v>
          </cell>
          <cell r="S1384" t="str">
            <v>VILLA KOHA</v>
          </cell>
          <cell r="T1384" t="str">
            <v>VILLA KOHA SH.P.K</v>
          </cell>
          <cell r="U1384">
            <v>810039588</v>
          </cell>
          <cell r="V1384" t="str">
            <v>383 49247777</v>
          </cell>
          <cell r="W1384" t="str">
            <v>KOSOVO</v>
          </cell>
          <cell r="X1384">
            <v>1333</v>
          </cell>
          <cell r="AB1384">
            <v>1492</v>
          </cell>
          <cell r="AC1384">
            <v>5178</v>
          </cell>
          <cell r="AD1384">
            <v>1822</v>
          </cell>
          <cell r="AE1384">
            <v>7000</v>
          </cell>
          <cell r="AF1384">
            <v>7100</v>
          </cell>
        </row>
        <row r="1385">
          <cell r="A1385">
            <v>1385</v>
          </cell>
          <cell r="B1385">
            <v>46311</v>
          </cell>
          <cell r="C1385" t="str">
            <v>FORD MONDEO</v>
          </cell>
          <cell r="D1385" t="str">
            <v>FORD</v>
          </cell>
          <cell r="E1385" t="str">
            <v>MONDEO</v>
          </cell>
          <cell r="G1385" t="str">
            <v>174보6994</v>
          </cell>
          <cell r="H1385" t="str">
            <v>WF0DXXWPCHGT63480</v>
          </cell>
          <cell r="I1385">
            <v>46314</v>
          </cell>
          <cell r="J1385" t="str">
            <v>㈜</v>
          </cell>
          <cell r="L1385" t="str">
            <v>잔금</v>
          </cell>
          <cell r="M1385" t="str">
            <v>50만원 대표님 계약</v>
          </cell>
          <cell r="N1385">
            <v>690</v>
          </cell>
          <cell r="P1385">
            <v>0</v>
          </cell>
          <cell r="Q1385" t="str">
            <v>done</v>
          </cell>
          <cell r="R1385">
            <v>46318</v>
          </cell>
          <cell r="S1385" t="str">
            <v>VILLA KOHA</v>
          </cell>
          <cell r="T1385" t="str">
            <v>VILLA KOHA SH.P.K</v>
          </cell>
          <cell r="U1385">
            <v>810039588</v>
          </cell>
          <cell r="V1385" t="str">
            <v>383 49247777</v>
          </cell>
          <cell r="W1385" t="str">
            <v>KOSOVO</v>
          </cell>
          <cell r="X1385">
            <v>1333</v>
          </cell>
          <cell r="AB1385">
            <v>1492</v>
          </cell>
          <cell r="AC1385">
            <v>4627</v>
          </cell>
          <cell r="AD1385">
            <v>1823</v>
          </cell>
          <cell r="AE1385">
            <v>6450</v>
          </cell>
          <cell r="AF1385">
            <v>6450</v>
          </cell>
        </row>
        <row r="1386">
          <cell r="A1386">
            <v>1386</v>
          </cell>
          <cell r="B1386">
            <v>46311</v>
          </cell>
          <cell r="C1386" t="str">
            <v>AUDI A6</v>
          </cell>
          <cell r="D1386" t="str">
            <v>AUDI</v>
          </cell>
          <cell r="E1386" t="str">
            <v>A6</v>
          </cell>
          <cell r="G1386" t="str">
            <v>46보2511</v>
          </cell>
          <cell r="H1386" t="str">
            <v>WAUZZZ4G5JN062262</v>
          </cell>
          <cell r="I1386">
            <v>46316</v>
          </cell>
          <cell r="J1386" t="str">
            <v>경매장-헤이딜러 이다은</v>
          </cell>
          <cell r="L1386" t="str">
            <v>잔금</v>
          </cell>
          <cell r="P1386">
            <v>0</v>
          </cell>
          <cell r="Q1386" t="str">
            <v>HEYMAN</v>
          </cell>
          <cell r="S1386" t="str">
            <v>AUTO SCOUT</v>
          </cell>
          <cell r="AC1386">
            <v>0</v>
          </cell>
        </row>
        <row r="1387">
          <cell r="A1387">
            <v>1387</v>
          </cell>
          <cell r="B1387">
            <v>46309</v>
          </cell>
          <cell r="C1387" t="str">
            <v>KIA SPORTAGE</v>
          </cell>
          <cell r="D1387" t="str">
            <v>KIA</v>
          </cell>
          <cell r="E1387" t="str">
            <v>SPORTAGE</v>
          </cell>
          <cell r="G1387" t="str">
            <v>379부2629</v>
          </cell>
          <cell r="H1387" t="str">
            <v>KNAPN815GGK045817</v>
          </cell>
          <cell r="J1387" t="str">
            <v>경매장- AJ</v>
          </cell>
          <cell r="L1387" t="str">
            <v>잔금</v>
          </cell>
          <cell r="P1387">
            <v>0</v>
          </cell>
          <cell r="Q1387" t="str">
            <v>HEYMAN</v>
          </cell>
          <cell r="S1387" t="str">
            <v>MANTAS</v>
          </cell>
          <cell r="AC1387">
            <v>0</v>
          </cell>
        </row>
        <row r="1388">
          <cell r="A1388">
            <v>1388</v>
          </cell>
          <cell r="B1388">
            <v>46311</v>
          </cell>
          <cell r="C1388" t="str">
            <v>AUDI A5</v>
          </cell>
          <cell r="D1388" t="str">
            <v>AUDI</v>
          </cell>
          <cell r="E1388" t="str">
            <v>A5</v>
          </cell>
          <cell r="G1388" t="str">
            <v>58가6209</v>
          </cell>
          <cell r="H1388" t="str">
            <v>WAUZZZ8T9DA025072</v>
          </cell>
          <cell r="I1388">
            <v>46316</v>
          </cell>
          <cell r="J1388" t="str">
            <v>㈜온누리모터스</v>
          </cell>
          <cell r="L1388" t="str">
            <v>잔금</v>
          </cell>
          <cell r="M1388" t="str">
            <v>50만원 회사 통장 계약</v>
          </cell>
          <cell r="N1388">
            <v>560</v>
          </cell>
          <cell r="P1388">
            <v>0</v>
          </cell>
          <cell r="Q1388" t="str">
            <v>CONTAINER</v>
          </cell>
          <cell r="R1388" t="str">
            <v>REPORT DONE</v>
          </cell>
          <cell r="S1388" t="str">
            <v>DAX IMPORT</v>
          </cell>
          <cell r="X1388">
            <v>1322</v>
          </cell>
          <cell r="AB1388">
            <v>1484</v>
          </cell>
          <cell r="AC1388">
            <v>4030</v>
          </cell>
        </row>
        <row r="1389">
          <cell r="A1389">
            <v>1389</v>
          </cell>
          <cell r="B1389">
            <v>46311</v>
          </cell>
          <cell r="C1389" t="str">
            <v>RENAULT SM6</v>
          </cell>
          <cell r="D1389" t="str">
            <v>RENAULT</v>
          </cell>
          <cell r="E1389" t="str">
            <v>SM6</v>
          </cell>
          <cell r="G1389" t="str">
            <v>61고6112</v>
          </cell>
          <cell r="H1389" t="str">
            <v>KNMA4C2BMKP060241</v>
          </cell>
          <cell r="I1389">
            <v>46314</v>
          </cell>
          <cell r="J1389" t="str">
            <v>㈜스카이모터스</v>
          </cell>
          <cell r="L1389" t="str">
            <v>잔금</v>
          </cell>
          <cell r="M1389" t="str">
            <v>50만원 회사 통장 계약</v>
          </cell>
          <cell r="N1389">
            <v>900</v>
          </cell>
          <cell r="P1389">
            <v>0</v>
          </cell>
          <cell r="Q1389" t="str">
            <v>done</v>
          </cell>
          <cell r="R1389">
            <v>46318</v>
          </cell>
          <cell r="S1389" t="str">
            <v>AlphaWorldWide</v>
          </cell>
          <cell r="T1389" t="str">
            <v>SEJDIU KASTRIOT</v>
          </cell>
          <cell r="U1389" t="str">
            <v>ID0630627</v>
          </cell>
          <cell r="V1389" t="str">
            <v>355 69223 3416</v>
          </cell>
          <cell r="W1389" t="str">
            <v>KOSOVO</v>
          </cell>
          <cell r="X1389">
            <v>1328</v>
          </cell>
          <cell r="AB1389">
            <v>1488</v>
          </cell>
          <cell r="AC1389">
            <v>5879</v>
          </cell>
          <cell r="AD1389">
            <v>1821</v>
          </cell>
          <cell r="AE1389">
            <v>7700</v>
          </cell>
          <cell r="AF1389">
            <v>8519</v>
          </cell>
        </row>
        <row r="1390">
          <cell r="A1390">
            <v>1390</v>
          </cell>
          <cell r="B1390">
            <v>46311</v>
          </cell>
          <cell r="C1390" t="str">
            <v>BYD  BYD SEALION 7</v>
          </cell>
          <cell r="D1390" t="str">
            <v xml:space="preserve">BYD </v>
          </cell>
          <cell r="E1390" t="str">
            <v>BYD SEALION 7</v>
          </cell>
          <cell r="G1390" t="str">
            <v>07조2443</v>
          </cell>
          <cell r="H1390" t="str">
            <v>LGXCH4CDXT2067194</v>
          </cell>
          <cell r="I1390">
            <v>46314</v>
          </cell>
          <cell r="J1390" t="str">
            <v>㈜위드카갤러리</v>
          </cell>
          <cell r="L1390" t="str">
            <v>잔금</v>
          </cell>
          <cell r="M1390" t="str">
            <v>100만원 대표님 계약</v>
          </cell>
          <cell r="N1390">
            <v>3585</v>
          </cell>
          <cell r="P1390">
            <v>0</v>
          </cell>
          <cell r="Q1390" t="str">
            <v>done</v>
          </cell>
          <cell r="R1390">
            <v>46318</v>
          </cell>
          <cell r="S1390" t="str">
            <v>ATLAS GROUP SH.P.K</v>
          </cell>
          <cell r="T1390" t="str">
            <v>ATLAS GROUP SH.P.K</v>
          </cell>
          <cell r="U1390">
            <v>812137455</v>
          </cell>
          <cell r="V1390" t="str">
            <v>+38348702207</v>
          </cell>
          <cell r="W1390" t="str">
            <v>Xhelal Hajda, p.n. Rahovec</v>
          </cell>
          <cell r="X1390">
            <v>1328</v>
          </cell>
          <cell r="AB1390">
            <v>1488</v>
          </cell>
          <cell r="AC1390">
            <v>22822</v>
          </cell>
          <cell r="AD1390">
            <v>2178</v>
          </cell>
          <cell r="AE1390">
            <v>25000</v>
          </cell>
          <cell r="AF1390">
            <v>25300</v>
          </cell>
        </row>
        <row r="1391">
          <cell r="A1391">
            <v>1391</v>
          </cell>
          <cell r="B1391">
            <v>46311</v>
          </cell>
          <cell r="C1391" t="str">
            <v>AUDI A6</v>
          </cell>
          <cell r="D1391" t="str">
            <v>AUDI</v>
          </cell>
          <cell r="E1391" t="str">
            <v>A6</v>
          </cell>
          <cell r="G1391" t="str">
            <v>66서5141</v>
          </cell>
          <cell r="H1391" t="str">
            <v>WAUZZZ4G5JN107393</v>
          </cell>
          <cell r="I1391">
            <v>46314</v>
          </cell>
          <cell r="L1391" t="str">
            <v>잔금</v>
          </cell>
          <cell r="M1391" t="str">
            <v>50만원 회사 통장 계약</v>
          </cell>
          <cell r="N1391">
            <v>1250</v>
          </cell>
          <cell r="O1391">
            <v>44</v>
          </cell>
          <cell r="P1391">
            <v>0</v>
          </cell>
          <cell r="Q1391" t="str">
            <v>done</v>
          </cell>
          <cell r="R1391">
            <v>46318</v>
          </cell>
          <cell r="S1391" t="str">
            <v>VILLA KOHA</v>
          </cell>
          <cell r="T1391" t="str">
            <v>VILLA KOHA SH.P.K</v>
          </cell>
          <cell r="U1391">
            <v>810039588</v>
          </cell>
          <cell r="V1391" t="str">
            <v>383 49247777</v>
          </cell>
          <cell r="W1391" t="str">
            <v>KOSOVO</v>
          </cell>
          <cell r="X1391">
            <v>1333</v>
          </cell>
          <cell r="AB1391">
            <v>1492</v>
          </cell>
          <cell r="AC1391">
            <v>8227</v>
          </cell>
          <cell r="AD1391">
            <v>1823</v>
          </cell>
          <cell r="AE1391">
            <v>10050</v>
          </cell>
          <cell r="AF1391">
            <v>10050</v>
          </cell>
        </row>
        <row r="1392">
          <cell r="A1392">
            <v>1392</v>
          </cell>
          <cell r="B1392">
            <v>46313</v>
          </cell>
          <cell r="C1392" t="str">
            <v>VOLKSWAGEN TIGUAN</v>
          </cell>
          <cell r="D1392" t="str">
            <v>VOLKSWAGEN</v>
          </cell>
          <cell r="E1392" t="str">
            <v>TIGUAN</v>
          </cell>
          <cell r="G1392" t="str">
            <v>68가4007</v>
          </cell>
          <cell r="H1392" t="str">
            <v>WVGZZZ5NZDW540686</v>
          </cell>
          <cell r="I1392">
            <v>46316</v>
          </cell>
          <cell r="J1392" t="str">
            <v>㈜살카팔카청주오토월드점</v>
          </cell>
          <cell r="L1392" t="str">
            <v>잔금</v>
          </cell>
          <cell r="M1392" t="str">
            <v>50만원 대표님 계약</v>
          </cell>
          <cell r="N1392">
            <v>550</v>
          </cell>
          <cell r="P1392">
            <v>0</v>
          </cell>
          <cell r="Q1392" t="str">
            <v>CONTAINER</v>
          </cell>
          <cell r="R1392" t="str">
            <v>REPORT DONE</v>
          </cell>
          <cell r="S1392" t="str">
            <v>CALJA</v>
          </cell>
          <cell r="T1392" t="str">
            <v>JACELLARI ORGES</v>
          </cell>
          <cell r="U1392" t="str">
            <v>K30723041B</v>
          </cell>
          <cell r="V1392" t="str">
            <v>355 69 550 5533</v>
          </cell>
          <cell r="W1392" t="str">
            <v>Albania</v>
          </cell>
          <cell r="X1392">
            <v>1322</v>
          </cell>
          <cell r="AB1392">
            <v>1484</v>
          </cell>
          <cell r="AC1392">
            <v>3860</v>
          </cell>
          <cell r="AF1392">
            <v>5350</v>
          </cell>
        </row>
        <row r="1393">
          <cell r="A1393">
            <v>1393</v>
          </cell>
          <cell r="B1393">
            <v>46313</v>
          </cell>
          <cell r="C1393" t="str">
            <v>BMW 520D</v>
          </cell>
          <cell r="D1393" t="str">
            <v>BMW</v>
          </cell>
          <cell r="E1393" t="str">
            <v>520D</v>
          </cell>
          <cell r="G1393" t="str">
            <v>46도5646</v>
          </cell>
          <cell r="H1393" t="str">
            <v>WBAFW1100CDY42280</v>
          </cell>
          <cell r="I1393">
            <v>46316</v>
          </cell>
          <cell r="J1393" t="str">
            <v>㈜율카</v>
          </cell>
          <cell r="L1393" t="str">
            <v>잔금</v>
          </cell>
          <cell r="M1393" t="str">
            <v>50만원 대표님 계약</v>
          </cell>
          <cell r="N1393">
            <v>430</v>
          </cell>
          <cell r="P1393">
            <v>0</v>
          </cell>
          <cell r="Q1393" t="str">
            <v>CONTAINER</v>
          </cell>
          <cell r="R1393" t="str">
            <v>REPORT DONE</v>
          </cell>
          <cell r="S1393" t="str">
            <v>CALJA</v>
          </cell>
          <cell r="T1393" t="str">
            <v>JACELLARI ORGES</v>
          </cell>
          <cell r="U1393" t="str">
            <v>K30723041B</v>
          </cell>
          <cell r="V1393" t="str">
            <v>355 69 550 5533</v>
          </cell>
          <cell r="W1393" t="str">
            <v>Albania</v>
          </cell>
          <cell r="X1393">
            <v>1322</v>
          </cell>
          <cell r="AB1393">
            <v>1484</v>
          </cell>
          <cell r="AC1393">
            <v>3100</v>
          </cell>
          <cell r="AF1393">
            <v>4770</v>
          </cell>
        </row>
        <row r="1394">
          <cell r="A1394">
            <v>1394</v>
          </cell>
          <cell r="B1394">
            <v>46313</v>
          </cell>
          <cell r="C1394" t="str">
            <v>HYUNDAI SANTAFE</v>
          </cell>
          <cell r="D1394" t="str">
            <v>HYUNDAI</v>
          </cell>
          <cell r="E1394" t="str">
            <v>SANTAFE</v>
          </cell>
          <cell r="G1394" t="str">
            <v>63모6816</v>
          </cell>
          <cell r="H1394" t="str">
            <v>KMHS381CDKU053763</v>
          </cell>
          <cell r="I1394">
            <v>46314</v>
          </cell>
          <cell r="L1394" t="str">
            <v>잔금</v>
          </cell>
          <cell r="M1394" t="str">
            <v>50만원 대표님 계약</v>
          </cell>
          <cell r="N1394">
            <v>1750</v>
          </cell>
          <cell r="P1394">
            <v>0</v>
          </cell>
          <cell r="Q1394" t="str">
            <v>done</v>
          </cell>
          <cell r="R1394">
            <v>46318</v>
          </cell>
          <cell r="S1394" t="str">
            <v>EASY DRIVE</v>
          </cell>
          <cell r="T1394" t="str">
            <v>Easy Drive LTD</v>
          </cell>
          <cell r="U1394">
            <v>206557008</v>
          </cell>
          <cell r="V1394" t="str">
            <v>359 89 936 8386</v>
          </cell>
          <cell r="W1394" t="str">
            <v>ul. Sokolna 47
1444 Sofia
Bulgaria</v>
          </cell>
          <cell r="X1394">
            <v>1322</v>
          </cell>
          <cell r="AB1394">
            <v>1484</v>
          </cell>
          <cell r="AC1394">
            <v>11494</v>
          </cell>
          <cell r="AD1394">
            <v>1906</v>
          </cell>
          <cell r="AE1394">
            <v>13400</v>
          </cell>
          <cell r="AF1394">
            <v>13400</v>
          </cell>
        </row>
        <row r="1395">
          <cell r="A1395">
            <v>1395</v>
          </cell>
          <cell r="B1395">
            <v>46313</v>
          </cell>
          <cell r="C1395" t="str">
            <v>HYUNDAI TUCSON</v>
          </cell>
          <cell r="D1395" t="str">
            <v>HYUNDAI</v>
          </cell>
          <cell r="E1395" t="str">
            <v>TUCSON</v>
          </cell>
          <cell r="G1395" t="str">
            <v>49마6880</v>
          </cell>
          <cell r="H1395" t="str">
            <v>KMHJ581ADKU838777</v>
          </cell>
          <cell r="I1395">
            <v>46316</v>
          </cell>
          <cell r="J1395" t="str">
            <v>㈜홍카</v>
          </cell>
          <cell r="L1395" t="str">
            <v>잔금</v>
          </cell>
          <cell r="M1395" t="str">
            <v>50만원 대표님 계약</v>
          </cell>
          <cell r="N1395">
            <v>1140</v>
          </cell>
          <cell r="O1395">
            <v>44</v>
          </cell>
          <cell r="P1395">
            <v>0</v>
          </cell>
          <cell r="Q1395" t="str">
            <v>CONTAINER</v>
          </cell>
          <cell r="S1395" t="str">
            <v>CALJA</v>
          </cell>
          <cell r="T1395" t="str">
            <v>Calja Marius</v>
          </cell>
          <cell r="U1395" t="str">
            <v>J70807019Q</v>
          </cell>
          <cell r="V1395" t="str">
            <v>355 69 550 5533</v>
          </cell>
          <cell r="W1395" t="str">
            <v>Albania</v>
          </cell>
          <cell r="X1395">
            <v>1322</v>
          </cell>
          <cell r="AB1395">
            <v>1484</v>
          </cell>
          <cell r="AC1395">
            <v>7650</v>
          </cell>
        </row>
        <row r="1396">
          <cell r="A1396">
            <v>1396</v>
          </cell>
          <cell r="B1396">
            <v>46313</v>
          </cell>
          <cell r="C1396" t="str">
            <v>HYUNDAI SANTAFE</v>
          </cell>
          <cell r="D1396" t="str">
            <v>HYUNDAI</v>
          </cell>
          <cell r="E1396" t="str">
            <v>SANTAFE</v>
          </cell>
          <cell r="G1396" t="str">
            <v>53조8236</v>
          </cell>
          <cell r="H1396" t="str">
            <v>KMHSW81UBDU150909</v>
          </cell>
          <cell r="I1396">
            <v>46314</v>
          </cell>
          <cell r="J1396" t="str">
            <v>㈜위에카</v>
          </cell>
          <cell r="L1396" t="str">
            <v>잔금</v>
          </cell>
          <cell r="N1396">
            <v>440</v>
          </cell>
          <cell r="P1396">
            <v>0</v>
          </cell>
          <cell r="Q1396" t="str">
            <v>done</v>
          </cell>
          <cell r="R1396">
            <v>46315</v>
          </cell>
          <cell r="S1396" t="str">
            <v>CALJA</v>
          </cell>
          <cell r="T1396" t="str">
            <v>HALILAJ FLAVIO</v>
          </cell>
          <cell r="U1396" t="str">
            <v>J70807019Q</v>
          </cell>
          <cell r="V1396" t="str">
            <v>355 69 550 5533</v>
          </cell>
          <cell r="W1396" t="str">
            <v>Albania</v>
          </cell>
          <cell r="X1396">
            <v>1322</v>
          </cell>
          <cell r="AB1396">
            <v>1484</v>
          </cell>
          <cell r="AC1396">
            <v>3050</v>
          </cell>
          <cell r="AF1396">
            <v>4670</v>
          </cell>
        </row>
        <row r="1397">
          <cell r="A1397">
            <v>1397</v>
          </cell>
          <cell r="B1397">
            <v>46313</v>
          </cell>
          <cell r="C1397" t="str">
            <v>VOLKSWAGEN Tiguan 2.0 TDI</v>
          </cell>
          <cell r="D1397" t="str">
            <v>VOLKSWAGEN</v>
          </cell>
          <cell r="E1397" t="str">
            <v>Tiguan 2.0 TDI</v>
          </cell>
          <cell r="G1397" t="str">
            <v>169무6453</v>
          </cell>
          <cell r="H1397" t="str">
            <v>WVGZZZ5NZLW807236</v>
          </cell>
          <cell r="L1397" t="str">
            <v>잔금</v>
          </cell>
          <cell r="M1397" t="str">
            <v>70만원 대표님 계약</v>
          </cell>
          <cell r="N1397">
            <v>1634</v>
          </cell>
          <cell r="P1397">
            <v>0</v>
          </cell>
          <cell r="Q1397" t="str">
            <v>done</v>
          </cell>
          <cell r="R1397">
            <v>46318</v>
          </cell>
          <cell r="S1397" t="str">
            <v>AUTO SCOUT</v>
          </cell>
          <cell r="AC1397">
            <v>0</v>
          </cell>
        </row>
        <row r="1398">
          <cell r="A1398">
            <v>1398</v>
          </cell>
          <cell r="B1398">
            <v>46313</v>
          </cell>
          <cell r="C1398" t="str">
            <v>BENZ E220 d</v>
          </cell>
          <cell r="D1398" t="str">
            <v>BENZ</v>
          </cell>
          <cell r="E1398" t="str">
            <v>E220 d</v>
          </cell>
          <cell r="G1398" t="str">
            <v>263두7854</v>
          </cell>
          <cell r="H1398" t="str">
            <v>WDDZF0EB8HA027720</v>
          </cell>
          <cell r="I1398">
            <v>46316</v>
          </cell>
          <cell r="J1398" t="str">
            <v>㈜카올렉</v>
          </cell>
          <cell r="L1398" t="str">
            <v>잔금</v>
          </cell>
          <cell r="M1398" t="str">
            <v>70만원 대표님 계약</v>
          </cell>
          <cell r="N1398">
            <v>1400</v>
          </cell>
          <cell r="P1398">
            <v>0</v>
          </cell>
          <cell r="Q1398" t="str">
            <v>done</v>
          </cell>
          <cell r="R1398">
            <v>46318</v>
          </cell>
          <cell r="S1398" t="str">
            <v>CALJA</v>
          </cell>
          <cell r="T1398" t="str">
            <v>FRANCI HALILAJ</v>
          </cell>
          <cell r="U1398" t="str">
            <v>K11220035T</v>
          </cell>
          <cell r="V1398" t="str">
            <v>355 69 550 5533</v>
          </cell>
          <cell r="W1398" t="str">
            <v>Albania</v>
          </cell>
          <cell r="X1398">
            <v>1315</v>
          </cell>
          <cell r="AB1398">
            <v>1474</v>
          </cell>
          <cell r="AC1398">
            <v>8980</v>
          </cell>
          <cell r="AD1398">
            <v>1820</v>
          </cell>
          <cell r="AE1398">
            <v>10800</v>
          </cell>
          <cell r="AF1398">
            <v>11800</v>
          </cell>
        </row>
        <row r="1399">
          <cell r="A1399">
            <v>1399</v>
          </cell>
          <cell r="B1399">
            <v>46313</v>
          </cell>
          <cell r="C1399" t="str">
            <v>VOLKSWAGEN Golf GTD BMT</v>
          </cell>
          <cell r="D1399" t="str">
            <v>VOLKSWAGEN</v>
          </cell>
          <cell r="E1399" t="str">
            <v>Golf GTD BMT</v>
          </cell>
          <cell r="G1399" t="str">
            <v>50오3381</v>
          </cell>
          <cell r="H1399" t="str">
            <v>WVWZZZAUZEW335684</v>
          </cell>
          <cell r="I1399">
            <v>46316</v>
          </cell>
          <cell r="J1399" t="str">
            <v>㈜바른모터스</v>
          </cell>
          <cell r="L1399" t="str">
            <v>잔금</v>
          </cell>
          <cell r="M1399" t="str">
            <v>50만원 회사 통장 계약</v>
          </cell>
          <cell r="N1399">
            <v>1030</v>
          </cell>
          <cell r="P1399">
            <v>0</v>
          </cell>
          <cell r="Q1399" t="str">
            <v>done</v>
          </cell>
          <cell r="R1399">
            <v>46318</v>
          </cell>
          <cell r="S1399" t="str">
            <v>RIZA</v>
          </cell>
          <cell r="T1399" t="str">
            <v>Riza Qosja</v>
          </cell>
          <cell r="U1399" t="str">
            <v>M33304205K</v>
          </cell>
          <cell r="V1399" t="str">
            <v>355 682769063</v>
          </cell>
          <cell r="W1399" t="str">
            <v>Albania</v>
          </cell>
          <cell r="X1399">
            <v>1315</v>
          </cell>
          <cell r="AB1399">
            <v>1474</v>
          </cell>
          <cell r="AC1399">
            <v>6680</v>
          </cell>
          <cell r="AD1399">
            <v>1820</v>
          </cell>
          <cell r="AE1399">
            <v>8500</v>
          </cell>
          <cell r="AF1399">
            <v>8760</v>
          </cell>
        </row>
        <row r="1400">
          <cell r="A1400">
            <v>1400</v>
          </cell>
          <cell r="B1400">
            <v>46315</v>
          </cell>
          <cell r="C1400" t="str">
            <v>Peugeot 2008 1.5 BlueHDi</v>
          </cell>
          <cell r="D1400" t="str">
            <v>Peugeot</v>
          </cell>
          <cell r="E1400" t="str">
            <v>2008 1.5 BlueHDi</v>
          </cell>
          <cell r="G1400" t="str">
            <v>34루7841</v>
          </cell>
          <cell r="H1400" t="str">
            <v>VF3CUYHXNKY002950</v>
          </cell>
          <cell r="I1400">
            <v>46315</v>
          </cell>
          <cell r="L1400" t="str">
            <v>잔금</v>
          </cell>
          <cell r="P1400">
            <v>0</v>
          </cell>
          <cell r="Q1400" t="str">
            <v>done</v>
          </cell>
          <cell r="R1400">
            <v>46318</v>
          </cell>
          <cell r="S1400" t="str">
            <v>R.S.h L.L.C.</v>
          </cell>
          <cell r="T1400" t="str">
            <v>R.Sh L.L.C.</v>
          </cell>
          <cell r="U1400">
            <v>206557008</v>
          </cell>
          <cell r="V1400" t="str">
            <v>359 89 936 8386</v>
          </cell>
          <cell r="W1400" t="str">
            <v>ul. Sokolna 47
1444 Sofia
Bulgaria</v>
          </cell>
          <cell r="AC1400">
            <v>0</v>
          </cell>
        </row>
        <row r="1401">
          <cell r="A1401">
            <v>1401</v>
          </cell>
          <cell r="B1401">
            <v>46315</v>
          </cell>
          <cell r="C1401" t="str">
            <v>RENAULT CLIO</v>
          </cell>
          <cell r="D1401" t="str">
            <v>RENAULT</v>
          </cell>
          <cell r="E1401" t="str">
            <v>CLIO</v>
          </cell>
          <cell r="G1401" t="str">
            <v>294수9699</v>
          </cell>
          <cell r="H1401" t="str">
            <v>VF1R9800XKR931274</v>
          </cell>
          <cell r="I1401">
            <v>46316</v>
          </cell>
          <cell r="J1401" t="str">
            <v>경매장-헤이딜러 MUSA</v>
          </cell>
          <cell r="L1401" t="str">
            <v>잔금</v>
          </cell>
          <cell r="P1401">
            <v>0</v>
          </cell>
          <cell r="S1401" t="str">
            <v>Auto Posh SH.P.K</v>
          </cell>
          <cell r="T1401" t="str">
            <v>Auto Posh SH.P.K</v>
          </cell>
          <cell r="U1401">
            <v>812219427</v>
          </cell>
          <cell r="V1401" t="str">
            <v>38345560145</v>
          </cell>
          <cell r="W1401" t="str">
            <v>KOSOVO</v>
          </cell>
          <cell r="AC1401">
            <v>0</v>
          </cell>
        </row>
        <row r="1402">
          <cell r="A1402">
            <v>1402</v>
          </cell>
          <cell r="B1402">
            <v>46315</v>
          </cell>
          <cell r="C1402" t="str">
            <v>BENZ A200 CDI</v>
          </cell>
          <cell r="D1402" t="str">
            <v>BENZ</v>
          </cell>
          <cell r="E1402" t="str">
            <v>A200 CDI</v>
          </cell>
          <cell r="G1402" t="str">
            <v>28마6473</v>
          </cell>
          <cell r="H1402" t="str">
            <v>WDDBF0BB9EJ194511 </v>
          </cell>
          <cell r="J1402" t="str">
            <v>경매장 - AJ</v>
          </cell>
          <cell r="L1402" t="str">
            <v>잔금</v>
          </cell>
          <cell r="P1402">
            <v>0</v>
          </cell>
          <cell r="S1402" t="str">
            <v xml:space="preserve">Andrea Kasa </v>
          </cell>
          <cell r="T1402" t="str">
            <v xml:space="preserve">Andrea Kasa </v>
          </cell>
          <cell r="U1402" t="str">
            <v>K30122016U</v>
          </cell>
          <cell r="V1402" t="str">
            <v>355 69 746 2556</v>
          </cell>
          <cell r="W1402" t="str">
            <v>Albania</v>
          </cell>
          <cell r="AC1402">
            <v>0</v>
          </cell>
        </row>
        <row r="1403">
          <cell r="A1403">
            <v>1403</v>
          </cell>
          <cell r="B1403">
            <v>46315</v>
          </cell>
          <cell r="C1403" t="str">
            <v>BMW 320D</v>
          </cell>
          <cell r="D1403" t="str">
            <v>BMW</v>
          </cell>
          <cell r="E1403" t="str">
            <v>320D</v>
          </cell>
          <cell r="G1403" t="str">
            <v>10구5471</v>
          </cell>
          <cell r="H1403" t="str">
            <v>WBA8C5107JK734062</v>
          </cell>
          <cell r="I1403">
            <v>46317</v>
          </cell>
          <cell r="L1403" t="str">
            <v>잔금</v>
          </cell>
          <cell r="P1403">
            <v>0</v>
          </cell>
          <cell r="Q1403" t="str">
            <v>done</v>
          </cell>
          <cell r="R1403">
            <v>46318</v>
          </cell>
          <cell r="S1403" t="str">
            <v>VILLA KOHA</v>
          </cell>
          <cell r="T1403" t="str">
            <v>VILLA KOHA SH.P.K</v>
          </cell>
          <cell r="U1403">
            <v>810039588</v>
          </cell>
          <cell r="V1403" t="str">
            <v>383 49247777</v>
          </cell>
          <cell r="W1403" t="str">
            <v>KOSOVO</v>
          </cell>
          <cell r="AC1403">
            <v>5300</v>
          </cell>
          <cell r="AD1403">
            <v>1800</v>
          </cell>
          <cell r="AE1403">
            <v>7100</v>
          </cell>
          <cell r="AF1403">
            <v>7100</v>
          </cell>
        </row>
        <row r="1404">
          <cell r="A1404">
            <v>1404</v>
          </cell>
          <cell r="B1404">
            <v>46315</v>
          </cell>
          <cell r="C1404" t="str">
            <v>BMW 118d</v>
          </cell>
          <cell r="D1404" t="str">
            <v>BMW</v>
          </cell>
          <cell r="E1404" t="str">
            <v>118d</v>
          </cell>
          <cell r="G1404" t="str">
            <v>46거5217</v>
          </cell>
          <cell r="H1404" t="str">
            <v>WBA1S5103HV994214</v>
          </cell>
          <cell r="I1404" t="str">
            <v>46거5217</v>
          </cell>
          <cell r="J1404" t="str">
            <v>㈜수성자동차</v>
          </cell>
          <cell r="L1404" t="str">
            <v>계약금</v>
          </cell>
          <cell r="M1404" t="str">
            <v>50만원 회사 통장 계약</v>
          </cell>
          <cell r="N1404">
            <v>1044</v>
          </cell>
          <cell r="R1404" t="str">
            <v>REPORT DONE</v>
          </cell>
          <cell r="S1404" t="str">
            <v>ALTIN</v>
          </cell>
          <cell r="T1404" t="str">
            <v>MISIRI ALBERIJE</v>
          </cell>
          <cell r="U1404">
            <v>1248747788</v>
          </cell>
          <cell r="V1404" t="str">
            <v>386 49 442 554</v>
          </cell>
          <cell r="W1404" t="str">
            <v>Kosovo</v>
          </cell>
          <cell r="X1404">
            <v>1312</v>
          </cell>
          <cell r="AB1404">
            <v>1470</v>
          </cell>
          <cell r="AC1404">
            <v>6819</v>
          </cell>
          <cell r="AD1404">
            <v>1821</v>
          </cell>
          <cell r="AE1404">
            <v>8640</v>
          </cell>
          <cell r="AF1404">
            <v>8640</v>
          </cell>
        </row>
        <row r="1405">
          <cell r="A1405">
            <v>1405</v>
          </cell>
          <cell r="B1405">
            <v>46317</v>
          </cell>
          <cell r="C1405" t="str">
            <v>VOLKSWAGEN Tiguan 2.0 TDI</v>
          </cell>
          <cell r="D1405" t="str">
            <v>VOLKSWAGEN</v>
          </cell>
          <cell r="E1405" t="str">
            <v>Tiguan 2.0 TDI</v>
          </cell>
          <cell r="G1405" t="str">
            <v>22루3310</v>
          </cell>
          <cell r="H1405" t="str">
            <v>WVGZZZ5NZJW936904</v>
          </cell>
          <cell r="I1405">
            <v>46318</v>
          </cell>
          <cell r="J1405" t="str">
            <v>경매장- KCAR</v>
          </cell>
          <cell r="L1405" t="str">
            <v>잔금</v>
          </cell>
          <cell r="P1405">
            <v>0</v>
          </cell>
          <cell r="Q1405" t="str">
            <v>HEYMAN</v>
          </cell>
          <cell r="S1405" t="str">
            <v>R.S.h L.L.C.</v>
          </cell>
          <cell r="T1405" t="str">
            <v>R.Sh L.L.C.</v>
          </cell>
          <cell r="U1405">
            <v>206557008</v>
          </cell>
          <cell r="V1405" t="str">
            <v>359 89 936 8386</v>
          </cell>
          <cell r="W1405" t="str">
            <v>ul. Sokolna 47
1444 Sofia
Bulgaria</v>
          </cell>
          <cell r="AC1405">
            <v>0</v>
          </cell>
        </row>
        <row r="1406">
          <cell r="A1406">
            <v>1406</v>
          </cell>
          <cell r="B1406">
            <v>46317</v>
          </cell>
          <cell r="C1406" t="str">
            <v>BMW X3 xDrive20d</v>
          </cell>
          <cell r="D1406" t="str">
            <v>BMW</v>
          </cell>
          <cell r="E1406" t="str">
            <v>X3 xDrive20d</v>
          </cell>
          <cell r="G1406" t="str">
            <v>21거1268</v>
          </cell>
          <cell r="H1406" t="str">
            <v>WBAWZ5106H0V55717</v>
          </cell>
          <cell r="I1406">
            <v>46318</v>
          </cell>
          <cell r="J1406" t="str">
            <v>경매장- 현대 인천</v>
          </cell>
          <cell r="L1406" t="str">
            <v>잔금</v>
          </cell>
          <cell r="P1406">
            <v>0</v>
          </cell>
          <cell r="Q1406" t="str">
            <v>HEYMAN</v>
          </cell>
          <cell r="S1406" t="str">
            <v>VISA HOLDING LLC</v>
          </cell>
          <cell r="AC1406">
            <v>0</v>
          </cell>
        </row>
        <row r="1407">
          <cell r="A1407">
            <v>1407</v>
          </cell>
          <cell r="B1407">
            <v>46317</v>
          </cell>
          <cell r="C1407" t="str">
            <v>RENAULT QM6</v>
          </cell>
          <cell r="D1407" t="str">
            <v>RENAULT</v>
          </cell>
          <cell r="E1407" t="str">
            <v>QM6</v>
          </cell>
          <cell r="G1407" t="str">
            <v>109무2876</v>
          </cell>
          <cell r="H1407" t="str">
            <v>KNME5C2M0HP014637</v>
          </cell>
          <cell r="I1407">
            <v>46318</v>
          </cell>
          <cell r="L1407" t="str">
            <v>잔금</v>
          </cell>
          <cell r="P1407">
            <v>0</v>
          </cell>
          <cell r="Q1407" t="str">
            <v>done</v>
          </cell>
          <cell r="R1407">
            <v>46318</v>
          </cell>
          <cell r="S1407" t="str">
            <v>VIL LOGICSTICS</v>
          </cell>
          <cell r="T1407" t="str">
            <v>VILLA KOHA SH.P.K</v>
          </cell>
          <cell r="U1407">
            <v>810039588</v>
          </cell>
          <cell r="V1407" t="str">
            <v>383 49247777</v>
          </cell>
          <cell r="W1407" t="str">
            <v>KOSOVO</v>
          </cell>
          <cell r="AC1407">
            <v>4300</v>
          </cell>
          <cell r="AD1407">
            <v>1900</v>
          </cell>
          <cell r="AE1407">
            <v>6200</v>
          </cell>
          <cell r="AF1407">
            <v>6200</v>
          </cell>
        </row>
        <row r="1408">
          <cell r="A1408">
            <v>1408</v>
          </cell>
          <cell r="B1408">
            <v>46318</v>
          </cell>
          <cell r="C1408" t="str">
            <v>RANGROVER EVOQUE</v>
          </cell>
          <cell r="D1408" t="str">
            <v>RANGROVER</v>
          </cell>
          <cell r="E1408" t="str">
            <v>EVOQUE</v>
          </cell>
          <cell r="G1408" t="str">
            <v>47로2332</v>
          </cell>
          <cell r="H1408" t="str">
            <v>SALVA2BE1FH012555</v>
          </cell>
          <cell r="J1408" t="str">
            <v>㈜뉴코리아</v>
          </cell>
          <cell r="L1408" t="str">
            <v>계약금</v>
          </cell>
          <cell r="M1408" t="str">
            <v>50만원 회사 통장 계약</v>
          </cell>
          <cell r="N1408">
            <v>620</v>
          </cell>
          <cell r="P1408">
            <v>0</v>
          </cell>
          <cell r="R1408" t="str">
            <v>REPORT DONE</v>
          </cell>
          <cell r="S1408" t="str">
            <v>CALJA</v>
          </cell>
          <cell r="T1408" t="str">
            <v>OSMANLLARI ANDI</v>
          </cell>
          <cell r="U1408" t="str">
            <v>J802170012Q</v>
          </cell>
          <cell r="V1408" t="str">
            <v>355 69 550 5533</v>
          </cell>
          <cell r="W1408" t="str">
            <v>Albania</v>
          </cell>
          <cell r="X1408">
            <v>1312</v>
          </cell>
          <cell r="AB1408">
            <v>1470</v>
          </cell>
          <cell r="AC1408">
            <v>4220</v>
          </cell>
          <cell r="AD1408">
            <v>1910</v>
          </cell>
          <cell r="AE1408">
            <v>6130</v>
          </cell>
          <cell r="AF1408">
            <v>6300</v>
          </cell>
        </row>
        <row r="1409">
          <cell r="A1409">
            <v>1409</v>
          </cell>
          <cell r="B1409">
            <v>46318</v>
          </cell>
          <cell r="C1409" t="str">
            <v>HYUNDAI TUCSON</v>
          </cell>
          <cell r="D1409" t="str">
            <v>HYUNDAI</v>
          </cell>
          <cell r="E1409" t="str">
            <v>TUCSON</v>
          </cell>
          <cell r="G1409" t="str">
            <v>09러8333</v>
          </cell>
          <cell r="H1409" t="str">
            <v xml:space="preserve"> KMHJ3815GJU616021</v>
          </cell>
          <cell r="I1409">
            <v>46322</v>
          </cell>
          <cell r="J1409" t="str">
            <v>㈜디에치모터스</v>
          </cell>
          <cell r="L1409" t="str">
            <v>잔금</v>
          </cell>
          <cell r="M1409" t="str">
            <v>50만원 회사 통장 계약</v>
          </cell>
          <cell r="N1409">
            <v>820</v>
          </cell>
          <cell r="P1409">
            <v>0</v>
          </cell>
          <cell r="R1409" t="str">
            <v>REPORT DONE</v>
          </cell>
          <cell r="S1409" t="str">
            <v>CALJA</v>
          </cell>
          <cell r="T1409" t="str">
            <v>MEMA ENGJELLUSHE</v>
          </cell>
          <cell r="U1409" t="str">
            <v>G55502014Q</v>
          </cell>
          <cell r="V1409" t="str">
            <v>355 69 550 5533</v>
          </cell>
          <cell r="W1409" t="str">
            <v>Albania</v>
          </cell>
          <cell r="X1409">
            <v>1312</v>
          </cell>
          <cell r="AB1409">
            <v>1470</v>
          </cell>
          <cell r="AC1409">
            <v>5480</v>
          </cell>
          <cell r="AF1409">
            <v>9000</v>
          </cell>
        </row>
        <row r="1410">
          <cell r="A1410">
            <v>1410</v>
          </cell>
          <cell r="B1410">
            <v>46318</v>
          </cell>
          <cell r="C1410" t="str">
            <v>VOLKSWAGEN GOLF</v>
          </cell>
          <cell r="D1410" t="str">
            <v>VOLKSWAGEN</v>
          </cell>
          <cell r="E1410" t="str">
            <v>GOLF</v>
          </cell>
          <cell r="G1410" t="str">
            <v>45너1053</v>
          </cell>
          <cell r="H1410" t="str">
            <v xml:space="preserve"> WVWZZZAUZEW381247</v>
          </cell>
          <cell r="J1410" t="str">
            <v>㈜제이디모터스</v>
          </cell>
          <cell r="L1410" t="str">
            <v>대표님 계약</v>
          </cell>
          <cell r="M1410" t="str">
            <v>50만원 대표님 계약</v>
          </cell>
          <cell r="N1410">
            <v>760</v>
          </cell>
          <cell r="P1410">
            <v>0</v>
          </cell>
          <cell r="R1410" t="str">
            <v>REPORT DONE</v>
          </cell>
          <cell r="S1410" t="str">
            <v>RIZA</v>
          </cell>
          <cell r="T1410" t="str">
            <v>PRESTIGE RENT</v>
          </cell>
          <cell r="U1410" t="str">
            <v>M56929203H</v>
          </cell>
          <cell r="V1410" t="str">
            <v>355 682769063</v>
          </cell>
          <cell r="W1410" t="str">
            <v>Albania</v>
          </cell>
          <cell r="X1410">
            <v>1312</v>
          </cell>
          <cell r="AB1410">
            <v>1470</v>
          </cell>
          <cell r="AC1410">
            <v>5079</v>
          </cell>
          <cell r="AD1410">
            <v>1821</v>
          </cell>
          <cell r="AE1410">
            <v>6900</v>
          </cell>
          <cell r="AF1410">
            <v>7500</v>
          </cell>
        </row>
        <row r="1411">
          <cell r="A1411">
            <v>1411</v>
          </cell>
          <cell r="B1411">
            <v>46318</v>
          </cell>
          <cell r="C1411" t="str">
            <v>DISCOVERY SPORT</v>
          </cell>
          <cell r="D1411" t="str">
            <v>DISCOVERY</v>
          </cell>
          <cell r="E1411" t="str">
            <v>SPORT</v>
          </cell>
          <cell r="G1411" t="str">
            <v>296두1307</v>
          </cell>
          <cell r="H1411" t="str">
            <v>SALCA2BN0HH640973</v>
          </cell>
          <cell r="I1411">
            <v>46318</v>
          </cell>
          <cell r="J1411" t="str">
            <v>경매장- 헤이딜러 무사. 개인매입 김자종 010 6201 1171</v>
          </cell>
          <cell r="L1411" t="str">
            <v>잔금</v>
          </cell>
          <cell r="N1411">
            <v>524</v>
          </cell>
          <cell r="P1411">
            <v>0</v>
          </cell>
          <cell r="R1411" t="str">
            <v>REPORT DONE</v>
          </cell>
          <cell r="S1411" t="str">
            <v>Auto Posh SH.P.K</v>
          </cell>
          <cell r="T1411" t="str">
            <v>Auto Posh SH.P.K</v>
          </cell>
          <cell r="U1411">
            <v>812219427</v>
          </cell>
          <cell r="V1411" t="str">
            <v>38345560145</v>
          </cell>
          <cell r="W1411" t="str">
            <v>KOSOVO</v>
          </cell>
          <cell r="X1411">
            <v>1312</v>
          </cell>
          <cell r="AB1411">
            <v>1465</v>
          </cell>
          <cell r="AC1411">
            <v>3833</v>
          </cell>
          <cell r="AD1411">
            <v>1917</v>
          </cell>
          <cell r="AE1411">
            <v>5750</v>
          </cell>
        </row>
        <row r="1412">
          <cell r="A1412">
            <v>1412</v>
          </cell>
          <cell r="B1412">
            <v>46318</v>
          </cell>
          <cell r="C1412" t="str">
            <v>BENZ C220</v>
          </cell>
          <cell r="D1412" t="str">
            <v>BENZ</v>
          </cell>
          <cell r="E1412" t="str">
            <v>C220</v>
          </cell>
          <cell r="G1412" t="str">
            <v>05노7067</v>
          </cell>
          <cell r="H1412" t="str">
            <v>WDDWF0EB6JR315262</v>
          </cell>
          <cell r="J1412" t="str">
            <v xml:space="preserve">경매장- 헤이딜러 무사. </v>
          </cell>
          <cell r="L1412" t="str">
            <v>잔금</v>
          </cell>
          <cell r="P1412">
            <v>0</v>
          </cell>
          <cell r="S1412" t="str">
            <v>Auto Posh SH.P.K</v>
          </cell>
          <cell r="AC1412">
            <v>0</v>
          </cell>
        </row>
        <row r="1413">
          <cell r="A1413">
            <v>1413</v>
          </cell>
          <cell r="B1413">
            <v>46323</v>
          </cell>
          <cell r="C1413" t="str">
            <v>HYUNDAI I30</v>
          </cell>
          <cell r="D1413" t="str">
            <v>HYUNDAI</v>
          </cell>
          <cell r="E1413" t="str">
            <v>I30</v>
          </cell>
          <cell r="G1413" t="str">
            <v>67주7088</v>
          </cell>
          <cell r="H1413" t="str">
            <v>KMHD351UBCU073590</v>
          </cell>
          <cell r="L1413" t="str">
            <v>대표님 계약</v>
          </cell>
          <cell r="M1413" t="str">
            <v>50만원 대표님 계약</v>
          </cell>
          <cell r="N1413">
            <v>520</v>
          </cell>
          <cell r="P1413">
            <v>0</v>
          </cell>
          <cell r="S1413" t="str">
            <v>CALJA</v>
          </cell>
          <cell r="T1413" t="str">
            <v>Calja Marius</v>
          </cell>
          <cell r="U1413" t="str">
            <v>J70807019Q</v>
          </cell>
          <cell r="V1413" t="str">
            <v>355 69 550 5533</v>
          </cell>
          <cell r="W1413" t="str">
            <v>Albania</v>
          </cell>
          <cell r="AC1413">
            <v>3700</v>
          </cell>
          <cell r="AF1413">
            <v>3700</v>
          </cell>
        </row>
        <row r="1414">
          <cell r="A1414">
            <v>1414</v>
          </cell>
          <cell r="B1414">
            <v>46323</v>
          </cell>
          <cell r="C1414" t="str">
            <v>AUDI A7</v>
          </cell>
          <cell r="D1414" t="str">
            <v>AUDI</v>
          </cell>
          <cell r="E1414" t="str">
            <v>A7</v>
          </cell>
          <cell r="G1414" t="str">
            <v>08저0113</v>
          </cell>
          <cell r="H1414" t="str">
            <v>WAUZZZ4G9EN163889</v>
          </cell>
          <cell r="L1414" t="str">
            <v>대표님 계약</v>
          </cell>
          <cell r="M1414" t="str">
            <v>50만원 대표님 계약</v>
          </cell>
          <cell r="P1414">
            <v>0</v>
          </cell>
          <cell r="S1414" t="str">
            <v>CALJA</v>
          </cell>
          <cell r="AC1414">
            <v>0</v>
          </cell>
        </row>
        <row r="1415">
          <cell r="A1415">
            <v>1415</v>
          </cell>
          <cell r="B1415">
            <v>46323</v>
          </cell>
          <cell r="C1415" t="str">
            <v>BENZ E220 d 4MATIC</v>
          </cell>
          <cell r="D1415" t="str">
            <v>BENZ</v>
          </cell>
          <cell r="E1415" t="str">
            <v>E220 d 4MATIC</v>
          </cell>
          <cell r="G1415" t="str">
            <v>237노9918</v>
          </cell>
          <cell r="H1415" t="str">
            <v>W1KZF0FB6MA929100</v>
          </cell>
          <cell r="L1415" t="str">
            <v>대표님 계약</v>
          </cell>
          <cell r="M1415" t="str">
            <v>100만원 대표님 계약</v>
          </cell>
          <cell r="N1415">
            <v>3080</v>
          </cell>
          <cell r="P1415">
            <v>0</v>
          </cell>
          <cell r="Q1415" t="str">
            <v>HEYMAN</v>
          </cell>
          <cell r="S1415" t="str">
            <v>R.S.h L.L.C.</v>
          </cell>
          <cell r="T1415" t="str">
            <v>R.Sh L.L.C.</v>
          </cell>
          <cell r="U1415">
            <v>206557008</v>
          </cell>
          <cell r="V1415" t="str">
            <v>359 89 936 8386</v>
          </cell>
          <cell r="W1415" t="str">
            <v>ul. Sokolna 47
1444 Sofia
Bulgaria</v>
          </cell>
          <cell r="AC1415">
            <v>21450</v>
          </cell>
          <cell r="AE1415">
            <v>21450</v>
          </cell>
        </row>
        <row r="1416">
          <cell r="A1416">
            <v>1416</v>
          </cell>
          <cell r="B1416">
            <v>46323</v>
          </cell>
          <cell r="C1416" t="str">
            <v>BENZ CLS400 d 4Matic</v>
          </cell>
          <cell r="D1416" t="str">
            <v>BENZ</v>
          </cell>
          <cell r="E1416" t="str">
            <v>CLS400 d 4Matic</v>
          </cell>
          <cell r="G1416" t="str">
            <v>223서5956</v>
          </cell>
          <cell r="H1416" t="str">
            <v>WDD2J2DB2KA010349</v>
          </cell>
          <cell r="L1416" t="str">
            <v>대표님 계약</v>
          </cell>
          <cell r="M1416" t="str">
            <v>100만원 대표님 계약</v>
          </cell>
          <cell r="N1416">
            <v>3000</v>
          </cell>
          <cell r="P1416">
            <v>0</v>
          </cell>
          <cell r="Q1416" t="str">
            <v>HEYMAN</v>
          </cell>
          <cell r="S1416" t="str">
            <v>AlphaWorldWide</v>
          </cell>
          <cell r="T1416" t="str">
            <v>Xheka</v>
          </cell>
          <cell r="U1416" t="str">
            <v>M66822402U</v>
          </cell>
          <cell r="AC1416">
            <v>21400</v>
          </cell>
          <cell r="AE1416">
            <v>21400</v>
          </cell>
        </row>
        <row r="1417">
          <cell r="A1417">
            <v>1417</v>
          </cell>
          <cell r="B1417">
            <v>46322</v>
          </cell>
          <cell r="C1417" t="str">
            <v>VOLKSWAGEN TIGUAN</v>
          </cell>
          <cell r="D1417" t="str">
            <v>VOLKSWAGEN</v>
          </cell>
          <cell r="E1417" t="str">
            <v>TIGUAN</v>
          </cell>
          <cell r="G1417" t="str">
            <v>41버8671</v>
          </cell>
          <cell r="H1417" t="str">
            <v>WVGZZZ5NZJW916347</v>
          </cell>
          <cell r="I1417">
            <v>46323</v>
          </cell>
          <cell r="J1417" t="str">
            <v>경매장-현대글로비스</v>
          </cell>
          <cell r="L1417" t="str">
            <v>잔금</v>
          </cell>
          <cell r="P1417">
            <v>0</v>
          </cell>
          <cell r="Q1417" t="str">
            <v>HEYMAN</v>
          </cell>
          <cell r="S1417" t="str">
            <v>VISA HOLDING LLC</v>
          </cell>
          <cell r="AC1417">
            <v>0</v>
          </cell>
        </row>
        <row r="1418">
          <cell r="A1418">
            <v>1418</v>
          </cell>
          <cell r="B1418">
            <v>46323</v>
          </cell>
          <cell r="C1418" t="str">
            <v>BENZ C220D</v>
          </cell>
          <cell r="D1418" t="str">
            <v>BENZ</v>
          </cell>
          <cell r="E1418" t="str">
            <v>C220D</v>
          </cell>
          <cell r="G1418" t="str">
            <v>06노2168</v>
          </cell>
          <cell r="H1418" t="str">
            <v>WDDWF0EBXJR367848</v>
          </cell>
          <cell r="I1418">
            <v>46324</v>
          </cell>
          <cell r="J1418" t="str">
            <v>경매장 - AJ</v>
          </cell>
          <cell r="L1418" t="str">
            <v>잔금</v>
          </cell>
          <cell r="P1418">
            <v>0</v>
          </cell>
          <cell r="S1418" t="str">
            <v>DONI</v>
          </cell>
          <cell r="AC1418">
            <v>0</v>
          </cell>
        </row>
        <row r="1419">
          <cell r="A1419">
            <v>1419</v>
          </cell>
          <cell r="B1419">
            <v>46323</v>
          </cell>
          <cell r="C1419" t="str">
            <v>BMW 520D</v>
          </cell>
          <cell r="D1419" t="str">
            <v>BMW</v>
          </cell>
          <cell r="E1419" t="str">
            <v>520D</v>
          </cell>
          <cell r="G1419" t="str">
            <v>51모9235</v>
          </cell>
          <cell r="H1419" t="str">
            <v>WBAJC5101JWB84404</v>
          </cell>
          <cell r="I1419">
            <v>46324</v>
          </cell>
          <cell r="J1419" t="str">
            <v>경매장 - AJ</v>
          </cell>
          <cell r="L1419" t="str">
            <v>잔금</v>
          </cell>
          <cell r="N1419">
            <v>1380</v>
          </cell>
          <cell r="O1419">
            <v>36</v>
          </cell>
          <cell r="P1419">
            <v>0</v>
          </cell>
          <cell r="S1419" t="str">
            <v>DONI</v>
          </cell>
          <cell r="AC1419">
            <v>0</v>
          </cell>
        </row>
        <row r="1420">
          <cell r="A1420">
            <v>1420</v>
          </cell>
          <cell r="B1420">
            <v>46323</v>
          </cell>
          <cell r="C1420" t="str">
            <v>BMW 520D</v>
          </cell>
          <cell r="D1420" t="str">
            <v>BMW</v>
          </cell>
          <cell r="E1420" t="str">
            <v>520D</v>
          </cell>
          <cell r="G1420" t="str">
            <v>50보8676</v>
          </cell>
          <cell r="H1420" t="str">
            <v>WBA5E7100FD675800</v>
          </cell>
          <cell r="L1420" t="str">
            <v>계약금</v>
          </cell>
          <cell r="M1420" t="str">
            <v>50만원 회사 통장 계약</v>
          </cell>
          <cell r="N1420">
            <v>660</v>
          </cell>
          <cell r="P1420">
            <v>0</v>
          </cell>
          <cell r="S1420" t="str">
            <v>RIZA</v>
          </cell>
          <cell r="T1420" t="str">
            <v>PRESTIGE RENT</v>
          </cell>
          <cell r="U1420" t="str">
            <v>M56929203H</v>
          </cell>
          <cell r="V1420" t="str">
            <v>355 682769063</v>
          </cell>
          <cell r="W1420" t="str">
            <v>Albania</v>
          </cell>
          <cell r="X1420">
            <v>1324</v>
          </cell>
          <cell r="AB1420">
            <v>1472</v>
          </cell>
          <cell r="AC1420">
            <v>4465</v>
          </cell>
          <cell r="AD1420">
            <v>1835</v>
          </cell>
          <cell r="AE1420">
            <v>6300</v>
          </cell>
        </row>
        <row r="1421">
          <cell r="A1421">
            <v>1421</v>
          </cell>
          <cell r="B1421">
            <v>46323</v>
          </cell>
          <cell r="C1421" t="str">
            <v>AUDI A4 35 TDI quattro</v>
          </cell>
          <cell r="D1421" t="str">
            <v>AUDI</v>
          </cell>
          <cell r="E1421" t="str">
            <v>A4 35 TDI quattro</v>
          </cell>
          <cell r="G1421" t="str">
            <v>41누5520</v>
          </cell>
          <cell r="H1421" t="str">
            <v xml:space="preserve">WAUZZZ8KXFA030386 </v>
          </cell>
          <cell r="I1421">
            <v>46324</v>
          </cell>
          <cell r="J1421" t="str">
            <v>경매장 - AJ</v>
          </cell>
          <cell r="L1421" t="str">
            <v>잔금</v>
          </cell>
          <cell r="P1421">
            <v>0</v>
          </cell>
          <cell r="S1421" t="str">
            <v>ANDREA KASA</v>
          </cell>
          <cell r="AC1421">
            <v>0</v>
          </cell>
        </row>
        <row r="1422">
          <cell r="A1422">
            <v>1422</v>
          </cell>
          <cell r="C1422" t="str">
            <v xml:space="preserve"> </v>
          </cell>
          <cell r="P1422">
            <v>0</v>
          </cell>
          <cell r="AC1422">
            <v>0</v>
          </cell>
        </row>
        <row r="1423">
          <cell r="A1423">
            <v>1423</v>
          </cell>
          <cell r="C1423" t="str">
            <v xml:space="preserve"> </v>
          </cell>
          <cell r="P1423">
            <v>0</v>
          </cell>
          <cell r="AC1423">
            <v>0</v>
          </cell>
        </row>
        <row r="1424">
          <cell r="A1424">
            <v>1424</v>
          </cell>
          <cell r="C1424" t="str">
            <v xml:space="preserve"> </v>
          </cell>
          <cell r="P1424">
            <v>0</v>
          </cell>
          <cell r="AC1424">
            <v>0</v>
          </cell>
        </row>
        <row r="1425">
          <cell r="A1425">
            <v>1425</v>
          </cell>
          <cell r="C1425" t="str">
            <v xml:space="preserve"> </v>
          </cell>
          <cell r="P1425">
            <v>0</v>
          </cell>
          <cell r="AC1425">
            <v>0</v>
          </cell>
        </row>
        <row r="1426">
          <cell r="A1426">
            <v>1426</v>
          </cell>
          <cell r="C1426" t="str">
            <v xml:space="preserve"> </v>
          </cell>
          <cell r="P1426">
            <v>0</v>
          </cell>
          <cell r="Q1426" t="str">
            <v>HEYMAN</v>
          </cell>
          <cell r="AC1426">
            <v>0</v>
          </cell>
        </row>
        <row r="1427">
          <cell r="A1427">
            <v>1427</v>
          </cell>
          <cell r="C1427" t="str">
            <v xml:space="preserve"> </v>
          </cell>
          <cell r="P1427">
            <v>0</v>
          </cell>
          <cell r="AC1427">
            <v>0</v>
          </cell>
        </row>
        <row r="1428">
          <cell r="A1428">
            <v>1428</v>
          </cell>
          <cell r="C1428" t="str">
            <v xml:space="preserve"> </v>
          </cell>
          <cell r="P1428">
            <v>0</v>
          </cell>
          <cell r="AC1428">
            <v>0</v>
          </cell>
        </row>
        <row r="1429">
          <cell r="A1429">
            <v>1429</v>
          </cell>
          <cell r="C1429" t="str">
            <v xml:space="preserve"> </v>
          </cell>
          <cell r="P1429">
            <v>0</v>
          </cell>
          <cell r="AC1429">
            <v>0</v>
          </cell>
        </row>
        <row r="1430">
          <cell r="A1430">
            <v>1430</v>
          </cell>
          <cell r="C1430" t="str">
            <v xml:space="preserve"> </v>
          </cell>
          <cell r="P1430">
            <v>0</v>
          </cell>
          <cell r="AC1430">
            <v>0</v>
          </cell>
        </row>
        <row r="1431">
          <cell r="A1431">
            <v>1431</v>
          </cell>
          <cell r="C1431" t="str">
            <v xml:space="preserve"> </v>
          </cell>
          <cell r="P1431">
            <v>0</v>
          </cell>
          <cell r="AC1431">
            <v>0</v>
          </cell>
        </row>
        <row r="1432">
          <cell r="A1432">
            <v>1432</v>
          </cell>
          <cell r="C1432" t="str">
            <v xml:space="preserve"> </v>
          </cell>
          <cell r="P1432">
            <v>0</v>
          </cell>
          <cell r="AC1432">
            <v>0</v>
          </cell>
        </row>
        <row r="1433">
          <cell r="A1433">
            <v>1433</v>
          </cell>
          <cell r="C1433" t="str">
            <v xml:space="preserve"> </v>
          </cell>
          <cell r="P1433">
            <v>0</v>
          </cell>
          <cell r="AC1433">
            <v>0</v>
          </cell>
        </row>
        <row r="1434">
          <cell r="A1434">
            <v>1434</v>
          </cell>
          <cell r="C1434" t="str">
            <v xml:space="preserve"> </v>
          </cell>
          <cell r="P1434">
            <v>0</v>
          </cell>
          <cell r="AC1434">
            <v>0</v>
          </cell>
        </row>
        <row r="1435">
          <cell r="A1435">
            <v>1435</v>
          </cell>
          <cell r="C1435" t="str">
            <v xml:space="preserve"> </v>
          </cell>
          <cell r="P1435">
            <v>0</v>
          </cell>
          <cell r="AC1435">
            <v>0</v>
          </cell>
        </row>
        <row r="1436">
          <cell r="A1436">
            <v>1436</v>
          </cell>
          <cell r="C1436" t="str">
            <v xml:space="preserve"> </v>
          </cell>
          <cell r="P1436">
            <v>0</v>
          </cell>
          <cell r="AC1436">
            <v>0</v>
          </cell>
        </row>
        <row r="1437">
          <cell r="A1437">
            <v>1437</v>
          </cell>
          <cell r="C1437" t="str">
            <v xml:space="preserve"> </v>
          </cell>
          <cell r="P1437">
            <v>0</v>
          </cell>
          <cell r="AC1437">
            <v>0</v>
          </cell>
        </row>
        <row r="1438">
          <cell r="A1438">
            <v>1438</v>
          </cell>
          <cell r="C1438" t="str">
            <v xml:space="preserve"> </v>
          </cell>
          <cell r="P1438">
            <v>0</v>
          </cell>
          <cell r="AC1438">
            <v>0</v>
          </cell>
        </row>
        <row r="1439">
          <cell r="A1439">
            <v>1439</v>
          </cell>
          <cell r="C1439" t="str">
            <v xml:space="preserve"> </v>
          </cell>
          <cell r="P1439">
            <v>0</v>
          </cell>
          <cell r="AC1439">
            <v>0</v>
          </cell>
        </row>
        <row r="1440">
          <cell r="A1440">
            <v>1440</v>
          </cell>
          <cell r="C1440" t="str">
            <v xml:space="preserve"> </v>
          </cell>
          <cell r="P1440">
            <v>0</v>
          </cell>
          <cell r="AC1440">
            <v>0</v>
          </cell>
        </row>
        <row r="1441">
          <cell r="A1441">
            <v>1441</v>
          </cell>
          <cell r="C1441" t="str">
            <v xml:space="preserve"> </v>
          </cell>
          <cell r="P1441">
            <v>0</v>
          </cell>
          <cell r="AC1441">
            <v>0</v>
          </cell>
        </row>
        <row r="1442">
          <cell r="A1442">
            <v>1442</v>
          </cell>
          <cell r="C1442" t="str">
            <v xml:space="preserve"> </v>
          </cell>
          <cell r="P1442">
            <v>0</v>
          </cell>
          <cell r="AC1442">
            <v>0</v>
          </cell>
        </row>
        <row r="1443">
          <cell r="A1443">
            <v>1443</v>
          </cell>
          <cell r="C1443" t="str">
            <v xml:space="preserve"> </v>
          </cell>
          <cell r="P1443">
            <v>0</v>
          </cell>
          <cell r="AC144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02BFE-253C-4E24-AEE4-875D90B74D03}">
  <sheetPr>
    <pageSetUpPr fitToPage="1"/>
  </sheetPr>
  <dimension ref="A1:H44"/>
  <sheetViews>
    <sheetView showGridLines="0" tabSelected="1" topLeftCell="A17" zoomScale="85" zoomScaleNormal="85" workbookViewId="0">
      <selection activeCell="H6" sqref="H6"/>
    </sheetView>
  </sheetViews>
  <sheetFormatPr defaultColWidth="9" defaultRowHeight="13.2" x14ac:dyDescent="0.25"/>
  <cols>
    <col min="1" max="1" width="13.59765625" style="1" customWidth="1"/>
    <col min="2" max="2" width="14.69921875" style="1" customWidth="1"/>
    <col min="3" max="3" width="26.19921875" style="1" customWidth="1"/>
    <col min="4" max="4" width="27.59765625" style="1" customWidth="1"/>
    <col min="5" max="6" width="19.8984375" style="1" customWidth="1"/>
    <col min="7" max="7" width="11.8984375" style="1" customWidth="1"/>
    <col min="8" max="16384" width="9" style="1"/>
  </cols>
  <sheetData>
    <row r="1" spans="1:8" ht="54.75" customHeight="1" x14ac:dyDescent="0.25">
      <c r="A1" s="28"/>
      <c r="B1" s="29"/>
      <c r="C1" s="27"/>
      <c r="D1" s="30" t="s">
        <v>44</v>
      </c>
      <c r="E1" s="30"/>
      <c r="F1" s="31"/>
      <c r="G1" s="32">
        <v>1409</v>
      </c>
      <c r="H1" s="32"/>
    </row>
    <row r="2" spans="1:8" ht="13.8" thickBot="1" x14ac:dyDescent="0.3">
      <c r="A2" s="33" t="s">
        <v>43</v>
      </c>
      <c r="B2" s="34"/>
      <c r="C2" s="34"/>
      <c r="F2" s="11"/>
    </row>
    <row r="3" spans="1:8" ht="23.25" customHeight="1" thickTop="1" thickBot="1" x14ac:dyDescent="0.3">
      <c r="A3" s="33"/>
      <c r="B3" s="34"/>
      <c r="C3" s="34"/>
      <c r="D3" s="24" t="s">
        <v>42</v>
      </c>
      <c r="E3" s="35">
        <f>VLOOKUP($G$1, [6]판매내역!$A$2:$AF$1443, 2, FALSE)</f>
        <v>46318</v>
      </c>
      <c r="F3" s="36"/>
    </row>
    <row r="4" spans="1:8" ht="23.25" customHeight="1" thickTop="1" thickBot="1" x14ac:dyDescent="0.3">
      <c r="A4" s="26"/>
      <c r="B4" s="25"/>
      <c r="C4" s="25"/>
      <c r="D4" s="24" t="s">
        <v>41</v>
      </c>
      <c r="E4" s="37" t="str">
        <f>"MU"&amp; RIGHT(D18, 6)</f>
        <v>MU616021</v>
      </c>
      <c r="F4" s="38"/>
    </row>
    <row r="5" spans="1:8" ht="23.25" customHeight="1" thickTop="1" thickBot="1" x14ac:dyDescent="0.3">
      <c r="A5" s="39"/>
      <c r="B5" s="40"/>
      <c r="D5" s="24" t="s">
        <v>40</v>
      </c>
      <c r="E5" s="41" t="str">
        <f>VLOOKUP($G$1, [6]판매내역!$A$2:$AF$1443, 20, FALSE)</f>
        <v>MEMA ENGJELLUSHE</v>
      </c>
      <c r="F5" s="42"/>
    </row>
    <row r="6" spans="1:8" ht="23.25" customHeight="1" thickTop="1" thickBot="1" x14ac:dyDescent="0.3">
      <c r="A6" s="39"/>
      <c r="B6" s="40"/>
      <c r="D6" s="24" t="s">
        <v>39</v>
      </c>
      <c r="E6" s="41" t="str">
        <f>VLOOKUP($G$1, [6]판매내역!$A$2:$AF$1443, 21, FALSE)</f>
        <v>G55502014Q</v>
      </c>
      <c r="F6" s="42"/>
    </row>
    <row r="7" spans="1:8" ht="24.75" customHeight="1" thickTop="1" thickBot="1" x14ac:dyDescent="0.3">
      <c r="A7" s="39"/>
      <c r="B7" s="40"/>
      <c r="D7" s="24" t="s">
        <v>38</v>
      </c>
      <c r="E7" s="41" t="str">
        <f>VLOOKUP($G$1, [6]판매내역!$A$2:$AF$1443, 23, FALSE)</f>
        <v>Albania</v>
      </c>
      <c r="F7" s="42"/>
    </row>
    <row r="8" spans="1:8" ht="23.25" customHeight="1" thickTop="1" thickBot="1" x14ac:dyDescent="0.3">
      <c r="A8" s="39"/>
      <c r="B8" s="40"/>
      <c r="D8" s="24" t="s">
        <v>37</v>
      </c>
      <c r="E8" s="41" t="str">
        <f>VLOOKUP($G$1, [6]판매내역!$A$2:$AF$1443, 22, FALSE)</f>
        <v>355 69 550 5533</v>
      </c>
      <c r="F8" s="42"/>
    </row>
    <row r="9" spans="1:8" ht="23.25" customHeight="1" thickTop="1" thickBot="1" x14ac:dyDescent="0.3">
      <c r="A9" s="23"/>
      <c r="D9" s="24" t="s">
        <v>36</v>
      </c>
      <c r="E9" s="43">
        <f>VLOOKUP($G$1, [6]판매내역!$A$2:$AF$1443, 28,  FALSE)</f>
        <v>1470</v>
      </c>
      <c r="F9" s="44"/>
    </row>
    <row r="10" spans="1:8" ht="23.25" customHeight="1" thickTop="1" thickBot="1" x14ac:dyDescent="0.3">
      <c r="A10" s="39"/>
      <c r="B10" s="40"/>
      <c r="C10" s="13"/>
      <c r="D10" s="24" t="s">
        <v>35</v>
      </c>
      <c r="E10" s="45">
        <f>VLOOKUP($G$1, [6]판매내역!$A$2:$AF$1443, 24, FALSE)</f>
        <v>1312</v>
      </c>
      <c r="F10" s="46"/>
    </row>
    <row r="11" spans="1:8" ht="14.4" thickTop="1" thickBot="1" x14ac:dyDescent="0.3">
      <c r="A11" s="23"/>
      <c r="E11" s="22"/>
      <c r="F11" s="21"/>
    </row>
    <row r="12" spans="1:8" ht="21" customHeight="1" thickBot="1" x14ac:dyDescent="0.45">
      <c r="A12" s="47" t="s">
        <v>34</v>
      </c>
      <c r="B12" s="48"/>
      <c r="C12" s="48"/>
      <c r="D12" s="48"/>
      <c r="E12" s="48"/>
      <c r="F12" s="49"/>
    </row>
    <row r="13" spans="1:8" ht="24.75" customHeight="1" x14ac:dyDescent="0.25">
      <c r="A13" s="50" t="s">
        <v>33</v>
      </c>
      <c r="B13" s="51"/>
      <c r="C13" s="19" t="s">
        <v>32</v>
      </c>
      <c r="D13" s="20" t="s">
        <v>31</v>
      </c>
      <c r="E13" s="52" t="s">
        <v>30</v>
      </c>
      <c r="F13" s="53"/>
    </row>
    <row r="14" spans="1:8" ht="24.75" customHeight="1" x14ac:dyDescent="0.25">
      <c r="A14" s="54" t="s">
        <v>29</v>
      </c>
      <c r="B14" s="55"/>
      <c r="C14" s="18" t="s">
        <v>28</v>
      </c>
      <c r="D14" s="17" t="s">
        <v>27</v>
      </c>
      <c r="E14" s="56" t="s">
        <v>26</v>
      </c>
      <c r="F14" s="57"/>
    </row>
    <row r="15" spans="1:8" ht="24.75" customHeight="1" thickBot="1" x14ac:dyDescent="0.3">
      <c r="A15" s="58" t="s">
        <v>25</v>
      </c>
      <c r="B15" s="59"/>
      <c r="C15" s="16" t="s">
        <v>24</v>
      </c>
      <c r="D15" s="15" t="s">
        <v>23</v>
      </c>
      <c r="E15" s="60" t="s">
        <v>22</v>
      </c>
      <c r="F15" s="61"/>
    </row>
    <row r="16" spans="1:8" ht="13.8" thickBot="1" x14ac:dyDescent="0.3">
      <c r="A16" s="14"/>
      <c r="C16" s="13"/>
      <c r="D16" s="12"/>
      <c r="F16" s="11"/>
    </row>
    <row r="17" spans="1:7" ht="21.75" customHeight="1" x14ac:dyDescent="0.25">
      <c r="A17" s="10" t="s">
        <v>21</v>
      </c>
      <c r="B17" s="9" t="s">
        <v>20</v>
      </c>
      <c r="C17" s="9" t="s">
        <v>19</v>
      </c>
      <c r="D17" s="9" t="s">
        <v>18</v>
      </c>
      <c r="E17" s="9" t="s">
        <v>17</v>
      </c>
      <c r="F17" s="8" t="s">
        <v>16</v>
      </c>
    </row>
    <row r="18" spans="1:7" ht="21.75" customHeight="1" x14ac:dyDescent="0.25">
      <c r="A18" s="3" t="str">
        <f>VLOOKUP($G$1,[6]판매내역!$A$2:$I$1443, 7, FALSE)</f>
        <v>09러8333</v>
      </c>
      <c r="B18" s="2" t="str">
        <f>VLOOKUP($G$1, [6]판매내역!$A$2:$I$1443, 4, FALSE)</f>
        <v>HYUNDAI</v>
      </c>
      <c r="C18" s="6" t="str">
        <f>VLOOKUP($G$1, [6]판매내역!$A$2:$I$1443, 5, FALSE)</f>
        <v>TUCSON</v>
      </c>
      <c r="D18" s="6" t="str">
        <f>VLOOKUP($G$1, [6]판매내역!$A$2:$I$1443, 8, FALSE)</f>
        <v xml:space="preserve"> KMHJ3815GJU616021</v>
      </c>
      <c r="E18" s="5">
        <f>VLOOKUP($G$1,[6]판매내역!$A$2:$AF$1443,32,FALSE) - F18</f>
        <v>9000</v>
      </c>
      <c r="F18" s="7">
        <f>VLOOKUP($G$1, [6]판매내역!$A$2:$AF$1443, 30, FALSE)</f>
        <v>0</v>
      </c>
    </row>
    <row r="19" spans="1:7" ht="21.75" customHeight="1" x14ac:dyDescent="0.25">
      <c r="A19" s="3"/>
      <c r="B19" s="2"/>
      <c r="C19" s="6"/>
      <c r="D19" s="6"/>
      <c r="E19" s="5"/>
      <c r="F19" s="4"/>
    </row>
    <row r="20" spans="1:7" ht="21.75" customHeight="1" x14ac:dyDescent="0.25">
      <c r="A20" s="3"/>
      <c r="B20" s="2"/>
      <c r="C20" s="6"/>
      <c r="D20" s="6"/>
      <c r="E20" s="5"/>
      <c r="F20" s="4"/>
      <c r="G20" s="1" t="s">
        <v>0</v>
      </c>
    </row>
    <row r="21" spans="1:7" ht="21.75" customHeight="1" x14ac:dyDescent="0.25">
      <c r="A21" s="3"/>
      <c r="B21" s="2"/>
      <c r="C21" s="6"/>
      <c r="D21" s="6"/>
      <c r="E21" s="5"/>
      <c r="F21" s="4"/>
      <c r="G21" s="1" t="s">
        <v>0</v>
      </c>
    </row>
    <row r="22" spans="1:7" ht="21.75" customHeight="1" x14ac:dyDescent="0.25">
      <c r="A22" s="3"/>
      <c r="B22" s="2"/>
      <c r="C22" s="6"/>
      <c r="D22" s="6"/>
      <c r="E22" s="5"/>
      <c r="F22" s="4"/>
      <c r="G22" s="1" t="s">
        <v>0</v>
      </c>
    </row>
    <row r="23" spans="1:7" ht="21.75" customHeight="1" x14ac:dyDescent="0.25">
      <c r="A23" s="3"/>
      <c r="B23" s="2"/>
      <c r="C23" s="6"/>
      <c r="D23" s="6"/>
      <c r="E23" s="5"/>
      <c r="F23" s="4"/>
      <c r="G23" s="1" t="s">
        <v>0</v>
      </c>
    </row>
    <row r="24" spans="1:7" ht="21.75" customHeight="1" x14ac:dyDescent="0.25">
      <c r="A24" s="3"/>
      <c r="B24" s="2"/>
      <c r="C24" s="62" t="s">
        <v>15</v>
      </c>
      <c r="D24" s="63"/>
      <c r="E24" s="64"/>
      <c r="F24" s="65"/>
    </row>
    <row r="25" spans="1:7" ht="21.75" customHeight="1" x14ac:dyDescent="0.25">
      <c r="A25" s="3"/>
      <c r="B25" s="2"/>
      <c r="C25" s="62" t="s">
        <v>14</v>
      </c>
      <c r="D25" s="63"/>
      <c r="E25" s="64" t="s">
        <v>0</v>
      </c>
      <c r="F25" s="65"/>
    </row>
    <row r="26" spans="1:7" ht="24.75" customHeight="1" thickBot="1" x14ac:dyDescent="0.3">
      <c r="A26" s="3"/>
      <c r="B26" s="2"/>
      <c r="C26" s="66" t="s">
        <v>13</v>
      </c>
      <c r="D26" s="67"/>
      <c r="E26" s="68"/>
      <c r="F26" s="69"/>
    </row>
    <row r="27" spans="1:7" ht="22.5" customHeight="1" thickBot="1" x14ac:dyDescent="0.3">
      <c r="A27" s="3"/>
      <c r="B27" s="2"/>
      <c r="C27" s="70" t="s">
        <v>12</v>
      </c>
      <c r="D27" s="71"/>
      <c r="E27" s="72">
        <f>SUM(E18:F25)-E26</f>
        <v>9000</v>
      </c>
      <c r="F27" s="73"/>
    </row>
    <row r="28" spans="1:7" ht="22.5" customHeight="1" x14ac:dyDescent="0.25">
      <c r="A28" s="3"/>
      <c r="B28" s="2"/>
      <c r="C28" s="74" t="s">
        <v>11</v>
      </c>
      <c r="D28" s="75"/>
      <c r="E28" s="76"/>
      <c r="F28" s="77"/>
    </row>
    <row r="29" spans="1:7" ht="22.5" customHeight="1" x14ac:dyDescent="0.25">
      <c r="A29" s="3"/>
      <c r="B29" s="2"/>
      <c r="C29" s="78" t="s">
        <v>11</v>
      </c>
      <c r="D29" s="79"/>
      <c r="E29" s="64" t="s">
        <v>0</v>
      </c>
      <c r="F29" s="65"/>
    </row>
    <row r="30" spans="1:7" ht="24.75" customHeight="1" thickBot="1" x14ac:dyDescent="0.3">
      <c r="A30" s="3"/>
      <c r="B30" s="2"/>
      <c r="C30" s="78"/>
      <c r="D30" s="79"/>
      <c r="E30" s="64" t="s">
        <v>0</v>
      </c>
      <c r="F30" s="65"/>
    </row>
    <row r="31" spans="1:7" ht="22.5" customHeight="1" thickBot="1" x14ac:dyDescent="0.3">
      <c r="A31" s="3"/>
      <c r="B31" s="2"/>
      <c r="C31" s="70" t="s">
        <v>10</v>
      </c>
      <c r="D31" s="71"/>
      <c r="E31" s="72">
        <f>SUM(E27:F30)</f>
        <v>9000</v>
      </c>
      <c r="F31" s="73"/>
    </row>
    <row r="32" spans="1:7" ht="22.5" customHeight="1" x14ac:dyDescent="0.25">
      <c r="A32" s="3"/>
      <c r="B32" s="2"/>
      <c r="C32" s="78" t="s">
        <v>0</v>
      </c>
      <c r="D32" s="79"/>
      <c r="E32" s="64" t="s">
        <v>0</v>
      </c>
      <c r="F32" s="65"/>
    </row>
    <row r="33" spans="1:6" ht="22.5" customHeight="1" thickBot="1" x14ac:dyDescent="0.3">
      <c r="A33" s="3"/>
      <c r="B33" s="2"/>
      <c r="C33" s="78" t="s">
        <v>0</v>
      </c>
      <c r="D33" s="79"/>
      <c r="E33" s="64" t="s">
        <v>0</v>
      </c>
      <c r="F33" s="65"/>
    </row>
    <row r="34" spans="1:6" ht="37.5" customHeight="1" thickBot="1" x14ac:dyDescent="0.3">
      <c r="A34" s="3"/>
      <c r="B34" s="2"/>
      <c r="C34" s="80" t="s">
        <v>9</v>
      </c>
      <c r="D34" s="81"/>
      <c r="E34" s="82">
        <f>SUM(E27:F30)</f>
        <v>9000</v>
      </c>
      <c r="F34" s="83"/>
    </row>
    <row r="35" spans="1:6" ht="19.5" customHeight="1" x14ac:dyDescent="0.25">
      <c r="A35" s="84" t="s">
        <v>8</v>
      </c>
      <c r="B35" s="85"/>
      <c r="C35" s="85"/>
      <c r="D35" s="85"/>
      <c r="E35" s="85"/>
      <c r="F35" s="86"/>
    </row>
    <row r="36" spans="1:6" ht="19.5" customHeight="1" x14ac:dyDescent="0.25">
      <c r="A36" s="84" t="s">
        <v>7</v>
      </c>
      <c r="B36" s="85"/>
      <c r="C36" s="85"/>
      <c r="D36" s="85"/>
      <c r="E36" s="85"/>
      <c r="F36" s="86"/>
    </row>
    <row r="37" spans="1:6" ht="19.5" customHeight="1" x14ac:dyDescent="0.25">
      <c r="A37" s="84" t="s">
        <v>6</v>
      </c>
      <c r="B37" s="85"/>
      <c r="C37" s="85"/>
      <c r="D37" s="85"/>
      <c r="E37" s="85"/>
      <c r="F37" s="86"/>
    </row>
    <row r="38" spans="1:6" ht="19.5" customHeight="1" x14ac:dyDescent="0.25">
      <c r="A38" s="84"/>
      <c r="B38" s="85"/>
      <c r="C38" s="85"/>
      <c r="D38" s="85"/>
      <c r="E38" s="85"/>
      <c r="F38" s="86"/>
    </row>
    <row r="39" spans="1:6" ht="19.5" customHeight="1" x14ac:dyDescent="0.25">
      <c r="A39" s="84" t="s">
        <v>5</v>
      </c>
      <c r="B39" s="85"/>
      <c r="C39" s="85"/>
      <c r="D39" s="85"/>
      <c r="E39" s="85"/>
      <c r="F39" s="86"/>
    </row>
    <row r="40" spans="1:6" ht="19.5" customHeight="1" x14ac:dyDescent="0.25">
      <c r="A40" s="84" t="s">
        <v>4</v>
      </c>
      <c r="B40" s="85"/>
      <c r="C40" s="85"/>
      <c r="D40" s="85"/>
      <c r="E40" s="85"/>
      <c r="F40" s="86"/>
    </row>
    <row r="41" spans="1:6" ht="19.5" customHeight="1" x14ac:dyDescent="0.25">
      <c r="A41" s="84" t="s">
        <v>3</v>
      </c>
      <c r="B41" s="85"/>
      <c r="C41" s="85"/>
      <c r="D41" s="85"/>
      <c r="E41" s="85"/>
      <c r="F41" s="86"/>
    </row>
    <row r="42" spans="1:6" ht="19.5" customHeight="1" x14ac:dyDescent="0.25">
      <c r="A42" s="84"/>
      <c r="B42" s="85"/>
      <c r="C42" s="85"/>
      <c r="D42" s="85"/>
      <c r="E42" s="85"/>
      <c r="F42" s="86"/>
    </row>
    <row r="43" spans="1:6" ht="19.5" customHeight="1" x14ac:dyDescent="0.25">
      <c r="A43" s="87" t="s">
        <v>2</v>
      </c>
      <c r="B43" s="88" t="s">
        <v>0</v>
      </c>
      <c r="C43" s="88"/>
      <c r="D43" s="88"/>
      <c r="E43" s="88"/>
      <c r="F43" s="89"/>
    </row>
    <row r="44" spans="1:6" ht="19.5" customHeight="1" x14ac:dyDescent="0.25">
      <c r="A44" s="87" t="s">
        <v>1</v>
      </c>
      <c r="B44" s="88" t="s">
        <v>0</v>
      </c>
      <c r="C44" s="88"/>
      <c r="D44" s="88"/>
      <c r="E44" s="88"/>
      <c r="F44" s="89"/>
    </row>
  </sheetData>
  <mergeCells count="56">
    <mergeCell ref="A44:F44"/>
    <mergeCell ref="A37:F37"/>
    <mergeCell ref="A38:F38"/>
    <mergeCell ref="A39:F39"/>
    <mergeCell ref="A40:F40"/>
    <mergeCell ref="A41:F41"/>
    <mergeCell ref="A42:F42"/>
    <mergeCell ref="C34:D34"/>
    <mergeCell ref="E34:F34"/>
    <mergeCell ref="A35:F35"/>
    <mergeCell ref="A36:F36"/>
    <mergeCell ref="A43:F43"/>
    <mergeCell ref="C31:D31"/>
    <mergeCell ref="E31:F31"/>
    <mergeCell ref="C32:D32"/>
    <mergeCell ref="E32:F32"/>
    <mergeCell ref="C33:D33"/>
    <mergeCell ref="E33:F33"/>
    <mergeCell ref="C28:D28"/>
    <mergeCell ref="E28:F28"/>
    <mergeCell ref="C29:D29"/>
    <mergeCell ref="E29:F29"/>
    <mergeCell ref="C30:D30"/>
    <mergeCell ref="E30:F30"/>
    <mergeCell ref="C25:D25"/>
    <mergeCell ref="E25:F25"/>
    <mergeCell ref="C26:D26"/>
    <mergeCell ref="E26:F26"/>
    <mergeCell ref="C27:D27"/>
    <mergeCell ref="E27:F27"/>
    <mergeCell ref="A14:B14"/>
    <mergeCell ref="E14:F14"/>
    <mergeCell ref="A15:B15"/>
    <mergeCell ref="E15:F15"/>
    <mergeCell ref="C24:D24"/>
    <mergeCell ref="E24:F24"/>
    <mergeCell ref="A10:B10"/>
    <mergeCell ref="E10:F10"/>
    <mergeCell ref="A12:F12"/>
    <mergeCell ref="A13:B13"/>
    <mergeCell ref="E13:F13"/>
    <mergeCell ref="A7:B7"/>
    <mergeCell ref="E7:F7"/>
    <mergeCell ref="A8:B8"/>
    <mergeCell ref="E8:F8"/>
    <mergeCell ref="E9:F9"/>
    <mergeCell ref="E4:F4"/>
    <mergeCell ref="A5:B5"/>
    <mergeCell ref="E5:F5"/>
    <mergeCell ref="A6:B6"/>
    <mergeCell ref="E6:F6"/>
    <mergeCell ref="A1:B1"/>
    <mergeCell ref="D1:F1"/>
    <mergeCell ref="G1:H1"/>
    <mergeCell ref="A2:C3"/>
    <mergeCell ref="E3:F3"/>
  </mergeCells>
  <phoneticPr fontId="2" type="noConversion"/>
  <printOptions horizontalCentered="1"/>
  <pageMargins left="0.18" right="0.17" top="0.71" bottom="0.53" header="0.31496062992125984" footer="0.31496062992125984"/>
  <pageSetup paperSize="9" scale="76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ssancar</vt:lpstr>
      <vt:lpstr>ssancar!Print_Area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THITHUTRANG NGUYEN</dc:creator>
  <cp:lastModifiedBy>User</cp:lastModifiedBy>
  <dcterms:created xsi:type="dcterms:W3CDTF">2026-10-28T06:07:15Z</dcterms:created>
  <dcterms:modified xsi:type="dcterms:W3CDTF">2026-10-28T06:14:11Z</dcterms:modified>
</cp:coreProperties>
</file>